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c25a1f48213ac614/Documents/Excel/Projects/"/>
    </mc:Choice>
  </mc:AlternateContent>
  <xr:revisionPtr revIDLastSave="15" documentId="8_{FF73FB50-5BCE-41AD-B0E2-9F9FC0F245A1}" xr6:coauthVersionLast="47" xr6:coauthVersionMax="47" xr10:uidLastSave="{40255747-40BE-4BE4-A8FC-512C8FC3E2E4}"/>
  <bookViews>
    <workbookView xWindow="-108" yWindow="-108" windowWidth="23256" windowHeight="12456" activeTab="2" xr2:uid="{00000000-000D-0000-FFFF-FFFF00000000}"/>
  </bookViews>
  <sheets>
    <sheet name="Data" sheetId="1" r:id="rId1"/>
    <sheet name="Pivot Table " sheetId="2" r:id="rId2"/>
    <sheet name="Dashboard " sheetId="3" r:id="rId3"/>
  </sheets>
  <definedNames>
    <definedName name="_xlnm._FilterDatabase" localSheetId="0" hidden="1">Data!$A$1:$J$8315</definedName>
    <definedName name="_xlchart.v2.0" hidden="1">'Pivot Table '!$L$5:$L$21</definedName>
    <definedName name="_xlchart.v2.1" hidden="1">'Pivot Table '!$M$4</definedName>
    <definedName name="_xlchart.v2.2" hidden="1">'Pivot Table '!$M$5:$M$21</definedName>
    <definedName name="_xlchart.v5.3" hidden="1">'Pivot Table '!$X$6</definedName>
    <definedName name="_xlchart.v5.4" hidden="1">'Pivot Table '!$X$7:$X$55</definedName>
    <definedName name="_xlchart.v5.5" hidden="1">'Pivot Table '!$Y$6</definedName>
    <definedName name="_xlchart.v5.6" hidden="1">'Pivot Table '!$Y$7:$Y$55</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X8" i="2" l="1"/>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7" i="2"/>
  <c r="L6" i="2"/>
  <c r="L7" i="2"/>
  <c r="L8" i="2"/>
  <c r="L9" i="2"/>
  <c r="L10" i="2"/>
  <c r="L11" i="2"/>
  <c r="L12" i="2"/>
  <c r="L13" i="2"/>
  <c r="L14" i="2"/>
  <c r="L15" i="2"/>
  <c r="L16" i="2"/>
  <c r="L17" i="2"/>
  <c r="L18" i="2"/>
  <c r="L19" i="2"/>
  <c r="L20" i="2"/>
  <c r="L21" i="2"/>
  <c r="L5"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2" i="1"/>
  <c r="M13" i="2"/>
  <c r="Y16" i="2"/>
  <c r="Y36" i="2"/>
  <c r="M11" i="2"/>
  <c r="Y32" i="2"/>
  <c r="Y11" i="2"/>
  <c r="M5" i="2"/>
  <c r="Y37" i="2"/>
  <c r="M19" i="2"/>
  <c r="Y53" i="2"/>
  <c r="M20" i="2"/>
  <c r="Y54" i="2"/>
  <c r="Y34" i="2"/>
  <c r="Y21" i="2"/>
  <c r="M18" i="2"/>
  <c r="Y33" i="2"/>
  <c r="M21" i="2"/>
  <c r="Y13" i="2"/>
  <c r="M14" i="2"/>
  <c r="Y25" i="2"/>
  <c r="Y38" i="2"/>
  <c r="Y12" i="2"/>
  <c r="Y20" i="2"/>
  <c r="M8" i="2"/>
  <c r="M17" i="2"/>
  <c r="Y31" i="2"/>
  <c r="Y45" i="2"/>
  <c r="M9" i="2"/>
  <c r="Y40" i="2"/>
  <c r="M6" i="2"/>
  <c r="Y23" i="2"/>
  <c r="Y44" i="2"/>
  <c r="Y51" i="2"/>
  <c r="Y7" i="2"/>
  <c r="M12" i="2"/>
  <c r="Y9" i="2"/>
  <c r="Y30" i="2"/>
  <c r="M10" i="2"/>
  <c r="Y24" i="2"/>
  <c r="Y43" i="2"/>
  <c r="Y39" i="2"/>
  <c r="A17" i="2"/>
  <c r="Y17" i="2"/>
  <c r="Y26" i="2"/>
  <c r="Y49" i="2"/>
  <c r="Y15" i="2"/>
  <c r="Y35" i="2"/>
  <c r="A13" i="2"/>
  <c r="Y29" i="2"/>
  <c r="Y48" i="2"/>
  <c r="Y41" i="2"/>
  <c r="Y22" i="2"/>
  <c r="Y10" i="2"/>
  <c r="Y46" i="2"/>
  <c r="Y19" i="2"/>
  <c r="M16" i="2"/>
  <c r="Y52" i="2"/>
  <c r="M15" i="2"/>
  <c r="Y18" i="2"/>
  <c r="Y55" i="2"/>
  <c r="M7" i="2"/>
  <c r="Y50" i="2"/>
  <c r="Y14" i="2"/>
  <c r="Y8" i="2"/>
  <c r="Y42" i="2"/>
  <c r="Y47" i="2"/>
  <c r="Y27" i="2"/>
  <c r="Y28" i="2"/>
</calcChain>
</file>

<file path=xl/sharedStrings.xml><?xml version="1.0" encoding="utf-8"?>
<sst xmlns="http://schemas.openxmlformats.org/spreadsheetml/2006/main" count="35708" uniqueCount="895">
  <si>
    <t>Order Date</t>
  </si>
  <si>
    <t>Customer Name</t>
  </si>
  <si>
    <t>State</t>
  </si>
  <si>
    <t>Category</t>
  </si>
  <si>
    <t>Sub-Category</t>
  </si>
  <si>
    <t>Sales</t>
  </si>
  <si>
    <t>Quantity</t>
  </si>
  <si>
    <t>Profit</t>
  </si>
  <si>
    <t>Darren Powers</t>
  </si>
  <si>
    <t>Texas</t>
  </si>
  <si>
    <t>Office Supplies</t>
  </si>
  <si>
    <t>Paper</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</si>
  <si>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</si>
  <si>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</si>
  <si>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</si>
  <si>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</si>
  <si>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</si>
  <si>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</si>
  <si>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</si>
  <si>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</si>
  <si>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</si>
  <si>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</si>
  <si>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</si>
  <si>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</si>
  <si>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</si>
  <si>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</si>
  <si>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</si>
  <si>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</si>
  <si>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</si>
  <si>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</si>
  <si>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</si>
  <si>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</si>
  <si>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</si>
  <si>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</si>
  <si>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</si>
  <si>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</si>
  <si>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</si>
  <si>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</si>
  <si>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</si>
  <si>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</si>
  <si>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</si>
  <si>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</si>
  <si>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</si>
  <si>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</si>
  <si>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</si>
  <si>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</si>
  <si>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</si>
  <si>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</si>
  <si>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</si>
  <si>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</si>
  <si>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</si>
  <si>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</si>
  <si>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</si>
  <si>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</si>
  <si>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</si>
  <si>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</si>
  <si>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</si>
  <si>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</si>
  <si>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</si>
  <si>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</si>
  <si>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</si>
  <si>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</si>
  <si>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</si>
  <si>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</si>
  <si>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</si>
  <si>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</si>
  <si>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</si>
  <si>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</si>
  <si>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</si>
  <si>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</si>
  <si>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</si>
  <si>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</si>
  <si>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</si>
  <si>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</si>
  <si>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</si>
  <si>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</si>
  <si>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</si>
  <si>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</si>
  <si>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</si>
  <si>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</si>
  <si>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</si>
  <si>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</si>
  <si>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</si>
  <si>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</si>
  <si>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</si>
  <si>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</si>
  <si>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</si>
  <si>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</si>
  <si>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</si>
  <si>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</si>
  <si>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</si>
  <si>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</si>
  <si>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</si>
  <si>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</si>
  <si>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</si>
  <si>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</si>
  <si>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</si>
  <si>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</si>
  <si>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</si>
  <si>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</si>
  <si>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</si>
  <si>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</si>
  <si>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</si>
  <si>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</si>
  <si>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</si>
  <si>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</si>
  <si>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</si>
  <si>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</si>
  <si>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</si>
  <si>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</si>
  <si>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</si>
  <si>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</si>
  <si>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</si>
  <si>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</si>
  <si>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</si>
  <si>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</si>
  <si>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</si>
  <si>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</si>
  <si>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</si>
  <si>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</si>
  <si>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</si>
  <si>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</si>
  <si>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</si>
  <si>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</si>
  <si>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</si>
  <si>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</si>
  <si>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</si>
  <si>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</si>
  <si>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</si>
  <si>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</si>
  <si>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</si>
  <si>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</si>
  <si>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</si>
  <si>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</si>
  <si>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</si>
  <si>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</si>
  <si>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</si>
  <si>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</si>
  <si>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</si>
  <si>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</si>
  <si>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</si>
  <si>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</si>
  <si>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</si>
  <si>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</si>
  <si>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</si>
  <si>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</si>
  <si>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</si>
  <si>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</si>
  <si>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</si>
  <si>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</si>
  <si>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</si>
  <si>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</si>
  <si>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</si>
  <si>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</si>
  <si>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</si>
  <si>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</si>
  <si>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</si>
  <si>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</si>
  <si>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</si>
  <si>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</si>
  <si>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</si>
  <si>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</si>
  <si>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</si>
  <si>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</si>
  <si>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</si>
  <si>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</si>
  <si>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</si>
  <si>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</si>
  <si>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</si>
  <si>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</si>
  <si>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</si>
  <si>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</si>
  <si>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</si>
  <si>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</si>
  <si>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</si>
  <si>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</si>
  <si>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</si>
  <si>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</si>
  <si>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</si>
  <si>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</si>
  <si>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</si>
  <si>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</si>
  <si>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</si>
  <si>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</si>
  <si>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</si>
  <si>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</si>
  <si>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</si>
  <si>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</si>
  <si>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</si>
  <si>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</si>
  <si>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</si>
  <si>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</si>
  <si>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</si>
  <si>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</si>
  <si>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</si>
  <si>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</si>
  <si>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</si>
  <si>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</si>
  <si>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</si>
  <si>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</si>
  <si>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</si>
  <si>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</si>
  <si>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</si>
  <si>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</si>
  <si>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</si>
  <si>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</si>
  <si>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</si>
  <si>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</si>
  <si>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</si>
  <si>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</si>
  <si>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</si>
  <si>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</si>
  <si>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</si>
  <si>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</si>
  <si>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</si>
  <si>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</si>
  <si>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</si>
  <si>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</si>
  <si>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</si>
  <si>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</si>
  <si>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</si>
  <si>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</si>
  <si>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</si>
  <si>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</si>
  <si>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</si>
  <si>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</si>
  <si>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</si>
  <si>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</si>
  <si>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</si>
  <si>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</si>
  <si>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</si>
  <si>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</si>
  <si>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</si>
  <si>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</si>
  <si>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</si>
  <si>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</si>
  <si>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</si>
  <si>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</si>
  <si>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</si>
  <si>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</si>
  <si>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</si>
  <si>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</si>
  <si>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</si>
  <si>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</si>
  <si>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</si>
  <si>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</si>
  <si>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</si>
  <si>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</si>
  <si>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</si>
  <si>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</si>
  <si>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</si>
  <si>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</si>
  <si>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</si>
  <si>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</si>
  <si>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</si>
  <si>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</si>
  <si>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</si>
  <si>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</si>
  <si>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</si>
  <si>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</si>
  <si>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</si>
  <si>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</si>
  <si>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</si>
  <si>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</si>
  <si>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</si>
  <si>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</si>
  <si>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</si>
  <si>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</si>
  <si>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</si>
  <si>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</si>
  <si>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</si>
  <si>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</si>
  <si>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</si>
  <si>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</si>
  <si>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</si>
  <si>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</si>
  <si>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</si>
  <si>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</si>
  <si>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</si>
  <si>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</si>
  <si>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</si>
  <si>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</si>
  <si>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</si>
  <si>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</si>
  <si>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</si>
  <si>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</si>
  <si>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</si>
  <si>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</si>
  <si>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</si>
  <si>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</si>
  <si>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</si>
  <si>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</si>
  <si>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</si>
  <si>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</si>
  <si>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</si>
  <si>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</si>
  <si>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</si>
  <si>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</si>
  <si>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</si>
  <si>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</si>
  <si>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</si>
  <si>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</si>
  <si>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</si>
  <si>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</si>
  <si>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</si>
  <si>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</si>
  <si>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</si>
  <si>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</si>
  <si>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</si>
  <si>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</si>
  <si>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</si>
  <si>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</si>
  <si>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</si>
  <si>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</si>
  <si>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</si>
  <si>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</si>
  <si>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</si>
  <si>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</si>
  <si>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</si>
  <si>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</si>
  <si>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</si>
  <si>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</si>
  <si>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</si>
  <si>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</si>
  <si>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</si>
  <si>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</si>
  <si>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</si>
  <si>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</si>
  <si>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</si>
  <si>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</si>
  <si>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</si>
  <si>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</si>
  <si>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</si>
  <si>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</si>
  <si>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</si>
  <si>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</si>
  <si>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</si>
  <si>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</si>
  <si>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</si>
  <si>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</si>
  <si>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</si>
  <si>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</si>
  <si>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</si>
  <si>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</si>
  <si>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</si>
  <si>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</si>
  <si>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</si>
  <si>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</si>
  <si>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</si>
  <si>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</si>
  <si>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</si>
  <si>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</si>
  <si>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</si>
  <si>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</si>
  <si>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</si>
  <si>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</si>
  <si>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</si>
  <si>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</si>
  <si>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</si>
  <si>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</si>
  <si>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</si>
  <si>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</si>
  <si>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</si>
  <si>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</si>
  <si>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</si>
  <si>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</si>
  <si>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</si>
  <si>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</si>
  <si>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</si>
  <si>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</si>
  <si>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</si>
  <si>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</si>
  <si>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</si>
  <si>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</si>
  <si>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</si>
  <si>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</si>
  <si>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</si>
  <si>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</si>
  <si>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</si>
  <si>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</si>
  <si>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</si>
  <si>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</si>
  <si>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</si>
  <si>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</si>
  <si>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</si>
  <si>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</si>
  <si>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</si>
  <si>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</si>
  <si>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</si>
  <si>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</si>
  <si>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</si>
  <si>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</si>
  <si>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</si>
  <si>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</si>
  <si>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</si>
  <si>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</si>
  <si>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</si>
  <si>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</si>
  <si>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</si>
  <si>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</si>
  <si>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</si>
  <si>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</si>
  <si>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</si>
  <si>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</si>
  <si>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</si>
  <si>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</si>
  <si>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</si>
  <si>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</si>
  <si>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</si>
  <si>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</si>
  <si>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</si>
  <si>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</si>
  <si>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</si>
  <si>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</si>
  <si>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</si>
  <si>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</si>
  <si>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</si>
  <si>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</si>
  <si>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</si>
  <si>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</si>
  <si>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</si>
  <si>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</si>
  <si>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</si>
  <si>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</si>
  <si>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</si>
  <si>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</si>
  <si>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</si>
  <si>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</si>
  <si>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</si>
  <si>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</si>
  <si>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</si>
  <si>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</si>
  <si>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</si>
  <si>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</si>
  <si>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</si>
  <si>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</si>
  <si>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</si>
  <si>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</si>
  <si>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</si>
  <si>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</si>
  <si>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</si>
  <si>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</si>
  <si>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</si>
  <si>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</si>
  <si>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</si>
  <si>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</si>
  <si>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</si>
  <si>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</si>
  <si>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</si>
  <si>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</si>
  <si>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</si>
  <si>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</si>
  <si>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</si>
  <si>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</si>
  <si>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</si>
  <si>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</si>
  <si>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</si>
  <si>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</si>
  <si>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</si>
  <si>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</si>
  <si>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</si>
  <si>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</si>
  <si>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</si>
  <si>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</si>
  <si>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</si>
  <si>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</si>
  <si>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</si>
  <si>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</si>
  <si>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</si>
  <si>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</si>
  <si>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</si>
  <si>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</si>
  <si>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</si>
  <si>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</si>
  <si>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</si>
  <si>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</si>
  <si>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</si>
  <si>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</si>
  <si>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</si>
  <si>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</si>
  <si>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</si>
  <si>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</si>
  <si>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</si>
  <si>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</si>
  <si>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</si>
  <si>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</si>
  <si>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</si>
  <si>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</si>
  <si>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</si>
  <si>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</si>
  <si>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</si>
  <si>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</si>
  <si>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</si>
  <si>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</si>
  <si>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</si>
  <si>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</si>
  <si>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</si>
  <si>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</si>
  <si>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</si>
  <si>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</si>
  <si>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</si>
  <si>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</si>
  <si>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</si>
  <si>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</si>
  <si>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</si>
  <si>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</si>
  <si>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</si>
  <si>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</si>
  <si>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</si>
  <si>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</si>
  <si>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</si>
  <si>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</si>
  <si>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</si>
  <si>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</si>
  <si>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</si>
  <si>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</si>
  <si>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</si>
  <si>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</si>
  <si>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</si>
  <si>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</si>
  <si>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</si>
  <si>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</si>
  <si>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</si>
  <si>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</si>
  <si>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</si>
  <si>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</si>
  <si>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</si>
  <si>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</si>
  <si>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</si>
  <si>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</si>
  <si>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</si>
  <si>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</si>
  <si>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</si>
  <si>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</si>
  <si>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</si>
  <si>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</si>
  <si>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</si>
  <si>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</si>
  <si>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</si>
  <si>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</si>
  <si>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</si>
  <si>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</si>
  <si>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</si>
  <si>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</si>
  <si>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</si>
  <si>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</si>
  <si>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</si>
  <si>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</si>
  <si>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</si>
  <si>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</si>
  <si>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</si>
  <si>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</si>
  <si>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</si>
  <si>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</si>
  <si>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</si>
  <si>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</si>
  <si>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</si>
  <si>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</si>
  <si>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</si>
  <si>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</si>
  <si>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</si>
  <si>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</si>
  <si>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</si>
  <si>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</si>
  <si>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</si>
  <si>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</si>
  <si>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</si>
  <si>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</si>
  <si>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</si>
  <si>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</si>
  <si>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</si>
  <si>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</si>
  <si>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</si>
  <si>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</si>
  <si>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</si>
  <si>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</si>
  <si>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</si>
  <si>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</si>
  <si>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</si>
  <si>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</si>
  <si>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</si>
  <si>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</si>
  <si>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</si>
  <si>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</si>
  <si>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</si>
  <si>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</si>
  <si>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</si>
  <si>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</si>
  <si>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</si>
  <si>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</si>
  <si>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</si>
  <si>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</si>
  <si>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</si>
  <si>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</si>
  <si>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</si>
  <si>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</si>
  <si>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</si>
  <si>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</si>
  <si>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</si>
  <si>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</si>
  <si>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</si>
  <si>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</si>
  <si>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</si>
  <si>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</si>
  <si>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</si>
  <si>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</si>
  <si>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</si>
  <si>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</si>
  <si>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</si>
  <si>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</si>
  <si>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</si>
  <si>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</si>
  <si>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</si>
  <si>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</si>
  <si>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</si>
  <si>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</si>
  <si>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</si>
  <si>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</si>
  <si>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</si>
  <si>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</si>
  <si>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</si>
  <si>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</si>
  <si>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</si>
  <si>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</si>
  <si>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</si>
  <si>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</si>
  <si>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</si>
  <si>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</si>
  <si>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</si>
  <si>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</si>
  <si>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</si>
  <si>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</si>
  <si>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</si>
  <si>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</si>
  <si>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</si>
  <si>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</si>
  <si>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</si>
  <si>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</si>
  <si>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</si>
  <si>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</si>
  <si>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</si>
  <si>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</si>
  <si>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</si>
  <si>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</si>
  <si>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</si>
  <si>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</si>
  <si>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</si>
  <si>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</si>
  <si>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</si>
  <si>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</si>
  <si>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</si>
  <si>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</si>
  <si>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</si>
  <si>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</si>
  <si>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</si>
  <si>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</si>
  <si>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</si>
  <si>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</si>
  <si>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</si>
  <si>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</si>
  <si>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</si>
  <si>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</si>
  <si>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</si>
  <si>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</si>
  <si>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</si>
  <si>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</si>
  <si>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</si>
  <si>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</si>
  <si>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</si>
  <si>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</si>
  <si>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</si>
  <si>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</si>
  <si>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</si>
  <si>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</si>
  <si>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</si>
  <si>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</si>
  <si>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</si>
  <si>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</si>
  <si>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</si>
  <si>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</si>
  <si>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</si>
  <si>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</si>
  <si>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</si>
  <si>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</si>
  <si>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</si>
  <si>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</si>
  <si>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</si>
  <si>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</si>
  <si>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</si>
  <si>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</si>
  <si>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</si>
  <si>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</si>
  <si>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</si>
  <si>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</si>
  <si>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</si>
  <si>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</si>
  <si>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</si>
  <si>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</si>
  <si>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</si>
  <si>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</si>
  <si>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</si>
  <si>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</si>
  <si>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</si>
  <si>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</si>
  <si>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</si>
  <si>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</si>
  <si>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</si>
  <si>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</si>
  <si>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</si>
  <si>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</si>
  <si>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</si>
  <si>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</si>
  <si>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</si>
  <si>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</si>
  <si>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</si>
  <si>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</si>
  <si>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</si>
  <si>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</si>
  <si>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</si>
  <si>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</si>
  <si>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</si>
  <si>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</si>
  <si>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</si>
  <si>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</si>
  <si>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</si>
  <si>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</si>
  <si>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</si>
  <si>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</si>
  <si>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</si>
  <si>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</si>
  <si>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</si>
  <si>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</si>
  <si>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</si>
  <si>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</si>
  <si>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</si>
  <si>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</si>
  <si>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</si>
  <si>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</si>
  <si>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</si>
  <si>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</si>
  <si>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</si>
  <si>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</si>
  <si>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</si>
  <si>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</si>
  <si>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</si>
  <si>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</si>
  <si>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</si>
  <si>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</si>
  <si>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</si>
  <si>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</si>
  <si>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</si>
  <si>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</si>
  <si>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</si>
  <si>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</si>
  <si>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</si>
  <si>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</si>
  <si>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</si>
  <si>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</si>
  <si>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</si>
  <si>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</si>
  <si>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</si>
  <si>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</si>
  <si>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</si>
  <si>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</si>
  <si>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</si>
  <si>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</si>
  <si>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</si>
  <si>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</si>
  <si>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</si>
  <si>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</si>
  <si>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</si>
  <si>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</si>
  <si>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</si>
  <si>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</si>
  <si>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</si>
  <si>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</si>
  <si>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</si>
  <si>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</si>
  <si>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</si>
  <si>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</si>
  <si>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</si>
  <si>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</si>
  <si>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</si>
  <si>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</si>
  <si>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</si>
  <si>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</si>
  <si>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</si>
  <si>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</si>
  <si>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</si>
  <si>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</si>
  <si>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</si>
  <si>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</si>
  <si>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</si>
  <si>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</si>
  <si>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</si>
  <si>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</si>
  <si>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</si>
  <si>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</si>
  <si>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</si>
  <si>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</si>
  <si>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</si>
  <si>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</si>
  <si>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</si>
  <si>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</si>
  <si>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</si>
  <si>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</si>
  <si>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</si>
  <si>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</si>
  <si>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</si>
  <si>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</si>
  <si>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</si>
  <si>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</si>
  <si>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</si>
  <si>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</si>
  <si>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</si>
  <si>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</si>
  <si>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</si>
  <si>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</si>
  <si>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</si>
  <si>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</si>
  <si>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</si>
  <si>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</si>
  <si>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</si>
  <si>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</si>
  <si>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</si>
  <si>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</si>
  <si>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</si>
  <si>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</si>
  <si>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</si>
  <si>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</si>
  <si>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</si>
  <si>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</si>
  <si>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</si>
  <si>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</si>
  <si>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</si>
  <si>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</si>
  <si>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</si>
  <si>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</si>
  <si>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</si>
  <si>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</si>
  <si>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</si>
  <si>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</si>
  <si>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</si>
  <si>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</si>
  <si>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</si>
  <si>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</si>
  <si>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</si>
  <si>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</si>
  <si>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</si>
  <si>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</si>
  <si>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</si>
  <si>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</si>
  <si>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</si>
  <si>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</si>
  <si>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</si>
  <si>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</si>
  <si>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</si>
  <si>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</si>
  <si>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</si>
  <si>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</si>
  <si>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</si>
  <si>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</si>
  <si>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</si>
  <si>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</si>
  <si>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</si>
  <si>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</si>
  <si>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Month</t>
  </si>
  <si>
    <t>Year</t>
  </si>
  <si>
    <t>Sum of Sales</t>
  </si>
  <si>
    <t>Sum of Profit</t>
  </si>
  <si>
    <t>Profit by year</t>
  </si>
  <si>
    <t>Row Labels</t>
  </si>
  <si>
    <t>Grand Total</t>
  </si>
  <si>
    <t>Total Sales</t>
  </si>
  <si>
    <t>Total Profit</t>
  </si>
  <si>
    <t>Sales by Sub Category</t>
  </si>
  <si>
    <t>Count by Year</t>
  </si>
  <si>
    <t>Customer</t>
  </si>
  <si>
    <t>Count of Customer Name</t>
  </si>
  <si>
    <t>Sales by State</t>
  </si>
  <si>
    <t>Top 5 Custmer Profit</t>
  </si>
  <si>
    <t>Sales by Month</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</si>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</sst>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quot;$&quot;#,#00,\ &quot;k&quot;"/>
  </numFmts>
  <fonts count="8"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b/>
      <sz val="11"/>
      <color theme="1"/>
      <name val="Aptos Narrow"/>
      <family val="2"/>
      <scheme val="minor"/>
    </font>
    <font>
      <sz val="11"/>
      <color theme="1"/>
      <name val="Aptos Narrow"/>
      <family val="2"/>
    </font>
    <font>
      <sz val="11"/>
      <color theme="1"/>
      <name val="Aptos Narrow"/>
      <family val="2"/>
      <scheme val="major"/>
    </font>
    <font>
      <b/>
      <sz val="12"/>
      <color theme="1"/>
      <name val="Aptos Narrow"/>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6">
    <xf numFmtId="0" fontId="0" fillId="0" borderId="0" xfId="0"/>
    <xf numFmtId="14" fontId="2" fillId="0" borderId="0" xfId="0" applyNumberFormat="1" applyFont="1"/>
    <xf numFmtId="0" fontId="3" fillId="0" borderId="0" xfId="0" applyFont="1"/>
    <xf numFmtId="0" fontId="1" fillId="0" borderId="0" xfId="0" applyFont="1"/>
    <xf numFmtId="0" fontId="6" fillId="0" borderId="0" xfId="0" applyFont="1"/>
    <xf numFmtId="0" fontId="5" fillId="0" borderId="0" xfId="0" applyFont="1"/>
    <xf numFmtId="0" fontId="0" fillId="0" borderId="0" xfId="0" pivotButton="1"/>
    <xf numFmtId="0" fontId="0" fillId="0" borderId="0" xfId="0" applyAlignment="1">
      <alignment horizontal="left"/>
    </xf>
    <xf numFmtId="0" fontId="4" fillId="0" borderId="0" xfId="0" applyFont="1"/>
    <xf numFmtId="164" fontId="0" fillId="0" borderId="0" xfId="0" applyNumberFormat="1"/>
    <xf numFmtId="164" fontId="0" fillId="0" borderId="0" xfId="1" applyNumberFormat="1" applyFont="1"/>
    <xf numFmtId="1" fontId="0" fillId="0" borderId="0" xfId="0" applyNumberFormat="1"/>
    <xf numFmtId="0" fontId="7" fillId="2" borderId="0" xfId="0" applyFont="1" applyFill="1"/>
    <xf numFmtId="0" fontId="0" fillId="2" borderId="0" xfId="0" applyFill="1"/>
    <xf numFmtId="0" fontId="4" fillId="2" borderId="0" xfId="0" applyFont="1" applyFill="1"/>
    <xf numFmtId="165" fontId="0" fillId="0" borderId="0" xfId="0" applyNumberFormat="1"/>
  </cellXfs>
  <cellStyles count="2">
    <cellStyle name="Currency" xfId="1" builtinId="4"/>
    <cellStyle name="Normal" xfId="0" builtinId="0"/>
  </cellStyles>
  <dxfs count="54">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 &quot;k&quot;"/>
    </dxf>
    <dxf>
      <numFmt numFmtId="1"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quot;$&quot;#,#00,\ &quot;k&quot;"/>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m/d/yy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ill>
        <patternFill>
          <bgColor rgb="FF0C769E"/>
        </patternFill>
      </fill>
    </dxf>
    <dxf>
      <fill>
        <patternFill patternType="solid">
          <bgColor rgb="FF0C769E"/>
        </patternFill>
      </fill>
    </dxf>
    <dxf>
      <fill>
        <patternFill>
          <bgColor rgb="FF0C769E"/>
        </patternFill>
      </fill>
    </dxf>
  </dxfs>
  <tableStyles count="3" defaultTableStyle="TableStyleMedium2" defaultPivotStyle="PivotStyleLight16">
    <tableStyle name="Slicer Style 1" pivot="0" table="0" count="0" xr9:uid="{97C55529-1F27-4470-86E9-7F4D5D393401}"/>
    <tableStyle name="Slicer Style 2" pivot="0" table="0" count="1" xr9:uid="{16CEE902-0B09-4A49-BD96-090D376B911F}">
      <tableStyleElement type="wholeTable" dxfId="53"/>
    </tableStyle>
    <tableStyle name="Slicer Style 3" pivot="0" table="0" count="4" xr9:uid="{41E9AD9A-5803-4523-B46B-DEE257927309}">
      <tableStyleElement type="wholeTable" dxfId="52"/>
      <tableStyleElement type="headerRow" dxfId="51"/>
    </tableStyle>
  </tableStyles>
  <colors>
    <mruColors>
      <color rgb="FF0C769E"/>
      <color rgb="FF0C4F79"/>
      <color rgb="FF828282"/>
      <color rgb="FFCCCCCC"/>
      <color rgb="FF999999"/>
      <color rgb="FF074F69"/>
      <color rgb="FF093E69"/>
      <color rgb="FF0B76A0"/>
      <color rgb="FF0F9ED5"/>
      <color rgb="FF084F6A"/>
    </mruColors>
  </colors>
  <extLst>
    <ext xmlns:x14="http://schemas.microsoft.com/office/spreadsheetml/2009/9/main" uri="{46F421CA-312F-682f-3DD2-61675219B42D}">
      <x14:dxfs count="2">
        <dxf>
          <font>
            <b/>
            <i val="0"/>
            <sz val="11"/>
            <color theme="0"/>
          </font>
          <fill>
            <patternFill>
              <bgColor theme="7" tint="-0.499984740745262"/>
            </patternFill>
          </fill>
        </dxf>
        <dxf>
          <font>
            <b/>
            <i val="0"/>
            <sz val="11"/>
            <color theme="0"/>
          </font>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Data.xlsx]Pivot Table !PivotTable3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Year</a:t>
            </a:r>
            <a:endParaRPr lang="en-US" sz="1600" b="1"/>
          </a:p>
        </c:rich>
      </c:tx>
      <c:layout>
        <c:manualLayout>
          <c:xMode val="edge"/>
          <c:yMode val="edge"/>
          <c:x val="0.37949852965679431"/>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75249815995222835"/>
        </c:manualLayout>
      </c:layout>
      <c:barChart>
        <c:barDir val="col"/>
        <c:grouping val="clustered"/>
        <c:varyColors val="0"/>
        <c:ser>
          <c:idx val="0"/>
          <c:order val="0"/>
          <c:tx>
            <c:strRef>
              <c:f>'Pivot Table '!$D$4:$D$5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'!$C$6:$C$10</c:f>
              <c:strCache>
                <c:ptCount val="4"/>
                <c:pt idx="0">
                  <c:v>2021</c:v>
                </c:pt>
                <c:pt idx="1">
                  <c:v>2022</c:v>
                </c:pt>
                <c:pt idx="2">
                  <c:v>2023</c:v>
                </c:pt>
                <c:pt idx="3">
                  <c:v>2024</c:v>
                </c:pt>
              </c:strCache>
            </c:strRef>
          </c:cat>
          <c:val>
            <c:numRef>
              <c:f>'Pivot Table '!$D$6:$D$10</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950-4F87-AA3C-37B7F1E25B35}"/>
            </c:ext>
          </c:extLst>
        </c:ser>
        <c:ser>
          <c:idx val="1"/>
          <c:order val="1"/>
          <c:tx>
            <c:strRef>
              <c:f>'Pivot Table '!$E$4:$E$5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'!$C$6:$C$10</c:f>
              <c:strCache>
                <c:ptCount val="4"/>
                <c:pt idx="0">
                  <c:v>2021</c:v>
                </c:pt>
                <c:pt idx="1">
                  <c:v>2022</c:v>
                </c:pt>
                <c:pt idx="2">
                  <c:v>2023</c:v>
                </c:pt>
                <c:pt idx="3">
                  <c:v>2024</c:v>
                </c:pt>
              </c:strCache>
            </c:strRef>
          </c:cat>
          <c:val>
            <c:numRef>
              <c:f>'Pivot Table '!$E$6:$E$10</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3-C7EC-450D-A787-5350448C0C4C}"/>
            </c:ext>
          </c:extLst>
        </c:ser>
        <c:ser>
          <c:idx val="2"/>
          <c:order val="2"/>
          <c:tx>
            <c:strRef>
              <c:f>'Pivot Table '!$F$4:$F$5</c:f>
              <c:strCache>
                <c:ptCount val="1"/>
                <c:pt idx="0">
                  <c:v>Technology</c:v>
                </c:pt>
              </c:strCache>
            </c:strRef>
          </c:tx>
          <c:spPr>
            <a:solidFill>
              <a:srgbClr val="084F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'!$C$6:$C$10</c:f>
              <c:strCache>
                <c:ptCount val="4"/>
                <c:pt idx="0">
                  <c:v>2021</c:v>
                </c:pt>
                <c:pt idx="1">
                  <c:v>2022</c:v>
                </c:pt>
                <c:pt idx="2">
                  <c:v>2023</c:v>
                </c:pt>
                <c:pt idx="3">
                  <c:v>2024</c:v>
                </c:pt>
              </c:strCache>
            </c:strRef>
          </c:cat>
          <c:val>
            <c:numRef>
              <c:f>'Pivot Table '!$F$6:$F$10</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4-C7EC-450D-A787-5350448C0C4C}"/>
            </c:ext>
          </c:extLst>
        </c:ser>
        <c:dLbls>
          <c:dLblPos val="outEnd"/>
          <c:showLegendKey val="0"/>
          <c:showVal val="1"/>
          <c:showCatName val="0"/>
          <c:showSerName val="0"/>
          <c:showPercent val="0"/>
          <c:showBubbleSize val="0"/>
        </c:dLbls>
        <c:gapWidth val="150"/>
        <c:axId val="408984127"/>
        <c:axId val="408983167"/>
      </c:barChart>
      <c:catAx>
        <c:axId val="40898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8983167"/>
        <c:crosses val="autoZero"/>
        <c:auto val="1"/>
        <c:lblAlgn val="ctr"/>
        <c:lblOffset val="100"/>
        <c:noMultiLvlLbl val="0"/>
      </c:catAx>
      <c:valAx>
        <c:axId val="408983167"/>
        <c:scaling>
          <c:orientation val="minMax"/>
        </c:scaling>
        <c:delete val="1"/>
        <c:axPos val="l"/>
        <c:numFmt formatCode="_(&quot;$&quot;* #,##0_);_(&quot;$&quot;* \(#,##0\);_(&quot;$&quot;* &quot;-&quot;??_);_(@_)" sourceLinked="1"/>
        <c:majorTickMark val="none"/>
        <c:minorTickMark val="none"/>
        <c:tickLblPos val="nextTo"/>
        <c:crossAx val="408984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Data.xlsx]Pivot Table !PivotTable6</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Count</a:t>
            </a:r>
            <a:endParaRPr lang="en-US" sz="1600" b="1"/>
          </a:p>
        </c:rich>
      </c:tx>
      <c:layout>
        <c:manualLayout>
          <c:xMode val="edge"/>
          <c:yMode val="edge"/>
          <c:x val="0.25595624572173453"/>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4">
              <a:lumMod val="75000"/>
            </a:schemeClr>
          </a:solidFill>
          <a:ln w="19050">
            <a:solidFill>
              <a:schemeClr val="lt1"/>
            </a:solidFill>
          </a:ln>
          <a:effectLst/>
        </c:spPr>
      </c:pivotFmt>
      <c:pivotFmt>
        <c:idx val="9"/>
        <c:spPr>
          <a:solidFill>
            <a:srgbClr val="0070C0"/>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424940980525776"/>
          <c:y val="0.19120195386132396"/>
          <c:w val="0.42412506957268864"/>
          <c:h val="0.76562100234966757"/>
        </c:manualLayout>
      </c:layout>
      <c:doughnutChart>
        <c:varyColors val="1"/>
        <c:ser>
          <c:idx val="0"/>
          <c:order val="0"/>
          <c:tx>
            <c:strRef>
              <c:f>'Pivot Table '!$S$5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FA-4D1B-B735-B45D9F5B4448}"/>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DFA-4D1B-B735-B45D9F5B4448}"/>
              </c:ext>
            </c:extLst>
          </c:dPt>
          <c:dPt>
            <c:idx val="2"/>
            <c:bubble3D val="0"/>
            <c:explosion val="1"/>
            <c:spPr>
              <a:solidFill>
                <a:srgbClr val="0070C0"/>
              </a:solidFill>
              <a:ln w="19050">
                <a:solidFill>
                  <a:schemeClr val="lt1"/>
                </a:solidFill>
              </a:ln>
              <a:effectLst/>
            </c:spPr>
            <c:extLst>
              <c:ext xmlns:c16="http://schemas.microsoft.com/office/drawing/2014/chart" uri="{C3380CC4-5D6E-409C-BE32-E72D297353CC}">
                <c16:uniqueId val="{00000005-1DFA-4D1B-B735-B45D9F5B44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FA-4D1B-B735-B45D9F5B44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'!$R$6:$R$10</c:f>
              <c:strCache>
                <c:ptCount val="4"/>
                <c:pt idx="0">
                  <c:v>2021</c:v>
                </c:pt>
                <c:pt idx="1">
                  <c:v>2022</c:v>
                </c:pt>
                <c:pt idx="2">
                  <c:v>2023</c:v>
                </c:pt>
                <c:pt idx="3">
                  <c:v>2024</c:v>
                </c:pt>
              </c:strCache>
            </c:strRef>
          </c:cat>
          <c:val>
            <c:numRef>
              <c:f>'Pivot Table '!$S$6:$S$10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1DFA-4D1B-B735-B45D9F5B4448}"/>
            </c:ext>
          </c:extLst>
        </c:ser>
        <c:dLbls>
          <c:showLegendKey val="0"/>
          <c:showVal val="1"/>
          <c:showCatName val="0"/>
          <c:showSerName val="0"/>
          <c:showPercent val="0"/>
          <c:showBubbleSize val="0"/>
          <c:showLeaderLines val="1"/>
        </c:dLbls>
        <c:firstSliceAng val="174"/>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Data.xlsx]Pivot Table !PivotTable8</c:name>
    <c:fmtId val="2"/>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b="1"/>
              <a:t>TOP</a:t>
            </a:r>
            <a:r>
              <a:rPr lang="en-US" sz="1600" b="1" baseline="0"/>
              <a:t> 5 CUSTOMERS PROFIT</a:t>
            </a:r>
            <a:endParaRPr lang="en-US" sz="1600" b="1"/>
          </a:p>
        </c:rich>
      </c:tx>
      <c:layout>
        <c:manualLayout>
          <c:xMode val="edge"/>
          <c:yMode val="edge"/>
          <c:x val="0.23902256780541492"/>
          <c:y val="1.3949276257727707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'!$AB$6</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'!$AA$7:$AA$12</c:f>
              <c:strCache>
                <c:ptCount val="5"/>
                <c:pt idx="0">
                  <c:v>Martinez</c:v>
                </c:pt>
                <c:pt idx="1">
                  <c:v>Adrian Barton</c:v>
                </c:pt>
                <c:pt idx="2">
                  <c:v>Sanjit Chand</c:v>
                </c:pt>
                <c:pt idx="3">
                  <c:v>Raymond Buch</c:v>
                </c:pt>
                <c:pt idx="4">
                  <c:v>Tamara Chand</c:v>
                </c:pt>
              </c:strCache>
            </c:strRef>
          </c:cat>
          <c:val>
            <c:numRef>
              <c:f>'Pivot Table '!$AB$7:$AB$12</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2-BBCE-48FB-BFAD-4D786ADCA682}"/>
            </c:ext>
          </c:extLst>
        </c:ser>
        <c:dLbls>
          <c:dLblPos val="outEnd"/>
          <c:showLegendKey val="0"/>
          <c:showVal val="1"/>
          <c:showCatName val="0"/>
          <c:showSerName val="0"/>
          <c:showPercent val="0"/>
          <c:showBubbleSize val="0"/>
        </c:dLbls>
        <c:gapWidth val="330"/>
        <c:axId val="1750193743"/>
        <c:axId val="1750207663"/>
      </c:barChart>
      <c:catAx>
        <c:axId val="175019374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0207663"/>
        <c:crosses val="autoZero"/>
        <c:auto val="1"/>
        <c:lblAlgn val="ctr"/>
        <c:lblOffset val="100"/>
        <c:noMultiLvlLbl val="0"/>
      </c:catAx>
      <c:valAx>
        <c:axId val="1750207663"/>
        <c:scaling>
          <c:orientation val="minMax"/>
        </c:scaling>
        <c:delete val="1"/>
        <c:axPos val="b"/>
        <c:numFmt formatCode="_(&quot;$&quot;* #,##0_);_(&quot;$&quot;* \(#,##0\);_(&quot;$&quot;* &quot;-&quot;??_);_(@_)" sourceLinked="1"/>
        <c:majorTickMark val="none"/>
        <c:minorTickMark val="none"/>
        <c:tickLblPos val="nextTo"/>
        <c:crossAx val="175019374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and Profit Data.xlsx]Pivot Table !PivotTable9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Month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729487134151373E-2"/>
          <c:y val="0.18556146898728909"/>
          <c:w val="0.9485410257316973"/>
          <c:h val="0.64345966620913442"/>
        </c:manualLayout>
      </c:layout>
      <c:barChart>
        <c:barDir val="col"/>
        <c:grouping val="clustered"/>
        <c:varyColors val="0"/>
        <c:ser>
          <c:idx val="0"/>
          <c:order val="0"/>
          <c:tx>
            <c:strRef>
              <c:f>'Pivot Table '!$AE$6</c:f>
              <c:strCache>
                <c:ptCount val="1"/>
                <c:pt idx="0">
                  <c:v>Total</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'!$AD$7:$AD$19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'!$AE$7:$AE$19</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F1EE-471D-A114-5CCD1F6E1E06}"/>
            </c:ext>
          </c:extLst>
        </c:ser>
        <c:dLbls>
          <c:showLegendKey val="0"/>
          <c:showVal val="0"/>
          <c:showCatName val="0"/>
          <c:showSerName val="0"/>
          <c:showPercent val="0"/>
          <c:showBubbleSize val="0"/>
        </c:dLbls>
        <c:gapWidth val="50"/>
        <c:overlap val="-25"/>
        <c:axId val="1892586175"/>
        <c:axId val="1892574655"/>
      </c:barChart>
      <c:catAx>
        <c:axId val="18925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2574655"/>
        <c:crosses val="autoZero"/>
        <c:auto val="1"/>
        <c:lblAlgn val="ctr"/>
        <c:lblOffset val="100"/>
        <c:noMultiLvlLbl val="0"/>
      </c:catAx>
      <c:valAx>
        <c:axId val="1892574655"/>
        <c:scaling>
          <c:orientation val="minMax"/>
        </c:scaling>
        <c:delete val="1"/>
        <c:axPos val="l"/>
        <c:numFmt formatCode="&quot;$&quot;#,#00,\ &quot;k&quot;" sourceLinked="1"/>
        <c:majorTickMark val="none"/>
        <c:minorTickMark val="none"/>
        <c:tickLblPos val="nextTo"/>
        <c:crossAx val="18925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a:pPr>
          <a:r>
            <a:rPr lang="en-US" sz="1600" b="1" i="0" u="none" strike="noStrike" baseline="0">
              <a:solidFill>
                <a:srgbClr val="000000">
                  <a:lumMod val="65000"/>
                  <a:lumOff val="35000"/>
                </a:srgbClr>
              </a:solidFill>
              <a:latin typeface="Aptos Narrow"/>
            </a:rPr>
            <a:t>Sales by Category</a:t>
          </a:r>
        </a:p>
      </cx:txPr>
    </cx:title>
    <cx:plotArea>
      <cx:plotAreaRegion>
        <cx:series layoutId="funnel" uniqueId="{B87DFB89-95AE-48E0-A5E0-11E02BE5F302}">
          <cx:tx>
            <cx:txData>
              <cx:f>_xlchart.v2.1</cx:f>
              <cx:v>Sales</cx:v>
            </cx:txData>
          </cx:tx>
          <cx:spPr>
            <a:solidFill>
              <a:srgbClr val="0F9ED5"/>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Sate</cx:v>
        </cx:txData>
      </cx:tx>
      <cx:txPr>
        <a:bodyPr spcFirstLastPara="1" vertOverflow="ellipsis" horzOverflow="overflow" wrap="square" lIns="0" tIns="0" rIns="0" bIns="0" anchor="ctr" anchorCtr="1"/>
        <a:lstStyle/>
        <a:p>
          <a:pPr algn="ctr" rtl="0">
            <a:defRPr sz="1400"/>
          </a:pPr>
          <a:r>
            <a:rPr lang="en-US" sz="1400" b="1" i="0" u="none" strike="noStrike" baseline="0">
              <a:solidFill>
                <a:srgbClr val="000000">
                  <a:lumMod val="65000"/>
                  <a:lumOff val="35000"/>
                </a:srgbClr>
              </a:solidFill>
              <a:latin typeface="Aptos Narrow"/>
            </a:rPr>
            <a:t>Sales by Sate</a:t>
          </a:r>
        </a:p>
      </cx:txPr>
    </cx:title>
    <cx:plotArea>
      <cx:plotAreaRegion>
        <cx:series layoutId="regionMap" uniqueId="{D1C8948F-9BD0-4EDC-A636-69CBA6AF887A}">
          <cx:tx>
            <cx:txData>
              <cx:f>_xlchart.v5.5</cx:f>
              <cx:v>Sales</cx:v>
            </cx:txData>
          </cx:tx>
          <cx:dataId val="0"/>
          <cx:layoutPr>
            <cx:geography cultureLanguage="en-US" cultureRegion="US" attribution="Powered by Bing">
              <cx:geoCache provider="{E9337A44-BEBE-4D9F-B70C-5C5E7DAFC167}">
                <cx:binary>1H1pU9zItu1fcfjzE52zlCdu34hWDYAx2Abb3fYXRRlozUrN069/S1Rhg1xtONG8eFGcE11hqrK0
M1fuae2dyf9c9/+5Tm435as+TbLqP9f976+Dus7/89tv1XVwm26qozS8Lk1l/q6Prk36m/n77/D6
9rebctOFmf8bI1T8dh1syvq2f/2//4Nv82/NW3O9qUOTfWhuy+HytmqSuvrFe3vferW5ScNsGVZ1
GV7X9PfXH2/7TfX61W1Wh/Xwcchvf3/96COvX/02/6KfHvoqgVx1c4OxnB4JxR3hUErufujrV4nJ
/N3bltZHnHOmbZvpux/n/tkXmxTjnxTnTpjNzU15W1WYzN3r92GPJMdv/3r96to0WT0tl4+V+/31
pyysb29eXdWb+hbTDiuz2H5gYSbxP13dzfe3xwv+v/8z+wVWYPabB5jMl+upt36C5K1pwircZJv7
pXkBWMiRdoCIUnS77HoGCz1yNHUYc8j2fXH/7C0szxJpPzQPhs7gefvHQcLzR7L5tklfEhx2ZCsl
GGP2Y1QcdeQIAnUhO2UBaltF3aLyDEn2Y/J94AyRP94eJCKfb8vUZPX94vx7dRHiiNiS4X/8MSI2
O1KKKa0cvtUTef/QLSLPkGQ/It8HzhD5/PEgETkPq2r6f56H9wv071Hh0BNGHNuROxs2M2KOPlJS
MQJN2voedf/sLTjPFGo/QI8Gz0A6h9c4QD/zRxmO5kW9jDhimsOJULFFaGbPKKVQHyE1YLoPDh7Z
s6cF2g/O95nMgPnj60EC8+dgEKT597v332uOYEcABIaL7lQHUdfDqIwS+0hKKoQkO/9//+yt5jxD
oP3AfB84A+bPLwcJzGKThH+bMgtf0vvbR0wKpTTVeyNmSmHWqM1sKnax22NsnifTfngejp0htDjQ
4KyMN1n1ohmNQGisHcL/QXc0OxJcUymls8VvFhL88QyJ9qPzY+QMmz8uD1J7lrfJptuUt/f799/b
Na6PCAICxfh9SPDYrtkS2aijBKeAcPqZYfMcifZj82PkDJvl6iCxWZjElJsb84LYOPA5jpQIx/bb
NSKPpLAdrhBjP4wCniPKflB+jJyBsnh3kKC8v82yakjazYs6HEFg0OBvduaKEDpTGvvI4Y4DimYX
C8womudKtR+jx6NnOL0/TKezMFl2e12H181L5qD0SNqSSs4RlE0/c5iQDXEHsTabGbVnSrMfnkeD
Z+gsDjMXvSc7X5m/X8FCNOm3Fw3fYOYIzBjl4ic1IlQxDTZ063vw/kMz99+KtR+v/d8yA265OEjz
d3HbvTrZpHkVhC8ZNAh+pBwJIvReseYcz6R4iCk02QXk7DFwzxZrP2Kz4TOoLk4OEqrzEBawMvXm
fqn+fWwn1BEXmiK23jmqmf3T4ohqhxPwDfcPvad5niHLfmweTGOGy/nFQeKyRlQX3rwgKsw5knqi
CvjWKc29koNsyLG5YEDm7mcW3D1DoP3QfB84A2Z9mJT1nxtYtcyvTXa/eV9AY+wjQSmXtmNvPc6c
fmMELI8SDhHb4hw06qFHep5M++F5OHaG0J9/HKTqXJiyDl4tNqVJwhclSZH2cM1tyXfh9QwlWx9R
R3JHqS1HSmYs9vPl2o/UfPwMrYvDjBWOb03pv2hch0qPQHgNF7Q1ZDP34/AjIQS3Bdm5p5mhe4ZA
+/H5PnAGzPFhqtFH5LAo1d++JOsjURZFRZQ4u6VHAPCQzUbZlAsOshvVorufmZ17lkj7wXkwdAbP
x8MMEM43YfaC0AiJpZ9KPPeE3My4KX3EqKKC2LsK0SwpelKc/bDshs0gOT9MKu70ZhO8IA+HWjYy
UGKz+/LBvPZDBcqmcEgOmREJTwqyH4zdsBkYp8uDjAKuTPP/JgrgoA24Fuy+T2qWhDoTSQffgpLp
NpabRQHPl2s/SPPxM7SuDjMKOE0Qq5mwuo9rXyCmJkcUmgOWemewfu45oMJRXH5vSrh/9jYZfY5E
+xH6MXKGzelhZjzvylv/RbMdaBCiZKy92mrIDBl6l+1AgfjM/T8tyH5A7sfN4Hh3mMW40+zmhVsM
9RFK2Fo493XQuUVTRyCrkZmine3uZ+5tnhZoPy7fZzID5vQwI7JT023ubcgL2C+GTjahpC3EdtVn
qGh+NJUXFCW792d+5ilp/gGSuznM8TiMBObXjVxbvmSLy6NP/rd90hrrDqoGGeR+XFDZnrwOQoS9
1YNZH/M/i7UfoNnwRzM5jCbps5du83BAXAp0paPsefcDr/EwqdQOwmhAAtC+k2sPybOn5dmPxP24
mbKcXR1kuLwll5ab+GVLASA2caoA0fCu63bu6glBn8fUefiju/0hNs+Vaj9Cj0fPcLo4zLTmDMvT
XMfDyzkajg5CZjNHyR8HOx7qjyPh/m3b5nRXGJi5/+dItB+fHyNn2Jx9OUgd+lRvghfEBQduGJ/q
mbs2ghlZdteTa+PkB1Mz1/+UHPvR2I6aIfHp40Eicb4ph2ST3bwgGugWgJrAhzz2LrY6sglF8/S9
u0eY9tCCPUeS/Xj8GDnD5PwwLdf5pqo210FT3dZ1db9ILxIngy4GnW/vzNPM/dvoXCeI2LgDRvMx
Ms+U55/geTR8jtFhhMyPpMaZwndB+JIEJpw72mupftCP9sizoBGKgL/k4kco/RChp6TZD8x21KOZ
YWKH2p1xHYT+5iVLzWiKhq5o9D1to+EZqQxvD0XSyPb305fn4dMS7cflx8gZNuenh+ljcEzKNGV4
b1X+vSnjyFSUDRZmV+UnM48/NawjDrPpfbQ8i8Smk05PSfRP2NyPnGNzmP235zhU+KLHcIV9BBcy
mbL9bAwlOOshJGVq6iZ8aMSeIco/YHI/hzkkhxmSXdy2m5fsZ8IJAo6WGBQsfzQ7P3QulCpUx9CO
Ye+KzYgLHuLytDz7YbkfN0Pl4vNBGrGL22/lpoo392vz742YQBMmjjxNicuWjpkbMX2E8+zTJQK7
HoCZEXuORP+EzP1c5tisDhKbP8Pq2mRV+LLeH8SkllztlGaWzeAgro07HiSqyt/JzYdK8yyR9qPz
YOgMnj8P0/9P7cBvbsvqdnhB5UHRkqN9WfJd79JMeWxU/HGKGpeM7CpnM2fzPJn2A/Rw7AyhizcH
qUDTjM5v+/D6BXMaLo5Q+kcMJnbmbVaWoUQdUYJLBsB53u+LbUH5edL8Mzb3M5ljc36Q2HwO0fX3
oqejJh6TMkcjhN6b2djO0XR0SqKjZvv+jKl5jkT70fkxcobN58NkAS4DXKnz6rR6WQYNgYFiDpzL
7lSNnmWeIGokRaw2XTNw9zPD57lS7cfo8egZTpeH64G+mDK+tzMvELzhugGumZhurrn7mVk3HMvF
NR0EZ3B2xc0Z8zzZuKck2o/Pj5EzbC6+HKR9excnaAZ80cuG0H7ucJTTduWA+QEODfsHx0OIvbNv
+n5fbP3PcyTaj82PkTNs3p0dJDZXd62BL17rRGTAoRg4gra1X7MOWkR0R4wTtKWrWdT2XHn2o/N4
9Ayhq+VBIvTnbVW/+uFWtynIvzdvINhwWxeO2aBgc/czgwi9mwqxHYK3Xfg9c0HPFms/UrPhM6j+
/P/EIPzzfXjfrwtcburN6u6ewQdX4v363bsVwNWHs6E7CmYL5fXDG/7ujdXpze+vmYCGfL+9cPqK
R9TNrAdmuzu+j7vdVPXvry2ljrTNORqo0IyD04jTaZwO2+r31ygXTZEiInQcJMUFLg4CkWw6M/T7
a8QgHFcboHtndzy7mkwFhqD6xxnoP03BbWjc6fL9bsf3JhnQHvl9NXb/fpU16XsTZnWFqxWxjfLt
xyYppyeix1FjqzEbzQ84q4L3rzeXOFaGT9P/k9CozGgXy1uHenWjVywXuZUsSN6G42cpmzzeCKuU
1TorhmoQy5r1MugXlvHINz8rRWYtDOtj+40O5NAsY21lxUmn06Q6T2SaW4Nr4l7m32RcR71ZYq2S
iC982xb01u7N0FwmQW8nG8eRuXfNU16oC1+FRc7dlIYVRBG5LNN3ASV1ly39RJZx7ppOpulbag8F
RPbTlA5nLOVZ9LdVtQZjHkC6Z5Ggio/WCFkwExoM33TjAZYLO+LhGtk0DZtABc6t15ksKk7qVCTi
JBFtVdonY+XXYbcYwxzX/iTEC5m3/vXjKTLtx8+fmHaOUAi5HJrs9PT+A4zGiDuVIiq8iWjM43BR
Gy554GrNrCJal33nl/WyDGpfBK4lrDHP3neCDxVbUDGqjr+pVZBVsWtMwUt6gbC4wHu/FhJb+KGM
Nihpjh5mpDyIx6Zt+VjGPggtFpTculFW2RK29Efbt4t14oiaEzcra6W+xpJ4NeLf7+r2NDbTc4VG
yxU6ExhO8s6fmzeDsY3FnRt/wJ5TbkvypPorEB7LfLeLwiZ8l3m4VbV2g8Cgf8H99eMRyMymbeOa
Upzx0kKi/8GeluUBNL5sQ4v0Ab+x7MQu+EJ2RMkNFMmqT80Y2slFaFFDz3lcDM1VXBEyBi5OdSZY
lF9LAq7ysSSS4awZLhCarq/DnYMzAGoVkmiIM+/a02Mmy2NT5Kk3rCwvrfRwPDhlD1R+/cifJw9G
WyEKxIWf0zkE8njygR14STSQ8kaoDlq+HqgaabyWZddUYhU6nlBfywarXriVAkn71ZChLfWqDQ3J
uyc2Ap1ZMntKp3Fia1JUnFVBn91jaXw9RlLntfUNNwHYqXXS18GkEGlvAlzg2nSRGMUiTKuB5W6v
GYdUMiRBc5XmKhoWmUXL7EqnQVpmy0Kakl2mbZhV3369ZpM9fWBvbbSSE7TRoj6DezmgLTNb0nSe
U5Ji7L/1ZV1iE5AmJlgs0ndcWm5f8ta6yllcTEpTd2Z6CXO/+W8XCyUJdPRyAhpCcAHT9nixnIJV
9VAp8y1LpAUbHsF6jZ3bDqQe5Bn3JOx+5Te4liqNZAaLWuZpSeWJY0VWG7tFAGs7Wf4hwKgsHJP2
TPRxbtInzAqd7zEcXQGLwkA1MiCs1Mw/9bzLcp2N/FvlMWWlq6iu8qR5X4x1mGeLrhgKCGfZaYv3
zFCkZlg68ThYV12ee6eVLpPIX6TjSIazNCiy2nMzTZRXLxpJrORSpdof0wXjuodJZFY00OwNGXWC
b41DryuKJ9SUgnp7tAFwpBA352hFcMgaR6bkzGJgZ2ZFm7X5V1saGclFTkCyFq7nNVqXCzraFky7
N2ytZ9IIvNfcmZOceg7e6ruaq2LddPxphRZzK46aIYIRqSllOBbx07aI+7hKvcDkX/MSWlSseBU7
4pzRgA9nvGoGLIf22mT8nAb9MNhuE5RdESxg8Dt16RejZ52UqYjGz6XVVOrCCdUUIPSiTRN9HDdy
gsdUXGMLDa0t28u8jOLx85iouItdkiST0wqx+gDIZDrAL/mACx8/O2nfAzsuowEv1Uj82lnmsuLV
WtnNhF3c+yECjOLu8drxraFzHdNH+AqD4AGSh1Y2xQZ1LtN401cqK/K1bkvaXgluxvptWcZe6SZJ
WrJ0Yfle2p/4As71S+ZknvjckpZik9mOjzijLTKDEOXXtmFuwrH6NlJmtGwLW4F3n20N7g2ZT3We
fB1pWpW+2zNi55Xbmcgkp7wpOhiKXz9xbo3Y1NLPKPw2SGT90xOrklRBl/LuCx+baTN2jZjMH6vs
GM5btYVUX72Ij9iEHWvqyj+3YViwT38txnTb0COl4Li7mNlwXKgnMIEo+bE5GnnbFJZW6edUZGnN
3do00ro1RVDAGgVxldFV6dkmfN9Wjg+LkwfS+CvfqVlrXHSMdknr1swvzhLPUVc9LxNncKuOqvay
diwSLgo59uYMm4gEbkSEF+au8BSdlD0g2IemDRBdnHpRXE+a36LW+266azkfXB6XvG+Pfz3juV1z
0ARGpnZJdnd5GXKCxzOOlRdkXVHZn9omIwhiZVkyBLHtOO1bgSBLnAS067Ft+1hzvPj1XWRrqXza
0ryJOuZdeb2atjQrwjEtT8Kc8clEFmNF6LpI2rwKj0c5xNA6r0unmJoOTgrttGkBNfr1lNjMsjmI
gBy4TVg1IIgjiTNTXfAsHU2UsU9OHXDoVp37kwC1xZtJde/0GIzeANm8oJ9UHLZyMillXsDRWAFF
GE97Of3KFDFKxYmObHESdsm0DsXQGXXhFT0+FQZ8muLgp6pax5Zd8nXulC2vFgP8Bab7xNRmGQCm
pnE3E0O3C1h7gXjvMVp1H1M7aczwifvtZKnqssDWGpMxNNc1cWKWuUNtivGzzbLJP6aWoQCkV2ni
D6sxVbT215pbTfcJUWqJ5ejsiGP38XaENclCS2OLiS7JJ+vWwGyehCzvYNZqRCR4YFh7BP9CjkWx
FKkvsBR1bQdWvZBJE0ElAs0i/Gu7PpMpnCrtv4q0ZzrqIFxAdGUz6SDtJD+FurQbhRpUYX1sU9vA
OmzDWxY4fRsvkFkGfvaUWZi5o+mRAhcsMQK3BDJ+nniRyCCEzHv7Y9VQ7JB6QDtneAzfj/URUS6M
XHmdZfrKVQkfsOBJ62UIWWD0sEpd2Sf1e1tVjhetvVo4MAZQyPayRPMGPEBqQfHrPoOj2sHmF12G
pewTJ4OuQIsmOPy4n4CwopDiRQ+Rbi+JSQ0kkXEM3xSrespTf73aQvPHNhGTn5wAjATFpa0/Z1QI
ByvLJ/3wMQgGlXhu3cQ8X3gd8aILxUZRDqsiKFXuuJoxHQVuWRZh8YYkDe+lmyPasc5KP7XEuZcG
Nl8Unen9axIm5KTzGqGWsZ2Z5EZEyVhepkal+LMSI026d6KlpB+XTpRpmS8KxI9Vs+466bQXZRF4
vXFVSlL6lpOS6mWWlZouor5uSs81vVOMkRtkbSn6hd/HLZShHctuSNzekpGI1prRRlyppB6EvyA9
bbrmONddQD3Eb55fn9aBjchsYY9JN45Ia7EV89M+HrzGLao8UutW2z5fytTqx4+dMiz83IjE95Zc
1IwuBuSnZnCVX1d6qUPWxQtfJv4JGnfrZWFIN555OiPkmHY0YGvfqpyArPLYpOLTIFs/tj5pQ/r+
Y1/3vD63qjqzLuEx7OZGlkqVn0a79TPj5sbQoPqg+zGJj70Q7MZ6NMJJjatjw1mwsMuxKpxvNI2c
7CZguWn7JbbKUNzqpu46soiTrqLRSe1lhXSWyANkoo691IrVhaa2FcfHrcpZlQS3gZPxGqvcU+6U
4nzkpsWWHmlZ5cEHNFjUiqyyTOS5fdpoLwySt5ns48JfRa1fd+3bTnp+GK49kXaNvPQyxotTFYnA
d9bYK4rHbt6OBG49qZyw065vCVXUy8Arx2g47fzKCsLjLkzhbRax7gQMbJuHjfzLWI2S1Sk2R2d5
i44jbKEXTY6oS7v1wJ1evUuYbeOl3v7SCsME76EVV+Bxo6lE8W1sCs3aN5Eqc5+d0N6ybHsxRDJu
7OM+i2iauFK0k18k0goxHZ9LOJVN7w3oLVlEMtDSfzd0eZfb7yPPirpkbcfcYvlp3Azaad+piMtQ
u4XWEydhl7UM4s+273nWeCZEUmGlrKGAyT6H1S4CeWZxr7STtzQsQpq8j6IucrxVF8EQ+CsTom+i
XMBkTSINrZUQtiJ+MITFkuRxVDrLrCaWzP5iPsvwvDRKtP7U+E5RLErkwVhZ5jQhPMiCqmD6EsiP
kMUtCj3F9CKoMPtFHtCMq3UUdNOK8aSO8WKqoLaustSeTL5oa9+xF7qrDTbAmCHeOK51meJz+Xaq
QS1HLF8R4VCNDV9SeXhaElAkmRkNJ3hoLgIm/6RJP61zJnQELslqrBJQWFnsBOK2KJDQFOsyDBFp
LTqHDnaxCJ1ANhYQFE3RfK6jrAkzrJcVjOY4aEZB+3MnsieRQyCdj1cKOwtP4Hir+OZZ/bTBVGlN
yMvBwu8SnU5L07YUH4WLdYoOMrToSsIcd/MpS86LbyDcAvxO9rlRV7EUnuYL0WkQQG5uBxRrsds9
3lhpfKUdWdPkvHq4W4wGu6Zc7GJcLUc5/YtXMj7nJCytq91SW9uP3y/y9nNgClh8brM8hQA0s4L2
WxyqPCyPw4wPmHTBRvw1H9dn3A/JFRJw32hXboEyY1tjqyHzbkr/NKN68KRL46Ad1DudNgar1LI0
wUdYDo6tXIDm8FrtxmSYgl4/xbEp6Kjtk+Kb3q6gyaFBsGvbOQUsRI62yE2mOnoyNM6UnZMttNvt
obw4wfooEWLEStrJNPleDQH2qU/L6TGBCBR+OZiC2MGn0QpFU7/BTPm0vNuNNDZDAykxyelbaFhW
GIeDqhy7q6qDSfTtglpjN+IfJuFG2CuLyCyOTkeURfr82CdgtMiqCxsDndaRPzEfVQd8w9ZmxTeq
/Azbp5KIWDH5skWw+64Clz19IWunF9H6Dl6SjEzqkI5ykj9rlB90n5rET/xwnfkOvjcoOPX5SVwN
Nq3P+HavhFGla/t4t+Q6akuI04c8xpfAAxg8PMrDGH6+pcWoyCdEbpHTLvPCqrNwQSrfw8NlFOCy
92Wd5OA2ExAGoGwAU9Cc2saf1LmBf8Xv4qFRkbOOESz2wxuuq6Q3J7UwJE0XiRZJ2rpe5YM2pJo2
+HxQFxVeEDTK5CItGvx3SDuQaJJ0FFRRAS4/uWjj2gMp0JURnk4D37SfVeb1yAK8YZz2fqdhyqN1
zwsGC+OUQdI4qySFi01XvZV5ujqVGq6q/0JUH8He+IkxcXyyo5OjOgnKaN0ECfLd60FUqNef5FGA
5TjmdzpTGCfBglVeF3vjZx44pqs/FbwLOnVSb6fea7/CEvG8H2PMKPa7Sq7USCisXF2Kaflon0+7
BnzVtMW3/KlTxR1WgDZsmm8dhgwvJTY4Pl+EoEItN0xG8Mq4ISXOtAvKYlDpOc9piU+ogU45bCub
CvtqS7KMVCalt26yovTYqe8VI75j3FJvHtJysIaFFDH4Uo/GSH3TFLlTtqgTEBPyLI3VpE+16EKQ
8H7s1DCVXHkDfF41wNJEa2S20+I1IZ+oAtY4Mbj4KMl8DMcxMczyS4fwzLPedF5VluGF5tFEUpoG
7u7cjj2u6g8CNNbgrXovsoZgrbpcJtUS1AWKua4NEkh9FT6nSMnhDDXAHy0xYlYqSye3kUpv2m4l
Kyk233Ylo9qAieYhCXn7phtl6tkf4rHprKsSwTRYhTEvtPoKe4v9ZXX5iBWIBJnm4OWZBeOP9HJi
qZIQ8Soia52aLv+q9BAU9JvoE5VcKFXkg7cWzFS19XcX0qj3VvBoPJFulYD/thZOQu3yMxjJLq4/
Er+IfH/hyYEH/WVnI7YpbnQbtgX7UnkOqInjMm7aVC8sNlbx51E0TBi3gXfokexTahBT2rbUDW2w
y9NIs0WLX1p269odKlP9cjeTLZZFHoEgXqBNe5imdWdukqSd7J8e/MmaIPqflDes0ukT2R1770Vs
+p2kxMInBn+YPuhxsBPpCpn7VNsIEy+HKvuIFr2LsR5ovoqgqJNW6nR6Z7dlEVPCEmnU7PHWlg+f
zKnlL8p+KLntUlYS530T2H5n3I5kYM/FMHqanXZFNmm5b40THVihToQXgbCsPi1Ggv0tCOoPF+At
J8njEJXGr7sHyVLDpRXYKtbVNmPLwmi0YzfK8kZ8iLcGK94SjQXapbEbrKSYSMiqVKUQy9RPC+O5
QaEa66oJZY451x2qeO2bkPlTGBeIHs+w22QSq7lTOMvE8COuJ5tJyXM2lRmXWddPe9L2RhaHrgyq
LE1XQZRAG9fbBQEPPBm9GBe24HtFRa3oLGA8sZ0niK9ZQg8uB/YBO5jBuCn6E60c1KghgK9mV4Ex
ClLbvt9DGzoDM1tYYtKgpAXxErhtWEyyP5HdPc7tpsfjgjO0z0zXoOL5M/q9bHpjdZUNqmprGiNw
wJACeQA06dePmhHo0CaCI214Figr/FdNaf2DClXnxIXjIZS83yMk7o1ZFLknxDuczZp2t1bBBGoT
RkDYiFIAsp1x/LUsjykENAth/zi4jdxRKIdjn7PHsngtZ6BvI/8KZ1tgxkJJp3i8qnAZ7Go0CJ2f
WuefH4juChAHytEM5KKe8YpxUBKapMS7LPoMjsKP4fFP7SGGmdtp9q8nSCfa7kd5Z5rhdIJQ4lyU
w3AdypzI7JNI+FmdqMudxeiCcSLtB8UHKde9qJx2HeXeWH5oOj5Ey7TJJnvOS5gGqxoF/NETEj3e
6ZAIqdT0Z/m4rSWOqMzLYoMmVmcPvLhMtkrVIa6DjvdN7MGuh04bAoJANAM0U3M4B4QWVjAJEuW8
aMZFWyCzX8uUG0ncHqZlWMDUF/g49MOjF+HAkU8uum09K9+a2V9PYg4jgMOfsCO4EBCULMXf6ni8
b+B3i5r1VnsRVPFkmca7QCivZNZ8GCynEbjt6vlUl0QBBJ2fuJD9ru9wukP18fPsHtEI/sphc7Fz
e70fFJFLDCyrccsKxyT/u+eB8p/aTaEY6JkTP5kD3nlgotswuti6JQTJExp2nEAvsqqYHMavHzjZ
lwfbFBsC5afpAB/6UQQYzRmf2Q1jH5ajjE/szCpjubDT1OZfVQmFeUoFf34UoHNQwcN1m0gy56Yu
9Vg6NL7yT7ahSCvBjmAfsSLFy69nNaut4dvRoYHLo9h0YgR/H2xeQMlIHXhRn+trEoGm3qkVU/EU
KpY8ndLJzmmzdEFSUTLbtcsElQ43QShaLWqe9fanqCMwgk/ItW0RebDg4DCxBHfXVuF4uIMbxx7v
KEJQL7LDoDouR0aCasVkP3VJNPjDJ435uxozFNoXpvLB+Wo39UZksW4t/ZqmZ4gi0BrkL0ycg5F6
ywQ4EfI+9aTvm5MBMYs0F14fxrQfFh5DKexLVRQp0rMyYiIrVmnSjKxeEENUlS6dUoICfMt7arh6
r7d1xlghSeLvvCylRX8e+0Gr0crTtCqk4GoitJCcIAGyw3SZWFGOLbILnGwLwwI33oY7yBwcODF1
Z163KVB8t5pdkDK4FKSsU3jStcxCoG2Yg/wlYw2WG6GfauwLXiVTkGltY64cRVvgRnKHjqEbV3VK
RzerSp2FS5XbSdS491RMAXceuLsA6y6yQ8Wvw/qOhTMFF3bRgvFCzhMrtsodg0emMbKd9g1BFSX0
F0mf4g8RHqPOkETJJ45wXPMLNdRa5KeRItZEUlRtCf532OaHuhsqXiyDuElBB4MZslH9cKOgdoy3
sBrjdyR1C/yFFMne60LndrfyCxid4qMcdDuaj6iDTJU2xKaEqQtTVyhufAxzsOD+EvscbQ7roCwo
jRYpRTD894CUuHLeSNV37CuV/VA7F6DzvPxDpnUUs1WUVRZBho57uvp6gRYz1PhXmRmA7bLr2VgO
LrHAmLQLhIxUOotBDF73NtZVXY0uyuRdiCxfOyXqtWFAqmNBkrr7pkgaD8HSE0gEMje1s7T8KwMj
ZDWusy0F7mxkgTq9r946KfxJtM6CRLEG0f1d/AdCfopfh6yenOF2ayR3UWpmJzFSyVKjUyd325Ko
lMLC+saGGCyOmdvFVqs/wrkY5yrPtJWs01D60g18v7uSQyij5RB23nEoWn4SEj6epmXfnoBhMZd2
qdii1zK4sMM6IeCy2/Kjh019InxpKhfaF3yLyjz5yyehWfaaesiRE14fIwkH1cUyeebk5KuJoY5Z
l6u3qgvzpS2CAOgSq1xHdi9WkQmbd2OU1GSFbKFeOQPhCXasSq+DvLliVORnpbD8s7St6pWsQI2j
QcY/aU2jl4HunA92HhToN8jDm7AqvGUS5L47iCxbSk8Xb5yRpevBy1CdznIp8NXOkC1ElNnrDl95
6iBP/Fb2pjlGP4Z3U+g4OY57mozuoCO5DiJirnKBmoGbgDqqXIsb/1PXj84msTIJiqFJP3YOC1eE
1eSNIDoIXWNZ/K0Afbgu6wqXM0e29wGkZog+qprrG4oSFPIsmtPLlkVBuM6HzFrRKq0vq1aACIEp
WFZD37zhVTnErkw7Z+HZ2gucv8KW6eEUnRHNdcVERFemyWukX2EaDG6LWzJvnVra6dLyrPJNqtEm
sRS0jj70LY+Rv6XmTFY1LRaeE5gNiar8bY+j0meVotMO9eRU2/Xb7k2PMPuc2HF7ClbeehPGPGBL
B9bvhnYdz9xxdGiAdD63vnR50d0WltUvWEjHTVVFhqHTIUdb4zhW2LlBkicuOrnKZpmPXdy/UY1f
+C6heXgxUBuGGKneou14wv8ve2fWHDmOZelfxDHui9nYPJD03bWHFJJeYLElSIAgQJBYyF8/xyuz
qiu6pqut38cyX8JCCrm7yIt7z/nO5Rm78wd11n7S+1iZ+JINwtdQoN8yt/4IDSH3aYTbx85maSF5
hn1NvbBFm60y2aXFMt6rLtUfq/LoFUPY7nSuDQebwZuip5mqA5Ok3+CYyzqJh/EgIWDUcSiWJx+N
/Gnu1oU3fFno69St07v2SsT15I1vSKQVqxleH5zgElogbjzfbU3qS/dYxXM3NONm2Tcm1FbDfBJv
WJQ61UrZ6KmCuXFSsS4bo0NyTvsx/TaXub8y+BAWdkhq8EPJUhMTTJiUDb3mZSD7eoh49U0HaLba
En0jqzM2T4+5y/kehT7Pm6rfiuMSye4R/BCYE9fp11iO6mCNjw5M2fybTsirw/z+uk1iKw+TStea
TYL+WvGBHLqlMGaH9nR9WXSVkVqnE5xkTpc67Kw95RVXhwn9cVTTYq5eq3GpvideJV+YJvK73ez2
y+ACb20h47sUwMMhxEnRTn5aXtD3BnXmRnsN9Mw/t1COh2SICIgxyNz33RqmOMs8KlLI+hI6Vcbz
YwHDqFHzyA48M/oVzFmC12/jcxSOyZ7lyfwBvXB6rMZOH6N1qF6E0NuFzmza+QIlF+O56O/HNFzO
2qTucZyJ/qLLMv2RcIviEE+rvU9XgZsHWttDlCzm4nXhTr3ziYSeVI4Hkou0xdgO8hNyTHXaAk2u
hHT6aYvL7rWEpPMxbeXyBQc+PeJmK+62KFjAVuX9fqhIdoXzHiXNIqqhLbd1THC963G/0UA+clgD
j9RLNTUgVsK9dmz6UItJKYb+bbvqKjUXAFQcqoWQX2iyVQI1W/hdUvDyGMGLbKza0ofS0gSOgQ5+
BiQGG3dds3Trq2YVHj14WxhI7eWVZ4ktll2ICNKw1EOlyNUFij5C/Rnug3Qd34ZFf8P3UAjQffQ2
C3QwzBTs3lcMWGimov5cSRV/moAY1wydC++AIJnXPrZ2OnTxkKRN1UXFJSVSl/sqFGN1Fl2pWvjL
6VZb+PBtWW2iqNm2VLYWCRnvZQAO4bIGU4HPOg/doq9TZWFARV5H7jSmk3hIfBo8FWPVqyb3upO7
rlL6mdHeih2s6LW7iJ7Lvg30mIHUJCQKDoWd5+15LUdtusOt9QjbavJ4/h7HpyYd5WcOrUAPTVSg
c2kyYYi9g4rD5iYxEf3iik2ujQyH/AqMkESti9AiXhYIBMtb1mMq1agjWi1ZjsaJjsCdjnbJi3MW
+3BkX7ZkJbGtVz+FlTnHKHbhqUzhVBymYR1129k5My9VQDkDGUSHStc6IHTgTZBW/qVPQPPUcZcO
T3KNgu3gMACzJiymOLy6ivmxiTX8hbtiQDltAe5trYTidmbx0jdYys/PS7D6mT0Ma5BXW4KPfwy9
aKEfCX6jx1SciYdlSVm5tGvO8iGG8D9L3A8lbNfGRGssdmlkhu7KO7jGtRghPzfb4qexTsQKQ6ow
jB/HPs3kjrrM3fEe8m3LfO+PCcU65zYvw66AVMd0dOJUK9ikJivWOnZw5fMlXu6DrPJFIxhJ57pI
eQKJEFriW6QC/dNWaE0Srdb4ICWJkh21XWziBi1cF8gGzAAQOVcXXf68Bqks0JiZcu2HBpV0wRfI
MOgRKEYRmsp816lB1RmdIl/tuCiiotup2Mssu4sCm5tXmMyCHNlUpt+otZ/b1tFX2qlPWqmM1RgT
xIsDc7IjJdGHEIdHiCKRa9hyxXYZ1ni410lv9rbTVaMmtam6AD6qaiEy8aLHIW+1ztfalH2K+moX
8WOhZNsXcoC9SD25g/NZhk3kZze1Gw6b9LGau+SlANik295Cg8L1gAumBqfnfkZS8Sc1jXO5m4uC
Xmc5yhczzQvdGU8tOUHNpkUdCF+dhGRTG4/TsOcTyV5GHka7aunkhZMsuIu5Ty+xgpkq6QxTvcJY
1MYxwQMRTWEOm4/jocaD2gfRhpWd5p2KcnkPrtEtJ6UdqavZhb6ZOGVNms9W1VUkCNhWgJrmNOd4
c7sV4vvLRvCUJAI/fjow+H6txk3p6m3l+h6nPA7/PudD2zP0F3gJ5BmnTr83RZU3ZlTdG+tp9AlF
0O8BE1UHGVZiX6iCPQYs1I0VefcejuJ1YCDUKAa3fRET9iFdvMg6S6T8SEKizyZOiK+J9qxseoi2
Z6JivGkaQnnvvW0whCcPDGPJ2bqo/8G7pPjkhEbvPErc1cJRbjM1yVMCKfsNpkDMbzXNqzph4XSX
E5Kgb0VxvF2E6Y+U34b0dRS3U9vH83dpy6DfDXkPgxYit8xPYzb2spl17xd4YJuEiFk4FjXJgDpS
50HPsrtBzfH3rusWXscDXkPNhqIrG45/t4Esh2uiW1V2ErmJixYjvB00ei1Oz0LJ5avC1NY1XCVJ
+ImD1+m6Ckpnj8HC83ZRLDj2Uxa/3niGfbRZbup+DdRDlnn23dhS4XjA5LmXhoDSkiRLrrAU9UWt
gF1qTdHSXP1s1HceL75vZsiftu7t4H8sy4p7BTcl5jSjoK7+tHDTbA2n0O5GZpMzxHMKlKv3G5p5
4Ky/8CAyS/ai6JZLumJ+qwO0I0s7kCnIdsEkwCKHm83elnkYPgplfcPnZG6HMJjCe+OK6AWuX1mB
VkIPV+eL64aDQ1N1RvUb3c5PXcfQylVoPUGXBPI+6VwUNIbcCMFVhJnaaWWRfAApg4uoSTvRsZTb
PbU5LB7BG8bRpOndbYy1DVmnPkZPnYxkex9nM/KHWEZubjFVEI6SVuVyU42ODB3WQxDGbEwfcpOQ
subR1CffBuCswdjYoPSM7GHkcR/e8U7msmowbftU1WbrxGyaAgdutrYdfLVyqA0o83RtR7sSwS9r
SSDpNLPBAKYeBwvVKqk98PPK7LVRU/9OKU8lbR1uFdg7SAklo66tn2S+7Cl6tfFkOhOIP+Zp9jbb
deCyxLjLJniALySM4QkdFACuZWz1mgYhe2RGcfwe0gAYl2EgrOFNWOD3ePu/RFAVIT7HmY1rW6nO
Z++ZzuLu5U8ROVA3I2QZqptkG0fEqwsCfjekABzDzZ/BfbgVP2lKQp8fwHtvuN+maK76D6NcF3T1
WEKACzDZEuZyHBEox8ub6SAolNcFDaW/D1kVrmlj6GwmftjguuG3hSOPSfY9Kc1oRZsNi1nHS2Lw
9ra6l6A/5gYwTiLIS7Jkqs93OQDaPjmHxkyrBB/VL+hxMDvQaa9UyVCPg0W2HHTUXQzIDK27qlAx
16pHE1Wmh34pxLoqqMMWCm/fAPUyg0t3dPRpP+yUAwlUQTsYZXnd0PqVOxIMOYE7Z0mlTB2lU5Xu
inVL0gP8SPGmSjO8BqB+ljqWCMXVqcG9swMFI36GI0eXBSq/03wn87nqWqvBz/h6iyeYoltu1r/R
/+eqp/YRIq49Qp/urzIkScPj3NyxaF3FTiUCEJmtYFCrYHhhlXfFaUILV9TJqNa09qPj40EvIehK
Xyo3IjRk+U+1hYSjtKaC1DnOUdMuybY+z33gPBqEYNihA8WESJjKsoPO00W0RJT+e7ARv6o6om6K
nkve86x1eNThD43ddrqemcVoMG6BxTSiWdTt0E7o+Wi6jNufNPA3xQUddTw2G+/oHvkxS4K9MFEJ
aCieqrEhYSrlLl3D+RjNsvgY7JBCsCxITGUDQbHPMKEW63wvyjw0bRxmZnkHkgGco9YK9F8D1mSy
aJCiGLwTxK17islb1OmEPvzOwwj0tUt4sSt4PpwDOksg9iZD6APMnxJASuLVzG05ZhWssmDpDshT
4BdTeBrUCZi/46SGiTUGgtn3DSAFrg1SPZkglHifm9rnkfKPK37ZbVqRstoxMB+/AkBVEA+ZotcA
ZXj+xHDpuqeCCX3rupK4P6KDyc86LbL+O0pksh4Sm7Jn6RJyB3yT/qQ6widfus0DoyMGysi29b5W
feheS5+ZR6eHDm8B8Tq41oWQqKaFQIiCZ9VzBPmwaCsm3SmCaNG3DszOV5ekyDdmfE6PY8oYsEmd
vUyEyv0Sj+F7rueorgrwkZ0eNiQH5m2tkcta75H1jPs2NrNF2GwYAe5Xva3sieYa1Nw8bsBUKXEe
L7cabsgGpuFGjcUa7+Fcwf/F0+P7uaU2sSi9AXIYfb2oAthjQucJTcG4zneJUeZK48iWbZhRVewB
aKgvzhcLaOhlxLsEpVB8proraS3QgD9Mwa3jncu0HGv01Gtf55xUwGT41HctDnQGIgxyyeMmoADU
W65UvuMW4F+bhKLfbZPH99AMmB9wFqFam6g/3NyNu5jMvnFLtn4UqBb24pdRq3aYbPk8Z3ox+HFZ
NmEg6KECiVjeJQOJL2U38AL4EllFrSNSXYKgi7+vQ8/PPlDzIxhC1oBNi78hrWNG+B9FtTZ9NjPd
FC7t19a4lc31oMuF7EzXlwPqr06GC4viNdsvucveAtIpfw/liicQA6RY60GJ6KOvQGLUAoDIvQT5
Eu4Kl60YCqoYaYuJhJnYiYh1X3jmtWtwbqKrQ3/edomeytvnlj+4xEGGTmJJ7stBJO8T6A9aWzN8
JLOQ73qRssZDG6E9gvQEwEUtLvlBf9DAhRS9lQ+aAJ3HnTaIHc3QXT5HaoKTZripW93z4mExizwv
2YQMii74FbpAcQxIWL5BMe4LXAY0/67iLdn5NJyfrV7jE8dTVeOG2dLdurVQAOkZIfEU81we56Qb
83arAjROoq/8YcxiOzwjxdu3GuJWq3Gpp82UZGaH9iW6jKvswCy66L0jq3+vyBLVajYhIp0Z34ly
IH8Adw7bNEuX1xLt/iFKSfRdgox/D/EtWR14fHCIIrwjC1TeecAHB2UX3HWl+QZwenlUJlxJXS4y
jHAfbI8VDTg6migVB5wHesSYMSdtWQCawXdf3RTrrwxiR1t6DCoTss5b7btIvgXlkL6wLklFk0LV
Pyk1RrDoQIDyJPmxGqj/escV9CD9HQcUF7aFN4901TsmWinUs05nmWYPC+smVPkZTzQHM6Un5LIB
L/iViQleA4xQ+ZCuQHzWg4uRIYnbRIZ+6U6h6QTbTgDM1+WV9N5lP7IxlfzIZCmWtCGpDpegLW2W
Oo3ixUHZwGsDt8GqqM/DFkBgtKFtLMO1bzTPdehPZvVQMes89tk+TUdXfubjuKCoTIoPfkAdy7ow
a9HngZ9ogzWnFKBNCvYLmDTaeNBeKzLauGmA16cZENVOyV/hFKzF3MJoBUC4m5VbeQcntaccFJOi
5Aa34xqcYINQRrdwerJJuWCE6ROfa/0mS0csa2EQl5j7EGXqPbtnTM5GtrPDI3aiXagSM0/fDd9s
tNb4V1S/Nk6maMnqTXWoDEeC+CarGijWt3eS5jSshkNHvS2mryagW5zVPSk5/g6MfpH7S7DMGJgv
bJ3JkDc+rMrC7v+9Pfe7Qw7XEAQInm9yYw5gkyOd+bs3B6msXEKkF34JqW7ZJvsn45Jko4ZRPhdd
aoCk2dAHCGD0DBbdf/MCfre3by8AoADCu9i1BpcQptDvL6DPVmSjaF/85H++APEneSJ4NeCKCyR8
sT+d0r/2Jzz+6Tz+uQfgh1RI1tBu+U9//D9fpMD///v2Pf/4mr+tSviPP2FPrpaz/GP5t1+Fh03e
1rrM//mLfvuX8dP/enW3HQq//eFf1jn8Fwsbnn/NZlj+i7/8bZvDb+ssftvmkODRG/90dfzLPoe/
r9T8p0UOf37LX6scIjzoLsRdc1uq9vsqhyCKgQn8tbwhxRNzwgKISx4j6RsVt/gXTNrb/oYkw19l
kI5CzOJxeTOp//6Wfvu9YWHFX3/+5/0NUfx7TCTDU3duFzASHgmWA9wydL9fPN2C2wvnbnJXkLl4
W12anVbQh7rONhTptRPT1ML2O+doAaNaRpPdhRudd7hlh4OJ5+makdDE71m38XsoArq7THBa0iZW
k89ao9P1DV2XfV+40O1C163uoGn5prKQbmu1sKX12C9gDziXo2eTzPJjtMQ+bLoiHnf66AzaMl1s
OGG12/ciBXagmYCPwK2pC7Uuh7zCS0Sqj3mkNahMGcpa4h9Rc4t83+GUpMcqjTbT3grcd2aGGSf6
yvnPqQimB3gAVtTOCf9ACEx0CFIE712gc4VMAd2zOMlVpxsSEwbgMdR4/G0yZyo+m5KujyD+p/VE
4YUByBGrD84lXqCEErwFAlE0IZKnuFTyqUoZfd4Ytw/TgBAiKwYAtp0ogTHO0h6Ywz4IiOXj1LBU
QhOAKOIfdWn42IIp84vCHoD4dVFqKTbVOhLKZTqSKOvNAZwETYpDCUKaIqHQh1vYenTCI9SdsfT3
SbGJMWoW5A1O4OKkgRhJpy5vGArLOHLE7ZFZ9l+Rjk7n5NnykQN5QN9dl1lPrL/nk0XvDRqg14gH
SKrFXpUKXSIGwiSnTRZ0jDyQaA32lshodg1ctiTGh2kw91znMLBdCxk4h9kVzi4ilxgwMWmndLa3
C6fYjptn8AuDv2VuucgRyjwvizEqvI9WwZYEGvE8W7eJmrsY2Zd3Sro43j58f9OUfy5uWoSoM/Tw
A3n62138/wve/3MT0X9UryjF/tt/V/B+ez7nbSXMX9/xj3oX/S9gbPgvShFWyFOEPv9cXROgrGGJ
VBJleIwuVGKU1b8XPzx2CvxNCHDhBllixcw/ih8W72HlK8LvMdbdgEANk/9J8cOjlVDc/gmrAWgH
LAwvC00bQnL/svOBRwRgfEHy+6xLAwDdo58umKjWeBcgppIVtwy14Ml4RuOQDy9Y0pJV37FX51cn
t+wlRUooawDCfMnzyH/lRdBfsqTwGN/A1pNajXkp6gohEiyugRawPAcDQsawsZybXsNxIkENbGtI
xIVX/XywdmAMWcIOU7KbhnLfY0w6YQtH0hTMTI1YI9qOYkhbQG7w5fsoBrdRmSeuqkUjl+zIdUiU
us4mXg5rbqczWAn3E0LlZyqW8meKmeVjcLI4hKpXn1rwsEkzkZ9gKH5LIC7g/ZbdyuoC9+ZlWzt/
DGHMolsrg/uRBcSDLbH7DpCmJo2uYmoxVCkTCbvPZghKddw79hB0XfzVrv6amkS1Ue9VMwMJeV5n
zDWLmUa0reHXAZGqVw8S5cGPPjmouPrqPZwKG4JDSqx4SlkwHdE7xfca7ubJoPFu4JH2V2ExcsN4
6u+Ac3yrlikz+KzVLlM5v0xoew6DDOz3mRfkhIhMsudjNPy6Va7dxsroF+D3ErPVrOWxivtfxsR6
V0GFfc+iEmoO7RmqFkpbM4mh/Ixjw3dZgYCkL+VX0Yuv4Bv7O6T/N9jDzn4QzKk7KIqQWHiPWJEq
xHhDyC2GTGFhGid9JV6Kzad5TcJOnW5X5Otk53yPpUk9BgUz4EiLzdTXXVEsePVw85EDtvCRbZKv
rRo8DsGcR/Q55RF/xCixPRDXhU23pdO1S+JgrvvQZ/gpidzh8WLpAblMIDsiSPoXl8/DFcuU1iuS
oMldjKTvPu+Ig7oBxmCcZ2jVZTqMdRQmWGzBA/VHBYTB1NSl0QFZMXfVG+mPPhvn60LKTdY+dxSh
xCFoBqUyRM0XiMarUcUlUlUnkTcuwns3rmGd62qDTj7G4dggsoZwYDmbt8SvxgFwgniBlUTTis68
gPgBcgwWUpw1HIgXq6WIq4sVwjMoGamBUDxJva+cvwKqdtdiytUZ+sn8SjXAotryuPtDmk3ugIZV
x6Ln+VVnWCm0gTxNIH2zGh5jXic6cHEN0V00iUrUvmBh9bW3OOytLi6KjP0jPONuP9As/G7zaNiD
6sh/wD3azkhn2a7JbZcfnA4yDJ2LewfbkDwGnBRtWJTIhyyyos3I3XqRLkiXpiyJPJfYUaFaWEPd
bjXx9lhkqYQ6An0uzz0CQD6JT3PM9fMQQh8sB2feMqwpeOr7EVwLIzyAnk77S6CSFTxMVQrIA3hL
OcAKRIaGam5E4aZ603bdwchgB2y8WHe9K7dXSN2+ttAX9x0WL4IZQvZBLym5QzJUPyJ60SIXor/0
PMifgfMc9ZhsD86E8HE8PF2D2xqmS+xPPRHuWCI1+8hEDGDHRTMEKVWu2E00qDsx2/hLHE/ssw+j
Cdu6OKmN0+4EY7IjpxGK5otnE2LQEkazV+GdKIJdOEr3RDFjX1emWIPiGd7PkNQbmY3QHkWfoChM
VUsTF562KQJ/k+X3Kp3GE5Ss+AR/IK97wEONH7H75vZLhl5MQJ316kuABpHUACiWl63q1l8iVKrZ
gmI9YjpPn7ACTPT4LcKQQ3y9g3KU8QM2gqi2JyjkYbwt2BZg/Os4hOl+UiNt8tLmd6EfAyzEQiGq
kBZrCa/KDwz13XFVDgtl/FDtdLqsQcswf37gENyO2EMa/IrYhDU9rkuaNU/NH4ibyvs06+XzPOVR
oyCqYg9A+I1uAkN5NAxtLK09lHYOdAPio/uIN4pVI2J4nqU0567KxybRWl3igS6P2Nwk986X22MY
9dXDDC18qhdDtl0KGfEgUtlDWPFlC//Stgaj6S+6jnaH+MwPWN224aiZSDpy1yFqmgXXLkinWqrM
fVW+6ps0UttzDgES2rbMPxAQxL2R5KrFVD+cop77uxFGCgoWdbXL+vSTD3asy2Lq7yMyjtB9ZfTN
Af5q/bK9ElhBTezW+JjBXxIADOHP9n3kWxVu5Qmt8DNYwxO6B4QMNNaP7BBlxC94hODZFr19corT
r4HPRMOMmIHJjx3iUvM61sFE3VtI8+mM7RfFmZYdgu435fKIuhk08xJeZ6zKed4282gosLRpCIcL
9tHAzsK19wU5TXEmwI9wS/SHsYrGa77R7lSVwTNfK1xqDkRhnSSENilCgujVc7PHRpFhN4OHa8KS
XBlX/AArwpxIyMp63EJoxEqkJ9xQ3d4ICalkgXsU+wHYTknElWYa5dsR963rQ3UIbJhfNjsXP7A+
YviOuHZwn836CSZN9rKV6StMnvmeV2S6gkgrTnoBKlHCtt5NWWFfZ9EZEJ/iG8in5dSxgu4n3ktw
USsyZttQ5AjV0xkxHALtrqfp84xk+uM2ZXB1cXLZmrGnCNL6R+BGd61wKnd1EhH7Ner74DhsNrsK
1bMzHIS9TNjUYBXDA8/TNx+4tA5LMewQayVIx9jhC3bqqINZyulBlQuy6LNK9uFEfpUcix8QuewO
5Vyp2nXzcJzlsF27NHUXlXH6bqu5hxppJeC5YWoRU9n+yKbhSydGgCCcFS+c4CUsEV8avD6k91ly
Z1FVdwhBf5I5DWoh0+6BKXkdXLDeeXBnK4nS12Hi43liSbpLA20Pve6qfe85+UToyh9SUO6fSDnm
Na2wY0Xa2J7gTpv9kM+fLkJdAeYT7amzNU+p2A2m+xYY2JR6he9dlGw7V9VaF5wOULcvhczTuIac
DPRqkLTpylA2XVgMryzIxxc0VfwyTiWO+iwiRd07XrIHKZfogI0F6n6g6V7kiTqUPtR38BmQiPJZ
cIBDK/ZhF9NrgZULOx0zc6SE9RkqPssfp0z5E0iaaA/9VLcrA0rtUvc5R6i1stCZOjho0g8KeEfD
Mx2dJSTUfVY6/82UBG7rPGHpHPzcPKv5QOEG5OuUtpnc/I8RcMxnvtomRJv7TdCKtHghfwgjpj0D
ASUbcJ36tM5hCcyFB0e6QaVsiokLBn+Pj3cKmG6T8DTfOSuwCypI6U+yaMTYsUoDR1qulxqb2/wz
5+wBfW+z9OGwd3G+7UOicIKCTjpvqANADtBtdmUZHkkShH9g91yGJQLY7IN1CbKF1UsRNRa6Ruuh
d/PAn7Jig74/w4q6EAL2Yxpjdgrxq/7E/EqPsSdkV4wGTgxdZ37Ws5kb2gVzOzmgEwAVSPE+daGu
9pEpIDxuIUBcHEi1Wym7j9wS/fAAzR8271EQbDw0CeHxnozbMEYvpSeGkZZYYKg/eiMs4pliRIr9
S+FhQAPNyJBjv8BirOQXt1p8anL5ie0Ga12N6JRrpvNoSygASbA/o2NZm1XQKqDZUOgFyEkttaWr
/6Vy1f10FV4heoTsHd8jPwPqyH6NrTqRlXhdwxDybYjtDWcgD9PdpPDVEvvd4Er02GC06j1+YnDH
q2pqDQWS1BcZFBeq/PhTkzC6k70vT3kcAfxxULLuC5N/2bpO1ZPO8p8pEA4Cv29TF5JVbpch1f2s
xZTULBf6HEBqeQpd17V5IleKhVvOHNNhKW/VALsiJhm3MkULg6lf1JT2/Ah2DdYweP9LOM7pWYca
LQCenbcrsQ+0zfJVwL/AKstLiK1yr7636dcZ7ICv514BwZujAExrCN4MXAR7doj7gYdZ1g+sunig
rMTHGg4A0byraGvB2hGEijcgf8AiGrbMsD1AqCBLCYrO1ISq8qHEKcxuUIE5sTlCjzyrUZy9YOwL
LYflY0HriZlptvfruNEXkW3zvrx92DBY2SGoFkxfWSy6+4BYeC1y9HaXQ/w4wa2aXggR4dL2El9q
tiqDZaPH54WCm6NTNL3pTkfvkSqn91HSN4J89jXFAqC+3sYwOCaxgp2OxXXAKWx4KZArfbGdn5Ef
AJZf3BnfpU9jN30rNj1AGNoQWKqDLtwaOEI49vuNprdFAPCv+LAOX1mo2CuMP3Io4yqizQpj+IBR
aHnl2rifNgD1qeKUXmZBFaLHdNwzzXATeg3nRefw/GqMHuh1sHEmbkmXue9gSkN0/EE211p6iGpF
ybt2rIb+WdMKndi0gYex/5e9M2mO2+ii7B9qOJCYsexCzUUW50kbBElJmOchgfz1fUDZn2nZYbf3
jrC9sETWACDz5Xv3npsOBmMWTWwMV/kHmVnJIVYqvbDjMTkUpu+eARJygKWliJ5Se8u9Sj0AclwG
IsLhw5kzi4ZuZ/NTxlJhcOeDUlGpq660uVLrfKjDHViw/LZc6iRTcV+1yupXotGjY4jxNEAOrQVJ
4lf7Mg1B13Aso/dYLoWssNsLDML5KimZsLCCRRsf7ZyLGTZhFvRc9dIrrkSWduYmnx0OY41gF1iN
VYegCUhshySMloj6qjGHk9fC19K9A5ydXwjB5Kkvp3q6VxJGibXSUGk4/fWgd2BNN8PgGi7iM7Od
5ImvBLHvtvro8Jk/2n3/pwA4G1tIEM4qmnah5jb3wOqmx0/tn7/qKC/Ths89FY+ISt32bJeqjO7O
zw1lur4yzU0hz6Bx7DWAjhhnMlr/qThonrcOoy9GYe7G1Diamb2lr7m1Y7HxXCSAg9owidzwUXfQ
ONdMmHd//+b+OCnhaLO8N8fQhQUcCb7tT6OaQsDd00NDnuu6Pbs1tWK4T8Z/cMz+1YvAV7Nc0u9I
6Pj5C7DTnoEXIt5zYuDu5l8H00npVj+mPv+1JP+pJYnO/tNV/9MI5v9C8iq71+7z3EZ8/MyvPUmS
oXBKObAgYFeQsvI7TlvzCSUSwDUZu7igcG2fG+TXrqTpkEkAPoJBH91Hy3S57L+NZMxf9KXj5sNT
cX0gdt6/6UranvHHJwj0Hf9gV3UFj8+f4arLmmjVxsA5IfdYFWyMq23ZjzsF9u5IAWbvlVaBnK2k
nL/iQ3Iv7MxC0ucJIW85FWLF5qTwmrs5Yjrb8s8K+/+9kyIhXTm1AwW7s9xznI/d7ZyOyX3R2Rh+
hmUBjRzxpapDEB+pmx49w9mAeW3exi5N95PmtckqSSX1AoJH9Q6tiIWQbc0Iwikz7nC2ZkeUA+Up
dE2GQ2aHuKcvLyvbSAI/Dxk2p0V8FGOHsj0pAJcUmmOuDS1yjxBKcMiE+XRV1QyW6tzzL+YuGlnK
ncm4mbTBx4SV6ZdiTtiGgTCMrJpmszVcke9EZUTPwk/8s9Cya8FR7DI0xD0qo2otHCQwZYOIkz2k
Nr+b84x6ppidwBNjaQRt0fYYGYW1Eil+WWi3CG3anJmKnev1Vw5WzdZsYVw1SZvvyqHKHhordQAr
5la6q2lO7fHAMcixJBJhd2bIIozhqfKSEC1GLG/6KlHv/iznZ/Rv5k2E+2qPmr09O2Y63dgOXw5U
jGSLOHk4oflr3gpzmNbIMN1tPebjzhUZHyOaphUFcw7SiO5Vk1nDV803V0lrz4Hp0wAoo4MFGGkz
gGiD+VOV684OL4usXhZe7YBsJmMAU6knXGzNrmlG+3uEegmFWZ+g7LfkDrBReKAEKa7hyCpjy+6T
HWNG59rGVOlwqq05fYzmxH+h9QYoEnIRAmJH3tX0lu790Eoule7ol7LTUUMOKMKf4OZ1F+mg53dW
ZdV0IKgYaG5X+t6ecjflQGGaN2p2k8soYsI2uxx0V1rtubdwiwWas77x1klnjot1Tr/2W+6VKuqd
MEiVlb8PWK3PIVD4PV4x8+T0db4rageppOcmzw3Hv3MZ1fYNshO1n+J5OjOHMk+GtBeuRhVdQdDp
7lNl+gEWzvxQaMOhLsNF1l3a3tloOPxy+Hcum8jKDsC86n2a5nRpCvpdW2nF9lVey5MRsx+PVdPu
Nb1HVBQRrz54+owBIqNUqUP3tTHlN7thE4zmGvPHXNiHqgmtrUv3bD27pfFoWtn7LM06CrTIMl5c
r7yvRlM9dl090zgp9ZsqdpwS5Qr8F+h+CL19RhrneBS2CCSYlVdcPum1G2UN2gjmve9oIeJdOfJD
kUryBy/Ri2A0tXajj1lxSiMuojTN5OAMCPRpAdOmNrv+zfTg2q76TNz3VXmIDOkcK3Q6JayBAB8v
7e0kT7MbIJ75rR3me2eW/dEJVXlAIoOco2a6OLBYvtAITQ4uvJgtguFm7XY94vNySm/rTre+KQS4
HP3SOFDxMmnlrP+MyXZ6cMtau6mNogq4oPR+2jjDTcUw8lprp63MnebUtCjPAt/f2n1a7MIOOw7i
mxx7yc0YhuOzBmsfXJ4pblIdclMJmLMLcqmP51If23ezR38YWvoa7b67Q7M8bcZcDNoG0qH33NMV
rFf0oPIEtcxcAXOZoyvVVdlOo2+VrGZmQ0E7Ts4iRYG2EtFoHUrVoX+rhsFb+/74EKnZSld55qNp
ayMcCFqX5CusO/opwiFxOZch7CuhPac0fT1ONUiyktx36a03euC3pRPkWkKVStMz1xGbVXrarIw0
q95yQEKnsIr9GxvJ5qHr7KlYYavqb5Jey5jRlIGNgPDVSd1pl1KsXeuYSXsqV1M/j16lBzSb6Moz
pXI2GNT8R59d46zwpT61nsWERY1ffDCZe3ZEFXAAGc9dZNEHo6Nw0aX0HGlt+hfFYLXXfRo2l8ye
GlRzSY4zoqg3y/l5K3wk18qIGcx0jfmUycLYOz2fsg29iql8anxTbjRcSrDrr5bZLJsLlrjnmEnN
AyjGMV85SeZvzdSPOPTEyHrnSAaaCONrIZiboKanxxE1050+8NWXsa3W89zXm24yvJO3SIXWU17F
VyYjDG40IfGQWzaGRH1Quzkyh13JiP2Q+ap+yAc8wLRENpAi1XWGgmFTjyMnprnXFdJUrbTwz0xb
p6nGsxgj48jJJ/uCtixb043wVqNgu014xE+gxus9zAZIl1nT+i+Z4yTropT6cx624Z6VKT6EvbGe
Dce+VkOqvdeWqx9rUMNbXCvdlUjK/GBbGlAmKD03+Sy9h0gyWRB6o99x0kH6PLqYTGbcTVszdttz
OzdvJbOQd10NLP9D2yvGT5MV7UCgi7UCHbEyOu1kl7qBkrjEcAFrZ8nB0FaiHDCRFlmi36Bvatn7
0zS6H2wKkVU6YNgKStPvb5qoyfdVzCO9oq2RZSvVtYzL3NBrvoPoyw5jHtPemqR2kWCewnxWXI9j
me17e3hBAR/R+lqEqB7Izresd17wkb3q4fDdzdULqO3bUqBpBPlW83pNcWiZxG7aJrk3mqg+1ozG
7sc6Mx6zVJbviFmmpzbkB8fS0bjVk7lvs2Md8SmGY910zcggzZkwI15SaiF6RAee6fYmMareQtqe
xBeTYbuoQafBu276ZnaeOyf8PsAj8QDBSi4cvmij3moYPIOw0ncDAy61K+K6ukzqRqteahZQai9/
hD8WZjRXAQofPS1rUbSlBmYzMzsJGuxHsrfdF3u2my+6G0bpdTjF+cmNbdHeo2+Ow12uslyVNEUl
6nZYzXb61eOArj3YTTjZG8YTIeYTDZ/foXETk+mgPu9avyq3o9M9dSCfVu0U5WvoyKh+I+sJsZnc
O0kNCbPohzN/c9r6cJAC2vzHpLUuBt9AvKFrFU093JWPeBy0PbXIQ6nifBMjFTqyg4C+05IIg3Qu
gqgU83mMo+bccjWPqodlFifydQGeHVvf0VY0WoedKKcZqfhSbgH+HoBTmu0pSQ5ZuIWbQzenCvs9
JnkryBov2dFV1IM5tG4KFXdrpiPRQVlgXPE5h8e2MJJjr2MFZhSC/U/UF3Ho4NiD+/NlMJ08QKU9
75JmTFAyd/4G03G4aZO82sjQqic6SRkbWVhjceQy7we9NlZ9bhQ7okT079aA8DKosxqj3GrRCHx1
PGb2T50+lG73Plj0Ke2HsME70gdJkycgDD+OJv8d4v7pEKcj3fidqfPnQ1z++vb6e+Tch7Dk40d+
O8NZv3igqTjHc/ASiE6Rrf2qK/E8ouXRubHAGojbxKdMpA/tnGtzRkOD5zjgqX4/w5FoRkIO6hJ4
PfQJffFvznA/Q2v4LQvICUmfAXn6T4rMVND96kxL2/uaRhGQpLPaD77V3X/6Tv6i1/JTp2GJKvHc
5czJq+keasA/aveUgI3A4qTtIT+JexDEaO4H3bsqJHEW/wDHWXSAn9o6y2v5hI9AMaeJxvl50RF+
4oBxLcBdjma4n0XlX+lOO146toBWoPTpunYK9uO//3D0iv70ki7LuLBp13hkmS0pgZ9fcso6uxEu
O2YytyG+8KbqLyAo0G2r8ITbjL+l/4jO0jS2+oDvAU8TeTI7B9NjuWvsaAjscaRxOUwlCvI0afd+
NWlUb36rv5XMdi4av/N3mDP8nVRtsiuc2QjAX5ZHVPnFTZ6ROpFrbf8geqc8UhOzGYT46sO5T85W
RLLJ2ozKeDc3aOaTqIOo3XfFjQFQ8RtEEvUYZ1b76NbRpT7MCVPWvAw45up7ZZjZpWVRNgRxag43
RjcU35WpqitlyvTB0JN0RaMq39pNXDKTLsZgqEq516uQiArVGEyEdVBSMO3ZG7Bf5r3ZnVzRV2c8
N6zL6Ndf9TxiSOcsfloED/tmRrjN9uyHnHw1o3rvPDKwHFVMsBlUPHA6luwI1H9bvTPaF8QAvszW
U9y6Ha6dWYLdfPFtw567i7is061buogXZMh9HugxkTws+EX5NrRu/ZKCK35K/cy49ZFox4HUO/9r
6sHfXsHpdOFsGHPFpD5Npi2VPNYGyGjxWxbnSyO+tPIrPcd7GVD/VBcuBcNpxmL36M2KdIUwaXHo
LqSMFCXqysIjegUx8zaeEp1ORDrfxuAoN53Q2xdY8+O2mvSeXruDXmMCVP4VPVG8i8v4fW7TGlmB
Z58i3xvwYCk7LjYdX05chvllkxecllHX3Jhk1FzoCq7kqptEdnDKUdfWWZKG+kqrACg6iX3gPGFB
iCq7jTkn2YWeRsPXqHP6t0zMab5RkXLKjdYn/pGvoAOP7bw3fR5IPKln5AX4B938q25OkkG1dQo1
DktZFj34HQaIJuRky7kYyT2m5qCbJPIIw+KgECbOyq37U6q1FrZHFLaBo3vpq+3pjFw094vJmH0d
V84MGsJpbkOZGxdO3F3bk5Ri5Xmuxa3N0zNh7EBgaqEpE+O3CWXG1m61/jIzSvXWk7UWcGXttxqQ
yBVOGPhtqu9vG7vXAsA8t7A6k81gq2eNg//ZULGxMWbVnTVXqY306RKUpT8EkfDH7YzyopTFk2uG
lbFPOOOMFmXLGM/vJTW/sQrHAV+AM0BZylezVxsp1WY6rrOoyGC/GkywgzlvHHXhyXyeDrmvE+AV
UJzo+irUcAI8Zp2E74uAb+hkxBdRMbmaaWTdW1B4oz6n3TN5o7x35z7e+IIaam3juYVAEMJpW9lI
VVd+jzZ2J0cOvc8Tk0lvC/zPwGrs0eJYJ7k2e9su7ZLGgq7cA7/NpIoQz9oLGb1OxujsNBAYEDK1
pbyOsCpThtdO08UnP9RG5AVwb+0XowZgASCuXMRBsp184zEdpGZvG+BD7lfmgVyouAfdfcyYQA3t
XVYA28I543fZi2bX2Z0/Fsmu1UuW4apw7f2o9/mjG87IRkLTYCQuB8c8Qg2r9JVU4zJj1mJ/Z/cm
NmQDAYGYJntvFJrOATSbsUkVyhf3RlxFKQPg5X+jkwzvZnRb745RYuEtRVlvgRaYhyoH+bQaLPyu
2ZBbB0735RE3i7/pi4GytmhCrJG4rqtTY1ngFdzRFVvhdBVH4wSjLfrFoGRGPK0ouTkDhKH/BdRF
ETS9Vt6pjsyClV1qA+6xURY3k2nV3yzH8i54I0m0zSC7Ysj2C7UG3pzHm5asjwOYGv8KlaHzmhd4
1UCgjySHdG5xo0l6YUEGGLoMCEThz2ytL76DD8kfTR3NdZ6lDgkGqqjuoiJO6lVHK1iweGTOwHOb
r/+rAj8yNv+hCsTc4PxtL/+q/UYg5edO/q8/8j95sfMLwUPAtAwSMtnoqYB+kxcb1i9ED3gg0izq
Pf7W/1r5lvOL4SA69vFhLzMq4/dW/ofAmDxAujyORcKZ7v+bMtA0fqqadNsybcdlU6QQZMFdLB6f
S5isG1QmBz+5TjNQzT7qFJ1zdxtlENvD2rJuLBaIblfletluuesZZKwkJAg2OUSu07n5kOC7WZOt
4NJkvXkb/9Dp296ood51MqaoOLkyhBXLwLDPG/0rEjfJHNHtysTDfL8MGI1BVMx0q9hA+LWrfCva
EPCRHou0FN+XGobYiY60CW0ZcE6OFx1dRgoI3CIVTL1Lmw/71i5STEhNP0fkg44I0YHpDKRqGAiJ
VyqvW2xaFAMP9PDeyAaI18UyiqV34J6dZTybLIPaaRnZuqM9fEFIY2wsvYb0QrMrvm0/Jr7dMvwd
B7jF69qQRbsxmQdoNA1UD+ujyeu1r8d4TDhvRyPovT6SzhupDv1DNzpxerYBfa4Z8rtXSatT/M0J
2ZJB7sywwl0gEqvQn6DvdHqfzNBFejz9XIn5OZwrVGMgPgaatmF0h+cqhB5Ppgg7DW//kBC5dFJy
mp4tJGr2zrEm/RCV5rjxHey5AThytEAuWZnRiiN6/TS3E1SyqIGpg+msOGpdSc2m2V49BCAaUQxk
0sWdm1vcEqlK2ONY6Tu1Tu2ua9dO7s4vePQb55pPAqUDD38xrfH+Tmt6HOamWzQPyGTj73AorU28
yCI6aPtbGcGhoXszrIcqdm8aZU0R3bEsWhukDN1ki+RiruCw6EUjbmDQSEauhXMMLXcGdLkINiQB
AuuJRQ85+qLpiOeqiGExzb5HMlSp1RdWRF7kpU7ryK2PRmZJqjUfgbDnbfgirDpAJ1vW11bWxNVB
lQnzFd1M5qhcxcS6tSv0etaFDJFmo3qmPeuhO8BDAC9a8e3dDB2KsJUSo3tX1GUi1642+fVj3uL0
WzHzWqxJvgNKhsoTGe80Ld5EA+f5kdCf1r9w6ij+WjTuXAfQQjJ3RaJXoV2MNmU65LcJhIvmJRdj
2ccnJyzlK2MPp8ZgK4fNjHBjPkzRHNtBh7EemgihB0g7kcAiGdfRUgEQnxGxsdtr/V5vC5eggCS5
TqZZqCBuRjAbVUt05q4KmWyvzHpO8IWmFeioOqSveIHPfFh6wpYZVDFXEztmMQrUKFqrVqlW+tG1
U+pJx3hqKNzLCWTtOe/sBWrusgVFJmUe5yZtDFKXAUKuuclZq6oc/XQYYg+3BUe0Nfp1+WwkXbXr
/amJYPN1t2rqU3XjD9q7pvySZ0pzKnxWJOPZZ5JhO7XtiWeEi0E06vNE38taefMQ34O7M6odHMcW
ZJyOkwmOCrbSPSvRfAepYaoOQFN7oj3ynCCRHEWaPLhpaB7Mqm6/I4R+sAfHuzDxYqu7MUN8tJcZ
LtxDi0947dWaOJldp18q0Mo3+FZ5HrF7psyZokUVMcCDyeYm3anJ9I6p5s2oFKU2TReToLBgcFEC
garbbIfcutvkIqJBmnCtqm1UoyYwlGXeaPWsj1uTPIK146fGqXJQzJleqtE6QhgUE54yiXu4Yska
BqPBdUbYl761jQvVDivuAzkr48sy3mo3bWVZPGvWNDLXpK1dCAdjbsscK8jJV+s2FNlRe+IvWLAs
NGAS6HucGn2TQ2URH61OQ+8DRxMplb5KZwKB19MAq8YgrRctkNNGJv6QetxrTYusP+wLCZKuAtZl
XcK3G7wVwYL5vaCT/Ygt6sniFu7hz0+YoX36vHuUuu6NYydiHSEFX/dGDMXUL6GTlKo3NrlGrg8K
b0nrFZHkOS+MgdFU6xbiEnVrdal65aQ7r6nwqffTMxNI9PskxSqBqyPMvYAGeQ9ccEyn4RINlzir
WXS3BZgRMjbYv6IbMY1ha6xSK5/VvC9Mt3dtQElItMMjUA3pnS0vE/9JI35Ysv6hnhIMPD41Wf7c
VSPqsipfP9dTP37kt3JKx3pl6TbhSS6GqI8mz2/lFMZVgoqdRZXwoZlAtPCbMsLFr8VPeTDCFzXF
p3LKFL9QkxHvSz0lbF/8K2EEntQ/NoQwZ9u8r0VhgUICE+1SbX3qQbGcd9zcjiQoCEtM44DC6At8
K57tVPqpqkeP5ylt3F4Nu4wknEJ/ghiLszwr66K7NwqrV2gdaaZx87eAW2XKUQQnj3eXOAzMHNwv
KVvVENRyAqFlkR5bgK3x532qSalhRoCzX4wHODZYHZj2QZjo68syn1NMTWNCe8D36hJLbDodaVKN
+oEh+Xw5W2F4n5pNDSLXedYWs6fE5LMEmBEyZqf1RVpgnC94jsTKtjPjPuYpKwOcB1Jb+YXkiSaf
0Gda2zSSQ5OiCeYw3rhVYIhe6WpzviLAfbwkkRg8kxH3nPDacUgUM+JIR7cwjfmOVSv31rZfMfEt
osY9+34/pkHH0GAHvRT0BMtTv2OQQhWkLRm28eK2rRffbfphwYXWxC8GbII1t1hcuoYdli+9xLkr
P0y81eLnjbFpRohDF5tvtzh+GQq2lDUNLuDFDxyqykULGTUok6eKIAWwOTYfFOQRTmJCodGz28g6
OsNpgfBlCCEZmQpUm+2FJDdtQehCRCb2D4Fpkkn74HCue/RTPGdGL/1ul6RW02/jrgVpPHKr47+D
UH/TONnG4EhZ7Mw+DwOnsifIjGmP2BqFi0a/EJDqiqNBW631geli7YzFnviKeA1VbvC2hpRyI/u0
CqCBjxES2l7ni44wQQWiy+V3N0z0V2ULDqU2T+N2aVZhcLHm10IgSNsSr2Xvhmqq70SJx45At/yZ
we7iDBuZT9Za1DN8iiN9bbTuFW7ido1ZgJlGTGYimV5sa+z7kxg3UZQ323kEL8f8z7+a7AZIadgO
wQDLAWNIOLmryiyyO7INbdh/8UBzKdWqA8pg49AXEHIdvI9flpEfOotU+G8hJQjt0a4fM5wJjXEf
IoM5yKW8MXJIJuwqYXcHq+Vdl7a2HmdPrfENQWLhCUgOlQs7CXQru0QQOZ64KJzcOmax7b0sTdod
8kMqNnZ/Idb2iDW4o99grruwuYdK3J4bT1dveV+Ea9Kh5seBDXkfKhodgUZhnq5qjV12rLXuaq6m
8tzYBKthl0HXtDJGFLo2rpa1iMPqwYmafiU1vzyAzYyeehp52JT6ML/NUFYFncqgw/bFrq9QNLRu
yAZNbo9+Y8fNEMxYsfxtVVoGCcB2iFP5g3Y12H191Rahv2V7zr+VIpsP9I+rYFrg/uM0+6sy7N9T
PbHWBFnhf4Z1uF+y21CmG6+TnJ9ID7LxhUU+ZfxouG22BpvCdcQL3sT14FzLjo2RlyU8aJjb/2ZN
/1+7om37bCT/y2/4064YvObJd9hyyR82xh8/9dvGyO6HPZhQB0gJH8LAP/QZ2Pz0JV/0A+lAQ+M3
IzMUBwF4n+7D8mx/TKJ+kwwav9gmvxCN6I9t81+Nm34KLoBVxpjEILmIXBQmW/RI/rgxIqoApDsM
07mUpr8ZJfginv10aXK5cryh8T0f04k2wUbXM6TolTU+ZFa3CNj9snn69O39xVRK/MlVvcRtoJTE
Zqqj51paPJ+3adqAdebHw4h8qhTnKEN+uBowv8TBNKIIwpZiDS8uDzLGu8LjxEBCDhscaXuuxVDH
Lb/6fU+PwY9jaGR5Lh6UjR8bR7MdfgMwIKYf9SJkkr+mYHzofj8Nt5bvb1EEk/JCP5VJ2k9tGiuB
J0kaVX82J57HtUMo5wO4A8/c9sh/EJnMk0jXCVIHTAwOPKs5081dATxJwPHElsGsvhNBotX2mj5N
BcKuiGno467JyLmr0vg6G8ABQ6Xr1i7m98cubk4EeNrTJuEAdonxaCz+Qez858tAj0J3uRD4Llhf
lyHlp2qJszzUuTrvzqTW+49V5AnUGVhkUTaVw3SNjNO/q0ORP//95f9pascQ3mXoyuTO4F7kP8vb
+vSytj5FVo2R7Fx6SpyJJxzOpC4Q+BjGj3//Sj8rzZdXQowLewc6kO96P91nNbuqatgYzzD2rVfy
adFnhr03G6usjjd6Q3JeYOqzVwWpacvin26a5ab4fNMsA2bdsJkaM0tmdfjp5ekhJjhtGAcuKoHX
Ih3s1yxf3gOZmRz+OECtZp1Lv5N586HYrNxvYB+7A/GB1sXkmK0eMO0DyZziXuZkWRvMabx5/lZr
Y73WNVjRAcWa1e5t01HDP8xXfx6vcqE8yEWGIMMFuTO65j9eKN0Z7NK2Q+1SDGHxmkA7izimZj1C
JzSyZXSUcZK9kZAIIF81JMlBYsI+SkvmO/wRhbUrjly4Wen4LWlN9+too9E5/v0ltuw/XWS01txE
NGt9knep///4Lp0W0WIb9+YlFV0d+t6692OFtXnZo/txGEg/a/SbsZjtYUV7D1meKCkc23qXL1t9
ljfFbZ3b7P9uLqMnmRYVdjRoWDUF0wNwcywJxKMxX13qCBCX1BRh2pVnuRQazVJyRMyssI5/VCLG
GBd72hz5rZFG12h7zGmVD25z7qli+o96xllKG5HMBmuDNSgoAdJLL/KlDKK+tY7xUhphwaBKknoM
eoybLkGiu9RRcimpsDdra5VO73XX9HeDrlF5yaJ3GV5gLrJCw7hvYiGJDXY16jWUceGb/1HFJWWj
faFfVKzruoPrRpfgIBo//5qMNd0tyrPsLvmoDMelSGyXchFVUr0TluFfNRBwNoDGmq34qDBzzoJQ
1iXJs8G4FKFFZ1KO1v4VClQqVDL0+j1bjSEDEjQ5jdEofp4KPQbt4td3NhjR3eCnmkHFVKhXz6nw
3elTqrZj5kWAXib9FR6y/E5uDfUzKTPU0uVHXU2PCmnoUmzPH3V3u5TgDLmLfclfJXFsqdCpzanW
04/K3Q0lE6qPet5aSnvzo8pvqfcja6n85XIISD7OA+nH2cD8OCdMpjtdOD+IMYP84MeA0F5oMvEP
tkxHh8mF+OjTFs2qd+NXEM3wg0vTZz1BMBBFG7Uj86YPCQ9JGBelRl7d6fiLD+lsmktJjvwdirbu
T1yuAhtMGYbsh8zpZbMBDBDpQZv3IryKGTtCyMlmV8brGRt5f+F0/cLRkT+oOgN74db5gO2gUVzI
O80HhkeYWVdsyw88D6S0hdUzLYME7cdQYQ45hJAQFKK6j/0B95/EH8CsO6Qq2KKPKzB7KZsVs6SZ
S4M6bulXjd0cddddohG0V0WJ910bRjfR13oFYCSxvME72x+tnPLXxk45YRad9x1HsxbCeBS7ZCV2
o2o4+DCO2M65U8zwf7qiDmwDamPgIuDKdy1JyVrAZTWetLqgvwTDN+OAkhW6dgXTGr7F0JflU1oU
fnEwWx+fdUYK360amGBuOdYY4hTjFkRa4MYcf3dhO9blHZuxeQRHZ2TboeYdbKo+j9TGE5NCupti
1r8sPEJPNhqPSkucjhiOLeyZfB2FZjSsXfgsHDHdjvqkVKmpvqGs8NFK8wYKynyGKAdBxb+PEtin
tOizxsSll4RrNYQZKEPZ1j6h0jK1AhNohYIemSrthLbD2oo6jGzeru/WGzGTfHwA6SKjTeZb8YKH
gvG7eBrQjDQRCWmTTCD1ApnWvrRAFmnVJzxHxlnQXUeT7I2WZt7PuTSGs1P7OB9KYISX9lCyJUXk
VPEDPuRjcwtzRJQvUGHK+NiQejxtO2mr5CT6qL+3UsN+tacQiq0nuHlJOyWcaNM5il4CVNmUECez
yZhpyHCTkHANUEZSWaRROt51tiPf6jY296Mro3DjZQzG4BWH/B47r8g4L9uRLiHZGdZN19viXvRg
oVcSCSfOXjG76LCNIk327WTQPi5dQLNXieb6j6XeLDdnmjbdzs079AvTbPVegGqFaxPLkjdWgeYS
J3Yw/xFhPHd3wSrZrj2xNKeRB4bGddoShXJreKVvHSYrlcNlP/VL8Yk34NrG7D9tKoTK8lBVSqHI
MIpekebhLh9+eeuS9Yn3tfQ6LbvkUwwN8vZVnFWZCvxs5NEBfpAlNyUB4IwnBqqCiD9jTTX6Mr5q
hDUDqDTrWOdyM+uncarFWIwZ6TSw3ZeB5WYeG2NZNHiYAj4RCwhk66VO7sviEda1f/RG0rRXZGhn
3BdEBrzKEnDzamoRv5j9pHeniDI3pSdGGNydx26xY/okzo0fNS8W5CUoRFacGMfKw+98Chnzj+u5
dRuI9KT97WqDrxXBZTO/Z3lmX09DB4u30ecxe5L0jro9IJPiOxnByxqCNDJecw7wULAbc9xt0YP5
T5oeFttCghkj24Blbm5lfJtUfXcCJL64lY3WILw0ty13BfTFf2xTbYw2uVHymCgtNP2DVQKcg9wz
l/PRE9xSG+JJuEdSGyr2Fk72uGGTkc1JtIPhBKGf9yM7rTnivm+hkGDD8++1mTL9qEAkia9kEc3d
qoBNxUBPGvyqqRBLgo0kYu4ADAZ0vQZlc6vAbvSX0+zmd+mI/slzu71VQKLcK7kkUxEi0ClsShlt
8tKZrAuth7K8iZuyGE8RYfIxIxUADPdUIt1XndAx4qncpIMUEHeSNqHE+ssuMDd3OLpE8iwqNNoj
Ey8tmx/qngAMfhl+Dro7wE2PWljLN9pCDHxyt3PwohDRd4NCOFS7dmi6ZJOopduXGH1qXk+oie1z
4dRLukINReLSEjGxUTPVDeg+wiAwfnglfrBWufBPvK7LN2Iyp3Y9gl9pd8pruPszBof4yUPI0QEa
Wqd5gncr7tOYNgiPw/9j70ya4zaydv1Xvrh7OABkYoq4313UXMXiKEoiuUFIlIghMSTm4dffByWr
W1J32+29N+6WTaoKQGbinPe8QxJ8YK3nzV0RgIbsOlsHRBgzhBhWY/dsw/P2LRhMvffeIX5h2AwE
0knycTK/f6jCJsBGPmJFb3UieJo0DsB3iWgVjK9ax+KOKJHMPYbjYhKejFhVXKva0MMmb/BkR0eS
d+11hqyMNpJQ6B0SWhTDw2gima4k+x6BrZcAKsbe9aUq/Zu1+yfzBSI7gNz/AEkhQKb+9KX8ccDw
7Xe+4ygmkAhutNBsgd0ZDdAzfR8wLLMHZwm1he0ZwLynEfiOo1jgKPAnADnoAX4eMLgYwll2APJB
8rJn/TW+hvy1pcMTAkItvBCfj5PBr7mWJtx+MzR4P4MVVim+DkHA7PMJ5F0W9Sk1cw9JBFY/PjJ8
xEyQ/s7QIXLC+XJGMx5OFeUkNXNWXMqVuC4MemRST3A8Z1qOlSJsp2bfqbQdw73yEwczMycaekQR
M/827A5EivNZ700HQd0MhN7laPPPVp/jM00Mk+8ZjM8Nzqgepnp+IiySl4MSQ5ZM2GOGvfnMuDps
17hdkBzzLq3AWvFEkBGDQAQFXRzcJkkLgh2wDVe5T5TimgqBNLOsq2esJUANIDyQbkdV+Tf++F/h
j4AUrOU/2jVF8fW1TV679qeNc/m13zeOZ/22zNYs17MvNCeL8dvvG8cTv3lsF9jxHiRsuOA/EJ3Y
bQ4IHAOL78Lk75plaf6GXNl1fIrZy0TvLwGQqNt/BkMkgA9gj2nD1PYcrBt/QdCo5ZFVl0l/KIvI
2tgx+Q7xXARrCDZPk6s++yZSXl3OqPuJ6VjDr2tW4zgpXutKr83Wf8QLQ52MrFXXY5ede3+JRDJc
MMRarAg4oa5P6ZinjqwBEixmhnO5uUEZJNgRVbDTgYHI2O2CNYjYvWYrbBiFkRXDfHlrVeRARBAO
V/StUCZgLq5NtFSbVDVPfRYgdkpK3pSlTQRG+tk1tLnJcn5cWWh/mNTVR93XTxYuUuvZ6bEtoQvb
5qH3AVv2h1RYn/uaj3cd/ZSVgM1RCxOXwNY10Nw9BKxmZRdcj6tHMsjq6sm1UgbpCw96MLi8gioX
/WmBn7fhHevah1fUtjRO3JqeRi5qcTPBN/bNVsa4cl1uZenXzcbEPHWV9dwCCU+YS+A2mPhmJfiT
0P8wlcBVb91ria6R5KFVF8NfSSU09jJDLORWLv9VyfvB79rt8pupBOFMAjypZnsRjU7cAk2e5dZp
rfk+KrN7nOP6bdbwkfRRzpUj8XABdMZ/Ah7bRuDAuMEe+D1B2egrvUUKWRZvU1FRPIqa8KoQ1sag
JvrZIItew8yAYlEHj4GJblYUGU6RJqEJiyv6jureX5X45qzrNGgeSZ5SEPZR/sKkmHd6NufD4HP3
BOUQtYV39C3j8bJIkmpCUyurZqM91gFtzH3e+xikm8EjNUlPn8Y/ctO57xO+VJQqeUQVy3mfElNR
Rvl48gIIEnAvWEUtP8uE+ybBQGZTlY299eD3rN3QpZmnhFwxDIbu5Dg3rOe3McBTCKmGv8qG5DMi
EZ79zJ/SEPOZ3jKKzdD6hG/0Jb+Tc5fwYfI3tqfna7NqgnXd1E+X551HJC70SEDX7cD1RjFLBntx
Hn3F+wImTXYyreiNTc6q5m1AN8Dq9D2WSrnsBUZg0/ss5o+uT+qLxRdh5yEc1Cq56bhdzFAfJ/rn
7VCxTzxvCE+4k8zXMfLbdeA1Tx7mTmvX4wn7UDxWPrvxcjMKzaYYDH5Uq/xzjtxiG9IqnDK7cbYy
ZNFmqglPE8Lph7xJNVbQAzFvaFWAZbTezTm+pbUqsViuJbfU7PkOUdxc+Y0x7iPQ7LOowoR2Z7a3
ikzFNbJowgTTAl1ZySqD9Es3XKhr32ajEjNBNGSPag39XbY12SeIB5L7PnZuLttLpPN8MC3YhqNk
/t0xcSa8DOW7mfO4ZRyoUxSbxX5Er7clX4ptqACNL8/WWEyKjBD3t57grMhiCRS6gshJEU0qx4Ln
eGrewTsK9khk1ZZ+OtgxmM42g8FyviyAZYWzxe8TORP+OHGMBT37W87BfLg85rYjgrOtWUb4KLTb
PrXCTzpxjIMTc6kzDSJpkZZxCAPB6UWaCSJFHoGl3tB6C0b87B4To7p1LtpgbRdWeDLrrjiD1Yw3
zoid5JB+NiKKBANj0jMuVGqLGDBZ42mEJ5fDPsXQ1jpPgBE7z2WRFbkozgahQ+u54Pjy0hzTDQ4H
wAZqcbkP4oz8W2PkL7OGfo3aCX+q1hQbcLIGSmhTHwe3IX+xIGpkTHIT7YojtkYWcShGFofbwKMz
PMxaw86+j0Xg72ermPa0PmQsy75fo33R67DnKwydxS7ydHmgYuEfHuEUl7PJDkYbuiFPEairRzdv
PPJ3x3dOzZKoHXlvT4sgKDT8lcPkidfOwGKqRg0iSZyigndLwqVZgMbL8abz1BtlHLdmYgdc7rUb
4IWncv7KzuK5ygJAUY5tszF8hyNQIib2MiO8gyQJWlVW2d4Pq7cKjqKXd+mWTa/xk+U8kUaW7Ky6
fvVN3GILA2C1rLwP2NKVW2XEd8YA1RLyxEogwjlBWoV2b2RNZiGCmMgFVgPE/WI04J/P2fxC6FLe
r1wqAncLJbMxSKOt0892Wo4bRMwBIhrTfnQiEuUaf9DpNThed0oGk0coTMhXeFZZstumxD2s4jJp
7/BIchFZIbTEdqImBitdT4pEYubadbNFGq6ttVtVxkmH3Sdyn8ovyMFeZWKW+MSKUb35lTBmQGCD
UJA1G2M4kOdS7uj1IW6S7ljhCZWSQ5mnsjc2Ea+iDSPT8DoYytnYZaIYsDK0Y99jZi+b/NBOc2s8
TZHs1zHqruwcxoFooadmlruuJsyBbnCNtKdthAjAeCg6yofYcx9/KMX+zTDzl/HDUtdIWOTkK3gm
80FB3fXjNCsLDHiDZd3hJjuhuJ3jt0TxchGF/9jVpWBZsetkwkr/48+lr/pxuPTtcyWuBDbjYw+T
6p8/lwmRPQWt7g7WcDns2IMiUV+KwVCor9XbH3/aLzO7b5/GMMi1mVRDs/rl0+YhImVnLrpDNrFA
lkogUJh+4OBkfruuv1vnP2mdbSbhTEL/cxdw/amesk/Flx9bgN9/6XsPQPIDczrMoU1Jtf+jb5EX
/IYtkSMCxzGZgy4MvO/kvIDugGrDx+sIxgFi1H9KXr3f6HZ58UPzwV8AYPGvaB1+XbBUaKxUHLZY
P4HtXhqEH8a+hdmlNRTx+cDp7swIuGRxjuBQv8+hgEKDd5z1D7fn3+xM+csO4QM9Wh7TsfnmnHPL
zv3hA5mkooea3ekwjml9DzDWY6Q8/Jlj2C+UQ+6qCeMAw6fFhwk/9V92Rus0Zl+RhnOY8Kpb0nuq
e1XW/TrxpOaVOyAjwwVhI6vUeGgGb3z/xxcJR/JfLtNyTQAOQR/Htwl+OYC6bvKxpvbaQ5m5IPVY
B8874i/NQ88sFQuDuD6N6YiGZArh7a50KELsi3RCBdiYwnlX+pDRyK30p+uGgS6vI4sEeJ8Qcshr
ip8lQZiZkMiMBe4m6bZYOWGzqCWYRL9RQ6oHkfqKTFZ/PsTSwQoBFeEpd53qKaTQ3od9DpFDR2Q0
UJrCTyR5iDAHs4JIDStB39QDRjI2mU53reioMd1Gf0J6ilYTHuT0FjdcUV9k/Yes4/3fEO5LTQH3
sA4TH4o9BHxE/2b5EieTfrYik18cxiQ4N9Xy8nfd8CHovbzd9I0GU+dWQRiLLDzq4flDIt3jUs9l
mt5SuKOyeGR0Ql0y4gviVHNxLmVQExcUEfOqvaS+h0OP+yPzixajR88nSS6er2cxJofQzIeNgNB3
Up1d3Td5G57mDosVF6fm46VatUTbfwAn6j8w63Hf8XTsLfI1e4tlcbbu8KN4nUrqpcijqUgwSH8f
t2H53JlEC9B/FubBHSgKvaEOT4I5BsYHRnKg4J/ehk5P700mP+8ns24+uiWx1iFci2MVtdYjXIfm
Y9pS3I1liTNLTn4U2XQ4Va1kTq2+cin1cFvKcEfRIaLTore3JeYlD9qNg1VnYU6Z2mX9ClyKR7sC
NqIvwmz6QMIg3iqyq16J1Jze+0ZLRZV02bGk+r6ZPADZsUsZADSiqAtImdgoaWQgq5a8L4ialPRY
tqiHiHJ15/pxdSMxzVtnRJt9xc6ZqqZt1S7PFuFmb5UvGJP0H0IkyddkDvJXiZiiMF9Kz5ErDqC0
3IRq2exG5dxe2nkJmW7ryqWlDtAM9kqxFFGf9F8tlZCIndjyNpI8CYpJMiMJcdzAO5QMsnTHfVWR
/uRllEzjEKbppkUiXmzKOCSC1wyrV8xn5+tiiKf3yJGwwCnZDFldqZ2hihZGpWs9JhKBShzRpVkG
9xbyi3kgZIZbvSzRDO7tVwTlajdfGt9q5klIt5z20mL9Q7bVzxRd4SlDzDkY1GlxUue3kf9mdgEk
IqavhGwzubWPceO8mPZUPdmkFX6IEAqQimyoZG+bpb+RkpyH0Ou/ttLTNzp1WJSj3UNQ5EG55C7u
sLLQt7gAydugHZzbDg/kxyJp9HMHg/rFaCWrdWlncE8vXwSg41UqDOfd6CPBRaztMzNFl/EpYhoC
ORkTNubigWJwxMUxZMqOTdkYD6RZFoT6JOl8PfhT81E3hnqY8DGm+SRZZ20x6D6NGRE+7mAmh7bE
w209hmOydxDlv2rENjymXHWYl4DtPOErHpxTc2IM6RIketMi9PHtj74KLOU+9wjj29ek7uRzYhW5
IkpXzIU8JO1sFFsqK2Z8eHCGzgldVCcfcLMFK5Xj9N7ypwUp7WKSD0js21SYxexYh6QFtJDTMVzB
7GnXd8VNVwb4hrDCqOPVXWs2xj3Z6A+G091IdA9cu+fcz7XD2emNAn+U6F3ohDc5RS+WcGyiCD30
MbfV+8aR1rbLMNzu5PQ58fNuK/vui4ptXNqKiMw5GeNo6jJutjp9xit62GYOeXhNGLVfCHistlHS
4CZdhbtswKx5nFUAwlF7zIWcaBPpCGuCWU7XRqB7JNtzeHJT/2QoXSFYrvBf1fiFH6Vt4i1vjCT3
mQyhSZDvy1WeZW9oZfDdJbzM23eNnNYg3w9T4SVbuC3BVRpH+ppE84EACTZsheTtKsFBeNth733E
x81aCELmER1TT5+GZpx+zmekSvaZFqSh9IWV7mM0Y2ugZ/MKj/jg0EXWO6aXtM2gJWerCES2tbn3
r40eBpc+MGDunc88w1XEgO9g68QjEpToQ6Re567BWJl4ie4YDYjWqAtcxSuMTIMpbF5FOXT7yIl4
5/EC90mX4DUX2+BwaYEYXiBQXVmtahATdvHIHBfFYuCPL74D4kGm6XhVwPwGuVfqmdDJ0lu7ozvt
ieZMBtA9oJvA8WPgHMnsXYvqnurM38mOYcVRc76iU+MQifHr0wBw8PTLawl8djXMmPKXAKpHe9RA
GnHMrmqgGmHYX5SsQORlzkm79fh+HkQKBIYHhN8UhyHbiN4oT1btzp/wknCOcFLmR0IGcRS3muAw
zk5wzLtwukuUmDd92FUnPLnk2rUzuEau6kGmIrVt4LXde41UFAeTRRNXDzjwa39XGX2+NYJsXg14
2RI/KdInz42YEprTsJPhhLUf4cW7Ks7KVRfhk2EZvMsTczgmhP0BRvb9JjKi4EPmR9Y+S1jx+DrH
R78fwy3u9qiXYLVhrT8YDzn+1jcWnJHThMAB2zoniOW2cuv8KznDN3E4e+dgbBnuyoFA2hWOz84m
l7G61vDIjzrOocUnsVtfZXMonrvUI6HXc/AyX9lD1lzFE36LAL6p+VXneZ5tpMe4dmOmZk+UBECO
zo16T3PvPGPqnSSbGVOHs2yj5jUXqYvfZCN7JjFWYUXOc9Cb5mGIFabY+Cs2tOgj7BmMnPrPZWqV
8HmGpS7Q1f04tgvA2pMK4yPNvyIRAvNhkiNTj+WXx8da9PU5qJpSwmBj/LoaSic5jHAlmnWalM7t
ZBO5MqOh/Gxr30AIqCcspogEwLCREilNBe+hzJoPyEWLc2CHGKIUuv2C7yQOWtFgl2pnqgakVXMK
vxUZ0JdmuvOglbfsAUWZ4IWmDjcX/MeLE+T2sXZuZ8z9H4xSay43EQQVEEnsb+ATOOucIg+NnDvq
zyNuvXobOzwkC18Mwl+oCr8VX4SCMyS2puYLEWcp4KaDp//KykMIEeMSrkQZ6r4byVMBKaJgJAq2
BwdMyZM5wgQszuhbiMsgJWwDuMhhXEMugThjV7jLOw0v9yAv6fhhLnxIbBHdRjmVRuG4+iaaL98i
qJ6EQXg8njHVcijP+fTWptQkCbhmdgyqyrrjGCy+AFiXyPciwCPMRjkqo4VGcYElp0ZP+9gyug9k
MfDsrMrwUfnm9bSPMIq5YqDB9Xf9sCFxbkJTnVbP8F5JZZ2W8pdpyLPXjtnRxpuQCF5pPfr5OL35
k0724xxiKpgmATzBgSy6iQw9m5wNkR2VHVT3f9xE/EoPp22w6O09m37J8yGq/tJD1HagymhRqkaG
XZ3CgMOQchiXwCqt6vtsqWhmgc9mz4N5aaYaetpAOtWma50/a2iQfP0MbHwbYjEt8nAHYjS29JE/
tG1dKchNTav2IBMq/zW8VufWcwHboxYAeiKlehUH3Nk2wlfIi0rkn40jDnNbvpDPxcLEG+6EH+h0
VQy6euo6KW/7xB7fD1Tcuz+5cQu59AeK7+XGYT3EzA13Xyiov3xZxsXK6w3RHIyEQIe+Kdx3k2aj
ofWOb0l6UBteRSwwTP/xX2pBgUzeUydVjOWnVC+4KRY138gH/5msvrScP38p4XgM2pYv5cl/aXwj
It1tVC1QcHIBqBYEIgTk66ozvuD9vsZvZMPRPG8hb/HiCQmxfUo1zasXL9tU9uoB9/DqJDIXU6rQ
Kb/oJGM6jMRqS5bWfAiNuqxWVQsJ9Y9vp/NvFqLH0B/wgqZagKj90rM7nSE0bob1Yax4p+H6it9i
lQfTrpwwW9dJMWyCWHhvvT31hwQX/h2xmZ/8VH+EdwW5COnr1nCGCBJqXl73tS2fezJ7r5MZpz3T
zMWLLVU8XutIF/1VHcf+MXSB7E3QLXI92NA5R8khChLn1rRwpqyJAX8Yszw4U0DOO4LIpit4UQMZ
vt3AJIgTxpad8dBHtfvOcLzpjbRG01nGeYSKkFVJSyNd6t6hzI5dxwGG/IianWYZUDxS/NCMvrdA
IpZzEl9q9bGYq/siq5YzJVjKdlTNT0EObC7NxH0nhdJbsif0jRKWj3duRQ1qATlgj9N/iGYDHwds
mLKXWnTKPbXZ7PXnKhwiblICo8cYcVndAv0SD9ZpwYjtIETaiRrCZWs0csMF4TZbhhJBXSXwbfTc
OYuOipJmE87Lvwgp6MON2eC8tsZeyIKXhKONfYX0vfkC+D5q3sbU9Ijv0T2G4SJ1iAj72I4cwjG2
k5Ty3mhhjUTGEoazkXmg++aIZaj7EVskiJLkLK8bxyjrdR4w+rqYvfix1J+ntFO7OmmTfddTXZk4
6iACa2ko4sLtPrRJ9uLV9I/zaOlnzH8EMdQTHu6XexeogQiLGebempeO8VCntjhavDjuleiTfaiY
bcHLarNj6/jlp3Eyyk9ysqgN7cyGqIjBy060fn1HJ+qf4etmxFfR9LtZ0XzEFKD5OI6WOJojp1G7
9HZFHCwiybYn7nvOxn4F/7LbWUSLHesmpWspPOZvkEPvc1F3Hy5DKLuwy09Og9+YKemwtEX3vCEY
gTdAi3HqRzsFUKpwurhpPYQpiOA5TdqwAHUmaNjnz7L1yMaa2SOLUyG+NBb/EZvS6hWbR+7K4u3a
0B2uSGCaD0XMO7HSFaicPfDKGYPlFXoZsToTU0Fk39XTMHn+2RqAWRodB+fI0vUpwZb47OKyAe6d
T3sU5c669Iv+A9aqtPfDlOz9BQEiU1nf5Ap8CGdTEIKhmN98dulMqOissT/FB3T0NAnaLe226US3
1jINz4fYXUM8RxJnLIXz8q1HGQBi+UnJwiiz5RnAbTlay1Ydl/PdVGogBIjXlFON3W6s89Rdgg+Z
P/cJyMjSvCajSQMfj7K6x1WFJ1OS/vzl8i4mvgstEljPdKVwgImXohdcRzBCBVjl6vDcuJojFLsw
/fzzZRnaIxAMy7syD2NHdpCMQDxEM1X3F8SnECyfHGu3tWuBnFQ5XTDxLskhkxRUGeqwcxe6DtZU
wAMMqLgNsqKzBXDk1i9A3pz4005hdr0mAeWt9ufpema74QaKnWi4GkawMJ/x4dbEeuuh0hKzXwrg
gD6FkqwrvfGu6nrAuaLlEUeDmR3HmSsy0X0A4sxswTIYgOBgnAP/KdNZ684gZyplCRYAd9h/YPi7
jsbcubWV67yj4DHxeHf75mOb1iCCMzYeT3i7AJQ57VC9wvUlhsNkwMwkC9zGrrOjsYArsKo41ujo
w9MFqcGlwYRd6BX1upjRWOP7BthTob/cCouPv+A3l5fkqMBuizKWR8M0vpp4L1MuewaPL8splqrG
VLtvSzMBumRAmB0hh4YPJjTmM8QN5shQYc5+2xCzYYGhYUEMptYttfKQi/i2l3Ra68hsOdwNu/lS
ZkH5MkYUO7VZBefB45wtBzyEV7FT1a8mzi7rQanO2qJeBsrBR+HQpuzpZT1X9XIMN6QFXzGkA5EM
Eo+aV9X8Oi/R6SoRFHzxgnpTlyxvARq0F8tnSci5a750VVh+iq0wuvXwlGUwuKwfnHEOtDqAkS6X
Ey7o16W89VG8YC1WqAeMHUGR8MbYuJB6Hi/vBuad9Ykc4viWef2COwGi9oYjb73IcHhVDIEPbYIy
hJmZ/XiZwgdEgSB+phKWtMPr2E3xvHAFJOSOBwkHLztOOBKdZ8EM2bEpYvPlGcSUh89NM8AfqeeS
4nyw8HiTUU9sNGWyJlDlbJaZ/WjkGC6GnGNPZePr59jNwhP4hbu+QII9/rRHH1P0E75DwyYdKT8b
ThPIC0aDqw968F1VjhQnhKZDOef8geMPClpmbAr8O8qXzDYAqAkI/iCSkFahpXAWLhRTG3CZKLNl
8VyO2dHjboAcTVe4dUQf6eonHJ3tfOknmhEUqiYmuga0ea+XBGLMh4Es+qbnZpocb3HPPsK5ibeW
22t6PIbiGl7zw0gE4oudjXlyLBgCnwadASIuR6WAygi5Qahb/FIUjxIvuZ5B2lZgkULbBWTCnqxB
pwu0hdceppuPovK6rx7Gk/uWr05YgWLjJgE9kc5K/bnJa0qOqpmzIwFfNDE4lt3aXvHS9w53bV50
JrYfs1V6xT1oM5NuCALhE1VJKmF9TCEvZbPEW8qG6AQpgtSy1VBRTpRlSAU59djydjzwyVczfn9A
6pc/XjYmihdeMYbV1a/OwDtV81I54h8y3o22Me0IL0r25VCyoROqyshzOGR6jEVupfZmHKGcBJ6I
O9ORYaW+Gxv11sm5dLdxQwN7AYq9Rr9Im850qIFvp7GiJdM2Hg4ACVwxLjJZOhw6Xz7PdRRv5mUS
0wKobGGx8GGq7PxTG7bl6lKu/j2q/JNRJb2izRTqP48qr/41X+Xbr/w+qAxwXmNoBg8Q7zUZ2Et6
/T9YvhdKos2sEKYg7zg6ru8sX/qc7+rohdXLgIbpN00O9r5/iZyIS8nPHZMZCBgwdL4WI1DfZn76
c89ZIQrN0mh0r3KgFBBKDk9OUGuYhmrdNYZuoWvYc9ghvMcNP7wpi4nytHZMOGEsN47ydxmpnEZ+
ahqETePWmMda4uQedlTIneh5lXvIUyjZY/o1b4dUJJfDTWuqBFBxsr1BQpExiKDbtQ3EwnMPOe1V
RcN9i/Y4XFu2QUUQu94uIyV02jVVtOyA6Z3hzzNiQXy29boihNIkAYD43nlvW3VjnosR4Gqd4gRG
OCzxK80hq+gE74hqVu/qKgyem2wWZHkiHLTWNZRAfeXiOxFipR88GcKVJR8xufN2DDIbk1zGz4hT
Jkj5okz8W1UV7nMFNWxjBOXwQopaejc7KBHLjgkhomXC+SgFCEotRQzJpi0NvVdzzkGFz/iL2zAk
tBthlyurTILXMvBfs3G68c0arSURFNORf4TXPd6Ut7ChzQPUbGuLgoE4Dmhd/IwADcGTBVmGOU3m
ph04Y1ecLAHDxq6soeCEEKwHy+kPBYJZaDpd82GMc3JMMIHcz6hZ7oPGnk4G+Ey9YhY0GqswZKgW
Z2nyhfXg3KeMkzCWKG3jlkRJfz9ivUQE5WjhT9YWjzGGZAgiuvKupJdb94SjlWvpt/Y101D0amXW
yJVb2eKWV0y3CTizSeL1vGOfWPNV1jpTv0k6yDaWXdC+xktAIFHaOzGImSoxHVHSwvt+MaZc73xM
RfcY78+8mm0idnLbY+pj6Xdk2YQ3nVGV59KAFr6XsLVvx252e4tkx14CkcIM+f1/Wxwx+/gafymN
2RypHwtvvfqdxQ5INRSnnMyMrNx434judm08kKpG1gTq/AwX+i3kWct8/ftE/W98LrF4+MMDdfM1
+zR8qr/+yP349js/Uj8C1Pw4RgDkXTje3+nfDsxwKBwX7wnzYr70T+oHGJGN3TmZRXAkFtjv+wGL
R7okXQouiWP7F1bI//u/PyFQzS9//p+iy+/KBA+h//0/VvCvOBlzEsuXpoUrO8SUXw5YlUKIteag
OkzuFD9hAVTojasFVkEY1+GQ4tUYyulqustKe6aiJ2kYdkeA17apd0RQFRCOxWxBKOjQ2hYFUkr0
TcPXsXWNhdqZElhCAtMScVz4Bh6FHZNOg9JdYBKD9R6OP5MwI+CcgNOAm0hTByH33beBOFO8myyl
cYHHCmnYQ1Yl12GKC6JrUSp1JcxOw8M0j0q6WiHvrK/GCg6kmwuyiEYn3bNTkTiK2tVHKAThsTTq
9gGPPoInm+Ql9SrjKclyyIeclytZjQW6ZztC/wpPGhhQEwEKNpiPzX3vR18cQ3GRxD6urNi+h+il
dkGAdGlyhIGOsmj3ZqTeNPFJhC4GLUJOE968o8Gw7KrVtE98OsfIvStGEua89prMaLHqbBimlv+I
d/K1FTK+jMfiHTIS6zzCACSJpuhXtk9Wre3nZ0gfZ+nrpzBv7fVstSPOwtEL7OrjEnCyWlKZ1KRe
qmUM5pUlqd3G/KwyuLEM5OONwsRy1yEHJAiRsBkveBxFuA09unEVustXgAbi8FcH1Sj23uyZt0IZ
Bop9haVuE2QfSiadH5CcQYhdaN8VeltmejBzoQMgTjTzt2bWd7iuAP9I49TKqfpUSqt+xCuYMjpB
Bkl6e4aMzdZ3GGkcyKVHEem01e3Ux/WTVP6j25B2XI70mRZC5rMbKo/5dmAdgsr1t3hhveedbVQr
KYb3RESi28nLxoOfupi4B2H3aphVXZBWa4p7+jJxkycI7zeDHY8w0+Nq3mZx8U5gSLIVNa9VwrrF
Q5O1WAT5Id7wAoAjXCaM6YKtxRniPSw8q2BfX3C3SFsW7NCpXKWWw8sTh/LyxrbG7moB6/HxrA3n
PdLJ5ErmrvkiufBNM7WwfJPUTrBQQny4s3xU/CsxTgxTJ8y4jyWBP3iIpWAtRuHMxt7HiSJ8mwJv
uM7sWgB6FPCUM1w28ULLIiZgqfXu74P+vznoA0tw9P3nyhmHgbZOXtv/Kd/+BzCpyz//bDr07fe/
H/pUwYyJiLlY3LG+sfq+H/reb0hUqbFNdPAXTdw/ymjhUztTJAKwYzgkPZdi+J+nPvQ8YfMfofzZ
FMJ/hfB3mRr9PIeACSGJbcBvSLhiufIfJzmTVSgL1bR5UFQwefRG3MAtreaROdsyPzrA8Do1xLGw
kZ4sxckmmj8ZKCw6ql9GIZAeXZSEBHfgUHEZNv0wTCoJ89A+gPyhrCfzJpRPE2YlTa8AtABMbBIJ
2mqpyHCdlRkBozpCt2fLYjvYzxJhyUzCrEZXaiK1T0p/1wa40HrIpBejMqq7FVzqDaLkmMH464K7
EcC76grCcdVLCiK3/N9JypUEe2zmcp8QQt8Y28kJDrLERhW0zT2jbyim1Wy2MKWNuhFQQhS2G6L4
QLuNdNUSh5H8qBzWmbTFVdThZAF35l62zSIZpN8neZkNDbpGygNo1JmYnXtOng68fZkpBO29Gzxb
wtg2kfdpbvgGbGlMMsQa1yPc14MVlsnbrsw2/ZivUcA/jAZ+hNVQbzGN2PatfuF9Ze6TrLuLGu8K
fdTnmfiMNlXryh2yPQMCspjbNluJonjNR2nuVeoztzSH10LCOnG75lzgIgDMoNfabfgwgFglGM2m
0frvw+W/OVxsYvwo4f7z6XKNrqskSurHMvL3X/r9SCH61AxINfVs17mUir+fJwFFJLI4cmSWWNN/
NOSEoVoL+5TWGeLwj/Wju1h+2qbHDxDMwRH1V04SuC8/72PUU9hI46J28RAV4AY/HyW15aYVJhfx
aUYFXq2yjIF8u8Jl0p5W2pX9sxnl3o3hOOVDoqfiZh4CY1X5uQmKhlptayF0odhTM4Fh9qhuY5+l
u3IN6srAq/djgAtIi4JmlWPnUW0cfySHoWQQznQFE+4dTs/xVZ8N5Zn4dwvfRDs7a7Ig7rxS+Puc
BBO8dkJvL1Um23WUG0xcGb7t5ySuj0oK97prJjw/5iY21jhNtjUjAQZmsEyHFwVbgBwVgr/WAr7A
HkOc9gAxJHwoSUMY4PcN47EzPys1l588lfnXxNKHYlWPPhohnAm2Q++OOEmO7u0Qjn4E6TXIzPUy
aTxaRGcdVG0br9hfVW+eToJbkRb+sQxzzPVHoh2YT2nrLsFgcMFR6wfZyOGUKt4t2JilpGaI1P6a
mqQCpg7OCyCZomJyF7k3kVmQ4a1ng1SOiFbfAme/wXmhOE5J9dQHY8UoGa9nFfv9+1i37TsMRTkl
4RLXn2EiRk+1oVSw7hw5rVw3SjvyyBHzd35xBKREnE/STX2MnUB5axtI41M1jUO3tuXw0cXCn5tc
ZJ+zBJfpYE7anYXz+utsIg/FE+rWmCPnpOpW42M0z1ewWnGkd7xm58FYtTc1kXCc21NnE6ZuR+oJ
KxVOZO5Sx9+WG80OZCK7mizwl7rMXS50xOapscIOf1m0V6ljxvuxwmEZL8j4o2qTWMGb1cLGIb4s
t1CgU2tjhA7JNzGBPsDnrL1jVcvuupMBKpiuRFG2mqw+3MUzQ6QsWpwUhqbAy2gWS947Mpk3irmu
XmtK4QQfzcVVIo2Lu8RFLyiryTtH9f9n7zya41bSLPpXJmaPDpiEW8ymfBW9p7hBUIbwLoFMmF8/
B3yvOyRKI830ehbd0ZZVQMFk3u/ec6HuM+1TK1sG5UXTG9m5bTjWtM7LgdFCLdC3SZ438WNEayut
JSoWn9txEGijjeuBS0EeqhuzPMzNDNBB+zyyGeQBYind8IbySgp6AmOLmYphAGqFJ91Lqij1F6aX
+RG3cbseMsNIsFgrXKtVMp7Nc+91uyzsq4ewzqJnPKqxcYpau822YeVbX9vB7CBy4b681ajq0VZP
ufWph4NUrRmmqRtLVe0Lr232CM1gvebSYcatp35afPRFcGAOPuBkD+hZT22gHbBrRrGKeqYQKxVZ
zqOjIU21ELQ+Yz1CtoKGPsVrX87FgRd+wLbM9Ok/ZmV8JJQZ3s+sl6lMzPxomZ8Vutg08OLxblbl
qxsn4YNMxWfDHJatq3SgonnTN7ehWJFrwqqrLQHU6plOH0B/wIN7nx+rkp96X8BzwdfVHIOo7nEW
a0WxPXjJ88VmuGl6eWN1xDPoD+Z+RsmH6RJIsQ2KZl4j71BMqAmwjaJJlyyi2s5Dj4WktvyTa7Ib
Qb/j1U8tU7avleKJJp3JX+PuNPeaGeOtzbBnX6dmPiLS9ZHYCl+CAciTkNQWD1Ntmw02TkB1rH3o
x6WAFg9tLiJFG2nt9LcQ1ljCkB7InvC+tZhjrd4ZeJhF6hjFONKYywzNi4alLw/CCLoDHCsSZK45
dVeik8aX2vVL5oVWpq+ndjJ4uMyMQmsjC+UqFELvDGzfLx566zdIMcOnSVTWhdOlUbnth451hOPS
8EWVkdNeJVMYAXa3G/J0yRAdE9sgs2eZzV2cd80G0+9wJj3JJqjI241X+ScBs5i25IpwMj6zjY7Z
oGcgtWghFS2hzvI+rly1J6YRrZaxHOUPMpU+a7ipWrOn8ratOc5fZ4fF0VZbGEdrR5Vbs16UuoIq
pauRIaNWZ6JovapfCzk06RM+jKI6TL6ocvMZFr1Ha1EiHYu8O5mNLruKxshArM28KysDtwVuSd56
2NxvKa2Lr3ksjnvsRfNRx8OjK6rqtmWee0vSMbJX9H9FjwOTV2xsMgCK5lcDRcxx/hhUns1DauC2
CtKmujbVWF6zT2h3WM+YiaW5uAxhshBaJzybuRJiPMZ5Zz2WE7FfO1S7NvDbjAl2WV5mocnX9XJj
B7w44cQURsOtDi9whb7M0tXi61MYYLP+rKIZWkwf3YlAemCt8+E+VkbAXl1HyTdnkSOrd2WyX0TK
aZErQ0yEd6R9/WPMgX9pFllzmKQLvq9leL+Invm7/jnD2TvEVjHtMgG+cbR6tW17TNL5u3qqFiHV
7mek0BTttRyy6xZeBR1NiK7Ru/46WTnzoxlpxsvsCznWcc3EGbl2WoTbeJFwl/N5LxdZl2moPPC4
8PdowgZlJov+a9uDe1OEc/I1QpQ/pKMBkVqSFeVzmHSfpkVKpqp32IdTGB71IjTLqMbbsIjP3E8o
T8ST2Yu/q9OUTqFUz++i9bt+rRYpe3hXtbtF4GZ3Z+GfRPTO2kJcqUUIR5wYjx0vRgI19nDJsO+L
uQjn1ruG7i5yOsmL5MWkOAOvPWJ79a67p+8afPKuxwtwz2ts7/4u1Vl+TZJieEHXHzZ5b3mf7EXW
txeBv0+Wh+bwrvvPAwCwrZS2Xd9VTAZSu4LepRN4B2ft++zArAI7Qb0Ywk/pMlxwqZ5qr733mQPs
iZYJt+flOEQzqzXPbY9B5p4OkWVgQb8W0wte/Jx55L+JwUS8GamunnYIJHSch2xSkqpaOr2ZiKC0
1dlZLwsyoKo3kme3cdz01fa4xaFhYV/YStr6YpSmv+pdgRXCld3Xf1W/csnaFMGCdYcp9trSEMuy
d3zKc6P6kunRfgx75d9bS6VsS7dsu5TM4qMrj8iCzdpXulz7dNF6xfyJB+AbLsXXrPc+LR10n526
YwUhlirbzgVhSz/6gQxucU3+ZzsI+kX4cWxI7Xioqrxv35zZ1dWqb1racofWCZaG47Q4yHrqbxwX
DsIa/2JCIbEM4/g+8JTclrM93yQkw+lxrYelnvf/d0//m90TG5UlvPs/7552sIvSr6/fb57+/v/8
c/Nk/oM/YdKcAk8FWf07eFHg/wOJxgM0zegUieW7XRQVCKZJywJyDLZHLLjkGP/WY2zmpAw4eazD
dGQ9G7r/l13UT1qIh7mG1xccJHb2uAx+3EPFgK/moKnVwbYVdbUUjxPrEzZmLsGjhwGlKyu8Kwpv
VJgQyv/uXF3/Jft8PwNgm/i9EuMu5Bc0Ks4PW0gg2R92cG0bz6HmTbEflK23/lR6Wyu1C5rt0/Lw
b3wUVRA8woTg1H34KOlk2rJKtyc+hbJLScuAERODGMbn9t84Kk7l4lW1FojOB//vbI15g75Dk/Ri
aRzBlG0kabV1P/rq+Puj+hA0fT+B7HyJ9jpcFGyEf/z5eIKpvHA5gWFK75SebAiCynsbtbfBs0ZP
Rc1wYOnRWwM7rv+SVH6Y6Hz/63EN/vTrOS4siuUqpmPsw3H2I2k3h/3b3qiFtxQjJtuKxdP57w/x
52vEpbgDNSEQ5LQYWv14iF0cOJ1uI7WXhJUl12bVQcwaW19vs6Yktfn7j/sgKnBGXRsJFA+Bhef4
p0QybRO2k7CS2IOK6Mk7yG+Yk98CLOXI3iWtTxC5fv+JP59G17aZv2M0s4T10xgsSvJsCJxa7ZHg
cTWCI+THwhb7+09ZTtN3uuv7cdmondgqTXAUznKavxM9Ka1GeW1ztXcIBq8cwzjHXnQ1EV5es9h1
/3BMvzqL33/ahx/NE2bcxm6h9oGmhDKisjLWJfTkLAcxz3Z/JfP88+8PcHGb/HSEeOsXtwYeRbwl
Px7hlOQ0Fw3cdlbiiStRi+IxNhWjqXqmw5sX/Ua1tz71E2tWTt1XD1fsqSEkoNgq7zXhpK0aaVGQ
g998GUfHOE6eCFd21Ld3s5wW1yVRqRyr+++/t/WL398hok/awg2Q2D5m4IMu9miX5zZKB0WuSiw9
k1CuXL01DPIDAISo8AhwzjmcvS32MfFiztg3lRU0l7TW4NZs4vAKjubfmun/eIO7v/xqPJ+XO9zl
H8t//91Fk4UFlGO36Fl6J1s7StwN7o0RdrDXk1KNu4cxxZFvDihLm5oq+tNYZfKc0KnOmVsycdNL
/ZYg8tROFXkW2LUbLMmkd+14QrO25aXtzcaRukMaiqHbbAZqrUD4yPBRAa597HXADg8G7lqy8N6B
KljcHTJAKR5PfS47TBEFknPk4lAu3LNE5A9qCGCCiAmhyplxhTPtharTX9UhXr029WfEd1AwI8Gi
czOZzCdDtuhrVW4wdpve8sm57YM+RwOM8wPFfP0Vf7na/f5X//kGCaAuOPRC4HXyEDJ/PLOEol3l
oo3v0y65NHKVgLpHl0vHe0oM8agpvHb/xidCRfUofmCM8xEJEMpRB+Gc93sZRUfyaUvX2ZewEufS
gfEMvfT595/383OboAlPG+iLRGCQfX88wi4OdcVv0++zqWhWthbDMa4HsIJYbDa//6ifL9PAxaGF
PwwDGLOtD5dprJg3DxQq4CnX7llttNaxHpT/hxP4y0/BiMUyxXEczuGPB1TCeCz7gRNoeBKjc8tC
/oD8HFz//mA+xl14UnM0AcYIVotUlLofPieH12x5DeYEUgP1Bm9/tvPGkn6JrqrhknY+SwoufDgX
sNiDJ3C4+1rk6Z8eSw6H8+MLg/QSvE2XDi7HQmf/8XDbthZzqv1uL8bCh/YVFjuA1P1ODD0FoQ5p
4aNVjSHaVP2tqAf/Nu+zgdCsqS/KeaY1OK+jP/wC9i+/ExUJ+EWckDXrh9dKLAzDiBKn21exqpAY
3W1o4r+bq769jDpMS4mviMVDZF4XLdKCalJ6rVPT3oRBhW2pKr4VgEUu82BEqRpeFKr6uk375m6q
FLvnPnUPiHrDqZqKS8Ps/7S4+PUBYM4lyIa9hunIjyc1smRYTtRA70Uy3cbSb3ZqEPFDwlNs3VAX
uIk6y8QH5vW8sWR5gu/9GqT+fSe98KiaKFqPBF63YKDDm3r26/uA0viZNq2TEwDhAps8AcrLDN4V
fUEgpm3+sDyylp/9p8viuyP4cHUOhFVpV5+wzhhZfIoogzyR96s2mYHPjsrRlYMCusoykwJHjB5d
I8o/XAXOL68CcEOmy80IiObD7R5MPEsobuiYiSQ9Zn3a3z+zrLr2RQeRNDQx6evxidlR8oUKkV7p
eJ3VNvYTh8y+jpHwTTqkJbnx1ZBa5Jd9WzVrCm9NTHxwBGmptL5NlWXxqPTvELO3rplRHGCET02Q
oQFp1zw3XKs4zDWzF23eeRMfRFhzqYALuz8xa35eugUeu0G8V8zfTHZLP140eLH8PAJmuG+z4qmK
9r4m+mPMJmOJGTra7x8/v3hsM7tz2Xky72Ot+GFH0RU5Vk8eOnvU8LeQ/hXe2rh5BOj7P3zS8pc+
XEl80tKeQxwRVf3DzdxGsWr8yOVKkvF9bjnxU0Yam1jMxG7CnaCOrEzPCE5k8ZI/XEK/ePuCQ8Kx
69B7tMBOfzyjfZy2dpSZUHVpy8Xnez367a0porfC7z+z5fU2vz+p72vPn47VBchj2Wy4sc/9+IEE
37sxTblk2YZXt8ph3TNFzmaq8LQ5ev4G9Py+TotxE08NixsBZE9TA7pgIP5w6L+8mFzM0eCJaFr6
+FpOiUe4ieb+HQLmDmbDJEHQWrEyUkgAbpK9/f7If/HS9ExWjgE2iyUM9eFHpi41j0s18iNTbLzH
uxStZxUkf9gj/vL8WigZXEmcXsFk+ceFamfF6PZNt2ePLNcgA5g6VTRne1FgHIeOGGMMZH9jTC2S
W0TcGjWg2I7aYCTl/ekZ+fOmPECNZ7Vscg9B9PvwYw+Tcueky/kyGhQedTdQxuV8QV4iZgpsGeum
K6t94veEt3Nl/uG2+tjQs6wfeC56nGzW7YH4eK31JNJtpzLlfrJE8rnx8YOtgCD0Vx0F1JTFeLXn
rWvFH2BeC/Nzpb22cIEbNAwjaMtc5pXGNFzoxGFeY/c9JnA3druvv78yfvGggTLqYR4wqX7CoPrj
T4bxO51caBp7b4zkjnSH3oquDbes5dM/nJJffBQBckHtE6zvgLPz40elmdU1rfTbfT9H5ZtgEnYz
VwnDJ8Mz/43DYg3qAhxfJLWfnmoNmNO+CRghuTZYqNC1PGLKfnSWyR4V8V9C4/VfT4/v5ZdfPMT4
JGQRlogUMX3cNxI9iKmG5pNImccbPOfNHfWcZKvMjvagscRgVCfTHx4fvzyV7K8FaABLEG//8VTG
DPf7kKjbfrKJHpbuiBMhK5mbm3b3h48Kl1jHxzcEKw3IcD5sdZBzH26kIBe1imeLS0SQttt5ExYJ
sB1iYLJdRhXhN8nI3mNNXqxbRw/QRXqpxu08+k55UwYuN1fqoDEeYZMVj3ajAU7JKg8UESkyVits
7MkrerlxQbDTBeeSFGS8OoKYWG05JGftL8QsehfdwdoxhiHo7RpJuE9B50BiEZLKbjLTMMuUTf8M
peyuvcuscvS2Ttgk9jMRyrT8xnRJLEgNdjDJ2cjAL9rINJfJQ1fU1rQkP0N3T41LKbaG2Vincqa4
YI9ZRHeXbgmk8kL0YJduvI7c4o5/bwx0ZMguByMswrzaVHSIxBeBj5NhA0WmznbKbYs7beDNPcnK
qA+WzAmxTrHE2BAm6WNJJkXQuEAT19GPyYGvGXkRZJ6AX8XbEr+MPM8020kA1YzaqVXtBqBNJFyn
cQOBLTLPcENEJroDjI1NU7rL4iqlhffVp4ACJnzUj+s5AIN5R/iLqRkdHtl0PYCauqtSIfvtZLSh
f2vWhOO3ik5SdWQROzJpxHkDNDWme0o08TyvO0LR+0ryitpiBED+Mw3gFKu2c4OHLGmLNVn82ll3
ItG4ZpvGhfiKVUCmO6Xd5ilq7OK5MALztq88eroozD2QMS+WcN2VYnxYtd1uJOR9G/mIqCKhTId2
nD1UAOZfYY4rUOkT8IhhbTfda5Z7YuUqG9JFNjo7ynG+CscYtvj1QJgK6e894B3bUKTeHkNHDThH
0M6O8fusE8342e+J2wk1gcv19evcei7sqaVRdsSPkRaPpultPcNrr92wlFvLrNJrWP3zWpmpdRaU
RXJBxVWxZ7eQrpiGP46z4+5dw7pJceus8FZGRzxK+XrMcsWiAjNAwVti03X+fJMXI8g5Qd/3PLn8
U36Voy5h+oBON472ZjbzdjsyRltlSaTXuZ+XZ4OTbHAiB9eA8W6pnRm31hAkO9Cx83rCcbzBb2Xv
Z5aut1FcNC+Qf8kYJT4w7b71NqPZyzewa9Xa6CmoCxCs93jD3aNkbLpa8otHx0ztY0eWHCu+PuFl
3qVuY9GFOz2XFNw8V2l08F1xl6rpmZIhjJhmiFCnoufSM2LJHVgGR638aqcNACRQ1u+pW1jSo+T8
vbgOtuaSpgWzM2MPC+dNwr7hNpWGvm5jGdx2jMPBNnXnPThEQARM0Saj+ta1Q3MInJ6xLmPvQ1UG
+k10vSIPNGAL2eQaWhjDuBo+lsPW3DYl808mr/19XgcJwXkunqcSk9y48Vv2EbxMeUhgBhk+YcvP
L9uBqyyb4GjTZn40VTzRKNXXONrn4Ix/ARqBG2IbQS+auvNgGuKh+zQl0u+Yj9qRGCCwdLb8ZFjO
DkBCAMaBBp5m7xt2/WX0yUsfnLyw1aYMpA9lAHdIcG4QKMtWuR9IuEiTdvHf4APpEGlbCpQkZ4r6
+qrYzEGp7xNU/Wu7yCj1Las8PQ4Z3couzWWX1gCxCnT/MK+IXo7Q5zrzM+g71pPouw3QRLM4wxsk
v/RdEHvQkZmtZ5C7nPNx7ABW6Dx6CxH31ZpVAKGtd/j+PAXjA3Om8k02DN5XU9lZL1RJyQ1bNPcq
rOzmE91Ww4Yqp2nfs2K5DyaRfdIdf2cyCnqYemA1c81+Oh0rcbQFMVxUuCUjsSAje624EhKm6s8J
DXVfCMbnu3w02me/tdNDRg0GoeCRuHmK6+rJram6IsowkPyLXOCIau64Od6TxLlJ1Db2SOnjOHSO
VDoBLkRCJqzVh3IHh4MW6LKh23HVp8SdF9oGJWIuaYtVGC+A3toUsKQwCjrHpkqK5Ro0hlMcZskd
pSLFqvalogaP02k8gjfmEP2lI/UMLhxfFSbXIxN8NVzEEcHZNIDFU5tgMWoQ+OciEfxVB2zQO+NC
9zYhc1Yi7clrkuQqG4jPIt3Z2ATBRuHTa71tVZfzblYkqYd6FOWeOFp8BfxR++vGTdwrbiIoOhG/
LiL8wgcLyYvDj/8sIZ3ciFla913K+U6zfNrP1C/tg4STakgxnRlcmjeNK5vP7rLDXFfe3OhN3pID
5symB3ckLu8ZVIxakkRwQ9fB+aw7wAcYiJ51wnmdfR9WhRUTt5lVwmmlNok4+MJRUmHffQ2Hzr0S
uEKGla7D+GokHNiw3qUP+ystbIKYSGMPDhwjZ7Ci6Rz/qN1shhCvsQExsCXisJBJAqUWxFRtWveN
NblEDOvoAd5lfOm5qn7xYooDepXMC0RxjqyVDlhEugoAedwH0KykCRzLUJBkSg5ehMTEA4McP+aI
9OAsXQeNacRXijgJ1IDAZQVeEeG6Ek5bHGW+dKj1ISLOBrNMdAITwv/gnUEZx0PRb7KZce0Krh25
0QDAyDQhWge+BlYRC3cdRRPoC9kvV7nCvcnMxXbv0jLRj5jLQUgMNV+ycM38Nuhl8+pkCYyacG4B
mcKrvJq8kuB2R3PNc9HO43XgdRBIFoZEuvzctoyCcxyM0W27wBRw6E87fLpQSFhkJBi7OGtBlkzX
ZmxMb+ZcQ2sY6TwjBhVEt5S0QR41EwAhzsBfrOf8liX7+PDOiJkHyuhOM203ydYogZf6DTLfOlJ4
VlfoLZ1cYc8YKiCeNSUYQJJKg/ZccuciYcu1alTXTsdSaxAdieJKmo1W8uj1BFcaz6zkqsiz2oJH
NtfXhpMh4uqpWCivHTn4I7Q5SAFh17/VpMXI35tltm7LoX0zwLQ9vhM89NBZ32jSoEGUW6+94Wkx
v9V21si1Z1dTDnHPVd/sQJFhj2juOhhNw2nxeJN3exOkrVyRzLDuZ7swbsPe5Gnme/rb2ATtDbAW
hP8W6mavYdaOWdTeWH0QX0ElJLoegttPu4ByyC5ZSrAC7m+sU/1TS5jKvJFY7HjG13npHmtgtW+s
qP0L9sTRrlGR5CEGYBfdtHcUA2EneJm7oL+MyibGEFjog/BKfhpem+cO9Qo0m/txeu2Jrtk1YFce
ZKPppQNk3sc1/1HXNM0m0o3z2Q1jdycaWvYaQXug7Ywku7Tj7S2IJysmmgILkeQ+7J1yurVKOV6z
CBlgw2JWs4tYrAujvqNZ6EL7C7PcNOEJ9VJuBkpAL6GnnUyV6FNWNpKPzb0rc6BFj4ZInhvOzHjd
TI2Lke6Vqwoe2p0X2fUxHFMV89AtZwh8DBtbMo1HN+1PepqKTcq9eWHGgzyvYr+ixIGcBUt9loAh
4z8k1NfQpaAx96vxNq+18xXD5KlNTYtHGn3SswNNs/IsWhd6cQZGWjyx3ga9aI7153BY5kx1v0tQ
lo/gOnymZeDxDjqrp6dgHOJbk1gyZuPm4NVFu4F3An0ppekkGOZX9L/yU16SfOOdw0myDRHzoGeH
s/anSSTrLM+7Y25gwtaRQdl1KSglUIrBF9zPDSvU4ZrmGnPvZFl3p1rD41EXxreq40OUG/nXilI5
nGkOKQwK7F9xN3uPVIUWhzT1H0cYxHvkUmgJ0P5R4paUWZ0OyQVM5WhdW/YxItP4OTGjYacDw9z3
VBhsglQ5mwGgM2pv0q+GHKkwnibvjMWFeMqEu6/csd5xO/EArjN2p7FHnC2k5P5NA0V+GhthXYZl
OONaKMV9k4wZZNdQ7FyeXWdkjotHy/X9m0nzK7m6G9udz7pwJXtJT/Y4Nt9mRk2wQuM+vWwzLoO0
ojJi4Sw2PNYaHN2izLo1oGpJtSl4k5mQofI9FvQizl6zaaTMg/BRn7dFtnKFQdIxG2+AKz31gHR3
3Io76uaoEmGqx4LMV5elcKMHivxYZmBVzXkE0lQU9OktMfWZ8gcnOOsmUo6RmeDXgyySO9K9Khu3
rtcJyFGGFsV8nKZaX3iuwWunDIDEggWrTk08ZtSXOgnlQtm89EHKim1pYWTcRszQ9EUY9dlzaQtv
j6Ou4pUz1ryx5gZJQ6XGeL14Ys8nxOyl2kWn+UrJLIetk5q3wOFOMvPHQ6T7tQ66/IIWsPqsq8gP
daIuGI4OPeU8XU+BWIYBv8sO1miEzyEzU/Y5r7KulqJXd163DQDEzK8SCL26t56p1pRHsLyfrdn7
FoGDe2HFWrxgyat5aHXGg1/QQutoFW97X5U3k8eKpZjAAK9IKc6ghKgFZjk0Hmjz1OnJAMMq8J3j
Zz74sKV5xwBAvjLgkAK6nfz6CvmGggs7yGKYokXBQ6i23OylBD5yY5P0uMHNnxerdOIBmiVD/7Xo
bPMzCM7kaxuZ84KT5Q+2uABOrszqu0kQdX2WrHj43VI2OdQSFrwlDM85Fk3AGyWElMXbEu1sLiwa
HWMESVITqX3P+pidaV4m4hTnY/e1zGl471SHiNBNqnzLRYWq0OGFfTG7zPqcv/chYsMfrwE+Ry+Y
RNmEiyg1wIvOUffVcBsI3PasQ/KnuVvdFe3Ig6FLxqHe+XGv650IBxQNyt64PBJbscCpKzqEE0/R
IhvGdfTigtX3V2EzFnLjZ2HubkRlchlVztTnOPP5lvh9sUttKlxaPpuYkQ/NUlF1Z+ns9uwbzUpb
WP2bIY13LF75y7MRUI0qBuTHTSLCydgb07IE6JmQRpBjAONliSkqIgEli9Yi8viVjJlX3boYVfSi
pU5Iual0qXuK3fLNVopPVa0zkZMVTvjy18l0NdZgbN6ORaFMZ+JM8615rFfsJ+o9tQZEY1qvy9do
QZx6xxIVDlNcqNBjM+QenAUpG8x8zA+NhQp0ZbfuaO3gXblnk+zrO3fAUcFPyLx1PUQtx5f7LnqI
bMw8O+twMeh9OWH8uKB5R79pD22UwDSN5ReeYSX3+aTtfaVoGC6t0L/JcbTSM9UE5j09P91EQE9Q
ziwUB32wtcl3ZFXOt06riB/Pm8bKYP5Xw3jnN+HeRftPpg26DGdRGz3/+7mCOZWye0lXfNnwfOp0
9y2lvLrYh0pSaqvCxaEPMcQe14XJ/bMa+DnBt6H/nYa0M8C31z0rOhdMXnY08cDXgIaKgiKjNnWJ
51SCDTcvYd5f61KZUb6qaEor1/Y8zsVVoh0T4CdLyMKv7B5yhp08WBls+raozRMzaXkYSkVVFgQm
ylby9HGek+FhACXx1+jx/8k6fyDrMOIMGDH8SxrevPav//FXh+Dla/ntv/7zoq761+oHD+rf/5+/
PaiWKf7BCoYmGlovMCYuQus/0ToWobylr8Jhsog10kZj/WeSj9ifafJfUSbDMs1bzIV/e1CF+Acu
CzdkyMEKzvs/onZI//4o9DLINYnjLolcfBwklz+Mb5q5zmHTT/CzGuzfXIwlQO0hAfLntl4+Hfw6
dyqQwtSZYYZ2mgt6Fxjxp3HylXopJDYfUCbvOjNpRzjobQmFvfO9L7O0wy1YsQAtHEnzvG5zWTyl
MybFupvNr5kTj9B0VT4qlqqWvyD+tXb2bCrqB7/vfWSpNtT6NDqpHC5k41XbpM9HhAm7mFY5HYUX
DTbetaUiTImTcW4qSL00aQR4xbJqtjftJF80RqetbSeQ0/RoTqSJAnYRrqlcLEqx2KFVJfQMDJWb
kL1N0otC18NRFcpn76zkUdclrkOZVuONbo29nSl7U9vh0wB5dJ/QfliSpK6XbzXN2dPoYkl3lNNs
FNW4SWil8pDNlrR4tuZWhIZRF9mItZcFCTEPrFgruy5kt6Y9OZ+tFb88Z9mcFfE/O3VP7LO6a6Dq
mXc2UOP4hTMCCLELs0jeMzybj72EUiTOfBmP+TaT1ImIAdjzXgYN9Wo2proLiGIQvYuDX0wI/tXO
W9QlajoESpxzyNIxqVto9XmDineGAlHJcF5bJKjscTskucqImYQx9d76aJW5Feqzgn17ikNzJNYY
5Mc4MHy/2TRMtj9px7Zuu44XawEEfvxKsqzJ3kKmQG/I1igAl3hI3dK688vI2hE68Fk9MYr2n9G5
FZGrMtTnLDLyk1ephhPFpjxZT4XKjqkIKwcGRH5DuEtu35/aPPSGK+YLmgBOmnFZjnm9mZocVcG2
rFOQ8YplboKykqb5Pmc7aKXNeNt7SrDVYd26SUOZVDhW+vgUBETD1qAlMnCnWRAdzGopuiucyT2W
oyl3ePy719puii9236L7hTmMQRInyBF9EAXFKga+SLtiF1oAj6GXCCcu2D4xBDuISr0kmWDhN9fC
vTY4gy5BwCZ+iaUwz+JMUL09usZeO7y8fT7uovCcZm9hab6pqGLYJ0NOsom3ms+kMBjUKrfN/My2
YirAB7vTJK286qjBdV6mfZQRyukLcU6V4HwiCWRSR2lOG9xur3xHWp8hyu1UgbCSMOvYKOGdMyvs
npMxj17IpYQ7BCm9b9ButnhXq5Oy/OaBDcQlRQPuzXJlX0UWbVOkUqut11oXMyR3MB9Nvw6cxoWL
1DDuEE5jvjFnMa9qN4+fY7TXM9mK4bzWeXHoCuYMU+rF+yzT+T5KO2rOWuq37YERbuPJ8A7fkbvy
gISdQ3Z+nG3zqnKydu0bkXeez9o9J6NE8jPrhie3hQa5yvJxOMcbaX+iDWNkSDPNdbwaCtO59eyF
6VR1zpvhB4Dres7GLp+z/qj64gvzXMoc0wjui6EmIvi59sRd4wxjsrZ9XX8RwRTfu5mITbb60v3c
lygsVdh1/I3GOBYB2yDHaTB9K+SZwfRqhP22XAdZltFkkgGQquLgMLqgCgZwx8FKeWPGmiimLM9X
fXpmhYm6h2mTrwvOzz2bLQYLWX0b2BM9KiSV3TwKDwYMPcApMAhPAYMZsKKUJH4dvSq5DosgPeio
rr6Srw43hUn8ZtWUy1hjqsWyUbbgK2e3fUllKY2EI8acyb2zgMfjsR4m+xAqJ1oP/fwQmGRl2cfE
7Id9qtuygmBMrUznhSrSYVUmytiMgyUypgye+8kNhnCDyXS+rRkhrYUvhyeK09nwOll9YRcNaVvt
j1/YF+qttp2eIsTBWOc0+mzrIsFxJ2zn2a7m8mq2iERrgMzXU+XCS1kgQraUzVlEd+udb8k5X3et
zNtdXXfxtgP09ho0Sm7EqOpbhNK6p38ycdZJpoyVsPr4bZxBTlS68j85zAGMzcyltZ155KyTftJ0
4GE821Q1T/4AhsvKD7R3YdPnvOaOdHYituyHuA2bs2Bwk1Mdyua6tRK96VuTMOIUJtM3ppL9navj
Ft0Kty5L96kgaWd15ToaWyz6lraPeJknhY2+/UabkrO1xjpkiW3XF2PWZGuYuvJ8rurhpvANpnJ5
eNFq22UdPaVJdHQ8I79ITCITFpldtnYanmhXNBd+E0x35mB1QJGoBroV1C8cdNCPx3qMUkFsXgCa
BBF7JXWTP5Vh3T5Bq5XXFbUmj00epWdqbKnSGIL5AQV4WjxuGdYgPW0j5khYgaou2QiOFjJUb5v9
kf2zZj/sqwdB89m0SrF/bYzURR906UdEZjSv286HAO6TsT1RgkcKv8wHRrjk13NAdKjfQS0czmM/
PIvRh4CjE28/jaVGaiEFdrJSy/ti8/eNdR0xiIt7mHJeZoZP0+x2B1PMvOgDaswWdHKX7rwUdAeA
8uaeMScDFgMvUb6KI8Kym2AY/5u9M2tuG0mz6C9CBfbllQRXiZRI2bKlF4Rt2VgT+5b49XOSUzVT
VnW7ut77paMjXBIpEkh8y73n3g9N1W7RxDHWvFV8/y2O/6Y4Nkxdp1r898Xx7nvVxj/zcn7/mf83
aCkEGXgLHZoEU1PK3N+LY9/5zcUsQd+LAF6Zefin34tj5Z/4vRi29N9QA9sYsdDvI5c1/5Efi+z5
n0QP7AOg9/DLqIhtpB2uUmD8SXMfmBVpHpVf7C0/fpng0q/6jgoCBd3nUnOf2lHbc701n31hfGbe
xwMUQCrJm8deLVAZeZsHa4KR2Kn1amlMziFQK1c883XoqTVsPwYthRAWoSphSVupdS225PpVlelX
7bbMVWtdq2DpXPtpuo20ct4MsXcFuuY/TksKyasXRCmQZsNCTe1TmmbTaaYZSrVKZuO7bkbxIDvT
QVTLujlj79yqBbTTRU5YeZO3NuQ0fDDTgNx4tbLGo8u6ny32pNbZXR9/cm0B6kGtuj219O7V+jtT
i3BdrcQNt2MTqdbkzLk3NntziLWrQS3SpVqpC3br1WCQZo0wJGzV4j1VK/hcLeMttZavMWbvHLWq
b9XSnlg1KAs2K0QwZm99xmrfVkt+7mjlcx++mIxX1Q77yBiFOilli58pmQCY+XjDt0rDgoRAoCXo
0RSwgnyIlMgA+uK8ry0W1rNXGddAiRF6JUtAtL4VgbKu9uKaIwm/Twu/HVYZcs+crUdBv2HF08b0
R1pw8L6fB9YpMOmhXVud1vOcL5kR1/HYPjWWFj0R0+nc2TmW45UmnHYf925DS16n57Yqps9RwCwB
F1fwPAsr5zlaEVbgVqyEkzEQm24iz7pBTHvxpokhQGExZSvM0dmTxVS/eGnG+CbzxuK5zEsyvAtk
MLpZGGcbCD3jMKNAPRLrdXvPJlXFMlikAaSBORgsY1iudWZdAr6LIqh9lV4eMW8zwm380mtWacFz
GNqnSMmKrqo7iRpoa05e9uqZDN/COYrLDYKq6DkzmW/5FgyAWaTVkwHx4Gy5c3Vnq/EIs+Dsta4B
da4AsjDPSWlotiLT5k3PFv5ROiN29j6H7ATtYt7APuX7m0S7p1JGeurgjQrbxre/NLpVPEt2wF/b
wbMOmmUN2TqG07XHLcR/k4zzIx+gtka1kULvpu3+wCIVB0zPr0RQLIcQDop8NGMuTYdgpXzvdCN/
fCNjefXIpk9XotJZMbgD41egVPnaknwPtV/wC2HrJc2moOfbyFHIcO4FSGzuv13qojrDH8Q6iPCz
zl15SV8810aZniXJ7m/Y5cedQfv3nXSy+TEaqvrh9s4yrGtEWQ0Gv57cAu8SL1RzzIAcd21FiX+x
VVSerfXiR6GmmKVTDh+6jOd25Uokg6n6w29bHASO/UdvFvyHBUX+wRk5REI8bHKjBx1emsnOXm9X
WuZg6V4teEGGlSEZ5qfzFGwocquHqQ4YAjK5RADA9vGZWaZJR6tEPr2wvQt+aftQwa+5Ggw8w7Zl
ZG/Gg2fv65EvFQt0eSRNnG/NJLqIWDPRv/XkEZ1LvXIf4APLuyYyzGukZ/51ajSxSbgi89USONFr
YLJExicNFQQBCr9o9HlFT5LLVMSJ9lQtWIIWl5FwQ821q6DzbW7flphE9ZTGsvPpViO4DgYWJbIC
+OSgOjj3RtPZEdnpcBFQnijoyKTwIsXMVb/wPwikXuB4yLXZVGRtZssZrst5bOTjoHUfxoZB9uhU
r4wsViovaB34J7MfWHrFj8moA7Psk73I2h/OFNwFFuP6nnFxaXrXubMYrSe73l2eYygMoaPP/j34
HA66yIHYBVailtXaN8vq2vMcAwxjYTpUFc6V0eBHQBzG2R05w3PDj0PXq6214WENSoU8p3MQTnMW
wq4/WqUXPRq9Nj8Ys0kTV8VImSZyEXZulRP4Hoz2hvaXjSOiy/04wmns/bxJQq013sp4Xo+N+b0p
x+quoVO7y5ah25SmMA540L61Rr8vfefCY7JY5+NgMbSNoxctNj93mk/QHT7MpezEFhJLj1ScQl4T
5I3RFCp6e0teSO261dNg2Tb1Zra8idFhlok4TYlyt3U/P5XZUB8DL2dL1idrx1n4gskr2c7NEK2y
SeYYno2PLpCZFRPdQz5LcdB909oTb0QqjD8QK1HmEZTNgV3NUm+1qnppdCYHc1np9zLXvSOjFSXt
cfXQGaMX3RDNmlD41WDIH5asr3Xqe99TkwWxPTX6q8dGOzTy/EOP2+eLlJq14V4HDUS+0pqwDtQ5
qECOdhDZoFmWhfPAGot9nMEDWjm+btPQh7AnnxrRvSWyjzaQF+QZpeGEwxmkRA833qRGLpcWVMxI
OGpluGeQvfmFy4pBhhsZj9Yi7c1kDiWwjAFIAdkBdchoB8KHYdbfO4f8d7gcBymqHF5F/WUAzBo2
fheEmTF+1iNSAfSKp33AoB2X1PAN3/JLk1iw9Jvo42TUGE8tkuQclv9rJhDaqbWdjxHWwLXLbcja
oYw/++RurOmPwx4t7/3ksy2iSPDfCMQZrx4LiI8k36gaAoItcjtXHqc+mljXm5E/I/POPmbewEap
s8X3Drbod5bJxTFoBeiduIvQLmrs61x72uYdPxsLa0NmuH72oqy6WDZarThpqKyIsKRDbv1zPdaE
BtJKvU6mYZ3dHiO1Q4W1ghW1hAV3ESd5nyKtSEowPRFitGBFUx3fj+iImMKYkUFj0y3umZSuYevH
jdC5JeLn3p21B9do/XVuoSbgSwSnFbWxthnzbLjHiACH3ygJWK8apzZX9jLxGKTBPFc+oB8bEewm
ahyxibomeg4wMl1ZvqbZZumaEoJEUGrnPvadA5VCvjP0qtmkcxGtAZ9W9iZp5x+lMM0HQ8T9x6lN
p32deM0ntwGKT6RJGbIzYfHjTQTXwxlaY0Y45IIqDImFdtQrDrCaNnBfYeJY122fIYSSEaIww+dt
FWiE7eIryWmk4bbR9JC7mn5qo7Iltr1qd42J92GY8mhNzXCakazi7trFJoEPhb+8ZG1b1WFWjqg7
p6aFNpsbK8K/iq2wdQI429zeLcS9zoTH7Fr0XitzAAbr0JI+Ljk1HtGU8Gzc0X8A2F48NUxn9j44
2RerD85GWXffJ0/xrV3Zb4PajRlERcSVWk28alsi/QZCMFe4DU0l8LnyBK0eSo85cR0MctXpk/Ns
1fNunuY47KzlSbqWd57JsGMM59O4lsbOZf+yLox2U41V/L2Z5c7qeeSNRFJsxjQDxKjP8zEdDZhf
WRcdpia6T+PmakeOE3qRnx3k4s53UYa1C92PluQqEnG5Bjmnq3HnDZqbKhN8Uhjw0+HbxBcLJB6k
2QGODHq3yR7jVaBpMY+EuCF5Mw/0GHSbNxVyPszUvwtBHTT5IFRE7mwAEI3h7Newghxm4hmop3EY
qlDQ1po0uGMivyW5j0yHaVhUmXuehp9YNF00PRi3Aqgey7RhegIotmwMuXTnOGN4ko2OfWLr9rlZ
rJSJh3tNA5ha2dIDJEbSFxKjmz00Xu187WaSNDImMF8Z/vanSXjaNjXG721MAODkmOPJZz4fwra2
j/ZM98Neq3tkC2oSxeI215hSZWNG6BGk5r3CgYiY5g7Zl6mPJVKh1mYyGkVHsqfdVZzp+jpvyKQd
x3ReRyzfeFTWBWZnm5QlP/gQaP28cnL7jiDnCb5g9uaZkJDtRrRnAsIYkNnfksLsEKykwVESI1hu
MkMV/TGTmK+6zcbZy53sfprKjjq+s/cWyR6HNguedBznRKFSy2gISfv8ADmL6LdlseW9jTT1Uhdi
+VS0enHqEvGNBjQWRH82Axs+AlHuZBlVYVom3xoheOprjXjzRledWVHfb4cyHbetobcvlC8uuweL
gXPETJ0a6GqlmQPub4m7lWEW1pH9UBN6cuFOG8rp2QVac9fUhJYsxejjxpZ98ZCXjYrP8q3kK2pp
PV5FDO23wkh4FOhBixyL1rCiDigC/w22KgfHGDvGFSGO/6nH6PiyWAI+aIJCEe2KZWsc+V5Qrgd9
Kj+USuvqKNUrMLRq23EwbnxjORASWxJESZNVKb1sqpSzhtLQujc5rVMmKYqrbKrQAFRcQjFFSXaT
3pZKhcv2Sily4VzfBLpUz0qvO/+vetdSSl5WqCNZ4qh7PaXzbZXid0b6mysNMHBGj/axu89b4Gx1
jFLYFfr4GCv1sKV0xLlSFC9KW+wolXGr9MaZUh7zxj7S+EWhFyTVVsvQJxc3qfJ/pz7/EZbHxkfw
q6nPoXxL361Eme2on/lj6mP/5gUOowEscDzUFXrnj6GP/xv3NpZ1PLqKSm/yT39sRI3fPJaeOvMg
h7yQ257yjyGQBwuVbSk/BkRZcX7+yRTItt+Ze0CBAGLmt7GrZf1qvifjDGaXpEsya0pwNYcoQ4sv
TobMF32PDqGYACYTQXcnMUcMKu4qj03j3kVSclpcot/WBrSPDRqW8c0bDMbZNDmvgZ6h54qDHGkU
PyXCuYp6ju2lfBVOREAdTI0HygC2atkIy5CW3l/WeSY4eYCvu7Se/hPLsOLazsP4oI9fRNW2VDZJ
/txTRb5UpAFq62UsymWX6/X8Baq5mCFYaHLhyRozTZnZn80rq4etsKndJv+aaDkIY6tV4UoSdSln
nEypuRs2lFERDCc1HbKgxkeLHTot2+MN0aOetW4tNnoMSzJr1xB1lazA0ST3FhMKf4PDK2UIUrK9
WudaXn1TgsWXirC7M8hVEg4tQn7joJu+sYYsX+w+RYMBZJ8ErilvLrLO4i9mYpp4m0ghERRt4yDq
NSYfnePDn84LgrZHx5LMzicf7D9C9cmD95PmZ98S8wXAxLJVhEHZVQcwasgRYa+sxxL+nGvL3WSm
3iO9IgHhmSW+zV3B3nUW/qPrGPUBdVf/ZEnqLti93Qa3s0WaYU1kXEl8/NHpwXFmchnuEBSCLVwg
hBzHpUCcQip3gJzQabx7lmtmuW41WTxboh6eYIu0q2wwEOzjKzI+p5iKP/daPR/qyUHRWAba/bTw
6O9LHo4VvcB6mqPlfomN4VORy7pZK0MK6SZtc5f4eCEClrTYn2SvEcVV2CosrSw2dROUGSjvoAGu
aXjjqdBmdsIBmiRArerZyErJ2cWpoJUz0aG/ZhnSLSXAaUCPNlZMWkNQGnsccuk1qXPrkxmL9BIs
Dq9GYk/7RDYjBqcmse8MMyPtKxmqZK9ZxC/jcahDsx+b/SSN8RonApMYusMXUtLbo6WL4PvUTl67
dXURgyu0SH7cMLwMriAXyZhg7lhp4Dot9zGx0zKn9mP4uQq6Jf9m15UVrIaELohtriDCuzfWJPeV
H/gec9qbLnn05qw7dYZMjh6taLAxqqm5T6LSDjVXxiLkcsWzbzW6UtxX1NUN/25Usc2WxR4IS6tE
fSb+EdvOahLc5Z9nos9txH8xLHM+nhloEc3rSNZefayIl+5ZgQejzNxrVwWzXtyXuj6X/cpkQrhQ
oIFHiEbknFc5jZY8gizO9s3kPhrspcPa9hbGiIhDke4FT3PB3bPp5qF4iaJAAjyK4J16WMy6dV6b
sBFF5zwhN6UIkanRr1W+Al1Pqp/tWsz3PTmeOxsB5qojJm6dEw4Bxx2wOi4PLkXul2vUzUyvUqYC
H+dossS9O/R69uil9O9BaNfLoD/ZS8dIrkCxXDokG7BanYb22YYBetFyX5nQWms6WO14HOPSPYGL
bHeiz6kj5wJ+4CDkpal880BCZrOqfCc++LIrLlNrtddiyua1nWcMta2g2Hg1XySwtRUi03RlNMlZ
ADMeRA8DuE/vx+yI7I3fZGkNXvGo2QSp+eICwlk5GcRSFtxsdPSV4RuksaNNX8/Mf54TiGtYDttq
bfCxbKGkdA+pbr8EQx2HzLcDou1H7YQoI9rH6rSWg/6pNGAZRDE9SC7f2m686xc+w6jX77LU7OXa
CHJ9q3fJx1lhDNBvPfue9A7Cr7/REmJmTs2rLomeQpP+HFvtgztl2WPflJ/pJ+YV4ZUe48yt0Kun
MbXESsxev5507C3o0sfQLIsRcRtK9L2XUNtKtyTGdOwaRruJe2pSozu2VnfXZ1G8lYBWdqY12qHR
SbLnbXRHlDp5cmxjz0758+rlJSGg/BTgLdu61Okml9Gdy7cNLLuFVaoN5RVqd7XTnFLb2bTg615W
yxmkaxZx/QBc9XGBXRopg6u1tCSdxGlfXHJtntDTt29elejHPI2Nu0UEzUbrJl9gU5mBMIwl4z48
VazKPSrAEBEkeCGsmZsFJxeenViecXlhhxyN9uOSA60n+rCjPU8vTqs13BI58Vcj7kvR5rDvRSGe
xiKKLg6uq5WNmhZyMkoGyGR3QaTjEgQa9qWYoy9JpzcXs/amR3MO5ru07Vj541h6QufHst9yj50n
SgptLh2QGZ+cDpAjllLWtNkM6sjlnZq5922ax45spQCSL3uNrSWXAKmgV/xwu0iRzDfdsAz3U28T
NtMOnX3mjNHuM7Qs5qpJRHNlPl+EDerHOwsI3NqJzHoXzF3yzS4K7q2g6rq1lw9XLsIC5KpePKKb
RuVQut4mdZcuRKejiBp22JtZexCLZT0WUFlCdAn1gzMZr87YAsE1tPxJBLSHBHyhlq5smLKTmRtc
GQnSW+oCFdeKNY8QLbbaBDPsjLpN77TRDY5ON0nGfel8cHsekXO+uAetwHkc/rdO/g/rZAXw+Pfb
0UNRpCUPk5/4lbTF/NAfhbL3G7NWEwyiw8oE1v//r0cD4zdYUi7Z8L+XvMj6/qiUTf6JRYQPs8Tj
96n69o9KmYAS1wPnx5YTLAQF9j+plCHHvduXgtTw0PpSezMBBBqrKuk/7UtTN7WzgovtODesfBjZ
Vepwxn1QN55GQTAbNm5bOu46bzA5KbwAI6fRdxj0dbSG+9YQcHX8qnDJgPbsaIP6bplWPc/RC2Nk
Ye8MVEXaJSf69lODBN1ZY3yJSSKPlHRoRPZ0z/bBJ4EgcgaeCEJf2BhCWAAZ7HoV3OV2OSzG0tur
MqvQfBRI72BGA0xcW0DOj10X1YwVfK35GmTS+3bbHvR+gLlhQdm0Suqi72AS4wMNjXiyzfvA7JF3
BMI9TTbPUzEOJAiZ2tbr4KgQJz3qVkiEUPpUZ5m8zInen9vYFFe1Cis3BAxoCBz8OXZWpaPH/srN
6mvh1CyO4qnZ4I+S+xiq29FUt6qRkG53u3uTKq22DnHda/oTdXff7vTZwR5hq9u/UAdBarXFE8I9
dxMk9muMl+nBITgwpAe3Hgd1mIyVtMPEMB8TddBg//Q2Ggqs1VxrxaPlacXZKqero0/d2rmdVvXs
Jd+w9tQ7Wx1mjBvyO0MIvDzAfK/0Kpx6Q5LGJ/T29nlKSk7FXh2Q+rRpzKo6R3UrfmQcOdsRMty2
c0BYxa3XXU03+OZEjFKMCIeLqw5iVx3J+Bs+BayjV606ruvCOY7qAPfUUZ6pQ91SxzvQ5ukR4yvO
xjz5mqmHgFO5UNDj+a7QHRk66lHhqocGKWDaZaxm8VSoR0qZFzxv1GNGHa/rKMgvbZH1Z22mTUi5
Yz8ygiBNpjPns1QPrVo9vgyHd8oDMA71MYo/LL7Hc67wG4wIWVkF/NosY5hf18adBaj5KPXhjfJ7
eogHu7hAN8YtQDsVXD31aPXRaK+W2/NW2ezPNiX0OqtHjeZtrnbL7RFtckV76rFt5rZ9JwtzVbeW
vUVJ1J0q2KYvY8tQfqP1fYJSlJwrDLWUXZYqDgAYT7tBFQxaM9zROXdHnVqC56qqKlSBQZ1GSls2
kzZ/qz86rkG0XBQlQ8SG2136Z00rtgzPAZdTvUTenU2CxIr5NiP6IXtMKHQ0Ch5DVT5BYV8N4tc3
JUVRVxOmKCiT5K1eMrtX4bXFFqU8xZRIzTvHRnrFPuqukG+aqrsqVYFRgH6yh4AtFUj5fa3qtIlG
fROp2i2jiOMw7B4Azc9bTVV4RR47B6mqPvtW/2VeF4oIDpbG5NilSPRUtYhB5AV/W7MZYN7vCjbk
OGKOCyVmr2rNpke1wAK3VFUoShMSf2wBQTETmwls/Db/vWqlJIis4kL8ZHwAAoULfMmtA2OE+SJU
7VuqKhhrXrtb8tk92ZTIUtXKrbTB49OhTJfJ7p/ZQml7rZHOebKNpKQcqDp70lmMaTZVeGO0ZvYo
b+U57gRqIP9r1VTOxnWX4EPG/moLhTXHu5pGjxI+9QND2C+lXdsHp2HJtaTGF7ceERcnrd6/di1/
Mn7mOmzrwrwDgC+2EKi4pPWYrlvYBebwpHiUHLurhECLFcxlXFJeKV+XIYBPE3E+M4ju71M5y9dA
zjQs5EQ1T9g7n0rdxbnrl+KhYmsNvyEohvoxdiIWivWEqK82ba9eFQ6NYrdk1aHOESeuCC2EWVmX
wbXPvB91pU/r2MQdMiV+gfvRN9gN4JT3V2i+RRWtyWUf5nhdDQ55JHXqAr9f8JP7Zi8IgsHAw+GO
lm8enpNCdoa9l2PZH0WpJwPPFq35lmtZhTbVzoCSzMlkug9561fIParZ3+cDEtn72W7dy8wD+8lq
I26RfOLSO7SoRT53aF2PySKItID4ie6Tqz9Fdk78zdrQIs/G51x71wbMhRmSwdkeK6DLx0ZGxOcF
WRnvo6YngMWKH5JiKJ5wJFveCjGRt0tyNI3rYJmSF8A1HcJIW+wNtPVffDi5tEY+I1ZEOr19T1th
IAW0a1z+ywRbdaxJmZqscRwZXywMrTnaf5S5rUNXttF992PXPcrZbGgP8Lu0yETIjl9hkmUKBFNs
+KRjVfvStHr6wjMZXQZmkhP7FPEQjU7wQ5+TAVxDEVlXDTfOJy0vlrPQvYNnuAUCRst9c8oAeWKa
WM2AxXFkvgB54+BU40Fw2q476gcZyoIQlFUQ8SnCpkv852GUzn3hdsWblukZG4HBBGDj1ul0iRrb
feY5EmxqJJvbQUoT9R/qchJ3cyOJD206z9/ylKhtDqOYxRsZiYogxlRcyER7TDOXDC7TEu0LcIf8
bBV1HHMV9wQLmIFYEGQ1+RtSxvzKbPuJKHiyKtKljA65kQv2wAk3a00S2MPSWDiKukmlXZi35Atp
BvqpphV+cVQwRqQiMnwbB2J5y83Q4iCGhKriNFoVrAEPBl+RpeI2bBW8IXESQnRTcRzIxup276mQ
juCW1yFVdEd9S/HIbokegQr3aG45H76K/Mhu6R/abDUsQYkE4Z7De8RMjKQQqUJDeOfBxvJa/SUK
VKYIgwHyRQwVNTIUhI5EKn4Ek5e3Lm+ZJAht2JTdkkocA4S+lZvevVRBJkbSu6Fb23ooVcxJYXLB
eSr6BPyhjbSTPSvmfeItE7gIK/BOF4IV+rBzCFAhMJFxvadiVWYVsNJ5NlkrQsWu5LcEFtYIpLEA
Jas+5xJV0qbHwwZOP2uW7xB2rBMdXR0yl/1qxwS8eAlRL5UKfbFu+S/zLQtG3nJhpoCImMyZSYtJ
4VydAsIjXkenJUwmqRF+mLGzYMuwpPXVI6f8rlcRNAFbwHTl35JpmpY1f1mZ1R7/FP83X4bc3+P9
lFc/j5pxPZuJ8WUMiJ2rS6d+JXCyvzgBq911Npv6y3BLyYlVYE49qewc9FTGW9CoRJ3olq7DYiT6
zDak/EiPTfqOpYJ4ho5InvGWzrOooB6hInuyOH/E9pF+Jt7gHJPoUyVE++Dz3bCFT9al7APi5QL9
jAiH9LaAfODQQc/2gEdSW/lG7O0a1lv1ymlH+yu0XVKFbBUwVNoqayi75Q4Ztwwio0t1DMBxfO56
c0F0QAaHibp7t9hOHy61VTDx1YlU0pKNO7Tie5KZxB2lg+sBUwJCvBpVHlLu9u3H2PGir2RSR9vx
lpzEt0mKUt0SqESWDtaQW8pSFDlsntIWkwO8GDt7q9lZlgTp8T+1lhQcLRY+FYBQn4poLj6kKsdJ
V4lOrcp2amsV82SAmL7LWxGsY50aUUwYNm6hUGVLPpR/i4rCT5N/7lCKMhmPphGJU+ogyKhrk25Z
RU7lmlEfJ9c27vkLi3tTxVNFKqhKpERWiboZt3FglYemiC1mAcunWs7EWxkq6Sq2Gu/Rahrtu6Ey
sP7bJf9HXXIA0fdXXfJ9NSAEfL9P+t+f+qNN9n9DUgZeHf2wDWOZrvaPhRLB9vS/vs5OCIebiuT8
vzbZsvDl+SZ5nT70hcBUzevvbbLJLwzonOm9OdJ1cLf/pE1WeRF/RqkZhsHzVuU8qM2VR/jmuy5Z
ttOAMKM9kMiD6DfLNOOKW25hn04WctVkPv612tO/dpoXffAgTCDzKaOjhhnl2ClZlVd4JLEgw9+h
rhjXJgBFZmx+rn3wa9GF+EFoAyq9D9YGo6wHo9SG71nLVgp3Muo+s+k3tYBryUw+OkG+SeYQ3dqI
3BI6oxHrROT0gkCfqhHu01AO8/lPX9m/wOUpMt2fEJx8AsAhTdvhY1DzjPckyoz4rLEa6/rANmJ+
dBFUgfgfgrXZ9+rv4n3/+vWUTvv96wUQ4TAHuNzt70GqpgbXBA9ZfZg0/FhzXHyNAZysU7wAf/NK
73aF6i/DiIlLFMQmxJ6/5E0M8KI6jOoHVihdaNLxrwKJiwuZbPo0moW9k0kWXf/xn+cxGNINYKZc
pvo7mToOYIb0ZVccBjeR+UpTjW6nm56DHd0B//bPX81hlsQ8iRgIhkc/X75x4E9pKTKAM/rk5Key
BVQ0u60xwW8LPvz6td4jjtXnGXjcrWwRGSqxN/75xeY8LhKR6+mhSeaCvOgEAEXYNKIK/dagRZHJ
/DC0g3E/dfm4Z5oDEAkh7t/xD/96ATHU8iE76gy1PA6Vn98GMy1P4qzOEGVDFQjnTnZISqPoQ+DS
rvzNB/zXa8jRiXZn0YzQHN/BO9p3C97b6ls3owBclkvlt13Ya9zBlDF5cpBd6mTgs9Hh/c3r/qs/
0nMNSFOuG3iu/u5cyuMMrICLM72cGtw8I9/mZA0TfJh0yP7Za9kojpGyBAajQk5B/T0w0yYy0xiT
ID2kBllS6LE8fGl6SxABar+Pv76I3p23t9dyDLbRNnxTG8rnz19eJnpXazWuoUUukxFWkSeORWqN
v0+2/21Ew1/cIvxNzMwVSfV2uZo/v87gFqDBqzk9RDp+AsxwGX+ULUuTrZ/lPCVpSuzGzK6RVLG2
zhCGijg5/fpvfXftqL/VAMhuq1mv6ervr51RGnlKhjjvAWZxWBvoe1cxSXenyJLiWCFADIFNyr85
z28f4Z8OWPWyJkeQi/ES6yWj5p//9JG012qJvPSQMBT51GauOIJOkOea4LRda9WoZntNuaInOcfe
OppgTB4mt5zf6B2b9luN6+GIhpsdnK6JY0SwIDzzTLv8+tP5V+/T0Xm2YwEh0AkQ+c/vM3esaFo8
Tdvrlud+xXxnt0igC1b/zI8nd0/nVnsrmWFgBv835Sd9NKXKTCanYcgr+45qPzogO7DOgeZ23tYd
kyqjOA+8cffr9/rXq9aHKGvpDPupSNz3bxU2EEvpYkoPItBRBeb0JDla3K7f/Pp13t31fHWsBPjK
PI919V8h46lm8qFoXUpMQ7VcglSBOsq8cu6Kznaefv1a74/z24uxbzB5OjosKvx3n7/0O6ez54zj
HNFoGPvRGOoFWQEFt8qWmTJZ9jOmQGOYvRdNlPFuroiJ+rs3ccMu/3y5EhuhE77jUBTwdt49VYq2
1kzuDEiWw9TKg1eYHKZ9MFv1ARD6ctEgNHx1EhhYgMJvMJAEMB2W8ZbxvNCdO/SX0TEYBvnYj9hq
mIFmYMeaomcQZOZiOeFghRcH2vy6FFb0Y2Qr/OzLYjktRYt+MWha98lrQB2ZoHHvxlbnwO3EZF4R
e7pPblLr+55N9n1Cv4Z7pU61D5o3LRcZR9awKmCVPwgGel+KCFvMAurl1Gk1yp5gLqMf4Iuc+liK
BuhWOdbRHlWKTdarB4VuxUxA1QgVg6FV2Zj2l4RRzLdyENbHCbdyQxjLqPBRTNF+FGNvT6HoWXNv
OlByJ8QYAq0zR4vRjunXIeHwxnPr/ECq4ZtoEigbiU3ScWJOaRAPW2bM9o69CMUQit3uzfcGc1Nm
jffiNxMivsrIuN64+2PQj1XAyzMx1RiHd5yd9NDey8LKPJzzID556mc7p+JtSKKwNk06ddPKSwvt
AzGo8sRzpnhuGjk93D7eyJ36jVkm+qW2miQ/ktFQJIfIiF3raDIDPeW0zaRULkkGIvN2WjGMvWt7
EnbXPpyl17LKuSIxBpEDURTGsh/Sms9OOj5i4lbXkw/2nNqfBoShGuMFvXxUUxPyF2x+z4SL7sRs
Bkly46VfWzCp5SpqWxnvgiUooJ8SDPWEvMX66Jcja3jN5LMVpOp8LSBobI22sr9kToOampsG8lEE
Q+3iTNrMdj7HTaSPzfyQSntMQs820tfC7TmaWCEzgNcZ5FrqOhRqp+UP2RSvZQISK1xmgwLGEKS7
o+fmWvJEv5ziCfjeKqL1klgcx+UiHA1FrppxhkPSMVTK+AO6lchI6Fx3XGAb5A/1l2TCR83QlKsX
be782EbJXO2HhI6B7bn2wU1yPjA9tuUp1orsmPvFJljQKM2tPT+gFG+2jHwNFlwLLmH8iIBDq/aC
tTfF5tGWd2BWleulgB1rdvrJsMrlODS6u0dGGH2Ie29T2UrM5Jb5SfJqMBcd70Es3i5PYUo1WBmY
HGTWi48+CxiG2OlEN5IciyxZ1+YFJz+pWwYUzG0ws1RiPFVgRwY+9Ryk40Mal/KYGcE2SRprOw1J
dQy4SVaJhuwGmXeApJk/q8gh3Sd5TlreiJLVVL6jHvoFWy3rhGDqoZ2ZXqOWnkMyr8DsBSby+Cb9
6EauQOr9P+ydyW4jSbqln8gTbj4b0OgFZ1KkZoWk2DikGHwezXx8+vs5q7IrMqq76t5e1yYTCaRE
iXKa/cM536mtmxzVmwkqal3rctgT/YceeiZsIZ5NbyNrRPSJjB9VPH0y5fmocShtU9w2m8lzygVM
ZR0NM3gDwYRKt7frfD2NAbdaV1tfC9s5zSyVWY8mt7GXIJFwvOe+D2+qkoRvXTP1iZ0JbmxecAA7
S41UWNOtl9j2BeVL8yCSXOHLAqoKov+c+c0UYBAt2K9I3ImNFakfjQnhdhIVE3mISiHrkMhOT6Jy
KjLHjMg/d27OD1TlDjlahOPNL+7s2LtxyAmJ1b0lb7QQzR2FkhNvBo/zgnzzHNbhFL0w1hyepsql
fqgUOJcVSu3pkvmzvczV/J2T6eA7WI0WHb0HdKaRJDaFVNGXNjIfA3cYHv1hmrb23HXb5f5xV2NV
4ytP6qa4Vxrhlc8nDSSM4VAKWKTlrNuJWoRsGu7C0lNrCP0JR1E5rJj6cSP4kfQPdUrr0/H8bQrK
vB0oMmffociv121tFXfK1F/8nMRBMST9rdPM7NciBJPpRntMvRaiXnFjAFLclWnm3ptMQXee30Wv
mhTVG7sbCXEJCXofOhMNGTyFrzasGGKbAVGRScE5eSyhlZzshroddy6D5LkveDBTagdahNx4gOjm
b4upfSvRXkH90/07Xr3gp3bGDJ5cKaxnq3D913GAZbI3YYOjfxoggVUd9Vg5Nod6nuUtTF6Pnaia
1nZV1RhvG/9ABy0PJMICoqpF1/6orSDYQqaZTo22Lz7OENB4LWs9R4oz/KKSEqb0UW7l8iEPG8h/
oR3aNP9pDLMnbsWzgSlgLXQuT/xRUcC5rBu4hPGWlUbvfBtnUz34qCSPY1NicawaaxN4PAJeWqKB
A162H9hX77xA90xJEwdzkiI5WCsbSZlIj2HaWBfewWRjM0tt+lDse9flwZblxWN8sA4Lad1HBDAc
EG3aZxJdiS+vZ/cpdBsBFHCo9jmkul0+q+CjW+a+HDTNuldDYq8DTTrpKgvdYB/3pYU+dADjgcuJ
mas52redGVR35hxS9mMW9Fa1gjS4nTICG5G29vk+z8BRAORliFM10c1ouEG1CUMnP06GnH5o2vGz
tofuAZ7sGGD6kr1ao0HlTsevCcW36t1bOvbFf8K6NexFdcrFpPl06foypEV+X3uuvgvUOB7sBnLp
OpHBoRjn9jgEpbHqRQjqmvXZJe3KYO9EffG5eA28bVbL5tWJXLj/Xpr9lG6BbqP26+rIXppZUpq3
X3wgxgXfets2xP2tpQtXda3woX2YtZOifDSUcYzqjlo2ELiGGhxaG3hG3Q38XwxNVbrlL55ss8L6
NhCOvknIWMpW5GJhSYyi6eLLrvr0RdmfMG8am0ByB2Jom/eTO4UbUJv6Xpi9+kzbjDO7ybk1OATa
jCjV3vGbzH3R2Pd89c2DLOisYOKN8c+YGBIyt8nO5oOtS9okbfxsvLi8jLi8bpPB7V5YSPefTpsE
71EnWV8s8tyczfgcLPP1qcj9AoxcUR4Mz5lOlpUiFim8/nXSAg91VjQbI+gRFacNoDdEzWJNFRXd
Ttbkb3TeMNWwmpAtWT7a/FR6hA2UmhdnSPINXmzuDGTYOIXyrsP5y+EU499NMbKLcNAn0SIo3mjH
qjjOpjnCkJ1aGCvwEh1dOXKNCKZDPJe5XEzTs/GcEMsEqqji78alsLfNWp/qOem+1fRGdBho1Uqg
Xz+bNki+htbyKDNRMi+xX1sl+UztePBMO/wykYL6YVi18dPCpnIOrzScck7XAkcc+JZRvmCE7vGC
ue3XsHYSyklTrhuVvFAYYwUJPeTCWfPo2ViiltXMzPFKEiAPVfHFdAkpNAPj0e/HbAXZEtaAH+yc
GY5qWyIbcDKzIDMhZtwJ9xp2FoiPgB4bnCKmQLCzn+DWQTkZ9MkIUjQcKC86gFS0dp03/GBzK/f0
8s66aS25w2frr7PCO1mKEHaBEWxVuIs/UJLEE1gGHjAeZzMdxc3kAmadxcfMFmEVV12wt6YmW0G2
zveo18enxiNoGwJkdMEy99OoIcQ2Mxg0r++tU8Jgd6uYZp2SdsoP0mQ8YI1LDGjddnuYreZnpoUE
5+Nw61AIndAiO2j+k4aYCa3Oph7TcybGfYaneYVZfFzTVHsbPYx3A2A51tqjd3DbJl6bBUwh1dSb
nJgfLogqvB+FMlc6T+tdoBV2TKPa1kY174WXLOJ6+bWdYKy2U+3dEHptYRc3j+jCEV8ZH4nn7Kow
nqhT5C3yY6xbzftQzCSfhyddeS91G144chkY5Ym+8dr5Z9pEX4gkfPQBQdZU04hi8g9pJgOiCIaU
vpafwjXBnbVRt5GGcF+qPEE1U1mfoxQUVpiNN4DLcey0eiMtc5d2Nakd/gA0wPtW9JLlbsFUG90m
HUE0dN3rbM/fxj45einA9sbPAWNMcopezVpFM37CIDs5LRqvaYJTUyU2SK1t3yRvYz+yidXx2W1e
zKDvnpuACJxYJcSORfHBZ7+4Jp2yezMsQi/HoQeqQw9z7rqWxdSI2c8IJvPk2on/5gHt3idFA5RT
xUN7TBqP8eiQLu0ENqRxXw2CEjrBOckaHusfugKj3cXF+Ogig/pueqjcTkadM9DBKagCc2/10NJu
dFCQwIGsFOZBbrXL97OaDJ8yQ+eBwQVMuWNUaJ5of8jqdsVU00kJ6UCWtxMqAmObUQ8dfLvz8aN2
mrWhAqmNvkIyNPXUQMuZwWtqwW28BxG5ACr0+ADyqqwYXKBmLaUIjdQGlxdtUcRj321AAyBGipad
xlR14TtGM2MbGg09RgVoIE3mERYwuIqgCaeL4bh0yQlMIw0exLxNDRfvpJYTbUfncywNKrXXpVi6
E1I4+x/pbA13qTexpRPZvIM6n50AvYXvUWEw5I4cXzwK5eqtx7YTDNHcm5+wmzz3ouN+aXmlxsoY
u7VCM9hTOuSEDe1rYbdHanu+teGVBnp/GvSNi3Vw5wsyXU3MN1+9nECdpKX8gxda37vkbGSiL48o
J9L1zJV/tMDvrRNlhyc7dhkKKJr8oPOZESybmuvr9bVjwNvyWlhbNjubjOUq/Mfi7fq/yKBALe7R
9ldQYfc+JvgDa9L6QxXoHtdjazElCOzhbsBsj3HfXHY9c+k9yYw3k/2ruzJjDfxqGRTX+cgaZayC
TZfxn3mR1MTWJvBBDMmPWACNO6HkKvde4arXKtH8AknKd+QcmR8Ug5d7ck/EG/RR/uplZvIzD2N7
bN0SWPi4ZBIYsXmYsw67b00IEJRwfi8oqeFz7dL2NX1c48meUhKejJrevutyIiNImABkksxMRRhe
chh0IIRDE6FY5fQuxv4QpCzPvzkbZ1lF9QfDP4yfWcpEMZhvZEu6EB4IqRnJNCEyrTKaq51GleOc
gfWZt64YiBtNZzZks8vwKpyz0/W5M5Jy3vX4Ain/EachuJ4fYq0ItOhHY/n54jr8aZRM11YGbdYD
Mam8J3nHlk3wn/ytxtvK73nbGFKuHYhmF6sU5R7RNsG7XTlffORZd3M+wO/BGrnzHJ4A7SxQEfAL
fMM89Z4iSxpoMHtgLDleEw2jazOWcIQKky/JSqc9+hDgFqkJ75aAooLLwPanS883whTfSnfTDIb5
FgsXxFqmM4KPFM99bFBeC585K/tpGn5hWOHPmbiomz7labJnvimavuqDUWLJDru0+heNuOosBYkG
PTj/jzA2RyRmMR8dI+Yj7NhwLgnEDU9hLaqPzFf6KJvRIMRX9bnZr9o8FI80B/yGpeUx/gqjKKMC
hpq5l2Vinelb2leN2xk3vplnp67ibepVZeGJJ/Dk+oG1VBZ/L+ai/kDWwkuPnepPOakvR83IFdFh
YKiPeYlpI0fjQTd8nSSo6YbD97NzVb+ORULroetvJDbINaHrwV71bXgyNX8drUM+7DAqgfdMkolF
Kfe6hd64uJIvNiPwS11Ag2gHd8JL683iJse2B0yQkCY3XyC/ms7H3ZQch3vTdhl+sBYNNogi5Xqo
Gc25GBwGAOXAdTMQTO1qAO508vzZ/IwIcPtgFWmgnItrPtNV60I7oDtFSsH5KB3eKawPxjNO4/Cn
j9MZRZRensHWJKnTd+vwlCASDqkDphnCH4QZjNa0fbA9+h+BR5+8psEY31SVjF/HPmALpSjIW0ap
dQSwrcSZaCGjOQvVl7fwtrvnxByC73VPtGICk+9E9iDcVKTFw52TDM1ucv0Ji3rJE9DLJnxPPZes
CIVTB+ssgc39Jq8TsDLXaex/YGn/DpbmkMf8y+D6n0jCzNv/ghFmEbp8wd81DtL8A/0AJxCQtF8M
s9L7g+7FQ/1A1jOF7bJZ/9MGYC82AMpYVBFy8cuycPi7vsGBmkZHzSIAS8FVMfE/0TfAAGeL8st4
nf6VKY3toXGQbJnta2jsLzaAqdAatGJCXERTjDdGqkh2yazscbTd7HtR9jPb8UWAB4MeMV521eVd
FXpXsV7oK+MeARMSPnRb/b1j6/BLNiPcvmkWtV+skzQ6Vs0ixwtLCtM1LHa0gSJEGUw+Mo2JHh66
trbp3unOmMOnQf6971EZ9k0XfGFEmaJ+vMoQNRKRCdIj6kR662O86BX7RbmYXkWM3lXQWC7aRiQn
+Y8SuWME2/42lWNPHkHjPKLYZE7RMWb/qRetZGT0lyzv8IWhIk7f50VT6YRR/zpGsD8tCrWfEKwQ
XhLWAYqrHX3acgbgm3GyFcafaLzMPtt0TjuH5JDCMB6qMgV14Pc0jT3H+9G7ij4jhTB2NVS2c7bi
NCP7Hf8QgkOmlPQmUXnIEVZsQd7E7wK08bi2g4IjcjFurHAr5E+TIHwIAyGtZ1dFh2TIoz2YkeCE
yoACpRprezMXKECKOCLdg5jGnN3YhJALebbVsX3PMD1uSqeS3ycUFjW2iNY31yjzUJjLVq+tMGtO
XZil21RR5cI2riCKNKO8aQntulpDypUp6+CWvBKC5ohp6R57v2gO0RRXB8I11GdshIHmeC/yau3M
Xv3U5Evb6wcIQenmHiqZMyEy6jK/E3CDTdidc3qXeBSia+Ro/VveAdvxOkcHuCcqfxmpTnBgw8iX
uFA9IMwRvI5tDj79rowXZduYNPRjXt1sHGCvFSxhpU86Lex45cVjdB/o+icBVlN3MPXcJNT9dvUT
SHHurGDi5cQwOrP+Vra4EA8hJfOXsBvTY2+XzXaWU7okTHn9B7BqPMZDi7YPOeFOGnbr40Bmziwq
iXNkJA/5btYqSr8wXA3H/gHWfwKvRMwGYfW+6JPHYfLj+8KSk8i/89e1GJYT85Xw3o5OGRt0iyBG
K6YQHnzl2whc9KYQFZWUwyRwcAcPO+bCMg14DcA1G1J/nxw1RtuhtIW7ZiTbl4ewFAtXKSywzIBC
ZuHln1AgZzsSCxhgpmiGJi6eGoDryuf6YBwF81OZdbFutAh3KUuAleFrC+KNhPMQ2QWDDXFjaSlQ
HwkIapXziFzgkA+me55rJ1xPZos02yynA64S3veOZJFi1TtMesqg5Ql0ysa8NTCzeBulOmYobSh3
CRwTNmptsU3w7pAdJodzRzLNZmiKbN+46NZXYIybG0813Ql2d/E4iZIBelJ57p45on40pHqYYz6Y
WZX+hLHxIoxu5eVB9j1gIbNJPQKNKqj/z0Zn5bf5MPprVTbxKhld8URaD6dWUOCmkIiWV6aHwzXM
LCjEQxSsUXPrVd9l9yCdv0inzdeLDIldHNhtHT16EHshm4l0HYIMWqeJ2TOohtlzaGevWI+Zt7zb
1fAMCSfemJgijn7lzFsr9/p9YKXWo0fs0objKdviIXaP5PQV9EQSy2nkqO7iYlvdNmM6nqcCT42d
O86bX6AmiUGx4/iJsUrTEj6DXOhu6sHLRw4pxZmC0QfJduKGxjeT0Af2H1k035nwpdHuR+n93HM2
ZhF+1Wp2nEMHzfpMgytHDObRyGJ37ta6NIs1qWAUdEnW3BYd/Dy/LRYNp0WthMW5iwCljCFLS1ei
UCvUAlmzeVMeBvz023DGl8JIJOfdtuyUDyqeTPktISOT99zuMQkkox7XMS7xc4IN4i5VwfC9N10Y
TmU272mLza0Z1MuCzu92rQqKt4ZI0ftYR2y4Iv78byljcsvtjFsXsvyd6LsEvXpkPlvSyn+qydHv
voicZXVbPjQN6ZSTaMxdXiNw7WcdHFPTUZDhAB1sGRvlHLpx0j0ljl2dgljZH7bikbaZ2J8R4peX
QNQKyIkr7pRyiYnU4A1YA09PkSi8YFUYTBDZMGPUxbt9Vm4OhDx203WfqozOKeDIzKM7IQmGSSAt
3rPX8gNwSwyzIs78JXreos/S8Xxizx7vCggSt4mVhy9xiclgRQaO+oobNIHFZ/TJ2eozdQCS1UC/
EeNnobtsPdv1/Gz3NqrnMPVb2DuJjlZ+o16aaLDOM8raM8pn8Ea5Z6Y8b0386HqdeLKi3oK9mdaQ
SBsmdtCd4tcanDd0M2+8j1UFQ4ODqTlwo48fjALzZ4CavoKDLWDND3a2Ni1nhnTZaUJh9IPuwCJh
17eF1m9m4y0WtwlHc2a+TWBTS1aRfpu8OliDwQEykuq4iTITTPpcxT2ZNXZXbDvhNZvJ7kf4juY4
f2dd4G3DbMIV3yYcwTHSTXqcdghXUTx1+8EsnodxJNs3GwhHjaA88KfMN2SN5A/2ApaAgH7qIqPe
NER6/E1Q+J/6+N/UxxbaUNQh/2+77F2cVL9aZf/+BX9qgM0/ENci1rVM9GXoPPDD/gmVcZAH+wjs
/MD2pEAS+o8aWfyBHI0BGwHHHv9awjn+XiPbwR9oVU0kj5gN+HJkj//7f/1FGqZ+++9f86J/DwZ3
0B+JwHJdXzBjR7T5m2AqHAwIXqXrHvvRrEOEoqTvxTld37WfhMGuXiVYqB2eTwZewD9OQa7rd6kI
6HOx1L07XqpeMaSq12gkAeaXd/L/os9d9C+/FPDLT2dx5OJhdZGwgpr5q0yKeLs2FIN0jmnvVB/E
1bBpWZICyQ6jMW6SfNpjH+nXipmu82+UgbbFm/yXV0ebg6cL7y5TtcCjXfnrq5O/kddelzRHCAxv
BQF5oOm6RF4y2VaLE8X1z+iZSkipk+ffjI5MSMFpk6/jXM4gdlTTb+p5sk9RHqlt5nX5Xudtly2L
Ke/BjwPO+pEBHYOtgmAtcjl3DisqNHkLcpLAJLF2elXcxRaYZoZAZGOYAbKS1SB8Ep07RBGroIsN
jJXaG1d96lnveN4ydtNpvGI1WN34imsZ0G/3GJeq3GGxLbnmtR1A5W0kPC4ZxunaThzz1WhbY0uU
wXPHHo5l6dyA+vW9urxFIRGRX2pQIbSV3R8YzIcQdGZ7RZUD9272hx63XejF6zou43VhjdNbmQaF
uzJInDgTUhSS+jTp14CgZwCWJuXVyhTxiEHMDbyFwDfhsQMmRNpesjYwiTHk8KzmUYKcfDBVkiwJ
uY35TrwQhGrGVS3D+FFuh84m0Bk5A16ohI/S4xgGESV103j5anZi/SzAwGxLDW3niA4sp0uwKK7I
AgzwyNkDW2wonxAwRBYGCAZ0hqjC9WqG4k402zfl2Jqs2qPEYnUVUzSm7ezwZ8UUeXDhohIg7HhM
XFz3zUdNTqqbV95nZTvuVNQQM9G5RP46YBDLVYR8Z2fixd21enDvcc0a+9kKou9NbAGfNJOd1H2/
4ZMqj7TVxeNsTb290lWXnmYYMZvA1f5HjLD4MDOe3Mq81ocJAC8BtpZmo+Czb/NYJzsIc3o20/tA
p4JsgmA8SaL6vrCPw48yxAPGR9+Nf+Du7O9EJUZCn0u/+IGwMgOahr9s1bjsEcElRw2px/3s2lyP
CIE3fPae4ohK+7bLko6tY4ruYXhi95eM9QqyRMWcyw6bCCMS1foqqHX2vSQ2GnStbtO9ZVbD9yzr
kUX0WQxRn3zRujcv9ANt8tEn5MoeZNk7FmUIE7S5m8lYM+20f/PwdxJ1RSbBx4wlucMd3Y0tn4rG
oMMJwbpsWqnZNXm6Ajaiu5ZJesUu8MLmopzWyvS12HY9iWNPE1DiCS/mYpE2QvJiSUiDNbVpuziq
vy477HyVGaCOF8k8sbTRkDFpxlXJVaDLcxsPCVesaVcfqoIDLdif8aiPZnWcMpU9Cp9DMxpjfn/A
m+Udq2X/1iIRWq6JKOfV2uV3m+LQfWrDWeBGB4CuVnHvKDp5Dy8SjRM//Rj586GpxvmQwE55R5RU
vQ8IVNRKuj2WaGZpdkB7043Giil592mmbWdecEK55q3Eqduta6uuPloFS3GDjX7eXY9yyW9OphBb
qa1OA87RzND9gqmcv+SKgWO1Ztk7k3MyhlaYI31A5Dt90LO04IWwhpj8C8nagh4iuScCRFQJ2oc3
bNN5olYG8JaPbtIFj047q5uKpuG2UYKfGK9FZaBeosxaOUZb7xtK07sJEeG48qoEsyXAYQALTBzv
HFr0dsUwNb9r3ZyJBdnvlbsJpr4/jhVN3IoMnLg4F0brgxjkJ+DZLbAbl0IEi8qFTdgKV2zYbUrV
+l+Nvhzwm7HpkuucLS/aosCbTMbuDAtWceMP7xVxI+iSAG6j52BFHiJYPWIAtrbZoKpPJfQLzEeP
qaRM3b3QkumOl9v5xsickM4nDhp8h0FSsGuuJPZg6Gw70ZmkY9iLEskwpvIc50P7bGXduEC6O/eb
25feAqQX8Q6d7za1KmMGEOqOZweezw3T8Pjc+XOLcLkJciQnQe1uA/wqNzYhT0dpWbO/4gEi3px7
BvKgLacN8Ma8Al1U+BbBF0qR6FKhB1hNGgP1vhzsidOv99J2wznOYjlyHRoeDnxV2Or1P4PV/5aD
jNnmvywcb8hr675l06/Fo/jbF/1ZPC5lIO4d+IKLewzF9J+lo/yDe8BBBIYNJABV9I/S0ZZ/CMda
DA3Et3mWWLIk/iwdPbAtgQSMIhzBBp6v+q1U/Jel4+/CcPT1zHexF9m2pDT7XeLP7iJugzmMTuh1
YGbb1LIPA5mKO3so9T5pGGux/0yNAZpc4zgDrvZAAs1lX936Rb+3G9HsIWqxW/zXVaNr/Tb4dRB2
u2SlBSZbH0eYv+uqR8UyJbMC7+gTqlDdSeYNd8GMOmSVGqGbke4GsF2gstsmLQrJCIabUaNiKpgL
hd+DshSsIN2gabf15Bf+KzFK6GTiZtBrJ1bivSCijND7vK/ZQ0JYJbIUEZ15BwotUMbG8bQRHMAY
zxvHzEqwLCIfHGzPleNn7Us89REdooGIFXlS3gBwUDkfWkSaBYrQUhKf1IktahukSK18bqjyQHTL
IbDvWdJ3L7IiwnZoGw4amZOXvGKj33wWU2HCCSZ4mPkUvo51EsOjWgXZEnDZh0TNnTR0eFLsSbjO
wf7ZzkO56BvRtu7KNvxCooKxp85vT02Uin3X2epbYsbtnSzccUOdfyOi6lRXnnr2y4RQdjlOe191
+ibkmDqNRm9sEn9uaM2B3Nw2jj0RpxzvDLLfGdV0onpE1/jOfc4tkaiq2sxZHr+R8ofXwezc4WIg
337A7Qxqw48ntUWvOJ65Bp/MLuIemLpkNc5Et63U4Iloh9HQ+WxVwUaujtVqdF2a9M42E+/RDLL6
sWfTSBBoUNy7/eyDlgZVkF2Y3ij7JY0wDI/CSO7mudkyz0OjIfPheTJNtJYxXtuRCn+f50W5q32N
ole0XrdWTGq3M37qw2iHyLVnaazs2WyYEaJCY9w6rDESeQ+8681N4GUtavfcPEXClif8TsEpRhwe
bcLSzN9qLdRz5TPfayjp3XXWGUyVVTKDurHGs92b/vfIj70d/u5mC3GSEEGLoLZ86okOTCrtsS3v
nd3cDBjt66yOPzIe+5WNNGqtedJoAqLh0fT74VYySr9xB9VtMd1LgHyk8GkDsZOFZpBfSNuPMbtD
1oIzAoo2iXmkwaOHu4FJzLSe4R+8uXyTtTHmBjej7LauHMSHFaVU/Ok0/bBg8l8acBubYBzbA+QP
EKSaQe27stgbr0MQckfreulU1wtovl5G/fViomTikrKuFxZDNy4v3K/TJr9eaWiJjWd3pISjalju
vOX2k6Qmu9uR9/HYX6/HQuTxOWIUiCyHVCXb6cKZBmoZ+ffxLidoIiXFNHS+YTkfPOJFuIdn4s7O
S+Y0bx8Nz8Vdbmx7ubut6zUur1d6lC/XO6NFrnpmxcODTzSru/ezyjtmmM1lPMyffj8TAj0o5yiX
2oG5P2UEfUR1y0k4vIPJpsyoryVHcS0/smspEg1LWVItFQomXNlt3GvhUl2LGBidznG8ljYFSzm8
5teSZ7qWP5Rx/bG6FkXM4yiQ0qVWIkqasqlfKijwm8OD1/aoP1mZUGJNWDPv0CfW+8EKYoqmaznW
XkuzeqnSPI6DmyKWOWqEMC++hLpsoDXbutqOMO0v4UKmNEDBo3Wz4VUmC7nSryxUiKIjzYrqvjl7
PKNy2y68SzqH9jJYcUxo5JC91AsXky5GMBPsQNnU1Dsczxy+rsqyb2mkwWomV8QmOwjvXiVTbryB
1ZoXhiI8Tste0Jz+FdMZ1a3X0jBD72xnuzlNhRhof2PoMQvlU2h4n0yIN+j0jHYVLTRQ8woGpUlw
bmJJ0A59a/vk2hUI0VB48cNihXyt+iJ59In7EgfVqujecZwaDyLJyDka/Vh9rSaT3siBWeLu24Vd
Gi4U07iRDeBxMfYXHRQ9SF1BJBuUhwAkVsbA8Q6/BH4Dt4c3A7mT6GDOd/koDZLfkbaqr54heYlI
mvOZ2tzepRM2zzYj7LIZYLFyNoxH3EnhG8wTwT946Djn+ZBnkAkJ0CPledUt6S3yCnlFR+6fxRX9
6k9WvJhYIMKCXmRs2DPeRcHledc/28EI4pvCbA22Gza/ZC/8LSqub6kNxHAIUJFnzWh/ge1ZH3Gl
+ffSjmltQNRazQKrlW5m341GfSYRnSPHzc/RFITwa6ujJNJ75bkGGQyiQCprlvW2RoV7O7mVv3cq
A2XYPI/WXckHHVzNgtF1UdmvLRBTmyKeQHi1/CMJTONrumB4W8sebxy3QdmrmDa8I+juv/ULujcj
kGvTwnfZL3XJZ74gfnlKXXsNaQLyr3OlANN2xWdV9bSeXKftjR0sUGHXjqEHCwXqbdtNBiSyoWil
vZuIMaw2IGnML16qdbltFjwxWDNIxZNcqMWRsxCM0yvNWF/JxgGiwI9SBQt29Mo+7hYMcrIAkdmQ
8+eKPwwn7e8M08keJ9N7ysbQJWdyISrbTosHAOmrfVFX5jLYQ+suRJYD/zeuvk4LnFl3YJrhFvP3
IscGerNhp+VXG8wS3xO4s7VgntknwhD1Y+DPQaPEWdGV8Cla4NDI0uBEU3ehzMgDzewbS172wR7/
XRmCkJgJbsB6SGV9ImzU8NklBgYbRSBh8ZpABPImDAz5j8NCkKsWlpyzUOVGVLX2ZmGlEJawcOc6
pR4jOXBZu4F7ifFLAZfmI3ZOGGy6G8CT4CYHJwHu5BYOVNglHydcWHdDOjafgWwQR7azIU8gJ4el
wHSJzIXeJVl2zIDz2oWhF1xxenIh6+krZK9OcvBkozGTIeUT33luxMykYrji+dorqo/ypH21rgC/
/grzgysCLQvr6EDGrQ/uTy7kvz5tly4uScrmkDW8n1hpwzjkanWov6rcDp7GhSRYXaGCzsIXDNqM
gzaWBKQGlZenlxYj/IgTzS9A+AbjFzS+zSODJ/9rQ5jDvvJg/q6yJIPFI0LjFFR+U+4b1aIDMKIC
xW4sZrrUhl4RHWct7i0gTMUpqImijDq//ilL00mI+UYfWwdpbi7ye2Ol7I6YmREeso0ANpgs9t3/
aev+W22dJBnwl37kn/Qyl4+k/PGXnu5vX/H3ns4DdWkTNunZ1oLJdCVt1d+7Ol9AmUdvSX+2DPYX
Oc2fmhmAm26AMdZHyBIQUfCPfYADLgQBjouLVEgMtOBC/gdNHS/x15G3T0KOyffBu01T5/22Dpgk
XHw9LcSNkANu604Xdla/vBv3f5ve/7py+OeXQKHiMljH/EwPKn57CSzXi5hazsTB2gzIghVTkVXg
8Zb+nx3M/8erLD/FL9IflvDj6Ma8il9+VcbXavyh3X/XZv7Te/XXX+Q3O7+fVA6fNV6imx9882FK
Ns38+a9/C0HP/vurBJR6DicwCyRHsKL56y+icgPwfN+0B9co22+V74GvREBnbdGBzwc3hLwPwhy1
Yd4haWUauBuVPW5Z+Iv9NPbDPqnb9osVz7aAJ6bSTav9B0h7vbuhJhzOksQi1PStubH12MNwDMMn
rgbUyj4hKc/TYj3zUz+9UV6PHbXCXBOQwRMECua+6A8dpEoq9hi4If0N8yQ/vuR1TRB601Urj/k0
AnxSsmMz929MmnD81IgzgGlO8cVsDA+9Y06DYWIkjA0XxHUEVA+oOSg+OsHu3MlifoGClG/iOrbY
wTbfPKvw8eaT0gQetd+QIVnsHUudnczSL2M5OQ9D2Im9gcdrW9ltiix4iUnrhLNTWcC1MNbiEuCI
2ZIiPa5Ga+wfbV/zTRBQnv05nbbVHFgTZZ8Sl5C4hUOFmWYdVV38EKb98E1qgOL9bHd4I8IRBVlP
w2wk84+h9MK3uIZ8sikw175g5ndt+N7iR9uORr52laN/Go0D5pUsHf2FhUcQ70ZPOw89/d7aX95g
qCeXilk3YWZE/LGvdj2q5VADp8MXRIlMqRCy7EXopMByA533uZhT4zaNnB9acVkPk+6+p/P44szW
D4l47H20UDw4nZG8kVWfHs0JLc+qjRvBOND5sSjI/4u9M1uOW8my7BehDKMD/hojIkhxEClSVy8w
aiDmyTHj62uBWVktBcMYrezXfshMu2m68gDgcLifs/fachUN9ewnNQfgBDM8MTcBrM1O5+/LR35H
MrrpMZdO8xRr8NqysXavcmoTKFiHYGs5ipoBH2pUEmZyCAur30hVqR2HDX3PKW9GaEX2HD2nKaCC
OekI1zMvPDqYXH3qGgxgzjQw6qTdg85N/cRJ+oe0nLuHlo4/3gxJknDqxc59FrLt0bMgPXqglzgV
lt2Wqqx960lu56peYiZzvI8bk7XzpiUWPjkkpsh35Hsizxghlwfrjt7iZ06JIWb2WH9Iii4dV6Dd
nVsSLJN9RD773rBV8D1wHc4oo6kFN+Yg8WSmket2yxGAfhDGuNspUqSchnRfEADax6lS9XWtLWYA
osoPQlbiLtAsbc+O1bpzida6HmznKchr9MQcKdiXOb3uY2IX5qFWLfv4bkSykZKu/L3FsU95Yyjb
laV12r6cIu/VTlLvFTtYu25gnF8pekbfI6kb27CrbXIVYDRutaaV+Cflcj8CJDIbYx5/Znibk3XT
j9mWXofuG40x+WSTmddw1+xHtPYz0coeugOizoy95xZq73Be/uqZQc8J1Ynu9bzW/R7thtjY3YgM
3o1pU+W4An8YKfq0Ou/ym45C+YsiYuxT0YXyljOs9YhoHg8253xaGzWppINJFKbVY6TgLOfdUZov
XqbIGe7VNI13YxK1N2NTi2tjRH5Oh8i5Sgkg2hu1Q57f1IqHitPVpgWm4qNI9/q1o5sMUCMJjAiz
hImnCCEtVgQdpOS8CeFs4GWUlMIG/dWORZuvoqyMAIb2yU9nFo0PlZBGrZY3e6YGZn8607tqqpp9
W5IJt2mquNnwVeGMoNv1VTYIjnJRWUePMwrpcBUSP7h4UyJB4I9LDQGz2JFfGz6aRjkfJzLqrigT
TuvMCeJ6nYhChxmfJ/KAQMDZsZUWOOhDeXAaiacA7T3CkKUkF6UxmjdhMSdw1WELkXq7heuvDv9y
YUS1N+3YmWpbN+gCakN6JtewJbkPYznD+WfneVdkqv4+1G3LMtan9+RUYRBN9Gndsgp8g1xJ3nnv
uj7s4f6Xq2NWMKG0XL15DIaSGNoVfFDMIKSrfqdyg0E/Q+v+2kiIElMDT5iaNAaRxZJgFsJBrImX
AMpKbnImdBfXCAQwoJXttvdS5NvM4bc4FG9jG+HiZF6GxCtPIx/XEjFw09LqsrLFiJa2zbM7ts0G
rTh/1FaWto0psXx6s7+YTWh+xkWJVNyOyqc+zvN9K7tij4Ml2MazoVP2XURfNbY/GmWI48vuhUJ5
e/Bc4ZHF3SV0lgK6fJwxUxZP1d9ITJq4OyJEW8qQ8SeRcrQ3tBaUJu7y0S/xwpo0OA3rwJkU0ZHu
9fkReSnaebcUZCXjKZ39tqj4wfooZl+SGvxgUMb6+kY2iO3FyfSGP3Mqr9i7g6AXN1cdw6LwCY7j
7BHGpTCAcCjQHuHLgkCizdgSnTGDJ3OxDXWZFf18c1Cki7sjV8K5CpBtIupvwH7ViDt4+zVvz25U
HaxKS58GSf2vKGp8O7XQto6tJJ5hnDjhm99q+djRtadCm+A9GgTuKMvAalDKhsNIgF7Kghz8Qngl
SOWKCc5BMz3OzOg10CPUcrZe/CI6rjvASWgem5TsUSZSeCciLbxtk06CFMb2LGxga7Gqir2HPvVr
y4a0XXWxGcBNJyP3X04JM9DGu7ZN5/tZ0/tffRFoX/IFujq39LY3nib+5zml7Ri8Tjo/drStYafb
lXGDf0h7DBFU3VEgwYmbmd1Wc8b4n6JrvHtZ9tCaqTo/W91kP/dKs58Tp5pu+FKJXVRH2maKY22D
FwfPHTTwT3Ooqc/gL4utqYp8CxtyvHm76y2ZsdBHPO/WXOI4iqLkw9ckV46COVCXERkpHSWskom4
G8mIuHLxHG8LmbSHfGqtbUVgDPYqHQg5JcDp2OE7uQ08IzyAyMCm/DaXZ8+AiqPZHvsKj/Q5AhJu
3KYItth+Q9IUqHet8Emkt3qd5Ae4uuKrDChbtgEoKmIz+BiCoOfxzwD+0oaURIPqDb1taeVrwD4R
S6Cx2HhAhKTTeMOiMB3MKihuXTXPm7h0CGOAEDE9wQF3YMTPaJVndHCY1FIAq+iJyRByk1v45Zz9
LcxidpfjuRtmOgXugA9PVSOJfg2fbvCpCIfrEivPOOduujENFYA/NWDF8m3qD1JR9FsFdoNhvM0K
Y12gLXjsIDftOhYc9kAYqK9ohLUEvEEeVJ3ooQhieJoGSJo1zJUdeDxtImKp0B4bXUcYTF2OHbON
HD/rcc3pYcOr2ToVfeI3lpnXL9KHqse1YxTZk441cZtXOLksGRvf3+AhNlHeiLEH/TtxJxiOxri0
Vpq9MHagLGxjSoi4wuHjqNR1j2Kwp63XTgp1s4m1yJp6wDK5FNQI2n6RLBVgje91MfLOa1aG1yrg
Hx5trQ5JTKW4f921GjJc/uhdYlHXIYOpDny65PY+1q35QIFG7Ic63i9XdOtGo7nGLBTdGHNskiAZ
5w/QTgmb9LD4z1Wk7VunbIH/OpP5bSomL+HbUD8gqgQulcbaFQ7zu46e14rMDmI+E+2XV7fuzrCL
r1aHdTwDXnzNZaSbTC9ZOZ2wUTvPU8O2xLa0DwJ81tCE2ytgOQqcUq27W3aIEcZuB2dDRPY13p11
2oj8h1toP/DI3Y4mMcXmOOTLvq0+UD+DLj/Hj0MZzWvlaaHParXnRvRrAG4kkMK9wDfufdUKFN9t
AgqCODFy9bxhcXFYGHR1r4VJ4VTkgrkV10ut1mZXZQqbFRtLfRV8qoooJEyYDHERZ5DQUDZ1+3lO
om9hR755OhqgcaZu7LejN5cPFRxJIrJDvQY+Y0ZXUSKqu4Iw3K9aSG46X/Wc6lmFeb13ISoZiKY2
mVelh66f5qNJWu2esKLOJ7CTXloZ1vad7an5LgmFeqhQIm8hZrgIwkaVb8QsxBYFKb4SFUX7jEit
XV+nHMn1LD7Sm5swpLYEQ6g5vzIQ7OODzBypNkMZWuRee92YpldN8Z3tvfHPKArvkyG7Vl8r0ynv
+zoBzWuW3XAXzFN5aCdcmSSJklHvgRAx8xwobkphegk95SmStO58tyO7HtY9ZoNb22iT+8Ihk7GL
J/WPUOyv6KRF5s3kyfYfWnruMaWK/xxM7pK1iTXmSV++kMLIKyyiXuSPRdFdRbFnf4rypn2m++T4
aI6HI0ac/mrQpvRHayegOSKDh1t2bXDXu1X+M2+wdfTCsF8wH5eUnukcHo3UtK9Vi/1UwNfEHNgX
Nmfdxu62k9baXyzETVt4GAa+T+q+N6U2/Up71/tqlm4BBGMm9iFEHAPciLRagtVpJEYz1uMoh3DQ
aeOwEZNiJUuyxCcKIQP/7uo8Xr62x4lTBdg1a0aC4hEeUs0bSq2PWoaPu2iRxbHKryjceJtC4vNO
jepZWYkFpRgf5EqHB0HLh53xvpQifyzTvLxu58w8KAXxgP18Dk+ECnZaeR15CM2g5T7HJaH9IoCz
o6qJut7ohPdE2OeSCQIEgFPMsDK1OPiCe7C95qOY3bFVTF5Gwyq/JHVaf606wjP2lUalF4VNHaf7
vlyCfgjnIlBYa4t72zKGYv3m6UuVoFzcqSE59mb3Kxw8PO+Ud65H6RVXFjvbH0VFoA/BmLAotfRm
Lnv6dyiJ0DuC6Fnjoi6v0x7uPrixqr2BehHeJGyGVgkSl2breU4NIEfAc1J4B3j/f6LRpxnBN02u
OmrT0AXa+Ug8UXeXoknY2GEWPY2qsfhwucbWQMJ131RW+d3S0G8lzfANitDDTGCivXPxKW40LIr7
pJ5Z2SvNIl9god1Ll3Y+PCX12dGzJl8HgLBF1Ol09EmmB/9j0xkp7X0UCYSeKVltK0I/3UNEtJFP
zFf4HZUBoG5WQhoIGu3ocHQfOerwPYHo9S3ICcCqQvlsj/ZwpVeGuedvIRx7rNsHO7Z/upmnbvuy
naDABj0pJHS3uG9T8klC3t8TosEdwxewpx0PJl+T3BQrcJ/dPrIf476kt9zFvLBK0swo2FNNEWEm
DmT11orMO84gTyzI6e1YzeKIJBIJ0dCKbZUVwUspU2RGavDIfLCSG0GqH2V4jVOMqdjdoqCoyc0e
is8FPWR2uNp9nuftofWm/D6INXHn1jqB8GhOb4yot16NEKdImRAtrpBvHQMMTLeodKPrzEmdB7sC
BQT5a8aj9k9S0ECO0JflLLfbHt3rZm5H/T4IOoHzBgpf2ablHvFj9tCy4uK5oW0kZa/vVdY9hh0Z
KKOri6MVltO+HdS3SBaun4QRXyw2gnD7Xc3PLdlfs5Vzj4ONXw05Zsr+tyxeu5bM1w0i5u8WsLx/
Gq+FvL8KIbN9L5Fn6ldG1QVXSFWTDdWSgcnWmI+dqY3TWiPkU97EGbE567Ko63FlEUjt7OpinDma
RQocxaSyxyKXwOWdSe6jeKFfUsJ6BBv2axyBcukzWxVVW+qoz8MPAsxzfL5mvmZTxSGphsBBrHVy
yGNpLG41X0O4deT9R2Gai6ccAs3aDrDJsSvMNpQ7fjRmDPlAn0gwSvi+TsPgoy57cTmCjARIOEq/
Zw8lqJxRJtI6z/hhy2y4skvH2oraopCCYPU2DAy/l1rwGgnLuXN0zbxvRvlaj7b2FPLqfTFNV0Ub
pynRhEo1Bhtsf0ueplPudTl2CBLqYiPakIw2IH4XwJ7vq6AAr11HSNtb9Oqn3FtB+7noNU/5g039
rtcoxsVVyZys95zH8wtkxnclam8ZTRqW7qG7EqdQWHd0RvZJrvKnkjQkHa7gKs7dcZuFVbb5uMJ7
bijwzMT9LSJ3lr4/y7t6IyrKjwYXFnnh45jYfDKS3vikt3jnPh4Kk+6ftX2uyjDBXKMbk4x4Uq82
Uoe8eouhClV012nWpr5QCVtOJu+qDsd8j3dm+tsiOYOahmVY1OHQaZ0OSq6WYWpEF/kTmTgrE3bT
SihKdpxJLwn234m+lqFM4bmAkXVhi5NbmbL4z1WlKZ/ADSsgeEtLWNy85JCaVDTJjKrvqsmggpjN
0acuw3r58f1dKvG/mxW8ZXzLon+De5kezUmlfgrtKtLTsPG9XKMAX3CBoh6+fDzIqSNiGQSngu4t
HGidtsCf82U0+Fy00lR+21K6dVFzx6vQtYKbzNRnf55wJPYdfreSgJ3dx0Ofmz+WCdpbRy6++FX+
HFo69miQm6CWIskEs8nBfZUshWBX04kdgk3jrKaIWIOPhz336ls2Sj6oyTjJDVpfv3dyrEaK0o0Z
1q2T7Gjk/Rc8erMfCmatRHT/H0xYizUGFLRne7D5/xwuVLVuwM9huKZ1HsnM2HP4R4OBo/fCKmMs
N+x0wiDGNG1O4Cw0+ukNnef/eZZi7oYfzdvcnILuJ+bBEetEZsAXhQ8jvFl/iUiJ8NuBUvzHd/fc
pCWdWrj4W7D/vHtpXKudh1BXcCxD+95BJvOpClliPx7l3CrHI1zaVzqNz1MavQ3DtbNzlp63VaAn
/WtNvMqI/TepLjy/cxdkA9rAH0VVHhfVn88vJa4eeePAgjrUyLWG8pvwym8fX86lMU5WUrI7TMGH
WvlAB8nWVnvbyy8Ros9NDuYfukCmouO+mxwy8QZltsqv2Lt+CjvdPJolRoa5H+KvkcYKA9JHXzyI
2FEsuv8Ary+taO9fPQuIPy0U3j9J6eJkRbOdqrO0UuKCN7BEtAgO13gca9J0Ekg5lSw2f3tfGY+A
dVxfjmm4p+9ezbHKm4Dk+nkxskER0z2aQffCVuL9XLTooaOZprS7RFievOAyNFqSY7Paxz2KnrMq
4zUMzms3oZfx8eWcGYmL8BwX/YtjwbP4cypKfEvzNHmlz9IG5Udrrog5eqxU8vTxOGcek+HaqLF5
VqxcS67m7yukqPLUksot/TnWtyp70bxsnaTFAig6fjzSe2G1h4r7t6FOvrHUqMRCOi39rpcU7gub
eKvB/VfeNAjjvpi/TJi99yjaA7Wp7dbb6AqGCyZHKFsz6UwJ3d+92VBGy5VFATy3ASQ5XlIhTiba
Phyi+VOQcQ6068LCik23iHNVu81MAtCPbp+NN0PZUcGe8F6sKbOhYxTxfOFCbWyZJ2szX3D6esjo
HQOKyMnajHdds2TRcU+bqH2WZLbdGL33eRIifskx9By7LKN/mkHuIRti55KFTs9aHITA8+/QmTXq
Kl2b3Zc84GDU4o0ryvxzNXifZjw1q7xM622DzwYTIxiMQCUWstuhRPDUQzXQEq1bj3Zp+/S2h03b
euaacZINJTz3OrXRMiQp2qSR9Xojw2E9u+G4IYw8k9wtE2UYcUf6dxet1oWP1pm5Zkp0CChY8I2b
7slcC/K+ZvcxcV8SqA69Ia0DT330w0Sheh0Da/A/nnLvNzyWhfPMdjA7oPk93fDA8Oz7ocpLX3ot
Yti4zLc1mqlrYVXtHrdfex1Ren1E1BxefTzymdeX3Zy+mCg82Oynr68i7UqLOlFA256mrz327m+Y
b4xHgh2SXx8PdeYiEXiwGlHr4D+nW0f6opw3p67w817RFcFQoSjXwlAAzaoOokmJJm1osOP9NCna
fzz4metkXwUmR8fJxQ76ZKq7RF1TdioKvwnKeF8PxWOI9YwEzkn99TbAXhYpw0VhBOZnca38vlBR
A2pCsBKZD6L3eZqKYWN6IyCOzLL+epqy3UAwhTCK08e7fIUKc0EX9l2GrqAjelVQeLWS22FwxI7C
08+/vYG2bnFh5mKrQc5x8kUJ46wq7Kzmspzc8rVqKkp6iPR0msxKLyXAvH8BGYytDVsDh4b26eer
RhsSiS7nyjT7MbK0Z3DOP5PRegwHcWEPsrzLf+5PGYpjqeDSWPPf0gt+01CBmYmnQkOIAcZ7a1Er
laWTEbnX4zJb6LeZeWk3en5EyVZULgK400gfza5ccjEZsTb6Yyqrl3IyHi1FmnxHlhEWEvP67x8d
G28yGNh1MOLJjHRIJ4JW76a+1nVHIpJ9205h9ugXhnm/YbR1h4QHPOQuu4/TgkLv6WMc81f7YJOW
AAX0vNXIF/Hji3m/ijCKobPZwJol3oVaQJQdAeMYqa8sKlpUemCwda9uIe6TuqWh7s041csLq6T5
/kvJqCwcruM4JJmc5oOASYGYGVFMkA65D0MmKcMVVQqWUdKlnwua2M2ETQm8jE20MY6ZiraX7u7b
sQ4PGX3kHfSgx3lyFr93ShpHVbE5WLYF9QLtRBYnvkiTUBQI2s6FX3/2wSwYMpqBMHZPHwyShCij
s0E0IwHR22SSyVEbqXN+/GDer7DcInSVlJRw7L3bcuZ2zWckLDMfIzrC4bL39dR49Nz20q7lzAvr
SMHelnVIcIb9c3113MwqqrpgIRorCyFLEGFi0sfdx1dzbgUSbAGIK+FQzr37c5SZmK8x7LQU8RAE
WEhZiyimg0HZZN/hW/79LpozIzJRPhlLptjpCZWsCIHZgVd0SoOfy71TsbjPVfD88VWde3kWv6CL
JJeDwek0HhsYYnPJy5PFjneXTgYttsD5SbOl3KnQ8X4MGYlUVAubC5+qc2seQlKbfTWVsneHHkqn
OqSXPvVDPDttoUEcDXdV8lQl8wPL9YXRzk14jj0mk52T5bsiGeEhSEhB/ftVWKX7XDh4Nk0o5h/f
zHf5RuD7dG6ia/I5spA5n6yrsjPHzqHk7nvdoD/FkV7ugJOhR0usPqM35w5fEsMr113Z9rf1VKQ3
TuZa+8hD0zkDfaaxDK7HqMlkgGeKHqPrkkunW+PsnXc5YfNmWvhrT14XFTS6M+Q5X5vRpk3Q1i9G
K8s1qrKG5FbvGVga3A1oVNdZYcVP6dA3h0CW3yIUHQDgoJUPuX2giiRXYtKqlYy4jo9v5Jl3jZ42
W1DXtSgunn4QM5ffEI9stweQItVstDu9QkwZZOhXppePxzpzO4w3jTGwFQrEp9sYk7QW3SY9wJ8D
46dOwWGTO/pLM4EzcmWxAJVEe2GHcealMww6duxo+GK922L3KptGFZZcXuJ8jeKQ9BpUO/Qx1Lyy
oJl/qdVQb1Bj9P7fXyuZfnKpSLFBPF0pbcBgsfKa0uesdgMTW1GVziCNCFiPafg0EaZ+Ye977kmy
ZaMMgDdZspT9uWryrgBNt+vS1/SwXmNRQ5VQWO39QEiInwsO0h9f4ZlvDhfIHsriw8Zm8eQNJG7e
BlzErR37kM6FrYaNXpf1xkIR+58MJaFtAskhKuz0I1q5dtzmBKL7hiyLO7yI0M3dVlzFnWFcWL7O
zVGLF2rxISyV/pOtdo8krpipDPhN3j2SgvPLcerHrOH5xWF973XQtv7+NlqYLkwHhzs7xJPHZoz0
2sxmLvzZnNH4ucNn1alNRR3gwkBnFmZK6uT2WVSesXEsz/O3zXY1Q7fWA46AWehADxn33lw/XrgW
i7/jZEP/xxgnc0Jq0DltmzEQ9BsrjE3VsXEa57PZCUKXMqg7ManRK2dQFel8SfilHBT2L4deLSSm
lOJfhxqyiOn02lDLSG02tgOwcj+2WnWEuBfdm+SGr4sJonFQ6cU+bxBncbqd1shgg0PkeDQp9BG4
t7Gkf2H2Mj7PMkdsVRjkz5R5o/Z6XweSA9QY3uJnYndYLmEK2GVvo9GN9oZqpkMGYP2mt6L8U6+p
3vdS+RiXabPmDqe7nFoRSA+Egj7ixHxVDnO1DbrIQSycDtelbcWkgiXd7uPbe25u8hV3DeaJtaT6
/vkEiQoCLieYm8iEX+qxffGi6ta2tJ2Vl0Do4ZN8PN65N5w9N5s9yvc0hE7Gc6KpqK1wKnwcrUvN
6WYw08PQFhc2r+/baktCMI0t9iYLi+xkGAJ6IkuNEvymnt5XVbzwcLwfdfqFJvQnBCnrzjG/haq4
cGQ6hffabCEYlyotd5TD9emGTFbExlWDQ02knOavEQzOlads7R6ji55t0cxwxqmdnPyOtK83GcwG
mtsFC3lt9gcHlb+TDNrB0jttZ7R2sQ4QhjLhqj39TjrYMvnuGPh0hxEpIBFO4Ua2hqD24s6b0Age
zJTcC292AHC2iZ1C4QZnnfB7iEqpfuH5MO6g+eLxHEFW4+ji/89nZx01bbJ1yfp4qi3n0qM498QF
1D9SoSkzWMbyqH5bI2K9cfIihYRK4N5Ep3A1Dfo+Ndr+wsw6txb9Ns7pxgi4EJBbYuJ8z1kMhdQb
1hAvth9P33MfREG6JX0F+m3ilDyn17CJamLOfJpO3hrQ0orD+HOZYkyPmumC6ezsYNQrObNI3G2n
hwihWIyKjHdFiwSMDYJGSMfaoQBFS93GF27fuYVAUPbna4Fl793mN5smSySoqHyVqHsCBMWaZKHn
MlO/2hjNQiQu3Ml3EL/lVVl63hxgkRC4p32auaky7i/7tGTMSN+ZTYMIejUcTGrxm9LSImgMNQkJ
lbQ+x3oQ+VOIqSEsY8CfISw4WdrTFxdLEPaMICTi7eMnfW7a8pwtykjUb2lf/zltgQY2GvC03B/q
6pclwyeAZw+ZhY7kPxjH9TgpcvxdLHN/jtP02hRV6PF8TqIV1Zz2pZi0YVN26sKH9Ny2dYmCpsSy
/Jd78h5ag8TBgfbSb/GMRA0S16G4V6WDX9q4zcr6Mc/khULFuQn825CnG9ZktjM0enrug9PZQzP4
Je0Mcbs4qrK/cOawzs1fTqRL7DPcQ2pJf97HdvH8z6Obs8yY07c2ql7J0IS3nBnemvJtuF7yNGDl
6MU2rhevgWYsykyF6I8osGebospzUJMC15k4FnC14TOKWvUA05u47CLLYLI03m50B+/Jc1g1CYBr
EExpzQgRZiltluarPpjYWcgPGSv9W1J2N0hxqi0m+F+x1w+rfLLibZdP5kOF6JqPvelcmE3n7oJc
nLqUOJi3pw1YUHQNJO6KnV81H+Z2Nlatbj87lXNFzRRQ2zRcGPDcI16cWQhlXIqtp7e9SoxwqtkM
+XFNRkdfdaravaV5WCFhVKDR0KR//MK8aSdONoQoZkwukNeFY+bJkw61KaNLmuW+yGe5joZOPNiR
0a8LwJ9XUZllT+QHkttho5x8swt4EdEleTcT5oakb68NQN4v3IYz953NxmKBlhgD3x15pZg8AMlW
5hO1am8jNYlPRcS2cUrK5jkhbB16VPT9wo04U8RElUDVZ1m1SQow/5zy4ejMVdDzRjdzgJTVCu0d
glRr1wSq2UPnslbMFJSTDrGhgIPWEz0ZnBf2pehu68xaufjCkWMQqUCj7eSH6EgjRN7GOb7lhNih
N19DbBEVg7a6cK64M+6hTVAjY7Ei1S+jiGxoOX1U8nf6u8Ea9N00BcSz2Gy8zXbWv7ItLvbRwJTC
MQUrfZTOHkn+rwkxNkt2v4XgGm3RCtsbpRWtH4na3Y5R52688MosU+shtYrxltcWE9rEi/AceZ08
Zrr7j06I3oWD+bnrpwOGB91dOvSnhSPKbUnWtBbXn6XjA7G+aFFhPz7HhhbtPn7o54ZCeI3WADc6
n41lF/TbboqmU10Du8l9QnujTVV7i5tvrNKjjLLw+eOx3p7b6Zu2VH8tTq98Bk+P/4Umsm7IYw4H
PeFVK+hME2av2Tb2QVX2ZBJnxpVR6sFdO5rDDWDR8N5sNXJ+rKzaVwXxR28/6P/jnC/hnOlVcCz+
X5TAGXxD07z8iDpC59rmd4zD0h7l3/w3xkH+F8uTYJVyyKmAssfs+TfG4S3gxKKK5jloR9+Qz//m
OJj/xbaBKcC/Ri2N3ej/wvls47+o77E5/T806P8XjgMj8AqxjDoMRtL8n3NbQiTW0kqrfC/OXqMy
ZKn2Sli3Hsf73+7O3b+m8Ic4B0YyKQxSQ0XZ9e7Um5FaYJPlzEgmji2sI98qUkxWgFK69d+PxBhU
a6mhoc5b3uff3lfoUMGsoJwhg0vhv3b6bdODfhP1fOGz+H5hMNA8IVVbFiD93Xa6512UUEuJEW7S
1zRLXyHavyb8719fD8M4y94d/ve7Z4QmBG2JM1Y+tQG5lV5dr8AuZesUOvHf3zrmKqsOXXf6T6fF
wLDScxs3VQVzI1fXI/nOOMNN71oVyYWLEjyEP9c5qhFUyjjTWTQ1Tk91ZMN4Goi0yo8GctZEN32e
wvEJI95T1ZMA9vEdfL8PZzCLVhfyDCHlqZ6AmMaSd7OEGVw35FJh5/MTkv1WpRa/EP1OGipO4ZUx
4ZP/eOBzM4SeIQLDt23T6eslVEnoRlRUflXH5UOHmn/lSLy16OKsC+/X8hV6d0Opv3CMZA/KW/3n
rJ+7pJsQvVR0qIGAkKo8bSFNBg//wQX9NsqyP/rt3fLYivRaB32ZrAw832p86vOhOEKF/I9u3W8j
naxMQ5pHZV8wUpR100aMyctM/Pr6/+L10t8/JTpcnsfMcKWNVmmZq79dFEExjpeXVc431yw3ld5r
cNKqdryb7XzaykAvN4ZUBtxHx/F1NZbEzlhya9V2cexrWn3roUT179HtXKuywKwRxTkJ3YEF2Ew3
dp2bvk7oUA/hbPSfKheYOCnNjViZsqxXZcUfATeWb/V0MNcdtgrfHev8flLSfE5dszw4QRJ86/N+
2gz56PiBCyKjnEiIGxLmc+qO0DKaCdzXighsb9PXoX1oWxrVXZoVW7aCxQP2UPuIh234UQes8kYr
+O0Y7e6nxC6viOLuk3XkelG5newMGivmXNpv/B5Q1PZLHnDRad9Wu1KG1W1ozuWmRfnFYc8KAniD
XSbxBlgtEbXYd3e1jhQ6qQmBg96srXOdq5tzFi4i2Nu12xYmmEcWlyiM8VVipsK3C3yUI2QJk5yy
6dHOiVuhvVNeGTpRuF6Od9WTuUYGF9WfMOqdqzE0km+hV2ZPYkgRJDVW9U8tcvM54NqrlYvB958q
t7uZ39QHqELcSrbQwSbe9VHYmOg1Im2emgF6Adl9+T3xf+23gFuDa7OubkWXvOoGz7TDvfSce/Hr
2AzBQyvm8jAsS2PUNOUVfPYy3akMRT/vtswiABVi/IxK1D6worfrAFDgvg8za8U2IF6IE11BVh5i
2pVNOMdNaFXyNhFh8QrZz7ghkZ6b2GUUEE1t8LzV27TPGnghACq860hwy9KYm0ClGtiJHU3rvK7C
R2/GzIfGP06/SazFq7weiON2ooTwIkzEM75yJbJ9XJh69cno+kpuRBT0X6Og0uTWNPrGQ3uYxvNK
6IW6xowxP3vYdh7HIs1fTTcqj1zjtMWtGKwwHdS+nRjyqUSK/2gBOErWOIgISlW2gyUFdUeP8ZN0
gmuFyIA6KozwVRuMKRFBZhVCowtTjQ6ekE9NrXjtbKI0173NJ27GM401rVrcdfi8oie63WFPa6FI
XiTH/R2Zf/0n1KVGuIplnxGjGIyfByX7r7Oa0z1y5JZ2gKbMeJfgP5i3cPHRBoFpHMhGGlPjO+KS
5qc5827ZWjAZm2xwmi89zPx/wsR2rtwpYw0dS36s6jTrKGCnAd4diJs3Up6EE4Xptzo0iyMs3GKr
xsZckw/8Ci5TXsOItI78EAJssWVutKmph02Ui+gGcsJIIEu22Gh5Qp3Fpw/ldLaOPEVSYySDh6Qn
+QGC0Rj9Kirp+EUqSP4VEZG7ttF9rZoJIHJeYkiXHRNhHrwC41pM6i2VbBj3+roxsj22+F+g7d1N
1IwPRW36bdl/h2AeH/NCmNsuIC6ZT6F7H3W8lEbBz9KNrP/Ut0puw5T3nAZvsDIrN332SBC9wrm1
y2d3CYAaq3adDwDsMYInMZkSGZOaVZGAnKwimq5L5K3FpnJXa7z1aQexuCdsbmU14JJmxepGLHS/
N5bvbmVz3WaevMSN5t16dHdfshHogtW3BoWcwXhMABUfx44ZhYI3+NbJgLZvNpWbnvbS1mlmXqPc
qyWKiMUboSnyfnHXausIRtO9IVS9svXsxXFYKJVi/QAv4d7PMfQNU6lpE8DRC7Bldt497nl1bQy4
YnAdMQ3JTq/3mZ53m2RKWMRA82/EwNCqLJUfYwhc42QYfkTU70lzI7lBNriOERxuVZzdojstd9EA
eiZq8uq2qZd9dWmWV5lRMZmGOoLTmxs2TQXuThzIYZOTQrR9W3WHKP6nTT3jlz6wWvXLHHH02bhJ
gza+SZwx3PUTBXBwCUsUstY6IJ2cXQNKZI3f01w7hIjtAbCO634W5Zd45A7NblCQAu+qtQ0MCJlX
y8qd6UohmBLFY1+FAWmdRXEM5i6/bzrWHi1k9RgkLz1ZDNxz8Ik7K6HXERZ9fGMFpv5dGnCde81h
P1p2t17aZH4j9H6fRFT8chlqn9r/Zu+8luNG0rR9K3sD6IA3h4vyRbJEURQl6gRBtSQg4T0SuPp9
kuydEat6yej/P52YmDbRFOHSfPl+r2nFB0tY41ctTbsPs0z6myhdvuBLMH3xs9nHqx8+qb0Yzn4J
xLIpExwq0WdFt3n26DXo3IWV/KpiJQbpxWfm80M76kSjQwHEnahoVr1u0UGbO5Lfqznesbh/J2lt
CE2PTU/BQwdNJPkDCvPy2JasOHrhG/dCN0j+Xfik9csii9UISBrfYMvZixwPF8Mu9u1yhVBEDnug
Q7vdlUkQmkZST2HfBcR1YJHNYpZyyGsYImlQrIxYzw7l1OiEoteeakmisVoTprBgeF1boCNW3PQ6
BkBTo4xdzM9dYRbHqbGKI469ZLhU/tAc8Sod1oMBdJmvo4YoA/dqnkwSjdl88pb1r/Cm6K7Bl5mO
fZbi2WCLsUiOGHKSFUXGQTT6R3skyjbEedbCt5RaHJwoXNAA/OrmNMGpZ8yKn7UDm8EQsXeQvlcb
pLPjSkJ145C91knW9dlXKAT+P31/W7oecv/Uxl1j1flxCr6XtPYahzNjLFh7um9+pmf9iuzYT1Nq
SUTwhhtTIcyRLcLam8djmafZmpjn77Y/7Os0TXH2w9DcdkBuTGIQ1ywc40cslrUbwyq1dN17BTon
25x3zFPTCqsUU6EBS9K92cAnk030lCVOhtOdmeFpBBaMEQ6R0L0pT5iLYq4iY3zrStsccL3NreXE
dI3/jHMP8lZmdISzeKRQp7mmHYjF0/2tFxesb7bL8m3HVCeclvCln9DDEpDBA+8zQJpi5c/OuHu7
wL4EgAL2Tp8SnjAn04Ip/LoY7RacwYZOz/dEprPemBNGwah6PJqa1AnYgInTTKeGSLmFukJFDJGc
Af0RLCwWOAi8d1C7gFnV/YAQ0DiCTHxBSfVi3LcgceX7tjDweJuv2ow1dfLEU0lcUDSzzb39Bi5O
hrRl4PhwJZxkwTnUYe63aryzR6eIpzonrJ4ijMiWiA2K7bgsk+pKI3fzBeF6FXX1OzBx2RVTF/Qc
BanDZrrg+BDCU2a2mym2Of5gyoeiWouuHHEvbIunHmHTJuto0buOP90+bzsTFj3uLjEnY5sYuUZi
Yu484bgy7iQGV+8c7C6hXu4PVgnMMw+VwcWhvEbLgAh2yPZJUdjHgainX5WF1D+c+qnTC6yFKbZz
UruBJVOjPykD8tDIuOPaoNAWPASlTHn0zcZfzyYnz07UZYE9/OBc2ViOXJc0IK8ztws2/diIOuyH
yNnHiuVvYYFXbWzCOD+h/bKfLBe8OAz4y87XDO/jHAGRhNEsYWYIkX573hXLEmXoalpUjuTbY+NS
CqneBRUl/E6VA3lOs4kH5PbsXtm+h3aCD0FXhb2k0zRZ9tdGIOfXKBtDP03MrUME+QoFyD/lzpKL
Qa8LCjOfhGF6NjxhbkwurSSxDzhv7xySCK5qe3pvGbhALLgKQAVyC1RUEBvOjqSDGMbILSuBJIzi
2YVGC1fa7VeNGXDOcDPchOaUwwNh3+PXt9+xqZCCV0hCQImCCbYS7+LgfH4cno3MhnA30Qzupjja
58TlXmtRFHwrBkrjrpqc+UOgOcFDac8PWTA3v7TamTb9POIc2VdlQvhC3GJX3OSDb23ivqacxIB8
T/0dXKdV2f1oIqJADloEj+4FcfkPXv0eXg2Kxlbxf+PVp5/Tfz1WbfYKqn75Q39B1dgKI3dEDaOQ
Rsb4bzHdXvCH56JHUNRLH/sBl072/0LVzh9MSSUzd6HIwjACqPl3TLdyEHCeDRLgtfML/3+gageq
CUo7y4Ejj+f8GcBljEhpdT2uDqOvZWKVlbHzwWqn+vTc+/zt1fwNWH2xB3EtJJJ07VVv7YLNN3a6
tjS+UR48azJOC0kBJ6z2g4eZN3Dd0HzdvH29i+lOAwBPZtODVwvx4bxr32pI22pc7w8eAXNxOOk1
8V+ppODv8ak7lH3kWhvS64x7NIzm/dsXv9jhVQQOjUQ2QABS2omvN9yG0GpJsER5WCjwftAjBJnK
ETFe454uScpbggcK/fce+W9eMYJJFMMg9X/D0OzhP7WT7xUH6gp5ixlU/2MsC9CHQLTyNtZxlX77
MS8uCIOI/gODCBCdrsvZkprqmqzNrg32BHSTeOjXbIZJH2wK39K+WdHoPr59vUvaOL0byKdsFWgf
aAIpxPa3QgbLXX2JicHeY0cHYwbuZGeqEBmdDWqy2YCJqTFOPp2Rgzdnxl0zOuVDWdfetErcDJud
2Ou8u3428Y9rR2cYQ0rPDpvTQH6dTf+dUYAX+Pm6T/AoNOdn3S5M1vM+J2Y01PMk6O4dj772vcZ5
J7rq4lxvtnFF6VA0ZFUcjSohYDjE9MC4Zw7OBFBTnJl64rpHdn8Lq8LaeYqtrnVDuhSMpS7i0Fvg
S0h2HFZZx1E382JTtqNxKkwyMlZNhqXgGhcmahqtFSacTnPxt7UjjROpbVq7GTydbVabJXkdOEtG
AhggXFqYLt/90QJ1cNsFBzZAHjO9AmKQty6rhIuP65gF+xRE90uaA6/cNa3ZMuQi8PcyxGKQ7ZtC
OjEM+EYqOpBzENG+N70djPZHHKKnaxymcrFyIQmGI7wqU+UhBQ/tXDBP5djJW20CKQ6ypvVXMmrq
xyE168el1a0DepS+WUnQj0f0CuOtzlmkWAXNwvIl9TTYpEbrPPmtLu+qNjfMsBij+tFKenmnNZpx
7/QAqGIRzhOlkFkeyjmQj27VE0cILaBCLxU58m6wW54UO1QgP1rizSooRfRgplnWrgd/AlEZeI/+
MvLeWtu4HwI+2gJk8oCLs/PkaqCVIqb2a6zJIcqiEr2/CqQGhPqMq72M1SSNyQlMLDENNyKT3Q9C
54Ab8XKpH8mfhCbWTWO+rDTouskRVbcoDlmjNUUfwivxh01vm8mXZJyCB79mPV332QBmXsw244Ro
O/sJY8z6EbNhJn8DahgAfz/UeUGZZ5eCkSHpU67sWFZXLR5GeYhJk7wdhrme1qNr8kqZ3fWjlCkH
s7jKlmY7Di0fKUiwXgUqpa6davWs6hgX+jEYzvP7JwbTWVmDD4cEL8Z14ONwt2rKQD89/0wfReWq
wISadWNJ9hrP+pFwzXE9xUGwHZqOAYy3r4+lUUY7C6lTFF0Z3cgxfuymYZ01kjQz2ocGQE4PoWEI
+9zX01OP0VaN42aRmfJTjcdvG9Nskxh85bjthpGl8QfKXBj6YTJ6jyN9XGhlcuy6Xmi7WR/Sad3A
zInu6rpEb5lgDIViLsEE79pcgvkRii5p4jPO5xg0dou4nWbNnL50vP5k15XluOvMpJzwPSbOE19k
bVXpGaC4Mzq85+6+tqJkI8VMfAiedGRC5qsmaeRhovGxJUPCOjl+NayQXe8jTDowZK/kvVsM1Sqp
Mel0TW0+2U7mrjrcGb5C2myQpc9u2M/S+KC5SU8ySNPFgMKj8623s8BmfHWTRbaNkFejp6Gy9Ku4
CJGYVHmoV8uJvDNyUDuWTbcQ3rEUiXuCsRlEJNrY87VRTgUfXKpjAeoosSvrpf8RiAQAttMA29cM
7uBITJYs13SyuiCEp03iadn15drQ7M89qaWcmJqn0vDSE7Ryx943k8WSTXOWQdfqI0NqzpzuR2Lw
LyHrsrxjm2Msk+GdULBrEbv00ord3AEnO0iFHjAaGgDrYhV164yjvFtkQoxaQm1R23Qp6B8DlODr
9iQrP35IHZcFszKze+yIU7hMCxOLiFHrEJFxuxPwkg5+rVzeggBIj220uncdOiwiLdcdjxFvDavw
HfzCFj34Au3T+Fa0mgY9LbEH/2AVJCGRP1Z3ckvSWYvPMXyU70s8Oi60/eyYB3V0PWl1fIs9bXKI
/eDewwDvIe/bp7mQavUXxkNXEEOVDrwnGaSs805tiCORc+a3QYuGaZUnk35TE+zyCTOmzFuLcToA
4Gjj2poaY8W89LD/rFofPN8sP0ilBdsutvlQEHm8riSZxCGAFs5qHFpxEMtpLISFFZWn0iPPLTcs
fr5mx2o/A52b0ffAn0QbghpE1XbxsaIOzTgbAFi7TLsuckEyCgdZwL7eib/OKIj3wi593FAtnWSe
Xuw8o0a9MJtR91hJn1qk7h3/2lKwf0as8j0anKDdiLyzWSzsPG5PaIPmAwFM/gnfN7aFogIw1XK3
+6HnaXCNWSLLG9bGDJoGs/a7LsbhMZaaGkpDXCbrOKmMEzJn1tLGNVnT04DfM5rcjdvTTKAFZ1mr
nCSaOCRngXvyfBiFgnAkJUEqGYLS4ljl5rUo1rGZsd63IwY6ycg6yImsg5cGkew6qHNtlULuINGP
zaRYWZ4vbzFDZC45WODsnnseVcuFrWixn5YZXtnqeQn0EmUW7tGwYegDPia3/VTiVDLUk309DYO+
83IHWKDtte5Hia9vHRpWy4ggI9h58nL2R3xzWacLRFsgoU2VJ/SkYFUcxcwRZfdyW0bptPmuwTHV
PUaaxvbl0Wu9anIQ6hGH1dseN/n7wgeaN5a8nI/mZEIIDYe5sOUNKKOJz2MbEH5rNnXywXRG7pos
HJ51GhcuWbZi9vALqfOO3cLt7aoI8wT1ISGJvo6n+SqWtnscsi5tMEVx5k+RVjmPbmKwsBLxlF5P
dSvJwc2HtGPLMOL7yVsw46303L22F/SArIue8SmvNP1YE7n9q28bzP2GiZ4C90yVIzQveMDElmHh
5y07eYOcAOm6gl1ihURtW+KVCV+SQr3Rhi5cmDsz2/qAtR8bZstS9SlSXzRNLT7TUKgGHyDnSSPH
lZBKc9EBOx16IGKT+06kK1YFfHDeE6XlJ9cS2vBpxCmPIAUxJXHi3+UZ0me2qjpYiLX242YW2xmb
39j4TPAv+o2dnHonhIkn73CxdAgWsaNsRfSbWPcTnNPJnc1doQXUIJ6Z6Ni6tsnJKhCTCy2ZCQWf
m7W0HdiA6VLf8PmbO6yGk0M2JtpXqQXiiGF6FI7wXEjh8ot9DAYUztLTttDhHJ6jcdcljHSUVcEV
SH+0agrrI3bhYm218bA19NhY03IrQhpRzYHsUGz2+9y4K22WmJAypA1prQGQZlQkvVtkvzRhO1t/
rKJ9sFSFCPsGvJUZOMEGKX+VLbBGDtAh7enAuKYwGEiyC/pa/+AUMxnFGMW73VzsEbCq0MU4+iSh
sWxTNtF12iTTRtr2B1vv7RtJx/cjX5t9uZT5kZ2PBJEi00JPs3rcpt1NHOQ3A0KSEGR3/qDPdfy5
1tzhsa1M60TSXFqtsG6igJR0pIIc/8Tx1iqMOyo/XMY1cgocN3KOljUi1sJ3OEhRwZTeZEf4dqbL
T6dx+SCkesTZFp7alKwLxDHKfUIb65XGDtzhYYwhPuuRzgrBfsVq2JMrPDSmdnCtualvuixnkBYJ
q41wW0bkQlcdPRhagu52zqZUrEbK7vXbxyh1SnqFRgGGc+AA/DTRf17orckgSwN2PCg0znPRP0rd
DFtV+L59nYvTD2xS4C4FtcKsfsnX+e20hol2P6RVX+/zUvnrD4By9+RraXmInR3ZNLY6ujwvh29f
9+Loz3VB+2GJcDK9VMlzJM+ttILdRcyLC9oMN6noSPXYTl7C+lUV5XwHQ4K1uBlVlfv21cFtzt8u
xFYldAlcbuIcZ5y7FPTEcBHWOhgwhovfmve+WnVTr2O17xF/o2asW44lqvLGGY7F/fkW/oPYvYfY
ISsGg/i/Ebsb8SdS5qfyFWL38of+Qux88w+Y33RJ/hX9/C9yaaD/gbLewGyR3Z0q9XfEzv8DqS/k
YhfZAkiI+uj/i9gZf5BVggHJvyHAf4DYnSMgcNHw87TRbsFlti/nVCPJsmzyzrgqa5ssydUYF0Lu
WwdqT5ToJQorwAScrNPM0Caa1CAhskab0yIQAUQgMKY0jTVnL9XQdFJ3wWkIBx07vYrNhplJ9asK
K3Lb3zNbOAOLAGu4YSw0PdwJIOie08v9bmBba5f2imUX0CEptZVDY/V6Hj39NHHoyt/pbNBKez0V
uSSmR6rLBhPXRSpwBhdpIid2Y6jiK9cNrqvew88/H+kG7ZDixo1OTpbW7Dlz1I8BdWgjV4M9evae
jXuMtk6MA/oh8gRL1zJi1RSSLwXzyVRwiV+ygG6qkhIKBwnjPjexttvZUck075SFFCwsig0ji6hK
GuKil5WDPWK2JXSWd625nFhy8FDSFwAMSCpRZWrjc6kAAlG8ab1I0QSeVxDCSeARuXwR2uF9Nwxb
RF3zzaxgy9awGASTRbOstWhezsjr8a/qa4M6GubRyovFHBPmHEzx5hno0amysYdLYvPeIIJ5CcXz
soT/d/PITglU4E7chiQcSxIspbCIcaJ6ciuzST7IpGBNez440aZM5Oe2UYbt0GRM495ME6NDtwCH
+ITal0rD9Wa3/mpaA4fsvu0Yf3GnEA0T7+W7pS3Ne2ztTPml9g0JYmj2qrzscHULZ4gW1aGtfVVy
4xm44BGucem8VqfFeiAbbUNaDoWofIb/ONWlyW1E4q4bVmSEJFCLLJ4fMz7nKaXp8jDMsBT+wi8m
AwpEg5lJAi1sWeldw0sSs81XcG3I6V+TiWbl3l70otjwHtkqHGHxWoSWc/CVTt8sn2ZqHLghyk/x
Cn1VnhwX9Uk8daoMcHbn+3EWuAoaDWxG5L3msb2P000SE1Kh+XpC1pdk8oIMGv66IRgLI5d2ZhLm
gYKsW3wLvHU1mvnGjryYnPPGIDRikvO925v9iX4RbIoiJaqDmJ+heorT3rmZ59h90EbPOE1jnd+S
vxI/mdCZ9lA9bX8lzNJ7KuNs/FJbeiq3xsKQ5VQpb8dpBKVKUtWFL8j34jAgXcpj3JiDBw2Jdf/R
FAu4mDN6DJux9Xi9kyjc9oPeS2Cuzom1EoHZ0FgG+Q3sa4sFz8fWzD/hWPLthEVb79eczgN7X20X
6S8UvKBHhQ4pyUXksqpixkhnlhTxcF2M+9lUXz7PtMYNNRKeOfhNC0jnQlbbI2+GyeURHrbssrqa
oi09hrr7+gzh0X9nImiLxwsWZm26u4wy+8oBmayprzoYOmMKyzCNTHkL3bjZDwQsyGuLKDJSWauB
q0BrSxesaDrIfC8gGAmOnAcG0mWuyiQz2/tsWTTtgbS7pbnuzVZrb2cZcCc5hILp81JA/PgsbL3I
7iIiTfey0NoG+iJowzKqtu8yK3yeJgHvUuoTxWAQxLwIWOPtPsp9ihaqbWZP3aATXz0P5ExqfDhC
kJjH7qgmRd/a/BY5KTiltCvzXgyaYa18w0/crzL3B/NDGgUsFH5sPEfzgpIkrs9xFwEa19SyOJUk
7cRt+g3wYorrkMiZ/ocV+X32pWWFMMjMi4iU/kDxVLo+3UgtCjZeTi7PxswQJoY6w+nYNR7fvM9b
mjv9Yskv/hA12U/HK00T1thMSb8p9NE0PwDeMnFDcyCF4xCVpk9WFfnZun5ITAtWj2MoRq6GKcI3
IRfcEUTsn0q0S1+dcYhUoM8nD3cNIJeiGj7P1axtSKpK1gwMdY6Mk4OVB9EaKq3IwgKchPOzMRO8
6BXOHq6Wq8wI0kYTEF8hh2xtKDtlCnN4jkoWmepQ0zx66JzaXFmF/k2DnBX2Jb6T2VwSgUPMub8n
/SL+nneR91PGuF6XRlt+wO39epjaZt5keSs/4p8cf3OssdwUbFJrGrXWHTT58ptB8bs1Sx2CGBGK
OJ33XnsLjJzhepPBJyCyL78RdZx/NtPOCwO967eL1kPaGSUuD2T0kFoy1R8AiItrB07SZpi8/CPL
ev0tDYbk02jnt5Ony3TXNmQxNDOW+Tqd4t0oKvEp7tz8MxY6Xbxt+1IFsVMV5FmzHHOysLf0mEQ4
4kdIXo8H30qMVnXPplN/LZ2iTtbp0pVbX+jVF3oU6tVimU+QqDOUK9cb5AlQ2ApjuFMkxnjdL9F6
7TofbHtvKoclQgrNEzCKZ68T3SkJ/ZgpB9Yd6eVQKItq5+fNrHjpVnVQuTrb2DE+plFV73TEcWsi
AOqvadbCF5Pm6ILhR8a4mQtvODW9HX0K6sTdad3CuUxDO4uhJ52PGduQk5b0zRUL9rxHkj4fJs0I
kJdm02buWuJsTJsTwTADS5edez+KcfmhgzldBX6wXLVlG7znQH92QKI+wVuI/z2zcvCEOm8TVoXl
E/dI3lhfQ4AqFRFzstiEbA0SJz2W6ipSraDfSt6/6cSeHf+er6p0dziI4UlPG42q6bdjmR0tiZdM
IAdNzipK6DsLQ92b1BhvX+dMA/B8HY6YNOqo9pRO6fV1xqRyhy6Io6MNWsiaqnPkqUoJgCsjFox/
fjHOfAavkxYocpvXFzOYw1pMEXj0c8Csqkrsw7OiRxPDP+x68lywmpC6U4vrKFbPu55NHHg1WXCE
YLg0sUvO+OQ0BoSiY+B01Snd9NuPdlk4+wYWWQbDBG9957yTbfgV0zYvnOMzxP2yBZXY3YuVUyoe
dCew9n7ndZ4dodUzYnRPs57IAj7eebE+F7HdB21vH1u6KCOoik7xw4LKDlxKeJAQ+fhTK60Y+Wcd
Fqr8x4MU6r7De9YxEzDpMr/+nlVpN7rMM6DDQShDcc06SGN6z0HxcipwFTC2AMs+B6rA2ajJI3Mq
I9G5x7iHgTiLEohGYcFvf8C/uwoHSlgeSil1wbBye8tsHI1nedZKuQLONy6B/w/DhERrC9k2px2O
m2dvLGvQcxDw5RzNiE4JmmQGxThPdFEQYcF6qOW47N5+sMv1izWdNYzHwhOKy77+SKUYo3nKXfuo
VZH71RhIlF30kVJkwMNkU/ozuJLbLQyRt697ubKAsCByA1vCmu1iRtCEE/pSk/eWDczuqGKd7BVM
tqRguG9f6m8ekcGBGJEaHJn++WLpYWfPpQrzKNsEekEBbrWoJlRuK8qqOsFJNWrevujfPR+uIRBH
FIgFafX1ex11UVoJGeHH3EV4VhbwVXLdT3bwHN6d6c941G9oIFMd7oaH14LtBZ4iHb2+WKWEEjrr
CfqKLvDD1CgcfKg8Pb+rx6U9VXT5oTuTbnELxM6pglqrO43NKKMttEGbw0VFgyQ2ux/4cdBY8ZeS
doafufV7BoqXCyH+MRY2JqxILgDN2YZSCmcSswYoaxaQTlciEvVjKjX2S7wvGWppQFn/9pcwLueu
Mr+kroQ8iGT0nLkX5+AlEXvcUfM1al3pW5wfCInof/itwZap+rKM95T+aTPkzeM4KuKFJQJ513Qm
PaCG0KRmS5Ukdv1s0DJ5+wb/7p0orbMCWvl2z8zD3zZzvemSZfSZ9c9skFR30m9GjLwG/+NShFOj
vwfjXIxNRS5iNgDlMETxJn49XBrRqaKfYL3RjsiC01N4BHNTMkylagu9/XR/dzGFHENNhZ92MTbR
XwVY9pHLKbFlu01L0i71zueU4+g1p6S3L3bxqXkykGPbUJaILGdns47ugVF3kT4Tq6pajLHoGVlM
RE6Jb1/o3LcX8TrLpSoeUCCzpZ9XRgTHCunSOaKCaAH6dc5ww0rzux5nLwySuqs6VY02O7YRp00J
VP289iz6sLnaBqtG3iUiAyfQJg5LKAQW2DEeLT1dc4GyQL2srY7/NcfzJuNw/Jz23JdVQHPu7Se5
/D7KHRaGI/safIvzUkgQY1l7RdcdzQXRyQTN+6pAZ7P751wz3pljMAZs2HxAehd8vj7WzX6USXts
iTk5+Bin5gS8NsEG6+XqSkUQv4cfqt3rt4URli7rIXk//BWa28VXKpeCTMzWsY8uJqU/MQodj60d
BQ/PgIjrERqzbpbc+VxJab6zAZjnQ8RWsmrk1RZXVjR1x3o9zewcVRLiuPRoGCBJy1pPfRcvwJm8
Gstc4evkf3eNLLPXY4VC5BQo7g2ZnLHYm/2M/IrksvlOf+5kLpnCaxpSKjhYDC3/vNAlgyTodulu
4Pffev2slfwmAtj3AQ0ttCUZcd0fHTguD9i+sN1pbAa7uW9JeB3bue5C04Wo5UwSaKyLUHxcZQBH
iK6aMVb2JehGbkgyo+Os0x/8OIE2nFq313aS+O9bvMW1ZUcGJIqQsS8XepCNqROYSJMNboszBGFi
t/V1n9megT4Vi8Z1hUMPB+hFHMnqM1b2mDvEsw9G0pD4NjQkw4B96+NUPVlLqnwQSJIHPBpqIzd+
TC3B19epljJfAlkrMHSOs+R2nCX/7GkNAlRoYMpxpqVvtX/hmZXNwn9dGu+v4nPMIpCXIFd1TVMz
15KSRvIv0HIxQWeIlRh9bmWQwe/Q5F1NwG5CU7HKCWGMm7H/2KHYK9ZoAFUbyijq7K5a0KCt26E3
GjqucKkyzPWvY9etsjuUQ90PQqt5igmJ2PLTcsvBvmkbA4jOm8gSDKUu+IM8OoS2idv9VGNFgLjC
TO3rkbc5gmgMYHMi6zO5deuZy4ODgFz1UPTcnV/M0GBRHPMbB7SryDgnqzw0Mh20TxK+xwKVUDX6
Ax2tT0NquwXjspxGp78zaER364zhktxyXiXl15i9id4nbeDDOLYd4cJDDwdqqUuYCq7JEu4sMSMI
opSiMniT8K7tMTKmQyI1+p69NNDAvRD3fDIYlp3E58cMEVSAMiLZke39C6XBFw4DDHMiQhA1Abv1
pQ4As2f0LbEL1JC48OaPhutZ8xUJUpJkJSJX5a+gX6LbZ+7eCwTn5AM3YyXSuLdT03kSUZJEm27o
oJ69TCtX6WwJuLYOkwcv5al85lzA2TfuDWlAUALtBZs34eOhVncdRlHju5zMktzhvZqdwsyttBu+
YycwjVuJmvn2pTVDpMxT5FiqkIhtaju/8pCGG6lCYlvg+bDGLHcviXdfVs/bn+cOgIwJ2JV37RA5
v4SZLmS6JRFY764QBzJNi1qj05DPNi/Wjkbb2qaBGYuPXdlwI4YOdrKtc7MjYNJo5LdBepY2AvQ4
WXbnV7hi3zgyN+7dNC3t1UA69PwTfjhDFocH0/44GzTS18lMbUxKjDF5BfsxbYCkIqQcGBwaGN0c
tNx2b3lfKMwzmANO21fILnIx1loaRhFKqxVLuJMe87YDrZ9zaOFbELTFB5JAonosdF0CtYGQ94rk
tQxjOr3s+P/pk77TJzXYzX7b6C+MeP47f+qyp9+bpC9/4q8eKdv9H7gJgqZgqKMa3eycLwY8hkf7
lJ4bjioYWat26L9EDUghMN9RBjLYxyhzHCrZv1qkDv+Joz7/VUX4sd/Z/0TUYCk537/3bXU7Bj7P
5IHgwk/D9hy78L1xLuBi2D8TTm7pr7xYIthoEyr3pifPJzXnhzSnutt2MylIq66bHedPyoe6vDYq
p2rMba3ZbGUZ/bgqC6FCKpaMn2eq3aUXGrl3rV0TFI3CWMasb6M1Nva4snDVAP3G3ZYlEhJk7aGb
1mv6APAgmD0kQsSEMtlzIFhJl4FIqZ3VxbCiGOQpGdKrfJKaH23LMe1qsZq7JKJJ+tuH/Bvw70zu
xQmWowy0D5//Y6p0gexUnUuOIdnfP+tuGmHtFrGXqDglm07RTRA7AZeUhiiLXxBcxHxPMw+G3spM
0L7TKjamWH5++5aejwy/fzCcXIg4o03LQUZpRNQZ57czjJciwa26Nv5hQA7NbmpbxNlxsSECi12i
uQJJf+GJhOYXPDgffWmKVZgXpnpdZU+QGmcE997gaKwl+tjpyWaJ4mVYLzm7WLfp2emWh6R1IxUN
uWSNe1qWzODHisDuEF5jRTp4wTuV8evDhO3pvGSIAuBXlK3Qsc8OE4TsSqFhFYLaXJvdT04ptOqO
tlq13L799l7TTdSFkO8olgtexLy8c9hnJsUjWMgQ/gFrwDQsjPKizNZDU2eGSwu19oepI242wfHA
ybV+VRuxN95lwnnXf+j1YeD5TgCVOdY4wE/uRTiFgSEyngap+wPbi9Y9ORQbpJNhEABme6ThsDju
P33JDmIQlhIQdBUjcJ4UpnHS9SrCC/7MMeip5nUz1xq2BqO/gEu9c63XB231dCxc6GcRTAH8XoRh
mYLmT03V8YMkzk7YP038G5PkENUD4w4xh3rF+ewqQOrtD3wxksC3FN8EphZG0xcxkVabd22QZt2f
Ug/IkQlTsqvHuwhnEt7u25c60+2qh0RYZqroXZMRhUz59UxMK1I4ptEsfnQwgwtvjyik/IylN2vU
qvewC6g/yGCJ9OK6Eqj+9Y0zJtnykHZezeYOHziSwMFpVAQf05TKC/o5+ElOBHnc+vN+mGybvubb
N33xYRyOZwEHJnVyxwfkbPUwgsw3JaKXP0uOJ9xFSwMr/TUas+Z8rarCraw10WkV3htvX/cMGuJl
IVgFl3d9ZKvqUHp24YjEe1m3jvZ9cTjAQyf3HDF0K2RQSauvDIgNGDcwTTLvacbWELufpm3boF6R
UWuO96JYppbgeF8u/fe4NNJga+EkMl/BhbSx1nj7bpkXr7dFjxtEPaWmSeCbPnLf19/WQQDeFkNb
fU98gQ9mmPpzv9x2rmwZVMusk7m2C7q6o01mRYLZ1EH0ZDMo3XlmsQwyO57/ZADStnc7xb5j+4NW
i4bHsKv018sCbEc1qwtUl9j9ijQ1wMNqLLyMkTrmfcfXKdveZRsuLWPkiyRFpJZoraN4nNcmmmc8
Q5K6l49kElFChI1cIt6FCTGXRV5fhNukW9OGSDyFEEIFdGvXTouf7jQYwsA5JeoWivsocL5iZsLQ
xO4o5R4NlYJOrEw5GF+zrqpTjJzg6y4PCzXqeD+2jTvedXg487NJmbKChAkHCL6ZmeAyjssSmE02
r1IIRUz0iPwKHkaFlicxTlOlWzphN6UmP+kaIuJHBAhB4e4cMIv+Y0+RzGZGDzZlCe5amOZ4idFI
Gu/JOQ/4cdQD6mpaTALLyQoy0Tw2HHLGfWSjH7/JYdXPu8noZHmVQCgZjoMcJGNJ+pFa+cQojPnK
h+3LZqmDHfC3xo9MZlvtNz1eOpVNMlS2/+sBnLRPeNQSJ0M3Xet6pPFCHb1k+HV4brGI5YWnawT+
dfBuyFX06rlIiezMYDH89TuaugERtUTkiGTFkKsmQtmTxeEdDJaYubQkMzE9zlbFM8Uvb9XOMlgx
ocPxjh+Ypj7JcK/AEShfGUmgrmhpHlXbXKPPTMJ69hoej4VeDZcq6Nm1rAzeVbdJIzct7kqVFu5t
UyzbGS61k5rMqbEMAkZNbLY538ySOr8QbNeIvG0f4wFjHTUbFc6fTSFH3mGFI4dyg2FhxH3ez0Ej
0/XiDbQSD0jGR4C0eClV7ZYaEn/x9exSLfIQaUCj+6ZB6VjGmwp7Fe7YM0dWgQ1ykJGHqcxIjd8W
fQ//FvtWY43HoBsxfv0f9s5jSWslXde3sm9AK+RTmkq/LUtZzEQBC5BN2ZS9+vNkQZ8FRTfEjj3t
CUS5X1IqzWdeQ0GjcVkKYwEFuODNQ0giDrMbxS2tPD3fnNHJ4j83BGTm01oXLME16EpmirMhxH2a
MADi9gqZBzpuSybagjcD8rbeu3x0dY8QPUrBbRVuqMe4myQjOC4zlCagqULPuYoQ0D0VCr8NcUhN
rZ8e69B6emyDmn87K6hYwKJQ7A2EjhtRBqUp1vlKHVhvHllJIAb/r9dL2g31h/amSzIXeQNxYx2B
R3OmR3S0bEYhawSaSydQxxRDricyfD6w6zUwON6IxfSsdvK8VzDwQi1hswSVt/T0wx/DzEOdaqeN
WPXOhIFYsR180zh4SNK0zkGVWIGbO+Y2aWgKYWx7462rlpIKBt0P34dyRoqeQGFufEgayGrhVmGq
qjNjH4Ok/LYhn09APRQo8rFb5dOKlJzNWp4QMqEUk4NW6FEBGuKlGgZjviyTgQYjQpID76ZzAzpw
H2sEo3mYOinWtHkIZZe49U0zkFqD4zOp61V7NmK2m71y0mLt4rQdmzAkmfaDZYroN6jslDgFPk6U
BEq2Wf/vbfYMN9Ob7cozh8VSbohE9dmSZelV2WQjbr1qCUF5xmuOXg0zUc1gzA/lmuh5aY6wf/w4
cfKuTC+bDW0N9KRsAHGwsT2HrXLoMIyDk1ryPmoqS4Y1djcgZWy23KLuRt5SbdEQyPbNKmc+K+xM
vQuODD4z18zbRE0HU7Uzv0kK0/Ez1Sd6XyrNSS53oSp0RJih0cb21LrY8M2XKjPYHSZGkbVg2Wpg
Qk1dj1vembffIYYdgGhzT0EFoiO9pFA0cmnXqhbun+2S42iChcEpLxNUynAVAN/IICg1dkzHxffQ
+uBQ7lf2hzXIDPd2Mde+RedslVDR2k7BRwXk1zd9tKFIxfVNYy7Xv2XQkY18z0PY9fXgzE3nIMIE
+AS25z4FLecY57HYUEeNkFZOdx2+r8neNcE9PSTdwsPnDYf/utetWO5YFLPBKDUyEyzsYtwIp08B
IAVG8Pu0lvmsfwYakVpbjK6WDpz9xtDbPZpeHFqWwayEvS76sJ8jItHUZH0aac7KdYPEE1Y0QwVr
b+ycbXc3hCU8okhs1uqDZJqr/sGUS/WIIWlYMIdgynQXfg2y8uA309j+3UrOmMsecqR7nXCnTtzU
bd59yNlzt0Mp6qb67FJc7e9l48v+47xZ1Xy7hUZlRrNRAYNoHW9ucQ0p6tBr48513GE84AEaTDd9
lyVLE/nSlNaVU3Gs7oGZTVbc8Y56NnkqdVoOup56d4G0U046pN/6eYU3AKPKDqO2N1b1Hku30X3w
K7W6aVx0Lri4CBzTCjkFilxmJczTJFVnlXGSVcCsqnnbdrRHNrM/JPYGmmBhcSBfp8rrGWxJe5hC
kTo7jwBte0wLG+nGXPhKXAzrOgaR4yrbwj+KHW5FQEQN4c5oEMSKNYYBbxavSk8AKtSua8x5A7pT
m+bRmi2UU5J2sShm4UG45XGWOJ7xpi0b6T6NKPUVzdFsxdp2uHxi0PO4qMVR1wasJOPeNVxq8Kpm
VlND8/3+aQP3hstppXzRt8dg8dINZNckWn8XLltVHpNcUaXeGpzRmyhE18TG+rHfhi74ZMkiqD9n
2H9My6701dp9CQvPGRFkFG0jItsZPGUeVVJ3XrAbS9Or/GMiwS7chJYwyvI4+XCCq+xLFtRIU1ro
apUjCp+Wp9bN3/uOcoz0prd5mOLN9+jbXKvEt+7nVDZ0ILAU0gdqKx3Zek/z6rWtu2uTuU+oVSNG
QYwCIhx4MK04TCsO/bLqWLM2+oIIqneWSR8rIRsJi7sLdPjYc4CzHDLX1zuc9EwdYebUIK3kUGBI
n8JadIZ2Di432L2EpF7WTRw9XiYLThlVe6hvHlch+MzD6DU6+kNkXmcOorA0tXx1sWUJj2Mnc/8d
qBsK/keqoKLUDgyKWkM7dh7bpDcMRPZBSR/OPrq2RxQMuU9H0eE6t+xlRYAs33yJGF6ClKQjBxTB
Jqv2N+cUunD4aeLYZPzGWY7S5EGJSzADjj1PYvx8xqDB5oyegecRmoAtVQxQWwt9ciK0tHCnfZoJ
rg0gVTQbIEAPUH/cJOHChwH/S1hLg9f03D9Sa3qfpMNS8St2YYXcUZ20g9V/pAmi49UwAV74bKux
9z/Nc1c3B98uRH2VNsXEsYgKjY6l6lbokCULlR4j1Gp8ZX0djWEtw92M6gVdGs5D6gYRqnwLYxua
vcfws4evOkR6Kff4g9Sn1PcTDCo+41hCAmRH80P8uWpAhonBQLapW4TNcc3hhX6tRoOBZZsp9B0A
AcuYPv8aia1jCcGodDYiUlFnfGIj4am5u9KicUnvyKj0VMxN4oB7Ty6J9w7kKrWnb6+RA9Oynkn/
RvUIZnPhiZ2itnhH4wC+ur/RMOo5e7PNhZmE76dSeAWKUq2fSuruhKPT4wY8jqeig6aLT30PViw7
w67WQYWpoJ6igGavOpGnX8BkkdTrrAUOoYmL284tbaKU1E50ND81bd+jldumwxS82VRmN/mVT2OD
+1k3V68Dx+lNHnUCPzrhzAaQPYGm1+mCV41y7LCnF6ADNfS1CA87S08wJxnzzj52tqiIs6HR6tM1
m6aUQ3OkWcFXjtMSBfpOr+NNRSNvhaZYFETWJiNQfE02+nhrzPf1bxOV9NubuQoEx6WVcV92nGVC
h4alP6Y6mHdafbfflkepPN4LjES608d+YOOTV87iTOmHKZhTeh8AgUtsfGTHXMC+ciUmKA5u7+q5
W9V2WF/L2UontUurIbDGCz5AOgS1cwPdMoYaLblWvfU8gtmCTaJYgYVYsQunhpQvFWijfJz6MUcu
byjHVrG5rLPrXLkoBJQAXzybeSZNWyeBReuRsZnWol/I4IaElySevGe1ett66cw2+ZMvYO4jW2bj
BPxxyrCxI+r6FvlAVZ6INYYmgFN7zGkUEhh8z4iBzYQEBkuammRfddo5fJWSs/T71TCM5W9nGrsN
rMBkmjEglIx0ZMr6dDBOgd8646O/VTDBY2O2GH8jC3XSjfSQjsL6xdJJPoh4HcinbcP8SLAb4q0p
SUG32S2BgQtJjiZKTYwSes32zKjrHZcWETnvuRNtPSPiMEmmk+9xeUp7yaa3ypY92T+1wltUtkd0
mKl/sgIrI1UpEaP8+9vSqyekqyDeGjKsMbOAsDxgLzlNg54Y9azrR0aCkDBTEpzeXN+a7rLUHQOy
6YwbjW/FQM6W0EucbDltr32/dAle17lIIT/Vy3iHvOQ2nAPUOapTMNjkFBxsBmQfkkA1sXX6Vdnw
MaGrei0Z29U6EoVvwC4ez9+yRtgnJau0KyaLTYqAf0RugcoVNAy6azoL/JZYVMmmb7pBGHhNY1bZ
CpJeBRsZrzsFBROdJMlk9mNvXPNKc2vUtz7WdJyldvlAU3lvQNAqr0VLcYRfxH51ewPnQW9Yitdo
gLovhzyvI/iT2KMc6sypy49Os+gMff22c4QL5ndJhMqRnpW/rxr9m5oRPjAITtHQQcrmdYE1QDth
pqU3f1oSpfNMuMUVXn5IBnZVGA1jz/P+4ZKvy52UqZA891486BDO0tpXPzYD1rauA1P56pPnz7p7
821qVKCvOLp+/3S/XgrHGWJcRzeMNN7150vZKKNsE9WJT7mb6P2p8V0HKOHCZs3e9ftrvYLZAVOg
dCzAaIG4hiL4S1dqMK2hmqvS+bQ4EorJ5ZhJxMFiT7kZyzBDsomzEGFZNo2xdr2BIspUdUEVa2i2
f0MVQnc28EfRFR4U4/Re+733odkAOkQS3sCZIOg889Xvb/+XoQISZRLYgo0iHYfd+vNQLX0iVToL
qGq5tXAfHFA6LeRwJYX6/aV+mXOo7QPEgm6vIX7Ba784wig4SgRQH8MscMb1lKxBMT9bm9BLxE/S
+Y9T7nULBdC4JdAdBJ9Lhf0X/cG+G5wgpX7/sXUzvUephcX2BsFAfUDgqslSTkLifYKJla+/VCCJ
+1t2O+mdf//sr4eZrimukhRpaZOiHPV6Rs61WpDzSZ0P1CRIHdcso0oV1GC+/yT7+HqUbfBaPC2g
La5GcexV8bokMAwcq7A+jHUjymvVVjo1zwsytdOU2Tpq/P2j/QykpWkCyJqyM01exOsIml7NIFUE
G5vJ2n/oUbhiBvVIYrDNsSkiMhwnfVctVgR5d83CWJSoga/739/Ai9jWD21GHWqh+mEiwygCgK7O
650F2Vl0okX9ocvMFYlxellbuafqkYXF8VvYMvWZDo2Bj+j9+3tR3PBwIHP20leI45yB3OnBkYWn
SzyU/le9EN3QIVvYqqDmSBjKuQmGXeAoI0BXxCoVu7WYPX1YoroBXHmXJSYLP3LYnYhFlBgpHllz
v8zQbkpKdDgflLmtzjmt5QDYU2no9T5Mgw67UGEXZDFD3unjHOlMYhsxOPqIb+GVc1viW4F+ILRn
1yxLWwdNRaBeIj4b/Zw2hl9asJOYCLgz/siU9VQm7WkBYXyZ1SVl2d8P/y8TDuCedpNH/g8N3l+m
9khmkRnmtr5vMlSZ+1PaKp0ChRuydfSMvpWsf39JvX//9MLZalG7pUeDA8uvRA0aZYh8DMH8PkzR
gHX2IzAiUGmQHkrjxhxM7iByK0Qo2sNiJTooNFDq45u/v43XT+6g4GqycwJZ5p/gNWK2xpd25l1m
78uG8udFLnsln2yMKfore1B/cBB8vYM42mbGoVLk4wYduK9BrD6qHXnWDsOHqcPF/tkrhJ4WRdHq
yOr3z2W/WtJ8OnhoyDC+eMHMmq86Sum8mFVVT/YTWk9o8CSUL1V6SCmjkunmxczpgPzWJvlPULBh
Xi4eQm8ka14fRC1lXUowpDy6f9/CYSYOtXAyJsLOUzIUWEqsiqxBh5uy1mLoMkCg/IZFOAW+LhOX
ku7IIxRIh4czSo+zKAX8rLeVSer9moSgRLvEMNhHq0PdmKl7/ftBeDXejAGGsA4m1XQgtZXQqzHw
vFSFaMwvT0At9cmMsoteclgOkzn//lLOq/ms3ymbF5Qq1B2p679G285NS03VcpPHAEchfa3Ro3Ra
Tp0O9Ue2eragb733CpAOo1Avta6Sfv+qn0ZdITBmk8H1XKHrmeSCLTudLQc8qM9GCexvuxpYqj4d
rFaW83F1RhKmPeQ00uMcbwDSku+NP7pFuolkVIXN2tkCc+NnUyP1C9+8gqsYL91x8a00MQEVozBj
eJl+kwjFpfyxmNj4cT5Bo1BnRt9aaKxI5i5aPDp5ThKqHOAqLci0fxKqDn5+fUJAfxO2aQNYQqPF
/AVg3vEEU2C2yd/V5Ih3RV979sGmPXryy6B1qfFn6pC6S3i54uaV7Fq4uCcJKfl5SnPAlTW25zRN
U8w4jDWAPA7B8Ckhfx3eYLowZXEWTPYpD4s7Savt76l1hzbye3j2Mb0c/xZDOtjXZj5ccyJlgHRl
NpU7Yyictxt95Oki6efCi9oKYsSOqiE2R5uhSA4qlM7iIezfuJxK5cEFGH4t1n7aqXbt9vTEq+eM
Hv5FVdl0CQotusUhMtPCU1b1AdSEd4nJN/hCyAkmfIW2F4825/PHFvEsL0K1IKOEoZWu7KKu0WRy
xufccdBID0zDrXHg8Nr35RgiWmi0/QMy/wNhUTJigzsWB9oEaxvX9IuWeJnD3IhGzGcuqrrZqzmE
ixtkRfF2RJGWqnmCOYea++ZxK1AJJ/w0Mqp9hhubvnnnqtX8ZK9q+AAf2H3KRg9m+OLLy1IM+R4H
kfwPZq8/b9ZMCNrKBLlo4tLTJ1B4tZ7xPylF56X1Z94XGpQI0JV7v2oUZmcAz59+v6J/XtDfLiYA
yuljnhjudUSCJhihXR/Wn31TSDBCiwm8lfpqJGV5PbnOSP6XNvKOFqEo/xCP/TLzXx4TrA4tGzbx
17CJ0RvCBk0p+bmraxJXvA4BCIN4/yNZ6+WT/jmGX55S6/AS94UWB/LrJBK6YGlPYGU+w99jzTg2
xwUaDdLKd0tWifsaPuF9PiRGG5mVF7Y7Z2rzCp6y5++WSgH7Aqzn3/Z+H17URieeOG8H4qSxUs9S
ErzYqsZQ01aWe2dORf1VjkgK15Rn7yZ7td+GBXlqZDUW+pHord06EiedyBDSp3pT0ouzZlxhzD5c
PxdNqmgljD0+M5750VyUE8NBcf4QC70C4TEkOgwgDGJcHM7o1yGBZYhhcYN1++yOevCz3MmODkyr
07It6CSG1XsHN7DdiFEALAckqU5ujU337vfTz9OT+ac3IzRYU+NBoFZwjL9KAlAnwfuKgvFnOEpV
STmtL6MFd+0QTmm1qd3kSmQBpFpGhC9aSbenkaeGutX11PqTAjKcGreblbonZ1spnPVa0Tynnh73
pXGdr7W4Wp31WDvSeaQGWt02GJ0RsdIYW+NNLbRdcJaFAd+G4p6wEXsjbbyz+kV+44gWLwYqxac8
bdpb6alK7ZpEg6irbHwywX/fGTV0LNyHrPng2GoeI6fPEZCrQlycss7kAUB1h9GkUloAougKGiGc
iQ+uZwRXeba6by2q2klE08Fb/hAd6bF7PbZwpEj3fbJZ8ZqsNlIS5r2L5HOHKNqN0TnFc5s764p6
aW3eWDO5xB+uaP0MfGVWCdIsULfgkbQ85ms6Jh7gVY9vVfGlaDFpoWyGe1kyrsYlhcriQCNCsdN7
af+5dczqOU8XdZXnoXlnTKFz+P3UepEO//nxCTXZPrF9R2rfei29088Se6C0rr+kCw0G8vYm+YCx
YzbtOrl6UWfaJRUOqbUTkT3O1l2R+d4pAw67o04ShujNGMDC+8YX73JVTbr0Swm9NobsuvTz4dQ5
znLjj1l6Tj2RuhEqJfYcQcrBISFFPgOBZ5jTSMFtXns0GJZDUSrjGlblxC8gTnPlD9mKXAe60bvC
y1ukeTi94wa+zZWkzUtE6cgpjaquqoGUzFgtTTQ9n72J1JRYZHhQ9lKfM1k5fdQL4DLMRNpFsU/V
740T5jUtVxB1Cx1N+koKgRMs5cA+XM9tOAxRk7c+uNrAbqwz4JS5P5roLb5VfZO/G+tZfXVzG+0K
XOTA0v/+7fy6/zBTQkBzQNfQn/+lrufYdELLZS6/oJVmoi4xh8UnUB4rXUNemXZK/bwNY3L2a+PT
Cu4eTx5/av/EHvt3EzbQEGSOPi0K/3rCgpQa5IAF1pdE+uu4e3khEJyy6iqvfHUwtyl87Pp6PODW
lezbMFnew1ZFmCcbNuvxD2PybxYshoHUltk6wFq+RuxucpynBsWXL6kw/YfOt4Z7G/uanaCwe8m5
ON7A71QXLTLj52pxrGtVCw6yFy3OXGQBgGR4MVdIQTpfQc536BAjAvTwh7v8JWQQMNUdjyUOZpqk
Uv/8B6w0dPtVhp07fqHq3aVPRBbegEmSi3vPYE43NmwLekrD5uMB1XvN12wzRRltid3ORwcG2LMX
VumVKebyye7dkQ4Jp8ABs5KK4U4LEbsd7d5v8+2/PIs/8Cy01xAv6D/r0T00o8r+Z/exbNRPdIvv
f/idbxH6kCoC8PoBzg/ej3wLIKbuXzBIafhqCKzt65zwHxcJWPkIgTucP0xsIt1/SdJB0qDQqVnt
lOIAmPj/G74FCO+fjjrP5MABG4fSGj63Nnh3XSf4YU6G5oCbQgJiBP+h6Q55AgrZbu+dZUV9TYDJ
2bGS7Xun8rG4adxtb01reNbqRLu0bObHtSSgB+uCz1enghNOjBMpCOwjzBOtIhZ+nSHuk96D8Dq5
pQIghclk7Lr18zyWb2bbVchCpUFsaHccyy+WOKE5F4WypvPsliZ6dm5lP6i6A1DY2shwOam8wWFm
eKydMIsGodzdOvbVZ9MYwQg5TwU9P6cl0YJhdbeGq7ovGt87Ulh36U8Vo7zPi228aEABXa4iIxTC
XRRwBBZxGJnWy9U6++Is00Xui2JTFy6R0UENIwpOZbP5IBNNEzok1NVodtdkh6YPuysWpYQzK+3h
ExAVc2+SbsYt1Korsw9OpHL3rWkJQK6hdQ1K67JOFrkrlnCM0kDZe2p2K1LNEEgUZhcxE6bZB4gS
RV3KnpDPwMxKp495WfJyQxz8IDxDXEiA2jGnM5rgrqAQZqdLfVrA53qxBxQUGaPtofPqbjev2XPI
8frE0e6fOdWn9zVteiw7u3Bn0kZJbtp+tc191WR5H8adkVnm5VQnzvZQ905Zjvucuqjxd0mlV2xR
Q/N+O4yQUPuIIvSADJvXuBOuZKoDKePBX+UQDqC2Agvdz0HnLFGP5dt8lDY8f/pVy1GgRlVTYXXF
7SJrdW8IBRJqzQkdKP5sgzOht5l7V6IEkV3Qty33Rrmxv6kphLVWjG55Y6w5Dc6dIRdajUe67Fvf
XxOLw26sorLRWqoRHzSIMG6npd7qC0z/lN+/B9vp3fdbO3NKh3RejAL4pmr6Yr5LVCmPddcEgnRD
bKi+HWCVmnCx3a3t1X040Lzzn2aTTfvBmFY/SPdGWFQyjO1UjkgeQQ4KFuS2QaF45nI9Q7VuuwNo
3HqMoclYb5ugXe7mpdtopoLO02ULC03b0kiXXQ5gPomNccCCIF8n4zkrvbzc2ZuQawQCYrmG/2IG
UJu6zzAyNa+2s5N7dBuMFhFrr2ujosQkNPHqUt5AeAL2JNvVvN2m2UdM38AmLx67DB88C/Woi7Ww
shMaNcY+3zC6iOdgXB/6JMPXzjH65W2ZV2EZoZjrUHt37V2VyvS2Q8H41u/yAIestsVEEql56D6t
eb2Zg7eXaWful7raTuQR7RsfN5XncOlIRURnIWMODHKoIo7I/gw6PDlDBU2QcBcGOOZBcealavF2
loEuY2RateCVb6VEqNtRK+XBzN5naGrdj5Oo33RBmx5F50aZNXm3YTGljwB8l8u2am1iVSPd3r/s
8v89EP9wIHJ2hJwO//lA1JZKp4+yHdgivvxIQPz+l99PRGH+RcWeI5GOgs3B9o19aMA+9DxBAw+7
PxRwkEv68TSk4cW8D6mOu66nWYP/HIcotPLrsA+ph4Cv+t8chz/XVehbQ2aj4k/xnRVEUv0qQHPx
/ki7QGzIeXlZDEobLr6fPv8wKP+Gxccj/pBcfr8Iagi6ain4z/75xFXNZLRwz7bTWEIlXMSwIWw3
iRjLErX//aV+bo5+uxSIDXY5l17hL12zBp/qDqOS7bRMOQ3CKi8vKWpgIIi7d6RplCdp9dD6N+TQ
Q2xH/3D5X4aT3jw3EdI/J+7VocpPsYVdbYGnIcgngutHW4q3AOj+UAbRH/FPqsqH60tQxhf0BqnL
vHbB6gGTkq1bHVCj+ZEOxfMQWk08IsgF4aT78vvhJHP79XIuTALiOErsaO/oLP6HaAmjUtcHpz2c
3NnpLtJSWjAQQhpDpZfIi2pyn9wXF1MUarWjKWUhifBHiCaiLLXr6dDgBCLslMJGhgfzeZwFDqlT
M4UY47w4p7Lt46Jqd1aLfw3eqj30bzZJ6Xyyi/mYArn5Wrtaa7ZXpv28asi4sYaj3JVG7dxk3Rju
nKx0dqO5Ls9rkfSIk6cze7ktenRVu1DijVGlb5H+B2Aqe+cuSRvv1qMSfe9Dw4wm6ooRZNf0Zpxq
C5MVlBi1ASsME097yGzbuQzS67EwpoMj5VcqBPdN7v7tb8Ed+S/mAmBXL1pz+ZBO6N+HsvD3hsdn
SqfY0NTfumPZaV/s2kKVv5i/9FnYnUWR3barb+zysEE8xZbjfm5m/2ZZnDIODT+5sFPnWRhWclFk
OcZ/g2hRNpy+OLiEY8k95LvVKoqbLezSR+W7VTwGZWyGU4qqJFL6y5xMp402wL5Ah/C6Hrx4zHTr
EsWwSy81/XI/94Za4xRAUHhWYFOXQ05d4rETiFNlMBlJ95E8aKENmQg4W4l1qJe+95+oAxtvs3Lq
b4l4+ZwASZFHuHjTZdXn44l6NQqYPX1D3qqXXSayI0SBLLu36648yDlkikgQt12DdQLpugXcfLQP
U16Zz0D+sOWauiWmC2aP78fc7Kw0NlfrCnnU9BErFwyCcyxdE42NzDqgr9Gca2lEGC1XSZL1d+1W
92/wSbjClcZ5322BenRHpzzpGO9ac2JO9DfwBEAA9zCqejnW0nmflb234mg9podCOAveh3l4R42j
OOIo2V9vqdG80VbW9jCu14DQWnyW2so80PLo3hNuw33IfXD61uIB/A3d8TJPdNdry/w3SJIeoDUg
aJMo0O6hlX4oxjI782dvlym9gL+NPUI737Vr+VRYWOIYcHywCKinS9oSJQqeE7JREBHu0JW1jraT
mycKxNVplco9e3TaLtdG6/abqdfcUrIKbGY0ZEBQaql55yTd+nEwGlOL09ZXU1oYlyr17aOzhNnO
B2BJUUnSmSmTTuw6s+NqRN8N68UwgNPbqGfRZUPYCML3+6BUdZwEKWjiJJkvFwx8Y9Hg9+KHBr5C
kwm8q5RGRIMd66ZkXAA5l2Hk+NV8sdmZdbWAcTok2vi9aZoilmWOn4HIPjqJ8za0tnVPM9S8z4FS
n+zJ+SB4rxAJ0gcQtm5kCUbaybcL3DvwHkqgxGyuoXbJTC+qA8gX+1sBHL1r74ouqXbIjHxGjXUI
YM6QcQRJOp0TIx33lmHeLet4UEuTngoDf54mpOyw4WIdp4nfPaFoIYBZDrOxayHsHkCOOx+HCfp5
A2x2j3dO16bOI6ZLYVxbZY8/l5iGN6PROh/Zt4NzLmfnaFoZneSXCA4QHbB4t91ukqpUiGwk7frU
UMkCouxtZwst3ogQDtOHGcUafKhwJUmaGMlNewec6ioN6mPGARDJySSJS1O6H5W06ptBBueKznYp
M7jUiVXHadCTxgXGDsXfZJeURnCdJuWXBKOeeOuGvRht9yOqA+2nYnSmWzp9Mow8bEB2bAn+bb4W
yxXFx+rsS7s/OQHxeDNv87tmQUWDaIgrm2GxrjGVrxqZ13opvobAv3WJ2nxM6H7doWvj75C1tcgA
ZEEF0ascfGIytYekNrBO/OWzlKtxS4mZzHeo47IXxbOHm/oJ0YEG+ldfkT64ixsjmPbiAVIdx024
VxUuZB3+X9t0K4fAAL9p+mAaxd9A2lLIm/hEQG3xinNQBAJs8WIdUUGR+57KUyymFdmh0rX3lh9m
pzFvMFDGw+PkKc+79QHAYPSVph8CHdXn67FaM4af2vwTnRfkcGhQHBik6hEYlhVT+2qRtlKl/eB2
UAqQFXqr1tL9AMo0u/F7f3s71A7dzBywTAEo+ma0WnUoZcHMW0VBiQDD+goV8x2H59e6HOwo6Xq4
LWkynHEWn89T4bBnfDMAV9aLHbitrcFfjvr/Bvl/CvKpehGQ/ucg/zqniDy8KnnZ3/7qe4AfhJSo
iMcpd6HzqMP8/x/kh+Iv2hvE9sGL0wLonn+C/PAvUC9gJOipaWFIQfD9ryDf+ev/YJwK5FGH2D9E
jQB6dHcDJBntPzorLyX2H8O4rAw5KWrOcdMA0qSXFaEHLJ/klCtrafel66gmWmlm9ofFcMBQ+K1y
vixLJWjwboB623Edrhdc3EOOTiKbt9B3XPeZ9p9T7ubB+pQGdvokl1HEecrBNrmuuu7MVEE5CI2E
2KLwUrZOQ1ynMz+MJwJLmh1FVp56VdSXAr/TEy2+u6pXzicD75r10hxwz4uwpVVXUxG69ZNTJqO4
GrZuM+ORZTPiGy+d8XPxYg1hD1TT/MaMwqI9bOsw77ZyWHcwDZw4AxXwHnzCjJL9OEnjunRyTyuN
SQpJsCG8hxQ/IwgEdt2UWpgif6LT00VpNtdb3OcF4s2uj++b6JsODMFonynFZUd7KT5XqP5Bvsrz
eDC7nJAS0fBjYecUC53yjV/gj3DiV5xrVnwidzCm8pOCkkQrhuRvryzj41K6C3CFAjYGWlTIUNUh
PFP6Z0s8BTSikEHuPCqVxnBv0Xi+nkLU7i01Cus8hmGHpugWJs+bDMQD4PbksVdYhGJ0CcUJb7PW
qy7hWKD7xGlavJvmPttrz9m4hKbLGLRT1I1LfeGHTXWptBZMPUp2LNuH2ISKODGjGpWuWqZtthe5
v92DRndz85ikwONKwkDYk5BbaGye1mLe6h3StEBK3AQsXwCp84TZlv2u3ZxVRttgbI9hJSqXgtcs
8pNrmAE9vh6AylNKzirMPbBie6GSpiqyj6M9Fqs5nLPUA44vi8rLrY/psPUpb66yIs+rwr0c3Nju
WheCaIL5kpnUez+srTPK2PdBlvjAkYmSS2q4RZx7mC26TYd1ox/CDRhhckYVTcg8Gjx73ldbMsX9
EuCnaIjHktqM9OxzOvbXHgDfaJvhJ+TNjdtt+HJ55dFdZHIhyvpQo3v3BILrjp6LiHouc4Dxpjiy
1/cWPLsDAuUEU9P6gFb3cO76DAEYZAKuaGSY59aj0KmSzr4IDQh45WANe2hCRSTdJb9wEao94PWX
X2JMtZ3NjqVp+5X9FK72h1oFbkyoTGMnU/hkqgLeZi2UugA9UpzRfPsEZ7S66HM3vex8geLMJs19
365HxPnjwW3HA+U+xsfodjlGk3HaGaERtRZ96DTLvnhb904s4BtCtM0jvzOhRrl9GcSmG8w7zNDT
q9pbarzl1/bYFdsDLpUc801uRRNGsrHbF9Yb7r64LLzV6LE1UO0Z+5jxC4WrdRdkDoPDYjt17bQr
BSCqOt3Uqem6cz17D51T3ZdBfrVZCap3IwVSe3vMfXVszCG8EOl8P4T5GRlEexeYhJAFo5/6UP1J
UYeuOwbrcl3YxhKFHolOD4dhPyUbcW7iPvtUwqO5lsPOktWXyjV7WBazT3E8Gx9yo74OOgu/QuUP
UYdpxbLmwbXbShzFKMNGJtDwiM4oeI4xQzof+lcswA39P/bOazdyLN3SrzIvwAa9AQZzQRdOEQrZ
lPKGkFSZ9OSm2XRPf77I6p7pqnOma/pi7g7QBXQijRQKxjbrX+tbPFuCKBnvh73TGR1yo/Hk3u2r
r81ZKSHRVe9os1weJe5ifyFBfSGVVuwlNoGQT4X2kGbdA9HkSHF5UQw7L4trFtT7sZqVMuE+6BaD
cmJIYD7memej8I8ZyJwCYNoivHeny95UZQCWpi8/6RzT9hQKA0DEiQv3wSWoRy3CkRZ7IxpY1h9G
Y6aDbrO9Q1k4j4ndP8zTqGJWcNxTWyizExAzHL+xrshQnxwikMIYKcnU5RR0YznuVN6oWG07CS/f
yh6NBe9Fv6h0p3BAN4v6fUh1PQD4f78uddx0TDiWQjj+1gyPg92wumB1SaSK+9coDb691vzIzPxS
Ghm7Q5eQL9G8XV6Mz1VT2rEOK+sJT8xZKF0fLNpYvFCa82JRH0pyZ/oYNu+NIfVBlzj4hCZFXFfV
4mf6HA9zz+2r2Hl6kfBT7MyLrqXdbnb7r8ZarcgigbpXR/1ZJE7JA4yyHtZZNZ2sblYvmWY84ui8
q4bs1cau7CP8RGrLWJOVNuJ+/t30iB8xBgvK21oqFPfqDsZuyIvlceGtq30xpVQMIiF8L5NUe6ss
14a74PBRU0w0OGfCIDdFmCWPsDfH2Jo6/dTbhet32I0o5fDaLCjXyt1Vi9wOWTvuR1Ecpzwpd2Ol
goDwMCjlk4KNtMT4nXjOrXOam3drSvPLBC7Ggt0q7mXdVPMhq03FB8ranStJ1+XKbDkShZV9isU2
g1mXd0vesSfM1YtmTvsmac/etLGxFp4X6f34NEFZ7ijX/GLmsEdYeyucsorwUQXUkrRlYFpOfiK9
ctBwUsVmlrg6CWRruyyWWU2+RW9yKGE8nqzcAlGiGKs/yNR4T1opHgljkm1TqH4QNDyzMk210Vxx
rnL1b/vMDkb2NZHP3BtaqwjR5kTcSCHv9LRJglzXQSNKNb816r5kynzbnuc0bG2P0lvrMquO/koV
DBmulJFJaK6Vmeb+isHvsSkU9+AN5XZcJuPFXFTxqfSTku6TmuaV2HJmg8q+Ci+8b5rtOtFRV+nR
NHpftTJdtczJg9Gcx8fBaq4zNkHwlMrDrQz2HuDWt6E3+lgudntEivjmDmb1zMznqDMFiG4MkVBv
qu47y6u5n7U1+Sg2rY9oWeoPxqLoUdFO2c6u7Jwsvyi5RjN/y4cJ/3hKhlB1lXNKF9Kr8EZEKZy2
P20IDSEuXN23MqP6YN6zPjmzQk2NdN+Nkuh77dbOq+MwF1QSWw10Jyuem7RRUZNAM3tOVfsYWQjg
mbcPEW9Y4WMfLWPgLyzITDeitB/qqC5+o0f1c1UVjFJeM30zhimCB5VdKrW0kHfYsp1CaHXg5r2Z
BUyZTF+ofXWC19HuCylNzghNetb0aj+WNE0qliMiYmTto1vrXcpym8kHbErufnPs7htxwH1LrfDz
NKRmrHm5B0qEKPRdQ6F9V7pfrM5V3AGRCiFEype80E4209Sd8Po1tKiQihIBHKXAcx+OWLuCjBly
EyhtodPjYtD1o1vdHdIMmcBxWO9qc/b2c6stoZN1X0yItEAuVDVfhZi0JxbIgToqaVSub49zVu3M
JqW1pTZLNq9Bad47ZPlTaq9WjDkjf1VnEBKk0yuXu7S5Gk91Zmif4FrtTzNvMqSqMfX8JOt8BSh3
tKFmxfrNF7gxeOMAPB0duSl+LtWwMfT7hIsKNKu56WVyzCgCqTl54O7NpzQL6gRvcnbqUWK5hk7p
k0cJZa+dOWgFCE6vvbcdbIqjgeTbu044W1hD449kkt6qbxihbovl+WySO961o1Uwz/bgZIYVWo6/
mPL7NJpjoG9C+o1I4BNUbUL4smP/K9t9BtjHXxMx+sLVqr0x6syx+mI6NuocJb1xKbLCoITI7neV
sN0ThfGUlBFeCkrHo8Qqiyt4G499NplIK5+yyjgw0bYSFXXyAtMWlb/Tw0QxjdDOhAgHq/ddTEnH
3l6byOmq/UYoOqj7ZfDJfoAEUBpqUM0ppL2oYznJLZ+Y1+QP3cRMtsy+z95IuW7nxSppSb/2xMvS
Yg12VI/eobw+zXaOH0xzqehaOBrSnAX8IHUEe2LVHtrWfPSortnZKeC3Rr7Q2WNRfr09jDX3FH20
1nihZS3oBQQZcyVlI6z+zBxyiolU6q8g/Qcc1HX9sowDeFa9YKtbFfNmSVd8A5mkyKhr8HXMW3ew
l18wj9G3RAtUkKO9/1b2WqgRNH3YqIaLKH1lZG/WmL/c5MXRqrsuk+alN72REWnzk8PvALdwiLRi
o8YbjwJv6USR2pDFWyXrF2BQeVjBRIk7s/Ei0+Swo3eu5a9KUZ3LlMVlncs69tDOL7abfKqgEkOv
XOwdIYDloVspWvPAOgYQ6Tj1aMK7B3h0aZDiLrraBpjZ5mAb8HZmprpeKP88Kug7AWFDA+1mot7D
c+Y7Jmq/tdw3Kk15193tIxX2ztEGecc1d+WHUcZztR0St5wiOq92VfZTcTuQWsDA7rShEPuu7K9d
bpyaJWN5zDo3IO6uxkJwvaWqy9gRHdjpraXhoChOLqk8zgnqUS3dF4vC6JsE+bE48iuR6Wfbljw/
rfEgx7PTJi/ttBFxWJr0u6LoUyDN6jDmG52+hnO3ee6bK0AOeYSqSzZHOqpdcUkSvUBGU7U700S5
nDmdYaxXg1FuuIeZP6iXMmlnjmfKVdrd5PplvWxsCUXCy2Un6ODAiCxeXXc49DzB39c++2GUM89I
Mq9+ZmBDwL5RYUjJrPq9YlADLyTX6gtbFhPqpTUqDnht7wAR65uHedTH/aQsXaAWdrkrKAPuA6H3
aha05UjP3qxRAgZamUuO6F5m+FNglLPpwKm6PHhO1uxMr6Enft3SE9YBO8Ya97z2G/6W1rv3XFlc
wUxqP618kKcty+2jMFycEtVaHmWbrLE1m/0zTuIWb5j+wR2+OJcNkBUU7fttS6dgGtqU+D3AF8nM
7EycyYy6bVkwJy+ERSZuS5NjKvEIMz3Ea8sBoKFRqjHMGzqAS1VHG0A+jGmItqEAz1fvU+rRA1sU
RqRnVXJva6O9J5j16dZAvmvdoRKw4ifGofbcyKrZ98V6sPqJUrR5ulDuxbFiyKi5K73vpG9yBGmH
VjlyEr4irIZjUL+Fc8k/P3hzAGsqSIFh8rjWc2ySXUAZgH1Ge1ucQZM4cG48YBqhB7Kqp5jlyopY
zZlS1FYTVWW+KzJxz2XKfWQ4Ze64CqO4GEsB3cHDKZSA1DqzVbMLzdwWLszOTtBACDOVhRnC5rB8
WdaBAlDbbzW9OznrgC2URrf9QFY96HsBxHQc1NNY4iUcWuNnt8nzSskTtobsTd/yi8bqHi1bWl+L
nrexLcnKeCXaalXNhHcUDRZQPmIjdpXTbBbXXKc6rWzrc2o7r63rDTvO14wCBY//sCyEMdQd1tbp
Vg/OXcbK1liindI3IKnky8cfWyvoKRvPK8BOHDYJ/GwAX0nHPUs3GmiFdePDaePlVcg1xhDQXMiq
bKnJPmsr2iZLYXFoWY8zn9QARR4lW2I1JmjRhxwAPyen+Mwd6+Ca3XWh1xGQ1ooA3HUnluhXAT0t
NuUScdXiSYYhHozTgIlRy9XLpkkdxs2MjLKx6Zoj3HqhPa6FghIto22yS2RqrfG46GzNNyhryCbz
PLuxDsGatfNRX1OSnAAiotK+2cTdOUh7roOjovrbJrBNalxSQWwcM+bEDBOaz2Zs4VemCm+kezN9
dUx0FmN7IUpxdTZvZLCk6aExqFi6LMc3+x4LFQdlhcGPs/pccIrnOsl+uBr8rE0/la79YWhghasP
1OadHN2f/bSSdnBz8A/aBlev9sIOv5uGczvcuumnGHv8+Er5HRBTFnU3sPgglAAgCOSfG3PN2Qov
DYluEJrVNo4tRfId19q1z1ig4RX0RG8EKeP7Wk76UeFMLyjtq3R/nriUT92KEUyykwN9qn1PhT3U
wBbsw2x0/LmzT6LWTr1qBbjpIMMv9LPHqDj0+1TS8stNczp26LWTd/RV9Dtz0OEBEBbsD3nVgVdn
VSPjMWi9VXM07jIaAzmRj8+KaddDXLuDssa9Us59YADwv3VBr3wK606XeQyqTut0SJHTaiUCzUGC
u7qTDNM/h3IBJnmXaHDOeun/f9Hrdz/ay0f9Y/ift0HAF4cL1rls/F9//OXw+6/TH+0Nrv2HX0TN
mI/rg/zRr48/BvIO/6gDvv3J/9ff/B8/fv0rf6nEW+pfKPHDkPM/IfI/mG20X3/vH1o85caqeZPn
iUVZWDD4J/9uuPG0v5GFxpdxM+H83Xdq8H//Lrob6t80zg6a5zHDwW9quf+OswaB/4+aO00j+Hfw
/VCecssR/TncihwMkU0M5YH29u3spOUWK/rAZ4OMqRtaY6bux87SuMxoIxuR1jE2ApyjN3Q9tuvL
lkhCkXSM6qjmpd3Tdqyt1BaUib5cUfHK0FkVqlRE2W+6PxS5BOKVO6vksyH0yMBKdgYQpu75Llnk
1sxcyssEqOyHU4AqCLo83+I+Mzy6fIFAPHYKa1lfJMvOneflujl8v8LI1p1Dd86xtRYsGDZ5lDu+
TQvUzNyID8Nrtpj+uTJsJIUDK3WELPiZyZl6X1FiL/snLdmkcnQ5ZWmcEVXX+W1KjdSOZ8/hdKtO
SZpHtUyX/sbLVqz3TPXWlmJhjt3ZqYXj4Rr+zJl2vkL9kXACU3dOcT0omRu35aqloLpUmwaZssYS
l6e1ymo6oFuFSqYa1kEzb38yBdfpvC19KZod0iV9OQpQad9eM1auRBsorNVANRhuoJW2lmJlrO1E
dUC6Nulnva3p/eTgFmrVrUIhdiAV+uhF7tsml1FhVZyXiEILZyftLRz51a3bo/+yim66OBwbhwBf
r7GvaFDhHA6BbE6S6a2vHihrrHZ1X6tnbXCrnevFogfHEkx0aZ16TgWd2Ylrl5U6D4wgtDEyrwzw
vyQPk70uL2xm5ZuarSXO/gYDF8W6wZiX1o/bRPaRjp7F7/Ahho2neHHWaDlGD894L6ybawKMbZg7
zK1zr8H1m1R7XdOqx6wqyodpwSpJEDp1gmbudoo22xwAmsPirc8Oi13vK1BLP61WSx7rMnPChVvy
oUztOlJnLLuOWg3RIExEUEwonIjtxu8ULdthnfC+7LREg+yTvrhOlPV+pBPbL4eAVb14q8sGMRaa
cmwym7+Fw1h96Ad06rnrtldDr54LRejvtp2KNNDN8ivX7Rv5ig8VJiUzZks3DziVJkTqpT70xvzj
hjX92FAPI0+06upPWTp+IPFFxQa0Sctm0y/FfJrMzLqvyqGKjWkDscQMtt33VF0cqPe1z0nraO8L
zMWL5jQzx7Z5PMC6rg4NlHxO+e3wPNDffW/MVrsviZGdZiqqL/TiMtdKhfUgRKZhMhLFGxiH4p13
tNotizROst2qvWwacSk3s/oS6WgnUCZS55j3xnbtrHHiYkN9G/23Go5y4TqcKiCY+fgzWFaMJT+7
K9Ymb4OIypGCj30FBgX53s3zY8Pl814iStxNvZF/WwYVbqexzupZlFN+hmrbPctSzk85FpYjHcwN
qJ/ce0fRLF77yR5PcGs9JUKsLo7q5mx6rNVZfcVsnxwESKHduKkprT+Mxvtusn5aIIp3VBat35ZC
L0PEyENTivowWsmZYuOG9D1OBYKMjLCa9KB74rRaKqQuz+BwasrfiBThjyibaq/SpeU3FjcmTRum
XZ83Tqxn6hJui919isSSJ7Wbc2Ljax7YjTk/FC1Xz6yE4N32ErfXOq9vss23L/rJpwd+IMk99h1J
ZnnVAhxbdcjnhLRevRT7mW75nTALG4aybMsXkfcVzT8anxZl7mLPKcVvhsLUYXNrFIQlUY0II4OJ
oakfr44GPxx1crWZThDccrlO/8TywhhFpY2dR5nLDKLDs1jK6Zwl9VWgFV70Vk/fdJfP/2Z5MKSM
lYITdc3Vs52X6tkbS++iMD17gNSFTUUbVvrhW63aedVyX3USA4LGB/UoZWqGGyJvHSTzyMGVkp+j
aLlWpK6N/0wazRnMqI/plKUGxfOk2FSa6J2pPdngRfVAHZUkGDobkEEBxo4X7fakroei2A/r0H0y
LWSwVpRH9hKqDLtWx8g05YdqsOiOM/P8WQN8+Jg6o3PR0eN8BQoY6Lq17F4GsFLIvc52njgcfohW
MqbVtPmxylsUPT49zl0zz+tvK6rbGlBBZO2bxpqPSlpPu2TQpss09sZRr/Rbm2/Xvc6WNVwXizvA
alIkY+RL9sDOJt5tT7afLomnnytVQgw7RixVVFX/hgJRkMPe0NJGEePvlwTLByuE2D8i9vF9Yr0b
OK1rZTFDG6mmD1GjU9GbDvEBZxG4rCozu9dENmPUQqE8uFadJ4FlFyU2RdqNBm/qvpEltO3IbNP6
00hTF3P9kpyllrinCfKxXy1bf8g8F1m61Ct/1dnfUNTG6jLC5rgv3HrA876OkYTcfexaZTwnIy02
hVmiV1cOt8mpkd/APdBLJNB2Gd8pzMkHY5YPIPfcuw3S4A/VkJX0PUl7gu/xMz5V86g8Z5llv3f4
a3ZLyYCFc68CX5xFW9hcMZIkgo7R3jPLNC45M1SWpYkYKHE7zS8SSkAcQgO3Z2LOjUD3lC6otawN
ltZxP0oqTGI1Nz5MObRnJW2sJxcx2gc9b9zNo2eyDK76lWosFYtVc769gfT6GtpuG/FyrU0eekWn
n6U7FocUuxXE4Ka9tqluvDjuOEWLoyDjdq21U+wCIdGjDoqmMTz6JUZbpTXEgXnG8OBYqfk1ZgDk
sPyLLSQs5z1pFqaAphuIK9BW9GwlRWZyXxTmFdsbnSngZLyHKm2cHaVwbTCrxh248pm3vTZVnAxI
pHhhj96ouxFtUt2PTAJK8WGRe3uoD86e4RPM22pYYSmvw1VslbiWBCH2Rabr+8VAANgsxivzvHnb
LtF65xtnAf15MbBSASY2nJ9urcj3unWtOCnFm9VVTqQU3oOh9wO8l1YdOXfM7rDXWfJSvxiL7Ago
XyH6qA95QLoXJK1DP9hXDj6/YxabzEddLqHVsr0BuEt5NE2uNEVpXRPOprGWs1lL0HREbl38V6GB
X7Jg0GbKi5HKjotv/9qofX0/YdoAxMO4aMd+18STCQoBtXONlVxz9npbufeQqxZ2BSd/54Bmo/gW
CNrdmuylKBKmyKWn+7AotfKAIxeGbqtQ+90KfALQc0FHOGrL8XUa6CPnuvVo933mz+DzDra60lZe
dgwoK2oIeTg8B2lzy1AgS53kNcsK5hcO0wsnVRDeujo/TWqVvqhlW72YOmdAE8OAGTBq6u5FOXqn
rbQ5raRWclCJfdW03xQGXoeWHQzJODnkckKtoSy9OALs9DrGaVpOtjz12j13v3T4YdSFA64YjWTV
sAoYnXuXTFYZLiP2O6tiemsrg3FGJF0vXocQCyk/Dca0W45ZM29RysH/jfDjqTDt59TOZzL0+YXm
UI1XaR7r0tG+55CK0Dkq7HAJdgYfEMCbRkDtsCrOLeibGWEHvjQCHPrRZyvShfLgCgQ9L5vssNo0
EmMd05l2JLCiGpAqSgtDIleEU15pNT0/6QtvixHLFQMBN1WJaY/DjVLl95OZG+fBMt+1gaHkMo1k
t8qyCsvSRQusK34wuHnxICIP4I8SxJrN5sjU2mD+5sZZ2qxHhg73ZNf1V6g3pPaB9NWwMhqYBUQj
gg12cZCUEhpVu3IHN+udg4Dib3lhvK+KviA8YkqoPRe8q0Vuys7KQNgNbWo8fh/K4EREq5LnGpvs
XijJekTAVs/EnPNwSmcz2NyebY4AxyEXjhuvw7gFYkgsILkSt2WL6xsyFjt7Waz3lsqLK9yKYNBY
c08g/IQYiMvin/xj/0Ue4haq+CczFhdDYiCGwdyO5hmyH39KCWQJ8kEu3fxQ1APXOmVxGE+QHIBJ
IEv7yVSb7osGCLdhy1bLv8gPcL/9T1+cwDC5EZc+Gtp++P1/coLh5GISsokcu2nbf21AZO7gV2T3
bumVj//6df45DcHrhO3Ef7fbL5GMP32pHCeUvWQ1X0roXRPxGYEP0QCZ/4uUws2v9+fXRNGNSSj7
Vnpg/znFUrbrihPFSQ9SoBsTujYPNrG0qGry8YqZkiLWyQNcw5tefwgn5UY9b2l2ryTZ7XLNXK2J
/vVL/89v8c1pZ9KbxWwCw9LtO/6nn7JURzcbuWUcOjJ4ZxUe8s4oGDPeCF40capp1n8tcuJ91vrk
d17Hfzs5/0o/Muwbt+L/7uSki/G/zC/rv//F/5NfpsGUCiPaefBmAhv53wLSr/wyiWZPpcb7T4kt
72+qqoLUMvlwqWxx/2TmtP52M10aJHboYuKDp/07uhLogz887Sbpotu6geuGzi7X1P7M4cF/LAbQ
sfrdplomIdCcLoeRyIqu+jUWTWWkUlPUzAL8yUWB8FmGtndFr5i5kbrcD5NQ7hI0sWjtlDpOgdti
39+Gc5s2+6w35BEktRPyoNqnVjbKE4WhZH6alMxA7mo+d3r7aSLP+VK4NJz4EmvQThNd69dD0QU2
DXU+/x49FF2HbdSbEmNXdCQ8+b4x31gpkensbBt1fwRTBk6mSx7mrbtfhjYkDacyzhbavrvV78AV
K+lTtY9gxLgyQujO0u43SfKJHhIBSWDqi6A3mvXMXTnFK6iGy6R+3VrYCCENSkQsW4tXddt2NOWl
GMr0ndJYzTcPTATqRJkDQTQjbsr3fbmaEWWyyAL6aMSVU7tMHwTe99rm69caTrG1M8Gvu95+HWT+
iFetDWtN2/ai1L0AgnPiAwae9ulY3PerpxLZKbeInnvNl0DSfFMVYN8JrYVUH1iIWnJB7quGY5k7
50zzSKkZ9aOn1nM0Js7Oq+VemLcICRcefyUlFJhGqjLYUHcKBga48OsrwsAaTOPtRXCmCUdpJGG1
yjToLcWOKld+1nD/MWIRUEL9OQlK8nC4LlG7OZzbKhFj62tCth3cA6Ao/c6y9x6usJE8SeCWOiai
LVFeVyNvfUOVVjS0gm4ByahGN/EkQKxeD3qLTwRDx3YYNHcKHYerMqZ7CyFOoZlpAQdGs4JNj066
W6TNbRkoUuRpxXd8auapY8xFCzDDbcvoQjn0M56adJcZ0sH3LrqwIqtbFt0zdYCv7rLdFfrs+Olk
m7HS5GqkqVu2c0T9sdEnXnSjuQMd3wcz0SJcJ4Vy7MCgmtzdIDh7VsgzccsE+PbMI+H26YPXFqQ7
bnxpHQswN09qoFzQKOZAQ4Q2WodOBz26mpsWlP1wWpTyc1vNBSqyK6IiL9a91aR1sG2M1hQaH4Ic
gHnopIJaVwo5IhMVKMDu2YFy79/AvJNdc5YktJuB4QdNwTsyIGbUoiLHdlFT92AUL71up2e6PurY
cD9Tb1BpFXe6wBK28kwJDXZCGnDN0Kny/LGesGE2g60ShEawFbnXP6sNM1D07vIRNpsZDsN2HsBI
x25RzpGeZHa8lYTosLk4UUNLHEdmRb3mdo+TjehxhB6Z3aytOkMWg2yMU9gHTe+xGKXutNf1FDFn
0k+DospQ0TPxwv2Fn6KL40On7jWwU2/GWcMlhKA8vmirUF8wj6NgKhqA9Knb4jETTuDJTfP7rWye
SlxfXEqketTGYba43NkZpeBKmeFFx2K6jLizGbqWkbFyc+FblXcOGUD+oHLX0P67Qya/KGb5mZO9
oID2NpHuSHVLdwKMsvHzFNtg7WmQZOxrqD+XJHPDZaaOnrpo3S/s8Ykh14ELr310N4fNurceKdrp
AAgbLaNXDCLbXNmhaeLo1TvvS47VY74u10ST1wpJgNKCXIP2r/yozW2Nq3479aNzl8/8+cFpdjPt
ZH5jNg1OV6XHhTKIcE1Iw2BOd33NzD+6NmXI725PQ6tDs4Jv6lelc0sCSXqOVHeN9LzVwx5FIVBT
uz+vuhPLWv/wOs7fLsdm9KfBekrgRQe140W3yTbxgGK3mN2PCVoRw7g1YYRdkE2qNO2Y0BUaF5U+
RdxVB38dSxESdHH3GfPwttK/2/ZwV9BjcBis5dWdBwfrsz0G1WrYB2x1zbPnTd8qbsqhEM4PO5tn
YlkkFmmyeKb05OSAL78IVz/mYNR8q22rc4WyzqXyWtEZCikwcwNuZT9pHFCJQ3LVsDbZ7kyAL2Fi
rUXU4QK/W3HC4LOGxWkZibevCI0ORvYdvdh7Xk3EvqrRTptNrgaOWhePbjUBiucrNtv23HGVueJe
xcLFJrQoyQKEg2gSClkV99KyfLW2ngQBqtAeu/y0dsMh7VFlpslQCOczfCa5pIYZQPn3qlze5kTK
vbNiQpE6joq0ymKJ930Hw1KJsR1agVNP3j0sqKtKZylMD/P2jeNVhYoQjJbOpSZ5pO2tjTAQxUuX
U01HivOgZco3vKUFavnym5Hjp6GpVR5cOmVYa3L4+kli71l/8yMeKAKyCqvc7CrEO3u3pvhVN3b5
ZljQ+GeDubIwgsUU2i51im8zlDpyku4ziMLTUOLoFEr601CEA+2wSmKFwhefslgttpBzIs2s1aMr
VJ17GTv5xqoaw7VjegEMzmg+Kxs6x4uZU2MHwMBVqDbfLxxykQkWxOp2fh0T+vT4KJLSLEDD8fTV
Lu603uMe72Sg4/mQYUSxBmPf6VSt0J4u6K9+MeTcGMzG17WHyxVZQ8vqTUfc7/iK5oayMMzauWEt
fodc9MY0gLwofgdgNH/nYTS/4zF+nRn/+3j9V8drnej+vzxe//js/9zEDN3g9pf+cbS2/nbDGZjE
pG4HbPP2W3+fzf46WlsOR2hQsbDnubb+gwxkcLKGuwXci+kssWOukf+ISan/zkkaC/4fTtKWikDK
Md+kH1U1bItv7I+3tFsDhbom2XRn1Js3Zeet7HWdx84wu2IlJ+vk5srUIp+wR2QSAxn54HJ+tiiM
PQzbmDxVtZtsrGSGfu61wr5HprPvFgLsBFtAjQa38qHJ140eH/aWyzdilvWld52uCCfdk7E3uvlF
X1z8/CRF8ESyD0VCy4YAE7pxGdPaCihN6WJ1cutrWarNdZxn+ehRvcketqblK6Gb+WjSaC+perOb
N4YhyatUM0X3+Qh6j1Xm1o+caRmQlZzPXA0OjeakV7uztkdVq/pHFK4kRoK077dkXCJlNsZjKbwN
dxdR9MnWFk4wJipIztDuWeJh/3CcutvnZPvR7Td7uXadGK4QnLJvgIUkVSttARgznfTYyxztCUZL
9mgtdhFNqgmkTuFwctens37ndsMLWg2V64TacMqbk8EUgmTnczNK4uza8lkuCw5Ig0aBvapM+R2X
CpaCRljD97zZZpZW3sOXqizqiztPGdnMbDv2NVqBn610nFWT69za6DHKFomSX3VvKPZKld7jwypo
OFtKslUWrhbb8/YqGfy7JWvkXaNoOUb/mgw1rSPrE3BuGZeUoAQjgvO9i4F0vyJrnJ1One/MAQwS
0oTxwSy9PWKFHp+gN1Rkn1Eyo0YX+O37jERWLUx5pqZEjTs6qqgwqpoHZVSNJ4rBxndygtXPFQnr
WZ/Y/exyaYi4WsrFyGk7tNTxjZ+VWANkBe/aDW79BkRyilEfm7BB9GQKXW67WbUU4l398ls3D8M9
Enh7VyzjQr3ilFMMw4PDPIQB7hfRINkTtNWIYiis6SiDOGojE4jVA6dTtfRtrxvZc+rNr9UWE9oA
+Bc83sekT+6pYfizI+IoLmZPSl82Ki4kfYN6O6QLmHKwoNEEKuhObKa5r1Lh7tXJrn4UTVpcVYGc
mZfpdl+izAPxsRLlCxclu1iSDgAjutkmroGwJE8NBaWsX1l2zEskM4Mm1pC4sfWGgVH91i/ElW2v
VGnVGuSZ+k8AmST0p4f+RsPpfoFxlF+MHAvkpscY5d7FLdDfSDrTjamT3+g6jOzgUlk35I78hd/R
biQebo6SftUbn8f+heoZ5gZsT34j+GANTZheQvXhmALgh5wQymvyC/yDFF+/soyI63rjAtGRQ3mW
rK0IOKl6dn4BhJgFi8C5UYWQbrv7+kYa6m/MIbuDPlT9AhHx2V6+Db/wRMuNVESPDNAiceMXbTeS
kWUD4pDbxLi+/oU6mpTOmuLmRkAqEuD2mOd/gZFQ/18dreFQ49jtf7B3Js1xG9kW/isveg8FEjMW
vSnUzHkQRXqDoEUJ85QJIAH8+veBsvpJ7g759d4d0bIsq8giKpG4ee8534nbyOm6mJ0kYz6yVM1b
+Q5ZGlbekv2OXkJGgO2bnCTjCQoHcKYcYE2Mzgtmk/2Ob1reUU7TO9ap5XR/Z62sJ/mOfULNJmFA
ld+IUHQy3gFRoMxWXhRURDAbK3piZUlN72Cp+BtlKvGrtr/v7XQY8X5xeq7PS8s5colAVFRTu3VG
q9APMp+S4LOTFETpYO0sTe1+rGA/dv4uaNFD741h6PO32W9bUaCrEFLCtKN39Hcd8Fd1AEvmL6lI
5y9SfZl/Uml9e9kflYBvf6Ab5vmh40CJ//a8/45FcsEiQYCAdM5j+UetliM+0LH2MTyt/BvfXp/X
37VbwYdVsmWScm2h/gIU+t9UBli3f64MAN3QwnMDQMMBTFx6uD9XBhYcT1zFrjyGo8GcEyIcm2DS
yOIiZcJzMZkMiR4SVyGMMrN0OI1Z3d+lLd2QQ4HSsEA7O2KWYeDFVC4eSBYYEDhZ7ZRECY7D7I6h
rYn0ldNrEnYwGSZDXyeFYJqD0yd+nKzafYaT8FoKCC18qccRoMFDD4/vTsnwsWkTVMFkJDO/9Uoi
YOEcqo3Eln016FWeBflA3CuPEWrf9uZzWFCeIBbJrPu61sVZSSSmTRUgmVjnG/D/jB0erem6mhoE
poYQ9/FiGXhqjfCrsiRWBXK4GMyMFaPrZKRLsUEDgAJsxKy0aBVGi6NyZJBcKBKh0Fv76e98/hD8
DcWrtRjZJJnYBYdAWGFDCPBwWtAhR9iyeaFytbIwPK2qXq8Kq/DTmJN/GNVlYD4DdV6uvHYMI9cK
0dKYGMV7reRpNAa+u0CwtsGqNe9V1tOJyxp7YMMOJVaOLLPQbiiIUDIP6HdYbWK8DIPNZLrPKyQ+
gy0uZaBC86BdUT7NRYlYfExI3pbVSh0qJsbojLjS6SZoS+PrkuowmuwuPhek2b4ZdJKuW3a3w/v7
U+u7YmVLrID8erKQMdebulrGyPcQDe1NCYN/GOYRt0+7YIrnIiuyzQl9G1d1W59ZcD4EvZ3N0JM+
fclxKCVetxTFcuT5I+196vpIv+1l5bPkMZ6U2miK8+I0p1GS+Yl2aoQtkSXWc2uYgbcX7Rxg1ikc
AFx9xVrALXbOB6W2fHd8Ukq5wOl9DPBNtZRP0rDLh7SV83PXpuqS5MzwMV9GxnlMob0tWzIhiu6Q
XMSdk37KZ/q0zDTcCxhfWUQ2NApwYvJI38IPF+VEzuzcxVL1AbEQKiu3w42G5dpbnZ/Ly1Lr+RA4
KjwAjLS/ag8LKsKniixQYS8TyE0rzwoChM0+vS7Khq8VknVM8isWJYuGKOd64OqS9tSuTwp1H1fh
fEVSYRHZMDe2S2/GV5VXZbjoEx0cCJMRe1mm9hP5bsWhCiaj2RTe6pGa+qwKDqAG1UPfOM8QvDGT
uOanOpjmPJrHjlKTBFxj2Y1FeVUl8UKoDcOofUaCewTulEhHs2D8GQdMbJnvSVwKZXOrvKW6U4aN
5HGe0UxljjgPSR1uUNwnOw6xzhEPW7+jGb6c0ZYUYBRRm0S6dO2Pk6Cp51YzY3RSDrhRycLeOKrg
xrCIe45AGxb7uh+nndX0+I7MOF+iQSsD55atrgbK+huOF8UFJYt72xMdusOjgSTG9JXJNLcq43wT
GCFMlbDLhi0hKf7zuBjZVSxE8nmWeY62tzmRdettl3YVenq2pzEf0fLdzLnt1ZHJa16XLuSmN3KJ
/5MQgO6hQ6ad7/Qo0t2QjvjqjaJePqLWMSlbuvR6hKp0Xsy2eUKENB+szjcRraL9wY0PERtR5bwI
+i8ltFMrrcmLHGrm4pqNgn56qc3t6HnzhY7b5i6dFvUp5Oe3T068TPmprRpfbb0lkecBmQeCSY8a
rtCgizYVKBh+/o4YWZgKDS0H2gSRLK300UMuy7GnRBNqySq/GPs1wGiUwM9NUkOyje0xdZDhOB1S
M6kjPVevzWJ2O7rq1qkBnnTdzIPxyIyczX+wUqKv9URLzq/LvmUWvchbGRR4emsQW41mMweBzK6k
vCF+ed9ZSEeJv4ZTVZzLhjvUEovAWbneRS3jqoeJ7OInSRdl6xkm2+q4Wn82iH6RyjRefQAKKk/U
hpbD7aCte+Gu3wglzLRFIcI7IUN0IT5YjwxetBHW1zy252vsVuSqNM3S79TAwFIGwv0WVfF3ufTX
5dI6ofvFVBKI5NWXKfvc/KlcWl/2R7nE9JAmCHQRm3BD7yfADGEwH0wm+VQ9lEX+j0xl2187J8wd
SUyAmfFTvUQpxbmEZoug+WGtMPPvwv4/BAx4AnAMYAn449//B+DHbUMZo/75D/dPk34TxvpKXXQd
l/YMcYh/Kpe63CkXTXj3pcQSMb86jQMCrnb83tmZqB/Z7GwNKG0+ZnajKuPUMDBwZRS6fn1sNBQR
dDLzm0RwxPnRbN1o4tixXEy153+BAuVvOf4xmeiONdiyQvGEKfXsPKDrWIIhgYyGx5twF4TJ3Nkz
BBGXImTJU7yFpIyTrNEMa+Zy6/XwLh7sGixK5GlE4i+lrQnNXBFiCPMlrquazKvA0NEU0HW3xsqd
F5qbi1tM6aU3cnoKHlLLX1aIiElKI04nfD7gDpGjVeh/UXuIXUAToDQ/ZZ3fL8OBqPIAWrQyK/g7
GcB+nEBmx5RSyb3ftfOta5U1mOdZ57zUm43lt7ZGQ/Ut++nvG/Avb0BPQK38xQ34LguIXmVTZjWH
wG9mldPbP/9h8WHx0u9nFveDs3LIMU+6aJPe77Q/ziyBw+20gp9MuEmrrofp/3eDifeB6k+gtglo
A/Ky/2tf2vYH/qpYI+ZC1xSh+1+hXMGb/vnQIhwLqwlCGytY9Qb2z4cWvwDrLUu6W+jPUoSC4arL
X1TS6a01Slox/diaDZAhP8XKjdXMOVFFhBgeF3b9yNLYp/ZUXVWxa9wm6eiSNQK0QTvWlbkxU1u9
VZkbXNIydU5Ip8Q1TDfn1DvYLxGxwkHEsm1zFhJw7nROAjL3KWcGmqvBZZjGzUutgvalNRdiguGa
kCUD/DG4JHLeecVTIK4p/ME7oDXwPHQFVtAerNJP5U4VxvoSO0baXNC+urW6PnyidOcba4qFbNOr
YLpPcKY/VZmY7mVu2ae4qODU2e3ky5vEqosGF4tsAtx5vnpTpE2AEakYsImUpG506CVB7w7TvBlP
/gBhBYzcpoVxg8jWSuTRFLZ4XPfBV9+aJvLijeFoj6n9cdHBdFvbjTwq2yQ0HtOYIAib4MUNYqP4
KSdMI4tQQzBe88McnBHdVfWWy4wrUDsoQDNVti9QGs1xM9mSv+ZMgrC5xnVf54TXAXPkDaB74N0S
Vj3dmnZiPeZxiphusD1acl448VM7Bd8zKOz2pcxNfvawdJdxMzC+vPYcvOo1KXXXdmHklwgcGbvq
DOZBnI0nuwmLUw3AY5WPrtcTW2qebKqpQnbMuuZPvn2gJZn3+CSzOHyyhvUTBt053fKRKvXszc08
XWo0WGI7FZhatyioi+zOqCx+hAYbZMZaSvk1UGW5RG45cF10bvAe08nApMSmziDLN/wkO3R95QLU
WJmGnyh9HUQZ1UK1Purla4oYJNmYYx0+MRa87xnr7mfsIk4EtgsKFqXOHbYlDhyY+klhF5X1WDss
wNWGxKqtWOgFrIJ4j0mJr0TiBL/6Kf1h3gmLiIbsdJt6q2LL70dWgyUVn2xo976947RjYw8Vg8Mg
0+9hjySKxYfEJt3GI4+2ja/b/g3Bmk52SHbFdYp1RW/9cOIDRj/BRC0Ik/UxlrdIJGscs1lUhBSN
u5El6nE0qJH4tyFnA4Bh9snIR8sGy2LzvrNlyGjGFvEEGIVJI1QWCNUbRtDqbZocvmXNsIyH4rpO
5nBqX4b1Iwps3KiVizo+EIov1ndmdgg5T+/QbGaHeRxRDTmifcH0Gz+9L+HM8Lm+hYKPuN7sNDjb
l9gbp3sN2mKINHlPtxP2jNtqsZoLJ6XJvie9K8SjE3Lh+qa17agtAxbMgLL3oqw9/vj9luAMR3Bp
RlM9gobCh22ycfBs7F6g0Mhj57brJHbwxKOjm/jJyM0RL4vKU468HVqLUvrcnF4zh7sFSi3+fleP
cGArfhwzc/DsEoz9PhngfjBNFphhc5OrAvILmAlHPI5Wz09tLuwgDpqtk5824SU5iOHl0kGO2PTZ
zFdooCmtMeCBhA/gq9S+xdKV+FtDqpn9NFkIEyhb/+i50sSDloeXbjcZW1unEK4mglA5M0xMOvaL
mgcCkbkp8A1J+gEbzGbTfWU1Or2f1dReJTm5q9nccbSfuZeLkO05qAsDsJko+Tp4UZ1TUVDP5z1b
hgkE+rF324ErCB3svmWhw2vDyvNSmHF3DMHIHuI+tR59mzXvUTHFe5LsJNKCkBLuOA1skfbCDzwV
BSvKCC0+qBL6zGOMYqo9J42PP8euqzI902/HbW4u2WFwGNtGo+ZTKklWfFWZxdYs4pk1xcmXBT57
Cx+rVKX7auqQO3yqhXjshlk8Qv7SmAkk/J4N4wTWi1B9uGtqVilRe9wRldeJ6wy71WNFRrjEO98m
8W5E4sGdiNl8Pju55Muj1FFv5HFkhyx1Wd04SR4RFYVPADxEfuG0gzwOYh2dva95h9gNSAbM8TEt
YAEAGUB0zfWQjeETNa3Pz2mu296oRdffjRg3J4wMiv1NKjLUaRis6zGcFaqwLgifcF3xQX7b0nIl
smrb+pql5MaBHE55oDpjg+ZAS6Z5hrh1PO6usiygrw6ay0t66P79jqvGwHlag5Rxv3WuTPfvO2vT
pMLDhRB0TyKDWfCkk2QuPrnM47KodNZdSoyayUvau68hAVS7fOiqO5EOazYuaYDpFJ5kS7YuEwlz
fTjjssQtgRr8Wi8uGxnNfu7ggB6U2EwpxsD0xprT+cj2Y1d6KxJs3wRPAToRZFst4UVFDB4WCT+e
Ei5JFpZ3S84cx8xol0W4AJInHqWS+pxmxRnQJHdNMUzstdyT+LTZYhpiRi3mbHYnvbemrp6aRMgz
KUmDqYkx0RN1iC0fLSfAbbc+iCCClY+MqlrAUUNwyyzGjLl3RxuPGf0EkGz9tYsw5wLbcoJiK0k/
Zn7n4qep4986IkYMq+kuFWGaESKcyPSx6unNUInK0Me+n08qHVq4YiE021szdZooDPtPNWO+tlXd
3qB7edsS8ZFX/n1sMUr+NHslggnUjZhDT0I0Fbtqzh3ueDRHUMdZ25Ysk63lWQsIOEW7BQuik0dt
Y1VHIbqEmFKnBXPmFPa+qK0RFzomXHMAGeDCwYRz5OuZgXENbJkYKRApx5BlKaME+/vE5U/Di952
lptg6v2zykMec9nEKHYyIOpUWnx0xIjzBoH9TbYUwdm3YlavcNawz6DZJUHe0stoJ9ROhT9cQJlh
FIWqkBhow51eS6fJP85+9REFV1delp1y7roCqJ2BIiuInEWG+2C0x69qluHvaUAjSWk8HQuLbNfB
+NoGdIrgd+WMUsdu3M6ItnYVoyFIkA5j28FW+VUg03y+4np5b3kf1PtlYGSNJN7cJZn+GK7sTiSR
8uDH+rcxniI3y/3fMU3M96k711sB4WdvFz799N6VdwoxNeVP7e3cqZo+54P1aADcxCej1FWQpcsd
/l03avyh2jeAcw5xOEI1DzNnl3TqsQsHUCDSozLaqaprrvolZouCpBOBCm13CXXDeaikOFtKGkc3
bNSpCAfnsrFxMXHRavqBHZ0Zj3bs1HUB0SicGHN2LOCHVXGLlgAie3A2lkLc8BBYBWAwJNDLeKcS
7NNdAtjGru36aHEiPDDkomadYSBOCbhAHOQYOEiTe1GMFbd5K8OrJXfvhgzQIRZd876gsX3ZzGX/
0Zos43Ku2hJMVODzOgAq3u/9SMLgNrYskNlT3WGo6JvnfHU+YHGsRqjERMQ+ouwLjiiGiJrGH422
UPiYvpz94AMoypuiOsFJ81+NonqejLVHKfwSjr+UalUNOaBjfW0CTeuHgxkXaeQGBYD0Mku2C1Yf
KKFpfxpr961NE2dn9UJHojXLdbcSp5k079dYgnXYxo2anqmId1TXkkowM+vtXJjFrieH4JEkRnHN
zi+rHQR4WoqZ5R9NNdkH2HwITS2A1K4Gx3aJWgPQemsPwAbZSJjWd9veNe8BopUCz08pZ2pxYDH5
fRYLYlpEXjnl0V/UmLyx+Sf7NLc6UoJFC0xqBBGVpDGn/AatxKH3UoONSWbeMcA1+2QUygp47MWW
R99XpFtAIZxA0m5H06K5yhT3RWb3+qn1kCQumM43YMeK/bL0C81Rk3/N/WzvMT39qJMpYInbVeMY
54x4ghFcylBl4ecwtJPLpKuu6d+qTytL8qKSwZVX1JAGqQYeqsGiua+VR0IRZxdEHF03Q5nzkFSe
qoKm+9noxGLBoLTzEMWHPXSaoa5B5QQ+yY5v4j7UVLOkM2yg2DfBS9yVbOqoqHU7s33P+H2ZNMnF
Pvg5UAM3skrQrZsEFahmsuWag/0SpBVP3RXY6oF3C+xkT5ParS46U/LnMNwX/A9u1QesHiuUO3eg
Bk1lSrVVa0Uh4o0Oz6asa8v5bIplup9hDT1Si5Jj32nKcrz/7eaHE/9/6GD9m19DMN0iAJMDtOVz
jF7/+49+jTQus7bP8mPcQLfZEh1qT58WZxnUszMvSwe7LaQaaWq3ZL4BczI7/PoN/LuHhR4c4qhQ
OD4mAXt1Mvz4DnTqiWax+uToTmEAqqhewyWHUMTWtaDPlVBsxu0hs7M0uejbeKnpZqn4Oql78RiY
g7gmOYGq8tfv6j9cFiaxNnwNj77Gv9lYanuI6fM7ybE2KP0wsU5M6zN4sVRkKKUZVlH5DNVCcWSM
Sfvy6+++Krt+9vVwPdB9rf+nBBd/bivWs18gxl24JnPJUSgHkYHXWXVBlfOBpLMLtNLWgf1Y+LFx
Emv5XTs4uDHyd61143gz3e6NSRpbeiRVVR7bjiblV+xfnGHIeY3/4nL9hw8RjbxwfWQ6pomMig7u
jx/iGKLst8kqgJA5MiEN52lQEIYLciGkG7pdRJMQKvGkuldYgPN919Or6FLO8lkzyfuq7v4iN1ms
PZ+fvGYE8Zm2Y3u2s5on3t/xDwvbcDtjGagbGH8y/d14BP7c97SknhQtHhB4WB5oKViWesPMZJ/a
kfNFrQEFHwSmQ3Tbql3PYFzZX3+29n96Yx45gLi1mGG9q/p+vFT+aOJQlV16bL2EChXQPRFrYD+0
9CeqIlvVDy3kKuc0k01PP4HGcXEeHWu8H5wRZkk66vDJNJlLbaA+UBeT7ZVhjOAQlTjEhe6zBMlK
GWMxRedDr6cOTe5sA9QRpakvJ0BWNAbfvh1KiWqY7odl7QIQXTbdp3EGkoUR9HS71nGvWY2HrF4U
w5sNKEpOQL++HNa/CQ6E56/pu4K+geORdfrzykmF0ZF95hsHO3XZA61mqdNzQBQ0a2bi3bPxh5eQ
d0fjobYWmidTlfK2ZqgvD1OIEPchsZHsR+5iQAQsHX7LxeLXCXxZAgibI6VtteuHDbNsuhz0kGTH
JqEDFqGXGpNdAlfxuMwV3520Ypo3XjGjTMdFWL29/7B/d6L/qhPt4An8YV2sCKU/us0ro+mf/7gp
yldadj/3oL+96LuC1vlAx1gQw87gZlXO8Jj4l4J2nRF5cIvQF6wTHf7T9x70OghadwB61hZd4++i
GZtcMtcFLcxzb33dfzcEcmmN/7jXMIli1mTBPOId0AsN/rSGJS6UevJEd3Z6A4kYxNWeWmVv86y/
c9M6bU5umBiYsxnbMKCR3gCPl+hEBjeexWY0GZLonqiqwiw+GACF5OMwd+UFUTNZfttjGv6NWaz/
4i5efU5R7l/0Ore2ocGTmW5WVp0JqiE5owhHnD55fZm3nUHTOW2bK46Q7XKoZoTwGjFGsqQWOGja
GOHLmM1wZAMTnhu32+w9j3rivDmT2EDhnqXYjZit72ymP3UUomHMXsfeSJ+J4FQEjMumSPatwkJ1
SYWZ9sneKCvTWcUAWTpxKKMG0tdQI7zA3wddubTXTHb5cdNJSZ/R8Jw78RH/MnrNHfRLk3Ctmklb
gGDeIpbb3RYDx+HrwIIIpXGDcT3xos8kAMOBdkMTM9w4+sSspLEwP2tdKqzlRZq5FOQUhy5la410
H0LwAFF0RvLCYWNTBxbIuAkoA420NFiAgGyRYTpLVHhjQsHLFN5KSSaEXNcs+Runolm5qF9BOLgI
ZEjA2vgWat6DVUyxvEajY5xMkLO3Zh7EG/z/cJtGh8GYSsmdNozxkIAexuXjDRyZFfj4kQzFO1HC
DPfCdn7125xMKnrC0VzMKeIUDuHInotLiQTr0CingqbK+aKoRyAmXd14G5K2V2vEFEGGIlmqqpst
3fDkhrYmlOi0nLYeEsGt07s29p6kOYIEj+9kpatPcW0AUyhi4IiLMbY3Ze59hEuY3NmcCm8hEPp3
WOrGlxSNCAAbYrhkm053rIeG1k2TPSH8iW9Lq5k/FQi/rEgPYNBjDtxbWID+dRgW8VPaTvZxSj3j
xqB2wgMkwTCNvrQvYy8uDwYd8QWTFubDJ9pK8A/i0vvYeaJ+oL0Id5yHVcL5NwfqGNFH8aeooRo9
1ZIx0yaEBwsTue5PGp7IQZdF8mSj0roIF38d/7SufqTexI4ZtIQ+YPKT5VehHQ/9rL/QTqC9U++A
9C0bglJdmGKLf5LafcwJgVKkjdobB7rmpaBHDmsiW0qoX3IYbxhGWBdimpqj43C86vOZz3oolbxL
S69+kqD5DiPAyd+1lX4SnRyjvgyCM590tUMu5ESzaoOrhTHLXUyK9hmop3xM0Ps8D7TVYMfqyfqc
N9K8MJaaY37X2f5Zl1O4d/L2C8lx8VG4qC7SiequgF/4EBbB8Az5qPw0F0v2ydZ9RiBsFxSfOobP
EDe5wzyjlweKNmsX+rrfk2d+oRtQiIjgygMn0PmmDmv3rCfQnBQBtObhsYbGjUCABGeZafIGU0N2
W8f5RBBWO8moISSLVUylkLrBVG6y3lBb2OrzrtFDG+kYyRDXhdhtco8gu5tYSpVGMhjWW3t2rSfH
N+yb3pAfs0U+5K3hv01uA3OXGDek1/T7fI5Y7YK5UubORYXQ/dLs8cx6uYq3fpacQkf5V7OWHbfG
oB4WWFNbWtHNZ28gMbXVS3OLWWr5vaOk66AEoacOK91eJBi6PiYpgHqvQyyCGbWDO7mEyRWG6OGl
hw5ZN3TVGKGB3i1wuUb5JM9D1iavuK6yLyVQ+EiN3aU1ELbhenrapuNgP1tUTkeb7EsYilrPl9a0
YrmAWQIxxmHIHeek5rWgSb6XjTA4+kKbuSsYinHw7AUV29o1HFXGYINZDu3ktNL5dLQQYN83eq1r
ikTbD2MfB78XuqK6G7K1qxusbVDi3+Z7x4hpiNBseB0Y912EHsopbG3rUHJYxzoJqTdM1IKU9AwN
2cVfe8czh6xrn47LvEkGmw6oTY+AxgshbVVAk6SFXnBpCKu5BlGIIA3EV9Sb02fg4vW9wNd3SoxY
RXxRzsF5rNA6tuGBrsV0afSryi5okSs30v3aGM5b1nbWpSAtrI/mjpTbMsTkRoXOTW4UVxpj6VVI
BvFlahJSsMmXz6lJcmZnlg2TweljY8oHRNcYdIVMgc1wkMlQDO4zUikPJniju07IZmd4VmpHDprE
Y2LAXi/GBHRpFuMelAJ1gotRljP7nvv9c4559b6zlI5SsNWPiY/2SqSyPescM6iUsVteAXtLIlfV
41VTm8nR0ARhMOz0+oNDM/SOlVttazPUtxmV9Vs30RVA8ipKyh4neEq82DnzDonQ0y1DXhd7Nd5G
t7qtYgMOujU3J4GHITLBk21nZWaXBgQ0mIN1c+iHadiCXe1fLJgw2zIgzHf0i996JX7PO+j3C4/H
SzI3kmHjKZ3eOkGH8081wFiq1Ipme1JfBSaS3SDm4SE3PXf33p5vkqDYOzTCt5h04gcsaOraM/3+
oEO8yLPK5A1xebaAFBeukTEWvnD4pMZJ0z3NYNe7NcEqplP+1iHN26MxLN7I4BE7OER8rkHwWxqU
XyR4opNt8Lgn356YOpffgTMJN7OL35qoUvNkUrRvGZ0Tjdxn4nJpjfxzmAcue2dqHFCRGuj+4vIu
70sYWOAe922fd6eBgmQ3kLh5tCFo7f2JysvA0nogXXy8yKqGqWo50VkjY8jYmjTooqltxp3tq/pz
7+qM+Ba67AM0nmFOvaMebXIp3KvF0e2xdqqCbnFo7Rvhfu7M9m4YAkoHHDiRkxM/LU2DzCjjWWCU
2qQpRsasWKgwStPbFWZz7bfyzjdJDlDdYcHwjsuy0Fszre8DItPOtJCSfS0xlKMWtDZeVjOMw+Oh
ljLZx055ZVeGQfw0gLnSG8IjODr6iXZ1h5bwlv5bukfPmm0WGO6RV86IqgexxaJVHhSWl22/4Ipx
kgbjZToQAUfgOZuwb98YPQ1w9nb/sXes7AiNlt6/K75A2EGtOhNhmtEa3TC1dnmQFQDC6YTcaUuE
n7Nqpq1nsPzgZh29aazvPAMad9hDLRzdQURw4YfTVMnwiMsF72i2BOcKxGqZub85sf/x77PU/wsW
y0nml2ep2y91rWYAbXX283nq2wu/a3qcD+QRBwIODzK5gN/96zwVmB9cArkFvgILTRtOhH+dpxzr
A3/kMTj+fgz7vzNV+IEGEKcpEQib+TynsD8J6X4lrLPe43x/7N8E/uqQgD9nOYQKe+uh7sc2SVnZ
aqlaE8SAXxfzdljzlIhU0Pa1FU9NuE6Uhc2RKZPVXvdeF24sJeWJHU2Y+6VDdBelpUkYQKf60t2m
GDONDfrhAQD955an6I1eZbQcjMytk/Hs3RAhhs62MhR0TDEDFPRKKBCGrYSxwzrOnIlnPFUUDe7l
sD4RKfhmSao6ol66GyZ3x7J8jK01S8tBvbOT70pgzr3dA9oR9MHmu1ZYvMuG3xXExbuauHlXFrPd
FFtMQvGWMKVjRhbJF9wIyWe9ipInXvPszk0+cOpDtAznCf2yeNcy05TDgUXECcODVexMF7W8GFcB
dNak/dWoEUWLVR4dm2wtm2YVTQerfDr3k3zkuYaoelrl1QZqEwT/VUit1MZobFchdiC5zASCMvlA
12uuSE1IZat421pl3FbIlXdWaTdst+q2X+Xe/Sr8Bhjb3OarGJzMG3Th1HX1mfNzG+WrbLzQKThL
uol9hHv7qvZFYu5m36NwhFULa7tm7Ii4s78c0KQrN+kfBFGZmChkjGbdQujRMsZByk7Wh/00lYW1
zwc7ODA2z9G8w/O7ojFMVrBtcgBs0Pa67qjucYAF+c7zYvdsG9r8qgyv3jmVuPfH2yos663SDgTP
xLx1hpU4C43AXvvQw8t6GvjIAH+6GVXuRmFF2LEK+sjF6IiCBm6WXU/lmS56fImNvb7DtOhcEbf5
KePosaX/X2xRY8+Q+JL4YR7cjsAktzpqrINmI3oCyPL8HvaxeQPWzN/GSFpOiUdWQm4HO3JXqFAG
s9nGS1OBCR6b+JiDBttjXCu+0j78LOLQ2DcOah88IKW4Z5EnG4VJDcuuIHuuJFdPBK7eFjTht17t
3jWstghUxgURuummCjoPdrB6XhC7EXZCXkUKYHZD8BvvUqVulAwJ48VBZORfp8YzffPk1EJ7u3fL
tr2aaXoS2qQY1hnpvJNiGpnZS3RXY8e6YdnqzeTN1qGdyWMe6jTb5qbD8bwln2eH8JqBh+7dzZhk
ACQPnlPNifgYxOWUAZcUGsyDKxbHG7a5TpM0uNceqR5tNBtkKjxYVuHqBxcWCAnnLrNb8SQc1sLO
dPPswpOmf8dkP04/Tc5SEVIh8hJYW9jQGyZJaOb7j9k1AU7Wp5CzpLkpiRkhCQ9GAyHVojHcZ9J7
6/ykVwnvpqQzwE+DMMSpD5KR3fgwZpmjMSplA+Vdkhi5TXyXOeYvRdFLYgGXsah9/JSuoiprAeVv
R2VN7GxDliQvlciSNdFEwMKDTlmxPAHrmLsJMwBjXpFNK+VCz/CaAUAEwa6r7L5IjnMfOC9DU+v+
s1+EMJxfuEbhQPTZ0DfnrK9tzrt1XPQ2//Di4pSbEPDrTQr7P36si8HDtNzZlhdZveQIjwpm2v39
pP5/Pal9BOu/6nrep83bl/85qfK1fvtJffvthd+f1OIDdDdEtjZPXmtNVP3Xk9oXH3AcQ0blHuU5
ToPzOzrA+sAraIWuMwbH/LH3iZeQkd+76Ha1GP4Xz2hmqT/3PZ2A/9kmGAEYHiG62z9NfTqY/7Ii
zuVoUFRv8jltaEhQxSO3CJlUW+6zrsbxCiAAw/ahfS4Td22VgchtBpCI1ZIW25b2FvVrVcORMZ/c
2CSCjEF+zk6mgy0IdaIkGLlHDtjHPQ18jYbSv26xc2ysSdzmk5avoV1deZqq2dAov9p42zN0QnBU
uTTKhgCbVPZ1MIfsuuI6Rp3fAu+qm25jGkQ0TK6FqdlcLprQvPWEAqsj9St5z9MG294OwgoG9j77
qqCDbys7mXeIGq59ezpo5gdIIOuvYQHSVYz38eSmPAzJk7SKq2Febp2cJNeEv8URF7lR9koV0Wwb
MKUup4ByFJ8b33vuZrXnuFJGkvSrT7jLjgSCMmwl33HXqJWzQFyd6O3nYixffcbIezPR96YsrtYr
0PMUpNFQfs3bVegHhGtvl+CWkTMhO1kRLABMHxNb369N6igAr3SSZfiZCiA8iNQ5IrG6KMj4Pi2r
WtfQigtjmkS2ZGdrFVZNxfTo0V7QrfOc2sU5mcpX2eUYgNxrAoHoMXiO2jn8QNrJvpJGduuUfFaz
3e+7sEWS8b/snVlz3MiZRX8ROhKZWF9rryKruFMSXxAUJWLfgcTy6+eA6vaoNe3u8bv94gjLZJHF
Qua33HuutZj0ejiaXURrKpkayZI3SkYwWwO7gcssRbSN0yWKydAEulacx6GxvJdR/krfCpF4MSN0
nIjr5bUqi/8DsNfboRW3nRz2fTRfmR7ySEOLq8otjbVOo3eFwWFrm/E5Tccrqkb74JXgyJKY37C0
pmeoD/SInZPB3iEslsBcbJ6xl1AsWvN1AyGaoeNzY9UBp/b4mAt7M07FsC6ihtj1Mn4tWMVtyZjE
vD9faRnGHOANqY21+zkexVevVjf+ECMkG4CxkSo024jz6lE/ziCe0UDDLWvUIYQUAxnCA8DVkW7e
E2eAvjPaDtjtAReY6oRs2ydrpmP4K3NA4a14LkLzzWfch1K5YbEQZiemKo910z9aY/aeC0DSwik7
dtTjowpgoaYx4GemtuhGHSNam2bMbGZ5383CYWZrfS7rItmxuMTUabn0l3wdvyfDepBFg3I+I0ya
6Pv4OHJFXCpGWi9gJfy1m0TThhGCvlPooDfZGAbMdhiwTX6nDzVpjoCcbX1sIUocR22Qex5NGXlF
VX5TGNUElDjTpzwiJ00amXrrzPZl0o1zbXqsj/nUlDH4uYZZc7Lx8WBuyGcYXgO3JAWMSX3m7BOr
Lp7TInjOR2bsmxlXZUxmEfrLKLhYRfrCjFOv0zEDXMZ1N6t4U3VTs2VGFZmbxnEYNcWIVU9e2WHC
detLZkS3BWEU28GwnkuD6Q8yNAYnvf06FhNRmYUk5I0E520GMN1z8e5Ws+/sctrnDfOc4BZ6GkH1
BR//OZFvpVlWrO9zvGdarJ1Rmjvl0krzU1AJAVRZ1awwNiMawBtLuP1+lHzoptT97BrOpZf1cAx0
824MzZXlpD+wmf/WxPSr2MDDh0EPSMv2sQv7ECP8tCmHVWr1yUBEnaWJU0Mb06FnHS+xXZ/nwHT+
QSrApfTzrow7g00ZF5rCLIW//KPv++nVKAL7wpmwP5HzWG4Kk9jHTKFjY0T1D6/0q4aDV2JRyMgJ
SQJU5I/b66dXGlx3VAkuyYPs0lc/4DRcjuPEHAABtquWoRu6nt1PF/jtj/70Z0MYHJ9ffzulcM47
arHQ89/8+0+vGarCjzwwENRldrS1W/1IIle2NhRJlgb44eX3xQFw1bScbn//0v9HWPDx+/qoHhYl
homo58+vzYp7mJPJKw5t3pC9xfj2dgqwU3NcXJE5lB6EP74NLfl66aD1KdEEhDc+RnwQHG+RE/Bx
na/6EB0EFK2DjyNlDSNlSxQTUX8c32xTSUkGUlaXyblwGgTG+n7Mw2dhRyzNR+tCFJoBEL309zbc
7S8hM7615XE8/P1v+hcfIQizoEhNxxS2lL+Y7mQW+3kpLaCdkmzJUtwKf0aKz5z/H17nV6nG8o5a
plpKK/xKuJn+/I76g+mN/COfVR+7D63U7cTAbysYTlBM+8kGWcS5C838LtPTrduJ/A4gWoxcNHyv
NefyUqrgpE3xNYxXodFiTBn6R8N3LqrR+8jjuLerOAeNQFRyPcrxc2jLaZ+HskJuNMVXvWja+yId
n8eGax9ItnWCRZqDTuswHhTxexCDlyzSjL/i6JV70t3eg3J+9sJ+N3d0GmOlDuiFDkidycYlN3ix
BV0B1svWsp9v3alWmHz43r5nvDQ2rl/XpMb6+zfyL04YdvDwW02QwBI/2J/fx5mxYW3hQzjMA3Jv
yomRk42dKGCGQR3+/rWWudCf5kb8zWwC7/hrgc2yf5WTNXKKkWVOBQJSfW+18SmHEfAPL/EXJwsi
eWmhKwDZIH+dTcURZuVMCCycvq5gL5Bdh/0aprR8g0A37TvQxqm0Dr4hL0PgkxtfZCcWoZ/Ik/hK
xmaxkrkmnjNL1AF0C5esz+lUTfmZgc/77Axq6wZxeoD4PkMHUoi38RldZ7GzhT/75DFgYdjvhUei
P6Z1hrdgZZqqWzNeqnaykWRp+rXc9yMzKyHjd5ut3qqO07Me01Nqh9OCK6BANWlhbbNaF/Tiay26
+7KQgOXV/MMC/W9vGOsvnlj+Foh7BOewZdnyzx+AQlbdWE55cTAzGgUd5fE6BnO1kshqz6TQdKuY
cguAq3fJbVr6oG2IfTPzmy7hsxyk6LCdot8NwTysOvSCjMjE5yGpFJHn9NSpdi4BvgZS7WyixGXC
KpCTqEJatXGT6VnI4W1uxYpkqgf0VFRVNb9wY4z7NBLPE4UYaXBRtYf/vver4T60nX6VsGuGCcjB
1zqapEzDSjZ5kPl7ac/PftXoHzbVf/sm/cVDwp2x/If5Kd3bL+/RENZu1g26OAzoYClxEIMN/DgW
tIKgCv/hL2Kav2hWlnvY4xbmWMMr6P2fZ7K21MQYqCfJEUbF1nSAEHtBcgq4qXyTvw9GX7a/ZBJh
teeYShIqwDBDdUsBSEqlsyoLn/xYeKZbn3nfKl7WvcXkEf5mXrMYuMl8UK2RT7U/FqXaqKp9y5P5
fswYurrLZczHLFTpK4ktVKkwLZKZsIm+2CRjKdeUq1soBN6u40/60V7O1qg2aDvk2m/SE0ttvqIa
9K4K+o6wvS46jvi+PpqgoCCqeYAZcyr64THuaCQ9Jr/ruabVs+fhselCNNuWj69NP8rUvMVCdFKK
as10+w2atwlxAnjXnP8l0MsHsuqBjVlNu10eo3a0L6U7PDrh0kDYqcHzROxfVlMtAaI4jyxHN6yA
2m3D3KhOCJguuqC+9u3xrSFxZ0DXjFYtPsdgodb+SCmOevNzEmkcZpYDwcM+YD09GTo5zTlhaA0u
GNbI2YmmeJ8H3CxxqPlg8nQ4Q3fOTPslgs51Sk2bFbLeKNlM66UxQh8R74eabTBIwAtIic8SZMM/
3MfOXzze1DrAiwTge0uJX+5JgKhJjU8kP7Tu9AY97b4V3HuaNotA5mSz1F8frXa5QEg6n0rv45kv
om43DWRIAh18KxhobdKuSLY+uGtPN8olZCPE8CS9YuuP/XTIzNagQSPvbBVa8bYusvANr6l/xhsQ
ER7JvcgyCrki98V6dtkUGJwxSTc9a0W5JRpVrREy9OsxBEqXeVTWIY0h92GkIPUmIWW2m/SPHVbG
VSORssP5htObnXXf31s2dr0yc8Zt3KRkTwzzVR4NeFFhUuSmgXiwnN6cliCYBhW8S3cA79u5aC4R
msz+UYELXKr5zv3jfv2vrvAfdIUoo01qiX/vcH8oe8D3f+Vw//1L/5ixeb/ZfCvmbo4wf0gF/zC4
q98UVPyfRYR/aAvt3yTyXdvDeu5YaOL41P+hL2T8xl1n80igM5QLf+I/mLNB8vqlpsHZLmxB0IPH
z2H+mMP91FX0oJyKJonLw4jcbdj6UaqYQhSxv4/gMuzIwLH6NWRB786PFVp4GRfxhel4udFQMEFS
qR4LYhCrT6iOplsQQsWDbp3ghWAJPMyzYuXt4o87VM2iDfd5j67ipT2D01WO62FMnXyDtDFBu4cS
knggGuQLyyv6xcyyFRS+Oqu3tR+HBAJPE1Ueg+WIqDLEiO9tjnoG//dk7VKjtW4iMxlvU8JACJ5i
HrAVtaFOTTAV+QodZ0Hcj4pkdNREtYCJn5yzNBqofZ3ED9znSrFp8tSRU1MUxHrX+ovI+aHgMwXd
d17F1KvGKkAcE1XFMM+raig2LlvyH/blMaB1QerXlSlAwoE5jKBw3eJpyt9j/uAHG5H8LdsR/LLm
HAffZsfmBE5xVX2qZsw164Cf7JOFoOlTMYj03k8FHOwxjm6GPigeq5YQqQ7M2HQFDTG0EW8wZSHC
ns0Iy7XMDIB71iwY5qjy7khsnbY1lwfnlBkE+UqoGESzlYwueYlz9WKGnncbZFQyK85yYW4CUhKK
Dd7HcucSl8V15h7HKq9uSBP2b20CX9BtgqE9tLx/O13W/jX7DVQIUbS4g5A0jJGGJkA2VvmANc+7
M+gj6FJImgcpbR9ykzuJOwY3bJliKEbjdiITxzqOvVvepE2NEntmN7N13MQ8IbIZyHtPe4u7Wdrt
YTbyjt/ZVDtVxPXXgfvrSwPS4BO7XEutfUZfztqGIPfNNHLwj10EEovFhn83Viw6CDTxH7ijwjui
fDFd+CPKwbWt1QsDvBZVdmbY+L8iY3glpB5NVGv611Wl3HDXTyI8kaZUxIfArbv5CG2MZioOeuNa
4mUaMG67OX5XjEZYy1iQdsfIZmu0Coeqvycf1UZ4pEbMj55hqpXJZOipYBN8jn7YfNSH58f7YQBy
PtxA4fhhDTJ+Nwp9uIamDwdRvZiJjA9fUVQtHqP0w2+E72MxH3muRzZn82FKCphkdafuw62UfTiX
ZNXiWULATPJvsZib3CA0HlC7MSJLg7Ob5yhcFjNUhCuK6MDwmoR6nFLJD9uU/GGiIhHULTbuYq6y
lUChMuO/Eov1KlhMWGKxY3WKtO16DofnGLHWxvCj8ozZvN623GHJYukiKoE62E2kSfI6n6Fndqch
HO7FClYsprCyaRDaAsHPK8Aw2MbixUAGwBU9cCdbXGUFP8NhEjFuM93LfjN143hleCI5EoVnbya/
uC9n77pD23dM0CGhGSvH0xCTHO2OccZoOQJ2WzJwNyzjmz1z0kBdJxZq3o8egPcplkSsVp17QTz6
ABMhJINg2MO5s5/NZiHS9X1PLduXN4Mn7k2lWEc3tMJGS90QWqQh6AxlnIcjY4f/aM1+t7gSRdV+
Tyb3ImYZfCFMZ4DxXWcPhUNxm+iyRa0L89TKWn1r9oHaLaFeOPHJIbCc+RLX3rTPLPbbUUSu5mSi
aoW51pKzCiUxbpqywmc4fykDpI74XW/mqjl3QxqsUR8zrYSqsa8D4qISgFdndGjDjdOi2QU+/NXn
tN0Xselt42AKdrg52JcHdrsuTVkf5pJiJtPaIKQqNq9IbIaE4YYvZSzbTWjS+aQublIwzCWFSdl8
GpJ6OIg87J6Y93R8MAZjHzbjO+nU2X7CsrrtGoxo2pTBi0ptIyf+MSJpKLHyBMOlFMfeoVsgMcSy
rwqoHTvfR7q8qtBK76s+tU5ewLxhNAz3rq8iH0w7VxMZUDHyLgtxlHZml5D2GpIrvqU42Xp13CF/
qoNnv7Z5ZO08IH+jj4i/9eqvRZmW9CZjnH6uMGPuzJ5mOoilt8sx1e/LWVdfqiEQnxCuGdtOg3gp
h2K+oPwuAdwPzSFXuXen+Idz64zGDa30s4vRRKxNHxc0cWnOhWWoOa4Q3qXmyR6T8NpPc89nRmbX
2L7j3iXlm6pxVTsomcnSnFZ2h5NaS1NdFHJM5CQRQZJGhTmHwHXiAys3JeE7zHBJItar0fk/d5Vo
EWS3Rb2Je9SpQjVL7kJ5x7BfXFSSFhuvWzKdMj4GFhDFUbbrcVnaSHyrK0364bFBB/xdsUX7jlmX
ORyOfTAFXUCQRIMR7FQwJlHrZKrB+Nqx+VQCmL2PEA5/g6obbiu/9q7rQL4Yfv8ex0X4GVUQ+ZVT
IQhXtJ8KyzawBreQ4VSqEf1iiJynOngKG2vPgPUlcPo3T9b2fi6tDqAIJgMVT58nPfmbLiOywXWb
1zrP0pVW4gg7MkUaIKvvYeBqOCBGuZHYMg9aspJby5k0mtkJzNsMO+c2bYf0rjCdSxF2xTUjvn6b
dxJ9oQzRDq6HqBmqbWvm82VJAtoCovrWJ9EjawhKKeoLpjGQ85TG4ArOYsN2ETUpUW9YRO16KWZq
b93R1a1GbrltVATxq0zTR0M67M+GWrxE0sUsFHvu98Zs7nttvgd0H2SD4vE13C8FOAFEjQA1xlS4
J38K5utK9BgEVP2lDOkF2MWfQFMHnJ1VtQWjlW68UKtDMk75UekKfjICwMQxn+JhSq8zPvPIDAki
MJuWUUPSRetKJPtGZ9Wp7MYHa47aHUnyBZtNkg+iZP7WUX+uO9WXD4zt9TpGREh2Tq4m5imFRqIM
WXAq2nw39mW+agzvLQjlZ0z5wRdR2+oGsBIGU89GO9vxubLfcpmbR2grLNqiuLqqCnZyfS2/u/kA
otL8xtSzjvBeZBXwoHY4eBVapNaqrG1cA0fUnhPtqVjce9OYwk2UDclOUD3eyMINbpugPDX80cus
gWAhLtHUkk3oktaQsMHbTNFIyIeZmBdVJU+AVh22qlG/r4bY7vFdFOV9H5H1nNAKuhrrO+YGAoZG
NMp168ATnJ87iB1LsVmbxU3pduHaGny6vPIdBDZpCzmuD0PcBEN7M5NpTboFZEOyPZIqf2EvStxD
Oz4ObX9bmR0S9eJMtYYd0JmZtHWY8qcJPnugiRqa4BCtsKtEemOr2GZV5Vr2dZF43rWT19CZMSTL
yYUIx5hrvpVNkf6XLfgDQvZPjZ9i+v93jd8jIsjvbfv9+8+6CvXjq37v+TzzN3BmeJ4Z7S/Sid8b
Pl8Q1WArjFeII1nlLMLIPzo+5zf0FAQ1WJLV1dIo/m/HZ/3mQ7jzfRZptqd8RsL/QceHQ/WXjs/D
TUZGoQVaywEy+OvmwZ0aZUSDXRwN8P9mtddUgIneBsZAPDTaX+LIFl/lcN0t1v+8xcRgLjgAqFvu
oc6tmMlLgEuGttW8tAtCgAMq3ToLViAMndZeD43a5qEzfs5RiCH4VrZ69RcogVzwBL1vU9YvyAI3
cL/1RQXEQMHVsbkgNs6CODAX2AFG/h6CkhC0d8iwMT+N7c6mKgXR7KEYTKbys4XBB8hZmx97IJ3A
ZZxd37ruRnSsQnUShzckAXqHYoqzR2T7WA641lCuoUkqP0dmX++lNuZT+0FzCKXjfA0+GA/jB+8h
J//sXDZT95SC1CCCYhb3/dDITZG5d6ii/TPhpvXGy8PwJYtabBfcYnBne41emrM2SESzh6nE2DUm
IZRN8V1ZldiBAMTtHCPlsuPUvylc/xQWKXGyY3prUM7gWIKvjDTB22ZhW676BYXRCEUkTW2JNbow
69pPxvbYt7NxCIyZVimNjBPz7wrrUT2vI4MbqUWOdQa7hFq09gx4HAP7ITPmKJWYDa/DILf3hNjk
O1krm+/azneVlu3ZjQ2uFIgfzgj6Y6Lb3rYDRp3ATdu7OeU8hjCf7Zy+RBVfARCxFpRIz/EFd+tF
5HFLch23bq9JhoNaFTxrLy53UP2db16MAZbtgEzOIeJGBmULxWQcAZp4OdlCMSOFA7dzs6sdeoZJ
oIn1bBsr84JFAYPifyV7dHgPaep28xLHRamO+5vnxrqzGPgRaZRUTyjTkydSUadXgzUfC7XZFmeA
zvrKM5bknVwA8oh9SCRVSOsMDtrbRAvaJVggL2rBvWRwX+CnMb5nwVofPILL78ayNk6wm/WNRIp+
ZdUx1UyFN75Zx3Sc7qE3IHXuGiLqNBHRFuyZecHQUMbtkg8yzTwurOkFVyM/yDX1ArEBxEONPfuQ
bRi2iGKdSfC1Ckul3ADmwjfG0Hw1yjm/NQy2pygQV1Ff1OfGka9lVrvBdQ38KLrCFvLJiRv3Hsjd
PjA80zi2cW8Fcp8RN5a6K+0Phf82WwCxtmEwzTcz84bbtpde/sa2lgrDKhAfeF3/ZOOyg6vbR9RF
hGU9WkHL+LTpAX1khX8aSlfmKz9oQYRUkVOByjLyZFjjtw4PleWmzZPMBislJRlxbheBOHZL94Rz
0muNTW4nUtxwUPK+5xpkd+AkjE62ZRgIkL1EU60FUKBLPbm5+0kwJ6vhFdqTeVeMfh98SwIUHVi6
/RUn3CoyLYPNKUUKn1wbcyUpfyxVAJKl61HDoFiJzk++uiTZGgev0ALPbJkNxoqocuKWdd/g4F4q
Aes8kKDwTPKu/ZqaLP9XpZjMkPioTuhVUcPJKDrX+sawoUv3DA00s62pphMGaO8zRWfM4m8LO+Ul
cVs0kLdGYT6qEFkt04SMfYUYYLRx9vGKXRrgniI5BdBDHhIyxvzZL0gJRyhaOuupryPVXYFXsgUU
YVBtoTu6sO+iwrkZtTPu7IVLJ0SmQe3YvMdrB2LYYzZ48qqB/dp8xC7jNMv9AR2Lcs6Fb9XHNPZ5
7kc72NhYiDpWtcrdA5uM9oWrvX0ZNeltIbPrGX+mu2pMuyS7xY6ugqpyd+XQWRFzOc/lodI4rjZ9
0Zu4FR158qALIf9MlmcVKpEZOvG2gcNj7OCuigc3A13tSPTCazUAmXCMokDj1Zf3nnYZXTtM2+wE
guZKKv8K9zAI9LrBejJaIVtP2gSS1HvCA/N2nt7qqf7KHdVcWBoAAQdVsY4147aVFLV4CGcz2I14
Zp8I82zvLNxrXA5FdsxCt70pO8/YZcYkTroQwdssHRs1g7lpXeRrHJ3BAYKP+Jy6ZrxpSUn+orHW
lasukNUhAUV35c4kY7OJ9FYAlJAZDlNCNa9o5upSXyxSWqjtLDRpArE5qRvYvhKtrG1CDX/Lbj/Z
kmGwb4kaeJrdsjtO8KpBQxQkasLGJUvGZPA1t4ZeD1kZ3cA8ZNPRjNK7AlxWYU9Q9oZxarFisTdC
KrDslTSZRIZg7W+rKSQrDvnj1kp8pM78AjipkfcBb7IijsbZ+qzghXEX2n71Cka3O5vubH5nflLu
7G5W29QMzIPT1uqTMfJ6JAuEmwr03S6JaTSaossuqRjq557n8Exb39yCe/OvkcsQxh5BLKYTg2yi
In1JSxvmE0qqQzbrl9qz4usJN9KngPHMJQhMgKNJ61AJQMnHPkg+ZpkrcWmJOO7WMU/+rZ244x4/
SfOKWgLHhZNuFC3sHTKXMV9Zueccc9quO4DzCPWStPw6QGddVWMuCN8rxRGq+CfWWg4NBV04VGCX
zIZJoSFNG28lTOPzWARia+HNPttxLK6U0QIz5/avN6OhCEehKWbTaHZP8IwB1/VtyLTQgm/n4wpb
tXp0sIKgnVkzQsC9RyIq+/J8kfDASXHMcEGjD96sPB5qMiI2JcqKVxKqqCkAPM4ktCecBE2T+mgY
NbMz90EBoAq58sI8DqPH1pmq+O6jaP3vYuef6nuLIcPf1fdP3Wv0p9L+xxf8Xtr/QIML1Mnij/3L
H+U9oujfBEnFuNoEgcEsVf5V3mNuEhAmzA8h9R+bnAUgIYRi0bNgIv5DxfSHMOQncQq5a0jSWLov
6ySSb38NQC/pJKNy8qazD6p0JhR+qKZplzsQXfLcUkcivxbGZAj6r7UtRuTTxGiBCuZ2qovm0OBm
XjpZ1tyArrYfwN9omuxbgoNbSqgSq0TgoeEbBDlOhzx3rGC4N9wJ/BklvUZM/hQFo59XB5IzkTqG
gyb/SmSBcePnls5PZZMwd6DwMUvvXVUumJXDwHps1MfQxfgRHAOclgmKVK/WD5XmTX4wCuqMbWUB
M96GyUD0J++lpQhWp9wUvCyHXiUcHhPJMw+jZmKzmlsAfCGQXyAbR/valTPBDxgUHoucPIK5K9WB
Xwo5KQrwrwOCkUfY4g1W6TxKqPHsSzfi/Z5p6XdRGfSvvokfkiaDypegLNJdKPvXfqmZrLJgnxkc
nBJmRjapqHOKzR51LZy+K4DmeWEukanjJQpTbRyJRV1InakRTg/GZPazILQ8TRZbZmVLdy/jZRyh
A1F29cEUYWAu51Cq63S8x/4ZN+dqbEu6n1WOdC3Xx/+eCP8fM4ViYfsPHf/42v7pSPjxFb8fCb76
zRYLb9z0iVP8EQnwL34MfT2EcpeuWX54If91JCjnNwvThXTBgCFXRUX6r45f2r/BB7OZHghEbR+2
jP+g4zetJeTgZ+EaKhzbwt4BOoQRw3I8/FkjxYTM0HXJXTjUsvmkDctdUbi/eaPMLjOUpG1kkMU9
Ime7dwfvDJ9Kf3Z0Uj9UpfEAY6499RNqz9pb6p6yN45ToJxgr8skuqURMV571y2JDC5FfbC8AM05
PVvY3haADhXlV5zSLBhMNN3jbDaevCCCF+VTC3SyZ8yfzqXaE7WN0curcFORAgCQeiRO1tddbq2C
gEwjyH6hYKxbQcmtnzIPKioyJkC65okQYYdkRsAu3daNhNXuosyS1amzuHqZgJJTyBhhZJwBDBih
kHlyywlQxBS2tFIzCmoc4VYw4gCU7mQfMefZgh4YuV/ySNNg9BrxDs/hJgLw9ZoUgfctdBI6M6DY
cMe2S8aBxv8AlFAQJ9IQ1NjxI7T7FL3RlSfUvCRL+xTRickMe+gY3O20SBi7zCW62o1XJoc8RNc6
FnGXr7JCdYfEGL3tIDz7y6RtawX0LyIeMn4Isww09dgn55qR5SGRw3NSAnNJAPeszNwnC34I4XHV
eRh9iseYJmHS8dH1xnNpNVcRTJVPbZgXxD63tyofQfQU2mcfHjpv3RgMq6YfvoDDZCFY+0jb1TEc
0+dRE0s/kXl88jzraxiXzVYFaf8wez2pFGxm93T1IHyLcsXEddi3LiZMTxZ7plH3eo6fcby+ExbQ
Xc1tSXeWhhcaPXed992XMm9PuS6LQ9rFFQgOtRnnXK5arGxXVSUIF8KPEYXkF6Uyfa6At2565rzb
NNff8bc7hBHNwe3gA68Bc2DQei/KOlLbU+ape0tbrMdmmnZ8sRutIduEcCsY3eroOuiz5ux1g9xy
r4gjaKJ4V4yzveqNkBkUWLyvkDD0Ptd2/NWL6vE0IkLYVrVt3IfVZEEBCr8HKihvbKN7YFo/PhT5
lO1B1lIIxlV8KNKFux9zSalygesVNkFSpH4cOReiXdNIf0ciKXPqyPD32hm+lzZgUFbX2DE5O1aI
y+JijQjga8kYbK3tIt+C3SNrUuQtjaHKV23RweicDcLghc62WEqhwcvx0bQLsWqy9BkM/JEkdVID
WlRndmd8sidMuCodk1NU42cysL28q95uXvqZYE8TUV5K905tW5Msz/Y7vSYPvb9ynI4nnlDkeqMI
f8eR4yDy1mQ12KvS9US4aRLNNHvCLnGQqejv0UwM7kNmpdUtpVNe4EbAxlLhF9ix4vK2AUNAFpdZ
n1DlUvN30CnDfZyUEoFd2ORQJjpejQ8WXBr0fG99Vqu1CLS+xVhgrrXmYxH6OjNX3jhO3+qKQ3Ub
utZ06rsY/ms3TIO/7/hojUtkkRjXNT9tCmpg6N5NEPIxO/oApcvY99E7iZMA7r3Br1m/iroaLggc
2y9UTAPQ0MgifcjUubiKCj/HpOVVoD0MuRcSx0WdovGaEmcP9pxTYkROWAq2hDbbQKTRM3D9qlZb
0DHZng0JYHFv/jyCa3x242q8ZInxyiP1Sc6xWBVZWm7zmt29UVuXRMh0Q5pSQuRU/C1ovWYTyyp+
zpsEeolT2fEZVZ7GYd7PajObOarDPHiCQpNCUfAVMgYrK0+mDzjMVfpao5q5x3tnPKRW677K3I43
YerXy6yASL0+jHiMqWTkNgAjvmPNK85OMJXbLujY83Zdd8naqMS0Ehe7krxfxpw8tQj4HcDAwKSD
Gsq5UWfR3s00ieRI6uKpPQymiOQqWLAOtTeDdw2c4m5Q05eiR5ZIkei/NbK9c2mLBgz1Sh+U1xGB
sMAjBPFVUumjlZke9C427cxbqg5JukVnbXTGFb7naOctuIpCzID3yzFekVuzlFcm54E3XWJIIjez
IfR5in2C9aaeFJxilKuxTXi0XNlvgVeEe0xaIy2b9NY06/2qMpv9ZISoqlV39ntOLZTYE9Yylp8C
/u+xS2nBnYFsvNAc7nuP4PvUQwRULqwPfjf/UI/j3phqCOJCB+zSR8bajp+/TQs3RBgIrPuFJUKj
jsX5AzCCxLZ9hNHmb5SHZrS2Mn/TdvURjz5MNaN6H2v3KY/dcjsj/N+JtiL2YSJh2LAwF0XFSHg6
Dq2TkdbflnwqFkw9gKksW83DsmeWbnGDDF1AE+IPW4gp2Q0LM2VGeHYwFo5KXRUsVtGCrb2Qgbvh
8Tv3KZnjMk8572rnZV54LAV9PwON7kWWaXplVwE+7qnIVoEaJoTniXnNZ6DdtwvYZUjT997J/N1Y
zS9hxXdNPxAwyWQH56AEzAofkqMfUP9XavRhLTKmC0Eqg3W0UGQGy9Nc7rATHBF+AaDyzo75u9XF
2S6zKRj0aH3Kmz4iIbitnzOPbzU38NIqlu3vDZh9lntYLS0O0ZW7IG0IW0nufFlWR/EBu0mxOA4w
cPo8oDjXPF2cUvqTBzBzbXXqIY4JZ9MhcpNkxEfZO3H2VS6AnXxB7fRW7uwS7U5rQCjFDg1tfo0a
e9h202yttZq+tlEwoXp23NXg8zMM8Mm3gjX5cyvkfJuqtuQNZRTsrCK3H0lDSyt+fN2lyRce+7RD
xlF4j7Vr87VKTA9NHxwJ9B3WaFXDu54w+Fu7C5IvbuI82I4zrAFOXSxZtgfVeyGx9VFS4R0KeKNR
c1lP6JKIZbLZJk6dt7XmwJHMWNxwSeulV5kXkFIMaN9ch6VEbjMWiGr4O68kHdSNNufuILDzH9zR
9l6GtBVfegBOSRV0N7NQBuHUOtKHpOrUjZ07GtlbMhacrFWnAchM2AS1z2rBtvlEiPy+9nz7HutU
K9acmgYlhqzkmnY1e28b5TFTa5OQvymOrIWO3Tj7qjJtHpkC0d2B9pKYZMBVzmYK1QNWz36Nc+aa
Xj753Dq++Epg8CkboE7jYYrCdR2qbxkbK4Q3sXyDOWbkRG4SeryCeToeq2EBfMVpBBpjtKfxTSwo
sOoDCjbQIgYcnmdoBdkeUvotAMWrgKWwu9FcB+MB3W7Cx9nR7rcgdPN1JFv3xu/s+JNdNdbZ7GN7
AzUv29ox4uGqrGbkGzUqsrJT5X2jLFrNibfiMqaS3AARlLDsuqqH1tN4Xb5hdA9ebQGthWaT7AIX
ANsytP4f9s5ru27l2rZfBDeEQnpdOTFTpKgXNCohA4VCKuDrbwft7SNR+0jH99nNDztZXAQWUDVr
zjH62Ep+LzqmnrHPaKiWnICL9JnVLH9mi+s/FqM2H5hoRQcTQvbRdEcq3qjxTk01MCVKsRLlgLfH
4im2U1xtgzHR6Z8TcgVIYwEAYY75VhKjfKIrP6yTUlv5SotKbmAcEkRowqzrZt09m8Hcf3XR0R+C
tgYEkWXdjYgT9aF2XJXz/tVZt3EAQ+SlC/eA6grzg+rKOuP40I7Q61hh15yT+nAzh9LBMlHIadim
Ge/DmTlpydRogfuNUTB7H2OCQQAfBJqdNehFyIuowAMCs0XrJ3Lh0SvOk5fBH6G1QK5/KOaKUB1I
isZVUen0hYFYtWNeWIpNOesCjV9lbrIgi4OVIAQoWLUL49CMdHRHm7Y66JLlFZP6w1hSGyO06T9X
Cy3RSHzcrt0cn9UbT/ENrdiVQ/mINB3/jOnb+3FhMGYLjXEqmY4QDFWspTEXiC6VdHfjQnFE/qrU
xp2RbmZI00l3skjPrGbCKu2sOvS+jm9t6UTTfeBnqr7RMTE7mzDWZuPR/2EMTbFQIooiYQPrr430
7yvlZrqku+V+M4oHePVvyW/9VNO9b4F+JGVIKNGSE1doYay9lvg06JqV2jhtwjqK45AUcLiahy7x
3GdiYnClElNHXAtsFWl9BiYQbUya6PElHZZgdB5hlW3tIB43nk029zonj4HVp1P1ZegM2kUAOO51
Q5pEaTXGfna9ZDN0k3FCTSWPimdy03dOepEZAaiR3fvfS1WLL2a1SORUikBtz7z2sc3DKH2hR9ev
S0KC0BV5i0lunpeI8SD4RixHfPDICidCAI3numFQ9gRpw9ymHqvzFtBNvmuZT7yaFNbnkSHQquB8
XPvS3Nf82NNsN92dlKn8mGhR3o+j5Z5mmY5ruxRy4yYWGA0rKZ1tnONXgXtCddDkLfqdwVorldXX
QjQM9vgdP7RUkVu0ikT8Vla2jdnrKM6BHGpbddu+8I+ou4ZNzcH9vovTcKdy0351hRYHIkHkKspZ
mQpij1Y+JJ59GjvDRtXkiDlp6fH1tsn4uQjhgwIivHF0En41K6hr/CYAB0wbIaA9HRqraCil+viC
wznQK0QDi3zUa3Yy1O62QYSIE3lm5gKvMdmOUUnaTsE2Hmkj/9RS06+WVJGDkUYOgDR2kmr0qgAh
LboXEq8mgGaOs6sjQV879I2bzpmnezkmhx5x8pUGRI5ct3IUFbhRbIspSb5J6YmrKEpTFtomBh1P
hnLesvD3ksDYIinWsyLSSeFnZ9MZpztmc+H1oON8izrXO+Re6m7RpbJgtjWUEtO6DYJyWLVtq+t1
v6AWfXTgVT3h05BolK9zo1GQn5EwWEUkVhksm5e32ZcztoCcyzQpXwzZvgDMZO7KiEy42jJJMRq+
mgQ7HwIAD8eJkDjuH8AVxipdjy8J5MoEDWcFCcnbeHPxSj53sh34togi0R8JrDoncbCZ5uZrlRUf
22xYnjcoPNu+I1aNzDJnCy3LXmFJjU6ABZhJQkddlbHpramZiTA1Kp0VW+Ih130sdHOBa1jxtLT+
3jJzf20rpi1FHOe39B9Mc9ML3QfbQZrDddtRb5P/ZG+apf2jg1Yew6YpSJ2muYva3/w2VhzRMnKP
D2QxEmJrNPZd1vl0BKT60iW6O/llykAzyAlNqftNkkzyiMyVbjDWuxNy6AG1QBKTvtN85rxGKTZV
+IPEnJXHqpdDTgZ3Oz0jJ2xJHRuvHPwBT5RSj6nRNGtfdf458TAjNHqmcKyTYzTOi7CuN9SmGvpP
odVAxpicFakST5XBkpcNQuykR6zU6DrBc6JBEzHpQtJuBgODzsh9nOvcRdee2+dqSi6pUb100m8P
U5s8KM/6ToI69d9EdVTFsnpIavuF8V2Bmq4SX1volTRsMUBLo3zSRA58l7I05l1cBR48Usiga0PL
Hn2mV96TP22SdRVn1qaTQfRpMHs0jnoYYAuE03jfwP9EJBtE6DdpQIw7t8VySfGPQE4UGthg74T3
BIhi9peOy0Q4g//aIxBMOoM3odx6Zq5OCN9W45zGmqNOtOGrkv5VjivsZvCYaK0sgD8re85Ta0WA
TkGuSoDVadubibyGCxMc+Rv+U14F3+3YvhdZzeJBwMsplGZ+mlw2V8sZv0S5RCyTGzlRBd6iQfRh
mbuFPs2pT8COaT0ptqR1YYH/7e2lFygrRGxh7698y0Pa6RJ0FKWQNHE4CpJ3bJYET6thPGR1f/CH
5lMczCcc0UzoUomWMzauohC19VwAswKmeZIW2Gug9P7Wz73iJF3afxAO23VFqQ8xEqNsJJqLioc7
4gC/okPhiY8mF5l/ddcIqIU0ZvxjJUDB+kaX7Dm70ECcS+NmtMVzaon23EWG3IzKw85cOBV5xDLe
pnVpHTSg/41y+/ZIWKpJ56KrGe2RvIIF964nNfiQRWAfGcB8ymNU5nY3OTtEELBpOudz5A7Wwxi4
+cbTKO2xvtfjN7f1hwfWPhCNHrGtPuHJJ9XQjDKtDAWUQQ6eCgz6LKStb5WZ54fQq65EV7TraHYE
LIh0DFGxYxFHYGgm+alhf7TCuSboZ5KvrVXXL4v3vAT6NM9fYFcyM7Gm3HitvVLd+GZhHDI2PAW5
2NekrmTq4ucckdChZclGpzFiShFvnXKaPlNn8WrFsnxN0VLe1KMTXc1d0n8xUu87ZoOJJCzCV08N
bei7WYsIeYY/VmuZmiNKHLe/te1EzNcKJzkJlX5Z7+mClmimOiasQHKJVIfC5yPuT/VG4jJCUwMY
D6QwhjlhRsa1hY8XpBybwSGNhscpdj9QIbgPTRTXu7iZugPvAdYR1aLLDYOnMfBY4ZPKfoiJk1uT
M3cTWG30WmrYJwQCBeDJbERGBYd04zzaFDUXRvLtqumG5EwN0eld7KkawE7q9eRvsf6svI4E7n0c
YaGlSVQQB0QvjJqmBGZWcbihvBtrsnZhwaknJUVzbpogALhb+6G56oEG7ieyANcT68KLV8P9ukZ9
aj4O/ABvEzT9/NxjAF/xGkc0jWhQM+GqpvbK6WV/8Xl6SFyTIyjVpkoBmkpJvBwNnlWn+piKCcrZ
yrI7KGSqWyohVpkXYmr8T8DSAl7tPusOMiDxrzF0Q9EaCNijsVEMwBQc/eD2sqP5ZKKNReVlBnwT
RvhUvFktEvjGmyqOYr2hpzbdTzmW77XDi7adyZEiSq7l4K1ttmhK0FJuBkd+h+1WbRkR3BFCniF/
9cyTxCC1cWU/7slla+50PNjPWUYFvsFHB0tOudZt29REEWHACu5bV7GfspbVtwVQ8WdDpP3JSRr6
MksG6pWajO45l4Z5bZbjtLclTmgOr61zh9bIvw9R/aBMBmB3NozE/kz+Rn7q2mCA6raYcrXd85Yy
VFNQ6twAWGrQJlhT3BZVlz9CA9r06DvalaPwG1/T4e/YT0LlFOA+7MmFSDi6fNNlto06FWeEdLa3
c9yiGGBob28BvulHc/bjU4Yqal0VyfS9kKX1ElkthdrsISig06HwlmNxW8VZ2jz3nlvvRoNdN64F
mxmP1IbDTro14zbbSwOnyYrW6FlF2j8Oo9ltJbKIi7Sgd1LZW+alxmL9ocvIwGOVJU4GT5NYe0pE
LCedcSfzRl5j7Q8OJcj/bTvMcg/vSKwdmfOUGGrsrgJIFB/p3pLNVo/y0aS+u6i6GXd9R/VPO9On
S2OQs5gAeiR5k2wtZhnrWLblVd+FX4zBQitmlUDCE7fbGMDmrkAauGsnAwSQNs6RQL7gFm6UPo6T
O5w8w8eCD8IdtDynjp6KcU2/WZ1aYpmu4Pzml8ALPzNOtbZDBF4lC6bXeCqTtS2IKomCjLaiFZX0
ytT0BN4+2vnKSraS+e/W4EHfJ4Ns14MiVp78TXo2dV5N9ioM5k3iaGvj4eJcdS6GcsOc1UsK6oEA
lGQ+TEpDRfAthNuBX9MHtogV3VSuPRT32oU1OCVsNpm7WEeQ/uUXw282o8v4hh6rRaVRJzsLQ84q
rOdrN5/592Z01zp6uhkJWCERO38KW/ujE7NYI6HaphjYN3RKXsMKEVkYM/AY4RJuyE40NxXIi51t
5eIwihKcZHY/BySbEQ8OORKYA4DA+QacOPqprHmWbZPdwtVEJ2ofKKy6/TCL4ZOhGYPYUIYdE6ap
OVMha4zqezmwUWPeeC3DrLkb++YOf10xrcw6YGu3loNgUhg3yJQnmJ9YKZvKtC/Qfb4Kw++vartS
K8X6v0oZg9HoCcXHbkRdH5f6MkipwYM1z/8dW/+fxtYkSDHo/d8dyk/fFPDR7qfB9T//zL8G1zD+
kIdD1OVL/ieO999Sdd8hE0X4JrBVy1vk6HzSXwBAFy0L+gJmof8WuP9L0oLMxYfAROuFABTLBOb1
H0nVf55ao6NBNRb6/Iao6JcZ+c9T68Aa+pnANNBqAefpMkmCFT56Z/XDPfkbrNIvwBXPAsRDiinP
LMPx94CBqB8azFZxdOizqrJgyYYcYHVUf6q6gRRez3eOxdwsOWVz96cwruX7+nEwD0QR5r1nwi7h
tvnc7J8vMSHEWjt5EB5iEdY561U70tfDOF0im71ng6lfYyQ1Id0l5isIH9Nv2iChkCrHczYFJs/V
1ONJ6Sjr105jNKc+RzHYBtlS4xQRc+1JYWNiSbhCGR/dl14x/gHR8LcX4SMqsBZIAw/SO0SDqYQk
PmVmyDEjftGinnelQa4uBeD0oXFMEjysnIhnowSVZplvsbRwBUlDJ0KyS8PFEm3r25ouDQdBMtHC
kDHbgMj/qAE6MNIZrccy7SE6VDMUNaPE9/b7hwC5xy/fA42NkHydAGjCe+xTSzheP/ljeKAVO24U
gGFOamrCXZd9//0n/YJi4Run3+yg7nAD9xf3BSeBdhlshIfBiU1QXkQTd17QnFTnNHemiz/695+3
PEE/yMLenrDQ9PGV8IgzkFqewB/8/bbVVhWBDnxenKo7VhRktH38p+Sxv7l/+EmE43LoBVrwPlQu
VCwXKKoDiC+k+KFm+C6dMD3kbfD4+8t5Cw18dz2ubREEx4uH+ez9opDF6GxGnsEDYKniOPutvU1C
nplp4oubSmdpwySwpkm1ye8RTgQXWSAZFVjg7xHNA9Zw3eZOTUv2sTfgn5JWirh7ICnlEBcyOtVF
hbGbZ/MDmdQVPLfZFGivsxEnsoj5EC2FDewYxn1re+3z6M3p4fcX6QS/0k9N9ILcTtunpgldtEE/
fmuRHRVwJ5U+jMQk0PKpmSwTznykVZXvaqIxgdrV33WhjEXFjUV68rNDUWb9bmAmuqNFo65lnjLb
htK7abzKfLbsPL12Ma998seyfGZ8t1XWaD9YgA8Rn5LwuVYUX4+2mYe7ZE6rDccg/SGJKwwvcTrt
SWSysiH+xHKWH7zOdW/i3gYmk9YIBxG3IKqLqHeRfR/IeJnWtZuWW4R71r516uBRRW52zAz6BpXV
JOAm4+hLwsaDwyiHNiURaEhSRpvVMPviAjC6QAlHooQcbEpXIfs10eVM4TqLyKGcgKinrqXjAKll
xcHeuEHMPH2dJiJIcc119GA7Z+9Ggso98xKbvBUJgdqfxZ2bOOaj7Nvy2Y+T/Lu0khqlkRlidgoV
Ps3VWC96R/KeP/pkhW/80lZE1IbFMZsyTZJ56N14BRSeLkircOWU6XhDyw7vcLakczft1tBkUidR
/s1ganCF7snYoESKt4avTggn+a09q8GpEy7Myuq6jiT55RrOMlU93SHDr9CPZJflfuJlzOQaUxiA
+Zq8F6t0XtzEG1fwJc1jnJflRURy+mAUeUddWprztdUbqImnIbG3JvsLR93R2QPnDI79LJxXRTzQ
bcZ9YmyNghJkbUvWo9iR6MUTMeDv7BvHea0B++zyxCZ3naZ/uVoquw8cRHuqZqIjiBDGl6nr+DBO
/S5JnDs7KnvCfuVwxJk7rSZDd8FKJfZXpMzlhuaavJtUcZVGbgIIdsB3ERc9HZpcrdB692tlcjS0
M0QSsaALG+r4AW3NFUCATwkkhEPSdeZ9ZM3TNlPeM91bZAtVRbemzdZG5oVPHTnhO0cp5s26H4n7
ysNVPcx6XZpOvOoz0sO7AVmXz6mFJaonLbd8y9yoF2JAHO5pr1YQv4OIdm8y8cvoCEp5LtYwUcgh
VmYz8HAhZ9mwDeVkIQYeRKkxRY0Ue/Zeta1xdnHIXzoDHbtiYviacaoiVrj1A8QG2FhApmXyZmY2
wDLVWs15mixxZFhfHCwnNQ9+zeviGcjW8xWYtTnvtzaBTwyDE2ifXRKtcTVUX9Qg4o9ZZPVfPb+d
PjqDGk8lbYZjPoQdQi4pLso05L7BY7LGmTwce3RnN8ZEx74vJoajK2Z/rXWE8+LPzcZqPBKlzRj3
vTHrD2Iwqx2Gx+Ro5iShIB0RmLzRVIUOnCLLa6pLSuebPgF9Bhe46yWr+hw6g6ebt8bhxqv7aW94
eKua1sx3UTZM34dOjfW1OeFSj+hBr+dhQp1Uo2yRNpyjNGbnsOZosXD0cktH2N5yxerke8SOj2Al
NnZiTmfc6+0zkgdxY/OiXk8pjbNNHnXoE03EFN+sTI0wTEyObVmmviRMyXZenfpPCSf3S4Vp8dEw
qS8YniQ3eT5SnQyUfHU9moiWw4zfrsC1uOotk2LG9PL7IhbNxyxz8k1uzuMGeo2+NVwJgiG3nOMo
mpzOWNg/1V0L8ILOwdfZSMxDkZEQnikuspGUX15RR6cZ4eNhmhx57SRzdPJbEFrT6EB+8Rzag1m9
2DvUwJWTc3eDwmvcuL1DDHg321uBmeVm9iX9ckZf/Bk7LNrnmPbhulcOv0neh+Z+GDouycB2AIHD
n+M12gF364SJe2OxMDBvgo0gO3tm/OsV69DvoxO1iruWkRci5SrUafB4Xi2HTgU18PCUkim8dWq7
OWVkgxB05gqbCUPZ7Ml7c88M8oz7iQ9INgbDdGz6zBY37pS4n8gopgcNKLS7N33yWiPEbPfKhOGh
/MT6iLbxDNIt29P/rfdtZnP+p150zq42iXliUbBU71yTnkPvEe0dgcvA5IciS3a1EyXbusLQyLkW
QWWXQtQe3S0CTGzgVYj9P4mHvZLDlOy5/X7+RYmgSS6qLZuBp5muOsodkqm6Upkb5cA8uIRMgCUr
69QiiQxskVyj4dLl/F+d9f/NWe0Cs/qhEvolqvMpVTH4qNefT6xvf+ivEytgLOHxcxA0vyXLUM7+
D00L9TUgqxA0FpW1wzHkL3N1+A8OpGifTdPxPKpH9M9/mTC8f/DTKMCoJwPbxuL7n5xYfesXczUf
T7ucH8lvgXp7Kcd/KLeDgcT6mmwJzqxooGB+1wE7W+jy2k3NJYW+idno01QF7mJ3ipMPrHVQBEyn
PhNC3V87tUcAh0JC5/qRFW0V+NjbZMK0obyqeKyriQKFY/mxibrHiF148RQ1ryaNO5VumIbHH1pl
VE92h7FDliP7zADj6qsbVfUZyUt4EZN2XyuTzEx6tQwVHUnVt1pOD0+dVxvfcu3rD2x4pf6GIz30
s1PaivGaBvZWQV0MYp2dzSyXwd4bYFIBFQQLTwu5h9HbYe5gla6NR0O4WGcxgw1biYJi5VO4op9Y
cNu+7ehrS2nULnkSfCryAsNiywmW21Lb9gFGbEzKqMVUM/cWCwnH820UjERaWo2JGrzNP4tyrs5s
GMR2BLPYuErkH1UGbNK1IkGZx5JYoD97su1sWtywmDhFuzD2ZClvEWCa/v6NM4P5xHhh2WYLB8H7
ITHbBO82qWGrZh4a/0m2sJBo5mvSuWcFVotcjojE9ShcWLxUk51908BFa3YGuLZHhcHttceuwqCg
GOWLiAW8BvKQHjUDE+4yi13MLCC0HsOcVs1qsjnaxmnHZlrIRQTTOQWnEVV3WOthCS36pZaRhCMr
Bn4Bp0f60wnKMfLSmirfjYgLz5YqyOp7+9uC6BHCeJiBeit4l/z/pqTkz7gOwO+LrDh72+EMosvt
GLZmIqBx6vYegKRBcCAqEpyTm1i74RPyRQLjQUuGTxSUeOZVsFCnFlftI/5xLqPsB/iPft2DSupC
5+gQO/sqoaa1e9GBMVkp3c7nEI0N11laHBJiCwdSJmYuyF9uCvohcsW7fC6SE+pCfoERp2XMTAuA
5bocIvlCvCXUuDgaiMFzIRdkm4DwZbGhD+vZ19FQjNGu7Uh2OHZyIGU5RlP0FYoWdlBoP2h4oa+k
3PGG8O0CAVKzJtdsaIcV5CP+A9MPfrz2losP6C3MK+KquYNq1PybuaH5IzxaGZpqe2B8QQeIXqqx
FobkIiL4WbdBOniXt0/0/J6I7MHw2IoLjParZuDMtc7GOHoaESwEa0e4mAbEaA/znkJVvJrU4cEa
x2h99kwlXxqbOm2FeFYdcAS74i7OMGPlTkPOLzH1UD9B4jjOurFB/K9ip+CyJiq/S4IO6pm++WQ8
vf2WAeam+FBMAu04TAp+WVd6PGUGNtXrUBUoO4u8xULaeiPfM0r6Zn4AEUUTqi6Wr9RGb8s9yRYB
WjeFS+RjC+FI1fxzOC1B3vT8WyjLNYfvvCYziRBMmhn+WLBC+Rm516I0rWmXNrL4jgqHJzLzjOWZ
shYVWewaQbmvURnWZ98qdb9OZK7X2s+7cdOFlCeQksZ7fJP6dsgm+QLUvkdQU/fAwoqkKq1VKEJ5
6QJOJNINYCTZRoPOwybPoC/Bh60nBSLbM/3onIVT+MSXibLIodi6J1agm1eFauULU7KWQUFm64eB
p3ifoczagfYhMnGIXWr3rv2SGZATGdXzWhRhoR8CD52gbysebFuNiovhBlw8+gRcHdpYB0+JC+ur
G1XhbNywYkDNLUNZoTnqo4IO/S+NzGiJWVUdOFucdOC97BYkXhxn4gjdjvs7ETHwpHyfFaTHV8wH
luMNmiOxJSDY5jTZAW+G5c+4q6QFd3T0kuhbBEmyhroewzaS1X0x1MighrzI6pXPce4DIwh/B+x/
+ib80jlFxI8csiGwvhau/8b21v6OkOXs0jAG/+Y0enzsXXc6yhLfwURLcV2nxgcyR9QTZ/t2A3WI
WXgRBhSyFvJBWxvFxeIwy7/T1c4MoPlVsTl/S6cYpp5DkvKZoCh/CYL38U+ADXdeCIZl+D5SOCII
9S0OqgSQ4HFzNy7Z9Ys5v6PwS6PZv7hxc608VX4DGZvAcwo4soJYaoBRdTq4pgl1b5WGrclmshxg
jMHQWpeCqUxzx+kX9KOJGWDAPY9Mfdjg/5FXpAbgLDH66LYaFKvJ5OPcMGR/zzyNmcxIREMXtrgS
kLs7F5kz8fgQSad+GpNCPUA5uE3cobmflqD7MW4tTqmW/1D5TFIIXu2CmwZiFKlrBaeaODE/xvao
zyIKHufY9p77ltiqmoha3PNjVYe8H7KQB7SLy4sPGE6G2Bmlfdu24Ig89HzuFnmTeRnrGYlR1HTm
HVr8GuWYb26LTFmwex2lkSp1AC6K0UTFSDjV+CnCE12sUbK5QJNKxOEHgsCLfm1YothSZNfrQJvd
o41d6iW1kVawFTokhmWCUSvHyePgOTzVI2AuzfZ+Jla6v+5s89MyA7+SdKeZPY9aeuRvR90FrFG2
GWhKPkwArs+Tzqy73PK67wPRxJ+mMK6bVyzyxXCXeiqKOUfM+TEuckQDjfpoT3N0lyQWJh640Fgl
LAZIHXlxBYF0AAPUqW8d40apDjyJTXQOcuDyG5RrfWkWzFvkTuiV0m54gTkSbeIy8W5DGbo39AYI
QM2rBNiWiVXpGi5EfmVGmKk2hKAZdwLP+sYX/bjldsHMEJ4+MdSsPtGBxqZTyw9RL81Tbqqnji1x
i/zIXWArL5YdH7Mxay/G5IqP48g0j3duUqg5Wgu+TpKc25gjnEPz4ar3FVARWj65bwNpN8H8rfxa
anEZk05whQHnu0Q4xSaWuM7Z/IxrT/ComGlyKceA6InCeo4YKq/iwmPCbXNIp4W0aEwYTlr4Z1kL
gb0kmmNd7IRonjnHAvRnDAySX8CqXCEJde6CWHi3AcLbh1oJpKEKJhfXk5AaN+ud4XdE0ypUUyiP
P3hmwzxTMY+0HC3XKBPcXdiV5QOGHdDzGeXHzq7gJmi7yGB8LW4s5sUwDVBYJbcEyjg7ksumR1Op
4Ty1jvlMvhkLFKitK1ag4ZDqNm03XRneOZ057GXVJ/yjLeQZ9lxzn7hgYtYgx8YtyWQwD5Kxtk69
yPo7pPkc5CLvCH6CrOKcDq7ZFtDE3bJ/SvqEhklJN8S1SFKP9RB/GPAOIFrQSNGb1jl5stQHbSIv
F2ESwLfx+B46lY1gPEpiIFDU9iRTTHni8iaUHeFy2m12yBHYHQto5CvE28Ve4lF4Qj8JTlpq9QBx
z9+1uokyGiwWQLOsTTdEy4IpwShhamXdJ7hg2hXRj+RCYkk8kx8kaNAkU3/WSqAEsG0NApL1FDwn
McZrn/Xma9b03ndanSPpRp47H5KwK75I328OoQqjbbGUVkDrFDC3id4R0op6TYfYg0zbSLSSA7aO
PuivRmnZm2gqSE0eGshFvm+f86wcruc2kM4H9jdyKCpyVIY16Y3lbdalzrrNXWBppY69e1SmRMC6
RrjYFDLKgmoUn3PLNuMdgiXUaYNJLQgGIb+J2WTjodAXJFvtFm9eqPFjBIzCKQOubIL+WHknJ/6I
dhAd9ezQvI1E+BKT0Hk/RyPp4Xgad03eTxe3dd3rpkoaRaOsMTYYiJCF1EV31lYz7YMq1beW27WP
yViii2nOMpj1pgnt5qZs6/aLx2q5H7pGnazBjfYqDp4o1MYdLZnN4CtxR8sKr4w75DlplkSRFOgQ
ZsKW0nAmjXcUCj0qswJULaXtzfe9Y8rPOi8L8oxDu8CnijV15YDTARgEWCfHsYjdZ+HtGCHkHYP2
PhAembr9Z0brNKSnCkKP+ievpzRY3I6R9vZAYPz7GrCPfEP8VG+4H6cyX7sxlFfapZAjVqrpj/mI
moZEoCnfIuVKUL6ATTef05K/UyPJl1V0W6MG2LmYyhXMTJT5z3OCpVA4Koj929iWzS2737Er2UHH
P8w03s+9yHBb4GWWw6jVEuL9kDDGozTZMXWtr5Q4jg4nUTdN7Md58tuvobL+ONF7P5IKTeFYgWsz
OzZhsbjvBl+Q8ybgAm19qGA1XfBTypeWhfk1NzqAO3bdfyHDVYjreAh656iYp0bTuiU9vbzCNlGw
8vFib+l1CnVTqsG6Lg1vlidlwywZki7cDnlNASjmKqJsKz0kh7HphBzoRTc/2J4RkQKlc3VI+54y
E/X6a+0OY/cAVRj379xZYJ/XlYdf+9PMeQLwX6A5sMWR61Drx5xFyIln8Ok78mUspvYrj0z1PZiH
6sEhoJrs92bRJzPMlGCqhdaXmLORsaydJgcsmn13M+Gi7S7MODjsg7hWkHJLLkfU0vL2KrEAzrdW
UL+8nYVLr7Guf2jf/M1s/f3wkcGj6wk6NfhZTZoz7ybDORUy0wbUkS5dX06aKdZpGqsFx7Xff9Dy
g36cCr59EMnAlAHo1Oz3T1egOME1BR+EQJyvWAZYQxjJ8P3w7onXNg04W8e15hACcedPY/xfP52B
bgBVD8M+WruF3fdj00fCcvARk2JAyqT96I1kQqRNOlE/FupQa4NP9TqfQ4Axlhzbfn/p1vu0jRD5
gLBNsq8s3wGE8+4mj5lrRHWk6kNr4U1YDWMMyMrPG/uxylqOzYgfuPhBTKTfYbljwKKqfvGrxH6B
7kBb/xzR/hcs8yewDGJavpv/XY/z/AohHZpsXf3c4Hz7Y/9qcBJH/Q8WSZem/RI2tCho/mpwWrb4
x9JY5Bm3Wez+UuOEUGRsIZb1lVeNSO1/9zaFS/IAp5yQ0yr6GQIN/pPe5s/rKRMAHm+iu+HLwJCw
ec1+fsjnem7IDu4x+A4FFGD21/5OEczirUBXt59+uDF/s3D8/Ea9fRhZNUuwWig8Lvfd4h27ekm5
7sRdYnD0r0RtP07dED4R3bK8TMuSBwxCvIZDpg7/Hx9NDoIZBB5Za+9f5tTILd3h97kDOMlHhzDi
t8M0Qnui/LMeHeSHoAlMRcutjWZ6JL//+J/3yeXKfVvQoiZCB2M28++fb7PtpHHFEMq5K0qD5lFg
UKOsza5n60nr5eP00u75/WfaPy8h//pQHhWBP9BjFXl3uytZRX0sQ/vOtSuWDdhrRxumQrND7RU+
yQ4VhUgdPry3eraSpOu7rx690X1heNyHhvnaXtK104cWCnW0nWcWXS+wWfLQvpvWeZARVrt0XjDm
LcxJ5OUwLpw/aF0WVcT/7AL/vIy3xjvjAbCO4l0WWDAGTq/9xL6jY8mz0hOspoulJxe0rHIkdtZn
nTOe+/3dW+Apv3wqCVQMEHgx+OvP3xiNRD/TrrLuMmuwHvFLgT7zq+S7mWlkz9as710hrWsc1bSF
p4Qu9O8//9cX06fQwZkC65Dn5v27MoRhlUMIsu48w9P36fLCYLzQt/Hwx/383V7zdocdi82WhgUf
+EtqXTT5XWWavXUnkG3dMyanBz2k0DRwezvtV50L8TqY3vJ2mnSZpT/yshgQ3G4JgTD+8HX/3YU7
0HKJmfJduAXvnlpbGHXYmBEDdmaFzVr4ZFlc0L6bwyqt8j9JnP7uJVkEj7yX/M+nsPz5e7ZkZqaG
M9h3qkWzjX2IPvFb57b3zfoMioHG3UCPtGlSnvKwmCkZB2QMsJyJZ8BCN9dnwxv0fUx/N97i56Pt
zsB+a3XMapJkYGpaTRlvGTJ0qKEhOdrF7vfPylvg5ruH1bf5/hBrucC334RHP8yn/h9757Uet7F2
6VuZG4Af5HDaiWQ3cxKpEzyUKCGnKqTC1c9bkD2/xe2RxnO8T7TtbZHoBgoVvm+td+VlEg8hGJe7
GDptd1jYjZ+v42buq/ZVCIIZy5DOBaluESIcMmiTDJT1VqqoOydFju1DVrhoc5ZpwQ1lxaZ8D4U5
3//6c/7DLKg5Suyn2DdyTPnwJhuo8kcfbMOdR8AfZXpdILdaCuSWGVuPHcLH3+xU9Qr601vsU+vR
wWVIYT1gTR+vWPWJnZuFkncTlb0T7RHvLcYEyR8Ope3BdOZb4fgUvOMsZmdP+Dqc9AngwkM2aN6n
U6v+3WmQBhDcnp2ZBi9B5tD+cfWYWG+RZNXwN4Aao0s5BhTTUQpeGgbxJzZC9euFEInfRLH92GH/
/XmzWHPooCVpuTbCxo/9yCUsooCtaHLX8FNbJFKL2OWBkd9AjMUxU+POn7Z5MOLEtj3a91A0qzg9
RCnthw05hI65VVQgt3Zuw6mo+uAwLonRnyOxGyxKlQn+O6CrFJeAHFECMdPJeMIel/Q7M2gaQUEU
IcCWrillHNM2eTNyOQ17lgC/BdFPJ8AN2/pugF96CmWVX6IFaa7HnFowVCRBQh05vMaLpYLixmpU
+dUspLWDI4Rfgxrh0vL5xvRdkZDlH3uV1rusZ/0+0nOtHNQEeXvbmSn8VTyw5JC6jTR3XpCG6MyC
wGifh7rMp50TB8FDRHQfYo08KXzKaRRDMIQkAtW+H1HEQ4USfiESDHdhXcm+OF+gUEKdGgZXXNid
yjivczq5tJOB7XY7xkcTZR/JKiOdzICSvbgzJrhihC72tQdkwQZyXaVJ294GSVViQY3cNN6FOcC+
JB1YdgvGSECVJNn4DeSqjkiwZM/WINoHVk+biL6m9wauhm1CHTLbsAXU7d6WVUBmih/jaF2mu9hB
C0xwLE3NmfpccIljsxhYmS38Fy2N6QFtxhE1aq6uUBV2l8jXQuuQqKZKMVBlc3iBei29HgnR/oog
zqffgRKHQmQudsSjJ+RZuOIgCEYGQshZ1TSXF0uG2dHGjL8jRx7XTd80HP9oDQaRHR9wZDSfoXZ6
L+BhPXIu2vSdgTJ/S4Y4123jpN6ZA48HFV1fU5xpPXLQgnHLwFrVXKTwzeBj4HhuCFZ+dzs8sTPA
vvbR8MKsOI11SDflWNckBT4GY9yYEQOA6PJgVwVVSCRSr1ykl0QFelFs878WOiuy9Ao3M0i0JplI
kUsVFlbUvhgphW8+bpHjfqDTUIUHw9Sbn8Wb72FhcKdrEq1IY0cay2xvuG9dONHdgcZBokWVxOXT
bEiemIrp62Knows2BpFumenuWaYYlZs0tFhM3Ro1+hatePsawZEGNogkqtxQXjW2pinC3RRNDK86
oXMP1JUpO3PhfgQ0L7eL8t23mI7JJslM9qt9Se8M9R/B0vESPVNGlO+Sig+ZH3R8DZd5KHArWI+C
gGyKlymtyKpy+PUEevDhOHE0J7Z18fPgk9xbqKo5FXVhP3ak8vKXmpK6Sj8yPzOdUcws3ahKdpbV
8/8kxLBIgMZsfH50ElHg0FsMPW6OsFmpN33p8DcoQuTX+MOYYjhXh5dJV0WXUdDM97bns6j/EFvp
OZI9XHgZo687rc3FuAnlexfpW7n2pKUc+Mf109LaoH2GaAhNOdtOmwChTN12616kKLHF3tCko8Ga
UNQZqMOQo8fOUOlWPECTaL+KBoaM44ZT5jbhZojT037W+mK9e1Q2995CckpAC+9vjtJolO8g42b6
ivwTunGKM7SwXeRzo/eGMDraw+6U723JattFSfeaFxW73zmT6n7dKCxFV6sjbm7/zZ7Z3+ey5NF2
fBiov/k7bQBaYxmK6AsQ5DjdUl5pv4kB5YL3ai4ZRjw7Su5s3puOhUdS65Exn8jMTTbhDVFdSCOK
9hXeGau5KtCE7GM7YpcuFzrgdAnB13RS8Mnh0rGDQg+naKUYghLTusHBvUxDaqG9/uPw4+g1WeUR
4k5SYl3wOJCGclzQ+IOvJk/Rk6489y0NkGSfsezwAVFUUtUKjXrKyVOx4i9EvXHxen2FLPTBdM9B
b7INYuXpd2K6C91JvpeR5Bm1ccjmjn+NoLeJPdkxzG2NPqoQL4ZyUCEoYBpwLnye9HUtneCCr9Oc
wMj495BggBcZacmnpYsnzmkrWtfQ5tiXgyW8NkG/wCJyB34z/J751qXzPVy1U2KkeOTIoifGtGbU
osqmYUvBiw8TewzgHgoCf1ph9DyPWfCYFyiX931nZmew7xkja0UqrSbu6YxLkCOAngRIVZ7vVVZz
V0qI3Je+ourXkT19an19+WpCLrCqCsreal9zzLwnOmbinO1+d97FDk+VzKVwBw1N34eJLWhUZ/Gz
kar5dlaJ/wYkhveVQGmiGjLgcLvE440XQvJJ1pFInpkF6CJjCvAs9uj7H0ISN+kSeRvNsT1dhI1+
QHlH0v3BbuLuvBKUPzPwLjhOOY5KAnV6NkV2qHP4bPDpD8qk0unkOfIOOvwEv+UcQ1zCtJAKUXYm
e0HH6DHPR4iUs0gLKlpe9I7O4e36DVmJ2CNL+IroYNBHrgfeZTLa14Xq8uOIIP0xY+o2NxNH2kfU
ytYj7loeS693aUuoRU8/JBV62VSLyYhqSwOFSriqOLyWHE8bRXU+2CiTh4GTjL5riAXnCEGvVS47
pPG89D7foshi962FQOJsa62fokHJa7Uo8IKBszgHmEsoEjyZMB1lBS+XTSx5u0ml8EATMOQB6kOr
vU+z2Hf200iDRmUeah6P9E/vfhYTVmd6JkhjDGF6b38qVjKEN/VM/ZcOrXtREADW7AnzmEpIiT4/
jT/A7h7QqE7s2GN04NtFjyuCzfTcN9u5cdYkFpM8W5FEH8lxjhMMUTEmFn0DfsxF+uA+5jbzgp5Y
RRKw4qxjF5cvy9rct+J8DjL1BadRfLeOTxeOwhnxbYBq684troIhZIiE5oDgwyvGY5oosNo/BgS8
nPB7G4Ad2VJCF+dGXkdgPsDro1q1HtdR4c+FLnUTiUV/E2OP1dXWde7pakMhjazZ0kSyanyZq5pp
IRA36GyKEIQ6o+/J9Bf6UVbFHl5uhTvx3xQbIbHj7GldWy5fgSFnPSKbb6adVSa8WUHcscKgRINO
0jJohrxhtncy6wZLxnLHSZ1BbRoWAixEHOJ8nQHdoqecSqgaNxtSgF6+Ad2TJgLPhmIQCxCEzMRR
0xYXJZNCk4gxPnQGvdV9jUuLvO2BhNa90ymuCz1yvq+Uy5Gg5aj2HM1oVBIPrydujhGH72S7vbGD
TDzDbGEvtDyMVpjN5/0w1umNpeM9Lmqm0WthjnwKL+y1/inDorszrXgRj703sAlJjCJ6NnXsQE2k
A983iKZbF0jDwxDO1Y3teF9TIza2BdSEc6/sANMJZvapSPLvCTyyTYDGZOPA2Sy2Y+PwAs9o6iDB
syKpDORFT8kzYoei/OciV9znrOWBNh4E1zNjyJ2DWYfExCUdWVHpOFcXWdvmV44rLWvLqlldcLKf
z7VahRSktq3hwOFtieaS/YJvz0yGbDLjjZA2hLJ5lr157PTkf4QxRCES3TF7qsFtOMGUIP6NxqYK
Q5VtIDsSYc1Dkts8HlG1/NlFFjfJ8Zb5lgrgBNCPxDYMCsxL3cgep9Jbui4N5/siIXkLIbixHTQZ
ez0oF3QYTpMT8apGaUcrwxR8PFQpFJtAyE07hDx80nldTOKUeXshr7H41rDHZHVBfrBH9ONcoJOJ
n2MisRNoHnqyM5O6PZY4PZjyeua0xp9RLVFPo12GWvAyixJ6Zm1kXa/aPMvo5bu9wI2FaEXzieHk
HGrfZv2EVcBorRJmqwWm2ePIlbfrvBnlBZMjsllnvwK/kQ8wqbdxFF5WAowTonzKV9Pstq8FQLlN
0zPvCQRp133J4MlioC5G4x18Tb4ligF21ZazXXpu44D+5o6+KYH/Dbxxvc5Y8QrSQY0fO4yOjC+t
iqvAjLgXQYD88oID29zrUGcapABFzxDPD4fStWEu4vbER1Ms1iNcUUp2XsSsRJ2HWxLkBssG9DpO
Emu/yqfL95hSsQZVh1ivBc1zLZaExejHltkjetWn7wwFE/r/AcNMEO591dsHrpw+km4yP82pv1ym
wFeekDgUO8kbwuzMaWc5oKzUCBO/Apmk3Na4FQbQBgAcUR3uHeHM5zZCtq9D63jveTQs38DtjGBu
Z8l2e6IXzL7KpnIhzUuLTdlZSXHlRUOaBc6XGHxE19U5mZMNxgkPAdd1FrThLsn97FPV9smDzx5/
3g4VKSuF9MwzQlTVdeS08VNqIGlvOsVvgvKaSXbKdZTcLrXBiZUG22Rp9B0wTxGN/utanflvh+d3
HR4aC3QqftHh+Sb7//WPKvYfP/mXij3AJu37PvV9jNSOq6Xqf6nYbZLDIIXT9Vh7LTZ1qr86PSYo
cdPCyxng2KY5Qb3zLxV78Aema1+7Iml72xQk/k2nxw9/LoYhrXd8sgpcjwgz8LO07H8udSbKRcWZ
J+mFrILh1IQ1W5nabuXJUcDxSI1h4wueyLqnX462NyHfAtD0rtQClyIVYB/jeAgOoo/EA7UEgEdO
ybaRDCfQqgAlnFUzg+itOwyrkmbWohraKYE4DPkQaz2Ji+6GQLTS27iFB7c5wgDkaYlOF3OwDwuY
3ELBZE2qMHkiKzDiFOOJeBv5+Us0Tc/Wqv0htkg9Lf1IqZYe+iEbDXPXa7VQonVDtOqQEM1aTcSC
jrBoMeLu3iMeCUH0Qt6sgDh+BgT9LovbXO7SOZ/OBUq5q2VSNTBK9EuLVjLlWtOED885IDpNbwn1
8QmDXPQ3R2or93RTsl2m1VF+4KF3SidVPSQp2EvE8C0iGP5zYKKtYn16IoIUkGyI7ip0Fe5npDlG
Zza7BLVZsoGj2j8UqEdv4aU6d/Eq5GpWUVejBs1IDI1lR0pStAmDkbAvpvWNj9IPTB+30JGI2NyG
pBHbIAklnh2AM0V7TlmSagD6MmtIb2AxEVNiK9Mtd8GIe9L1JlBwZbK4mNvY1dA99vtN6C89aZD9
ObFS/ZMrMVxRL1qsvTHaAvabQgAnZO3xPLzhcgnt8x6ZHBm+3m7QyjlcW89xTQ5PNIknVSiXlGiz
/iwAEB6tFDFQpcIUg6uCI9J7uzJPknvp1g55S0FTXoV51V2Xq5AvKqs02LRV42NKlT4gVSPWHMbx
NRaxfae6Jt97iT9fqqX91q9ywVot/j7uMuZMNHvHmXVF5L6zdUKUhliGqWdYCAeHGh2F5fQvJLFB
q+uD4iJd5YrTKl2cVxkjQXHyszl1pJzmI42YqvVOGlXwUPgumeNePaBXkp2/7ceKWza1lbhCO/6Z
1Xa4NlobsvFkfnPr6nMwTeT4QpfsLkatuyy1ApOgCUvuKqHCVywjw+Ni6JTKMS6Rp2AUhtqsxZzm
KuyM/aYuSbmZps+I+RtzZymOZntpdBKXq1aHEv9l772AyDWOn6N5N2odaaEVpW1HJXk7WwrAJYLT
ybNeFxm9mmLA/EjZUQRgfcBQZVRrXByJ4gyAG4pELWPFfPmYxO03k+MBqcha7Cq07NUjLTi8AYZP
0QqR8DZPffs8Yc655zfgCwErSYhgdgr9aLqYiehh3wwYnUUvkZN9JVfhbRjPIsHk1r5WqzBXaI2u
MOUh16rdUet3hVbyqlXTq9W9AzJfVHTpRbFKf+2FiLPzIbaqCNWbyk+IEHNC2iW+is1sNt6V9Jx4
Hzhg5jjxWvuu7WHRBFC/rNYPP7miUt6mX061GRjnSS/TsyJkeQeXaxy8mO1tZKrpULs5pa+5LF5m
HBe7Ku+mU5gFVPWA+usWKJsdsImbQuTeHUVpOKo+UDh/IiA9HHGa5l2Fy66A/tKgGjobXZltR6tK
rqaR0PjtkC8L3Q/Tu/BwWFyh1jWeJ2JQh/I0YNXcVaVsKRYmDRtlw6kOeXvy1fxCUpm/a9hAX8xk
6O49/tap9MzmyiqdjnaTa8yCEOzOpjRO2HZwUVDvY6YS3Z0D6egRkgHhYj47k9QDYbpV7aLIlwN2
u43KoiAsIILQNAfTCRMWfAYx4uoJc3b7QzpvaHyKA9W8FcJ/XS6J+k4VBSQWBfhD6iVuCcOyHTDk
yK8AxMn3DogQ3qR+be0avKAXIH1KSlixuMzK4TMLC4FffTme10s38ZaCiFzgZU0TVvIq67/aNavN
PnADeelWcXQYE+shoTVy7hiA26mMtltRh/lZGZA2jQrvXMJi3FgssPuaXAhioozxnEBV88JUmCzj
qEgv/Mmd97oBfPJ7fKKs2OFBtpBvhsCKTnMdZBTqyvtYJ7kGMgnO2KwDXQV1/32g9qRZxSFa95a5
d7LGkrK53VHuIV0YpAnIb1OH7VnN1mhmW6P8XXWVtgnbQdJnt0XZAvxbimjn2Zl1hBkRH6ahO8Gf
7fbQl+U74nFCDap2oj1Q4olwMDwvg5teiCX6EiLQvUg8QbU0GfZDMX0hD2jYm1TM9vAqnxpLpBeh
kMk5oTnODjDa9QgsAXc9adOVDUR1GL07SFjVQRiSNOT8fjClcTel+e3MfT3GMwGNwiyvoRwvh9kv
CLqFHufhpx2lf/AWJJVuQQAoasqh54g+qye3oB43DdzX+27IEv9IYZGCm5Jm0uyxKFliY2czQFVq
OiqBADc1ytwDF13MfRpHHIbh+0XGyyTBl+8yXBKLZnZp10ZRB8tmLqyyJGEUlZ06h4//4AXCz3fL
uLCVkQTf0c6g3AWkAGeHnVNpIwkMV4ECze5tzGHpbuzGNtJdm4vlkwM//FPVmPMxAE1FYHEtzzpl
EFM4VsFMshgsNNo9xcTUX9bcAwSC5wozPn0uZsywMPw3BUmYs8WQH7EgDM7Gg5B5DyE5O1Y6yMFx
MK9yND8oULnvnT0YZxJy0q1UYXeYws7C2g7Qa1PVTK8FNS/i/RTSBtLNkmdXxeRm5Jr61lI0wYnj
AMkTizvuzAX60oRrZtqwumGwbaC1nEQ7wHLtbdGS+2KrAQM0K5d58CRr2yZUKYmUMgBmuhQctJW0
iGZdQjkO8CKRJZdpYcCi6Hw2fjFcS1oFbnRjeYbfb5t+6bJD4VFxbsKIdmPqDCCek84kRSFPrd2c
m/ldmIrunuLxJGmvqWzbIIoEER9zgkVlcb5Y6Ywqu5hHc2MqEaBnJIf1UxlF0S6WkXVZ5WGleamz
elmczD0A8T5zINyD6yY3lq5QPdH9o3a3lQ0xAkkGcmBjZBKc4WxU167Sh1h2QGCXK+J6L9zMNT8R
ra4BZmacbpMB6v6BgI8aS1HRm9tM9P0Lk/eyd7hJJyx8X+C5AcoOOGJueKKIb8tCIyUjbI37qR9y
tRGDZ2/7Ht3o1vXT6qbuJLJ+v0jJGfDSq9abyLOfqv5yGgLvwk/DFnK8E3p3shRDQeJlXZ65Ohgz
4qEdw0Ei0C5rV73PcZh+jthzP9nKD06xSyikzt4MLqXJ1mwXJ1YSXVWm52xtFbz0lSM/KdzXONw9
l+xDbOH27JkXghaq2Mo891+d1qUVjOYbxSpiC9YSO7oqAUV8s40YB0yXWW/Mp9kxmwyLEoLrv4wE
CCuCbasgPhhdloLEMIk+SLBUg+rpnXt0287e86d609C/3dNci87QkA97Dw4qNZVxusZrPd1LUJnE
9EzIwT3wnE3Rpm+qm+ZuYzeNe7CyBplZa7Uoau2x31Y62cGJ+25v+Kl/sEczeEe4NF8iSVquw25p
H9oJzciW+Twno8QiSKE2y5fEMssEJ0UeHfHoxkcsOebRbGN0TozXk9kl/p2z9NN2MtvmwqZwvDcW
zYsO3Hav6sBi72+SC+7FeM6w9xRMzVV9mPzWO8tLo76YTUwVbVROjw3OL7qEYt+3XX6TJXSrcy2q
z7W8nkli3PEC8rIEIHjlyMzn6GSxVEvzCy3SV6tev9DS/UaL+ItVzg/Tbl9WhCwlWuyfrrr/YLUA
aDPA2DfTu786BFptFhhX38CkLQT/Pf//PxHX/FVA8Yvzfya/NvATfhZ4/vipP8/+of/HKhPj4A9+
cs32+uvsH9l/UNDykdRREUCsobV/f539gz9MdM1uiCTEtfGXIz768+zv2uSIoXGnPbqqgJF4/Iuw
sI/CG80a8kB7uLju4f9+TBFEmJgWxKj4P5pNogJF5lnEAy5KUfXsBa3PvxVI/kHp+U8XpBiCzlPr
bnzrg6qq4Fu3dlt5J8ezw501AgFZtHrNL0OGOSvPb4Q+P5c2kG/xBQPX534hrwQh8EFZFOU+Rxrk
sqegSf23XLcW12aV9HAz//qrfRSxcikeNZJAD8QbJoQPX00A+0+GwnJPhe7BZzD6z4lXpTTp44S+
7oHePgdFTr1SN2p/fel/+JaMJCTEoMaQ0X4s4EwdM4dpCPckbWRpdYjHZ8MxlAI37bPfIcasj/JR
vigjkDQGNvHIOT6KjOampE40Z+5pahDz0gKmI0GKgEkzbOwDFtoaGU56JA2edqcSNMmpgTa0Lecy
Q9bAhv03gtb//PrUwkLfR8gF1wFXwM/1q9xK6XMnsXsKJw7V29WYbCKnPfv/vBZ+ToTXDGEGzocB
lVD6gemq3JMjJ/QEriHfOVvP94Nuq/36qeoB83cxFw4DdHsarhiYDK2PSs+Mbhzl58E9jXH6/YfR
2Uaw9+uL/NO9YxKCvMjFmKU+jFqEbW7Q26V7WoCknvJwpJkZ+pxALHpvv1M7W/rufPxKDpZeG5sL
tzD88KTC2LHGxbCcU25nNNdWASVIF7pvqzs77Ao6or7iJdWCU5X2pNGNsfMb+8g/jGDc2Ux7pn5V
dZPh5wET2xhVYr9wT3PY20enqKncdbo10hqSEUrjs9oXhU2vTi0DSub15cVVn50xg/xOgf5PT8B1
Hezr+kmjgf/5wxRl5M8VuT8nCd/jfu1TrXAHOpnR/t8/bBxGIQpalhb744ia25AWe9A5p8zj9kYr
1cIodVBsqO3+v77Yz1M90ze4vsgMIpeVhaPyx4u1RNqVXdcaR+C9dAgNg3pO7SB0WVaTP3Cx8Ddj
2fp5CtaXBEgYaOoLoxk8of5If5O7tsUCF9EKoqPJUfwM2gONPinkfO9PBlppGfNc124gBx5UBQns
gAr14Ckwatp5OIe786Vj+VtnkB9SD7WgptjEqQEpI9OyjF/fJOgzP70SOD78gNmUgYilA9CN/+Hx
wzfO3ZkD3FGWZgWaF1ZVk/nGIbFkMWwas1JoimkWigYvft4qf2/xy+4E4orVoU/nGaMrc2/sJf37
AprzfbYLhu6PrraNhjHd0RlCheFZtHlJakcHtDY9Sx9sg5nzY0IraQIs7QIrsA3Qws67116rVrEL
O0eRcwM32PbVLRGbaImwrUTP5LoZgO+iuLPOLenxq0mBhMZVRSnpDKUgJmST4KH3z8q64xpaoOLL
FG1WpwM63dEFdUa1EvZJ2jBCWpcWKpq9fjkzaLn5x1WbK/ukQocnrDo9cjrt31GRdq9BS4PiWFna
dkUF99awewNiB36n7LOlIh5ZsDg+B7YJfchzB/3rte4L/60gBpzmADXpN2VFCORWE5U/ItyqkEl9
bZfYPh+7oLsXfl9h0aftHWSJO25sGY0epHmyxCgAIDAwaAyc0DSg+Y2RKTizO9+XyIWflWtnZ6tA
fpWOrx1qgF7cnwjmwT3G/uXZHpGWtZGWA6yZzdYs5HtRJbZGPeI2XGSM+T1UgsT0VvG34Jo7F1Fc
81sq3XZfeu6bS2UGu4heUcmkCA9wwUuHDk0qcm31AiyvgkA3qlPfRZlIDTw4pnpjsmr0V/GdCQrj
vkBNO4MZMJANrQKpLiPMb0fV1HsLQPSjYsrzlvJHA+ZoC1Uv8I9rK9lA30LWmzsiEbdnbQABclmQ
19KzLvoNWVmM4EQl+2oJrevUQPi6U16FJANBH8oFkBCsN2DraJhbtcNYHmn5Pkv8+VgYe7CxFDbn
29YKWYt6qvE6nZB1Gc4lnbZt60BaWwKKjFsrQ8I9Np335qOmxbJTi6jk8GeJh8RZ7POF1KJgZye+
+7kex/oxJDzgCuJ8uaNS3lgbNAFWyNHTFMesbMioLrWUUJbzDGpnIfDElLGPOmfJpo3po4vdBF6u
rkPceoQHpKQcVEUUbSlKUVKnnYVpfVGPBQhdnOtp2wIQ0FnxjEnyQji03yEZgcWfx0OFYED030N3
aS6oEg3Xke+RlANAgQCHoWBm2i5a1cUpFWd1j+HjBR6lkAfpKf8rgdSEWsEIvkTqLJKDNnJMRKK2
ePbhyxHaOzTXEW0K0noWmX5OtAI3aHqq5xymz9AhxidL9UF3FsrJf21R2HCYJ66PRO/m6LgVqIV5
cpfPWJELzsL2spWUNMUuxOqzBahXf87pTvVktCD5LkwRnOnNKBWcGc3zTlsM9h17wM2I+upQhdAP
mJhQAQJFvB+oXl1gZ2kvcpHKg/IG9Y14h4mA4sy4A0NTvWTF6G5Lygubts4KtGmEnVI+eAt6l/cD
odsutmHCD6OwDhXH+FyEBvozBMu0PWM4joUg0oUiM/pTEAe65eFtBLXdpNFPvp0u2emG53BylLer
sxHUJnFECIXLKN7BR6BWio16S8RRulsaReumaoYnQg2IgRhreRjoV6EUM7+WBJy9RGVmb7LImg/S
ICRpKPkcUdxXd6xKC9nDTO+XvttNmzYxeaIBLoRL9Af1LZav9hZ7HYPa8NmRva2yQcPOeSWklnbu
m7YnENSftYyELiIaOmbb/j0RJhNSs0TWozIXhqzZo2QVwYDnJBwo+uxBC5LB1zediYYcKe6yRfrf
EEiAYHZVvAQK32pP6wUtxuARp0aIFPQwUerfZs0tucarDw+nBBszAg5ujZlzlCRasdr5NE4fx9bl
1R9Sjzzo2cUXtopP25Zhq2seun2MVufVbrqE/Vw6YI8BMNhodq9sq8/UCcP2u2pHV0uLe4oeYLD2
de5O3/CkdAkpIIb3CT0/eZppJM8BjlIjrucko2Nm5ekXOfZvObKqvedmSbKNwaTIF+IjBuMhW1oC
4EM7pcyNWmbrEwixT6epI3DZXw4qrNsnnAyEqkSBOz3RU67ukSh+t0vCWqHZ3gBaRbjil0G5tSMx
7F3gLO9JnybvS5ZND8kQ8OR44/N9hy4rQooYEBwyplmhNl0pg6PvIQXZzRMxEFuJT5wS2kAV7LyP
ZvPkdo266iTFM3+ZM2MjKrJONz5PIafnhsoUfNVc72erJ0BLCPcGylV500F1ua+ysNuKxqKNMhKn
RSHW+dJE/njq/ZaynBfbGQHJoZNt6dGTXDIsE+igrmS6iGKP5KHQPWJX+BKTMPEw9UmBj24wrwSl
/M/F5BfJVoC5YK0E8LFBw5YQ462yK0Gv62hEU0Rm5ZjINzub2hOu9WhfAzc4Wb5p4LvoZSWARqoM
+FA9EBZh2Xa8ydw4oIaNF/DRJz7ufKydhdzGNL401bDc9Skxj9GYTK9D2Xf0LKR0s+OczbO3DRs8
NkA0iHS99mcEbmdROkiSS2vjMg+W5snMCLvbGgUwKF3pNQt0UeF0PbHCf7fGTl4NbTuewf5SJ4zS
FXljURrTfbQ4XqRMbmfE2VoZkvIWsXUyBuNdYo9Ules8hhIpmfJei7l3UCGU3uWc2UyjqACiftu1
Yz3tbHJIYxqxjX3VB4pEaRxUVrgPy8BlQrTIebb9IT5ERkeAVIu+y3U7MJulD/lqCLJ7SRre02Ap
+RyC8dqP81JsiYRAFQlGnkQcZG+kWucBfN4pIPgnXlJCj3rWod6Esx4bIxFqLrfqdlw4p9Ql4gro
NXF2gz9sfjLFZFx5WU+nKHM65xAajoC+0dbeoZOBR3ConUXybGDsfkeoNH9qQ6f/Onlx8D75vZ8d
TITecov4FdVl3pSB2MQhur1Fl/93IsXNdB707XcvJaVQ5tgKNksm+6MzzaTPNE1NmPqcdWrjYkHb
FqzON0aJLtw2/bgnxJA9e7IoIl0x7+g8+QGm3KkYyJslvX58SdGrY6tJlvwGXVhgbmI6uTc1uRw9
SpXZwDjs8NTAJlgk5rVTOQ/PMwhRAt7W/fp/tVC/1UJRJfvb0eY/YJ6f8Afhdv/J6u6vP/NnJdQy
3T9oQNj4VlFHUUJBz/SnCsqyLP6T1mxDtgbgwQn5r0KoR/iEaSN/cqniQVvgxPdXIdT8g5pegOEt
xL7Nedb+N4XQn2stlCJNj1oLMAfLdnHXO/qQ/reTYzxMVubF3XQ9VO+JLEk9+fK3u/EPhU9u1t8q
H/95gQ9HUzE7ZdXOXCDMmTghbA/RWzZeZxEi7fdfX2o9Wf9PlYVrUVihuoKc2Y1AAnysKChQ06XH
NhmyCVHeGqMDB9D0ibAO7aLzPst8TsKvaROHPb6u1pbGAtvGw59wxAHYJdU7zq4wSBDXuKkZBWex
SLQYsR6+ZWx4s+pyEK4E8mWy0lyUMspj8Rjm0JrhcjTxo+r6AwUe7yhpn97mqHFI5s7jru639G1Q
wToCHq89+gb9wGl0InhXZdWlxQPAnmTEfEcfLmB/1oT0ODM0lcCnB/soOKw9KTzepzLuBmK5YfZM
h4qZz6lOQe/lO4/knuvQKrzpM1BuH8xbUoE1pPO5hV3iOjeuEbTLKe9JL3uYQB669d4ZkzjCewY4
uZ9jEsxFJn+Uhv87a/xm1rCctavxf++gnL9Nb1n290njzx/5a9LwXPonVHTYleP7XnNp/po0fFPD
gTXnQksXTU3C+HPWsO0/2K8DK/BwE7v0c6P/M2tY4R8RvZOQOcWkDBlG/w6S8XPBSYfIgLqhFUPZ
hjo4hvmfpw0sn+WSe4n9IGXb4l1dKkneN5hHoc9s2C5cfKBpVoqvbYCTLqWRfm9HAKtql3Mc2Ych
5Fo5w2wEET/twHjDHjSI7J7x+klSr3kXDOiPGwyH2W0u5pasaja6hGnNxWGgtLlvrTy6tA0T/0rE
PiTLC3XW2Kq4X3IyLlhZ8RpaxvCtXgwiLVIXkroxQxuf6xIyVIrq4A28kHoLAIBnO4CFiGBgaXPe
FoVYDvRM0Soro/0y2Gn+1ieTujUKaqIY1dSrEvSTozYhftRRS/9tFIm1sVu8cAlrwF2S+nfaH4hV
tJT20+Cwq9n9erJbbf//M9mtj4COG3F6kUlWD8Wenx9BtbhubsTSf1iEE114zkCGhK3JPxEongL/
UdcHm8yuoluife3LerL5aoi8Gg9mLMi5Jc0VUgyvuYiWYbxaCCy4tvEXvFtZYXyqO0/ep6Qb7KEZ
5VeD12MXDdO+fC5LkjyTVLRYgpzmJgzFEx5H7xzO1mWQTPajndpnSJsgt/ndbxaT6OfVhC+NT14P
YPo9NJpQ8P78pVuKPUlsElnqNlX8aumnnzSN9cLqxuksMMXFABTyosqnfo9YgDDWykDfLp18uZqH
2fzSFha3IfKm+SYhI/M4EdL9ECv+qXNs+5vdNtYpMezpJh1869JJOhqDYfxMUck+i7KsfC7+N3fn
1tu2sUXhvxL0nQKvInmAFji+27Gd2k3j5EmQbUWkxIt4Eyn++vMNSTci7ThtxkCJQ/ShqNwRZzSz
Z1/WWjtCSn8KReLMj0p6Zyqpgp8rWrHHdDSuVfpeHAhJv/dqbTxG0+KyREoLMsvMOtuBPsoJs40j
v0K+rLKQ/lfxxpEq+xJs3NWFacblg+8hrBrkdCPdpLjoTZCa5mQxZ2gnQLkpTnK/rG45lOtre4v9
DuDPnq0NvGJ/ldJYLp2Sj1jV1nvHpM2Oj9xWceT7WXIQ2yv3lJZv+qHuk2GyIxheVcSvRFbJX12F
npFc7pxAp+tEtFk4QRKmBxE8I6QFLdh4IuNC+4wsO0Mxxn8f0KjiaiYIZU6kba8gQjA53SjIziZe
vaKbnLei7bO51G8VuOofMjBKl4buL0/82qnPSkucTWVdI7RTZnemlyX37nK9vDTN1D1Ul1X1o4po
32bhDTggxtFLQcQW3JnuGv29wwU7mxHfKLce8I2b3C2iUwX09KddhZAViQNCPlfsnTSuH0rdId+T
ZwBVzHLnPa6I/q83U312gQ5pcmcndMKG8aieJs7mM4z29RHIhPDPMGGU9RaGFq3M6awa8NtfxuBt
yE4sa4Auy+oYerF+W6kpTadt0pzomiu7KyjxwCI0ZXeyReRNGNR4fZFam1w7tnJFP/bVgu41q2pb
XafruL5ptu1mlZB4w024ShNLu9Q28QxOhqN+dpQwu3NhPd4h05Jc+5kPQQJFVfRoDER372l8eZrE
CPUdFpVLH1+jKKanJtA7+3jteM4HRyU6/0EJRu+XwMTy45k5tqhX6ijX2+Jo73maZaJlyrJOZ7eg
sabIt6HRQ9P6RPljVbvMQFvp6uE0yZSPq52/JRJCjgHhv5T+NKcOxI/dgcEZLA70IJldOFDC5+vt
NMW1S0qU5TdaOvuSmnBdDlQYP7SnKJST1w3uSxMwxfVK1ZB7WbcG+yeiUEifxaV9S+yaH0Mqra7p
eLE8SRCWT8m7YmdwpLEXiOKR8fQs5Zh86WYOdMx6r5XT2VfOniGIofHcqGztclpW6wtP3xAeJzRI
/gj5GVqVR0ttp43eHqr/LBfxC074kOkgFp9AApqDrqM8QAlysPghkvm1WVq3cWFZCHqQWvvKbp7R
yQpq9SeN7MrVqsqqD4G9jU5zpANo1xhFiIxu/O1FHIJoLl09PQ+sMj2P7UT5mE9DQE6lmfuHKRLs
H4DN+Ze2zvzL0A1IVGdl9nXLNcFP5Jv32awEVFfXNKheJ9DSCrNcR6f2lmB9s7IAMuo0es+LYnan
Q5U/UxzFuch8MgUzBIFOgsxYnmwIz7/QHgBN8XI7O/d3XnpcR3bkHOYggBbaktTLAT3qle1httG1
49rYuCdGvL7XQsCvnhElBwbJl/PA3M6+RDZHHZ8A2p04ejjCy8cU7drtMeVRXg8u60VdpfotTWF3
BRBnY4tmc0LuAQHgE/oQz76w87YLMwiFBRFLs7JnF4Uf1VemKgSsyCDrtxs/VVG/D9cfCTdqNDOT
qf/ZDlcPNB6AiL70KgQt9ewwTXVUH8xAv/SqMkO5I6iuV1rNXfL6JsZJ5Jf+5jZwDF2CI5UOcNhs
4Q4O3AZsdVjAtkJili7W9iFEBLDLjW0OAKKdkkH0EF6dMQEPfYoTXLHNfKrn9U1NH+/18TLMzoFv
2QSKq+Ai8YOspO6i+pAmlZUf0pQzOskT8HIHnCT1fleqwZ+Y//xeL83tovBtUzkizx/aR5nnwMqN
cMeutlFuHYdoC7IP4D0EB4ERzIKTQEPQAnpJWJw5S6Wih/zGPq/M8M8KUovBW2YAphVqTm4yVW5o
I7Arj7JCLR4Tmo/esL+8o5SA7qzSarT6RcbJDnzhcorfdVP6+V1Wrc8shbz9UUW1E/WC3Z22oYU2
jbyMA97HCxGZ5kDAS2SzrvSMFl2OYz8YCEocpeACL2JtpZ7VbrBTqF/VyWmd0BfiipZKpnu4Kdbe
J+4B/1OmAFimSlcadODxw9UdDYld+GvrZLo8g+Km0r2JjBGtIzwkQhSi/1tlWwoHB47qhYpg5qmS
hdOjtBYUWMMr8uO88kKV6a4xeUGcsVBZmfLvs7zgGOw8vZ6J4rYJj6nWoo9LwPznM9Xk1qm1lXHv
GTN/d7jUppv1eyXPhfvj7m4gg8bKcQ2I9T6kdCjgkLQs2mHZ1UMlqrXLpVXSLp2N4BxQJoGSbO48
FE80w/isofEB7AVM8Q3051kBnHBV3ab4lme54OyRzq/rr2iQOOdOUSswu2nYDORiRgcfNa3LY3O7
hbUARQgQfjqj3XuKaNABYipGDNc0RS2fdPiBtZmpR7SiCL7adnlLdp8KMFmzmH5ma5uWY+U6vLbp
uP27HtolJcLAZWVQor1pDtL/TWTbTUSkq44bzN9NsUh3t4uMDHL2BJwTn/4e+1H+Mf65P3p9oHeL
v4M2dNg9e0bsr3dqXvi1IYJ57ufF4+LXXwwhDsk9AImb1Jh4fnkXxHTraz9WbGtiTkmlGchTNA/h
KrH53hp9bxVen2C7nK//zWszaNfn/JEZtCnDXsKgead/sAogJJkcITkNSpsHB3h/FaBUTizED0Vi
rP2Dsa2CDvuE/KDcKpA4wdNB8w1ol3gGq+BYqIuSu3Pd7vP2C0e0FwAYOvhnUqtgkCQW6m7IS7Sr
MDgRrjYhBeSAAOu2Annhf+VEPMRFlAvDhGJDD05MOvrvrcFghJ5VsFRgF0IZu3lY1P3z4GI1EJSc
CgRa8/xbazB/pIJwRFUo9R/y/Zwg0YZI+8jtBHMCDk0I44EVFc9gFSDhT5DTpCm0yCD9K3vgu/NH
l1bWHBjkPaFPW6Ad2+kzyf1NoKlCPRj03LQ9cmOyA7zx3zwDgxXcOwPw7E0HfKCLMRDPYPqOMaHs
g7tKIah5xrcKzY6VOwK0a5+C8yf27f/4gqRgkhDSVcgIzTO2EwDYuvVV2lD/p5wjc0KuC0uPxEHz
DBZBFCFZHQR9wQSLZ3RmAE5c+05Si4Drh5rvd3wjOCkUQQGQEhI3z+g8RMJ17nC5c2BPdMsEI4y0
cfMMjAHe1wQ8FjB1s/MaxnYcKF6JCrXcKrgTANJCQr5zfQYOopCmn1oWcEFRZOAZ3XmAH8s7Sy2C
qU0gQGkWdNtmjsN7wcZk0uEecMHoDgLasQL/Ljd9nCIDEha0g5dtokqNFc1tly4uYzsDtE0gtS41
feEUqTg9muDX7XtDNvw70ttCd6ddl9HNXqOAI+sS686E3CeRMPiZ5hnYQYfLwIF7SBjWfj4+pwh+
mfSV6DBLE7CAoN6IZ7AKrjOhX7DGndmlE/Ab2HVjcpApaLQ/zc87BqbJLGHrgGhtd/yz28DkNoCo
AlBqfPMHdCRpCkx1Qm1chMGddzhIFDjuBCoe/UHo2NE+Y1sF6rnyPrJGghDKsYN5efEs4DMQJnBU
ukChXfYRnQVSBVNZiyASiHRWMkVA1Dwcrt7tYE0ofaqwX7u9MrrUGaugtWZKwiJwIsiGuAAJ21Xg
uumtAgbBpv0IhOP2Gd8dSYMH2TuSlLpIkILs+pYY2F8FQme8Q7ynp70yQutI+xJZ66hPQNJNySGa
L54I15gI/xlUSff5+E4EcgPSe4FgAEVINn2345/fEeQOdEEobldpdKuAGy9awMg5zVRPkEp2hG5l
8ww8BQoLwFvQrMA/b57xnQgBn5NcBZqtGaQQiJ6/eYX7dmHqTtDT0EQ7m5FaR/aptF0QARSbgTUY
3A3Tia1qpNueSgqjixyg/pvSPrM+IUtE0phCWvMMIgebhCK0AoMUyticRcHIl02jmQTJ5E3QG3n5
UtBU0mhI8guth/HNH5KwrAmYYgJQ7YWz8uLP75pCpZdMnd5+05i8ZI2fRXL6nH1kg3GL0K9uHgbc
t4AilcwtAMi+cxBHdw+A/5OPFQxiBdDWVOg6p6C/CjS+BmxAPNWBO8a0CbjDpW0A+VPy5IYNq+vF
TeBOKL+LaHGs9QTSmwJdL+USmcYEUW0gBk9Z5GHAKLLMwHIajoJYptEZBHwZXbrETHKA25B5drn0
gUFoCmw2WAu00Ed3H5AFl00bGFTQQdQjDdUVVNhW+wbRJoUELQ/cd3dWxrgKQv9J7izYVNIRriep
/rJBpKRgIoWvP10LrQkak10E3S4dHjBJqqj4Ri8X10it8wmsNvMbJmdcSWW6EgtmiNReECcCwD2J
g/ZyeJZaJ5QEcgN7tys/jW8vEM/LrgKpZcel2tzdgM8KDBSboBE6ov7QnpjxJVUFbERyL1BphYgJ
JbOrqA3xiARLlqCzCQRG87TLPiK7IAqusnbBwF1UiYpBeLZHYuApOGKvAELirmxXYXR3hIFsXuvJ
/3xqGbuArKkL1K47EwNPgaQqXVKEUluXSGuv5jHtBbKJrRP386tAyQ3OOSJ8goXUcxQAq+GOuVPQ
iM0zusgJMra0QTAw/oKATRDZznKQR7SdibCZlpAQbJ7xGQTLEbQiqSuSJIpJcGiJLj/NM3Aa2/hR
pG27MHt8R4GMd3tj/fxRIJcALpFFIGf40ipgFqcEmZSjvpnNcblLSE4KHVy5vUBFjRPP2eocAdyh
fbtADZreeCA26FrePP/gRPwN2/kXHeYQQYLHhgjjL7KX+DLf+4MnBsjzzzv2h6B4CEB77w+FhkT7
3d94Mr/1kLwN2GLvwyfwRfM93f/eTfD5V/e+62lWT//xzF+k8/TB2zUf7LrXvJ6HsGn+G8zv5+F8
H4jO7mPNv73Jr7/03nPv9//BwNl6MK4oSEiPm/p1HPUHbnCz8gOv51E2z55eUfyMLRhVduTDeeB/
jdPI7711i/GUHjsO4nT+GO+/dYuklx85ihYPuf9Q5L3BGzyi7OBHiwBRlHSxP3LLDZMeuaNWvIu/
vkPPpwjv+8veIupkv+WEVfcfe79nB1aTHfl0EafL/itzPQpugOzI35eh+T5z7y9T/9pRP3+ce70N
qLVYLdkXPqdtdxT7/ROJk8BFLD109OjPB1akBVJIjxyX/W2Bjgnujuyw75/bphYWKD0wAxQP693T
KzZmr62gyw59GReoTQyXuSW8yY59NfejnvWgCvUW18vVHGnDefS4vxxdEVn+lbNs/oBe4yLPe3u6
K9NKj+8/eP5y3ifWtSRL+aG5C7I47+1snVQB4aH82Fnm889m4z8N1nhQLZblLUaPi3Q49Ju8eBzl
g83dVZxlX/p6cZ/OB94TnB5RyJIfejvv31sdzUJ+4PLd2TzcZJ7fv9a72tNbjH+xSLNFz1J1GMC3
GPxqUfkPvWusY2S+xeBf4nT99OM1u7tFcEoPjcyU9+5wnsbclP3D2dZ63uYLjubr4dlHxP8NXJIP
nt9f8bYqIfvWH9YBHkk/qulS/dJDp4vlkLvcFNhlB/59EUVImGzngzCB/jMiOS87/K0XPy7enWfP
7rY26y07/B9x8Z2N2CWU3+YLnm/EjiAkO/xHVn+RZYueS9FlgeXHrvpRZQdilx33z3zuPW0MYVO6
8rbssJ8WacjN1hu5TQRLj+wT2Qy2d5dklR36bs69Ey3pbd1/7yZ3KT344gcd0CXjp7vXOqzJjv19
xeJXR34p0/QXH+h5/ulJHOWl/62fXBN/8RAs5ulv/wMAAP//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rgbClr val="FFFFFF">
                <a:lumMod val="95000"/>
              </a:srgbClr>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41888</xdr:rowOff>
    </xdr:from>
    <xdr:to>
      <xdr:col>19</xdr:col>
      <xdr:colOff>301597</xdr:colOff>
      <xdr:row>34</xdr:row>
      <xdr:rowOff>140294</xdr:rowOff>
    </xdr:to>
    <xdr:sp macro="" textlink="">
      <xdr:nvSpPr>
        <xdr:cNvPr id="2" name="Rectangle: Rounded Corners 1">
          <a:extLst>
            <a:ext uri="{FF2B5EF4-FFF2-40B4-BE49-F238E27FC236}">
              <a16:creationId xmlns:a16="http://schemas.microsoft.com/office/drawing/2014/main" id="{8D01D43D-E49B-204E-A2A5-F38844FCB76F}"/>
            </a:ext>
          </a:extLst>
        </xdr:cNvPr>
        <xdr:cNvSpPr/>
      </xdr:nvSpPr>
      <xdr:spPr>
        <a:xfrm>
          <a:off x="0" y="41888"/>
          <a:ext cx="11950563" cy="6352061"/>
        </a:xfrm>
        <a:prstGeom prst="roundRect">
          <a:avLst>
            <a:gd name="adj" fmla="val 322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94541</xdr:colOff>
      <xdr:row>0</xdr:row>
      <xdr:rowOff>57090</xdr:rowOff>
    </xdr:from>
    <xdr:to>
      <xdr:col>2</xdr:col>
      <xdr:colOff>293916</xdr:colOff>
      <xdr:row>5</xdr:row>
      <xdr:rowOff>70758</xdr:rowOff>
    </xdr:to>
    <xdr:sp macro="" textlink="">
      <xdr:nvSpPr>
        <xdr:cNvPr id="3" name="Rectangle: Rounded Corners 2">
          <a:extLst>
            <a:ext uri="{FF2B5EF4-FFF2-40B4-BE49-F238E27FC236}">
              <a16:creationId xmlns:a16="http://schemas.microsoft.com/office/drawing/2014/main" id="{CFF87480-BF2D-F748-F05A-72C61DE298F2}"/>
            </a:ext>
          </a:extLst>
        </xdr:cNvPr>
        <xdr:cNvSpPr/>
      </xdr:nvSpPr>
      <xdr:spPr>
        <a:xfrm>
          <a:off x="94541" y="57090"/>
          <a:ext cx="1418575" cy="918543"/>
        </a:xfrm>
        <a:prstGeom prst="roundRect">
          <a:avLst/>
        </a:prstGeom>
        <a:gradFill>
          <a:gsLst>
            <a:gs pos="0">
              <a:srgbClr val="084F6A"/>
            </a:gs>
            <a:gs pos="72700">
              <a:srgbClr val="79B1D5">
                <a:lumMod val="100000"/>
              </a:srgb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rgbClr val="084F6A"/>
                </a:gs>
                <a:gs pos="72700">
                  <a:srgbClr val="79B1D5">
                    <a:lumMod val="100000"/>
                  </a:srgbClr>
                </a:gs>
                <a:gs pos="100000">
                  <a:schemeClr val="accent1">
                    <a:lumMod val="30000"/>
                    <a:lumOff val="70000"/>
                  </a:schemeClr>
                </a:gs>
              </a:gsLst>
              <a:lin ang="5400000" scaled="1"/>
            </a:gradFill>
          </a:endParaRPr>
        </a:p>
      </xdr:txBody>
    </xdr:sp>
    <xdr:clientData/>
  </xdr:twoCellAnchor>
  <xdr:twoCellAnchor>
    <xdr:from>
      <xdr:col>2</xdr:col>
      <xdr:colOff>380662</xdr:colOff>
      <xdr:row>0</xdr:row>
      <xdr:rowOff>89209</xdr:rowOff>
    </xdr:from>
    <xdr:to>
      <xdr:col>19</xdr:col>
      <xdr:colOff>37563</xdr:colOff>
      <xdr:row>5</xdr:row>
      <xdr:rowOff>102877</xdr:rowOff>
    </xdr:to>
    <xdr:sp macro="" textlink="">
      <xdr:nvSpPr>
        <xdr:cNvPr id="5" name="Rectangle: Rounded Corners 4">
          <a:extLst>
            <a:ext uri="{FF2B5EF4-FFF2-40B4-BE49-F238E27FC236}">
              <a16:creationId xmlns:a16="http://schemas.microsoft.com/office/drawing/2014/main" id="{6C62D673-C705-4FED-98B6-FD38ABB742CE}"/>
            </a:ext>
          </a:extLst>
        </xdr:cNvPr>
        <xdr:cNvSpPr/>
      </xdr:nvSpPr>
      <xdr:spPr>
        <a:xfrm>
          <a:off x="1607779" y="89209"/>
          <a:ext cx="10087394" cy="904317"/>
        </a:xfrm>
        <a:prstGeom prst="roundRect">
          <a:avLst/>
        </a:prstGeom>
        <a:gradFill>
          <a:gsLst>
            <a:gs pos="0">
              <a:srgbClr val="084F6A"/>
            </a:gs>
            <a:gs pos="72700">
              <a:srgbClr val="79B1D5">
                <a:lumMod val="100000"/>
              </a:srgb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rgbClr val="084F6A"/>
                </a:gs>
                <a:gs pos="72700">
                  <a:srgbClr val="79B1D5">
                    <a:lumMod val="100000"/>
                  </a:srgbClr>
                </a:gs>
                <a:gs pos="100000">
                  <a:schemeClr val="accent1">
                    <a:lumMod val="30000"/>
                    <a:lumOff val="70000"/>
                  </a:schemeClr>
                </a:gs>
              </a:gsLst>
              <a:lin ang="5400000" scaled="1"/>
            </a:gradFill>
          </a:endParaRPr>
        </a:p>
      </xdr:txBody>
    </xdr:sp>
    <xdr:clientData/>
  </xdr:twoCellAnchor>
  <xdr:twoCellAnchor>
    <xdr:from>
      <xdr:col>0</xdr:col>
      <xdr:colOff>98169</xdr:colOff>
      <xdr:row>5</xdr:row>
      <xdr:rowOff>165946</xdr:rowOff>
    </xdr:from>
    <xdr:to>
      <xdr:col>2</xdr:col>
      <xdr:colOff>297544</xdr:colOff>
      <xdr:row>34</xdr:row>
      <xdr:rowOff>38100</xdr:rowOff>
    </xdr:to>
    <xdr:sp macro="" textlink="">
      <xdr:nvSpPr>
        <xdr:cNvPr id="6" name="Rectangle: Rounded Corners 5">
          <a:extLst>
            <a:ext uri="{FF2B5EF4-FFF2-40B4-BE49-F238E27FC236}">
              <a16:creationId xmlns:a16="http://schemas.microsoft.com/office/drawing/2014/main" id="{6DDC34ED-B685-420A-B64A-54E677D584DE}"/>
            </a:ext>
          </a:extLst>
        </xdr:cNvPr>
        <xdr:cNvSpPr/>
      </xdr:nvSpPr>
      <xdr:spPr>
        <a:xfrm>
          <a:off x="98169" y="1054946"/>
          <a:ext cx="1418575" cy="5028354"/>
        </a:xfrm>
        <a:prstGeom prst="roundRect">
          <a:avLst/>
        </a:prstGeom>
        <a:gradFill>
          <a:gsLst>
            <a:gs pos="0">
              <a:srgbClr val="084F6A"/>
            </a:gs>
            <a:gs pos="72700">
              <a:srgbClr val="79B1D5">
                <a:lumMod val="100000"/>
              </a:srgbClr>
            </a:gs>
            <a:gs pos="100000">
              <a:schemeClr val="accent1">
                <a:lumMod val="30000"/>
                <a:lumOff val="7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rgbClr val="084F6A"/>
                </a:gs>
                <a:gs pos="72700">
                  <a:srgbClr val="79B1D5">
                    <a:lumMod val="100000"/>
                  </a:srgbClr>
                </a:gs>
                <a:gs pos="100000">
                  <a:schemeClr val="accent1">
                    <a:lumMod val="30000"/>
                    <a:lumOff val="70000"/>
                  </a:schemeClr>
                </a:gs>
              </a:gsLst>
              <a:lin ang="5400000" scaled="1"/>
            </a:gradFill>
          </a:endParaRPr>
        </a:p>
      </xdr:txBody>
    </xdr:sp>
    <xdr:clientData/>
  </xdr:twoCellAnchor>
  <xdr:twoCellAnchor>
    <xdr:from>
      <xdr:col>2</xdr:col>
      <xdr:colOff>384788</xdr:colOff>
      <xdr:row>5</xdr:row>
      <xdr:rowOff>158339</xdr:rowOff>
    </xdr:from>
    <xdr:to>
      <xdr:col>5</xdr:col>
      <xdr:colOff>604732</xdr:colOff>
      <xdr:row>11</xdr:row>
      <xdr:rowOff>171779</xdr:rowOff>
    </xdr:to>
    <xdr:sp macro="" textlink="">
      <xdr:nvSpPr>
        <xdr:cNvPr id="7" name="Rectangle: Rounded Corners 6">
          <a:extLst>
            <a:ext uri="{FF2B5EF4-FFF2-40B4-BE49-F238E27FC236}">
              <a16:creationId xmlns:a16="http://schemas.microsoft.com/office/drawing/2014/main" id="{FA8E3983-45F4-B339-C28A-2A50D5BDD2D8}"/>
            </a:ext>
          </a:extLst>
        </xdr:cNvPr>
        <xdr:cNvSpPr/>
      </xdr:nvSpPr>
      <xdr:spPr>
        <a:xfrm>
          <a:off x="1611905" y="1048988"/>
          <a:ext cx="2060619" cy="1082220"/>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91128</xdr:colOff>
      <xdr:row>5</xdr:row>
      <xdr:rowOff>168235</xdr:rowOff>
    </xdr:from>
    <xdr:to>
      <xdr:col>9</xdr:col>
      <xdr:colOff>401594</xdr:colOff>
      <xdr:row>12</xdr:row>
      <xdr:rowOff>484</xdr:rowOff>
    </xdr:to>
    <xdr:sp macro="" textlink="">
      <xdr:nvSpPr>
        <xdr:cNvPr id="8" name="Rectangle: Rounded Corners 7">
          <a:extLst>
            <a:ext uri="{FF2B5EF4-FFF2-40B4-BE49-F238E27FC236}">
              <a16:creationId xmlns:a16="http://schemas.microsoft.com/office/drawing/2014/main" id="{03C2250F-D01D-4034-8278-4784A53B2143}"/>
            </a:ext>
          </a:extLst>
        </xdr:cNvPr>
        <xdr:cNvSpPr/>
      </xdr:nvSpPr>
      <xdr:spPr>
        <a:xfrm>
          <a:off x="3772479" y="1058884"/>
          <a:ext cx="2151141" cy="1079158"/>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355628</xdr:colOff>
      <xdr:row>12</xdr:row>
      <xdr:rowOff>66166</xdr:rowOff>
    </xdr:from>
    <xdr:to>
      <xdr:col>9</xdr:col>
      <xdr:colOff>399255</xdr:colOff>
      <xdr:row>22</xdr:row>
      <xdr:rowOff>133865</xdr:rowOff>
    </xdr:to>
    <xdr:sp macro="" textlink="">
      <xdr:nvSpPr>
        <xdr:cNvPr id="9" name="Rectangle: Rounded Corners 8">
          <a:extLst>
            <a:ext uri="{FF2B5EF4-FFF2-40B4-BE49-F238E27FC236}">
              <a16:creationId xmlns:a16="http://schemas.microsoft.com/office/drawing/2014/main" id="{0AFF8BB2-31B2-4D40-B6D1-BB92FE873687}"/>
            </a:ext>
          </a:extLst>
        </xdr:cNvPr>
        <xdr:cNvSpPr/>
      </xdr:nvSpPr>
      <xdr:spPr>
        <a:xfrm>
          <a:off x="1570709" y="2290382"/>
          <a:ext cx="4296411" cy="1921213"/>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384460</xdr:colOff>
      <xdr:row>23</xdr:row>
      <xdr:rowOff>20595</xdr:rowOff>
    </xdr:from>
    <xdr:to>
      <xdr:col>9</xdr:col>
      <xdr:colOff>428087</xdr:colOff>
      <xdr:row>33</xdr:row>
      <xdr:rowOff>183291</xdr:rowOff>
    </xdr:to>
    <xdr:sp macro="" textlink="">
      <xdr:nvSpPr>
        <xdr:cNvPr id="10" name="Rectangle: Rounded Corners 9">
          <a:extLst>
            <a:ext uri="{FF2B5EF4-FFF2-40B4-BE49-F238E27FC236}">
              <a16:creationId xmlns:a16="http://schemas.microsoft.com/office/drawing/2014/main" id="{8A6E160F-7189-4A4A-BE50-8BF268576F29}"/>
            </a:ext>
          </a:extLst>
        </xdr:cNvPr>
        <xdr:cNvSpPr/>
      </xdr:nvSpPr>
      <xdr:spPr>
        <a:xfrm>
          <a:off x="1599541" y="4283676"/>
          <a:ext cx="4296411" cy="2016210"/>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499791</xdr:colOff>
      <xdr:row>6</xdr:row>
      <xdr:rowOff>6021</xdr:rowOff>
    </xdr:from>
    <xdr:to>
      <xdr:col>14</xdr:col>
      <xdr:colOff>225136</xdr:colOff>
      <xdr:row>23</xdr:row>
      <xdr:rowOff>77932</xdr:rowOff>
    </xdr:to>
    <xdr:sp macro="" textlink="">
      <xdr:nvSpPr>
        <xdr:cNvPr id="11" name="Rectangle: Rounded Corners 10">
          <a:extLst>
            <a:ext uri="{FF2B5EF4-FFF2-40B4-BE49-F238E27FC236}">
              <a16:creationId xmlns:a16="http://schemas.microsoft.com/office/drawing/2014/main" id="{0E1413CB-ABED-4222-A5C8-D17C7DA6B291}"/>
            </a:ext>
          </a:extLst>
        </xdr:cNvPr>
        <xdr:cNvSpPr/>
      </xdr:nvSpPr>
      <xdr:spPr>
        <a:xfrm>
          <a:off x="5955018" y="1097066"/>
          <a:ext cx="2756027" cy="3163207"/>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294410</xdr:colOff>
      <xdr:row>6</xdr:row>
      <xdr:rowOff>37194</xdr:rowOff>
    </xdr:from>
    <xdr:to>
      <xdr:col>18</xdr:col>
      <xdr:colOff>602674</xdr:colOff>
      <xdr:row>14</xdr:row>
      <xdr:rowOff>164522</xdr:rowOff>
    </xdr:to>
    <xdr:sp macro="" textlink="">
      <xdr:nvSpPr>
        <xdr:cNvPr id="12" name="Rectangle: Rounded Corners 11">
          <a:extLst>
            <a:ext uri="{FF2B5EF4-FFF2-40B4-BE49-F238E27FC236}">
              <a16:creationId xmlns:a16="http://schemas.microsoft.com/office/drawing/2014/main" id="{9ABCCE15-B980-4841-9BE9-FAE8C015373D}"/>
            </a:ext>
          </a:extLst>
        </xdr:cNvPr>
        <xdr:cNvSpPr/>
      </xdr:nvSpPr>
      <xdr:spPr>
        <a:xfrm>
          <a:off x="8780319" y="1128239"/>
          <a:ext cx="2732810" cy="1582056"/>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534473</xdr:colOff>
      <xdr:row>23</xdr:row>
      <xdr:rowOff>164522</xdr:rowOff>
    </xdr:from>
    <xdr:to>
      <xdr:col>19</xdr:col>
      <xdr:colOff>43295</xdr:colOff>
      <xdr:row>33</xdr:row>
      <xdr:rowOff>164523</xdr:rowOff>
    </xdr:to>
    <xdr:sp macro="" textlink="">
      <xdr:nvSpPr>
        <xdr:cNvPr id="13" name="Rectangle: Rounded Corners 12">
          <a:extLst>
            <a:ext uri="{FF2B5EF4-FFF2-40B4-BE49-F238E27FC236}">
              <a16:creationId xmlns:a16="http://schemas.microsoft.com/office/drawing/2014/main" id="{79AB8B90-90CF-43BB-91F5-F962A3D6E12C}"/>
            </a:ext>
          </a:extLst>
        </xdr:cNvPr>
        <xdr:cNvSpPr/>
      </xdr:nvSpPr>
      <xdr:spPr>
        <a:xfrm>
          <a:off x="5989700" y="4346863"/>
          <a:ext cx="5570186" cy="1818410"/>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282287</xdr:colOff>
      <xdr:row>15</xdr:row>
      <xdr:rowOff>35034</xdr:rowOff>
    </xdr:from>
    <xdr:to>
      <xdr:col>19</xdr:col>
      <xdr:colOff>25976</xdr:colOff>
      <xdr:row>23</xdr:row>
      <xdr:rowOff>65809</xdr:rowOff>
    </xdr:to>
    <xdr:sp macro="" textlink="">
      <xdr:nvSpPr>
        <xdr:cNvPr id="14" name="Rectangle: Rounded Corners 13">
          <a:extLst>
            <a:ext uri="{FF2B5EF4-FFF2-40B4-BE49-F238E27FC236}">
              <a16:creationId xmlns:a16="http://schemas.microsoft.com/office/drawing/2014/main" id="{2B863D8F-2710-4AD2-921A-C2A2FB181F57}"/>
            </a:ext>
          </a:extLst>
        </xdr:cNvPr>
        <xdr:cNvSpPr/>
      </xdr:nvSpPr>
      <xdr:spPr>
        <a:xfrm>
          <a:off x="8865735" y="2794000"/>
          <a:ext cx="2809207" cy="1502223"/>
        </a:xfrm>
        <a:prstGeom prst="roundRect">
          <a:avLst/>
        </a:prstGeom>
        <a:gradFill>
          <a:gsLst>
            <a:gs pos="0">
              <a:srgbClr val="F0F8FD"/>
            </a:gs>
            <a:gs pos="72700">
              <a:srgbClr val="79B1D5">
                <a:lumMod val="100000"/>
              </a:srgbClr>
            </a:gs>
            <a:gs pos="100000">
              <a:schemeClr val="accent1">
                <a:lumMod val="30000"/>
                <a:lumOff val="70000"/>
              </a:schemeClr>
            </a:gs>
          </a:gsLst>
          <a:lin ang="5400000" scaled="1"/>
        </a:gra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400050</xdr:colOff>
      <xdr:row>0</xdr:row>
      <xdr:rowOff>142874</xdr:rowOff>
    </xdr:from>
    <xdr:to>
      <xdr:col>2</xdr:col>
      <xdr:colOff>28575</xdr:colOff>
      <xdr:row>3</xdr:row>
      <xdr:rowOff>142874</xdr:rowOff>
    </xdr:to>
    <xdr:pic>
      <xdr:nvPicPr>
        <xdr:cNvPr id="16" name="Graphic 15" descr="Man with solid fill">
          <a:extLst>
            <a:ext uri="{FF2B5EF4-FFF2-40B4-BE49-F238E27FC236}">
              <a16:creationId xmlns:a16="http://schemas.microsoft.com/office/drawing/2014/main" id="{0D749932-E446-645D-5393-590739CF4B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0050" y="142874"/>
          <a:ext cx="847725" cy="542925"/>
        </a:xfrm>
        <a:prstGeom prst="rect">
          <a:avLst/>
        </a:prstGeom>
      </xdr:spPr>
    </xdr:pic>
    <xdr:clientData/>
  </xdr:twoCellAnchor>
  <xdr:twoCellAnchor>
    <xdr:from>
      <xdr:col>0</xdr:col>
      <xdr:colOff>419100</xdr:colOff>
      <xdr:row>3</xdr:row>
      <xdr:rowOff>142875</xdr:rowOff>
    </xdr:from>
    <xdr:to>
      <xdr:col>1</xdr:col>
      <xdr:colOff>600075</xdr:colOff>
      <xdr:row>5</xdr:row>
      <xdr:rowOff>28576</xdr:rowOff>
    </xdr:to>
    <xdr:sp macro="" textlink="">
      <xdr:nvSpPr>
        <xdr:cNvPr id="17" name="TextBox 16">
          <a:extLst>
            <a:ext uri="{FF2B5EF4-FFF2-40B4-BE49-F238E27FC236}">
              <a16:creationId xmlns:a16="http://schemas.microsoft.com/office/drawing/2014/main" id="{57446650-4CD1-3624-E8F0-E6C54AB2EF75}"/>
            </a:ext>
          </a:extLst>
        </xdr:cNvPr>
        <xdr:cNvSpPr txBox="1"/>
      </xdr:nvSpPr>
      <xdr:spPr>
        <a:xfrm>
          <a:off x="419100" y="685800"/>
          <a:ext cx="790575" cy="247651"/>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SATHISH P</a:t>
          </a:r>
        </a:p>
      </xdr:txBody>
    </xdr:sp>
    <xdr:clientData/>
  </xdr:twoCellAnchor>
  <xdr:twoCellAnchor>
    <xdr:from>
      <xdr:col>5</xdr:col>
      <xdr:colOff>21465</xdr:colOff>
      <xdr:row>1</xdr:row>
      <xdr:rowOff>127076</xdr:rowOff>
    </xdr:from>
    <xdr:to>
      <xdr:col>16</xdr:col>
      <xdr:colOff>332704</xdr:colOff>
      <xdr:row>4</xdr:row>
      <xdr:rowOff>127076</xdr:rowOff>
    </xdr:to>
    <xdr:sp macro="" textlink="">
      <xdr:nvSpPr>
        <xdr:cNvPr id="18" name="TextBox 17">
          <a:extLst>
            <a:ext uri="{FF2B5EF4-FFF2-40B4-BE49-F238E27FC236}">
              <a16:creationId xmlns:a16="http://schemas.microsoft.com/office/drawing/2014/main" id="{C66F0442-6594-A218-7085-AB2A34C2CEE0}"/>
            </a:ext>
          </a:extLst>
        </xdr:cNvPr>
        <xdr:cNvSpPr txBox="1"/>
      </xdr:nvSpPr>
      <xdr:spPr>
        <a:xfrm>
          <a:off x="3080197" y="309527"/>
          <a:ext cx="7040451" cy="54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solidFill>
            </a:rPr>
            <a:t>E-COMMERENCE SALES &amp;</a:t>
          </a:r>
          <a:r>
            <a:rPr lang="en-US" sz="2800" b="1" baseline="0">
              <a:solidFill>
                <a:schemeClr val="bg2"/>
              </a:solidFill>
            </a:rPr>
            <a:t> PROFIT DASHBOARD</a:t>
          </a:r>
          <a:endParaRPr lang="en-US" sz="2800" b="1">
            <a:solidFill>
              <a:schemeClr val="bg2"/>
            </a:solidFill>
          </a:endParaRPr>
        </a:p>
      </xdr:txBody>
    </xdr:sp>
    <xdr:clientData/>
  </xdr:twoCellAnchor>
  <xdr:twoCellAnchor editAs="oneCell">
    <xdr:from>
      <xdr:col>2</xdr:col>
      <xdr:colOff>504825</xdr:colOff>
      <xdr:row>0</xdr:row>
      <xdr:rowOff>152400</xdr:rowOff>
    </xdr:from>
    <xdr:to>
      <xdr:col>4</xdr:col>
      <xdr:colOff>76200</xdr:colOff>
      <xdr:row>5</xdr:row>
      <xdr:rowOff>47625</xdr:rowOff>
    </xdr:to>
    <xdr:pic>
      <xdr:nvPicPr>
        <xdr:cNvPr id="20" name="Graphic 19" descr="Bar graph with upward trend with solid fill">
          <a:extLst>
            <a:ext uri="{FF2B5EF4-FFF2-40B4-BE49-F238E27FC236}">
              <a16:creationId xmlns:a16="http://schemas.microsoft.com/office/drawing/2014/main" id="{C3E75598-5AA0-B6AF-1795-DAFC0CA4D3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24025" y="152400"/>
          <a:ext cx="790575" cy="800100"/>
        </a:xfrm>
        <a:prstGeom prst="rect">
          <a:avLst/>
        </a:prstGeom>
      </xdr:spPr>
    </xdr:pic>
    <xdr:clientData/>
  </xdr:twoCellAnchor>
  <xdr:twoCellAnchor editAs="oneCell">
    <xdr:from>
      <xdr:col>2</xdr:col>
      <xdr:colOff>438150</xdr:colOff>
      <xdr:row>6</xdr:row>
      <xdr:rowOff>104775</xdr:rowOff>
    </xdr:from>
    <xdr:to>
      <xdr:col>3</xdr:col>
      <xdr:colOff>533400</xdr:colOff>
      <xdr:row>11</xdr:row>
      <xdr:rowOff>85725</xdr:rowOff>
    </xdr:to>
    <xdr:pic>
      <xdr:nvPicPr>
        <xdr:cNvPr id="22" name="Graphic 21" descr="Bank with solid fill">
          <a:extLst>
            <a:ext uri="{FF2B5EF4-FFF2-40B4-BE49-F238E27FC236}">
              <a16:creationId xmlns:a16="http://schemas.microsoft.com/office/drawing/2014/main" id="{3FD5B8DC-CF20-A1EA-BB39-23305E64B9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57350" y="1190625"/>
          <a:ext cx="704850" cy="885825"/>
        </a:xfrm>
        <a:prstGeom prst="rect">
          <a:avLst/>
        </a:prstGeom>
      </xdr:spPr>
    </xdr:pic>
    <xdr:clientData/>
  </xdr:twoCellAnchor>
  <xdr:twoCellAnchor editAs="oneCell">
    <xdr:from>
      <xdr:col>6</xdr:col>
      <xdr:colOff>238125</xdr:colOff>
      <xdr:row>6</xdr:row>
      <xdr:rowOff>123825</xdr:rowOff>
    </xdr:from>
    <xdr:to>
      <xdr:col>7</xdr:col>
      <xdr:colOff>247650</xdr:colOff>
      <xdr:row>11</xdr:row>
      <xdr:rowOff>104775</xdr:rowOff>
    </xdr:to>
    <xdr:pic>
      <xdr:nvPicPr>
        <xdr:cNvPr id="24" name="Graphic 23" descr="Coins with solid fill">
          <a:extLst>
            <a:ext uri="{FF2B5EF4-FFF2-40B4-BE49-F238E27FC236}">
              <a16:creationId xmlns:a16="http://schemas.microsoft.com/office/drawing/2014/main" id="{7C536FBC-3594-53B5-F789-89F0878CB6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95725" y="1209675"/>
          <a:ext cx="619125" cy="885825"/>
        </a:xfrm>
        <a:prstGeom prst="rect">
          <a:avLst/>
        </a:prstGeom>
      </xdr:spPr>
    </xdr:pic>
    <xdr:clientData/>
  </xdr:twoCellAnchor>
  <xdr:twoCellAnchor>
    <xdr:from>
      <xdr:col>3</xdr:col>
      <xdr:colOff>561975</xdr:colOff>
      <xdr:row>7</xdr:row>
      <xdr:rowOff>9525</xdr:rowOff>
    </xdr:from>
    <xdr:to>
      <xdr:col>5</xdr:col>
      <xdr:colOff>514350</xdr:colOff>
      <xdr:row>8</xdr:row>
      <xdr:rowOff>95250</xdr:rowOff>
    </xdr:to>
    <xdr:sp macro="" textlink="">
      <xdr:nvSpPr>
        <xdr:cNvPr id="25" name="TextBox 24">
          <a:extLst>
            <a:ext uri="{FF2B5EF4-FFF2-40B4-BE49-F238E27FC236}">
              <a16:creationId xmlns:a16="http://schemas.microsoft.com/office/drawing/2014/main" id="{04EF1529-ADED-7450-DD09-42921BAA737F}"/>
            </a:ext>
          </a:extLst>
        </xdr:cNvPr>
        <xdr:cNvSpPr txBox="1"/>
      </xdr:nvSpPr>
      <xdr:spPr>
        <a:xfrm>
          <a:off x="2390775" y="1276350"/>
          <a:ext cx="11715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SALES</a:t>
          </a:r>
          <a:endParaRPr lang="en-US" sz="1400" b="1"/>
        </a:p>
      </xdr:txBody>
    </xdr:sp>
    <xdr:clientData/>
  </xdr:twoCellAnchor>
  <xdr:twoCellAnchor>
    <xdr:from>
      <xdr:col>7</xdr:col>
      <xdr:colOff>304800</xdr:colOff>
      <xdr:row>7</xdr:row>
      <xdr:rowOff>19050</xdr:rowOff>
    </xdr:from>
    <xdr:to>
      <xdr:col>9</xdr:col>
      <xdr:colOff>295275</xdr:colOff>
      <xdr:row>8</xdr:row>
      <xdr:rowOff>123825</xdr:rowOff>
    </xdr:to>
    <xdr:sp macro="" textlink="">
      <xdr:nvSpPr>
        <xdr:cNvPr id="26" name="TextBox 25">
          <a:extLst>
            <a:ext uri="{FF2B5EF4-FFF2-40B4-BE49-F238E27FC236}">
              <a16:creationId xmlns:a16="http://schemas.microsoft.com/office/drawing/2014/main" id="{8623CDB9-50AC-426E-8BB4-AF3F598A483A}"/>
            </a:ext>
          </a:extLst>
        </xdr:cNvPr>
        <xdr:cNvSpPr txBox="1"/>
      </xdr:nvSpPr>
      <xdr:spPr>
        <a:xfrm>
          <a:off x="4572000" y="1285875"/>
          <a:ext cx="1209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PROFIT</a:t>
          </a:r>
          <a:endParaRPr lang="en-US" sz="1400" b="1"/>
        </a:p>
      </xdr:txBody>
    </xdr:sp>
    <xdr:clientData/>
  </xdr:twoCellAnchor>
  <xdr:twoCellAnchor>
    <xdr:from>
      <xdr:col>3</xdr:col>
      <xdr:colOff>561975</xdr:colOff>
      <xdr:row>9</xdr:row>
      <xdr:rowOff>38100</xdr:rowOff>
    </xdr:from>
    <xdr:to>
      <xdr:col>5</xdr:col>
      <xdr:colOff>400050</xdr:colOff>
      <xdr:row>10</xdr:row>
      <xdr:rowOff>123825</xdr:rowOff>
    </xdr:to>
    <xdr:sp macro="" textlink="'Pivot Table '!A13">
      <xdr:nvSpPr>
        <xdr:cNvPr id="27" name="TextBox 26">
          <a:extLst>
            <a:ext uri="{FF2B5EF4-FFF2-40B4-BE49-F238E27FC236}">
              <a16:creationId xmlns:a16="http://schemas.microsoft.com/office/drawing/2014/main" id="{87322FEA-F401-4DDF-A978-B748863F052C}"/>
            </a:ext>
          </a:extLst>
        </xdr:cNvPr>
        <xdr:cNvSpPr txBox="1"/>
      </xdr:nvSpPr>
      <xdr:spPr>
        <a:xfrm>
          <a:off x="2390775" y="1666875"/>
          <a:ext cx="10572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EF24EE-E719-4EE3-8C5B-8B795A9493F7}" type="TxLink">
            <a:rPr lang="en-US" sz="1400" b="1" i="0" u="none" strike="noStrike">
              <a:solidFill>
                <a:srgbClr val="000000"/>
              </a:solidFill>
              <a:latin typeface="Aptos Narrow"/>
            </a:rPr>
            <a:pPr/>
            <a:t> $1,928,888 </a:t>
          </a:fld>
          <a:endParaRPr lang="en-US" sz="1400" b="1"/>
        </a:p>
      </xdr:txBody>
    </xdr:sp>
    <xdr:clientData/>
  </xdr:twoCellAnchor>
  <xdr:twoCellAnchor>
    <xdr:from>
      <xdr:col>7</xdr:col>
      <xdr:colOff>390525</xdr:colOff>
      <xdr:row>9</xdr:row>
      <xdr:rowOff>57150</xdr:rowOff>
    </xdr:from>
    <xdr:to>
      <xdr:col>9</xdr:col>
      <xdr:colOff>228600</xdr:colOff>
      <xdr:row>10</xdr:row>
      <xdr:rowOff>142875</xdr:rowOff>
    </xdr:to>
    <xdr:sp macro="" textlink="'Pivot Table '!A17">
      <xdr:nvSpPr>
        <xdr:cNvPr id="28" name="TextBox 27">
          <a:extLst>
            <a:ext uri="{FF2B5EF4-FFF2-40B4-BE49-F238E27FC236}">
              <a16:creationId xmlns:a16="http://schemas.microsoft.com/office/drawing/2014/main" id="{93DC9BB8-3561-4679-BF7A-71E9748046D9}"/>
            </a:ext>
          </a:extLst>
        </xdr:cNvPr>
        <xdr:cNvSpPr txBox="1"/>
      </xdr:nvSpPr>
      <xdr:spPr>
        <a:xfrm>
          <a:off x="4657725" y="1685925"/>
          <a:ext cx="10572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7813A8-134B-4BC3-B38B-8C78D46A1C72}" type="TxLink">
            <a:rPr lang="en-US" sz="1400" b="1" i="0" u="none" strike="noStrike">
              <a:solidFill>
                <a:srgbClr val="000000"/>
              </a:solidFill>
              <a:latin typeface="Aptos Narrow"/>
            </a:rPr>
            <a:pPr/>
            <a:t> $247,962 </a:t>
          </a:fld>
          <a:endParaRPr lang="en-US" sz="1400" b="1"/>
        </a:p>
      </xdr:txBody>
    </xdr:sp>
    <xdr:clientData/>
  </xdr:twoCellAnchor>
  <xdr:twoCellAnchor>
    <xdr:from>
      <xdr:col>2</xdr:col>
      <xdr:colOff>446759</xdr:colOff>
      <xdr:row>12</xdr:row>
      <xdr:rowOff>114300</xdr:rowOff>
    </xdr:from>
    <xdr:to>
      <xdr:col>9</xdr:col>
      <xdr:colOff>266700</xdr:colOff>
      <xdr:row>22</xdr:row>
      <xdr:rowOff>104775</xdr:rowOff>
    </xdr:to>
    <xdr:graphicFrame macro="">
      <xdr:nvGraphicFramePr>
        <xdr:cNvPr id="29" name="Chart 28">
          <a:extLst>
            <a:ext uri="{FF2B5EF4-FFF2-40B4-BE49-F238E27FC236}">
              <a16:creationId xmlns:a16="http://schemas.microsoft.com/office/drawing/2014/main" id="{976F77E9-F570-4065-BE04-2A9263673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11418</xdr:colOff>
      <xdr:row>6</xdr:row>
      <xdr:rowOff>76200</xdr:rowOff>
    </xdr:from>
    <xdr:to>
      <xdr:col>14</xdr:col>
      <xdr:colOff>104775</xdr:colOff>
      <xdr:row>23</xdr:row>
      <xdr:rowOff>9525</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D2AE41AD-686D-41FF-B849-40046DB4EE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107418" y="1173480"/>
              <a:ext cx="2531757" cy="304228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359317</xdr:colOff>
      <xdr:row>6</xdr:row>
      <xdr:rowOff>117706</xdr:rowOff>
    </xdr:from>
    <xdr:to>
      <xdr:col>18</xdr:col>
      <xdr:colOff>538976</xdr:colOff>
      <xdr:row>14</xdr:row>
      <xdr:rowOff>105316</xdr:rowOff>
    </xdr:to>
    <xdr:graphicFrame macro="">
      <xdr:nvGraphicFramePr>
        <xdr:cNvPr id="32" name="Chart 31">
          <a:extLst>
            <a:ext uri="{FF2B5EF4-FFF2-40B4-BE49-F238E27FC236}">
              <a16:creationId xmlns:a16="http://schemas.microsoft.com/office/drawing/2014/main" id="{4C3D1145-37E4-48ED-9E29-350FD008B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271557</xdr:colOff>
      <xdr:row>15</xdr:row>
      <xdr:rowOff>35034</xdr:rowOff>
    </xdr:from>
    <xdr:to>
      <xdr:col>18</xdr:col>
      <xdr:colOff>562343</xdr:colOff>
      <xdr:row>23</xdr:row>
      <xdr:rowOff>52552</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A970D241-07C9-45DD-99FB-79FE479FDD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805957" y="2778234"/>
              <a:ext cx="2729186" cy="14805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425533</xdr:colOff>
      <xdr:row>23</xdr:row>
      <xdr:rowOff>98960</xdr:rowOff>
    </xdr:from>
    <xdr:to>
      <xdr:col>9</xdr:col>
      <xdr:colOff>346364</xdr:colOff>
      <xdr:row>33</xdr:row>
      <xdr:rowOff>138544</xdr:rowOff>
    </xdr:to>
    <xdr:graphicFrame macro="">
      <xdr:nvGraphicFramePr>
        <xdr:cNvPr id="4" name="Chart 3">
          <a:extLst>
            <a:ext uri="{FF2B5EF4-FFF2-40B4-BE49-F238E27FC236}">
              <a16:creationId xmlns:a16="http://schemas.microsoft.com/office/drawing/2014/main" id="{B40385A3-A384-4935-9E95-ADDBDB54E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9629</xdr:colOff>
      <xdr:row>24</xdr:row>
      <xdr:rowOff>13729</xdr:rowOff>
    </xdr:from>
    <xdr:to>
      <xdr:col>18</xdr:col>
      <xdr:colOff>545225</xdr:colOff>
      <xdr:row>33</xdr:row>
      <xdr:rowOff>116701</xdr:rowOff>
    </xdr:to>
    <xdr:graphicFrame macro="">
      <xdr:nvGraphicFramePr>
        <xdr:cNvPr id="15" name="Chart 14">
          <a:extLst>
            <a:ext uri="{FF2B5EF4-FFF2-40B4-BE49-F238E27FC236}">
              <a16:creationId xmlns:a16="http://schemas.microsoft.com/office/drawing/2014/main" id="{393D292D-1C5A-4497-A9A0-CACF21387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98961</xdr:colOff>
      <xdr:row>5</xdr:row>
      <xdr:rowOff>158338</xdr:rowOff>
    </xdr:from>
    <xdr:to>
      <xdr:col>2</xdr:col>
      <xdr:colOff>277091</xdr:colOff>
      <xdr:row>13</xdr:row>
      <xdr:rowOff>50800</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EED23422-6A5D-4743-A4F8-43B4A8FDFFC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961" y="1097790"/>
              <a:ext cx="1388979" cy="1395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89065</xdr:colOff>
      <xdr:row>21</xdr:row>
      <xdr:rowOff>158338</xdr:rowOff>
    </xdr:from>
    <xdr:to>
      <xdr:col>2</xdr:col>
      <xdr:colOff>277091</xdr:colOff>
      <xdr:row>34</xdr:row>
      <xdr:rowOff>39584</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724DA084-F641-40D3-990E-F97F7CF77C8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9065" y="4104037"/>
              <a:ext cx="1398875" cy="2323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89066</xdr:colOff>
      <xdr:row>13</xdr:row>
      <xdr:rowOff>59377</xdr:rowOff>
    </xdr:from>
    <xdr:to>
      <xdr:col>2</xdr:col>
      <xdr:colOff>267195</xdr:colOff>
      <xdr:row>21</xdr:row>
      <xdr:rowOff>165100</xdr:rowOff>
    </xdr:to>
    <mc:AlternateContent xmlns:mc="http://schemas.openxmlformats.org/markup-compatibility/2006" xmlns:a14="http://schemas.microsoft.com/office/drawing/2010/main">
      <mc:Choice Requires="a14">
        <xdr:graphicFrame macro="">
          <xdr:nvGraphicFramePr>
            <xdr:cNvPr id="23" name="Year 1">
              <a:extLst>
                <a:ext uri="{FF2B5EF4-FFF2-40B4-BE49-F238E27FC236}">
                  <a16:creationId xmlns:a16="http://schemas.microsoft.com/office/drawing/2014/main" id="{4FE8880E-F6A8-4A09-83F8-257B1858576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066" y="2501952"/>
              <a:ext cx="1388978" cy="1608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326570</xdr:colOff>
      <xdr:row>0</xdr:row>
      <xdr:rowOff>178129</xdr:rowOff>
    </xdr:from>
    <xdr:to>
      <xdr:col>18</xdr:col>
      <xdr:colOff>356259</xdr:colOff>
      <xdr:row>5</xdr:row>
      <xdr:rowOff>39584</xdr:rowOff>
    </xdr:to>
    <xdr:pic>
      <xdr:nvPicPr>
        <xdr:cNvPr id="36" name="Graphic 35" descr="Monitor with solid fill">
          <a:extLst>
            <a:ext uri="{FF2B5EF4-FFF2-40B4-BE49-F238E27FC236}">
              <a16:creationId xmlns:a16="http://schemas.microsoft.com/office/drawing/2014/main" id="{460499CD-9E01-1218-58D7-28C55BDBEF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57064" y="178129"/>
          <a:ext cx="643247" cy="7521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freshedDate="45892.796784259262" createdVersion="8" refreshedVersion="8" minRefreshableVersion="3" recordCount="8314" xr:uid="{3808FD67-23D1-4FB7-983A-2A4DF3155275}">
  <cacheSource type="worksheet">
    <worksheetSource name="datas"/>
  </cacheSource>
  <cacheFields count="10">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98674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freshedDate="45892.812598263889" createdVersion="8" refreshedVersion="8" minRefreshableVersion="3" recordCount="2319" xr:uid="{47EA8278-D07C-4C64-8851-FBFC2BE0478D}">
  <cacheSource type="worksheet">
    <worksheetSource ref="O4:P2323" sheet="Pivot Table "/>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n v="16.45"/>
    <n v="2"/>
    <n v="6"/>
    <x v="0"/>
    <x v="0"/>
  </r>
  <r>
    <d v="2021-01-04T00:00:00"/>
    <x v="1"/>
    <x v="1"/>
    <x v="0"/>
    <x v="1"/>
    <n v="11.78"/>
    <n v="3"/>
    <n v="4.2699999999999996"/>
    <x v="0"/>
    <x v="0"/>
  </r>
  <r>
    <d v="2021-01-04T00:00:00"/>
    <x v="1"/>
    <x v="1"/>
    <x v="0"/>
    <x v="2"/>
    <n v="272.74"/>
    <n v="3"/>
    <n v="-64.77"/>
    <x v="0"/>
    <x v="0"/>
  </r>
  <r>
    <d v="2021-01-04T00:00:00"/>
    <x v="1"/>
    <x v="1"/>
    <x v="0"/>
    <x v="3"/>
    <n v="3.54"/>
    <n v="2"/>
    <n v="-5.49"/>
    <x v="0"/>
    <x v="0"/>
  </r>
  <r>
    <d v="2021-01-05T00:00:00"/>
    <x v="2"/>
    <x v="2"/>
    <x v="0"/>
    <x v="4"/>
    <n v="19.54"/>
    <n v="3"/>
    <n v="4.88"/>
    <x v="0"/>
    <x v="0"/>
  </r>
  <r>
    <d v="2021-01-06T00:00:00"/>
    <x v="3"/>
    <x v="3"/>
    <x v="0"/>
    <x v="0"/>
    <n v="19.440000000000001"/>
    <n v="3"/>
    <n v="9.33"/>
    <x v="0"/>
    <x v="0"/>
  </r>
  <r>
    <d v="2021-01-06T00:00:00"/>
    <x v="4"/>
    <x v="4"/>
    <x v="0"/>
    <x v="4"/>
    <n v="12.78"/>
    <n v="3"/>
    <n v="5.24"/>
    <x v="0"/>
    <x v="0"/>
  </r>
  <r>
    <d v="2021-01-06T00:00:00"/>
    <x v="5"/>
    <x v="5"/>
    <x v="1"/>
    <x v="5"/>
    <n v="2573.8200000000002"/>
    <n v="9"/>
    <n v="746.41"/>
    <x v="0"/>
    <x v="0"/>
  </r>
  <r>
    <d v="2021-01-06T00:00:00"/>
    <x v="5"/>
    <x v="5"/>
    <x v="0"/>
    <x v="3"/>
    <n v="609.98"/>
    <n v="2"/>
    <n v="274.49"/>
    <x v="0"/>
    <x v="0"/>
  </r>
  <r>
    <d v="2021-01-06T00:00:00"/>
    <x v="5"/>
    <x v="5"/>
    <x v="0"/>
    <x v="4"/>
    <n v="5.48"/>
    <n v="2"/>
    <n v="1.48"/>
    <x v="0"/>
    <x v="0"/>
  </r>
  <r>
    <d v="2021-01-06T00:00:00"/>
    <x v="5"/>
    <x v="5"/>
    <x v="2"/>
    <x v="6"/>
    <n v="391.98"/>
    <n v="2"/>
    <n v="113.67"/>
    <x v="0"/>
    <x v="0"/>
  </r>
  <r>
    <d v="2021-01-06T00:00:00"/>
    <x v="5"/>
    <x v="5"/>
    <x v="2"/>
    <x v="6"/>
    <n v="755.96"/>
    <n v="4"/>
    <n v="204.11"/>
    <x v="0"/>
    <x v="0"/>
  </r>
  <r>
    <d v="2021-01-06T00:00:00"/>
    <x v="5"/>
    <x v="5"/>
    <x v="0"/>
    <x v="7"/>
    <n v="31.12"/>
    <n v="4"/>
    <n v="0.31"/>
    <x v="0"/>
    <x v="0"/>
  </r>
  <r>
    <d v="2021-01-06T00:00:00"/>
    <x v="5"/>
    <x v="5"/>
    <x v="0"/>
    <x v="0"/>
    <n v="6.54"/>
    <n v="1"/>
    <n v="3.01"/>
    <x v="0"/>
    <x v="0"/>
  </r>
  <r>
    <d v="2021-01-07T00:00:00"/>
    <x v="6"/>
    <x v="0"/>
    <x v="1"/>
    <x v="8"/>
    <n v="76.73"/>
    <n v="3"/>
    <n v="-53.71"/>
    <x v="0"/>
    <x v="0"/>
  </r>
  <r>
    <d v="2021-01-07T00:00:00"/>
    <x v="6"/>
    <x v="0"/>
    <x v="0"/>
    <x v="3"/>
    <n v="10.43"/>
    <n v="7"/>
    <n v="-18.25"/>
    <x v="0"/>
    <x v="0"/>
  </r>
  <r>
    <d v="2021-01-09T00:00:00"/>
    <x v="7"/>
    <x v="0"/>
    <x v="0"/>
    <x v="4"/>
    <n v="9.34"/>
    <n v="2"/>
    <n v="1.17"/>
    <x v="0"/>
    <x v="0"/>
  </r>
  <r>
    <d v="2021-01-09T00:00:00"/>
    <x v="7"/>
    <x v="0"/>
    <x v="2"/>
    <x v="9"/>
    <n v="31.2"/>
    <n v="3"/>
    <n v="9.75"/>
    <x v="0"/>
    <x v="0"/>
  </r>
  <r>
    <d v="2021-01-10T00:00:00"/>
    <x v="8"/>
    <x v="6"/>
    <x v="0"/>
    <x v="1"/>
    <n v="2.89"/>
    <n v="1"/>
    <n v="1.36"/>
    <x v="0"/>
    <x v="0"/>
  </r>
  <r>
    <d v="2021-01-10T00:00:00"/>
    <x v="8"/>
    <x v="6"/>
    <x v="1"/>
    <x v="8"/>
    <n v="51.94"/>
    <n v="1"/>
    <n v="21.3"/>
    <x v="0"/>
    <x v="0"/>
  </r>
  <r>
    <d v="2021-01-11T00:00:00"/>
    <x v="9"/>
    <x v="7"/>
    <x v="1"/>
    <x v="8"/>
    <n v="9.94"/>
    <n v="2"/>
    <n v="3.08"/>
    <x v="0"/>
    <x v="0"/>
  </r>
  <r>
    <d v="2021-01-13T00:00:00"/>
    <x v="10"/>
    <x v="8"/>
    <x v="0"/>
    <x v="10"/>
    <n v="11.36"/>
    <n v="2"/>
    <n v="5.34"/>
    <x v="0"/>
    <x v="0"/>
  </r>
  <r>
    <d v="2021-01-13T00:00:00"/>
    <x v="10"/>
    <x v="8"/>
    <x v="0"/>
    <x v="10"/>
    <n v="50.94"/>
    <n v="3"/>
    <n v="25.47"/>
    <x v="0"/>
    <x v="0"/>
  </r>
  <r>
    <d v="2021-01-13T00:00:00"/>
    <x v="10"/>
    <x v="8"/>
    <x v="2"/>
    <x v="9"/>
    <n v="646.74"/>
    <n v="6"/>
    <n v="258.7"/>
    <x v="0"/>
    <x v="0"/>
  </r>
  <r>
    <d v="2021-01-13T00:00:00"/>
    <x v="10"/>
    <x v="8"/>
    <x v="0"/>
    <x v="3"/>
    <n v="5.64"/>
    <n v="3"/>
    <n v="2.71"/>
    <x v="0"/>
    <x v="0"/>
  </r>
  <r>
    <d v="2021-01-13T00:00:00"/>
    <x v="10"/>
    <x v="8"/>
    <x v="0"/>
    <x v="2"/>
    <n v="572.58000000000004"/>
    <n v="6"/>
    <n v="34.35"/>
    <x v="0"/>
    <x v="0"/>
  </r>
  <r>
    <d v="2021-01-13T00:00:00"/>
    <x v="11"/>
    <x v="9"/>
    <x v="1"/>
    <x v="5"/>
    <n v="545.94000000000005"/>
    <n v="6"/>
    <n v="87.35"/>
    <x v="0"/>
    <x v="0"/>
  </r>
  <r>
    <d v="2021-01-13T00:00:00"/>
    <x v="12"/>
    <x v="3"/>
    <x v="0"/>
    <x v="2"/>
    <n v="1325.85"/>
    <n v="5"/>
    <n v="238.65"/>
    <x v="0"/>
    <x v="0"/>
  </r>
  <r>
    <d v="2021-01-13T00:00:00"/>
    <x v="12"/>
    <x v="3"/>
    <x v="1"/>
    <x v="11"/>
    <n v="334"/>
    <n v="3"/>
    <n v="3.93"/>
    <x v="0"/>
    <x v="0"/>
  </r>
  <r>
    <d v="2021-01-13T00:00:00"/>
    <x v="12"/>
    <x v="3"/>
    <x v="0"/>
    <x v="4"/>
    <n v="19.899999999999999"/>
    <n v="5"/>
    <n v="6.57"/>
    <x v="0"/>
    <x v="0"/>
  </r>
  <r>
    <d v="2021-01-13T00:00:00"/>
    <x v="13"/>
    <x v="10"/>
    <x v="0"/>
    <x v="0"/>
    <n v="37.409999999999997"/>
    <n v="7"/>
    <n v="13.09"/>
    <x v="0"/>
    <x v="0"/>
  </r>
  <r>
    <d v="2021-01-13T00:00:00"/>
    <x v="13"/>
    <x v="10"/>
    <x v="0"/>
    <x v="3"/>
    <n v="3.44"/>
    <n v="2"/>
    <n v="-2.52"/>
    <x v="0"/>
    <x v="0"/>
  </r>
  <r>
    <d v="2021-01-14T00:00:00"/>
    <x v="14"/>
    <x v="2"/>
    <x v="1"/>
    <x v="11"/>
    <n v="61.96"/>
    <n v="4"/>
    <n v="-53.29"/>
    <x v="0"/>
    <x v="0"/>
  </r>
  <r>
    <d v="2021-01-15T00:00:00"/>
    <x v="15"/>
    <x v="4"/>
    <x v="2"/>
    <x v="9"/>
    <n v="149.94999999999999"/>
    <n v="5"/>
    <n v="65.98"/>
    <x v="0"/>
    <x v="0"/>
  </r>
  <r>
    <d v="2021-01-16T00:00:00"/>
    <x v="16"/>
    <x v="2"/>
    <x v="1"/>
    <x v="8"/>
    <n v="127.1"/>
    <n v="6"/>
    <n v="28.6"/>
    <x v="0"/>
    <x v="0"/>
  </r>
  <r>
    <d v="2021-01-16T00:00:00"/>
    <x v="16"/>
    <x v="2"/>
    <x v="2"/>
    <x v="6"/>
    <n v="124.2"/>
    <n v="3"/>
    <n v="-31.05"/>
    <x v="0"/>
    <x v="0"/>
  </r>
  <r>
    <d v="2021-01-16T00:00:00"/>
    <x v="16"/>
    <x v="2"/>
    <x v="0"/>
    <x v="3"/>
    <n v="18.59"/>
    <n v="2"/>
    <n v="-13.63"/>
    <x v="0"/>
    <x v="0"/>
  </r>
  <r>
    <d v="2021-01-16T00:00:00"/>
    <x v="16"/>
    <x v="2"/>
    <x v="0"/>
    <x v="1"/>
    <n v="30.07"/>
    <n v="3"/>
    <n v="10.15"/>
    <x v="0"/>
    <x v="0"/>
  </r>
  <r>
    <d v="2021-01-18T00:00:00"/>
    <x v="17"/>
    <x v="11"/>
    <x v="0"/>
    <x v="12"/>
    <n v="64.86"/>
    <n v="4"/>
    <n v="6.49"/>
    <x v="0"/>
    <x v="0"/>
  </r>
  <r>
    <d v="2021-01-19T00:00:00"/>
    <x v="18"/>
    <x v="12"/>
    <x v="0"/>
    <x v="3"/>
    <n v="32.340000000000003"/>
    <n v="10"/>
    <n v="-23.72"/>
    <x v="0"/>
    <x v="0"/>
  </r>
  <r>
    <d v="2021-01-19T00:00:00"/>
    <x v="18"/>
    <x v="12"/>
    <x v="0"/>
    <x v="0"/>
    <n v="56.06"/>
    <n v="4"/>
    <n v="19.62"/>
    <x v="0"/>
    <x v="0"/>
  </r>
  <r>
    <d v="2021-01-19T00:00:00"/>
    <x v="18"/>
    <x v="12"/>
    <x v="0"/>
    <x v="10"/>
    <n v="108.72"/>
    <n v="5"/>
    <n v="36.69"/>
    <x v="0"/>
    <x v="0"/>
  </r>
  <r>
    <d v="2021-01-19T00:00:00"/>
    <x v="18"/>
    <x v="12"/>
    <x v="1"/>
    <x v="11"/>
    <n v="181.47"/>
    <n v="5"/>
    <n v="-320.60000000000002"/>
    <x v="0"/>
    <x v="0"/>
  </r>
  <r>
    <d v="2021-01-20T00:00:00"/>
    <x v="19"/>
    <x v="13"/>
    <x v="2"/>
    <x v="6"/>
    <n v="699.93"/>
    <n v="7"/>
    <n v="181.98"/>
    <x v="0"/>
    <x v="0"/>
  </r>
  <r>
    <d v="2021-01-20T00:00:00"/>
    <x v="19"/>
    <x v="13"/>
    <x v="0"/>
    <x v="4"/>
    <n v="22.96"/>
    <n v="7"/>
    <n v="6.66"/>
    <x v="0"/>
    <x v="0"/>
  </r>
  <r>
    <d v="2021-01-20T00:00:00"/>
    <x v="19"/>
    <x v="13"/>
    <x v="1"/>
    <x v="8"/>
    <n v="38.6"/>
    <n v="4"/>
    <n v="11.58"/>
    <x v="0"/>
    <x v="0"/>
  </r>
  <r>
    <d v="2021-01-20T00:00:00"/>
    <x v="19"/>
    <x v="13"/>
    <x v="0"/>
    <x v="4"/>
    <n v="6.63"/>
    <n v="3"/>
    <n v="1.79"/>
    <x v="0"/>
    <x v="0"/>
  </r>
  <r>
    <d v="2021-01-20T00:00:00"/>
    <x v="19"/>
    <x v="13"/>
    <x v="0"/>
    <x v="10"/>
    <n v="23.34"/>
    <n v="3"/>
    <n v="10.97"/>
    <x v="0"/>
    <x v="0"/>
  </r>
  <r>
    <d v="2021-01-20T00:00:00"/>
    <x v="19"/>
    <x v="13"/>
    <x v="1"/>
    <x v="5"/>
    <n v="1067.94"/>
    <n v="3"/>
    <n v="224.27"/>
    <x v="0"/>
    <x v="0"/>
  </r>
  <r>
    <d v="2021-01-20T00:00:00"/>
    <x v="20"/>
    <x v="3"/>
    <x v="0"/>
    <x v="0"/>
    <n v="19.36"/>
    <n v="2"/>
    <n v="9.2899999999999991"/>
    <x v="0"/>
    <x v="0"/>
  </r>
  <r>
    <d v="2021-01-20T00:00:00"/>
    <x v="20"/>
    <x v="3"/>
    <x v="1"/>
    <x v="8"/>
    <n v="19.3"/>
    <n v="2"/>
    <n v="5.79"/>
    <x v="0"/>
    <x v="0"/>
  </r>
  <r>
    <d v="2021-01-20T00:00:00"/>
    <x v="21"/>
    <x v="14"/>
    <x v="0"/>
    <x v="2"/>
    <n v="13.98"/>
    <n v="1"/>
    <n v="4.05"/>
    <x v="0"/>
    <x v="0"/>
  </r>
  <r>
    <d v="2021-01-20T00:00:00"/>
    <x v="21"/>
    <x v="14"/>
    <x v="1"/>
    <x v="8"/>
    <n v="272.94"/>
    <n v="3"/>
    <n v="30.02"/>
    <x v="0"/>
    <x v="0"/>
  </r>
  <r>
    <d v="2021-01-20T00:00:00"/>
    <x v="21"/>
    <x v="14"/>
    <x v="0"/>
    <x v="3"/>
    <n v="19.05"/>
    <n v="5"/>
    <n v="8.9499999999999993"/>
    <x v="0"/>
    <x v="0"/>
  </r>
  <r>
    <d v="2021-01-20T00:00:00"/>
    <x v="21"/>
    <x v="14"/>
    <x v="0"/>
    <x v="12"/>
    <n v="247.72"/>
    <n v="4"/>
    <n v="93.58"/>
    <x v="0"/>
    <x v="0"/>
  </r>
  <r>
    <d v="2021-01-20T00:00:00"/>
    <x v="21"/>
    <x v="14"/>
    <x v="0"/>
    <x v="2"/>
    <n v="66.58"/>
    <n v="2"/>
    <n v="15.98"/>
    <x v="0"/>
    <x v="0"/>
  </r>
  <r>
    <d v="2021-01-20T00:00:00"/>
    <x v="21"/>
    <x v="14"/>
    <x v="0"/>
    <x v="4"/>
    <n v="43.92"/>
    <n v="3"/>
    <n v="12.74"/>
    <x v="0"/>
    <x v="0"/>
  </r>
  <r>
    <d v="2021-01-20T00:00:00"/>
    <x v="21"/>
    <x v="14"/>
    <x v="1"/>
    <x v="8"/>
    <n v="14.73"/>
    <n v="3"/>
    <n v="4.8600000000000003"/>
    <x v="0"/>
    <x v="0"/>
  </r>
  <r>
    <d v="2021-01-20T00:00:00"/>
    <x v="21"/>
    <x v="14"/>
    <x v="0"/>
    <x v="3"/>
    <n v="29.7"/>
    <n v="5"/>
    <n v="13.37"/>
    <x v="0"/>
    <x v="0"/>
  </r>
  <r>
    <d v="2021-01-20T00:00:00"/>
    <x v="22"/>
    <x v="15"/>
    <x v="0"/>
    <x v="3"/>
    <n v="67.19"/>
    <n v="1"/>
    <n v="-51.52"/>
    <x v="0"/>
    <x v="0"/>
  </r>
  <r>
    <d v="2021-01-21T00:00:00"/>
    <x v="23"/>
    <x v="16"/>
    <x v="1"/>
    <x v="8"/>
    <n v="25.25"/>
    <n v="3"/>
    <n v="4.0999999999999996"/>
    <x v="0"/>
    <x v="0"/>
  </r>
  <r>
    <d v="2021-01-23T00:00:00"/>
    <x v="24"/>
    <x v="17"/>
    <x v="0"/>
    <x v="0"/>
    <n v="40.08"/>
    <n v="6"/>
    <n v="19.239999999999998"/>
    <x v="0"/>
    <x v="0"/>
  </r>
  <r>
    <d v="2021-01-23T00:00:00"/>
    <x v="25"/>
    <x v="18"/>
    <x v="0"/>
    <x v="7"/>
    <n v="5.94"/>
    <n v="3"/>
    <n v="0"/>
    <x v="0"/>
    <x v="0"/>
  </r>
  <r>
    <d v="2021-01-26T00:00:00"/>
    <x v="26"/>
    <x v="6"/>
    <x v="1"/>
    <x v="8"/>
    <n v="62.82"/>
    <n v="3"/>
    <n v="30.78"/>
    <x v="0"/>
    <x v="0"/>
  </r>
  <r>
    <d v="2021-01-26T00:00:00"/>
    <x v="26"/>
    <x v="6"/>
    <x v="0"/>
    <x v="2"/>
    <n v="489.92"/>
    <n v="8"/>
    <n v="0"/>
    <x v="0"/>
    <x v="0"/>
  </r>
  <r>
    <d v="2021-01-26T00:00:00"/>
    <x v="26"/>
    <x v="6"/>
    <x v="0"/>
    <x v="0"/>
    <n v="19.440000000000001"/>
    <n v="3"/>
    <n v="9.33"/>
    <x v="0"/>
    <x v="0"/>
  </r>
  <r>
    <d v="2021-01-26T00:00:00"/>
    <x v="26"/>
    <x v="6"/>
    <x v="0"/>
    <x v="0"/>
    <n v="16.68"/>
    <n v="2"/>
    <n v="8.34"/>
    <x v="0"/>
    <x v="0"/>
  </r>
  <r>
    <d v="2021-01-26T00:00:00"/>
    <x v="26"/>
    <x v="6"/>
    <x v="2"/>
    <x v="6"/>
    <n v="155.35"/>
    <n v="13"/>
    <n v="0"/>
    <x v="0"/>
    <x v="0"/>
  </r>
  <r>
    <d v="2021-01-26T00:00:00"/>
    <x v="26"/>
    <x v="6"/>
    <x v="1"/>
    <x v="8"/>
    <n v="12.42"/>
    <n v="3"/>
    <n v="4.47"/>
    <x v="0"/>
    <x v="0"/>
  </r>
  <r>
    <d v="2021-01-26T00:00:00"/>
    <x v="26"/>
    <x v="6"/>
    <x v="2"/>
    <x v="6"/>
    <n v="187.98"/>
    <n v="2"/>
    <n v="52.63"/>
    <x v="0"/>
    <x v="0"/>
  </r>
  <r>
    <d v="2021-01-26T00:00:00"/>
    <x v="27"/>
    <x v="19"/>
    <x v="0"/>
    <x v="3"/>
    <n v="10.68"/>
    <n v="2"/>
    <n v="5.0199999999999996"/>
    <x v="0"/>
    <x v="0"/>
  </r>
  <r>
    <d v="2021-01-26T00:00:00"/>
    <x v="27"/>
    <x v="19"/>
    <x v="1"/>
    <x v="11"/>
    <n v="141.96"/>
    <n v="2"/>
    <n v="39.75"/>
    <x v="0"/>
    <x v="0"/>
  </r>
  <r>
    <d v="2021-01-27T00:00:00"/>
    <x v="28"/>
    <x v="3"/>
    <x v="0"/>
    <x v="2"/>
    <n v="57.23"/>
    <n v="1"/>
    <n v="14.31"/>
    <x v="0"/>
    <x v="0"/>
  </r>
  <r>
    <d v="2021-01-27T00:00:00"/>
    <x v="28"/>
    <x v="3"/>
    <x v="1"/>
    <x v="13"/>
    <n v="333"/>
    <n v="3"/>
    <n v="-16.649999999999999"/>
    <x v="0"/>
    <x v="0"/>
  </r>
  <r>
    <d v="2021-01-27T00:00:00"/>
    <x v="28"/>
    <x v="3"/>
    <x v="0"/>
    <x v="4"/>
    <n v="36.44"/>
    <n v="4"/>
    <n v="12.03"/>
    <x v="0"/>
    <x v="0"/>
  </r>
  <r>
    <d v="2021-01-28T00:00:00"/>
    <x v="29"/>
    <x v="20"/>
    <x v="0"/>
    <x v="3"/>
    <n v="3.93"/>
    <n v="1"/>
    <n v="1.33"/>
    <x v="0"/>
    <x v="0"/>
  </r>
  <r>
    <d v="2021-01-30T00:00:00"/>
    <x v="30"/>
    <x v="14"/>
    <x v="0"/>
    <x v="0"/>
    <n v="10.56"/>
    <n v="2"/>
    <n v="4.75"/>
    <x v="0"/>
    <x v="0"/>
  </r>
  <r>
    <d v="2021-01-30T00:00:00"/>
    <x v="30"/>
    <x v="14"/>
    <x v="0"/>
    <x v="2"/>
    <n v="229.94"/>
    <n v="2"/>
    <n v="6.9"/>
    <x v="0"/>
    <x v="0"/>
  </r>
  <r>
    <d v="2021-01-31T00:00:00"/>
    <x v="31"/>
    <x v="3"/>
    <x v="1"/>
    <x v="11"/>
    <n v="290.67"/>
    <n v="2"/>
    <n v="3.42"/>
    <x v="0"/>
    <x v="0"/>
  </r>
  <r>
    <d v="2021-02-01T00:00:00"/>
    <x v="32"/>
    <x v="21"/>
    <x v="2"/>
    <x v="9"/>
    <n v="468.9"/>
    <n v="6"/>
    <n v="206.32"/>
    <x v="1"/>
    <x v="0"/>
  </r>
  <r>
    <d v="2021-02-02T00:00:00"/>
    <x v="33"/>
    <x v="3"/>
    <x v="0"/>
    <x v="7"/>
    <n v="12.35"/>
    <n v="5"/>
    <n v="5.8"/>
    <x v="1"/>
    <x v="0"/>
  </r>
  <r>
    <d v="2021-02-02T00:00:00"/>
    <x v="34"/>
    <x v="16"/>
    <x v="0"/>
    <x v="3"/>
    <n v="18.34"/>
    <n v="2"/>
    <n v="-12.22"/>
    <x v="1"/>
    <x v="0"/>
  </r>
  <r>
    <d v="2021-02-02T00:00:00"/>
    <x v="34"/>
    <x v="16"/>
    <x v="2"/>
    <x v="6"/>
    <n v="180.96"/>
    <n v="5"/>
    <n v="13.57"/>
    <x v="1"/>
    <x v="0"/>
  </r>
  <r>
    <d v="2021-02-03T00:00:00"/>
    <x v="23"/>
    <x v="22"/>
    <x v="0"/>
    <x v="3"/>
    <n v="83.84"/>
    <n v="2"/>
    <n v="27.25"/>
    <x v="1"/>
    <x v="0"/>
  </r>
  <r>
    <d v="2021-02-03T00:00:00"/>
    <x v="23"/>
    <x v="22"/>
    <x v="0"/>
    <x v="3"/>
    <n v="13.27"/>
    <n v="3"/>
    <n v="4.3099999999999996"/>
    <x v="1"/>
    <x v="0"/>
  </r>
  <r>
    <d v="2021-02-04T00:00:00"/>
    <x v="35"/>
    <x v="3"/>
    <x v="0"/>
    <x v="3"/>
    <n v="82.9"/>
    <n v="3"/>
    <n v="29.01"/>
    <x v="1"/>
    <x v="0"/>
  </r>
  <r>
    <d v="2021-02-04T00:00:00"/>
    <x v="35"/>
    <x v="3"/>
    <x v="0"/>
    <x v="0"/>
    <n v="34.24"/>
    <n v="4"/>
    <n v="16.09"/>
    <x v="1"/>
    <x v="0"/>
  </r>
  <r>
    <d v="2021-02-04T00:00:00"/>
    <x v="36"/>
    <x v="3"/>
    <x v="0"/>
    <x v="3"/>
    <n v="17.25"/>
    <n v="2"/>
    <n v="6.04"/>
    <x v="1"/>
    <x v="0"/>
  </r>
  <r>
    <d v="2021-02-06T00:00:00"/>
    <x v="37"/>
    <x v="6"/>
    <x v="0"/>
    <x v="1"/>
    <n v="15"/>
    <n v="4"/>
    <n v="7.2"/>
    <x v="1"/>
    <x v="0"/>
  </r>
  <r>
    <d v="2021-02-06T00:00:00"/>
    <x v="37"/>
    <x v="6"/>
    <x v="2"/>
    <x v="6"/>
    <n v="161.61000000000001"/>
    <n v="1"/>
    <n v="42.02"/>
    <x v="1"/>
    <x v="0"/>
  </r>
  <r>
    <d v="2021-02-06T00:00:00"/>
    <x v="37"/>
    <x v="6"/>
    <x v="2"/>
    <x v="6"/>
    <n v="144.94999999999999"/>
    <n v="5"/>
    <n v="42.04"/>
    <x v="1"/>
    <x v="0"/>
  </r>
  <r>
    <d v="2021-02-06T00:00:00"/>
    <x v="16"/>
    <x v="1"/>
    <x v="0"/>
    <x v="3"/>
    <n v="8.9499999999999993"/>
    <n v="2"/>
    <n v="-14.77"/>
    <x v="1"/>
    <x v="0"/>
  </r>
  <r>
    <d v="2021-02-07T00:00:00"/>
    <x v="38"/>
    <x v="23"/>
    <x v="2"/>
    <x v="9"/>
    <n v="115.36"/>
    <n v="7"/>
    <n v="49.6"/>
    <x v="1"/>
    <x v="0"/>
  </r>
  <r>
    <d v="2021-02-07T00:00:00"/>
    <x v="10"/>
    <x v="20"/>
    <x v="0"/>
    <x v="2"/>
    <n v="64.959999999999994"/>
    <n v="4"/>
    <n v="9.74"/>
    <x v="1"/>
    <x v="0"/>
  </r>
  <r>
    <d v="2021-02-08T00:00:00"/>
    <x v="39"/>
    <x v="17"/>
    <x v="1"/>
    <x v="8"/>
    <n v="14.56"/>
    <n v="2"/>
    <n v="5.53"/>
    <x v="1"/>
    <x v="0"/>
  </r>
  <r>
    <d v="2021-02-11T00:00:00"/>
    <x v="40"/>
    <x v="6"/>
    <x v="2"/>
    <x v="9"/>
    <n v="234.45"/>
    <n v="3"/>
    <n v="103.16"/>
    <x v="1"/>
    <x v="0"/>
  </r>
  <r>
    <d v="2021-02-11T00:00:00"/>
    <x v="40"/>
    <x v="6"/>
    <x v="1"/>
    <x v="13"/>
    <n v="1256.22"/>
    <n v="6"/>
    <n v="75.37"/>
    <x v="1"/>
    <x v="0"/>
  </r>
  <r>
    <d v="2021-02-11T00:00:00"/>
    <x v="40"/>
    <x v="6"/>
    <x v="0"/>
    <x v="3"/>
    <n v="17.46"/>
    <n v="2"/>
    <n v="8.2100000000000009"/>
    <x v="1"/>
    <x v="0"/>
  </r>
  <r>
    <d v="2021-02-11T00:00:00"/>
    <x v="41"/>
    <x v="24"/>
    <x v="1"/>
    <x v="5"/>
    <n v="60.89"/>
    <n v="1"/>
    <n v="15.22"/>
    <x v="1"/>
    <x v="0"/>
  </r>
  <r>
    <d v="2021-02-11T00:00:00"/>
    <x v="41"/>
    <x v="24"/>
    <x v="0"/>
    <x v="1"/>
    <n v="14.94"/>
    <n v="3"/>
    <n v="6.87"/>
    <x v="1"/>
    <x v="0"/>
  </r>
  <r>
    <d v="2021-02-11T00:00:00"/>
    <x v="41"/>
    <x v="24"/>
    <x v="0"/>
    <x v="3"/>
    <n v="9.64"/>
    <n v="2"/>
    <n v="4.43"/>
    <x v="1"/>
    <x v="0"/>
  </r>
  <r>
    <d v="2021-02-11T00:00:00"/>
    <x v="41"/>
    <x v="24"/>
    <x v="1"/>
    <x v="8"/>
    <n v="332.94"/>
    <n v="3"/>
    <n v="53.27"/>
    <x v="1"/>
    <x v="0"/>
  </r>
  <r>
    <d v="2021-02-11T00:00:00"/>
    <x v="41"/>
    <x v="24"/>
    <x v="0"/>
    <x v="3"/>
    <n v="51.9"/>
    <n v="3"/>
    <n v="24.39"/>
    <x v="1"/>
    <x v="0"/>
  </r>
  <r>
    <d v="2021-02-11T00:00:00"/>
    <x v="41"/>
    <x v="24"/>
    <x v="0"/>
    <x v="2"/>
    <n v="64.959999999999994"/>
    <n v="2"/>
    <n v="2.6"/>
    <x v="1"/>
    <x v="0"/>
  </r>
  <r>
    <d v="2021-02-12T00:00:00"/>
    <x v="42"/>
    <x v="3"/>
    <x v="1"/>
    <x v="5"/>
    <n v="129.57"/>
    <n v="2"/>
    <n v="-24.29"/>
    <x v="1"/>
    <x v="0"/>
  </r>
  <r>
    <d v="2021-02-14T00:00:00"/>
    <x v="43"/>
    <x v="0"/>
    <x v="0"/>
    <x v="0"/>
    <n v="16.18"/>
    <n v="3"/>
    <n v="6.07"/>
    <x v="1"/>
    <x v="0"/>
  </r>
  <r>
    <d v="2021-02-14T00:00:00"/>
    <x v="44"/>
    <x v="22"/>
    <x v="2"/>
    <x v="9"/>
    <n v="239.97"/>
    <n v="3"/>
    <n v="86.39"/>
    <x v="1"/>
    <x v="0"/>
  </r>
  <r>
    <d v="2021-02-14T00:00:00"/>
    <x v="44"/>
    <x v="22"/>
    <x v="0"/>
    <x v="12"/>
    <n v="81.96"/>
    <n v="2"/>
    <n v="22.95"/>
    <x v="1"/>
    <x v="0"/>
  </r>
  <r>
    <d v="2021-02-14T00:00:00"/>
    <x v="44"/>
    <x v="22"/>
    <x v="0"/>
    <x v="14"/>
    <n v="238.62"/>
    <n v="2"/>
    <n v="4.7699999999999996"/>
    <x v="1"/>
    <x v="0"/>
  </r>
  <r>
    <d v="2021-02-15T00:00:00"/>
    <x v="45"/>
    <x v="22"/>
    <x v="0"/>
    <x v="3"/>
    <n v="21.36"/>
    <n v="5"/>
    <n v="7.21"/>
    <x v="1"/>
    <x v="0"/>
  </r>
  <r>
    <d v="2021-02-16T00:00:00"/>
    <x v="46"/>
    <x v="0"/>
    <x v="0"/>
    <x v="3"/>
    <n v="1.08"/>
    <n v="3"/>
    <n v="-1.73"/>
    <x v="1"/>
    <x v="0"/>
  </r>
  <r>
    <d v="2021-02-16T00:00:00"/>
    <x v="46"/>
    <x v="0"/>
    <x v="0"/>
    <x v="12"/>
    <n v="7.96"/>
    <n v="2"/>
    <n v="-13.93"/>
    <x v="1"/>
    <x v="0"/>
  </r>
  <r>
    <d v="2021-02-17T00:00:00"/>
    <x v="16"/>
    <x v="1"/>
    <x v="0"/>
    <x v="4"/>
    <n v="54.21"/>
    <n v="14"/>
    <n v="8.81"/>
    <x v="1"/>
    <x v="0"/>
  </r>
  <r>
    <d v="2021-02-18T00:00:00"/>
    <x v="47"/>
    <x v="0"/>
    <x v="1"/>
    <x v="8"/>
    <n v="25.16"/>
    <n v="5"/>
    <n v="-11.32"/>
    <x v="1"/>
    <x v="0"/>
  </r>
  <r>
    <d v="2021-02-18T00:00:00"/>
    <x v="48"/>
    <x v="0"/>
    <x v="0"/>
    <x v="2"/>
    <n v="12.62"/>
    <n v="2"/>
    <n v="-2.52"/>
    <x v="1"/>
    <x v="0"/>
  </r>
  <r>
    <d v="2021-02-20T00:00:00"/>
    <x v="49"/>
    <x v="18"/>
    <x v="2"/>
    <x v="9"/>
    <n v="62.31"/>
    <n v="3"/>
    <n v="22.43"/>
    <x v="1"/>
    <x v="0"/>
  </r>
  <r>
    <d v="2021-02-20T00:00:00"/>
    <x v="49"/>
    <x v="18"/>
    <x v="1"/>
    <x v="8"/>
    <n v="20.32"/>
    <n v="4"/>
    <n v="6.91"/>
    <x v="1"/>
    <x v="0"/>
  </r>
  <r>
    <d v="2021-02-20T00:00:00"/>
    <x v="50"/>
    <x v="3"/>
    <x v="0"/>
    <x v="0"/>
    <n v="12.96"/>
    <n v="2"/>
    <n v="6.22"/>
    <x v="1"/>
    <x v="0"/>
  </r>
  <r>
    <d v="2021-02-21T00:00:00"/>
    <x v="51"/>
    <x v="1"/>
    <x v="0"/>
    <x v="3"/>
    <n v="8.85"/>
    <n v="5"/>
    <n v="-13.72"/>
    <x v="1"/>
    <x v="0"/>
  </r>
  <r>
    <d v="2021-02-22T00:00:00"/>
    <x v="52"/>
    <x v="3"/>
    <x v="0"/>
    <x v="0"/>
    <n v="19.440000000000001"/>
    <n v="3"/>
    <n v="9.33"/>
    <x v="1"/>
    <x v="0"/>
  </r>
  <r>
    <d v="2021-02-23T00:00:00"/>
    <x v="53"/>
    <x v="0"/>
    <x v="0"/>
    <x v="1"/>
    <n v="6.94"/>
    <n v="3"/>
    <n v="2.34"/>
    <x v="1"/>
    <x v="0"/>
  </r>
  <r>
    <d v="2021-02-23T00:00:00"/>
    <x v="53"/>
    <x v="0"/>
    <x v="0"/>
    <x v="3"/>
    <n v="4.43"/>
    <n v="3"/>
    <n v="-6.86"/>
    <x v="1"/>
    <x v="0"/>
  </r>
  <r>
    <d v="2021-02-24T00:00:00"/>
    <x v="54"/>
    <x v="11"/>
    <x v="0"/>
    <x v="0"/>
    <n v="32.9"/>
    <n v="4"/>
    <n v="11.1"/>
    <x v="1"/>
    <x v="0"/>
  </r>
  <r>
    <d v="2021-02-24T00:00:00"/>
    <x v="54"/>
    <x v="11"/>
    <x v="0"/>
    <x v="0"/>
    <n v="22.78"/>
    <n v="3"/>
    <n v="7.69"/>
    <x v="1"/>
    <x v="0"/>
  </r>
  <r>
    <d v="2021-02-27T00:00:00"/>
    <x v="55"/>
    <x v="10"/>
    <x v="0"/>
    <x v="4"/>
    <n v="19.46"/>
    <n v="4"/>
    <n v="3.4"/>
    <x v="1"/>
    <x v="0"/>
  </r>
  <r>
    <d v="2021-03-01T00:00:00"/>
    <x v="56"/>
    <x v="22"/>
    <x v="1"/>
    <x v="5"/>
    <n v="457.57"/>
    <n v="2"/>
    <n v="51.48"/>
    <x v="2"/>
    <x v="0"/>
  </r>
  <r>
    <d v="2021-03-01T00:00:00"/>
    <x v="57"/>
    <x v="20"/>
    <x v="2"/>
    <x v="6"/>
    <n v="5.94"/>
    <n v="3"/>
    <n v="1.6"/>
    <x v="2"/>
    <x v="0"/>
  </r>
  <r>
    <d v="2021-03-01T00:00:00"/>
    <x v="58"/>
    <x v="1"/>
    <x v="1"/>
    <x v="5"/>
    <n v="634.12"/>
    <n v="6"/>
    <n v="-172.12"/>
    <x v="2"/>
    <x v="0"/>
  </r>
  <r>
    <d v="2021-03-01T00:00:00"/>
    <x v="58"/>
    <x v="1"/>
    <x v="0"/>
    <x v="0"/>
    <n v="17.47"/>
    <n v="3"/>
    <n v="5.68"/>
    <x v="2"/>
    <x v="0"/>
  </r>
  <r>
    <d v="2021-03-01T00:00:00"/>
    <x v="59"/>
    <x v="0"/>
    <x v="0"/>
    <x v="7"/>
    <n v="18.84"/>
    <n v="5"/>
    <n v="-3.53"/>
    <x v="2"/>
    <x v="0"/>
  </r>
  <r>
    <d v="2021-03-01T00:00:00"/>
    <x v="59"/>
    <x v="0"/>
    <x v="1"/>
    <x v="5"/>
    <n v="362.25"/>
    <n v="6"/>
    <n v="0"/>
    <x v="2"/>
    <x v="0"/>
  </r>
  <r>
    <d v="2021-03-01T00:00:00"/>
    <x v="59"/>
    <x v="0"/>
    <x v="1"/>
    <x v="8"/>
    <n v="63.55"/>
    <n v="6"/>
    <n v="-34.950000000000003"/>
    <x v="2"/>
    <x v="0"/>
  </r>
  <r>
    <d v="2021-03-01T00:00:00"/>
    <x v="59"/>
    <x v="0"/>
    <x v="0"/>
    <x v="2"/>
    <n v="129.55000000000001"/>
    <n v="3"/>
    <n v="-22.67"/>
    <x v="2"/>
    <x v="0"/>
  </r>
  <r>
    <d v="2021-03-01T00:00:00"/>
    <x v="60"/>
    <x v="0"/>
    <x v="0"/>
    <x v="2"/>
    <n v="137.35"/>
    <n v="3"/>
    <n v="8.58"/>
    <x v="2"/>
    <x v="0"/>
  </r>
  <r>
    <d v="2021-03-01T00:00:00"/>
    <x v="60"/>
    <x v="0"/>
    <x v="1"/>
    <x v="13"/>
    <n v="376.51"/>
    <n v="3"/>
    <n v="-43.03"/>
    <x v="2"/>
    <x v="0"/>
  </r>
  <r>
    <d v="2021-03-02T00:00:00"/>
    <x v="61"/>
    <x v="20"/>
    <x v="0"/>
    <x v="10"/>
    <n v="11.36"/>
    <n v="2"/>
    <n v="5.34"/>
    <x v="2"/>
    <x v="0"/>
  </r>
  <r>
    <d v="2021-03-02T00:00:00"/>
    <x v="61"/>
    <x v="20"/>
    <x v="0"/>
    <x v="0"/>
    <n v="36.4"/>
    <n v="5"/>
    <n v="17.47"/>
    <x v="2"/>
    <x v="0"/>
  </r>
  <r>
    <d v="2021-03-02T00:00:00"/>
    <x v="62"/>
    <x v="2"/>
    <x v="0"/>
    <x v="0"/>
    <n v="3.42"/>
    <n v="1"/>
    <n v="1.07"/>
    <x v="2"/>
    <x v="0"/>
  </r>
  <r>
    <d v="2021-03-02T00:00:00"/>
    <x v="62"/>
    <x v="2"/>
    <x v="2"/>
    <x v="9"/>
    <n v="151.19999999999999"/>
    <n v="3"/>
    <n v="32.130000000000003"/>
    <x v="2"/>
    <x v="0"/>
  </r>
  <r>
    <d v="2021-03-03T00:00:00"/>
    <x v="63"/>
    <x v="25"/>
    <x v="0"/>
    <x v="4"/>
    <n v="19.46"/>
    <n v="4"/>
    <n v="3.4"/>
    <x v="2"/>
    <x v="0"/>
  </r>
  <r>
    <d v="2021-03-03T00:00:00"/>
    <x v="64"/>
    <x v="20"/>
    <x v="2"/>
    <x v="6"/>
    <n v="9.99"/>
    <n v="1"/>
    <n v="4.5999999999999996"/>
    <x v="2"/>
    <x v="0"/>
  </r>
  <r>
    <d v="2021-03-03T00:00:00"/>
    <x v="64"/>
    <x v="20"/>
    <x v="0"/>
    <x v="3"/>
    <n v="125.76"/>
    <n v="3"/>
    <n v="40.869999999999997"/>
    <x v="2"/>
    <x v="0"/>
  </r>
  <r>
    <d v="2021-03-03T00:00:00"/>
    <x v="64"/>
    <x v="20"/>
    <x v="0"/>
    <x v="3"/>
    <n v="25.32"/>
    <n v="5"/>
    <n v="9.18"/>
    <x v="2"/>
    <x v="0"/>
  </r>
  <r>
    <d v="2021-03-03T00:00:00"/>
    <x v="65"/>
    <x v="10"/>
    <x v="0"/>
    <x v="1"/>
    <n v="15.12"/>
    <n v="3"/>
    <n v="4.91"/>
    <x v="2"/>
    <x v="0"/>
  </r>
  <r>
    <d v="2021-03-03T00:00:00"/>
    <x v="65"/>
    <x v="10"/>
    <x v="1"/>
    <x v="11"/>
    <n v="302.45"/>
    <n v="5"/>
    <n v="-199.62"/>
    <x v="2"/>
    <x v="0"/>
  </r>
  <r>
    <d v="2021-03-03T00:00:00"/>
    <x v="65"/>
    <x v="10"/>
    <x v="0"/>
    <x v="2"/>
    <n v="44.67"/>
    <n v="8"/>
    <n v="-10.050000000000001"/>
    <x v="2"/>
    <x v="0"/>
  </r>
  <r>
    <d v="2021-03-03T00:00:00"/>
    <x v="66"/>
    <x v="0"/>
    <x v="0"/>
    <x v="12"/>
    <n v="176.77"/>
    <n v="3"/>
    <n v="-459.61"/>
    <x v="2"/>
    <x v="0"/>
  </r>
  <r>
    <d v="2021-03-03T00:00:00"/>
    <x v="67"/>
    <x v="3"/>
    <x v="1"/>
    <x v="13"/>
    <n v="626.35"/>
    <n v="3"/>
    <n v="-23.49"/>
    <x v="2"/>
    <x v="0"/>
  </r>
  <r>
    <d v="2021-03-04T00:00:00"/>
    <x v="68"/>
    <x v="9"/>
    <x v="0"/>
    <x v="2"/>
    <n v="354.9"/>
    <n v="5"/>
    <n v="17.75"/>
    <x v="2"/>
    <x v="0"/>
  </r>
  <r>
    <d v="2021-03-04T00:00:00"/>
    <x v="42"/>
    <x v="16"/>
    <x v="0"/>
    <x v="4"/>
    <n v="15.55"/>
    <n v="3"/>
    <n v="2.33"/>
    <x v="2"/>
    <x v="0"/>
  </r>
  <r>
    <d v="2021-03-05T00:00:00"/>
    <x v="69"/>
    <x v="20"/>
    <x v="0"/>
    <x v="4"/>
    <n v="59.52"/>
    <n v="3"/>
    <n v="15.48"/>
    <x v="2"/>
    <x v="0"/>
  </r>
  <r>
    <d v="2021-03-05T00:00:00"/>
    <x v="69"/>
    <x v="20"/>
    <x v="2"/>
    <x v="9"/>
    <n v="479.97"/>
    <n v="3"/>
    <n v="177.59"/>
    <x v="2"/>
    <x v="0"/>
  </r>
  <r>
    <d v="2021-03-05T00:00:00"/>
    <x v="69"/>
    <x v="20"/>
    <x v="0"/>
    <x v="14"/>
    <n v="18.62"/>
    <n v="2"/>
    <n v="5.4"/>
    <x v="2"/>
    <x v="0"/>
  </r>
  <r>
    <d v="2021-03-05T00:00:00"/>
    <x v="69"/>
    <x v="20"/>
    <x v="0"/>
    <x v="3"/>
    <n v="49.63"/>
    <n v="6"/>
    <n v="16.75"/>
    <x v="2"/>
    <x v="0"/>
  </r>
  <r>
    <d v="2021-03-05T00:00:00"/>
    <x v="69"/>
    <x v="20"/>
    <x v="0"/>
    <x v="0"/>
    <n v="97.82"/>
    <n v="2"/>
    <n v="45.98"/>
    <x v="2"/>
    <x v="0"/>
  </r>
  <r>
    <d v="2021-03-07T00:00:00"/>
    <x v="48"/>
    <x v="22"/>
    <x v="1"/>
    <x v="5"/>
    <n v="48.71"/>
    <n v="1"/>
    <n v="5.48"/>
    <x v="2"/>
    <x v="0"/>
  </r>
  <r>
    <d v="2021-03-07T00:00:00"/>
    <x v="48"/>
    <x v="22"/>
    <x v="0"/>
    <x v="4"/>
    <n v="17.940000000000001"/>
    <n v="3"/>
    <n v="4.66"/>
    <x v="2"/>
    <x v="0"/>
  </r>
  <r>
    <d v="2021-03-07T00:00:00"/>
    <x v="48"/>
    <x v="22"/>
    <x v="0"/>
    <x v="2"/>
    <n v="242.94"/>
    <n v="3"/>
    <n v="4.8600000000000003"/>
    <x v="2"/>
    <x v="0"/>
  </r>
  <r>
    <d v="2021-03-07T00:00:00"/>
    <x v="70"/>
    <x v="22"/>
    <x v="0"/>
    <x v="3"/>
    <n v="107.65"/>
    <n v="2"/>
    <n v="33.64"/>
    <x v="2"/>
    <x v="0"/>
  </r>
  <r>
    <d v="2021-03-07T00:00:00"/>
    <x v="71"/>
    <x v="22"/>
    <x v="0"/>
    <x v="4"/>
    <n v="20.65"/>
    <n v="5"/>
    <n v="9.5"/>
    <x v="2"/>
    <x v="0"/>
  </r>
  <r>
    <d v="2021-03-07T00:00:00"/>
    <x v="71"/>
    <x v="22"/>
    <x v="0"/>
    <x v="2"/>
    <n v="204.9"/>
    <n v="5"/>
    <n v="0"/>
    <x v="2"/>
    <x v="0"/>
  </r>
  <r>
    <d v="2021-03-07T00:00:00"/>
    <x v="71"/>
    <x v="22"/>
    <x v="1"/>
    <x v="5"/>
    <n v="436.7"/>
    <n v="6"/>
    <n v="21.84"/>
    <x v="2"/>
    <x v="0"/>
  </r>
  <r>
    <d v="2021-03-07T00:00:00"/>
    <x v="71"/>
    <x v="22"/>
    <x v="1"/>
    <x v="5"/>
    <n v="481.57"/>
    <n v="2"/>
    <n v="54.18"/>
    <x v="2"/>
    <x v="0"/>
  </r>
  <r>
    <d v="2021-03-10T00:00:00"/>
    <x v="72"/>
    <x v="14"/>
    <x v="0"/>
    <x v="0"/>
    <n v="22.38"/>
    <n v="2"/>
    <n v="10.74"/>
    <x v="2"/>
    <x v="0"/>
  </r>
  <r>
    <d v="2021-03-10T00:00:00"/>
    <x v="73"/>
    <x v="26"/>
    <x v="0"/>
    <x v="2"/>
    <n v="636.41"/>
    <n v="3"/>
    <n v="-15.91"/>
    <x v="2"/>
    <x v="0"/>
  </r>
  <r>
    <d v="2021-03-10T00:00:00"/>
    <x v="73"/>
    <x v="26"/>
    <x v="0"/>
    <x v="4"/>
    <n v="83.17"/>
    <n v="4"/>
    <n v="9.36"/>
    <x v="2"/>
    <x v="0"/>
  </r>
  <r>
    <d v="2021-03-11T00:00:00"/>
    <x v="74"/>
    <x v="10"/>
    <x v="1"/>
    <x v="8"/>
    <n v="8.32"/>
    <n v="5"/>
    <n v="2.29"/>
    <x v="2"/>
    <x v="0"/>
  </r>
  <r>
    <d v="2021-03-11T00:00:00"/>
    <x v="74"/>
    <x v="10"/>
    <x v="0"/>
    <x v="7"/>
    <n v="10.46"/>
    <n v="6"/>
    <n v="1.7"/>
    <x v="2"/>
    <x v="0"/>
  </r>
  <r>
    <d v="2021-03-11T00:00:00"/>
    <x v="75"/>
    <x v="20"/>
    <x v="0"/>
    <x v="0"/>
    <n v="108.92"/>
    <n v="14"/>
    <n v="49.01"/>
    <x v="2"/>
    <x v="0"/>
  </r>
  <r>
    <d v="2021-03-11T00:00:00"/>
    <x v="76"/>
    <x v="5"/>
    <x v="0"/>
    <x v="12"/>
    <n v="146.76"/>
    <n v="3"/>
    <n v="38.159999999999997"/>
    <x v="2"/>
    <x v="0"/>
  </r>
  <r>
    <d v="2021-03-11T00:00:00"/>
    <x v="76"/>
    <x v="5"/>
    <x v="2"/>
    <x v="9"/>
    <n v="32.96"/>
    <n v="2"/>
    <n v="14.17"/>
    <x v="2"/>
    <x v="0"/>
  </r>
  <r>
    <d v="2021-03-11T00:00:00"/>
    <x v="76"/>
    <x v="5"/>
    <x v="2"/>
    <x v="6"/>
    <n v="587.97"/>
    <n v="3"/>
    <n v="164.63"/>
    <x v="2"/>
    <x v="0"/>
  </r>
  <r>
    <d v="2021-03-11T00:00:00"/>
    <x v="76"/>
    <x v="5"/>
    <x v="0"/>
    <x v="0"/>
    <n v="14.94"/>
    <n v="3"/>
    <n v="7.02"/>
    <x v="2"/>
    <x v="0"/>
  </r>
  <r>
    <d v="2021-03-11T00:00:00"/>
    <x v="77"/>
    <x v="3"/>
    <x v="0"/>
    <x v="4"/>
    <n v="7.98"/>
    <n v="3"/>
    <n v="2.0699999999999998"/>
    <x v="2"/>
    <x v="0"/>
  </r>
  <r>
    <d v="2021-03-14T00:00:00"/>
    <x v="78"/>
    <x v="3"/>
    <x v="0"/>
    <x v="0"/>
    <n v="10.56"/>
    <n v="2"/>
    <n v="4.75"/>
    <x v="2"/>
    <x v="0"/>
  </r>
  <r>
    <d v="2021-03-14T00:00:00"/>
    <x v="78"/>
    <x v="3"/>
    <x v="0"/>
    <x v="4"/>
    <n v="3.38"/>
    <n v="1"/>
    <n v="1.25"/>
    <x v="2"/>
    <x v="0"/>
  </r>
  <r>
    <d v="2021-03-14T00:00:00"/>
    <x v="79"/>
    <x v="6"/>
    <x v="1"/>
    <x v="5"/>
    <n v="1139.92"/>
    <n v="4"/>
    <n v="284.98"/>
    <x v="2"/>
    <x v="0"/>
  </r>
  <r>
    <d v="2021-03-14T00:00:00"/>
    <x v="80"/>
    <x v="27"/>
    <x v="0"/>
    <x v="3"/>
    <n v="33.090000000000003"/>
    <n v="4"/>
    <n v="11.17"/>
    <x v="2"/>
    <x v="0"/>
  </r>
  <r>
    <d v="2021-03-14T00:00:00"/>
    <x v="80"/>
    <x v="27"/>
    <x v="0"/>
    <x v="2"/>
    <n v="80.98"/>
    <n v="1"/>
    <n v="3.24"/>
    <x v="2"/>
    <x v="0"/>
  </r>
  <r>
    <d v="2021-03-14T00:00:00"/>
    <x v="80"/>
    <x v="27"/>
    <x v="2"/>
    <x v="9"/>
    <n v="82.8"/>
    <n v="12"/>
    <n v="6.62"/>
    <x v="2"/>
    <x v="0"/>
  </r>
  <r>
    <d v="2021-03-14T00:00:00"/>
    <x v="80"/>
    <x v="27"/>
    <x v="0"/>
    <x v="2"/>
    <n v="21.36"/>
    <n v="2"/>
    <n v="5.77"/>
    <x v="2"/>
    <x v="0"/>
  </r>
  <r>
    <d v="2021-03-14T00:00:00"/>
    <x v="80"/>
    <x v="27"/>
    <x v="0"/>
    <x v="3"/>
    <n v="62.05"/>
    <n v="2"/>
    <n v="20.170000000000002"/>
    <x v="2"/>
    <x v="0"/>
  </r>
  <r>
    <d v="2021-03-14T00:00:00"/>
    <x v="81"/>
    <x v="1"/>
    <x v="2"/>
    <x v="15"/>
    <n v="574.91"/>
    <n v="2"/>
    <n v="156.05000000000001"/>
    <x v="2"/>
    <x v="0"/>
  </r>
  <r>
    <d v="2021-03-14T00:00:00"/>
    <x v="81"/>
    <x v="1"/>
    <x v="0"/>
    <x v="0"/>
    <n v="8.4499999999999993"/>
    <n v="2"/>
    <n v="2.64"/>
    <x v="2"/>
    <x v="0"/>
  </r>
  <r>
    <d v="2021-03-14T00:00:00"/>
    <x v="82"/>
    <x v="16"/>
    <x v="0"/>
    <x v="0"/>
    <n v="91.06"/>
    <n v="6"/>
    <n v="31.87"/>
    <x v="2"/>
    <x v="0"/>
  </r>
  <r>
    <d v="2021-03-15T00:00:00"/>
    <x v="83"/>
    <x v="16"/>
    <x v="0"/>
    <x v="2"/>
    <n v="142.78"/>
    <n v="1"/>
    <n v="17.850000000000001"/>
    <x v="2"/>
    <x v="0"/>
  </r>
  <r>
    <d v="2021-03-15T00:00:00"/>
    <x v="83"/>
    <x v="16"/>
    <x v="1"/>
    <x v="8"/>
    <n v="45.7"/>
    <n v="3"/>
    <n v="5.14"/>
    <x v="2"/>
    <x v="0"/>
  </r>
  <r>
    <d v="2021-03-15T00:00:00"/>
    <x v="83"/>
    <x v="16"/>
    <x v="0"/>
    <x v="3"/>
    <n v="7.22"/>
    <n v="3"/>
    <n v="-5.53"/>
    <x v="2"/>
    <x v="0"/>
  </r>
  <r>
    <d v="2021-03-15T00:00:00"/>
    <x v="83"/>
    <x v="16"/>
    <x v="0"/>
    <x v="3"/>
    <n v="43.19"/>
    <n v="4"/>
    <n v="-31.67"/>
    <x v="2"/>
    <x v="0"/>
  </r>
  <r>
    <d v="2021-03-15T00:00:00"/>
    <x v="83"/>
    <x v="16"/>
    <x v="0"/>
    <x v="0"/>
    <n v="131.9"/>
    <n v="3"/>
    <n v="47.82"/>
    <x v="2"/>
    <x v="0"/>
  </r>
  <r>
    <d v="2021-03-16T00:00:00"/>
    <x v="61"/>
    <x v="25"/>
    <x v="2"/>
    <x v="6"/>
    <n v="471.92"/>
    <n v="2"/>
    <n v="29.5"/>
    <x v="2"/>
    <x v="0"/>
  </r>
  <r>
    <d v="2021-03-17T00:00:00"/>
    <x v="84"/>
    <x v="28"/>
    <x v="0"/>
    <x v="12"/>
    <n v="93.78"/>
    <n v="2"/>
    <n v="36.57"/>
    <x v="2"/>
    <x v="0"/>
  </r>
  <r>
    <d v="2021-03-17T00:00:00"/>
    <x v="84"/>
    <x v="28"/>
    <x v="0"/>
    <x v="0"/>
    <n v="47.18"/>
    <n v="7"/>
    <n v="23.59"/>
    <x v="2"/>
    <x v="0"/>
  </r>
  <r>
    <d v="2021-03-17T00:00:00"/>
    <x v="84"/>
    <x v="28"/>
    <x v="0"/>
    <x v="4"/>
    <n v="19.68"/>
    <n v="6"/>
    <n v="5.71"/>
    <x v="2"/>
    <x v="0"/>
  </r>
  <r>
    <d v="2021-03-17T00:00:00"/>
    <x v="84"/>
    <x v="28"/>
    <x v="0"/>
    <x v="3"/>
    <n v="53.4"/>
    <n v="10"/>
    <n v="25.1"/>
    <x v="2"/>
    <x v="0"/>
  </r>
  <r>
    <d v="2021-03-17T00:00:00"/>
    <x v="84"/>
    <x v="28"/>
    <x v="0"/>
    <x v="3"/>
    <n v="35.880000000000003"/>
    <n v="6"/>
    <n v="17.22"/>
    <x v="2"/>
    <x v="0"/>
  </r>
  <r>
    <d v="2021-03-17T00:00:00"/>
    <x v="85"/>
    <x v="20"/>
    <x v="1"/>
    <x v="13"/>
    <n v="1579.75"/>
    <n v="7"/>
    <n v="-447.59"/>
    <x v="2"/>
    <x v="0"/>
  </r>
  <r>
    <d v="2021-03-17T00:00:00"/>
    <x v="85"/>
    <x v="20"/>
    <x v="1"/>
    <x v="13"/>
    <n v="1071.58"/>
    <n v="4"/>
    <n v="-553.65"/>
    <x v="2"/>
    <x v="0"/>
  </r>
  <r>
    <d v="2021-03-17T00:00:00"/>
    <x v="85"/>
    <x v="20"/>
    <x v="1"/>
    <x v="13"/>
    <n v="613.91"/>
    <n v="3"/>
    <n v="-122.78"/>
    <x v="2"/>
    <x v="0"/>
  </r>
  <r>
    <d v="2021-03-17T00:00:00"/>
    <x v="85"/>
    <x v="20"/>
    <x v="0"/>
    <x v="0"/>
    <n v="34.86"/>
    <n v="7"/>
    <n v="16.38"/>
    <x v="2"/>
    <x v="0"/>
  </r>
  <r>
    <d v="2021-03-17T00:00:00"/>
    <x v="85"/>
    <x v="20"/>
    <x v="0"/>
    <x v="0"/>
    <n v="155.04"/>
    <n v="4"/>
    <n v="75.97"/>
    <x v="2"/>
    <x v="0"/>
  </r>
  <r>
    <d v="2021-03-17T00:00:00"/>
    <x v="86"/>
    <x v="0"/>
    <x v="0"/>
    <x v="4"/>
    <n v="4.45"/>
    <n v="2"/>
    <n v="0.33"/>
    <x v="2"/>
    <x v="0"/>
  </r>
  <r>
    <d v="2021-03-17T00:00:00"/>
    <x v="86"/>
    <x v="0"/>
    <x v="0"/>
    <x v="0"/>
    <n v="5.18"/>
    <n v="1"/>
    <n v="1.88"/>
    <x v="2"/>
    <x v="0"/>
  </r>
  <r>
    <d v="2021-03-17T00:00:00"/>
    <x v="86"/>
    <x v="0"/>
    <x v="0"/>
    <x v="0"/>
    <n v="15.55"/>
    <n v="3"/>
    <n v="5.44"/>
    <x v="2"/>
    <x v="0"/>
  </r>
  <r>
    <d v="2021-03-17T00:00:00"/>
    <x v="36"/>
    <x v="29"/>
    <x v="0"/>
    <x v="3"/>
    <n v="11.43"/>
    <n v="3"/>
    <n v="5.37"/>
    <x v="2"/>
    <x v="0"/>
  </r>
  <r>
    <d v="2021-03-17T00:00:00"/>
    <x v="36"/>
    <x v="29"/>
    <x v="0"/>
    <x v="3"/>
    <n v="30.44"/>
    <n v="2"/>
    <n v="14.92"/>
    <x v="2"/>
    <x v="0"/>
  </r>
  <r>
    <d v="2021-03-17T00:00:00"/>
    <x v="36"/>
    <x v="29"/>
    <x v="0"/>
    <x v="0"/>
    <n v="12.96"/>
    <n v="2"/>
    <n v="6.35"/>
    <x v="2"/>
    <x v="0"/>
  </r>
  <r>
    <d v="2021-03-17T00:00:00"/>
    <x v="36"/>
    <x v="29"/>
    <x v="0"/>
    <x v="0"/>
    <n v="16"/>
    <n v="4"/>
    <n v="7.68"/>
    <x v="2"/>
    <x v="0"/>
  </r>
  <r>
    <d v="2021-03-17T00:00:00"/>
    <x v="36"/>
    <x v="29"/>
    <x v="0"/>
    <x v="12"/>
    <n v="32.67"/>
    <n v="3"/>
    <n v="8.49"/>
    <x v="2"/>
    <x v="0"/>
  </r>
  <r>
    <d v="2021-03-17T00:00:00"/>
    <x v="87"/>
    <x v="2"/>
    <x v="0"/>
    <x v="0"/>
    <n v="126.62"/>
    <n v="6"/>
    <n v="41.15"/>
    <x v="2"/>
    <x v="0"/>
  </r>
  <r>
    <d v="2021-03-18T00:00:00"/>
    <x v="88"/>
    <x v="16"/>
    <x v="2"/>
    <x v="15"/>
    <n v="821.3"/>
    <n v="4"/>
    <n v="-16.43"/>
    <x v="2"/>
    <x v="0"/>
  </r>
  <r>
    <d v="2021-03-18T00:00:00"/>
    <x v="88"/>
    <x v="16"/>
    <x v="2"/>
    <x v="15"/>
    <n v="22638.48"/>
    <n v="6"/>
    <n v="-1811.08"/>
    <x v="2"/>
    <x v="0"/>
  </r>
  <r>
    <d v="2021-03-18T00:00:00"/>
    <x v="88"/>
    <x v="16"/>
    <x v="0"/>
    <x v="0"/>
    <n v="21.38"/>
    <n v="4"/>
    <n v="7.48"/>
    <x v="2"/>
    <x v="0"/>
  </r>
  <r>
    <d v="2021-03-18T00:00:00"/>
    <x v="88"/>
    <x v="16"/>
    <x v="0"/>
    <x v="4"/>
    <n v="8.02"/>
    <n v="3"/>
    <n v="1"/>
    <x v="2"/>
    <x v="0"/>
  </r>
  <r>
    <d v="2021-03-18T00:00:00"/>
    <x v="88"/>
    <x v="16"/>
    <x v="1"/>
    <x v="8"/>
    <n v="30.77"/>
    <n v="2"/>
    <n v="8.08"/>
    <x v="2"/>
    <x v="0"/>
  </r>
  <r>
    <d v="2021-03-18T00:00:00"/>
    <x v="88"/>
    <x v="16"/>
    <x v="0"/>
    <x v="7"/>
    <n v="18.940000000000001"/>
    <n v="3"/>
    <n v="5.92"/>
    <x v="2"/>
    <x v="0"/>
  </r>
  <r>
    <d v="2021-03-18T00:00:00"/>
    <x v="88"/>
    <x v="16"/>
    <x v="1"/>
    <x v="8"/>
    <n v="122.35"/>
    <n v="3"/>
    <n v="15.29"/>
    <x v="2"/>
    <x v="0"/>
  </r>
  <r>
    <d v="2021-03-18T00:00:00"/>
    <x v="89"/>
    <x v="3"/>
    <x v="1"/>
    <x v="11"/>
    <n v="1198.33"/>
    <n v="10"/>
    <n v="70.489999999999995"/>
    <x v="2"/>
    <x v="0"/>
  </r>
  <r>
    <d v="2021-03-18T00:00:00"/>
    <x v="90"/>
    <x v="3"/>
    <x v="1"/>
    <x v="8"/>
    <n v="111"/>
    <n v="2"/>
    <n v="14.43"/>
    <x v="2"/>
    <x v="0"/>
  </r>
  <r>
    <d v="2021-03-18T00:00:00"/>
    <x v="90"/>
    <x v="3"/>
    <x v="2"/>
    <x v="15"/>
    <n v="1279.97"/>
    <n v="4"/>
    <n v="415.99"/>
    <x v="2"/>
    <x v="0"/>
  </r>
  <r>
    <d v="2021-03-18T00:00:00"/>
    <x v="90"/>
    <x v="3"/>
    <x v="0"/>
    <x v="2"/>
    <n v="1856.19"/>
    <n v="7"/>
    <n v="334.11"/>
    <x v="2"/>
    <x v="0"/>
  </r>
  <r>
    <d v="2021-03-19T00:00:00"/>
    <x v="91"/>
    <x v="16"/>
    <x v="2"/>
    <x v="6"/>
    <n v="323.98"/>
    <n v="3"/>
    <n v="28.35"/>
    <x v="2"/>
    <x v="0"/>
  </r>
  <r>
    <d v="2021-03-19T00:00:00"/>
    <x v="91"/>
    <x v="16"/>
    <x v="0"/>
    <x v="1"/>
    <n v="11.81"/>
    <n v="4"/>
    <n v="3.99"/>
    <x v="2"/>
    <x v="0"/>
  </r>
  <r>
    <d v="2021-03-19T00:00:00"/>
    <x v="91"/>
    <x v="16"/>
    <x v="0"/>
    <x v="2"/>
    <n v="26.16"/>
    <n v="3"/>
    <n v="1.96"/>
    <x v="2"/>
    <x v="0"/>
  </r>
  <r>
    <d v="2021-03-19T00:00:00"/>
    <x v="91"/>
    <x v="16"/>
    <x v="0"/>
    <x v="3"/>
    <n v="33.57"/>
    <n v="5"/>
    <n v="-25.74"/>
    <x v="2"/>
    <x v="0"/>
  </r>
  <r>
    <d v="2021-03-19T00:00:00"/>
    <x v="91"/>
    <x v="16"/>
    <x v="1"/>
    <x v="8"/>
    <n v="4.99"/>
    <n v="3"/>
    <n v="1.37"/>
    <x v="2"/>
    <x v="0"/>
  </r>
  <r>
    <d v="2021-03-19T00:00:00"/>
    <x v="91"/>
    <x v="16"/>
    <x v="1"/>
    <x v="8"/>
    <n v="20.02"/>
    <n v="3"/>
    <n v="5.5"/>
    <x v="2"/>
    <x v="0"/>
  </r>
  <r>
    <d v="2021-03-19T00:00:00"/>
    <x v="91"/>
    <x v="16"/>
    <x v="2"/>
    <x v="9"/>
    <n v="170.24"/>
    <n v="2"/>
    <n v="53.2"/>
    <x v="2"/>
    <x v="0"/>
  </r>
  <r>
    <d v="2021-03-21T00:00:00"/>
    <x v="92"/>
    <x v="10"/>
    <x v="0"/>
    <x v="4"/>
    <n v="7.41"/>
    <n v="2"/>
    <n v="1.2"/>
    <x v="2"/>
    <x v="0"/>
  </r>
  <r>
    <d v="2021-03-21T00:00:00"/>
    <x v="92"/>
    <x v="10"/>
    <x v="0"/>
    <x v="4"/>
    <n v="6.05"/>
    <n v="3"/>
    <n v="1.59"/>
    <x v="2"/>
    <x v="0"/>
  </r>
  <r>
    <d v="2021-03-21T00:00:00"/>
    <x v="93"/>
    <x v="25"/>
    <x v="0"/>
    <x v="2"/>
    <n v="16.27"/>
    <n v="1"/>
    <n v="-3.86"/>
    <x v="2"/>
    <x v="0"/>
  </r>
  <r>
    <d v="2021-03-21T00:00:00"/>
    <x v="94"/>
    <x v="6"/>
    <x v="2"/>
    <x v="6"/>
    <n v="3499.93"/>
    <n v="7"/>
    <n v="909.98"/>
    <x v="2"/>
    <x v="0"/>
  </r>
  <r>
    <d v="2021-03-21T00:00:00"/>
    <x v="94"/>
    <x v="6"/>
    <x v="0"/>
    <x v="1"/>
    <n v="14.4"/>
    <n v="5"/>
    <n v="6.62"/>
    <x v="2"/>
    <x v="0"/>
  </r>
  <r>
    <d v="2021-03-21T00:00:00"/>
    <x v="94"/>
    <x v="6"/>
    <x v="0"/>
    <x v="0"/>
    <n v="122.97"/>
    <n v="3"/>
    <n v="60.26"/>
    <x v="2"/>
    <x v="0"/>
  </r>
  <r>
    <d v="2021-03-21T00:00:00"/>
    <x v="94"/>
    <x v="6"/>
    <x v="0"/>
    <x v="4"/>
    <n v="9.32"/>
    <n v="4"/>
    <n v="2.7"/>
    <x v="2"/>
    <x v="0"/>
  </r>
  <r>
    <d v="2021-03-21T00:00:00"/>
    <x v="94"/>
    <x v="6"/>
    <x v="0"/>
    <x v="3"/>
    <n v="122.94"/>
    <n v="3"/>
    <n v="59.01"/>
    <x v="2"/>
    <x v="0"/>
  </r>
  <r>
    <d v="2021-03-21T00:00:00"/>
    <x v="95"/>
    <x v="15"/>
    <x v="0"/>
    <x v="1"/>
    <n v="59.2"/>
    <n v="5"/>
    <n v="22.2"/>
    <x v="2"/>
    <x v="0"/>
  </r>
  <r>
    <d v="2021-03-21T00:00:00"/>
    <x v="95"/>
    <x v="15"/>
    <x v="1"/>
    <x v="8"/>
    <n v="32.950000000000003"/>
    <n v="3"/>
    <n v="6.59"/>
    <x v="2"/>
    <x v="0"/>
  </r>
  <r>
    <d v="2021-03-21T00:00:00"/>
    <x v="95"/>
    <x v="15"/>
    <x v="1"/>
    <x v="5"/>
    <n v="218.38"/>
    <n v="3"/>
    <n v="-10.92"/>
    <x v="2"/>
    <x v="0"/>
  </r>
  <r>
    <d v="2021-03-22T00:00:00"/>
    <x v="96"/>
    <x v="25"/>
    <x v="0"/>
    <x v="3"/>
    <n v="7.64"/>
    <n v="4"/>
    <n v="-5.86"/>
    <x v="2"/>
    <x v="0"/>
  </r>
  <r>
    <d v="2021-03-22T00:00:00"/>
    <x v="96"/>
    <x v="25"/>
    <x v="0"/>
    <x v="3"/>
    <n v="51.47"/>
    <n v="5"/>
    <n v="-39.46"/>
    <x v="2"/>
    <x v="0"/>
  </r>
  <r>
    <d v="2021-03-22T00:00:00"/>
    <x v="97"/>
    <x v="12"/>
    <x v="0"/>
    <x v="0"/>
    <n v="74.349999999999994"/>
    <n v="3"/>
    <n v="23.24"/>
    <x v="2"/>
    <x v="0"/>
  </r>
  <r>
    <d v="2021-03-22T00:00:00"/>
    <x v="97"/>
    <x v="12"/>
    <x v="1"/>
    <x v="5"/>
    <n v="314.35000000000002"/>
    <n v="3"/>
    <n v="-35.36"/>
    <x v="2"/>
    <x v="0"/>
  </r>
  <r>
    <d v="2021-03-22T00:00:00"/>
    <x v="98"/>
    <x v="18"/>
    <x v="0"/>
    <x v="4"/>
    <n v="16.28"/>
    <n v="2"/>
    <n v="6.51"/>
    <x v="2"/>
    <x v="0"/>
  </r>
  <r>
    <d v="2021-03-23T00:00:00"/>
    <x v="99"/>
    <x v="3"/>
    <x v="0"/>
    <x v="2"/>
    <n v="330.4"/>
    <n v="2"/>
    <n v="85.9"/>
    <x v="2"/>
    <x v="0"/>
  </r>
  <r>
    <d v="2021-03-23T00:00:00"/>
    <x v="99"/>
    <x v="3"/>
    <x v="2"/>
    <x v="6"/>
    <n v="604.75"/>
    <n v="6"/>
    <n v="37.799999999999997"/>
    <x v="2"/>
    <x v="0"/>
  </r>
  <r>
    <d v="2021-03-23T00:00:00"/>
    <x v="100"/>
    <x v="16"/>
    <x v="0"/>
    <x v="1"/>
    <n v="9.91"/>
    <n v="3"/>
    <n v="3.22"/>
    <x v="2"/>
    <x v="0"/>
  </r>
  <r>
    <d v="2021-03-24T00:00:00"/>
    <x v="101"/>
    <x v="20"/>
    <x v="0"/>
    <x v="0"/>
    <n v="24.9"/>
    <n v="5"/>
    <n v="11.7"/>
    <x v="2"/>
    <x v="0"/>
  </r>
  <r>
    <d v="2021-03-24T00:00:00"/>
    <x v="102"/>
    <x v="3"/>
    <x v="1"/>
    <x v="8"/>
    <n v="40.479999999999997"/>
    <n v="2"/>
    <n v="14.57"/>
    <x v="2"/>
    <x v="0"/>
  </r>
  <r>
    <d v="2021-03-25T00:00:00"/>
    <x v="86"/>
    <x v="20"/>
    <x v="1"/>
    <x v="5"/>
    <n v="366.79"/>
    <n v="7"/>
    <n v="65.209999999999994"/>
    <x v="2"/>
    <x v="0"/>
  </r>
  <r>
    <d v="2021-03-25T00:00:00"/>
    <x v="103"/>
    <x v="3"/>
    <x v="0"/>
    <x v="4"/>
    <n v="6.56"/>
    <n v="2"/>
    <n v="1.9"/>
    <x v="2"/>
    <x v="0"/>
  </r>
  <r>
    <d v="2021-03-25T00:00:00"/>
    <x v="103"/>
    <x v="3"/>
    <x v="0"/>
    <x v="4"/>
    <n v="14.88"/>
    <n v="2"/>
    <n v="3.72"/>
    <x v="2"/>
    <x v="0"/>
  </r>
  <r>
    <d v="2021-03-25T00:00:00"/>
    <x v="103"/>
    <x v="3"/>
    <x v="2"/>
    <x v="9"/>
    <n v="45.48"/>
    <n v="4"/>
    <n v="15.92"/>
    <x v="2"/>
    <x v="0"/>
  </r>
  <r>
    <d v="2021-03-25T00:00:00"/>
    <x v="103"/>
    <x v="3"/>
    <x v="0"/>
    <x v="4"/>
    <n v="25.44"/>
    <n v="6"/>
    <n v="9.92"/>
    <x v="2"/>
    <x v="0"/>
  </r>
  <r>
    <d v="2021-03-26T00:00:00"/>
    <x v="104"/>
    <x v="3"/>
    <x v="2"/>
    <x v="9"/>
    <n v="66.3"/>
    <n v="3"/>
    <n v="8.6199999999999992"/>
    <x v="2"/>
    <x v="0"/>
  </r>
  <r>
    <d v="2021-03-26T00:00:00"/>
    <x v="105"/>
    <x v="3"/>
    <x v="0"/>
    <x v="4"/>
    <n v="3.36"/>
    <n v="2"/>
    <n v="0.84"/>
    <x v="2"/>
    <x v="0"/>
  </r>
  <r>
    <d v="2021-03-26T00:00:00"/>
    <x v="105"/>
    <x v="3"/>
    <x v="0"/>
    <x v="3"/>
    <n v="27.94"/>
    <n v="4"/>
    <n v="9.43"/>
    <x v="2"/>
    <x v="0"/>
  </r>
  <r>
    <d v="2021-03-26T00:00:00"/>
    <x v="105"/>
    <x v="3"/>
    <x v="2"/>
    <x v="6"/>
    <n v="28.78"/>
    <n v="2"/>
    <n v="2.88"/>
    <x v="2"/>
    <x v="0"/>
  </r>
  <r>
    <d v="2021-03-26T00:00:00"/>
    <x v="106"/>
    <x v="3"/>
    <x v="0"/>
    <x v="1"/>
    <n v="18.75"/>
    <n v="5"/>
    <n v="9"/>
    <x v="2"/>
    <x v="0"/>
  </r>
  <r>
    <d v="2021-03-28T00:00:00"/>
    <x v="107"/>
    <x v="30"/>
    <x v="0"/>
    <x v="10"/>
    <n v="6.12"/>
    <n v="3"/>
    <n v="2.88"/>
    <x v="2"/>
    <x v="0"/>
  </r>
  <r>
    <d v="2021-03-28T00:00:00"/>
    <x v="107"/>
    <x v="30"/>
    <x v="1"/>
    <x v="13"/>
    <n v="1184.72"/>
    <n v="4"/>
    <n v="106.62"/>
    <x v="2"/>
    <x v="0"/>
  </r>
  <r>
    <d v="2021-03-28T00:00:00"/>
    <x v="108"/>
    <x v="31"/>
    <x v="2"/>
    <x v="6"/>
    <n v="302.38"/>
    <n v="3"/>
    <n v="22.68"/>
    <x v="2"/>
    <x v="0"/>
  </r>
  <r>
    <d v="2021-03-28T00:00:00"/>
    <x v="109"/>
    <x v="10"/>
    <x v="1"/>
    <x v="13"/>
    <n v="330.59"/>
    <n v="1"/>
    <n v="-143.25"/>
    <x v="2"/>
    <x v="0"/>
  </r>
  <r>
    <d v="2021-03-29T00:00:00"/>
    <x v="110"/>
    <x v="0"/>
    <x v="1"/>
    <x v="13"/>
    <n v="890.84"/>
    <n v="3"/>
    <n v="-152.72"/>
    <x v="2"/>
    <x v="0"/>
  </r>
  <r>
    <d v="2021-03-30T00:00:00"/>
    <x v="111"/>
    <x v="20"/>
    <x v="0"/>
    <x v="4"/>
    <n v="49.65"/>
    <n v="5"/>
    <n v="20.85"/>
    <x v="2"/>
    <x v="0"/>
  </r>
  <r>
    <d v="2021-03-30T00:00:00"/>
    <x v="112"/>
    <x v="22"/>
    <x v="0"/>
    <x v="2"/>
    <n v="15.84"/>
    <n v="3"/>
    <n v="0"/>
    <x v="2"/>
    <x v="0"/>
  </r>
  <r>
    <d v="2021-03-30T00:00:00"/>
    <x v="112"/>
    <x v="22"/>
    <x v="0"/>
    <x v="1"/>
    <n v="44.4"/>
    <n v="3"/>
    <n v="22.2"/>
    <x v="2"/>
    <x v="0"/>
  </r>
  <r>
    <d v="2021-03-30T00:00:00"/>
    <x v="113"/>
    <x v="20"/>
    <x v="0"/>
    <x v="4"/>
    <n v="10.5"/>
    <n v="5"/>
    <n v="2.94"/>
    <x v="2"/>
    <x v="0"/>
  </r>
  <r>
    <d v="2021-03-30T00:00:00"/>
    <x v="41"/>
    <x v="3"/>
    <x v="1"/>
    <x v="11"/>
    <n v="205.67"/>
    <n v="2"/>
    <n v="-12.1"/>
    <x v="2"/>
    <x v="0"/>
  </r>
  <r>
    <d v="2021-03-30T00:00:00"/>
    <x v="114"/>
    <x v="0"/>
    <x v="0"/>
    <x v="10"/>
    <n v="335.72"/>
    <n v="5"/>
    <n v="113.31"/>
    <x v="2"/>
    <x v="0"/>
  </r>
  <r>
    <d v="2021-03-30T00:00:00"/>
    <x v="114"/>
    <x v="0"/>
    <x v="2"/>
    <x v="6"/>
    <n v="251.94"/>
    <n v="7"/>
    <n v="88.18"/>
    <x v="2"/>
    <x v="0"/>
  </r>
  <r>
    <d v="2021-03-30T00:00:00"/>
    <x v="114"/>
    <x v="0"/>
    <x v="1"/>
    <x v="5"/>
    <n v="127.3"/>
    <n v="7"/>
    <n v="-9.09"/>
    <x v="2"/>
    <x v="0"/>
  </r>
  <r>
    <d v="2021-03-30T00:00:00"/>
    <x v="115"/>
    <x v="28"/>
    <x v="0"/>
    <x v="2"/>
    <n v="129.30000000000001"/>
    <n v="2"/>
    <n v="6.47"/>
    <x v="2"/>
    <x v="0"/>
  </r>
  <r>
    <d v="2021-03-31T00:00:00"/>
    <x v="116"/>
    <x v="3"/>
    <x v="0"/>
    <x v="3"/>
    <n v="673.57"/>
    <n v="2"/>
    <n v="252.59"/>
    <x v="2"/>
    <x v="0"/>
  </r>
  <r>
    <d v="2021-03-31T00:00:00"/>
    <x v="116"/>
    <x v="3"/>
    <x v="0"/>
    <x v="12"/>
    <n v="52.98"/>
    <n v="2"/>
    <n v="14.83"/>
    <x v="2"/>
    <x v="0"/>
  </r>
  <r>
    <d v="2021-03-31T00:00:00"/>
    <x v="117"/>
    <x v="2"/>
    <x v="0"/>
    <x v="3"/>
    <n v="0.85"/>
    <n v="1"/>
    <n v="-0.6"/>
    <x v="2"/>
    <x v="0"/>
  </r>
  <r>
    <d v="2021-03-31T00:00:00"/>
    <x v="118"/>
    <x v="1"/>
    <x v="0"/>
    <x v="3"/>
    <n v="8.1300000000000008"/>
    <n v="7"/>
    <n v="-13.83"/>
    <x v="2"/>
    <x v="0"/>
  </r>
  <r>
    <d v="2021-03-31T00:00:00"/>
    <x v="118"/>
    <x v="1"/>
    <x v="2"/>
    <x v="9"/>
    <n v="79.98"/>
    <n v="2"/>
    <n v="14"/>
    <x v="2"/>
    <x v="0"/>
  </r>
  <r>
    <d v="2021-03-31T00:00:00"/>
    <x v="119"/>
    <x v="16"/>
    <x v="0"/>
    <x v="3"/>
    <n v="1.87"/>
    <n v="1"/>
    <n v="-1.31"/>
    <x v="2"/>
    <x v="0"/>
  </r>
  <r>
    <d v="2021-03-31T00:00:00"/>
    <x v="120"/>
    <x v="16"/>
    <x v="1"/>
    <x v="5"/>
    <n v="1125.49"/>
    <n v="7"/>
    <n v="98.48"/>
    <x v="2"/>
    <x v="0"/>
  </r>
  <r>
    <d v="2021-03-31T00:00:00"/>
    <x v="120"/>
    <x v="16"/>
    <x v="0"/>
    <x v="3"/>
    <n v="12.65"/>
    <n v="5"/>
    <n v="-10.119999999999999"/>
    <x v="2"/>
    <x v="0"/>
  </r>
  <r>
    <d v="2021-03-31T00:00:00"/>
    <x v="120"/>
    <x v="16"/>
    <x v="0"/>
    <x v="4"/>
    <n v="4.03"/>
    <n v="2"/>
    <n v="1.06"/>
    <x v="2"/>
    <x v="0"/>
  </r>
  <r>
    <d v="2021-04-01T00:00:00"/>
    <x v="111"/>
    <x v="3"/>
    <x v="0"/>
    <x v="1"/>
    <n v="29.6"/>
    <n v="2"/>
    <n v="14.8"/>
    <x v="3"/>
    <x v="0"/>
  </r>
  <r>
    <d v="2021-04-01T00:00:00"/>
    <x v="111"/>
    <x v="3"/>
    <x v="0"/>
    <x v="3"/>
    <n v="17.09"/>
    <n v="4"/>
    <n v="5.55"/>
    <x v="3"/>
    <x v="0"/>
  </r>
  <r>
    <d v="2021-04-01T00:00:00"/>
    <x v="121"/>
    <x v="32"/>
    <x v="0"/>
    <x v="2"/>
    <n v="66.959999999999994"/>
    <n v="4"/>
    <n v="2.68"/>
    <x v="3"/>
    <x v="0"/>
  </r>
  <r>
    <d v="2021-04-01T00:00:00"/>
    <x v="121"/>
    <x v="32"/>
    <x v="0"/>
    <x v="3"/>
    <n v="6.24"/>
    <n v="2"/>
    <n v="3.06"/>
    <x v="3"/>
    <x v="0"/>
  </r>
  <r>
    <d v="2021-04-02T00:00:00"/>
    <x v="122"/>
    <x v="4"/>
    <x v="0"/>
    <x v="0"/>
    <n v="15.84"/>
    <n v="3"/>
    <n v="7.13"/>
    <x v="3"/>
    <x v="0"/>
  </r>
  <r>
    <d v="2021-04-02T00:00:00"/>
    <x v="122"/>
    <x v="4"/>
    <x v="2"/>
    <x v="6"/>
    <n v="1049.93"/>
    <n v="7"/>
    <n v="293.98"/>
    <x v="3"/>
    <x v="0"/>
  </r>
  <r>
    <d v="2021-04-02T00:00:00"/>
    <x v="122"/>
    <x v="4"/>
    <x v="0"/>
    <x v="12"/>
    <n v="154.9"/>
    <n v="5"/>
    <n v="40.270000000000003"/>
    <x v="3"/>
    <x v="0"/>
  </r>
  <r>
    <d v="2021-04-02T00:00:00"/>
    <x v="66"/>
    <x v="0"/>
    <x v="0"/>
    <x v="0"/>
    <n v="26.72"/>
    <n v="5"/>
    <n v="9.35"/>
    <x v="3"/>
    <x v="0"/>
  </r>
  <r>
    <d v="2021-04-02T00:00:00"/>
    <x v="66"/>
    <x v="0"/>
    <x v="0"/>
    <x v="0"/>
    <n v="33.49"/>
    <n v="7"/>
    <n v="10.47"/>
    <x v="3"/>
    <x v="0"/>
  </r>
  <r>
    <d v="2021-04-02T00:00:00"/>
    <x v="123"/>
    <x v="6"/>
    <x v="1"/>
    <x v="8"/>
    <n v="177.68"/>
    <n v="2"/>
    <n v="46.2"/>
    <x v="3"/>
    <x v="0"/>
  </r>
  <r>
    <d v="2021-04-03T00:00:00"/>
    <x v="124"/>
    <x v="3"/>
    <x v="0"/>
    <x v="10"/>
    <n v="11.16"/>
    <n v="2"/>
    <n v="5.58"/>
    <x v="3"/>
    <x v="0"/>
  </r>
  <r>
    <d v="2021-04-03T00:00:00"/>
    <x v="124"/>
    <x v="3"/>
    <x v="2"/>
    <x v="9"/>
    <n v="62.31"/>
    <n v="3"/>
    <n v="22.43"/>
    <x v="3"/>
    <x v="0"/>
  </r>
  <r>
    <d v="2021-04-03T00:00:00"/>
    <x v="124"/>
    <x v="3"/>
    <x v="2"/>
    <x v="9"/>
    <n v="159.97999999999999"/>
    <n v="2"/>
    <n v="57.59"/>
    <x v="3"/>
    <x v="0"/>
  </r>
  <r>
    <d v="2021-04-04T00:00:00"/>
    <x v="125"/>
    <x v="3"/>
    <x v="0"/>
    <x v="1"/>
    <n v="18.899999999999999"/>
    <n v="6"/>
    <n v="9.07"/>
    <x v="3"/>
    <x v="0"/>
  </r>
  <r>
    <d v="2021-04-04T00:00:00"/>
    <x v="102"/>
    <x v="14"/>
    <x v="1"/>
    <x v="8"/>
    <n v="5.47"/>
    <n v="1"/>
    <n v="2.35"/>
    <x v="3"/>
    <x v="0"/>
  </r>
  <r>
    <d v="2021-04-04T00:00:00"/>
    <x v="102"/>
    <x v="14"/>
    <x v="0"/>
    <x v="4"/>
    <n v="79.36"/>
    <n v="4"/>
    <n v="23.81"/>
    <x v="3"/>
    <x v="0"/>
  </r>
  <r>
    <d v="2021-04-04T00:00:00"/>
    <x v="126"/>
    <x v="3"/>
    <x v="0"/>
    <x v="3"/>
    <n v="7.18"/>
    <n v="2"/>
    <n v="2.25"/>
    <x v="3"/>
    <x v="0"/>
  </r>
  <r>
    <d v="2021-04-04T00:00:00"/>
    <x v="127"/>
    <x v="8"/>
    <x v="0"/>
    <x v="2"/>
    <n v="232.55"/>
    <n v="5"/>
    <n v="9.3000000000000007"/>
    <x v="3"/>
    <x v="0"/>
  </r>
  <r>
    <d v="2021-04-04T00:00:00"/>
    <x v="127"/>
    <x v="8"/>
    <x v="2"/>
    <x v="9"/>
    <n v="99.98"/>
    <n v="2"/>
    <n v="42.99"/>
    <x v="3"/>
    <x v="0"/>
  </r>
  <r>
    <d v="2021-04-04T00:00:00"/>
    <x v="127"/>
    <x v="8"/>
    <x v="0"/>
    <x v="0"/>
    <n v="19.440000000000001"/>
    <n v="3"/>
    <n v="9.33"/>
    <x v="3"/>
    <x v="0"/>
  </r>
  <r>
    <d v="2021-04-04T00:00:00"/>
    <x v="127"/>
    <x v="8"/>
    <x v="0"/>
    <x v="0"/>
    <n v="12.96"/>
    <n v="2"/>
    <n v="6.35"/>
    <x v="3"/>
    <x v="0"/>
  </r>
  <r>
    <d v="2021-04-05T00:00:00"/>
    <x v="128"/>
    <x v="20"/>
    <x v="0"/>
    <x v="0"/>
    <n v="55.48"/>
    <n v="1"/>
    <n v="26.63"/>
    <x v="3"/>
    <x v="0"/>
  </r>
  <r>
    <d v="2021-04-05T00:00:00"/>
    <x v="129"/>
    <x v="6"/>
    <x v="0"/>
    <x v="4"/>
    <n v="22.96"/>
    <n v="7"/>
    <n v="7.58"/>
    <x v="3"/>
    <x v="0"/>
  </r>
  <r>
    <d v="2021-04-05T00:00:00"/>
    <x v="129"/>
    <x v="6"/>
    <x v="2"/>
    <x v="6"/>
    <n v="28.99"/>
    <n v="1"/>
    <n v="8.41"/>
    <x v="3"/>
    <x v="0"/>
  </r>
  <r>
    <d v="2021-04-05T00:00:00"/>
    <x v="129"/>
    <x v="6"/>
    <x v="0"/>
    <x v="0"/>
    <n v="12.96"/>
    <n v="2"/>
    <n v="6.35"/>
    <x v="3"/>
    <x v="0"/>
  </r>
  <r>
    <d v="2021-04-05T00:00:00"/>
    <x v="129"/>
    <x v="6"/>
    <x v="0"/>
    <x v="4"/>
    <n v="22.96"/>
    <n v="7"/>
    <n v="6.66"/>
    <x v="3"/>
    <x v="0"/>
  </r>
  <r>
    <d v="2021-04-05T00:00:00"/>
    <x v="129"/>
    <x v="6"/>
    <x v="0"/>
    <x v="14"/>
    <n v="4164.05"/>
    <n v="5"/>
    <n v="83.28"/>
    <x v="3"/>
    <x v="0"/>
  </r>
  <r>
    <d v="2021-04-05T00:00:00"/>
    <x v="130"/>
    <x v="1"/>
    <x v="0"/>
    <x v="2"/>
    <n v="49.63"/>
    <n v="4"/>
    <n v="3.72"/>
    <x v="3"/>
    <x v="0"/>
  </r>
  <r>
    <d v="2021-04-05T00:00:00"/>
    <x v="130"/>
    <x v="1"/>
    <x v="0"/>
    <x v="2"/>
    <n v="52.1"/>
    <n v="4"/>
    <n v="3.91"/>
    <x v="3"/>
    <x v="0"/>
  </r>
  <r>
    <d v="2021-04-05T00:00:00"/>
    <x v="131"/>
    <x v="14"/>
    <x v="0"/>
    <x v="4"/>
    <n v="26.7"/>
    <n v="2"/>
    <n v="7.48"/>
    <x v="3"/>
    <x v="0"/>
  </r>
  <r>
    <d v="2021-04-05T00:00:00"/>
    <x v="131"/>
    <x v="14"/>
    <x v="0"/>
    <x v="3"/>
    <n v="40.200000000000003"/>
    <n v="5"/>
    <n v="18.09"/>
    <x v="3"/>
    <x v="0"/>
  </r>
  <r>
    <d v="2021-04-05T00:00:00"/>
    <x v="131"/>
    <x v="14"/>
    <x v="0"/>
    <x v="4"/>
    <n v="13.89"/>
    <n v="3"/>
    <n v="4.58"/>
    <x v="3"/>
    <x v="0"/>
  </r>
  <r>
    <d v="2021-04-05T00:00:00"/>
    <x v="131"/>
    <x v="14"/>
    <x v="0"/>
    <x v="2"/>
    <n v="689.82"/>
    <n v="6"/>
    <n v="20.69"/>
    <x v="3"/>
    <x v="0"/>
  </r>
  <r>
    <d v="2021-04-05T00:00:00"/>
    <x v="132"/>
    <x v="5"/>
    <x v="0"/>
    <x v="3"/>
    <n v="115.36"/>
    <n v="7"/>
    <n v="56.53"/>
    <x v="3"/>
    <x v="0"/>
  </r>
  <r>
    <d v="2021-04-06T00:00:00"/>
    <x v="133"/>
    <x v="2"/>
    <x v="0"/>
    <x v="3"/>
    <n v="44.91"/>
    <n v="6"/>
    <n v="-35.93"/>
    <x v="3"/>
    <x v="0"/>
  </r>
  <r>
    <d v="2021-04-06T00:00:00"/>
    <x v="26"/>
    <x v="2"/>
    <x v="0"/>
    <x v="14"/>
    <n v="10.3"/>
    <n v="1"/>
    <n v="-2.19"/>
    <x v="3"/>
    <x v="0"/>
  </r>
  <r>
    <d v="2021-04-06T00:00:00"/>
    <x v="26"/>
    <x v="2"/>
    <x v="1"/>
    <x v="13"/>
    <n v="154.76"/>
    <n v="3"/>
    <n v="-36.11"/>
    <x v="3"/>
    <x v="0"/>
  </r>
  <r>
    <d v="2021-04-06T00:00:00"/>
    <x v="26"/>
    <x v="2"/>
    <x v="2"/>
    <x v="9"/>
    <n v="116.78"/>
    <n v="2"/>
    <n v="21.9"/>
    <x v="3"/>
    <x v="0"/>
  </r>
  <r>
    <d v="2021-04-06T00:00:00"/>
    <x v="134"/>
    <x v="22"/>
    <x v="1"/>
    <x v="13"/>
    <n v="653.54999999999995"/>
    <n v="3"/>
    <n v="111.1"/>
    <x v="3"/>
    <x v="0"/>
  </r>
  <r>
    <d v="2021-04-06T00:00:00"/>
    <x v="134"/>
    <x v="22"/>
    <x v="2"/>
    <x v="9"/>
    <n v="33.9"/>
    <n v="2"/>
    <n v="2.0299999999999998"/>
    <x v="3"/>
    <x v="0"/>
  </r>
  <r>
    <d v="2021-04-06T00:00:00"/>
    <x v="135"/>
    <x v="3"/>
    <x v="1"/>
    <x v="8"/>
    <n v="91.96"/>
    <n v="2"/>
    <n v="15.63"/>
    <x v="3"/>
    <x v="0"/>
  </r>
  <r>
    <d v="2021-04-06T00:00:00"/>
    <x v="135"/>
    <x v="3"/>
    <x v="1"/>
    <x v="8"/>
    <n v="33.11"/>
    <n v="7"/>
    <n v="12.91"/>
    <x v="3"/>
    <x v="0"/>
  </r>
  <r>
    <d v="2021-04-06T00:00:00"/>
    <x v="135"/>
    <x v="3"/>
    <x v="0"/>
    <x v="0"/>
    <n v="19.440000000000001"/>
    <n v="3"/>
    <n v="9.33"/>
    <x v="3"/>
    <x v="0"/>
  </r>
  <r>
    <d v="2021-04-06T00:00:00"/>
    <x v="135"/>
    <x v="3"/>
    <x v="0"/>
    <x v="0"/>
    <n v="55.48"/>
    <n v="1"/>
    <n v="26.63"/>
    <x v="3"/>
    <x v="0"/>
  </r>
  <r>
    <d v="2021-04-06T00:00:00"/>
    <x v="136"/>
    <x v="3"/>
    <x v="0"/>
    <x v="4"/>
    <n v="70.95"/>
    <n v="3"/>
    <n v="18.45"/>
    <x v="3"/>
    <x v="0"/>
  </r>
  <r>
    <d v="2021-04-06T00:00:00"/>
    <x v="136"/>
    <x v="3"/>
    <x v="0"/>
    <x v="3"/>
    <n v="65.569999999999993"/>
    <n v="2"/>
    <n v="23.77"/>
    <x v="3"/>
    <x v="0"/>
  </r>
  <r>
    <d v="2021-04-06T00:00:00"/>
    <x v="136"/>
    <x v="3"/>
    <x v="2"/>
    <x v="9"/>
    <n v="299.97000000000003"/>
    <n v="3"/>
    <n v="131.99"/>
    <x v="3"/>
    <x v="0"/>
  </r>
  <r>
    <d v="2021-04-07T00:00:00"/>
    <x v="137"/>
    <x v="33"/>
    <x v="1"/>
    <x v="8"/>
    <n v="8.9600000000000009"/>
    <n v="2"/>
    <n v="2.78"/>
    <x v="3"/>
    <x v="0"/>
  </r>
  <r>
    <d v="2021-04-07T00:00:00"/>
    <x v="138"/>
    <x v="9"/>
    <x v="2"/>
    <x v="6"/>
    <n v="629.95000000000005"/>
    <n v="5"/>
    <n v="163.79"/>
    <x v="3"/>
    <x v="0"/>
  </r>
  <r>
    <d v="2021-04-07T00:00:00"/>
    <x v="138"/>
    <x v="9"/>
    <x v="0"/>
    <x v="0"/>
    <n v="122.97"/>
    <n v="3"/>
    <n v="60.26"/>
    <x v="3"/>
    <x v="0"/>
  </r>
  <r>
    <d v="2021-04-07T00:00:00"/>
    <x v="139"/>
    <x v="4"/>
    <x v="0"/>
    <x v="0"/>
    <n v="58.32"/>
    <n v="9"/>
    <n v="27.99"/>
    <x v="3"/>
    <x v="0"/>
  </r>
  <r>
    <d v="2021-04-07T00:00:00"/>
    <x v="139"/>
    <x v="4"/>
    <x v="2"/>
    <x v="6"/>
    <n v="200.97"/>
    <n v="3"/>
    <n v="50.24"/>
    <x v="3"/>
    <x v="0"/>
  </r>
  <r>
    <d v="2021-04-08T00:00:00"/>
    <x v="140"/>
    <x v="12"/>
    <x v="0"/>
    <x v="7"/>
    <n v="2.37"/>
    <n v="2"/>
    <n v="0.83"/>
    <x v="3"/>
    <x v="0"/>
  </r>
  <r>
    <d v="2021-04-08T00:00:00"/>
    <x v="140"/>
    <x v="12"/>
    <x v="0"/>
    <x v="0"/>
    <n v="19.010000000000002"/>
    <n v="3"/>
    <n v="6.89"/>
    <x v="3"/>
    <x v="0"/>
  </r>
  <r>
    <d v="2021-04-08T00:00:00"/>
    <x v="141"/>
    <x v="33"/>
    <x v="1"/>
    <x v="13"/>
    <n v="1215.92"/>
    <n v="8"/>
    <n v="316.14"/>
    <x v="3"/>
    <x v="0"/>
  </r>
  <r>
    <d v="2021-04-08T00:00:00"/>
    <x v="142"/>
    <x v="12"/>
    <x v="0"/>
    <x v="7"/>
    <n v="49.79"/>
    <n v="8"/>
    <n v="-11.83"/>
    <x v="3"/>
    <x v="0"/>
  </r>
  <r>
    <d v="2021-04-08T00:00:00"/>
    <x v="39"/>
    <x v="3"/>
    <x v="1"/>
    <x v="13"/>
    <n v="99.59"/>
    <n v="1"/>
    <n v="2.4900000000000002"/>
    <x v="3"/>
    <x v="0"/>
  </r>
  <r>
    <d v="2021-04-08T00:00:00"/>
    <x v="39"/>
    <x v="3"/>
    <x v="2"/>
    <x v="9"/>
    <n v="399.96"/>
    <n v="4"/>
    <n v="139.99"/>
    <x v="3"/>
    <x v="0"/>
  </r>
  <r>
    <d v="2021-04-08T00:00:00"/>
    <x v="143"/>
    <x v="10"/>
    <x v="1"/>
    <x v="13"/>
    <n v="172.11"/>
    <n v="1"/>
    <n v="-94.66"/>
    <x v="3"/>
    <x v="0"/>
  </r>
  <r>
    <d v="2021-04-11T00:00:00"/>
    <x v="144"/>
    <x v="16"/>
    <x v="0"/>
    <x v="7"/>
    <n v="6.91"/>
    <n v="3"/>
    <n v="2.33"/>
    <x v="3"/>
    <x v="0"/>
  </r>
  <r>
    <d v="2021-04-11T00:00:00"/>
    <x v="144"/>
    <x v="16"/>
    <x v="2"/>
    <x v="9"/>
    <n v="383.98"/>
    <n v="3"/>
    <n v="81.59"/>
    <x v="3"/>
    <x v="0"/>
  </r>
  <r>
    <d v="2021-04-11T00:00:00"/>
    <x v="144"/>
    <x v="16"/>
    <x v="0"/>
    <x v="0"/>
    <n v="10.37"/>
    <n v="2"/>
    <n v="3.63"/>
    <x v="3"/>
    <x v="0"/>
  </r>
  <r>
    <d v="2021-04-11T00:00:00"/>
    <x v="144"/>
    <x v="16"/>
    <x v="2"/>
    <x v="9"/>
    <n v="335.94"/>
    <n v="7"/>
    <n v="41.99"/>
    <x v="3"/>
    <x v="0"/>
  </r>
  <r>
    <d v="2021-04-11T00:00:00"/>
    <x v="145"/>
    <x v="34"/>
    <x v="0"/>
    <x v="3"/>
    <n v="9.58"/>
    <n v="1"/>
    <n v="3.35"/>
    <x v="3"/>
    <x v="0"/>
  </r>
  <r>
    <d v="2021-04-11T00:00:00"/>
    <x v="146"/>
    <x v="0"/>
    <x v="2"/>
    <x v="6"/>
    <n v="758.35"/>
    <n v="6"/>
    <n v="265.42"/>
    <x v="3"/>
    <x v="0"/>
  </r>
  <r>
    <d v="2021-04-11T00:00:00"/>
    <x v="147"/>
    <x v="35"/>
    <x v="0"/>
    <x v="2"/>
    <n v="87.08"/>
    <n v="7"/>
    <n v="24.38"/>
    <x v="3"/>
    <x v="0"/>
  </r>
  <r>
    <d v="2021-04-11T00:00:00"/>
    <x v="147"/>
    <x v="35"/>
    <x v="2"/>
    <x v="6"/>
    <n v="105.58"/>
    <n v="2"/>
    <n v="9.24"/>
    <x v="3"/>
    <x v="0"/>
  </r>
  <r>
    <d v="2021-04-11T00:00:00"/>
    <x v="147"/>
    <x v="35"/>
    <x v="2"/>
    <x v="9"/>
    <n v="217.44"/>
    <n v="6"/>
    <n v="91.32"/>
    <x v="3"/>
    <x v="0"/>
  </r>
  <r>
    <d v="2021-04-12T00:00:00"/>
    <x v="148"/>
    <x v="3"/>
    <x v="2"/>
    <x v="6"/>
    <n v="1075.0899999999999"/>
    <n v="14"/>
    <n v="94.07"/>
    <x v="3"/>
    <x v="0"/>
  </r>
  <r>
    <d v="2021-04-12T00:00:00"/>
    <x v="148"/>
    <x v="3"/>
    <x v="2"/>
    <x v="6"/>
    <n v="438.37"/>
    <n v="4"/>
    <n v="38.36"/>
    <x v="3"/>
    <x v="0"/>
  </r>
  <r>
    <d v="2021-04-12T00:00:00"/>
    <x v="148"/>
    <x v="3"/>
    <x v="0"/>
    <x v="3"/>
    <n v="18.09"/>
    <n v="7"/>
    <n v="6.56"/>
    <x v="3"/>
    <x v="0"/>
  </r>
  <r>
    <d v="2021-04-12T00:00:00"/>
    <x v="148"/>
    <x v="3"/>
    <x v="1"/>
    <x v="11"/>
    <n v="308.5"/>
    <n v="3"/>
    <n v="-18.149999999999999"/>
    <x v="3"/>
    <x v="0"/>
  </r>
  <r>
    <d v="2021-04-12T00:00:00"/>
    <x v="149"/>
    <x v="18"/>
    <x v="0"/>
    <x v="0"/>
    <n v="32.4"/>
    <n v="5"/>
    <n v="15.55"/>
    <x v="3"/>
    <x v="0"/>
  </r>
  <r>
    <d v="2021-04-12T00:00:00"/>
    <x v="150"/>
    <x v="3"/>
    <x v="0"/>
    <x v="4"/>
    <n v="39.68"/>
    <n v="2"/>
    <n v="16.27"/>
    <x v="3"/>
    <x v="0"/>
  </r>
  <r>
    <d v="2021-04-13T00:00:00"/>
    <x v="104"/>
    <x v="2"/>
    <x v="0"/>
    <x v="4"/>
    <n v="17.86"/>
    <n v="4"/>
    <n v="1.1200000000000001"/>
    <x v="3"/>
    <x v="0"/>
  </r>
  <r>
    <d v="2021-04-13T00:00:00"/>
    <x v="104"/>
    <x v="2"/>
    <x v="0"/>
    <x v="3"/>
    <n v="509.97"/>
    <n v="10"/>
    <n v="-407.98"/>
    <x v="3"/>
    <x v="0"/>
  </r>
  <r>
    <d v="2021-04-13T00:00:00"/>
    <x v="104"/>
    <x v="2"/>
    <x v="0"/>
    <x v="7"/>
    <n v="30.99"/>
    <n v="13"/>
    <n v="10.07"/>
    <x v="3"/>
    <x v="0"/>
  </r>
  <r>
    <d v="2021-04-13T00:00:00"/>
    <x v="104"/>
    <x v="2"/>
    <x v="2"/>
    <x v="6"/>
    <n v="71.930000000000007"/>
    <n v="12"/>
    <n v="8.39"/>
    <x v="3"/>
    <x v="0"/>
  </r>
  <r>
    <d v="2021-04-13T00:00:00"/>
    <x v="151"/>
    <x v="36"/>
    <x v="0"/>
    <x v="1"/>
    <n v="7.83"/>
    <n v="3"/>
    <n v="3.6"/>
    <x v="3"/>
    <x v="0"/>
  </r>
  <r>
    <d v="2021-04-15T00:00:00"/>
    <x v="152"/>
    <x v="3"/>
    <x v="0"/>
    <x v="12"/>
    <n v="106.96"/>
    <n v="2"/>
    <n v="31.02"/>
    <x v="3"/>
    <x v="0"/>
  </r>
  <r>
    <d v="2021-04-15T00:00:00"/>
    <x v="152"/>
    <x v="3"/>
    <x v="1"/>
    <x v="8"/>
    <n v="187.76"/>
    <n v="4"/>
    <n v="76.98"/>
    <x v="3"/>
    <x v="0"/>
  </r>
  <r>
    <d v="2021-04-16T00:00:00"/>
    <x v="153"/>
    <x v="25"/>
    <x v="0"/>
    <x v="4"/>
    <n v="39.07"/>
    <n v="6"/>
    <n v="9.77"/>
    <x v="3"/>
    <x v="0"/>
  </r>
  <r>
    <d v="2021-04-18T00:00:00"/>
    <x v="154"/>
    <x v="3"/>
    <x v="2"/>
    <x v="15"/>
    <n v="287.97000000000003"/>
    <n v="4"/>
    <n v="97.19"/>
    <x v="3"/>
    <x v="0"/>
  </r>
  <r>
    <d v="2021-04-18T00:00:00"/>
    <x v="154"/>
    <x v="3"/>
    <x v="0"/>
    <x v="4"/>
    <n v="13.12"/>
    <n v="4"/>
    <n v="3.8"/>
    <x v="3"/>
    <x v="0"/>
  </r>
  <r>
    <d v="2021-04-18T00:00:00"/>
    <x v="154"/>
    <x v="3"/>
    <x v="0"/>
    <x v="4"/>
    <n v="10.75"/>
    <n v="5"/>
    <n v="3.55"/>
    <x v="3"/>
    <x v="0"/>
  </r>
  <r>
    <d v="2021-04-18T00:00:00"/>
    <x v="154"/>
    <x v="3"/>
    <x v="0"/>
    <x v="7"/>
    <n v="11.62"/>
    <n v="2"/>
    <n v="3.6"/>
    <x v="3"/>
    <x v="0"/>
  </r>
  <r>
    <d v="2021-04-18T00:00:00"/>
    <x v="111"/>
    <x v="0"/>
    <x v="0"/>
    <x v="4"/>
    <n v="2.69"/>
    <n v="2"/>
    <n v="1.01"/>
    <x v="3"/>
    <x v="0"/>
  </r>
  <r>
    <d v="2021-04-18T00:00:00"/>
    <x v="111"/>
    <x v="0"/>
    <x v="1"/>
    <x v="5"/>
    <n v="317.06"/>
    <n v="3"/>
    <n v="-18.12"/>
    <x v="3"/>
    <x v="0"/>
  </r>
  <r>
    <d v="2021-04-18T00:00:00"/>
    <x v="111"/>
    <x v="0"/>
    <x v="0"/>
    <x v="10"/>
    <n v="149.35"/>
    <n v="3"/>
    <n v="50.41"/>
    <x v="3"/>
    <x v="0"/>
  </r>
  <r>
    <d v="2021-04-18T00:00:00"/>
    <x v="111"/>
    <x v="0"/>
    <x v="2"/>
    <x v="9"/>
    <n v="227.98"/>
    <n v="3"/>
    <n v="28.5"/>
    <x v="3"/>
    <x v="0"/>
  </r>
  <r>
    <d v="2021-04-19T00:00:00"/>
    <x v="155"/>
    <x v="3"/>
    <x v="1"/>
    <x v="8"/>
    <n v="76.14"/>
    <n v="3"/>
    <n v="26.65"/>
    <x v="3"/>
    <x v="0"/>
  </r>
  <r>
    <d v="2021-04-19T00:00:00"/>
    <x v="156"/>
    <x v="6"/>
    <x v="0"/>
    <x v="3"/>
    <n v="58.05"/>
    <n v="3"/>
    <n v="26.7"/>
    <x v="3"/>
    <x v="0"/>
  </r>
  <r>
    <d v="2021-04-19T00:00:00"/>
    <x v="156"/>
    <x v="6"/>
    <x v="0"/>
    <x v="0"/>
    <n v="71.28"/>
    <n v="11"/>
    <n v="34.21"/>
    <x v="3"/>
    <x v="0"/>
  </r>
  <r>
    <d v="2021-04-20T00:00:00"/>
    <x v="9"/>
    <x v="0"/>
    <x v="1"/>
    <x v="13"/>
    <n v="744.1"/>
    <n v="5"/>
    <n v="-95.67"/>
    <x v="3"/>
    <x v="0"/>
  </r>
  <r>
    <d v="2021-04-20T00:00:00"/>
    <x v="9"/>
    <x v="0"/>
    <x v="0"/>
    <x v="2"/>
    <n v="44.84"/>
    <n v="5"/>
    <n v="5.61"/>
    <x v="3"/>
    <x v="0"/>
  </r>
  <r>
    <d v="2021-04-20T00:00:00"/>
    <x v="9"/>
    <x v="0"/>
    <x v="1"/>
    <x v="13"/>
    <n v="401.59"/>
    <n v="2"/>
    <n v="-131.94999999999999"/>
    <x v="3"/>
    <x v="0"/>
  </r>
  <r>
    <d v="2021-04-20T00:00:00"/>
    <x v="157"/>
    <x v="3"/>
    <x v="1"/>
    <x v="8"/>
    <n v="59.92"/>
    <n v="4"/>
    <n v="27.56"/>
    <x v="3"/>
    <x v="0"/>
  </r>
  <r>
    <d v="2021-04-21T00:00:00"/>
    <x v="158"/>
    <x v="3"/>
    <x v="0"/>
    <x v="3"/>
    <n v="16.52"/>
    <n v="5"/>
    <n v="5.58"/>
    <x v="3"/>
    <x v="0"/>
  </r>
  <r>
    <d v="2021-04-21T00:00:00"/>
    <x v="159"/>
    <x v="5"/>
    <x v="0"/>
    <x v="2"/>
    <n v="828.84"/>
    <n v="6"/>
    <n v="0"/>
    <x v="3"/>
    <x v="0"/>
  </r>
  <r>
    <d v="2021-04-22T00:00:00"/>
    <x v="160"/>
    <x v="20"/>
    <x v="0"/>
    <x v="10"/>
    <n v="247.84"/>
    <n v="8"/>
    <n v="121.44"/>
    <x v="3"/>
    <x v="0"/>
  </r>
  <r>
    <d v="2021-04-22T00:00:00"/>
    <x v="160"/>
    <x v="20"/>
    <x v="0"/>
    <x v="3"/>
    <n v="9.91"/>
    <n v="3"/>
    <n v="3.35"/>
    <x v="3"/>
    <x v="0"/>
  </r>
  <r>
    <d v="2021-04-23T00:00:00"/>
    <x v="161"/>
    <x v="2"/>
    <x v="0"/>
    <x v="3"/>
    <n v="2.5"/>
    <n v="3"/>
    <n v="-1.75"/>
    <x v="3"/>
    <x v="0"/>
  </r>
  <r>
    <d v="2021-04-23T00:00:00"/>
    <x v="162"/>
    <x v="10"/>
    <x v="1"/>
    <x v="5"/>
    <n v="281.37"/>
    <n v="2"/>
    <n v="-12.06"/>
    <x v="3"/>
    <x v="0"/>
  </r>
  <r>
    <d v="2021-04-23T00:00:00"/>
    <x v="162"/>
    <x v="10"/>
    <x v="0"/>
    <x v="3"/>
    <n v="7.49"/>
    <n v="8"/>
    <n v="-5.24"/>
    <x v="3"/>
    <x v="0"/>
  </r>
  <r>
    <d v="2021-04-23T00:00:00"/>
    <x v="162"/>
    <x v="10"/>
    <x v="1"/>
    <x v="8"/>
    <n v="22.34"/>
    <n v="4"/>
    <n v="7.82"/>
    <x v="3"/>
    <x v="0"/>
  </r>
  <r>
    <d v="2021-04-23T00:00:00"/>
    <x v="39"/>
    <x v="3"/>
    <x v="0"/>
    <x v="0"/>
    <n v="48.91"/>
    <n v="1"/>
    <n v="22.99"/>
    <x v="3"/>
    <x v="0"/>
  </r>
  <r>
    <d v="2021-04-25T00:00:00"/>
    <x v="163"/>
    <x v="0"/>
    <x v="0"/>
    <x v="0"/>
    <n v="10.37"/>
    <n v="2"/>
    <n v="3.63"/>
    <x v="3"/>
    <x v="0"/>
  </r>
  <r>
    <d v="2021-04-25T00:00:00"/>
    <x v="163"/>
    <x v="0"/>
    <x v="0"/>
    <x v="4"/>
    <n v="6.24"/>
    <n v="3"/>
    <n v="0.55000000000000004"/>
    <x v="3"/>
    <x v="0"/>
  </r>
  <r>
    <d v="2021-04-25T00:00:00"/>
    <x v="164"/>
    <x v="25"/>
    <x v="2"/>
    <x v="6"/>
    <n v="302.38"/>
    <n v="3"/>
    <n v="37.799999999999997"/>
    <x v="3"/>
    <x v="0"/>
  </r>
  <r>
    <d v="2021-04-25T00:00:00"/>
    <x v="165"/>
    <x v="3"/>
    <x v="1"/>
    <x v="8"/>
    <n v="303.25"/>
    <n v="5"/>
    <n v="63.68"/>
    <x v="3"/>
    <x v="0"/>
  </r>
  <r>
    <d v="2021-04-25T00:00:00"/>
    <x v="165"/>
    <x v="3"/>
    <x v="0"/>
    <x v="12"/>
    <n v="270.72000000000003"/>
    <n v="3"/>
    <n v="78.510000000000005"/>
    <x v="3"/>
    <x v="0"/>
  </r>
  <r>
    <d v="2021-04-25T00:00:00"/>
    <x v="165"/>
    <x v="3"/>
    <x v="1"/>
    <x v="5"/>
    <n v="1487.04"/>
    <n v="5"/>
    <n v="148.69999999999999"/>
    <x v="3"/>
    <x v="0"/>
  </r>
  <r>
    <d v="2021-04-26T00:00:00"/>
    <x v="166"/>
    <x v="3"/>
    <x v="1"/>
    <x v="5"/>
    <n v="230.28"/>
    <n v="3"/>
    <n v="23.03"/>
    <x v="3"/>
    <x v="0"/>
  </r>
  <r>
    <d v="2021-04-26T00:00:00"/>
    <x v="166"/>
    <x v="3"/>
    <x v="0"/>
    <x v="3"/>
    <n v="18.29"/>
    <n v="6"/>
    <n v="5.72"/>
    <x v="3"/>
    <x v="0"/>
  </r>
  <r>
    <d v="2021-04-26T00:00:00"/>
    <x v="167"/>
    <x v="3"/>
    <x v="0"/>
    <x v="4"/>
    <n v="21.4"/>
    <n v="5"/>
    <n v="6.21"/>
    <x v="3"/>
    <x v="0"/>
  </r>
  <r>
    <d v="2021-04-26T00:00:00"/>
    <x v="167"/>
    <x v="3"/>
    <x v="0"/>
    <x v="1"/>
    <n v="12.6"/>
    <n v="2"/>
    <n v="5.8"/>
    <x v="3"/>
    <x v="0"/>
  </r>
  <r>
    <d v="2021-04-28T00:00:00"/>
    <x v="168"/>
    <x v="36"/>
    <x v="0"/>
    <x v="3"/>
    <n v="20.86"/>
    <n v="2"/>
    <n v="9.39"/>
    <x v="3"/>
    <x v="0"/>
  </r>
  <r>
    <d v="2021-04-28T00:00:00"/>
    <x v="168"/>
    <x v="36"/>
    <x v="0"/>
    <x v="2"/>
    <n v="497.61"/>
    <n v="9"/>
    <n v="129.38"/>
    <x v="3"/>
    <x v="0"/>
  </r>
  <r>
    <d v="2021-04-28T00:00:00"/>
    <x v="168"/>
    <x v="36"/>
    <x v="0"/>
    <x v="4"/>
    <n v="5.34"/>
    <n v="2"/>
    <n v="1.5"/>
    <x v="3"/>
    <x v="0"/>
  </r>
  <r>
    <d v="2021-04-28T00:00:00"/>
    <x v="168"/>
    <x v="36"/>
    <x v="0"/>
    <x v="1"/>
    <n v="3.15"/>
    <n v="1"/>
    <n v="1.51"/>
    <x v="3"/>
    <x v="0"/>
  </r>
  <r>
    <d v="2021-04-28T00:00:00"/>
    <x v="169"/>
    <x v="10"/>
    <x v="0"/>
    <x v="1"/>
    <n v="6.91"/>
    <n v="3"/>
    <n v="2.5099999999999998"/>
    <x v="3"/>
    <x v="0"/>
  </r>
  <r>
    <d v="2021-04-28T00:00:00"/>
    <x v="169"/>
    <x v="10"/>
    <x v="0"/>
    <x v="2"/>
    <n v="27.1"/>
    <n v="3"/>
    <n v="2.0299999999999998"/>
    <x v="3"/>
    <x v="0"/>
  </r>
  <r>
    <d v="2021-04-28T00:00:00"/>
    <x v="169"/>
    <x v="10"/>
    <x v="0"/>
    <x v="2"/>
    <n v="177.57"/>
    <n v="2"/>
    <n v="-37.729999999999997"/>
    <x v="3"/>
    <x v="0"/>
  </r>
  <r>
    <d v="2021-04-28T00:00:00"/>
    <x v="170"/>
    <x v="3"/>
    <x v="2"/>
    <x v="6"/>
    <n v="1679.96"/>
    <n v="5"/>
    <n v="126"/>
    <x v="3"/>
    <x v="0"/>
  </r>
  <r>
    <d v="2021-04-28T00:00:00"/>
    <x v="171"/>
    <x v="20"/>
    <x v="2"/>
    <x v="9"/>
    <n v="159.97999999999999"/>
    <n v="2"/>
    <n v="57.59"/>
    <x v="3"/>
    <x v="0"/>
  </r>
  <r>
    <d v="2021-04-29T00:00:00"/>
    <x v="172"/>
    <x v="20"/>
    <x v="1"/>
    <x v="8"/>
    <n v="17.46"/>
    <n v="2"/>
    <n v="5.94"/>
    <x v="3"/>
    <x v="0"/>
  </r>
  <r>
    <d v="2021-04-29T00:00:00"/>
    <x v="173"/>
    <x v="8"/>
    <x v="1"/>
    <x v="5"/>
    <n v="51.96"/>
    <n v="2"/>
    <n v="12.99"/>
    <x v="3"/>
    <x v="0"/>
  </r>
  <r>
    <d v="2021-04-29T00:00:00"/>
    <x v="173"/>
    <x v="8"/>
    <x v="0"/>
    <x v="3"/>
    <n v="17.940000000000001"/>
    <n v="3"/>
    <n v="8.61"/>
    <x v="3"/>
    <x v="0"/>
  </r>
  <r>
    <d v="2021-04-29T00:00:00"/>
    <x v="174"/>
    <x v="15"/>
    <x v="1"/>
    <x v="5"/>
    <n v="561.58000000000004"/>
    <n v="2"/>
    <n v="70.2"/>
    <x v="3"/>
    <x v="0"/>
  </r>
  <r>
    <d v="2021-04-29T00:00:00"/>
    <x v="174"/>
    <x v="15"/>
    <x v="0"/>
    <x v="2"/>
    <n v="99.92"/>
    <n v="5"/>
    <n v="-1.25"/>
    <x v="3"/>
    <x v="0"/>
  </r>
  <r>
    <d v="2021-04-29T00:00:00"/>
    <x v="175"/>
    <x v="7"/>
    <x v="2"/>
    <x v="6"/>
    <n v="19.98"/>
    <n v="2"/>
    <n v="5.19"/>
    <x v="3"/>
    <x v="0"/>
  </r>
  <r>
    <d v="2021-04-30T00:00:00"/>
    <x v="51"/>
    <x v="29"/>
    <x v="2"/>
    <x v="9"/>
    <n v="47.79"/>
    <n v="3"/>
    <n v="16.25"/>
    <x v="3"/>
    <x v="0"/>
  </r>
  <r>
    <d v="2021-04-30T00:00:00"/>
    <x v="176"/>
    <x v="5"/>
    <x v="0"/>
    <x v="4"/>
    <n v="174.95"/>
    <n v="5"/>
    <n v="45.49"/>
    <x v="3"/>
    <x v="0"/>
  </r>
  <r>
    <d v="2021-04-30T00:00:00"/>
    <x v="176"/>
    <x v="5"/>
    <x v="0"/>
    <x v="2"/>
    <n v="826"/>
    <n v="5"/>
    <n v="214.76"/>
    <x v="3"/>
    <x v="0"/>
  </r>
  <r>
    <d v="2021-05-02T00:00:00"/>
    <x v="177"/>
    <x v="10"/>
    <x v="0"/>
    <x v="12"/>
    <n v="26.14"/>
    <n v="3"/>
    <n v="1.96"/>
    <x v="4"/>
    <x v="0"/>
  </r>
  <r>
    <d v="2021-05-02T00:00:00"/>
    <x v="178"/>
    <x v="16"/>
    <x v="2"/>
    <x v="16"/>
    <n v="479.98"/>
    <n v="2"/>
    <n v="90"/>
    <x v="4"/>
    <x v="0"/>
  </r>
  <r>
    <d v="2021-05-03T00:00:00"/>
    <x v="179"/>
    <x v="21"/>
    <x v="0"/>
    <x v="1"/>
    <n v="21.56"/>
    <n v="7"/>
    <n v="10.35"/>
    <x v="4"/>
    <x v="0"/>
  </r>
  <r>
    <d v="2021-05-03T00:00:00"/>
    <x v="180"/>
    <x v="20"/>
    <x v="0"/>
    <x v="3"/>
    <n v="40.18"/>
    <n v="3"/>
    <n v="14.56"/>
    <x v="4"/>
    <x v="0"/>
  </r>
  <r>
    <d v="2021-05-03T00:00:00"/>
    <x v="180"/>
    <x v="20"/>
    <x v="0"/>
    <x v="3"/>
    <n v="10.9"/>
    <n v="3"/>
    <n v="3.95"/>
    <x v="4"/>
    <x v="0"/>
  </r>
  <r>
    <d v="2021-05-04T00:00:00"/>
    <x v="181"/>
    <x v="14"/>
    <x v="0"/>
    <x v="3"/>
    <n v="46.8"/>
    <n v="4"/>
    <n v="21.06"/>
    <x v="4"/>
    <x v="0"/>
  </r>
  <r>
    <d v="2021-05-04T00:00:00"/>
    <x v="182"/>
    <x v="37"/>
    <x v="1"/>
    <x v="8"/>
    <n v="27.46"/>
    <n v="2"/>
    <n v="9.89"/>
    <x v="4"/>
    <x v="0"/>
  </r>
  <r>
    <d v="2021-05-04T00:00:00"/>
    <x v="115"/>
    <x v="0"/>
    <x v="0"/>
    <x v="4"/>
    <n v="37.840000000000003"/>
    <n v="2"/>
    <n v="2.84"/>
    <x v="4"/>
    <x v="0"/>
  </r>
  <r>
    <d v="2021-05-04T00:00:00"/>
    <x v="115"/>
    <x v="0"/>
    <x v="0"/>
    <x v="7"/>
    <n v="5.47"/>
    <n v="6"/>
    <n v="1.85"/>
    <x v="4"/>
    <x v="0"/>
  </r>
  <r>
    <d v="2021-05-04T00:00:00"/>
    <x v="183"/>
    <x v="22"/>
    <x v="1"/>
    <x v="8"/>
    <n v="12.18"/>
    <n v="7"/>
    <n v="3.9"/>
    <x v="4"/>
    <x v="0"/>
  </r>
  <r>
    <d v="2021-05-04T00:00:00"/>
    <x v="183"/>
    <x v="22"/>
    <x v="0"/>
    <x v="12"/>
    <n v="57.68"/>
    <n v="4"/>
    <n v="19.03"/>
    <x v="4"/>
    <x v="0"/>
  </r>
  <r>
    <d v="2021-05-05T00:00:00"/>
    <x v="184"/>
    <x v="5"/>
    <x v="0"/>
    <x v="0"/>
    <n v="9.42"/>
    <n v="3"/>
    <n v="4.24"/>
    <x v="4"/>
    <x v="0"/>
  </r>
  <r>
    <d v="2021-05-05T00:00:00"/>
    <x v="184"/>
    <x v="5"/>
    <x v="0"/>
    <x v="4"/>
    <n v="6.56"/>
    <n v="2"/>
    <n v="1.9"/>
    <x v="4"/>
    <x v="0"/>
  </r>
  <r>
    <d v="2021-05-05T00:00:00"/>
    <x v="184"/>
    <x v="5"/>
    <x v="0"/>
    <x v="0"/>
    <n v="24.56"/>
    <n v="2"/>
    <n v="11.54"/>
    <x v="4"/>
    <x v="0"/>
  </r>
  <r>
    <d v="2021-05-05T00:00:00"/>
    <x v="185"/>
    <x v="0"/>
    <x v="1"/>
    <x v="5"/>
    <n v="127.87"/>
    <n v="3"/>
    <n v="-9.1300000000000008"/>
    <x v="4"/>
    <x v="0"/>
  </r>
  <r>
    <d v="2021-05-05T00:00:00"/>
    <x v="121"/>
    <x v="1"/>
    <x v="0"/>
    <x v="2"/>
    <n v="45.25"/>
    <n v="2"/>
    <n v="3.96"/>
    <x v="4"/>
    <x v="0"/>
  </r>
  <r>
    <d v="2021-05-05T00:00:00"/>
    <x v="186"/>
    <x v="6"/>
    <x v="0"/>
    <x v="3"/>
    <n v="11.88"/>
    <n v="2"/>
    <n v="5.35"/>
    <x v="4"/>
    <x v="0"/>
  </r>
  <r>
    <d v="2021-05-05T00:00:00"/>
    <x v="186"/>
    <x v="6"/>
    <x v="0"/>
    <x v="0"/>
    <n v="35.44"/>
    <n v="1"/>
    <n v="16.66"/>
    <x v="4"/>
    <x v="0"/>
  </r>
  <r>
    <d v="2021-05-06T00:00:00"/>
    <x v="187"/>
    <x v="3"/>
    <x v="0"/>
    <x v="3"/>
    <n v="140.74"/>
    <n v="8"/>
    <n v="52.78"/>
    <x v="4"/>
    <x v="0"/>
  </r>
  <r>
    <d v="2021-05-06T00:00:00"/>
    <x v="188"/>
    <x v="3"/>
    <x v="0"/>
    <x v="1"/>
    <n v="5.78"/>
    <n v="2"/>
    <n v="2.72"/>
    <x v="4"/>
    <x v="0"/>
  </r>
  <r>
    <d v="2021-05-06T00:00:00"/>
    <x v="188"/>
    <x v="3"/>
    <x v="0"/>
    <x v="4"/>
    <n v="107.94"/>
    <n v="6"/>
    <n v="30.22"/>
    <x v="4"/>
    <x v="0"/>
  </r>
  <r>
    <d v="2021-05-07T00:00:00"/>
    <x v="189"/>
    <x v="32"/>
    <x v="0"/>
    <x v="3"/>
    <n v="16.14"/>
    <n v="3"/>
    <n v="7.91"/>
    <x v="4"/>
    <x v="0"/>
  </r>
  <r>
    <d v="2021-05-07T00:00:00"/>
    <x v="189"/>
    <x v="32"/>
    <x v="1"/>
    <x v="13"/>
    <n v="194.25"/>
    <n v="2"/>
    <n v="-38.85"/>
    <x v="4"/>
    <x v="0"/>
  </r>
  <r>
    <d v="2021-05-07T00:00:00"/>
    <x v="189"/>
    <x v="32"/>
    <x v="0"/>
    <x v="4"/>
    <n v="8.64"/>
    <n v="3"/>
    <n v="2.5099999999999998"/>
    <x v="4"/>
    <x v="0"/>
  </r>
  <r>
    <d v="2021-05-07T00:00:00"/>
    <x v="189"/>
    <x v="32"/>
    <x v="1"/>
    <x v="5"/>
    <n v="872.32"/>
    <n v="4"/>
    <n v="244.25"/>
    <x v="4"/>
    <x v="0"/>
  </r>
  <r>
    <d v="2021-05-08T00:00:00"/>
    <x v="73"/>
    <x v="2"/>
    <x v="2"/>
    <x v="16"/>
    <n v="1799.97"/>
    <n v="5"/>
    <n v="240"/>
    <x v="4"/>
    <x v="0"/>
  </r>
  <r>
    <d v="2021-05-09T00:00:00"/>
    <x v="190"/>
    <x v="3"/>
    <x v="2"/>
    <x v="9"/>
    <n v="67.8"/>
    <n v="4"/>
    <n v="4.07"/>
    <x v="4"/>
    <x v="0"/>
  </r>
  <r>
    <d v="2021-05-09T00:00:00"/>
    <x v="190"/>
    <x v="3"/>
    <x v="2"/>
    <x v="9"/>
    <n v="167.97"/>
    <n v="3"/>
    <n v="40.31"/>
    <x v="4"/>
    <x v="0"/>
  </r>
  <r>
    <d v="2021-05-09T00:00:00"/>
    <x v="191"/>
    <x v="5"/>
    <x v="0"/>
    <x v="2"/>
    <n v="83.25"/>
    <n v="3"/>
    <n v="14.99"/>
    <x v="4"/>
    <x v="0"/>
  </r>
  <r>
    <d v="2021-05-09T00:00:00"/>
    <x v="191"/>
    <x v="5"/>
    <x v="0"/>
    <x v="1"/>
    <n v="9.4499999999999993"/>
    <n v="3"/>
    <n v="4.54"/>
    <x v="4"/>
    <x v="0"/>
  </r>
  <r>
    <d v="2021-05-09T00:00:00"/>
    <x v="191"/>
    <x v="5"/>
    <x v="0"/>
    <x v="1"/>
    <n v="20.65"/>
    <n v="5"/>
    <n v="9.5"/>
    <x v="4"/>
    <x v="0"/>
  </r>
  <r>
    <d v="2021-05-09T00:00:00"/>
    <x v="191"/>
    <x v="5"/>
    <x v="0"/>
    <x v="0"/>
    <n v="45.36"/>
    <n v="7"/>
    <n v="21.77"/>
    <x v="4"/>
    <x v="0"/>
  </r>
  <r>
    <d v="2021-05-10T00:00:00"/>
    <x v="170"/>
    <x v="22"/>
    <x v="0"/>
    <x v="10"/>
    <n v="158.13"/>
    <n v="3"/>
    <n v="77.48"/>
    <x v="4"/>
    <x v="0"/>
  </r>
  <r>
    <d v="2021-05-10T00:00:00"/>
    <x v="170"/>
    <x v="22"/>
    <x v="2"/>
    <x v="6"/>
    <n v="43.6"/>
    <n v="5"/>
    <n v="4.3600000000000003"/>
    <x v="4"/>
    <x v="0"/>
  </r>
  <r>
    <d v="2021-05-10T00:00:00"/>
    <x v="192"/>
    <x v="2"/>
    <x v="1"/>
    <x v="11"/>
    <n v="349.97"/>
    <n v="7"/>
    <n v="-216.98"/>
    <x v="4"/>
    <x v="0"/>
  </r>
  <r>
    <d v="2021-05-10T00:00:00"/>
    <x v="192"/>
    <x v="2"/>
    <x v="0"/>
    <x v="4"/>
    <n v="22.32"/>
    <n v="5"/>
    <n v="5.3"/>
    <x v="4"/>
    <x v="0"/>
  </r>
  <r>
    <d v="2021-05-10T00:00:00"/>
    <x v="193"/>
    <x v="3"/>
    <x v="0"/>
    <x v="0"/>
    <n v="39.96"/>
    <n v="2"/>
    <n v="19.18"/>
    <x v="4"/>
    <x v="0"/>
  </r>
  <r>
    <d v="2021-05-10T00:00:00"/>
    <x v="193"/>
    <x v="3"/>
    <x v="2"/>
    <x v="6"/>
    <n v="1432"/>
    <n v="5"/>
    <n v="125.3"/>
    <x v="4"/>
    <x v="0"/>
  </r>
  <r>
    <d v="2021-05-10T00:00:00"/>
    <x v="193"/>
    <x v="3"/>
    <x v="0"/>
    <x v="14"/>
    <n v="41.04"/>
    <n v="6"/>
    <n v="11.08"/>
    <x v="4"/>
    <x v="0"/>
  </r>
  <r>
    <d v="2021-05-10T00:00:00"/>
    <x v="193"/>
    <x v="3"/>
    <x v="1"/>
    <x v="5"/>
    <n v="256.77999999999997"/>
    <n v="1"/>
    <n v="32.1"/>
    <x v="4"/>
    <x v="0"/>
  </r>
  <r>
    <d v="2021-05-11T00:00:00"/>
    <x v="194"/>
    <x v="0"/>
    <x v="2"/>
    <x v="9"/>
    <n v="58.11"/>
    <n v="2"/>
    <n v="7.26"/>
    <x v="4"/>
    <x v="0"/>
  </r>
  <r>
    <d v="2021-05-11T00:00:00"/>
    <x v="194"/>
    <x v="0"/>
    <x v="2"/>
    <x v="6"/>
    <n v="100.79"/>
    <n v="1"/>
    <n v="6.3"/>
    <x v="4"/>
    <x v="0"/>
  </r>
  <r>
    <d v="2021-05-11T00:00:00"/>
    <x v="194"/>
    <x v="0"/>
    <x v="1"/>
    <x v="8"/>
    <n v="66.11"/>
    <n v="4"/>
    <n v="-84.29"/>
    <x v="4"/>
    <x v="0"/>
  </r>
  <r>
    <d v="2021-05-11T00:00:00"/>
    <x v="195"/>
    <x v="0"/>
    <x v="2"/>
    <x v="9"/>
    <n v="46.86"/>
    <n v="2"/>
    <n v="7.62"/>
    <x v="4"/>
    <x v="0"/>
  </r>
  <r>
    <d v="2021-05-11T00:00:00"/>
    <x v="196"/>
    <x v="20"/>
    <x v="0"/>
    <x v="12"/>
    <n v="35.909999999999997"/>
    <n v="3"/>
    <n v="9.6999999999999993"/>
    <x v="4"/>
    <x v="0"/>
  </r>
  <r>
    <d v="2021-05-11T00:00:00"/>
    <x v="197"/>
    <x v="0"/>
    <x v="1"/>
    <x v="5"/>
    <n v="1212.96"/>
    <n v="8"/>
    <n v="-69.31"/>
    <x v="4"/>
    <x v="0"/>
  </r>
  <r>
    <d v="2021-05-11T00:00:00"/>
    <x v="198"/>
    <x v="1"/>
    <x v="0"/>
    <x v="0"/>
    <n v="17.47"/>
    <n v="3"/>
    <n v="5.68"/>
    <x v="4"/>
    <x v="0"/>
  </r>
  <r>
    <d v="2021-05-11T00:00:00"/>
    <x v="198"/>
    <x v="1"/>
    <x v="0"/>
    <x v="3"/>
    <n v="104.58"/>
    <n v="9"/>
    <n v="-172.56"/>
    <x v="4"/>
    <x v="0"/>
  </r>
  <r>
    <d v="2021-05-12T00:00:00"/>
    <x v="19"/>
    <x v="21"/>
    <x v="1"/>
    <x v="8"/>
    <n v="34.79"/>
    <n v="7"/>
    <n v="10.78"/>
    <x v="4"/>
    <x v="0"/>
  </r>
  <r>
    <d v="2021-05-12T00:00:00"/>
    <x v="73"/>
    <x v="32"/>
    <x v="1"/>
    <x v="13"/>
    <n v="700.06"/>
    <n v="3"/>
    <n v="-130.01"/>
    <x v="4"/>
    <x v="0"/>
  </r>
  <r>
    <d v="2021-05-13T00:00:00"/>
    <x v="199"/>
    <x v="27"/>
    <x v="0"/>
    <x v="2"/>
    <n v="55.5"/>
    <n v="2"/>
    <n v="9.99"/>
    <x v="4"/>
    <x v="0"/>
  </r>
  <r>
    <d v="2021-05-13T00:00:00"/>
    <x v="200"/>
    <x v="16"/>
    <x v="0"/>
    <x v="7"/>
    <n v="7.1"/>
    <n v="2"/>
    <n v="2.4"/>
    <x v="4"/>
    <x v="0"/>
  </r>
  <r>
    <d v="2021-05-13T00:00:00"/>
    <x v="200"/>
    <x v="16"/>
    <x v="0"/>
    <x v="3"/>
    <n v="398.35"/>
    <n v="8"/>
    <n v="-331.96"/>
    <x v="4"/>
    <x v="0"/>
  </r>
  <r>
    <d v="2021-05-13T00:00:00"/>
    <x v="201"/>
    <x v="3"/>
    <x v="2"/>
    <x v="9"/>
    <n v="149.97"/>
    <n v="3"/>
    <n v="52.49"/>
    <x v="4"/>
    <x v="0"/>
  </r>
  <r>
    <d v="2021-05-13T00:00:00"/>
    <x v="160"/>
    <x v="3"/>
    <x v="1"/>
    <x v="5"/>
    <n v="279.45999999999998"/>
    <n v="6"/>
    <n v="20.96"/>
    <x v="4"/>
    <x v="0"/>
  </r>
  <r>
    <d v="2021-05-13T00:00:00"/>
    <x v="160"/>
    <x v="3"/>
    <x v="0"/>
    <x v="0"/>
    <n v="8"/>
    <n v="2"/>
    <n v="3.84"/>
    <x v="4"/>
    <x v="0"/>
  </r>
  <r>
    <d v="2021-05-14T00:00:00"/>
    <x v="202"/>
    <x v="16"/>
    <x v="1"/>
    <x v="8"/>
    <n v="310.88"/>
    <n v="2"/>
    <n v="23.32"/>
    <x v="4"/>
    <x v="0"/>
  </r>
  <r>
    <d v="2021-05-16T00:00:00"/>
    <x v="203"/>
    <x v="3"/>
    <x v="1"/>
    <x v="5"/>
    <n v="232.88"/>
    <n v="5"/>
    <n v="17.47"/>
    <x v="4"/>
    <x v="0"/>
  </r>
  <r>
    <d v="2021-05-16T00:00:00"/>
    <x v="204"/>
    <x v="3"/>
    <x v="2"/>
    <x v="9"/>
    <n v="56.4"/>
    <n v="3"/>
    <n v="3.38"/>
    <x v="4"/>
    <x v="0"/>
  </r>
  <r>
    <d v="2021-05-17T00:00:00"/>
    <x v="205"/>
    <x v="21"/>
    <x v="0"/>
    <x v="3"/>
    <n v="91.68"/>
    <n v="3"/>
    <n v="45.84"/>
    <x v="4"/>
    <x v="0"/>
  </r>
  <r>
    <d v="2021-05-18T00:00:00"/>
    <x v="206"/>
    <x v="10"/>
    <x v="2"/>
    <x v="6"/>
    <n v="779.8"/>
    <n v="2"/>
    <n v="-168.96"/>
    <x v="4"/>
    <x v="0"/>
  </r>
  <r>
    <d v="2021-05-18T00:00:00"/>
    <x v="207"/>
    <x v="10"/>
    <x v="1"/>
    <x v="8"/>
    <n v="149.22999999999999"/>
    <n v="3"/>
    <n v="3.73"/>
    <x v="4"/>
    <x v="0"/>
  </r>
  <r>
    <d v="2021-05-18T00:00:00"/>
    <x v="207"/>
    <x v="10"/>
    <x v="0"/>
    <x v="0"/>
    <n v="15.94"/>
    <n v="4"/>
    <n v="5.78"/>
    <x v="4"/>
    <x v="0"/>
  </r>
  <r>
    <d v="2021-05-18T00:00:00"/>
    <x v="208"/>
    <x v="0"/>
    <x v="0"/>
    <x v="0"/>
    <n v="3.98"/>
    <n v="1"/>
    <n v="1.44"/>
    <x v="4"/>
    <x v="0"/>
  </r>
  <r>
    <d v="2021-05-19T00:00:00"/>
    <x v="209"/>
    <x v="14"/>
    <x v="0"/>
    <x v="3"/>
    <n v="57.42"/>
    <n v="9"/>
    <n v="26.41"/>
    <x v="4"/>
    <x v="0"/>
  </r>
  <r>
    <d v="2021-05-19T00:00:00"/>
    <x v="210"/>
    <x v="6"/>
    <x v="0"/>
    <x v="14"/>
    <n v="34.200000000000003"/>
    <n v="5"/>
    <n v="9.23"/>
    <x v="4"/>
    <x v="0"/>
  </r>
  <r>
    <d v="2021-05-20T00:00:00"/>
    <x v="211"/>
    <x v="38"/>
    <x v="0"/>
    <x v="12"/>
    <n v="33.28"/>
    <n v="4"/>
    <n v="9.32"/>
    <x v="4"/>
    <x v="0"/>
  </r>
  <r>
    <d v="2021-05-20T00:00:00"/>
    <x v="211"/>
    <x v="38"/>
    <x v="0"/>
    <x v="4"/>
    <n v="38.520000000000003"/>
    <n v="9"/>
    <n v="11.94"/>
    <x v="4"/>
    <x v="0"/>
  </r>
  <r>
    <d v="2021-05-20T00:00:00"/>
    <x v="211"/>
    <x v="38"/>
    <x v="1"/>
    <x v="8"/>
    <n v="139.86000000000001"/>
    <n v="7"/>
    <n v="60.14"/>
    <x v="4"/>
    <x v="0"/>
  </r>
  <r>
    <d v="2021-05-20T00:00:00"/>
    <x v="212"/>
    <x v="0"/>
    <x v="1"/>
    <x v="8"/>
    <n v="10.33"/>
    <n v="3"/>
    <n v="-5.94"/>
    <x v="4"/>
    <x v="0"/>
  </r>
  <r>
    <d v="2021-05-20T00:00:00"/>
    <x v="212"/>
    <x v="0"/>
    <x v="0"/>
    <x v="0"/>
    <n v="10.37"/>
    <n v="2"/>
    <n v="3.63"/>
    <x v="4"/>
    <x v="0"/>
  </r>
  <r>
    <d v="2021-05-20T00:00:00"/>
    <x v="212"/>
    <x v="0"/>
    <x v="2"/>
    <x v="9"/>
    <n v="20.78"/>
    <n v="2"/>
    <n v="-3.64"/>
    <x v="4"/>
    <x v="0"/>
  </r>
  <r>
    <d v="2021-05-20T00:00:00"/>
    <x v="212"/>
    <x v="0"/>
    <x v="0"/>
    <x v="2"/>
    <n v="66.959999999999994"/>
    <n v="5"/>
    <n v="-13.39"/>
    <x v="4"/>
    <x v="0"/>
  </r>
  <r>
    <d v="2021-05-21T00:00:00"/>
    <x v="213"/>
    <x v="6"/>
    <x v="0"/>
    <x v="3"/>
    <n v="2715.93"/>
    <n v="7"/>
    <n v="1276.49"/>
    <x v="4"/>
    <x v="0"/>
  </r>
  <r>
    <d v="2021-05-21T00:00:00"/>
    <x v="213"/>
    <x v="6"/>
    <x v="2"/>
    <x v="6"/>
    <n v="617.97"/>
    <n v="3"/>
    <n v="173.03"/>
    <x v="4"/>
    <x v="0"/>
  </r>
  <r>
    <d v="2021-05-21T00:00:00"/>
    <x v="214"/>
    <x v="3"/>
    <x v="0"/>
    <x v="4"/>
    <n v="31.84"/>
    <n v="8"/>
    <n v="10.51"/>
    <x v="4"/>
    <x v="0"/>
  </r>
  <r>
    <d v="2021-05-21T00:00:00"/>
    <x v="215"/>
    <x v="32"/>
    <x v="0"/>
    <x v="3"/>
    <n v="447.86"/>
    <n v="7"/>
    <n v="219.45"/>
    <x v="4"/>
    <x v="0"/>
  </r>
  <r>
    <d v="2021-05-21T00:00:00"/>
    <x v="215"/>
    <x v="32"/>
    <x v="0"/>
    <x v="0"/>
    <n v="17.940000000000001"/>
    <n v="3"/>
    <n v="8.7899999999999991"/>
    <x v="4"/>
    <x v="0"/>
  </r>
  <r>
    <d v="2021-05-21T00:00:00"/>
    <x v="215"/>
    <x v="32"/>
    <x v="0"/>
    <x v="12"/>
    <n v="245.88"/>
    <n v="6"/>
    <n v="68.849999999999994"/>
    <x v="4"/>
    <x v="0"/>
  </r>
  <r>
    <d v="2021-05-21T00:00:00"/>
    <x v="175"/>
    <x v="0"/>
    <x v="0"/>
    <x v="10"/>
    <n v="56.06"/>
    <n v="6"/>
    <n v="21.02"/>
    <x v="4"/>
    <x v="0"/>
  </r>
  <r>
    <d v="2021-05-21T00:00:00"/>
    <x v="175"/>
    <x v="0"/>
    <x v="1"/>
    <x v="5"/>
    <n v="107.77"/>
    <n v="2"/>
    <n v="-29.25"/>
    <x v="4"/>
    <x v="0"/>
  </r>
  <r>
    <d v="2021-05-21T00:00:00"/>
    <x v="175"/>
    <x v="0"/>
    <x v="0"/>
    <x v="0"/>
    <n v="4.83"/>
    <n v="1"/>
    <n v="1.63"/>
    <x v="4"/>
    <x v="0"/>
  </r>
  <r>
    <d v="2021-05-21T00:00:00"/>
    <x v="175"/>
    <x v="0"/>
    <x v="0"/>
    <x v="3"/>
    <n v="18.239999999999998"/>
    <n v="3"/>
    <n v="-31.01"/>
    <x v="4"/>
    <x v="0"/>
  </r>
  <r>
    <d v="2021-05-22T00:00:00"/>
    <x v="216"/>
    <x v="33"/>
    <x v="2"/>
    <x v="6"/>
    <n v="135.97999999999999"/>
    <n v="2"/>
    <n v="34"/>
    <x v="4"/>
    <x v="0"/>
  </r>
  <r>
    <d v="2021-05-22T00:00:00"/>
    <x v="216"/>
    <x v="33"/>
    <x v="2"/>
    <x v="6"/>
    <n v="44.95"/>
    <n v="1"/>
    <n v="12.59"/>
    <x v="4"/>
    <x v="0"/>
  </r>
  <r>
    <d v="2021-05-23T00:00:00"/>
    <x v="177"/>
    <x v="2"/>
    <x v="0"/>
    <x v="3"/>
    <n v="3.28"/>
    <n v="2"/>
    <n v="-2.63"/>
    <x v="4"/>
    <x v="0"/>
  </r>
  <r>
    <d v="2021-05-23T00:00:00"/>
    <x v="177"/>
    <x v="2"/>
    <x v="0"/>
    <x v="4"/>
    <n v="21.17"/>
    <n v="9"/>
    <n v="2.38"/>
    <x v="4"/>
    <x v="0"/>
  </r>
  <r>
    <d v="2021-05-23T00:00:00"/>
    <x v="177"/>
    <x v="2"/>
    <x v="2"/>
    <x v="6"/>
    <n v="55.19"/>
    <n v="2"/>
    <n v="-10.119999999999999"/>
    <x v="4"/>
    <x v="0"/>
  </r>
  <r>
    <d v="2021-05-23T00:00:00"/>
    <x v="15"/>
    <x v="22"/>
    <x v="0"/>
    <x v="0"/>
    <n v="12.96"/>
    <n v="2"/>
    <n v="6.22"/>
    <x v="4"/>
    <x v="0"/>
  </r>
  <r>
    <d v="2021-05-23T00:00:00"/>
    <x v="217"/>
    <x v="20"/>
    <x v="0"/>
    <x v="3"/>
    <n v="17.96"/>
    <n v="5"/>
    <n v="5.84"/>
    <x v="4"/>
    <x v="0"/>
  </r>
  <r>
    <d v="2021-05-23T00:00:00"/>
    <x v="217"/>
    <x v="20"/>
    <x v="0"/>
    <x v="14"/>
    <n v="5.04"/>
    <n v="2"/>
    <n v="0.15"/>
    <x v="4"/>
    <x v="0"/>
  </r>
  <r>
    <d v="2021-05-23T00:00:00"/>
    <x v="217"/>
    <x v="20"/>
    <x v="0"/>
    <x v="12"/>
    <n v="208.16"/>
    <n v="1"/>
    <n v="56.2"/>
    <x v="4"/>
    <x v="0"/>
  </r>
  <r>
    <d v="2021-05-24T00:00:00"/>
    <x v="218"/>
    <x v="36"/>
    <x v="0"/>
    <x v="0"/>
    <n v="116.28"/>
    <n v="3"/>
    <n v="56.98"/>
    <x v="4"/>
    <x v="0"/>
  </r>
  <r>
    <d v="2021-05-25T00:00:00"/>
    <x v="219"/>
    <x v="1"/>
    <x v="0"/>
    <x v="12"/>
    <n v="75.599999999999994"/>
    <n v="2"/>
    <n v="-166.32"/>
    <x v="4"/>
    <x v="0"/>
  </r>
  <r>
    <d v="2021-05-25T00:00:00"/>
    <x v="219"/>
    <x v="1"/>
    <x v="1"/>
    <x v="8"/>
    <n v="29.32"/>
    <n v="2"/>
    <n v="-24.19"/>
    <x v="4"/>
    <x v="0"/>
  </r>
  <r>
    <d v="2021-05-25T00:00:00"/>
    <x v="220"/>
    <x v="20"/>
    <x v="0"/>
    <x v="0"/>
    <n v="14.62"/>
    <n v="2"/>
    <n v="6.73"/>
    <x v="4"/>
    <x v="0"/>
  </r>
  <r>
    <d v="2021-05-26T00:00:00"/>
    <x v="44"/>
    <x v="3"/>
    <x v="1"/>
    <x v="11"/>
    <n v="290.67"/>
    <n v="2"/>
    <n v="27.36"/>
    <x v="4"/>
    <x v="0"/>
  </r>
  <r>
    <d v="2021-05-26T00:00:00"/>
    <x v="44"/>
    <x v="3"/>
    <x v="2"/>
    <x v="6"/>
    <n v="201.58"/>
    <n v="2"/>
    <n v="20.16"/>
    <x v="4"/>
    <x v="0"/>
  </r>
  <r>
    <d v="2021-05-26T00:00:00"/>
    <x v="44"/>
    <x v="3"/>
    <x v="2"/>
    <x v="6"/>
    <n v="83.98"/>
    <n v="2"/>
    <n v="31.49"/>
    <x v="4"/>
    <x v="0"/>
  </r>
  <r>
    <d v="2021-05-26T00:00:00"/>
    <x v="221"/>
    <x v="3"/>
    <x v="1"/>
    <x v="5"/>
    <n v="225.3"/>
    <n v="2"/>
    <n v="22.53"/>
    <x v="4"/>
    <x v="0"/>
  </r>
  <r>
    <d v="2021-05-26T00:00:00"/>
    <x v="222"/>
    <x v="27"/>
    <x v="0"/>
    <x v="0"/>
    <n v="48.4"/>
    <n v="5"/>
    <n v="23.23"/>
    <x v="4"/>
    <x v="0"/>
  </r>
  <r>
    <d v="2021-05-26T00:00:00"/>
    <x v="147"/>
    <x v="1"/>
    <x v="0"/>
    <x v="2"/>
    <n v="102.62"/>
    <n v="3"/>
    <n v="7.7"/>
    <x v="4"/>
    <x v="0"/>
  </r>
  <r>
    <d v="2021-05-26T00:00:00"/>
    <x v="147"/>
    <x v="1"/>
    <x v="1"/>
    <x v="5"/>
    <n v="359.77"/>
    <n v="2"/>
    <n v="-5.14"/>
    <x v="4"/>
    <x v="0"/>
  </r>
  <r>
    <d v="2021-05-26T00:00:00"/>
    <x v="147"/>
    <x v="1"/>
    <x v="0"/>
    <x v="4"/>
    <n v="13.39"/>
    <n v="3"/>
    <n v="3.18"/>
    <x v="4"/>
    <x v="0"/>
  </r>
  <r>
    <d v="2021-05-27T00:00:00"/>
    <x v="223"/>
    <x v="3"/>
    <x v="1"/>
    <x v="13"/>
    <n v="567.12"/>
    <n v="10"/>
    <n v="-28.36"/>
    <x v="4"/>
    <x v="0"/>
  </r>
  <r>
    <d v="2021-05-27T00:00:00"/>
    <x v="223"/>
    <x v="3"/>
    <x v="0"/>
    <x v="2"/>
    <n v="359.32"/>
    <n v="4"/>
    <n v="7.19"/>
    <x v="4"/>
    <x v="0"/>
  </r>
  <r>
    <d v="2021-05-27T00:00:00"/>
    <x v="164"/>
    <x v="3"/>
    <x v="2"/>
    <x v="6"/>
    <n v="1113.5"/>
    <n v="12"/>
    <n v="125.27"/>
    <x v="4"/>
    <x v="0"/>
  </r>
  <r>
    <d v="2021-05-27T00:00:00"/>
    <x v="164"/>
    <x v="3"/>
    <x v="2"/>
    <x v="9"/>
    <n v="99.99"/>
    <n v="1"/>
    <n v="38"/>
    <x v="4"/>
    <x v="0"/>
  </r>
  <r>
    <d v="2021-05-27T00:00:00"/>
    <x v="224"/>
    <x v="1"/>
    <x v="0"/>
    <x v="3"/>
    <n v="17.46"/>
    <n v="6"/>
    <n v="-30.56"/>
    <x v="4"/>
    <x v="0"/>
  </r>
  <r>
    <d v="2021-05-28T00:00:00"/>
    <x v="225"/>
    <x v="22"/>
    <x v="2"/>
    <x v="6"/>
    <n v="57.41"/>
    <n v="6"/>
    <n v="5.74"/>
    <x v="4"/>
    <x v="0"/>
  </r>
  <r>
    <d v="2021-05-28T00:00:00"/>
    <x v="225"/>
    <x v="22"/>
    <x v="2"/>
    <x v="9"/>
    <n v="27.6"/>
    <n v="4"/>
    <n v="2.21"/>
    <x v="4"/>
    <x v="0"/>
  </r>
  <r>
    <d v="2021-05-28T00:00:00"/>
    <x v="226"/>
    <x v="22"/>
    <x v="0"/>
    <x v="3"/>
    <n v="136.96"/>
    <n v="4"/>
    <n v="51.36"/>
    <x v="4"/>
    <x v="0"/>
  </r>
  <r>
    <d v="2021-05-30T00:00:00"/>
    <x v="227"/>
    <x v="6"/>
    <x v="0"/>
    <x v="0"/>
    <n v="13.62"/>
    <n v="3"/>
    <n v="6.13"/>
    <x v="4"/>
    <x v="0"/>
  </r>
  <r>
    <d v="2021-05-30T00:00:00"/>
    <x v="228"/>
    <x v="1"/>
    <x v="1"/>
    <x v="13"/>
    <n v="355.46"/>
    <n v="3"/>
    <n v="-184.84"/>
    <x v="4"/>
    <x v="0"/>
  </r>
  <r>
    <d v="2021-05-30T00:00:00"/>
    <x v="229"/>
    <x v="20"/>
    <x v="0"/>
    <x v="3"/>
    <n v="70.37"/>
    <n v="4"/>
    <n v="26.39"/>
    <x v="4"/>
    <x v="0"/>
  </r>
  <r>
    <d v="2021-05-30T00:00:00"/>
    <x v="230"/>
    <x v="20"/>
    <x v="0"/>
    <x v="3"/>
    <n v="25.58"/>
    <n v="2"/>
    <n v="8.9499999999999993"/>
    <x v="4"/>
    <x v="0"/>
  </r>
  <r>
    <d v="2021-05-30T00:00:00"/>
    <x v="230"/>
    <x v="20"/>
    <x v="2"/>
    <x v="6"/>
    <n v="464"/>
    <n v="5"/>
    <n v="134.56"/>
    <x v="4"/>
    <x v="0"/>
  </r>
  <r>
    <d v="2021-05-30T00:00:00"/>
    <x v="230"/>
    <x v="20"/>
    <x v="0"/>
    <x v="12"/>
    <n v="235.95"/>
    <n v="3"/>
    <n v="77.86"/>
    <x v="4"/>
    <x v="0"/>
  </r>
  <r>
    <d v="2021-05-30T00:00:00"/>
    <x v="230"/>
    <x v="20"/>
    <x v="0"/>
    <x v="0"/>
    <n v="39.96"/>
    <n v="4"/>
    <n v="17.98"/>
    <x v="4"/>
    <x v="0"/>
  </r>
  <r>
    <d v="2021-05-30T00:00:00"/>
    <x v="231"/>
    <x v="1"/>
    <x v="2"/>
    <x v="16"/>
    <n v="719.98"/>
    <n v="3"/>
    <n v="135"/>
    <x v="4"/>
    <x v="0"/>
  </r>
  <r>
    <d v="2021-05-31T00:00:00"/>
    <x v="232"/>
    <x v="29"/>
    <x v="2"/>
    <x v="6"/>
    <n v="659.97"/>
    <n v="3"/>
    <n v="197.99"/>
    <x v="4"/>
    <x v="0"/>
  </r>
  <r>
    <d v="2021-05-31T00:00:00"/>
    <x v="232"/>
    <x v="29"/>
    <x v="2"/>
    <x v="6"/>
    <n v="113.73"/>
    <n v="3"/>
    <n v="32.979999999999997"/>
    <x v="4"/>
    <x v="0"/>
  </r>
  <r>
    <d v="2021-06-01T00:00:00"/>
    <x v="233"/>
    <x v="28"/>
    <x v="1"/>
    <x v="5"/>
    <n v="2001.86"/>
    <n v="7"/>
    <n v="580.54"/>
    <x v="5"/>
    <x v="0"/>
  </r>
  <r>
    <d v="2021-06-01T00:00:00"/>
    <x v="233"/>
    <x v="28"/>
    <x v="0"/>
    <x v="2"/>
    <n v="166.72"/>
    <n v="2"/>
    <n v="41.68"/>
    <x v="5"/>
    <x v="0"/>
  </r>
  <r>
    <d v="2021-06-01T00:00:00"/>
    <x v="233"/>
    <x v="28"/>
    <x v="0"/>
    <x v="0"/>
    <n v="47.88"/>
    <n v="6"/>
    <n v="23.94"/>
    <x v="5"/>
    <x v="0"/>
  </r>
  <r>
    <d v="2021-06-01T00:00:00"/>
    <x v="233"/>
    <x v="28"/>
    <x v="0"/>
    <x v="12"/>
    <n v="1503.25"/>
    <n v="5"/>
    <n v="496.07"/>
    <x v="5"/>
    <x v="0"/>
  </r>
  <r>
    <d v="2021-06-01T00:00:00"/>
    <x v="233"/>
    <x v="28"/>
    <x v="0"/>
    <x v="0"/>
    <n v="25.92"/>
    <n v="4"/>
    <n v="12.44"/>
    <x v="5"/>
    <x v="0"/>
  </r>
  <r>
    <d v="2021-06-01T00:00:00"/>
    <x v="234"/>
    <x v="23"/>
    <x v="0"/>
    <x v="3"/>
    <n v="45.48"/>
    <n v="3"/>
    <n v="20.92"/>
    <x v="5"/>
    <x v="0"/>
  </r>
  <r>
    <d v="2021-06-01T00:00:00"/>
    <x v="234"/>
    <x v="23"/>
    <x v="0"/>
    <x v="4"/>
    <n v="289.2"/>
    <n v="6"/>
    <n v="83.87"/>
    <x v="5"/>
    <x v="0"/>
  </r>
  <r>
    <d v="2021-06-01T00:00:00"/>
    <x v="235"/>
    <x v="13"/>
    <x v="1"/>
    <x v="8"/>
    <n v="22.2"/>
    <n v="6"/>
    <n v="9.1"/>
    <x v="5"/>
    <x v="0"/>
  </r>
  <r>
    <d v="2021-06-01T00:00:00"/>
    <x v="235"/>
    <x v="13"/>
    <x v="2"/>
    <x v="6"/>
    <n v="881.93"/>
    <n v="7"/>
    <n v="229.3"/>
    <x v="5"/>
    <x v="0"/>
  </r>
  <r>
    <d v="2021-06-01T00:00:00"/>
    <x v="87"/>
    <x v="14"/>
    <x v="0"/>
    <x v="3"/>
    <n v="138.56"/>
    <n v="4"/>
    <n v="66.510000000000005"/>
    <x v="5"/>
    <x v="0"/>
  </r>
  <r>
    <d v="2021-06-01T00:00:00"/>
    <x v="87"/>
    <x v="14"/>
    <x v="0"/>
    <x v="12"/>
    <n v="65.52"/>
    <n v="5"/>
    <n v="12.38"/>
    <x v="5"/>
    <x v="0"/>
  </r>
  <r>
    <d v="2021-06-02T00:00:00"/>
    <x v="79"/>
    <x v="27"/>
    <x v="0"/>
    <x v="3"/>
    <n v="59.81"/>
    <n v="3"/>
    <n v="19.440000000000001"/>
    <x v="5"/>
    <x v="0"/>
  </r>
  <r>
    <d v="2021-06-02T00:00:00"/>
    <x v="79"/>
    <x v="27"/>
    <x v="1"/>
    <x v="8"/>
    <n v="73.319999999999993"/>
    <n v="6"/>
    <n v="22"/>
    <x v="5"/>
    <x v="0"/>
  </r>
  <r>
    <d v="2021-06-02T00:00:00"/>
    <x v="149"/>
    <x v="4"/>
    <x v="0"/>
    <x v="4"/>
    <n v="8.56"/>
    <n v="2"/>
    <n v="2.65"/>
    <x v="5"/>
    <x v="0"/>
  </r>
  <r>
    <d v="2021-06-02T00:00:00"/>
    <x v="149"/>
    <x v="4"/>
    <x v="2"/>
    <x v="6"/>
    <n v="239.97"/>
    <n v="3"/>
    <n v="67.19"/>
    <x v="5"/>
    <x v="0"/>
  </r>
  <r>
    <d v="2021-06-02T00:00:00"/>
    <x v="149"/>
    <x v="4"/>
    <x v="0"/>
    <x v="2"/>
    <n v="356.94"/>
    <n v="2"/>
    <n v="107.08"/>
    <x v="5"/>
    <x v="0"/>
  </r>
  <r>
    <d v="2021-06-03T00:00:00"/>
    <x v="236"/>
    <x v="22"/>
    <x v="1"/>
    <x v="13"/>
    <n v="515.88"/>
    <n v="6"/>
    <n v="113.49"/>
    <x v="5"/>
    <x v="0"/>
  </r>
  <r>
    <d v="2021-06-03T00:00:00"/>
    <x v="237"/>
    <x v="14"/>
    <x v="0"/>
    <x v="10"/>
    <n v="15.28"/>
    <n v="2"/>
    <n v="7.49"/>
    <x v="5"/>
    <x v="0"/>
  </r>
  <r>
    <d v="2021-06-03T00:00:00"/>
    <x v="238"/>
    <x v="1"/>
    <x v="0"/>
    <x v="1"/>
    <n v="15.94"/>
    <n v="4"/>
    <n v="5.18"/>
    <x v="5"/>
    <x v="0"/>
  </r>
  <r>
    <d v="2021-06-03T00:00:00"/>
    <x v="238"/>
    <x v="1"/>
    <x v="1"/>
    <x v="8"/>
    <n v="61.54"/>
    <n v="7"/>
    <n v="-40"/>
    <x v="5"/>
    <x v="0"/>
  </r>
  <r>
    <d v="2021-06-03T00:00:00"/>
    <x v="238"/>
    <x v="1"/>
    <x v="0"/>
    <x v="2"/>
    <n v="132.69999999999999"/>
    <n v="3"/>
    <n v="9.9499999999999993"/>
    <x v="5"/>
    <x v="0"/>
  </r>
  <r>
    <d v="2021-06-04T00:00:00"/>
    <x v="114"/>
    <x v="10"/>
    <x v="0"/>
    <x v="0"/>
    <n v="16.22"/>
    <n v="2"/>
    <n v="5.88"/>
    <x v="5"/>
    <x v="0"/>
  </r>
  <r>
    <d v="2021-06-04T00:00:00"/>
    <x v="239"/>
    <x v="20"/>
    <x v="1"/>
    <x v="8"/>
    <n v="56.96"/>
    <n v="2"/>
    <n v="21.08"/>
    <x v="5"/>
    <x v="0"/>
  </r>
  <r>
    <d v="2021-06-04T00:00:00"/>
    <x v="239"/>
    <x v="20"/>
    <x v="0"/>
    <x v="12"/>
    <n v="15.56"/>
    <n v="4"/>
    <n v="4.05"/>
    <x v="5"/>
    <x v="0"/>
  </r>
  <r>
    <d v="2021-06-04T00:00:00"/>
    <x v="239"/>
    <x v="20"/>
    <x v="1"/>
    <x v="11"/>
    <n v="353.57"/>
    <n v="2"/>
    <n v="-44.2"/>
    <x v="5"/>
    <x v="0"/>
  </r>
  <r>
    <d v="2021-06-04T00:00:00"/>
    <x v="239"/>
    <x v="20"/>
    <x v="1"/>
    <x v="8"/>
    <n v="13.96"/>
    <n v="2"/>
    <n v="6.7"/>
    <x v="5"/>
    <x v="0"/>
  </r>
  <r>
    <d v="2021-06-06T00:00:00"/>
    <x v="240"/>
    <x v="20"/>
    <x v="0"/>
    <x v="4"/>
    <n v="13.36"/>
    <n v="2"/>
    <n v="4.9400000000000004"/>
    <x v="5"/>
    <x v="0"/>
  </r>
  <r>
    <d v="2021-06-06T00:00:00"/>
    <x v="241"/>
    <x v="20"/>
    <x v="0"/>
    <x v="3"/>
    <n v="149.54"/>
    <n v="9"/>
    <n v="50.47"/>
    <x v="5"/>
    <x v="0"/>
  </r>
  <r>
    <d v="2021-06-06T00:00:00"/>
    <x v="241"/>
    <x v="20"/>
    <x v="0"/>
    <x v="14"/>
    <n v="17.14"/>
    <n v="2"/>
    <n v="4.46"/>
    <x v="5"/>
    <x v="0"/>
  </r>
  <r>
    <d v="2021-06-06T00:00:00"/>
    <x v="241"/>
    <x v="20"/>
    <x v="1"/>
    <x v="13"/>
    <n v="991.76"/>
    <n v="3"/>
    <n v="-347.12"/>
    <x v="5"/>
    <x v="0"/>
  </r>
  <r>
    <d v="2021-06-06T00:00:00"/>
    <x v="242"/>
    <x v="1"/>
    <x v="0"/>
    <x v="3"/>
    <n v="24.59"/>
    <n v="3"/>
    <n v="-38.11"/>
    <x v="5"/>
    <x v="0"/>
  </r>
  <r>
    <d v="2021-06-06T00:00:00"/>
    <x v="242"/>
    <x v="1"/>
    <x v="0"/>
    <x v="10"/>
    <n v="13.98"/>
    <n v="2"/>
    <n v="4.72"/>
    <x v="5"/>
    <x v="0"/>
  </r>
  <r>
    <d v="2021-06-06T00:00:00"/>
    <x v="243"/>
    <x v="0"/>
    <x v="0"/>
    <x v="1"/>
    <n v="100.24"/>
    <n v="10"/>
    <n v="33.83"/>
    <x v="5"/>
    <x v="0"/>
  </r>
  <r>
    <d v="2021-06-06T00:00:00"/>
    <x v="149"/>
    <x v="16"/>
    <x v="0"/>
    <x v="3"/>
    <n v="1.37"/>
    <n v="1"/>
    <n v="-0.91"/>
    <x v="5"/>
    <x v="0"/>
  </r>
  <r>
    <d v="2021-06-06T00:00:00"/>
    <x v="149"/>
    <x v="16"/>
    <x v="0"/>
    <x v="0"/>
    <n v="62.02"/>
    <n v="2"/>
    <n v="22.48"/>
    <x v="5"/>
    <x v="0"/>
  </r>
  <r>
    <d v="2021-06-07T00:00:00"/>
    <x v="244"/>
    <x v="1"/>
    <x v="0"/>
    <x v="3"/>
    <n v="12.46"/>
    <n v="3"/>
    <n v="-20.56"/>
    <x v="5"/>
    <x v="0"/>
  </r>
  <r>
    <d v="2021-06-07T00:00:00"/>
    <x v="245"/>
    <x v="1"/>
    <x v="1"/>
    <x v="13"/>
    <n v="268.94"/>
    <n v="3"/>
    <n v="-209.77"/>
    <x v="5"/>
    <x v="0"/>
  </r>
  <r>
    <d v="2021-06-08T00:00:00"/>
    <x v="246"/>
    <x v="22"/>
    <x v="1"/>
    <x v="5"/>
    <n v="585.54999999999995"/>
    <n v="3"/>
    <n v="73.19"/>
    <x v="5"/>
    <x v="0"/>
  </r>
  <r>
    <d v="2021-06-08T00:00:00"/>
    <x v="124"/>
    <x v="15"/>
    <x v="1"/>
    <x v="5"/>
    <n v="170.35"/>
    <n v="3"/>
    <n v="10.65"/>
    <x v="5"/>
    <x v="0"/>
  </r>
  <r>
    <d v="2021-06-08T00:00:00"/>
    <x v="247"/>
    <x v="20"/>
    <x v="0"/>
    <x v="3"/>
    <n v="68.48"/>
    <n v="2"/>
    <n v="25.68"/>
    <x v="5"/>
    <x v="0"/>
  </r>
  <r>
    <d v="2021-06-08T00:00:00"/>
    <x v="247"/>
    <x v="20"/>
    <x v="0"/>
    <x v="2"/>
    <n v="1676.88"/>
    <n v="6"/>
    <n v="83.84"/>
    <x v="5"/>
    <x v="0"/>
  </r>
  <r>
    <d v="2021-06-09T00:00:00"/>
    <x v="248"/>
    <x v="3"/>
    <x v="1"/>
    <x v="8"/>
    <n v="48.86"/>
    <n v="7"/>
    <n v="14.17"/>
    <x v="5"/>
    <x v="0"/>
  </r>
  <r>
    <d v="2021-06-09T00:00:00"/>
    <x v="248"/>
    <x v="3"/>
    <x v="0"/>
    <x v="4"/>
    <n v="7.28"/>
    <n v="4"/>
    <n v="1.97"/>
    <x v="5"/>
    <x v="0"/>
  </r>
  <r>
    <d v="2021-06-09T00:00:00"/>
    <x v="248"/>
    <x v="3"/>
    <x v="2"/>
    <x v="6"/>
    <n v="907.15"/>
    <n v="6"/>
    <n v="90.72"/>
    <x v="5"/>
    <x v="0"/>
  </r>
  <r>
    <d v="2021-06-09T00:00:00"/>
    <x v="248"/>
    <x v="3"/>
    <x v="0"/>
    <x v="3"/>
    <n v="18.5"/>
    <n v="3"/>
    <n v="5.78"/>
    <x v="5"/>
    <x v="0"/>
  </r>
  <r>
    <d v="2021-06-09T00:00:00"/>
    <x v="248"/>
    <x v="3"/>
    <x v="0"/>
    <x v="12"/>
    <n v="114.9"/>
    <n v="5"/>
    <n v="34.47"/>
    <x v="5"/>
    <x v="0"/>
  </r>
  <r>
    <d v="2021-06-09T00:00:00"/>
    <x v="248"/>
    <x v="3"/>
    <x v="1"/>
    <x v="13"/>
    <n v="1706.18"/>
    <n v="9"/>
    <n v="85.31"/>
    <x v="5"/>
    <x v="0"/>
  </r>
  <r>
    <d v="2021-06-09T00:00:00"/>
    <x v="248"/>
    <x v="3"/>
    <x v="2"/>
    <x v="6"/>
    <n v="911.42"/>
    <n v="4"/>
    <n v="68.36"/>
    <x v="5"/>
    <x v="0"/>
  </r>
  <r>
    <d v="2021-06-09T00:00:00"/>
    <x v="249"/>
    <x v="0"/>
    <x v="2"/>
    <x v="6"/>
    <n v="7.99"/>
    <n v="1"/>
    <n v="0.6"/>
    <x v="5"/>
    <x v="0"/>
  </r>
  <r>
    <d v="2021-06-09T00:00:00"/>
    <x v="249"/>
    <x v="0"/>
    <x v="2"/>
    <x v="9"/>
    <n v="63.98"/>
    <n v="2"/>
    <n v="10.4"/>
    <x v="5"/>
    <x v="0"/>
  </r>
  <r>
    <d v="2021-06-09T00:00:00"/>
    <x v="249"/>
    <x v="0"/>
    <x v="0"/>
    <x v="4"/>
    <n v="70.37"/>
    <n v="2"/>
    <n v="6.16"/>
    <x v="5"/>
    <x v="0"/>
  </r>
  <r>
    <d v="2021-06-09T00:00:00"/>
    <x v="250"/>
    <x v="3"/>
    <x v="0"/>
    <x v="14"/>
    <n v="7.36"/>
    <n v="2"/>
    <n v="0.15"/>
    <x v="5"/>
    <x v="0"/>
  </r>
  <r>
    <d v="2021-06-09T00:00:00"/>
    <x v="250"/>
    <x v="3"/>
    <x v="0"/>
    <x v="4"/>
    <n v="23.1"/>
    <n v="2"/>
    <n v="10.63"/>
    <x v="5"/>
    <x v="0"/>
  </r>
  <r>
    <d v="2021-06-09T00:00:00"/>
    <x v="251"/>
    <x v="6"/>
    <x v="1"/>
    <x v="13"/>
    <n v="1441.3"/>
    <n v="7"/>
    <n v="245.02"/>
    <x v="5"/>
    <x v="0"/>
  </r>
  <r>
    <d v="2021-06-09T00:00:00"/>
    <x v="93"/>
    <x v="17"/>
    <x v="0"/>
    <x v="4"/>
    <n v="18.059999999999999"/>
    <n v="7"/>
    <n v="4.7"/>
    <x v="5"/>
    <x v="0"/>
  </r>
  <r>
    <d v="2021-06-09T00:00:00"/>
    <x v="93"/>
    <x v="17"/>
    <x v="0"/>
    <x v="0"/>
    <n v="79.14"/>
    <n v="3"/>
    <n v="36.4"/>
    <x v="5"/>
    <x v="0"/>
  </r>
  <r>
    <d v="2021-06-09T00:00:00"/>
    <x v="93"/>
    <x v="17"/>
    <x v="1"/>
    <x v="8"/>
    <n v="37.4"/>
    <n v="2"/>
    <n v="14.21"/>
    <x v="5"/>
    <x v="0"/>
  </r>
  <r>
    <d v="2021-06-10T00:00:00"/>
    <x v="252"/>
    <x v="14"/>
    <x v="0"/>
    <x v="1"/>
    <n v="491.55"/>
    <n v="5"/>
    <n v="240.86"/>
    <x v="5"/>
    <x v="0"/>
  </r>
  <r>
    <d v="2021-06-13T00:00:00"/>
    <x v="76"/>
    <x v="3"/>
    <x v="0"/>
    <x v="4"/>
    <n v="14.52"/>
    <n v="3"/>
    <n v="4.79"/>
    <x v="5"/>
    <x v="0"/>
  </r>
  <r>
    <d v="2021-06-14T00:00:00"/>
    <x v="253"/>
    <x v="14"/>
    <x v="1"/>
    <x v="11"/>
    <n v="212.94"/>
    <n v="3"/>
    <n v="57.49"/>
    <x v="5"/>
    <x v="0"/>
  </r>
  <r>
    <d v="2021-06-15T00:00:00"/>
    <x v="254"/>
    <x v="0"/>
    <x v="1"/>
    <x v="13"/>
    <n v="99.92"/>
    <n v="2"/>
    <n v="-18.559999999999999"/>
    <x v="5"/>
    <x v="0"/>
  </r>
  <r>
    <d v="2021-06-15T00:00:00"/>
    <x v="254"/>
    <x v="0"/>
    <x v="1"/>
    <x v="5"/>
    <n v="797.94"/>
    <n v="4"/>
    <n v="-57"/>
    <x v="5"/>
    <x v="0"/>
  </r>
  <r>
    <d v="2021-06-15T00:00:00"/>
    <x v="254"/>
    <x v="0"/>
    <x v="0"/>
    <x v="3"/>
    <n v="8.57"/>
    <n v="3"/>
    <n v="-14.57"/>
    <x v="5"/>
    <x v="0"/>
  </r>
  <r>
    <d v="2021-06-15T00:00:00"/>
    <x v="255"/>
    <x v="0"/>
    <x v="0"/>
    <x v="0"/>
    <n v="36.54"/>
    <n v="2"/>
    <n v="11.88"/>
    <x v="5"/>
    <x v="0"/>
  </r>
  <r>
    <d v="2021-06-16T00:00:00"/>
    <x v="256"/>
    <x v="18"/>
    <x v="1"/>
    <x v="5"/>
    <n v="647.84"/>
    <n v="8"/>
    <n v="32.39"/>
    <x v="5"/>
    <x v="0"/>
  </r>
  <r>
    <d v="2021-06-16T00:00:00"/>
    <x v="74"/>
    <x v="20"/>
    <x v="0"/>
    <x v="10"/>
    <n v="41.4"/>
    <n v="5"/>
    <n v="19.46"/>
    <x v="5"/>
    <x v="0"/>
  </r>
  <r>
    <d v="2021-06-16T00:00:00"/>
    <x v="74"/>
    <x v="20"/>
    <x v="0"/>
    <x v="4"/>
    <n v="35"/>
    <n v="4"/>
    <n v="10.5"/>
    <x v="5"/>
    <x v="0"/>
  </r>
  <r>
    <d v="2021-06-16T00:00:00"/>
    <x v="74"/>
    <x v="20"/>
    <x v="0"/>
    <x v="3"/>
    <n v="39.549999999999997"/>
    <n v="3"/>
    <n v="14.34"/>
    <x v="5"/>
    <x v="0"/>
  </r>
  <r>
    <d v="2021-06-17T00:00:00"/>
    <x v="257"/>
    <x v="7"/>
    <x v="2"/>
    <x v="15"/>
    <n v="65.97"/>
    <n v="3"/>
    <n v="31.01"/>
    <x v="5"/>
    <x v="0"/>
  </r>
  <r>
    <d v="2021-06-17T00:00:00"/>
    <x v="258"/>
    <x v="22"/>
    <x v="1"/>
    <x v="8"/>
    <n v="6.24"/>
    <n v="3"/>
    <n v="2.62"/>
    <x v="5"/>
    <x v="0"/>
  </r>
  <r>
    <d v="2021-06-17T00:00:00"/>
    <x v="258"/>
    <x v="22"/>
    <x v="0"/>
    <x v="7"/>
    <n v="17.899999999999999"/>
    <n v="5"/>
    <n v="8.9499999999999993"/>
    <x v="5"/>
    <x v="0"/>
  </r>
  <r>
    <d v="2021-06-17T00:00:00"/>
    <x v="258"/>
    <x v="22"/>
    <x v="0"/>
    <x v="3"/>
    <n v="3266.38"/>
    <n v="3"/>
    <n v="1061.57"/>
    <x v="5"/>
    <x v="0"/>
  </r>
  <r>
    <d v="2021-06-17T00:00:00"/>
    <x v="259"/>
    <x v="1"/>
    <x v="0"/>
    <x v="0"/>
    <n v="62.02"/>
    <n v="2"/>
    <n v="22.48"/>
    <x v="5"/>
    <x v="0"/>
  </r>
  <r>
    <d v="2021-06-18T00:00:00"/>
    <x v="260"/>
    <x v="3"/>
    <x v="2"/>
    <x v="6"/>
    <n v="139.80000000000001"/>
    <n v="5"/>
    <n v="12.23"/>
    <x v="5"/>
    <x v="0"/>
  </r>
  <r>
    <d v="2021-06-20T00:00:00"/>
    <x v="66"/>
    <x v="0"/>
    <x v="2"/>
    <x v="6"/>
    <n v="201.58"/>
    <n v="2"/>
    <n v="20.16"/>
    <x v="5"/>
    <x v="0"/>
  </r>
  <r>
    <d v="2021-06-20T00:00:00"/>
    <x v="66"/>
    <x v="0"/>
    <x v="0"/>
    <x v="3"/>
    <n v="3.39"/>
    <n v="4"/>
    <n v="-5.09"/>
    <x v="5"/>
    <x v="0"/>
  </r>
  <r>
    <d v="2021-06-20T00:00:00"/>
    <x v="66"/>
    <x v="0"/>
    <x v="1"/>
    <x v="11"/>
    <n v="193.07"/>
    <n v="4"/>
    <n v="-19.87"/>
    <x v="5"/>
    <x v="0"/>
  </r>
  <r>
    <d v="2021-06-20T00:00:00"/>
    <x v="66"/>
    <x v="0"/>
    <x v="0"/>
    <x v="0"/>
    <n v="15.55"/>
    <n v="3"/>
    <n v="5.44"/>
    <x v="5"/>
    <x v="0"/>
  </r>
  <r>
    <d v="2021-06-20T00:00:00"/>
    <x v="66"/>
    <x v="0"/>
    <x v="0"/>
    <x v="0"/>
    <n v="11.65"/>
    <n v="2"/>
    <n v="4.08"/>
    <x v="5"/>
    <x v="0"/>
  </r>
  <r>
    <d v="2021-06-20T00:00:00"/>
    <x v="66"/>
    <x v="0"/>
    <x v="2"/>
    <x v="15"/>
    <n v="418.8"/>
    <n v="2"/>
    <n v="-97.72"/>
    <x v="5"/>
    <x v="0"/>
  </r>
  <r>
    <d v="2021-06-20T00:00:00"/>
    <x v="66"/>
    <x v="0"/>
    <x v="0"/>
    <x v="2"/>
    <n v="509.49"/>
    <n v="7"/>
    <n v="-127.37"/>
    <x v="5"/>
    <x v="0"/>
  </r>
  <r>
    <d v="2021-06-20T00:00:00"/>
    <x v="261"/>
    <x v="39"/>
    <x v="0"/>
    <x v="12"/>
    <n v="471.9"/>
    <n v="6"/>
    <n v="155.72999999999999"/>
    <x v="5"/>
    <x v="0"/>
  </r>
  <r>
    <d v="2021-06-20T00:00:00"/>
    <x v="261"/>
    <x v="39"/>
    <x v="0"/>
    <x v="4"/>
    <n v="3.52"/>
    <n v="2"/>
    <n v="1.69"/>
    <x v="5"/>
    <x v="0"/>
  </r>
  <r>
    <d v="2021-06-21T00:00:00"/>
    <x v="201"/>
    <x v="6"/>
    <x v="1"/>
    <x v="8"/>
    <n v="104.01"/>
    <n v="1"/>
    <n v="14.56"/>
    <x v="5"/>
    <x v="0"/>
  </r>
  <r>
    <d v="2021-06-21T00:00:00"/>
    <x v="201"/>
    <x v="6"/>
    <x v="2"/>
    <x v="6"/>
    <n v="284.82"/>
    <n v="1"/>
    <n v="74.05"/>
    <x v="5"/>
    <x v="0"/>
  </r>
  <r>
    <d v="2021-06-21T00:00:00"/>
    <x v="201"/>
    <x v="6"/>
    <x v="0"/>
    <x v="2"/>
    <n v="36.840000000000003"/>
    <n v="3"/>
    <n v="10.32"/>
    <x v="5"/>
    <x v="0"/>
  </r>
  <r>
    <d v="2021-06-21T00:00:00"/>
    <x v="56"/>
    <x v="23"/>
    <x v="2"/>
    <x v="6"/>
    <n v="1322.93"/>
    <n v="7"/>
    <n v="357.19"/>
    <x v="5"/>
    <x v="0"/>
  </r>
  <r>
    <d v="2021-06-21T00:00:00"/>
    <x v="56"/>
    <x v="23"/>
    <x v="0"/>
    <x v="4"/>
    <n v="3.76"/>
    <n v="2"/>
    <n v="1.0900000000000001"/>
    <x v="5"/>
    <x v="0"/>
  </r>
  <r>
    <d v="2021-06-21T00:00:00"/>
    <x v="195"/>
    <x v="37"/>
    <x v="0"/>
    <x v="4"/>
    <n v="21.4"/>
    <n v="5"/>
    <n v="6.21"/>
    <x v="5"/>
    <x v="0"/>
  </r>
  <r>
    <d v="2021-06-21T00:00:00"/>
    <x v="149"/>
    <x v="26"/>
    <x v="0"/>
    <x v="3"/>
    <n v="11.09"/>
    <n v="7"/>
    <n v="-8.1300000000000008"/>
    <x v="5"/>
    <x v="0"/>
  </r>
  <r>
    <d v="2021-06-21T00:00:00"/>
    <x v="149"/>
    <x v="26"/>
    <x v="0"/>
    <x v="3"/>
    <n v="25.16"/>
    <n v="2"/>
    <n v="-16.78"/>
    <x v="5"/>
    <x v="0"/>
  </r>
  <r>
    <d v="2021-06-21T00:00:00"/>
    <x v="262"/>
    <x v="2"/>
    <x v="0"/>
    <x v="10"/>
    <n v="24.9"/>
    <n v="4"/>
    <n v="8.4"/>
    <x v="5"/>
    <x v="0"/>
  </r>
  <r>
    <d v="2021-06-21T00:00:00"/>
    <x v="262"/>
    <x v="2"/>
    <x v="1"/>
    <x v="8"/>
    <n v="3.98"/>
    <n v="1"/>
    <n v="0.65"/>
    <x v="5"/>
    <x v="0"/>
  </r>
  <r>
    <d v="2021-06-21T00:00:00"/>
    <x v="262"/>
    <x v="2"/>
    <x v="2"/>
    <x v="9"/>
    <n v="95.97"/>
    <n v="4"/>
    <n v="28.79"/>
    <x v="5"/>
    <x v="0"/>
  </r>
  <r>
    <d v="2021-06-21T00:00:00"/>
    <x v="262"/>
    <x v="2"/>
    <x v="2"/>
    <x v="15"/>
    <n v="206.99"/>
    <n v="3"/>
    <n v="-172.49"/>
    <x v="5"/>
    <x v="0"/>
  </r>
  <r>
    <d v="2021-06-21T00:00:00"/>
    <x v="262"/>
    <x v="2"/>
    <x v="0"/>
    <x v="12"/>
    <n v="44.42"/>
    <n v="2"/>
    <n v="3.89"/>
    <x v="5"/>
    <x v="0"/>
  </r>
  <r>
    <d v="2021-06-21T00:00:00"/>
    <x v="262"/>
    <x v="2"/>
    <x v="0"/>
    <x v="3"/>
    <n v="9.01"/>
    <n v="2"/>
    <n v="-7.2"/>
    <x v="5"/>
    <x v="0"/>
  </r>
  <r>
    <d v="2021-06-21T00:00:00"/>
    <x v="263"/>
    <x v="20"/>
    <x v="0"/>
    <x v="0"/>
    <n v="19.649999999999999"/>
    <n v="3"/>
    <n v="9.0399999999999991"/>
    <x v="5"/>
    <x v="0"/>
  </r>
  <r>
    <d v="2021-06-21T00:00:00"/>
    <x v="263"/>
    <x v="20"/>
    <x v="2"/>
    <x v="6"/>
    <n v="617.97"/>
    <n v="3"/>
    <n v="160.66999999999999"/>
    <x v="5"/>
    <x v="0"/>
  </r>
  <r>
    <d v="2021-06-21T00:00:00"/>
    <x v="263"/>
    <x v="20"/>
    <x v="0"/>
    <x v="12"/>
    <n v="59.7"/>
    <n v="3"/>
    <n v="26.87"/>
    <x v="5"/>
    <x v="0"/>
  </r>
  <r>
    <d v="2021-06-21T00:00:00"/>
    <x v="229"/>
    <x v="20"/>
    <x v="2"/>
    <x v="6"/>
    <n v="1214.8499999999999"/>
    <n v="3"/>
    <n v="352.31"/>
    <x v="5"/>
    <x v="0"/>
  </r>
  <r>
    <d v="2021-06-22T00:00:00"/>
    <x v="264"/>
    <x v="26"/>
    <x v="2"/>
    <x v="9"/>
    <n v="196.75"/>
    <n v="6"/>
    <n v="56.57"/>
    <x v="5"/>
    <x v="0"/>
  </r>
  <r>
    <d v="2021-06-22T00:00:00"/>
    <x v="265"/>
    <x v="28"/>
    <x v="0"/>
    <x v="2"/>
    <n v="501.81"/>
    <n v="3"/>
    <n v="0"/>
    <x v="5"/>
    <x v="0"/>
  </r>
  <r>
    <d v="2021-06-22T00:00:00"/>
    <x v="265"/>
    <x v="28"/>
    <x v="0"/>
    <x v="2"/>
    <n v="161.94"/>
    <n v="3"/>
    <n v="9.7200000000000006"/>
    <x v="5"/>
    <x v="0"/>
  </r>
  <r>
    <d v="2021-06-22T00:00:00"/>
    <x v="266"/>
    <x v="2"/>
    <x v="1"/>
    <x v="5"/>
    <n v="170.06"/>
    <n v="3"/>
    <n v="-4.8600000000000003"/>
    <x v="5"/>
    <x v="0"/>
  </r>
  <r>
    <d v="2021-06-22T00:00:00"/>
    <x v="266"/>
    <x v="2"/>
    <x v="2"/>
    <x v="6"/>
    <n v="82.78"/>
    <n v="3"/>
    <n v="-15.18"/>
    <x v="5"/>
    <x v="0"/>
  </r>
  <r>
    <d v="2021-06-22T00:00:00"/>
    <x v="266"/>
    <x v="2"/>
    <x v="1"/>
    <x v="5"/>
    <n v="853.93"/>
    <n v="5"/>
    <n v="0"/>
    <x v="5"/>
    <x v="0"/>
  </r>
  <r>
    <d v="2021-06-22T00:00:00"/>
    <x v="263"/>
    <x v="12"/>
    <x v="0"/>
    <x v="3"/>
    <n v="8.23"/>
    <n v="3"/>
    <n v="-6.03"/>
    <x v="5"/>
    <x v="0"/>
  </r>
  <r>
    <d v="2021-06-23T00:00:00"/>
    <x v="267"/>
    <x v="2"/>
    <x v="2"/>
    <x v="9"/>
    <n v="86.38"/>
    <n v="3"/>
    <n v="1.08"/>
    <x v="5"/>
    <x v="0"/>
  </r>
  <r>
    <d v="2021-06-23T00:00:00"/>
    <x v="268"/>
    <x v="25"/>
    <x v="0"/>
    <x v="4"/>
    <n v="20.02"/>
    <n v="9"/>
    <n v="1.75"/>
    <x v="5"/>
    <x v="0"/>
  </r>
  <r>
    <d v="2021-06-23T00:00:00"/>
    <x v="268"/>
    <x v="25"/>
    <x v="0"/>
    <x v="14"/>
    <n v="3.1"/>
    <n v="1"/>
    <n v="0.35"/>
    <x v="5"/>
    <x v="0"/>
  </r>
  <r>
    <d v="2021-06-24T00:00:00"/>
    <x v="269"/>
    <x v="12"/>
    <x v="1"/>
    <x v="8"/>
    <n v="4.2699999999999996"/>
    <n v="2"/>
    <n v="0.96"/>
    <x v="5"/>
    <x v="0"/>
  </r>
  <r>
    <d v="2021-06-25T00:00:00"/>
    <x v="270"/>
    <x v="3"/>
    <x v="1"/>
    <x v="13"/>
    <n v="447.84"/>
    <n v="5"/>
    <n v="11.2"/>
    <x v="5"/>
    <x v="0"/>
  </r>
  <r>
    <d v="2021-06-25T00:00:00"/>
    <x v="271"/>
    <x v="11"/>
    <x v="2"/>
    <x v="6"/>
    <n v="263.95999999999998"/>
    <n v="5"/>
    <n v="19.8"/>
    <x v="5"/>
    <x v="0"/>
  </r>
  <r>
    <d v="2021-06-25T00:00:00"/>
    <x v="271"/>
    <x v="11"/>
    <x v="0"/>
    <x v="4"/>
    <n v="71.63"/>
    <n v="11"/>
    <n v="17.91"/>
    <x v="5"/>
    <x v="0"/>
  </r>
  <r>
    <d v="2021-06-25T00:00:00"/>
    <x v="271"/>
    <x v="11"/>
    <x v="0"/>
    <x v="4"/>
    <n v="9.33"/>
    <n v="1"/>
    <n v="0.82"/>
    <x v="5"/>
    <x v="0"/>
  </r>
  <r>
    <d v="2021-06-27T00:00:00"/>
    <x v="272"/>
    <x v="29"/>
    <x v="0"/>
    <x v="2"/>
    <n v="306.2"/>
    <n v="5"/>
    <n v="0"/>
    <x v="5"/>
    <x v="0"/>
  </r>
  <r>
    <d v="2021-06-27T00:00:00"/>
    <x v="272"/>
    <x v="29"/>
    <x v="1"/>
    <x v="13"/>
    <n v="85.98"/>
    <n v="1"/>
    <n v="22.35"/>
    <x v="5"/>
    <x v="0"/>
  </r>
  <r>
    <d v="2021-06-27T00:00:00"/>
    <x v="272"/>
    <x v="29"/>
    <x v="2"/>
    <x v="9"/>
    <n v="223.96"/>
    <n v="4"/>
    <n v="53.75"/>
    <x v="5"/>
    <x v="0"/>
  </r>
  <r>
    <d v="2021-06-28T00:00:00"/>
    <x v="273"/>
    <x v="2"/>
    <x v="0"/>
    <x v="0"/>
    <n v="41.47"/>
    <n v="8"/>
    <n v="14.52"/>
    <x v="5"/>
    <x v="0"/>
  </r>
  <r>
    <d v="2021-06-28T00:00:00"/>
    <x v="273"/>
    <x v="2"/>
    <x v="0"/>
    <x v="3"/>
    <n v="3.17"/>
    <n v="3"/>
    <n v="-2.4300000000000002"/>
    <x v="5"/>
    <x v="0"/>
  </r>
  <r>
    <d v="2021-06-28T00:00:00"/>
    <x v="273"/>
    <x v="2"/>
    <x v="1"/>
    <x v="5"/>
    <n v="1228.47"/>
    <n v="5"/>
    <n v="0"/>
    <x v="5"/>
    <x v="0"/>
  </r>
  <r>
    <d v="2021-06-28T00:00:00"/>
    <x v="273"/>
    <x v="2"/>
    <x v="0"/>
    <x v="3"/>
    <n v="31.09"/>
    <n v="3"/>
    <n v="-22.8"/>
    <x v="5"/>
    <x v="0"/>
  </r>
  <r>
    <d v="2021-06-28T00:00:00"/>
    <x v="273"/>
    <x v="2"/>
    <x v="0"/>
    <x v="0"/>
    <n v="335.52"/>
    <n v="4"/>
    <n v="117.43"/>
    <x v="5"/>
    <x v="0"/>
  </r>
  <r>
    <d v="2021-06-28T00:00:00"/>
    <x v="274"/>
    <x v="14"/>
    <x v="0"/>
    <x v="7"/>
    <n v="6.08"/>
    <n v="1"/>
    <n v="3.04"/>
    <x v="5"/>
    <x v="0"/>
  </r>
  <r>
    <d v="2021-06-29T00:00:00"/>
    <x v="275"/>
    <x v="10"/>
    <x v="0"/>
    <x v="4"/>
    <n v="32.76"/>
    <n v="7"/>
    <n v="3.69"/>
    <x v="5"/>
    <x v="0"/>
  </r>
  <r>
    <d v="2021-06-29T00:00:00"/>
    <x v="232"/>
    <x v="20"/>
    <x v="0"/>
    <x v="3"/>
    <n v="13.92"/>
    <n v="3"/>
    <n v="4.87"/>
    <x v="5"/>
    <x v="0"/>
  </r>
  <r>
    <d v="2021-06-30T00:00:00"/>
    <x v="276"/>
    <x v="20"/>
    <x v="0"/>
    <x v="3"/>
    <n v="334.77"/>
    <n v="7"/>
    <n v="108.8"/>
    <x v="5"/>
    <x v="0"/>
  </r>
  <r>
    <d v="2021-06-30T00:00:00"/>
    <x v="277"/>
    <x v="1"/>
    <x v="0"/>
    <x v="4"/>
    <n v="5.25"/>
    <n v="4"/>
    <n v="1.64"/>
    <x v="5"/>
    <x v="0"/>
  </r>
  <r>
    <d v="2021-06-30T00:00:00"/>
    <x v="278"/>
    <x v="3"/>
    <x v="0"/>
    <x v="4"/>
    <n v="32.4"/>
    <n v="5"/>
    <n v="10.37"/>
    <x v="5"/>
    <x v="0"/>
  </r>
  <r>
    <d v="2021-06-30T00:00:00"/>
    <x v="279"/>
    <x v="0"/>
    <x v="0"/>
    <x v="0"/>
    <n v="25.92"/>
    <n v="5"/>
    <n v="9.07"/>
    <x v="5"/>
    <x v="0"/>
  </r>
  <r>
    <d v="2021-06-30T00:00:00"/>
    <x v="279"/>
    <x v="0"/>
    <x v="0"/>
    <x v="7"/>
    <n v="21.31"/>
    <n v="6"/>
    <n v="7.19"/>
    <x v="5"/>
    <x v="0"/>
  </r>
  <r>
    <d v="2021-06-30T00:00:00"/>
    <x v="178"/>
    <x v="20"/>
    <x v="0"/>
    <x v="3"/>
    <n v="2.69"/>
    <n v="1"/>
    <n v="0.84"/>
    <x v="5"/>
    <x v="0"/>
  </r>
  <r>
    <d v="2021-06-30T00:00:00"/>
    <x v="178"/>
    <x v="20"/>
    <x v="0"/>
    <x v="4"/>
    <n v="6.6"/>
    <n v="3"/>
    <n v="2.9"/>
    <x v="5"/>
    <x v="0"/>
  </r>
  <r>
    <d v="2021-06-30T00:00:00"/>
    <x v="280"/>
    <x v="25"/>
    <x v="0"/>
    <x v="0"/>
    <n v="310.69"/>
    <n v="7"/>
    <n v="108.74"/>
    <x v="5"/>
    <x v="0"/>
  </r>
  <r>
    <d v="2021-07-01T00:00:00"/>
    <x v="112"/>
    <x v="22"/>
    <x v="0"/>
    <x v="3"/>
    <n v="19.920000000000002"/>
    <n v="5"/>
    <n v="6.97"/>
    <x v="6"/>
    <x v="0"/>
  </r>
  <r>
    <d v="2021-07-01T00:00:00"/>
    <x v="230"/>
    <x v="16"/>
    <x v="2"/>
    <x v="6"/>
    <n v="575.91999999999996"/>
    <n v="2"/>
    <n v="71.989999999999995"/>
    <x v="6"/>
    <x v="0"/>
  </r>
  <r>
    <d v="2021-07-01T00:00:00"/>
    <x v="230"/>
    <x v="16"/>
    <x v="0"/>
    <x v="3"/>
    <n v="5.18"/>
    <n v="6"/>
    <n v="-3.63"/>
    <x v="6"/>
    <x v="0"/>
  </r>
  <r>
    <d v="2021-07-02T00:00:00"/>
    <x v="281"/>
    <x v="23"/>
    <x v="2"/>
    <x v="6"/>
    <n v="73.98"/>
    <n v="2"/>
    <n v="19.97"/>
    <x v="6"/>
    <x v="0"/>
  </r>
  <r>
    <d v="2021-07-02T00:00:00"/>
    <x v="281"/>
    <x v="23"/>
    <x v="0"/>
    <x v="4"/>
    <n v="5.58"/>
    <n v="1"/>
    <n v="2.1800000000000002"/>
    <x v="6"/>
    <x v="0"/>
  </r>
  <r>
    <d v="2021-07-04T00:00:00"/>
    <x v="124"/>
    <x v="26"/>
    <x v="0"/>
    <x v="0"/>
    <n v="177.54"/>
    <n v="4"/>
    <n v="62.14"/>
    <x v="6"/>
    <x v="0"/>
  </r>
  <r>
    <d v="2021-07-04T00:00:00"/>
    <x v="124"/>
    <x v="26"/>
    <x v="0"/>
    <x v="12"/>
    <n v="32.43"/>
    <n v="2"/>
    <n v="3.24"/>
    <x v="6"/>
    <x v="0"/>
  </r>
  <r>
    <d v="2021-07-04T00:00:00"/>
    <x v="282"/>
    <x v="6"/>
    <x v="0"/>
    <x v="0"/>
    <n v="21.84"/>
    <n v="3"/>
    <n v="10.92"/>
    <x v="6"/>
    <x v="0"/>
  </r>
  <r>
    <d v="2021-07-04T00:00:00"/>
    <x v="282"/>
    <x v="6"/>
    <x v="0"/>
    <x v="3"/>
    <n v="15.6"/>
    <n v="5"/>
    <n v="7.64"/>
    <x v="6"/>
    <x v="0"/>
  </r>
  <r>
    <d v="2021-07-05T00:00:00"/>
    <x v="283"/>
    <x v="29"/>
    <x v="2"/>
    <x v="9"/>
    <n v="479.97"/>
    <n v="3"/>
    <n v="163.19"/>
    <x v="6"/>
    <x v="0"/>
  </r>
  <r>
    <d v="2021-07-05T00:00:00"/>
    <x v="283"/>
    <x v="29"/>
    <x v="0"/>
    <x v="1"/>
    <n v="14.62"/>
    <n v="2"/>
    <n v="6.87"/>
    <x v="6"/>
    <x v="0"/>
  </r>
  <r>
    <d v="2021-07-05T00:00:00"/>
    <x v="283"/>
    <x v="29"/>
    <x v="0"/>
    <x v="0"/>
    <n v="19.440000000000001"/>
    <n v="3"/>
    <n v="9.33"/>
    <x v="6"/>
    <x v="0"/>
  </r>
  <r>
    <d v="2021-07-05T00:00:00"/>
    <x v="284"/>
    <x v="0"/>
    <x v="0"/>
    <x v="2"/>
    <n v="220.78"/>
    <n v="3"/>
    <n v="-44.16"/>
    <x v="6"/>
    <x v="0"/>
  </r>
  <r>
    <d v="2021-07-05T00:00:00"/>
    <x v="284"/>
    <x v="0"/>
    <x v="0"/>
    <x v="2"/>
    <n v="281.42"/>
    <n v="11"/>
    <n v="-35.18"/>
    <x v="6"/>
    <x v="0"/>
  </r>
  <r>
    <d v="2021-07-05T00:00:00"/>
    <x v="285"/>
    <x v="3"/>
    <x v="0"/>
    <x v="3"/>
    <n v="180.96"/>
    <n v="6"/>
    <n v="67.86"/>
    <x v="6"/>
    <x v="0"/>
  </r>
  <r>
    <d v="2021-07-05T00:00:00"/>
    <x v="17"/>
    <x v="15"/>
    <x v="0"/>
    <x v="4"/>
    <n v="4.37"/>
    <n v="3"/>
    <n v="0.38"/>
    <x v="6"/>
    <x v="0"/>
  </r>
  <r>
    <d v="2021-07-05T00:00:00"/>
    <x v="286"/>
    <x v="16"/>
    <x v="1"/>
    <x v="8"/>
    <n v="19.52"/>
    <n v="2"/>
    <n v="5.37"/>
    <x v="6"/>
    <x v="0"/>
  </r>
  <r>
    <d v="2021-07-05T00:00:00"/>
    <x v="286"/>
    <x v="16"/>
    <x v="0"/>
    <x v="3"/>
    <n v="9.81"/>
    <n v="5"/>
    <n v="-6.87"/>
    <x v="6"/>
    <x v="0"/>
  </r>
  <r>
    <d v="2021-07-05T00:00:00"/>
    <x v="286"/>
    <x v="16"/>
    <x v="1"/>
    <x v="8"/>
    <n v="213.22"/>
    <n v="3"/>
    <n v="15.99"/>
    <x v="6"/>
    <x v="0"/>
  </r>
  <r>
    <d v="2021-07-06T00:00:00"/>
    <x v="287"/>
    <x v="20"/>
    <x v="2"/>
    <x v="16"/>
    <n v="559.99"/>
    <n v="1"/>
    <n v="175"/>
    <x v="6"/>
    <x v="0"/>
  </r>
  <r>
    <d v="2021-07-06T00:00:00"/>
    <x v="288"/>
    <x v="3"/>
    <x v="1"/>
    <x v="5"/>
    <n v="478.48"/>
    <n v="2"/>
    <n v="47.85"/>
    <x v="6"/>
    <x v="0"/>
  </r>
  <r>
    <d v="2021-07-07T00:00:00"/>
    <x v="154"/>
    <x v="2"/>
    <x v="1"/>
    <x v="5"/>
    <n v="172.19"/>
    <n v="2"/>
    <n v="-46.74"/>
    <x v="6"/>
    <x v="0"/>
  </r>
  <r>
    <d v="2021-07-07T00:00:00"/>
    <x v="154"/>
    <x v="2"/>
    <x v="1"/>
    <x v="8"/>
    <n v="69.010000000000005"/>
    <n v="2"/>
    <n v="12.08"/>
    <x v="6"/>
    <x v="0"/>
  </r>
  <r>
    <d v="2021-07-08T00:00:00"/>
    <x v="289"/>
    <x v="20"/>
    <x v="1"/>
    <x v="5"/>
    <n v="63.88"/>
    <n v="1"/>
    <n v="10.65"/>
    <x v="6"/>
    <x v="0"/>
  </r>
  <r>
    <d v="2021-07-08T00:00:00"/>
    <x v="290"/>
    <x v="3"/>
    <x v="1"/>
    <x v="13"/>
    <n v="502.49"/>
    <n v="3"/>
    <n v="-87.94"/>
    <x v="6"/>
    <x v="0"/>
  </r>
  <r>
    <d v="2021-07-08T00:00:00"/>
    <x v="290"/>
    <x v="3"/>
    <x v="0"/>
    <x v="3"/>
    <n v="196.7"/>
    <n v="6"/>
    <n v="68.849999999999994"/>
    <x v="6"/>
    <x v="0"/>
  </r>
  <r>
    <d v="2021-07-09T00:00:00"/>
    <x v="291"/>
    <x v="0"/>
    <x v="0"/>
    <x v="0"/>
    <n v="10.37"/>
    <n v="2"/>
    <n v="3.63"/>
    <x v="6"/>
    <x v="0"/>
  </r>
  <r>
    <d v="2021-07-09T00:00:00"/>
    <x v="291"/>
    <x v="0"/>
    <x v="0"/>
    <x v="0"/>
    <n v="14.35"/>
    <n v="3"/>
    <n v="4.49"/>
    <x v="6"/>
    <x v="0"/>
  </r>
  <r>
    <d v="2021-07-09T00:00:00"/>
    <x v="292"/>
    <x v="3"/>
    <x v="0"/>
    <x v="1"/>
    <n v="2.88"/>
    <n v="1"/>
    <n v="1.41"/>
    <x v="6"/>
    <x v="0"/>
  </r>
  <r>
    <d v="2021-07-09T00:00:00"/>
    <x v="292"/>
    <x v="3"/>
    <x v="0"/>
    <x v="3"/>
    <n v="41.9"/>
    <n v="6"/>
    <n v="14.14"/>
    <x v="6"/>
    <x v="0"/>
  </r>
  <r>
    <d v="2021-07-09T00:00:00"/>
    <x v="292"/>
    <x v="3"/>
    <x v="0"/>
    <x v="2"/>
    <n v="23.92"/>
    <n v="4"/>
    <n v="4.07"/>
    <x v="6"/>
    <x v="0"/>
  </r>
  <r>
    <d v="2021-07-09T00:00:00"/>
    <x v="293"/>
    <x v="3"/>
    <x v="0"/>
    <x v="3"/>
    <n v="14.3"/>
    <n v="6"/>
    <n v="4.6500000000000004"/>
    <x v="6"/>
    <x v="0"/>
  </r>
  <r>
    <d v="2021-07-09T00:00:00"/>
    <x v="293"/>
    <x v="3"/>
    <x v="1"/>
    <x v="11"/>
    <n v="119.83"/>
    <n v="1"/>
    <n v="7.05"/>
    <x v="6"/>
    <x v="0"/>
  </r>
  <r>
    <d v="2021-07-09T00:00:00"/>
    <x v="293"/>
    <x v="3"/>
    <x v="0"/>
    <x v="4"/>
    <n v="5.56"/>
    <n v="2"/>
    <n v="2.2200000000000002"/>
    <x v="6"/>
    <x v="0"/>
  </r>
  <r>
    <d v="2021-07-09T00:00:00"/>
    <x v="293"/>
    <x v="3"/>
    <x v="0"/>
    <x v="0"/>
    <n v="32.4"/>
    <n v="5"/>
    <n v="15.55"/>
    <x v="6"/>
    <x v="0"/>
  </r>
  <r>
    <d v="2021-07-11T00:00:00"/>
    <x v="174"/>
    <x v="23"/>
    <x v="0"/>
    <x v="0"/>
    <n v="177.2"/>
    <n v="5"/>
    <n v="83.28"/>
    <x v="6"/>
    <x v="0"/>
  </r>
  <r>
    <d v="2021-07-11T00:00:00"/>
    <x v="174"/>
    <x v="23"/>
    <x v="2"/>
    <x v="6"/>
    <n v="197.97"/>
    <n v="3"/>
    <n v="57.41"/>
    <x v="6"/>
    <x v="0"/>
  </r>
  <r>
    <d v="2021-07-11T00:00:00"/>
    <x v="174"/>
    <x v="23"/>
    <x v="1"/>
    <x v="5"/>
    <n v="854.94"/>
    <n v="3"/>
    <n v="213.74"/>
    <x v="6"/>
    <x v="0"/>
  </r>
  <r>
    <d v="2021-07-11T00:00:00"/>
    <x v="174"/>
    <x v="23"/>
    <x v="1"/>
    <x v="8"/>
    <n v="124.11"/>
    <n v="9"/>
    <n v="52.13"/>
    <x v="6"/>
    <x v="0"/>
  </r>
  <r>
    <d v="2021-07-11T00:00:00"/>
    <x v="174"/>
    <x v="23"/>
    <x v="0"/>
    <x v="1"/>
    <n v="14.4"/>
    <n v="5"/>
    <n v="7.06"/>
    <x v="6"/>
    <x v="0"/>
  </r>
  <r>
    <d v="2021-07-11T00:00:00"/>
    <x v="46"/>
    <x v="0"/>
    <x v="2"/>
    <x v="6"/>
    <n v="575.97"/>
    <n v="4"/>
    <n v="43.2"/>
    <x v="6"/>
    <x v="0"/>
  </r>
  <r>
    <d v="2021-07-11T00:00:00"/>
    <x v="46"/>
    <x v="0"/>
    <x v="0"/>
    <x v="0"/>
    <n v="10.37"/>
    <n v="2"/>
    <n v="3.63"/>
    <x v="6"/>
    <x v="0"/>
  </r>
  <r>
    <d v="2021-07-11T00:00:00"/>
    <x v="294"/>
    <x v="20"/>
    <x v="0"/>
    <x v="0"/>
    <n v="49.12"/>
    <n v="4"/>
    <n v="23.09"/>
    <x v="6"/>
    <x v="0"/>
  </r>
  <r>
    <d v="2021-07-11T00:00:00"/>
    <x v="294"/>
    <x v="20"/>
    <x v="0"/>
    <x v="3"/>
    <n v="18.28"/>
    <n v="5"/>
    <n v="6.4"/>
    <x v="6"/>
    <x v="0"/>
  </r>
  <r>
    <d v="2021-07-11T00:00:00"/>
    <x v="295"/>
    <x v="20"/>
    <x v="2"/>
    <x v="6"/>
    <n v="164.85"/>
    <n v="3"/>
    <n v="47.81"/>
    <x v="6"/>
    <x v="0"/>
  </r>
  <r>
    <d v="2021-07-12T00:00:00"/>
    <x v="296"/>
    <x v="3"/>
    <x v="0"/>
    <x v="3"/>
    <n v="7.71"/>
    <n v="2"/>
    <n v="2.8"/>
    <x v="6"/>
    <x v="0"/>
  </r>
  <r>
    <d v="2021-07-12T00:00:00"/>
    <x v="296"/>
    <x v="3"/>
    <x v="1"/>
    <x v="13"/>
    <n v="698.35"/>
    <n v="3"/>
    <n v="-17.46"/>
    <x v="6"/>
    <x v="0"/>
  </r>
  <r>
    <d v="2021-07-12T00:00:00"/>
    <x v="151"/>
    <x v="3"/>
    <x v="0"/>
    <x v="2"/>
    <n v="249.75"/>
    <n v="9"/>
    <n v="44.96"/>
    <x v="6"/>
    <x v="0"/>
  </r>
  <r>
    <d v="2021-07-12T00:00:00"/>
    <x v="151"/>
    <x v="3"/>
    <x v="2"/>
    <x v="6"/>
    <n v="255.94"/>
    <n v="8"/>
    <n v="28.79"/>
    <x v="6"/>
    <x v="0"/>
  </r>
  <r>
    <d v="2021-07-12T00:00:00"/>
    <x v="68"/>
    <x v="22"/>
    <x v="1"/>
    <x v="5"/>
    <n v="123.14"/>
    <n v="4"/>
    <n v="13.85"/>
    <x v="6"/>
    <x v="0"/>
  </r>
  <r>
    <d v="2021-07-12T00:00:00"/>
    <x v="68"/>
    <x v="22"/>
    <x v="0"/>
    <x v="3"/>
    <n v="11.26"/>
    <n v="4"/>
    <n v="3.8"/>
    <x v="6"/>
    <x v="0"/>
  </r>
  <r>
    <d v="2021-07-12T00:00:00"/>
    <x v="297"/>
    <x v="1"/>
    <x v="0"/>
    <x v="0"/>
    <n v="35.86"/>
    <n v="9"/>
    <n v="13"/>
    <x v="6"/>
    <x v="0"/>
  </r>
  <r>
    <d v="2021-07-12T00:00:00"/>
    <x v="297"/>
    <x v="1"/>
    <x v="2"/>
    <x v="9"/>
    <n v="23.84"/>
    <n v="4"/>
    <n v="3.28"/>
    <x v="6"/>
    <x v="0"/>
  </r>
  <r>
    <d v="2021-07-12T00:00:00"/>
    <x v="298"/>
    <x v="0"/>
    <x v="1"/>
    <x v="5"/>
    <n v="512.36"/>
    <n v="3"/>
    <n v="-14.64"/>
    <x v="6"/>
    <x v="0"/>
  </r>
  <r>
    <d v="2021-07-12T00:00:00"/>
    <x v="298"/>
    <x v="0"/>
    <x v="0"/>
    <x v="7"/>
    <n v="3.49"/>
    <n v="2"/>
    <n v="0.56999999999999995"/>
    <x v="6"/>
    <x v="0"/>
  </r>
  <r>
    <d v="2021-07-12T00:00:00"/>
    <x v="298"/>
    <x v="0"/>
    <x v="0"/>
    <x v="4"/>
    <n v="22.29"/>
    <n v="7"/>
    <n v="3.9"/>
    <x v="6"/>
    <x v="0"/>
  </r>
  <r>
    <d v="2021-07-12T00:00:00"/>
    <x v="298"/>
    <x v="0"/>
    <x v="0"/>
    <x v="0"/>
    <n v="16.03"/>
    <n v="3"/>
    <n v="5.61"/>
    <x v="6"/>
    <x v="0"/>
  </r>
  <r>
    <d v="2021-07-13T00:00:00"/>
    <x v="271"/>
    <x v="3"/>
    <x v="1"/>
    <x v="13"/>
    <n v="351.22"/>
    <n v="3"/>
    <n v="4.3899999999999997"/>
    <x v="6"/>
    <x v="0"/>
  </r>
  <r>
    <d v="2021-07-14T00:00:00"/>
    <x v="299"/>
    <x v="1"/>
    <x v="0"/>
    <x v="3"/>
    <n v="29.93"/>
    <n v="7"/>
    <n v="-46.39"/>
    <x v="6"/>
    <x v="0"/>
  </r>
  <r>
    <d v="2021-07-14T00:00:00"/>
    <x v="299"/>
    <x v="1"/>
    <x v="2"/>
    <x v="6"/>
    <n v="38.270000000000003"/>
    <n v="4"/>
    <n v="3.83"/>
    <x v="6"/>
    <x v="0"/>
  </r>
  <r>
    <d v="2021-07-14T00:00:00"/>
    <x v="300"/>
    <x v="12"/>
    <x v="0"/>
    <x v="2"/>
    <n v="55.92"/>
    <n v="5"/>
    <n v="6.29"/>
    <x v="6"/>
    <x v="0"/>
  </r>
  <r>
    <d v="2021-07-14T00:00:00"/>
    <x v="43"/>
    <x v="2"/>
    <x v="2"/>
    <x v="6"/>
    <n v="13.49"/>
    <n v="1"/>
    <n v="-2.25"/>
    <x v="6"/>
    <x v="0"/>
  </r>
  <r>
    <d v="2021-07-14T00:00:00"/>
    <x v="43"/>
    <x v="2"/>
    <x v="2"/>
    <x v="6"/>
    <n v="23.99"/>
    <n v="2"/>
    <n v="-13.99"/>
    <x v="6"/>
    <x v="0"/>
  </r>
  <r>
    <d v="2021-07-14T00:00:00"/>
    <x v="43"/>
    <x v="2"/>
    <x v="1"/>
    <x v="8"/>
    <n v="31.98"/>
    <n v="2"/>
    <n v="1.2"/>
    <x v="6"/>
    <x v="0"/>
  </r>
  <r>
    <d v="2021-07-14T00:00:00"/>
    <x v="43"/>
    <x v="2"/>
    <x v="0"/>
    <x v="4"/>
    <n v="41.58"/>
    <n v="2"/>
    <n v="4.68"/>
    <x v="6"/>
    <x v="0"/>
  </r>
  <r>
    <d v="2021-07-14T00:00:00"/>
    <x v="301"/>
    <x v="7"/>
    <x v="0"/>
    <x v="12"/>
    <n v="39.479999999999997"/>
    <n v="1"/>
    <n v="11.05"/>
    <x v="6"/>
    <x v="0"/>
  </r>
  <r>
    <d v="2021-07-14T00:00:00"/>
    <x v="302"/>
    <x v="20"/>
    <x v="0"/>
    <x v="4"/>
    <n v="17.940000000000001"/>
    <n v="3"/>
    <n v="4.49"/>
    <x v="6"/>
    <x v="0"/>
  </r>
  <r>
    <d v="2021-07-15T00:00:00"/>
    <x v="197"/>
    <x v="19"/>
    <x v="2"/>
    <x v="9"/>
    <n v="2.97"/>
    <n v="3"/>
    <n v="1.31"/>
    <x v="6"/>
    <x v="0"/>
  </r>
  <r>
    <d v="2021-07-15T00:00:00"/>
    <x v="197"/>
    <x v="19"/>
    <x v="0"/>
    <x v="7"/>
    <n v="6.54"/>
    <n v="3"/>
    <n v="2.68"/>
    <x v="6"/>
    <x v="0"/>
  </r>
  <r>
    <d v="2021-07-18T00:00:00"/>
    <x v="303"/>
    <x v="12"/>
    <x v="1"/>
    <x v="5"/>
    <n v="259.14"/>
    <n v="4"/>
    <n v="-25.91"/>
    <x v="6"/>
    <x v="0"/>
  </r>
  <r>
    <d v="2021-07-18T00:00:00"/>
    <x v="304"/>
    <x v="20"/>
    <x v="0"/>
    <x v="3"/>
    <n v="13.9"/>
    <n v="2"/>
    <n v="4.5199999999999996"/>
    <x v="6"/>
    <x v="0"/>
  </r>
  <r>
    <d v="2021-07-19T00:00:00"/>
    <x v="305"/>
    <x v="37"/>
    <x v="2"/>
    <x v="6"/>
    <n v="359.98"/>
    <n v="2"/>
    <n v="93.59"/>
    <x v="6"/>
    <x v="0"/>
  </r>
  <r>
    <d v="2021-07-19T00:00:00"/>
    <x v="305"/>
    <x v="37"/>
    <x v="1"/>
    <x v="13"/>
    <n v="70.56"/>
    <n v="1"/>
    <n v="-4.03"/>
    <x v="6"/>
    <x v="0"/>
  </r>
  <r>
    <d v="2021-07-19T00:00:00"/>
    <x v="305"/>
    <x v="37"/>
    <x v="0"/>
    <x v="3"/>
    <n v="20.88"/>
    <n v="2"/>
    <n v="9.6"/>
    <x v="6"/>
    <x v="0"/>
  </r>
  <r>
    <d v="2021-07-19T00:00:00"/>
    <x v="305"/>
    <x v="37"/>
    <x v="0"/>
    <x v="3"/>
    <n v="3.81"/>
    <n v="1"/>
    <n v="1.83"/>
    <x v="6"/>
    <x v="0"/>
  </r>
  <r>
    <d v="2021-07-19T00:00:00"/>
    <x v="306"/>
    <x v="35"/>
    <x v="0"/>
    <x v="3"/>
    <n v="6.1"/>
    <n v="2"/>
    <n v="2.21"/>
    <x v="6"/>
    <x v="0"/>
  </r>
  <r>
    <d v="2021-07-20T00:00:00"/>
    <x v="307"/>
    <x v="0"/>
    <x v="0"/>
    <x v="2"/>
    <n v="342.86"/>
    <n v="3"/>
    <n v="38.57"/>
    <x v="6"/>
    <x v="0"/>
  </r>
  <r>
    <d v="2021-07-20T00:00:00"/>
    <x v="307"/>
    <x v="0"/>
    <x v="1"/>
    <x v="8"/>
    <n v="16.739999999999998"/>
    <n v="5"/>
    <n v="-14.23"/>
    <x v="6"/>
    <x v="0"/>
  </r>
  <r>
    <d v="2021-07-20T00:00:00"/>
    <x v="307"/>
    <x v="0"/>
    <x v="1"/>
    <x v="5"/>
    <n v="981.37"/>
    <n v="2"/>
    <n v="-140.19999999999999"/>
    <x v="6"/>
    <x v="0"/>
  </r>
  <r>
    <d v="2021-07-20T00:00:00"/>
    <x v="308"/>
    <x v="10"/>
    <x v="0"/>
    <x v="2"/>
    <n v="25.98"/>
    <n v="1"/>
    <n v="-5.2"/>
    <x v="6"/>
    <x v="0"/>
  </r>
  <r>
    <d v="2021-07-20T00:00:00"/>
    <x v="308"/>
    <x v="10"/>
    <x v="0"/>
    <x v="3"/>
    <n v="27.36"/>
    <n v="3"/>
    <n v="-21.89"/>
    <x v="6"/>
    <x v="0"/>
  </r>
  <r>
    <d v="2021-07-20T00:00:00"/>
    <x v="309"/>
    <x v="3"/>
    <x v="0"/>
    <x v="0"/>
    <n v="104.85"/>
    <n v="1"/>
    <n v="50.33"/>
    <x v="6"/>
    <x v="0"/>
  </r>
  <r>
    <d v="2021-07-20T00:00:00"/>
    <x v="309"/>
    <x v="3"/>
    <x v="0"/>
    <x v="3"/>
    <n v="8.6999999999999993"/>
    <n v="2"/>
    <n v="3.16"/>
    <x v="6"/>
    <x v="0"/>
  </r>
  <r>
    <d v="2021-07-20T00:00:00"/>
    <x v="309"/>
    <x v="3"/>
    <x v="0"/>
    <x v="0"/>
    <n v="19.920000000000002"/>
    <n v="4"/>
    <n v="9.76"/>
    <x v="6"/>
    <x v="0"/>
  </r>
  <r>
    <d v="2021-07-20T00:00:00"/>
    <x v="309"/>
    <x v="3"/>
    <x v="1"/>
    <x v="8"/>
    <n v="43.02"/>
    <n v="3"/>
    <n v="15.49"/>
    <x v="6"/>
    <x v="0"/>
  </r>
  <r>
    <d v="2021-07-20T00:00:00"/>
    <x v="310"/>
    <x v="3"/>
    <x v="0"/>
    <x v="3"/>
    <n v="89.71"/>
    <n v="6"/>
    <n v="30.28"/>
    <x v="6"/>
    <x v="0"/>
  </r>
  <r>
    <d v="2021-07-20T00:00:00"/>
    <x v="310"/>
    <x v="3"/>
    <x v="0"/>
    <x v="0"/>
    <n v="22.83"/>
    <n v="3"/>
    <n v="10.73"/>
    <x v="6"/>
    <x v="0"/>
  </r>
  <r>
    <d v="2021-07-20T00:00:00"/>
    <x v="104"/>
    <x v="3"/>
    <x v="2"/>
    <x v="9"/>
    <n v="41.94"/>
    <n v="2"/>
    <n v="15.1"/>
    <x v="6"/>
    <x v="0"/>
  </r>
  <r>
    <d v="2021-07-20T00:00:00"/>
    <x v="104"/>
    <x v="3"/>
    <x v="0"/>
    <x v="0"/>
    <n v="11.96"/>
    <n v="2"/>
    <n v="5.86"/>
    <x v="6"/>
    <x v="0"/>
  </r>
  <r>
    <d v="2021-07-20T00:00:00"/>
    <x v="104"/>
    <x v="3"/>
    <x v="0"/>
    <x v="4"/>
    <n v="13.12"/>
    <n v="4"/>
    <n v="3.8"/>
    <x v="6"/>
    <x v="0"/>
  </r>
  <r>
    <d v="2021-07-20T00:00:00"/>
    <x v="104"/>
    <x v="3"/>
    <x v="0"/>
    <x v="2"/>
    <n v="535.41"/>
    <n v="3"/>
    <n v="160.62"/>
    <x v="6"/>
    <x v="0"/>
  </r>
  <r>
    <d v="2021-07-21T00:00:00"/>
    <x v="311"/>
    <x v="3"/>
    <x v="0"/>
    <x v="4"/>
    <n v="99.2"/>
    <n v="5"/>
    <n v="25.79"/>
    <x v="6"/>
    <x v="0"/>
  </r>
  <r>
    <d v="2021-07-21T00:00:00"/>
    <x v="311"/>
    <x v="3"/>
    <x v="1"/>
    <x v="5"/>
    <n v="801.57"/>
    <n v="2"/>
    <n v="50.1"/>
    <x v="6"/>
    <x v="0"/>
  </r>
  <r>
    <d v="2021-07-21T00:00:00"/>
    <x v="311"/>
    <x v="3"/>
    <x v="1"/>
    <x v="13"/>
    <n v="272.85000000000002"/>
    <n v="1"/>
    <n v="27.28"/>
    <x v="6"/>
    <x v="0"/>
  </r>
  <r>
    <d v="2021-07-21T00:00:00"/>
    <x v="312"/>
    <x v="0"/>
    <x v="0"/>
    <x v="12"/>
    <n v="4.99"/>
    <n v="3"/>
    <n v="-12.98"/>
    <x v="6"/>
    <x v="0"/>
  </r>
  <r>
    <d v="2021-07-21T00:00:00"/>
    <x v="312"/>
    <x v="0"/>
    <x v="0"/>
    <x v="10"/>
    <n v="87.92"/>
    <n v="5"/>
    <n v="29.67"/>
    <x v="6"/>
    <x v="0"/>
  </r>
  <r>
    <d v="2021-07-21T00:00:00"/>
    <x v="312"/>
    <x v="0"/>
    <x v="1"/>
    <x v="5"/>
    <n v="657.93"/>
    <n v="5"/>
    <n v="-93.99"/>
    <x v="6"/>
    <x v="0"/>
  </r>
  <r>
    <d v="2021-07-21T00:00:00"/>
    <x v="312"/>
    <x v="0"/>
    <x v="0"/>
    <x v="3"/>
    <n v="1.04"/>
    <n v="1"/>
    <n v="-1.83"/>
    <x v="6"/>
    <x v="0"/>
  </r>
  <r>
    <d v="2021-07-21T00:00:00"/>
    <x v="190"/>
    <x v="40"/>
    <x v="2"/>
    <x v="6"/>
    <n v="35.979999999999997"/>
    <n v="2"/>
    <n v="10.07"/>
    <x v="6"/>
    <x v="0"/>
  </r>
  <r>
    <d v="2021-07-22T00:00:00"/>
    <x v="313"/>
    <x v="20"/>
    <x v="0"/>
    <x v="4"/>
    <n v="5.96"/>
    <n v="2"/>
    <n v="1.67"/>
    <x v="6"/>
    <x v="0"/>
  </r>
  <r>
    <d v="2021-07-22T00:00:00"/>
    <x v="313"/>
    <x v="20"/>
    <x v="2"/>
    <x v="9"/>
    <n v="159.97999999999999"/>
    <n v="2"/>
    <n v="57.59"/>
    <x v="6"/>
    <x v="0"/>
  </r>
  <r>
    <d v="2021-07-22T00:00:00"/>
    <x v="201"/>
    <x v="3"/>
    <x v="0"/>
    <x v="4"/>
    <n v="11.52"/>
    <n v="4"/>
    <n v="3.23"/>
    <x v="6"/>
    <x v="0"/>
  </r>
  <r>
    <d v="2021-07-22T00:00:00"/>
    <x v="201"/>
    <x v="3"/>
    <x v="1"/>
    <x v="5"/>
    <n v="717.72"/>
    <n v="3"/>
    <n v="71.77"/>
    <x v="6"/>
    <x v="0"/>
  </r>
  <r>
    <d v="2021-07-22T00:00:00"/>
    <x v="201"/>
    <x v="3"/>
    <x v="0"/>
    <x v="2"/>
    <n v="236.5"/>
    <n v="10"/>
    <n v="68.59"/>
    <x v="6"/>
    <x v="0"/>
  </r>
  <r>
    <d v="2021-07-22T00:00:00"/>
    <x v="201"/>
    <x v="3"/>
    <x v="1"/>
    <x v="13"/>
    <n v="170.35"/>
    <n v="3"/>
    <n v="19.16"/>
    <x v="6"/>
    <x v="0"/>
  </r>
  <r>
    <d v="2021-07-22T00:00:00"/>
    <x v="314"/>
    <x v="3"/>
    <x v="0"/>
    <x v="4"/>
    <n v="19.68"/>
    <n v="6"/>
    <n v="6.49"/>
    <x v="6"/>
    <x v="0"/>
  </r>
  <r>
    <d v="2021-07-22T00:00:00"/>
    <x v="315"/>
    <x v="0"/>
    <x v="0"/>
    <x v="2"/>
    <n v="26.63"/>
    <n v="1"/>
    <n v="1.33"/>
    <x v="6"/>
    <x v="0"/>
  </r>
  <r>
    <d v="2021-07-23T00:00:00"/>
    <x v="316"/>
    <x v="12"/>
    <x v="0"/>
    <x v="3"/>
    <n v="8.16"/>
    <n v="5"/>
    <n v="-5.71"/>
    <x v="6"/>
    <x v="0"/>
  </r>
  <r>
    <d v="2021-07-23T00:00:00"/>
    <x v="316"/>
    <x v="12"/>
    <x v="2"/>
    <x v="9"/>
    <n v="1023.94"/>
    <n v="8"/>
    <n v="179.19"/>
    <x v="6"/>
    <x v="0"/>
  </r>
  <r>
    <d v="2021-07-23T00:00:00"/>
    <x v="316"/>
    <x v="12"/>
    <x v="0"/>
    <x v="4"/>
    <n v="9.24"/>
    <n v="1"/>
    <n v="0.92"/>
    <x v="6"/>
    <x v="0"/>
  </r>
  <r>
    <d v="2021-07-23T00:00:00"/>
    <x v="316"/>
    <x v="12"/>
    <x v="2"/>
    <x v="9"/>
    <n v="479.04"/>
    <n v="10"/>
    <n v="-29.94"/>
    <x v="6"/>
    <x v="0"/>
  </r>
  <r>
    <d v="2021-07-23T00:00:00"/>
    <x v="199"/>
    <x v="20"/>
    <x v="2"/>
    <x v="9"/>
    <n v="99.98"/>
    <n v="2"/>
    <n v="8"/>
    <x v="6"/>
    <x v="0"/>
  </r>
  <r>
    <d v="2021-07-23T00:00:00"/>
    <x v="317"/>
    <x v="3"/>
    <x v="2"/>
    <x v="6"/>
    <n v="604.75"/>
    <n v="6"/>
    <n v="60.48"/>
    <x v="6"/>
    <x v="0"/>
  </r>
  <r>
    <d v="2021-07-23T00:00:00"/>
    <x v="317"/>
    <x v="3"/>
    <x v="0"/>
    <x v="14"/>
    <n v="40.700000000000003"/>
    <n v="5"/>
    <n v="11.8"/>
    <x v="6"/>
    <x v="0"/>
  </r>
  <r>
    <d v="2021-07-23T00:00:00"/>
    <x v="317"/>
    <x v="3"/>
    <x v="2"/>
    <x v="6"/>
    <n v="302.38"/>
    <n v="3"/>
    <n v="37.799999999999997"/>
    <x v="6"/>
    <x v="0"/>
  </r>
  <r>
    <d v="2021-07-23T00:00:00"/>
    <x v="317"/>
    <x v="3"/>
    <x v="2"/>
    <x v="9"/>
    <n v="45"/>
    <n v="3"/>
    <n v="4.95"/>
    <x v="6"/>
    <x v="0"/>
  </r>
  <r>
    <d v="2021-07-25T00:00:00"/>
    <x v="318"/>
    <x v="3"/>
    <x v="0"/>
    <x v="2"/>
    <n v="53.72"/>
    <n v="4"/>
    <n v="15.04"/>
    <x v="6"/>
    <x v="0"/>
  </r>
  <r>
    <d v="2021-07-25T00:00:00"/>
    <x v="318"/>
    <x v="3"/>
    <x v="0"/>
    <x v="14"/>
    <n v="8187.65"/>
    <n v="5"/>
    <n v="327.51"/>
    <x v="6"/>
    <x v="0"/>
  </r>
  <r>
    <d v="2021-07-25T00:00:00"/>
    <x v="318"/>
    <x v="3"/>
    <x v="1"/>
    <x v="8"/>
    <n v="77.92"/>
    <n v="8"/>
    <n v="34.28"/>
    <x v="6"/>
    <x v="0"/>
  </r>
  <r>
    <d v="2021-07-25T00:00:00"/>
    <x v="58"/>
    <x v="3"/>
    <x v="0"/>
    <x v="0"/>
    <n v="6.48"/>
    <n v="1"/>
    <n v="3.18"/>
    <x v="6"/>
    <x v="0"/>
  </r>
  <r>
    <d v="2021-07-25T00:00:00"/>
    <x v="58"/>
    <x v="3"/>
    <x v="0"/>
    <x v="14"/>
    <n v="15.52"/>
    <n v="4"/>
    <n v="4.5"/>
    <x v="6"/>
    <x v="0"/>
  </r>
  <r>
    <d v="2021-07-26T00:00:00"/>
    <x v="319"/>
    <x v="1"/>
    <x v="0"/>
    <x v="2"/>
    <n v="123.55"/>
    <n v="3"/>
    <n v="-29.34"/>
    <x v="6"/>
    <x v="0"/>
  </r>
  <r>
    <d v="2021-07-26T00:00:00"/>
    <x v="111"/>
    <x v="17"/>
    <x v="2"/>
    <x v="6"/>
    <n v="911.98"/>
    <n v="2"/>
    <n v="114"/>
    <x v="6"/>
    <x v="0"/>
  </r>
  <r>
    <d v="2021-07-26T00:00:00"/>
    <x v="111"/>
    <x v="17"/>
    <x v="1"/>
    <x v="5"/>
    <n v="674.35"/>
    <n v="3"/>
    <n v="-109.58"/>
    <x v="6"/>
    <x v="0"/>
  </r>
  <r>
    <d v="2021-07-26T00:00:00"/>
    <x v="111"/>
    <x v="17"/>
    <x v="1"/>
    <x v="8"/>
    <n v="134.01"/>
    <n v="9"/>
    <n v="36.18"/>
    <x v="6"/>
    <x v="0"/>
  </r>
  <r>
    <d v="2021-07-26T00:00:00"/>
    <x v="111"/>
    <x v="17"/>
    <x v="2"/>
    <x v="9"/>
    <n v="170.97"/>
    <n v="3"/>
    <n v="70.099999999999994"/>
    <x v="6"/>
    <x v="0"/>
  </r>
  <r>
    <d v="2021-07-26T00:00:00"/>
    <x v="4"/>
    <x v="27"/>
    <x v="2"/>
    <x v="9"/>
    <n v="111.93"/>
    <n v="7"/>
    <n v="34.700000000000003"/>
    <x v="6"/>
    <x v="0"/>
  </r>
  <r>
    <d v="2021-07-26T00:00:00"/>
    <x v="320"/>
    <x v="4"/>
    <x v="1"/>
    <x v="5"/>
    <n v="67.88"/>
    <n v="2"/>
    <n v="18.329999999999998"/>
    <x v="6"/>
    <x v="0"/>
  </r>
  <r>
    <d v="2021-07-26T00:00:00"/>
    <x v="320"/>
    <x v="4"/>
    <x v="0"/>
    <x v="1"/>
    <n v="162.88999999999999"/>
    <n v="13"/>
    <n v="76.56"/>
    <x v="6"/>
    <x v="0"/>
  </r>
  <r>
    <d v="2021-07-26T00:00:00"/>
    <x v="320"/>
    <x v="4"/>
    <x v="1"/>
    <x v="8"/>
    <n v="25.71"/>
    <n v="3"/>
    <n v="9.26"/>
    <x v="6"/>
    <x v="0"/>
  </r>
  <r>
    <d v="2021-07-26T00:00:00"/>
    <x v="321"/>
    <x v="0"/>
    <x v="0"/>
    <x v="3"/>
    <n v="2177.58"/>
    <n v="8"/>
    <n v="-3701.89"/>
    <x v="6"/>
    <x v="0"/>
  </r>
  <r>
    <d v="2021-07-26T00:00:00"/>
    <x v="321"/>
    <x v="0"/>
    <x v="1"/>
    <x v="8"/>
    <n v="17.5"/>
    <n v="3"/>
    <n v="-10.06"/>
    <x v="6"/>
    <x v="0"/>
  </r>
  <r>
    <d v="2021-07-26T00:00:00"/>
    <x v="321"/>
    <x v="0"/>
    <x v="0"/>
    <x v="3"/>
    <n v="16.78"/>
    <n v="4"/>
    <n v="-26.85"/>
    <x v="6"/>
    <x v="0"/>
  </r>
  <r>
    <d v="2021-07-26T00:00:00"/>
    <x v="321"/>
    <x v="0"/>
    <x v="2"/>
    <x v="9"/>
    <n v="431.14"/>
    <n v="9"/>
    <n v="-26.95"/>
    <x v="6"/>
    <x v="0"/>
  </r>
  <r>
    <d v="2021-07-26T00:00:00"/>
    <x v="321"/>
    <x v="0"/>
    <x v="0"/>
    <x v="3"/>
    <n v="8.8800000000000008"/>
    <n v="5"/>
    <n v="-13.32"/>
    <x v="6"/>
    <x v="0"/>
  </r>
  <r>
    <d v="2021-07-26T00:00:00"/>
    <x v="321"/>
    <x v="0"/>
    <x v="0"/>
    <x v="12"/>
    <n v="4.84"/>
    <n v="2"/>
    <n v="-12.09"/>
    <x v="6"/>
    <x v="0"/>
  </r>
  <r>
    <d v="2021-07-27T00:00:00"/>
    <x v="60"/>
    <x v="3"/>
    <x v="2"/>
    <x v="9"/>
    <n v="238"/>
    <n v="2"/>
    <n v="38.08"/>
    <x v="6"/>
    <x v="0"/>
  </r>
  <r>
    <d v="2021-07-27T00:00:00"/>
    <x v="322"/>
    <x v="20"/>
    <x v="0"/>
    <x v="0"/>
    <n v="65.78"/>
    <n v="11"/>
    <n v="32.229999999999997"/>
    <x v="6"/>
    <x v="0"/>
  </r>
  <r>
    <d v="2021-07-27T00:00:00"/>
    <x v="323"/>
    <x v="3"/>
    <x v="0"/>
    <x v="2"/>
    <n v="276.27999999999997"/>
    <n v="2"/>
    <n v="0"/>
    <x v="6"/>
    <x v="0"/>
  </r>
  <r>
    <d v="2021-07-28T00:00:00"/>
    <x v="74"/>
    <x v="16"/>
    <x v="0"/>
    <x v="7"/>
    <n v="14.32"/>
    <n v="5"/>
    <n v="5.19"/>
    <x v="6"/>
    <x v="0"/>
  </r>
  <r>
    <d v="2021-07-28T00:00:00"/>
    <x v="74"/>
    <x v="16"/>
    <x v="1"/>
    <x v="8"/>
    <n v="129.88999999999999"/>
    <n v="6"/>
    <n v="12.99"/>
    <x v="6"/>
    <x v="0"/>
  </r>
  <r>
    <d v="2021-07-28T00:00:00"/>
    <x v="74"/>
    <x v="16"/>
    <x v="0"/>
    <x v="10"/>
    <n v="48.94"/>
    <n v="7"/>
    <n v="16.52"/>
    <x v="6"/>
    <x v="0"/>
  </r>
  <r>
    <d v="2021-07-30T00:00:00"/>
    <x v="324"/>
    <x v="22"/>
    <x v="1"/>
    <x v="11"/>
    <n v="1367.84"/>
    <n v="8"/>
    <n v="259.89"/>
    <x v="6"/>
    <x v="0"/>
  </r>
  <r>
    <d v="2021-08-01T00:00:00"/>
    <x v="302"/>
    <x v="25"/>
    <x v="0"/>
    <x v="1"/>
    <n v="17.54"/>
    <n v="3"/>
    <n v="5.92"/>
    <x v="7"/>
    <x v="0"/>
  </r>
  <r>
    <d v="2021-08-01T00:00:00"/>
    <x v="302"/>
    <x v="25"/>
    <x v="1"/>
    <x v="8"/>
    <n v="44.13"/>
    <n v="4"/>
    <n v="12.14"/>
    <x v="7"/>
    <x v="0"/>
  </r>
  <r>
    <d v="2021-08-01T00:00:00"/>
    <x v="302"/>
    <x v="25"/>
    <x v="0"/>
    <x v="12"/>
    <n v="62.92"/>
    <n v="1"/>
    <n v="10.220000000000001"/>
    <x v="7"/>
    <x v="0"/>
  </r>
  <r>
    <d v="2021-08-01T00:00:00"/>
    <x v="302"/>
    <x v="25"/>
    <x v="0"/>
    <x v="0"/>
    <n v="78.3"/>
    <n v="2"/>
    <n v="29.36"/>
    <x v="7"/>
    <x v="0"/>
  </r>
  <r>
    <d v="2021-08-01T00:00:00"/>
    <x v="325"/>
    <x v="3"/>
    <x v="0"/>
    <x v="3"/>
    <n v="19.75"/>
    <n v="3"/>
    <n v="6.91"/>
    <x v="7"/>
    <x v="0"/>
  </r>
  <r>
    <d v="2021-08-01T00:00:00"/>
    <x v="326"/>
    <x v="2"/>
    <x v="0"/>
    <x v="7"/>
    <n v="5.68"/>
    <n v="2"/>
    <n v="1.92"/>
    <x v="7"/>
    <x v="0"/>
  </r>
  <r>
    <d v="2021-08-02T00:00:00"/>
    <x v="327"/>
    <x v="24"/>
    <x v="0"/>
    <x v="3"/>
    <n v="26.7"/>
    <n v="5"/>
    <n v="12.55"/>
    <x v="7"/>
    <x v="0"/>
  </r>
  <r>
    <d v="2021-08-02T00:00:00"/>
    <x v="327"/>
    <x v="24"/>
    <x v="2"/>
    <x v="9"/>
    <n v="21.2"/>
    <n v="2"/>
    <n v="9.1199999999999992"/>
    <x v="7"/>
    <x v="0"/>
  </r>
  <r>
    <d v="2021-08-02T00:00:00"/>
    <x v="327"/>
    <x v="24"/>
    <x v="0"/>
    <x v="2"/>
    <n v="838.38"/>
    <n v="2"/>
    <n v="226.36"/>
    <x v="7"/>
    <x v="0"/>
  </r>
  <r>
    <d v="2021-08-03T00:00:00"/>
    <x v="206"/>
    <x v="26"/>
    <x v="1"/>
    <x v="13"/>
    <n v="218.75"/>
    <n v="2"/>
    <n v="-161.88"/>
    <x v="7"/>
    <x v="0"/>
  </r>
  <r>
    <d v="2021-08-03T00:00:00"/>
    <x v="206"/>
    <x v="26"/>
    <x v="0"/>
    <x v="12"/>
    <n v="2.6"/>
    <n v="1"/>
    <n v="0.28999999999999998"/>
    <x v="7"/>
    <x v="0"/>
  </r>
  <r>
    <d v="2021-08-03T00:00:00"/>
    <x v="328"/>
    <x v="20"/>
    <x v="0"/>
    <x v="0"/>
    <n v="39.96"/>
    <n v="2"/>
    <n v="18.78"/>
    <x v="7"/>
    <x v="0"/>
  </r>
  <r>
    <d v="2021-08-03T00:00:00"/>
    <x v="328"/>
    <x v="20"/>
    <x v="0"/>
    <x v="14"/>
    <n v="102.3"/>
    <n v="10"/>
    <n v="26.6"/>
    <x v="7"/>
    <x v="0"/>
  </r>
  <r>
    <d v="2021-08-03T00:00:00"/>
    <x v="328"/>
    <x v="20"/>
    <x v="0"/>
    <x v="2"/>
    <n v="21.36"/>
    <n v="2"/>
    <n v="5.77"/>
    <x v="7"/>
    <x v="0"/>
  </r>
  <r>
    <d v="2021-08-03T00:00:00"/>
    <x v="292"/>
    <x v="12"/>
    <x v="0"/>
    <x v="0"/>
    <n v="93.02"/>
    <n v="3"/>
    <n v="33.72"/>
    <x v="7"/>
    <x v="0"/>
  </r>
  <r>
    <d v="2021-08-04T00:00:00"/>
    <x v="329"/>
    <x v="27"/>
    <x v="0"/>
    <x v="12"/>
    <n v="1089.75"/>
    <n v="3"/>
    <n v="305.13"/>
    <x v="7"/>
    <x v="0"/>
  </r>
  <r>
    <d v="2021-08-04T00:00:00"/>
    <x v="329"/>
    <x v="27"/>
    <x v="0"/>
    <x v="0"/>
    <n v="447.84"/>
    <n v="8"/>
    <n v="219.44"/>
    <x v="7"/>
    <x v="0"/>
  </r>
  <r>
    <d v="2021-08-04T00:00:00"/>
    <x v="329"/>
    <x v="27"/>
    <x v="0"/>
    <x v="4"/>
    <n v="16.399999999999999"/>
    <n v="5"/>
    <n v="4.26"/>
    <x v="7"/>
    <x v="0"/>
  </r>
  <r>
    <d v="2021-08-04T00:00:00"/>
    <x v="329"/>
    <x v="27"/>
    <x v="2"/>
    <x v="6"/>
    <n v="399.96"/>
    <n v="5"/>
    <n v="35"/>
    <x v="7"/>
    <x v="0"/>
  </r>
  <r>
    <d v="2021-08-04T00:00:00"/>
    <x v="329"/>
    <x v="27"/>
    <x v="0"/>
    <x v="2"/>
    <n v="158.9"/>
    <n v="5"/>
    <n v="7.95"/>
    <x v="7"/>
    <x v="0"/>
  </r>
  <r>
    <d v="2021-08-04T00:00:00"/>
    <x v="329"/>
    <x v="27"/>
    <x v="0"/>
    <x v="3"/>
    <n v="13.18"/>
    <n v="1"/>
    <n v="4.78"/>
    <x v="7"/>
    <x v="0"/>
  </r>
  <r>
    <d v="2021-08-04T00:00:00"/>
    <x v="44"/>
    <x v="41"/>
    <x v="0"/>
    <x v="12"/>
    <n v="101.96"/>
    <n v="2"/>
    <n v="27.53"/>
    <x v="7"/>
    <x v="0"/>
  </r>
  <r>
    <d v="2021-08-04T00:00:00"/>
    <x v="44"/>
    <x v="41"/>
    <x v="0"/>
    <x v="0"/>
    <n v="259.74"/>
    <n v="13"/>
    <n v="124.68"/>
    <x v="7"/>
    <x v="0"/>
  </r>
  <r>
    <d v="2021-08-04T00:00:00"/>
    <x v="44"/>
    <x v="41"/>
    <x v="2"/>
    <x v="9"/>
    <n v="255.42"/>
    <n v="9"/>
    <n v="104.72"/>
    <x v="7"/>
    <x v="0"/>
  </r>
  <r>
    <d v="2021-08-05T00:00:00"/>
    <x v="330"/>
    <x v="3"/>
    <x v="0"/>
    <x v="0"/>
    <n v="20.94"/>
    <n v="3"/>
    <n v="9.84"/>
    <x v="7"/>
    <x v="0"/>
  </r>
  <r>
    <d v="2021-08-05T00:00:00"/>
    <x v="330"/>
    <x v="3"/>
    <x v="0"/>
    <x v="0"/>
    <n v="110.96"/>
    <n v="2"/>
    <n v="53.26"/>
    <x v="7"/>
    <x v="0"/>
  </r>
  <r>
    <d v="2021-08-05T00:00:00"/>
    <x v="330"/>
    <x v="3"/>
    <x v="1"/>
    <x v="5"/>
    <n v="340.14"/>
    <n v="7"/>
    <n v="21.26"/>
    <x v="7"/>
    <x v="0"/>
  </r>
  <r>
    <d v="2021-08-05T00:00:00"/>
    <x v="331"/>
    <x v="3"/>
    <x v="2"/>
    <x v="9"/>
    <n v="16.36"/>
    <n v="1"/>
    <n v="1.64"/>
    <x v="7"/>
    <x v="0"/>
  </r>
  <r>
    <d v="2021-08-05T00:00:00"/>
    <x v="331"/>
    <x v="3"/>
    <x v="0"/>
    <x v="2"/>
    <n v="15.78"/>
    <n v="2"/>
    <n v="0.63"/>
    <x v="7"/>
    <x v="0"/>
  </r>
  <r>
    <d v="2021-08-05T00:00:00"/>
    <x v="331"/>
    <x v="3"/>
    <x v="0"/>
    <x v="4"/>
    <n v="45.98"/>
    <n v="2"/>
    <n v="12.87"/>
    <x v="7"/>
    <x v="0"/>
  </r>
  <r>
    <d v="2021-08-05T00:00:00"/>
    <x v="332"/>
    <x v="37"/>
    <x v="0"/>
    <x v="12"/>
    <n v="79.47"/>
    <n v="3"/>
    <n v="22.25"/>
    <x v="7"/>
    <x v="0"/>
  </r>
  <r>
    <d v="2021-08-05T00:00:00"/>
    <x v="332"/>
    <x v="37"/>
    <x v="0"/>
    <x v="4"/>
    <n v="4.5599999999999996"/>
    <n v="2"/>
    <n v="2.0099999999999998"/>
    <x v="7"/>
    <x v="0"/>
  </r>
  <r>
    <d v="2021-08-05T00:00:00"/>
    <x v="332"/>
    <x v="37"/>
    <x v="1"/>
    <x v="5"/>
    <n v="1133.3499999999999"/>
    <n v="5"/>
    <n v="294.67"/>
    <x v="7"/>
    <x v="0"/>
  </r>
  <r>
    <d v="2021-08-05T00:00:00"/>
    <x v="153"/>
    <x v="20"/>
    <x v="2"/>
    <x v="6"/>
    <n v="135.99"/>
    <n v="1"/>
    <n v="36.72"/>
    <x v="7"/>
    <x v="0"/>
  </r>
  <r>
    <d v="2021-08-05T00:00:00"/>
    <x v="153"/>
    <x v="20"/>
    <x v="0"/>
    <x v="4"/>
    <n v="15.96"/>
    <n v="7"/>
    <n v="7.02"/>
    <x v="7"/>
    <x v="0"/>
  </r>
  <r>
    <d v="2021-08-05T00:00:00"/>
    <x v="333"/>
    <x v="0"/>
    <x v="1"/>
    <x v="13"/>
    <n v="489.23"/>
    <n v="2"/>
    <n v="41.93"/>
    <x v="7"/>
    <x v="0"/>
  </r>
  <r>
    <d v="2021-08-06T00:00:00"/>
    <x v="334"/>
    <x v="9"/>
    <x v="2"/>
    <x v="9"/>
    <n v="62.91"/>
    <n v="3"/>
    <n v="22.65"/>
    <x v="7"/>
    <x v="0"/>
  </r>
  <r>
    <d v="2021-08-06T00:00:00"/>
    <x v="335"/>
    <x v="20"/>
    <x v="2"/>
    <x v="9"/>
    <n v="199.98"/>
    <n v="2"/>
    <n v="83.99"/>
    <x v="7"/>
    <x v="0"/>
  </r>
  <r>
    <d v="2021-08-08T00:00:00"/>
    <x v="336"/>
    <x v="3"/>
    <x v="0"/>
    <x v="12"/>
    <n v="76.12"/>
    <n v="2"/>
    <n v="22.07"/>
    <x v="7"/>
    <x v="0"/>
  </r>
  <r>
    <d v="2021-08-08T00:00:00"/>
    <x v="336"/>
    <x v="3"/>
    <x v="2"/>
    <x v="16"/>
    <n v="1199.98"/>
    <n v="3"/>
    <n v="434.99"/>
    <x v="7"/>
    <x v="0"/>
  </r>
  <r>
    <d v="2021-08-08T00:00:00"/>
    <x v="336"/>
    <x v="3"/>
    <x v="2"/>
    <x v="6"/>
    <n v="445.96"/>
    <n v="5"/>
    <n v="55.75"/>
    <x v="7"/>
    <x v="0"/>
  </r>
  <r>
    <d v="2021-08-08T00:00:00"/>
    <x v="336"/>
    <x v="3"/>
    <x v="1"/>
    <x v="8"/>
    <n v="327.76"/>
    <n v="8"/>
    <n v="91.77"/>
    <x v="7"/>
    <x v="0"/>
  </r>
  <r>
    <d v="2021-08-08T00:00:00"/>
    <x v="337"/>
    <x v="12"/>
    <x v="1"/>
    <x v="8"/>
    <n v="121.38"/>
    <n v="4"/>
    <n v="-3.03"/>
    <x v="7"/>
    <x v="0"/>
  </r>
  <r>
    <d v="2021-08-08T00:00:00"/>
    <x v="337"/>
    <x v="12"/>
    <x v="2"/>
    <x v="9"/>
    <n v="95.98"/>
    <n v="3"/>
    <n v="-10.8"/>
    <x v="7"/>
    <x v="0"/>
  </r>
  <r>
    <d v="2021-08-08T00:00:00"/>
    <x v="51"/>
    <x v="3"/>
    <x v="0"/>
    <x v="2"/>
    <n v="423.28"/>
    <n v="11"/>
    <n v="110.05"/>
    <x v="7"/>
    <x v="0"/>
  </r>
  <r>
    <d v="2021-08-08T00:00:00"/>
    <x v="338"/>
    <x v="14"/>
    <x v="2"/>
    <x v="16"/>
    <n v="549.99"/>
    <n v="1"/>
    <n v="275"/>
    <x v="7"/>
    <x v="0"/>
  </r>
  <r>
    <d v="2021-08-08T00:00:00"/>
    <x v="338"/>
    <x v="14"/>
    <x v="0"/>
    <x v="12"/>
    <n v="167.54"/>
    <n v="3"/>
    <n v="37.229999999999997"/>
    <x v="7"/>
    <x v="0"/>
  </r>
  <r>
    <d v="2021-08-08T00:00:00"/>
    <x v="338"/>
    <x v="14"/>
    <x v="0"/>
    <x v="10"/>
    <n v="38.340000000000003"/>
    <n v="3"/>
    <n v="17.25"/>
    <x v="7"/>
    <x v="0"/>
  </r>
  <r>
    <d v="2021-08-08T00:00:00"/>
    <x v="338"/>
    <x v="14"/>
    <x v="1"/>
    <x v="8"/>
    <n v="53.88"/>
    <n v="6"/>
    <n v="22.63"/>
    <x v="7"/>
    <x v="0"/>
  </r>
  <r>
    <d v="2021-08-08T00:00:00"/>
    <x v="338"/>
    <x v="14"/>
    <x v="2"/>
    <x v="6"/>
    <n v="299.98"/>
    <n v="2"/>
    <n v="83.99"/>
    <x v="7"/>
    <x v="0"/>
  </r>
  <r>
    <d v="2021-08-08T00:00:00"/>
    <x v="339"/>
    <x v="16"/>
    <x v="1"/>
    <x v="11"/>
    <n v="155.46"/>
    <n v="4"/>
    <n v="-7.77"/>
    <x v="7"/>
    <x v="0"/>
  </r>
  <r>
    <d v="2021-08-09T00:00:00"/>
    <x v="340"/>
    <x v="16"/>
    <x v="2"/>
    <x v="6"/>
    <n v="178.38"/>
    <n v="2"/>
    <n v="22.3"/>
    <x v="7"/>
    <x v="0"/>
  </r>
  <r>
    <d v="2021-08-09T00:00:00"/>
    <x v="340"/>
    <x v="16"/>
    <x v="0"/>
    <x v="0"/>
    <n v="15.55"/>
    <n v="3"/>
    <n v="5.44"/>
    <x v="7"/>
    <x v="0"/>
  </r>
  <r>
    <d v="2021-08-09T00:00:00"/>
    <x v="341"/>
    <x v="3"/>
    <x v="0"/>
    <x v="1"/>
    <n v="20.88"/>
    <n v="8"/>
    <n v="9.6"/>
    <x v="7"/>
    <x v="0"/>
  </r>
  <r>
    <d v="2021-08-09T00:00:00"/>
    <x v="342"/>
    <x v="22"/>
    <x v="2"/>
    <x v="6"/>
    <n v="1091.17"/>
    <n v="4"/>
    <n v="68.2"/>
    <x v="7"/>
    <x v="0"/>
  </r>
  <r>
    <d v="2021-08-09T00:00:00"/>
    <x v="342"/>
    <x v="22"/>
    <x v="2"/>
    <x v="6"/>
    <n v="219.17"/>
    <n v="2"/>
    <n v="-43.83"/>
    <x v="7"/>
    <x v="0"/>
  </r>
  <r>
    <d v="2021-08-09T00:00:00"/>
    <x v="343"/>
    <x v="22"/>
    <x v="0"/>
    <x v="3"/>
    <n v="2060.7399999999998"/>
    <n v="7"/>
    <n v="643.98"/>
    <x v="7"/>
    <x v="0"/>
  </r>
  <r>
    <d v="2021-08-09T00:00:00"/>
    <x v="344"/>
    <x v="3"/>
    <x v="0"/>
    <x v="0"/>
    <n v="5.98"/>
    <n v="1"/>
    <n v="2.69"/>
    <x v="7"/>
    <x v="0"/>
  </r>
  <r>
    <d v="2021-08-09T00:00:00"/>
    <x v="310"/>
    <x v="12"/>
    <x v="0"/>
    <x v="7"/>
    <n v="4.46"/>
    <n v="3"/>
    <n v="-0.95"/>
    <x v="7"/>
    <x v="0"/>
  </r>
  <r>
    <d v="2021-08-09T00:00:00"/>
    <x v="310"/>
    <x v="12"/>
    <x v="0"/>
    <x v="3"/>
    <n v="9.35"/>
    <n v="5"/>
    <n v="-6.54"/>
    <x v="7"/>
    <x v="0"/>
  </r>
  <r>
    <d v="2021-08-11T00:00:00"/>
    <x v="193"/>
    <x v="22"/>
    <x v="1"/>
    <x v="8"/>
    <n v="12.35"/>
    <n v="1"/>
    <n v="5.43"/>
    <x v="7"/>
    <x v="0"/>
  </r>
  <r>
    <d v="2021-08-11T00:00:00"/>
    <x v="193"/>
    <x v="22"/>
    <x v="0"/>
    <x v="4"/>
    <n v="40.97"/>
    <n v="1"/>
    <n v="10.65"/>
    <x v="7"/>
    <x v="0"/>
  </r>
  <r>
    <d v="2021-08-11T00:00:00"/>
    <x v="193"/>
    <x v="22"/>
    <x v="0"/>
    <x v="7"/>
    <n v="22.96"/>
    <n v="2"/>
    <n v="10.79"/>
    <x v="7"/>
    <x v="0"/>
  </r>
  <r>
    <d v="2021-08-11T00:00:00"/>
    <x v="318"/>
    <x v="20"/>
    <x v="0"/>
    <x v="2"/>
    <n v="375.34"/>
    <n v="1"/>
    <n v="18.77"/>
    <x v="7"/>
    <x v="0"/>
  </r>
  <r>
    <d v="2021-08-12T00:00:00"/>
    <x v="345"/>
    <x v="23"/>
    <x v="0"/>
    <x v="3"/>
    <n v="196.21"/>
    <n v="7"/>
    <n v="98.11"/>
    <x v="7"/>
    <x v="0"/>
  </r>
  <r>
    <d v="2021-08-12T00:00:00"/>
    <x v="346"/>
    <x v="3"/>
    <x v="2"/>
    <x v="6"/>
    <n v="806.34"/>
    <n v="8"/>
    <n v="50.4"/>
    <x v="7"/>
    <x v="0"/>
  </r>
  <r>
    <d v="2021-08-12T00:00:00"/>
    <x v="346"/>
    <x v="3"/>
    <x v="1"/>
    <x v="8"/>
    <n v="85.44"/>
    <n v="3"/>
    <n v="31.61"/>
    <x v="7"/>
    <x v="0"/>
  </r>
  <r>
    <d v="2021-08-12T00:00:00"/>
    <x v="347"/>
    <x v="16"/>
    <x v="0"/>
    <x v="0"/>
    <n v="31.1"/>
    <n v="6"/>
    <n v="10.89"/>
    <x v="7"/>
    <x v="0"/>
  </r>
  <r>
    <d v="2021-08-12T00:00:00"/>
    <x v="347"/>
    <x v="16"/>
    <x v="0"/>
    <x v="4"/>
    <n v="47.96"/>
    <n v="5"/>
    <n v="4.2"/>
    <x v="7"/>
    <x v="0"/>
  </r>
  <r>
    <d v="2021-08-12T00:00:00"/>
    <x v="347"/>
    <x v="16"/>
    <x v="2"/>
    <x v="9"/>
    <n v="158.93"/>
    <n v="7"/>
    <n v="41.72"/>
    <x v="7"/>
    <x v="0"/>
  </r>
  <r>
    <d v="2021-08-12T00:00:00"/>
    <x v="347"/>
    <x v="16"/>
    <x v="0"/>
    <x v="12"/>
    <n v="211.25"/>
    <n v="6"/>
    <n v="15.84"/>
    <x v="7"/>
    <x v="0"/>
  </r>
  <r>
    <d v="2021-08-12T00:00:00"/>
    <x v="347"/>
    <x v="16"/>
    <x v="0"/>
    <x v="14"/>
    <n v="5.55"/>
    <n v="2"/>
    <n v="-1.04"/>
    <x v="7"/>
    <x v="0"/>
  </r>
  <r>
    <d v="2021-08-12T00:00:00"/>
    <x v="347"/>
    <x v="16"/>
    <x v="0"/>
    <x v="1"/>
    <n v="2.95"/>
    <n v="1"/>
    <n v="1"/>
    <x v="7"/>
    <x v="0"/>
  </r>
  <r>
    <d v="2021-08-12T00:00:00"/>
    <x v="172"/>
    <x v="4"/>
    <x v="0"/>
    <x v="3"/>
    <n v="14.04"/>
    <n v="3"/>
    <n v="6.74"/>
    <x v="7"/>
    <x v="0"/>
  </r>
  <r>
    <d v="2021-08-12T00:00:00"/>
    <x v="172"/>
    <x v="4"/>
    <x v="2"/>
    <x v="9"/>
    <n v="272.61"/>
    <n v="13"/>
    <n v="98.14"/>
    <x v="7"/>
    <x v="0"/>
  </r>
  <r>
    <d v="2021-08-15T00:00:00"/>
    <x v="348"/>
    <x v="0"/>
    <x v="0"/>
    <x v="3"/>
    <n v="30.96"/>
    <n v="8"/>
    <n v="-52.63"/>
    <x v="7"/>
    <x v="0"/>
  </r>
  <r>
    <d v="2021-08-15T00:00:00"/>
    <x v="349"/>
    <x v="37"/>
    <x v="0"/>
    <x v="3"/>
    <n v="62.94"/>
    <n v="3"/>
    <n v="30.21"/>
    <x v="7"/>
    <x v="0"/>
  </r>
  <r>
    <d v="2021-08-15T00:00:00"/>
    <x v="349"/>
    <x v="16"/>
    <x v="0"/>
    <x v="0"/>
    <n v="91.36"/>
    <n v="5"/>
    <n v="29.69"/>
    <x v="7"/>
    <x v="0"/>
  </r>
  <r>
    <d v="2021-08-15T00:00:00"/>
    <x v="349"/>
    <x v="16"/>
    <x v="0"/>
    <x v="12"/>
    <n v="152.24"/>
    <n v="5"/>
    <n v="17.13"/>
    <x v="7"/>
    <x v="0"/>
  </r>
  <r>
    <d v="2021-08-15T00:00:00"/>
    <x v="12"/>
    <x v="3"/>
    <x v="0"/>
    <x v="12"/>
    <n v="152.91"/>
    <n v="3"/>
    <n v="42.81"/>
    <x v="7"/>
    <x v="0"/>
  </r>
  <r>
    <d v="2021-08-15T00:00:00"/>
    <x v="12"/>
    <x v="3"/>
    <x v="0"/>
    <x v="0"/>
    <n v="92.94"/>
    <n v="3"/>
    <n v="41.82"/>
    <x v="7"/>
    <x v="0"/>
  </r>
  <r>
    <d v="2021-08-15T00:00:00"/>
    <x v="12"/>
    <x v="3"/>
    <x v="0"/>
    <x v="3"/>
    <n v="17.86"/>
    <n v="4"/>
    <n v="6.25"/>
    <x v="7"/>
    <x v="0"/>
  </r>
  <r>
    <d v="2021-08-15T00:00:00"/>
    <x v="12"/>
    <x v="3"/>
    <x v="0"/>
    <x v="3"/>
    <n v="46.44"/>
    <n v="3"/>
    <n v="15.09"/>
    <x v="7"/>
    <x v="0"/>
  </r>
  <r>
    <d v="2021-08-15T00:00:00"/>
    <x v="12"/>
    <x v="3"/>
    <x v="1"/>
    <x v="5"/>
    <n v="195.14"/>
    <n v="4"/>
    <n v="-12.2"/>
    <x v="7"/>
    <x v="0"/>
  </r>
  <r>
    <d v="2021-08-16T00:00:00"/>
    <x v="350"/>
    <x v="2"/>
    <x v="1"/>
    <x v="13"/>
    <n v="853.09"/>
    <n v="6"/>
    <n v="-227.49"/>
    <x v="7"/>
    <x v="0"/>
  </r>
  <r>
    <d v="2021-08-17T00:00:00"/>
    <x v="127"/>
    <x v="0"/>
    <x v="0"/>
    <x v="0"/>
    <n v="15.55"/>
    <n v="3"/>
    <n v="5.44"/>
    <x v="7"/>
    <x v="0"/>
  </r>
  <r>
    <d v="2021-08-17T00:00:00"/>
    <x v="351"/>
    <x v="13"/>
    <x v="0"/>
    <x v="0"/>
    <n v="114.2"/>
    <n v="5"/>
    <n v="52.53"/>
    <x v="7"/>
    <x v="0"/>
  </r>
  <r>
    <d v="2021-08-17T00:00:00"/>
    <x v="351"/>
    <x v="13"/>
    <x v="0"/>
    <x v="3"/>
    <n v="17.96"/>
    <n v="4"/>
    <n v="8.26"/>
    <x v="7"/>
    <x v="0"/>
  </r>
  <r>
    <d v="2021-08-17T00:00:00"/>
    <x v="351"/>
    <x v="13"/>
    <x v="0"/>
    <x v="7"/>
    <n v="12.67"/>
    <n v="7"/>
    <n v="4.5599999999999996"/>
    <x v="7"/>
    <x v="0"/>
  </r>
  <r>
    <d v="2021-08-17T00:00:00"/>
    <x v="351"/>
    <x v="13"/>
    <x v="2"/>
    <x v="9"/>
    <n v="339.96"/>
    <n v="4"/>
    <n v="122.39"/>
    <x v="7"/>
    <x v="0"/>
  </r>
  <r>
    <d v="2021-08-19T00:00:00"/>
    <x v="232"/>
    <x v="10"/>
    <x v="0"/>
    <x v="4"/>
    <n v="10.72"/>
    <n v="2"/>
    <n v="1.74"/>
    <x v="7"/>
    <x v="0"/>
  </r>
  <r>
    <d v="2021-08-19T00:00:00"/>
    <x v="282"/>
    <x v="10"/>
    <x v="0"/>
    <x v="3"/>
    <n v="76.78"/>
    <n v="4"/>
    <n v="-58.86"/>
    <x v="7"/>
    <x v="0"/>
  </r>
  <r>
    <d v="2021-08-19T00:00:00"/>
    <x v="282"/>
    <x v="10"/>
    <x v="0"/>
    <x v="14"/>
    <n v="9.18"/>
    <n v="2"/>
    <n v="1.1499999999999999"/>
    <x v="7"/>
    <x v="0"/>
  </r>
  <r>
    <d v="2021-08-19T00:00:00"/>
    <x v="352"/>
    <x v="13"/>
    <x v="1"/>
    <x v="11"/>
    <n v="638.82000000000005"/>
    <n v="9"/>
    <n v="172.48"/>
    <x v="7"/>
    <x v="0"/>
  </r>
  <r>
    <d v="2021-08-19T00:00:00"/>
    <x v="17"/>
    <x v="3"/>
    <x v="1"/>
    <x v="8"/>
    <n v="289.24"/>
    <n v="7"/>
    <n v="26.03"/>
    <x v="7"/>
    <x v="0"/>
  </r>
  <r>
    <d v="2021-08-19T00:00:00"/>
    <x v="17"/>
    <x v="3"/>
    <x v="0"/>
    <x v="3"/>
    <n v="69.459999999999994"/>
    <n v="2"/>
    <n v="22.57"/>
    <x v="7"/>
    <x v="0"/>
  </r>
  <r>
    <d v="2021-08-19T00:00:00"/>
    <x v="183"/>
    <x v="4"/>
    <x v="0"/>
    <x v="2"/>
    <n v="344.91"/>
    <n v="3"/>
    <n v="10.35"/>
    <x v="7"/>
    <x v="0"/>
  </r>
  <r>
    <d v="2021-08-20T00:00:00"/>
    <x v="353"/>
    <x v="1"/>
    <x v="1"/>
    <x v="5"/>
    <n v="421.37"/>
    <n v="2"/>
    <n v="-6.02"/>
    <x v="7"/>
    <x v="0"/>
  </r>
  <r>
    <d v="2021-08-20T00:00:00"/>
    <x v="317"/>
    <x v="6"/>
    <x v="1"/>
    <x v="5"/>
    <n v="500.24"/>
    <n v="13"/>
    <n v="145.07"/>
    <x v="7"/>
    <x v="0"/>
  </r>
  <r>
    <d v="2021-08-20T00:00:00"/>
    <x v="317"/>
    <x v="6"/>
    <x v="0"/>
    <x v="0"/>
    <n v="20.12"/>
    <n v="2"/>
    <n v="9.26"/>
    <x v="7"/>
    <x v="0"/>
  </r>
  <r>
    <d v="2021-08-20T00:00:00"/>
    <x v="317"/>
    <x v="6"/>
    <x v="0"/>
    <x v="3"/>
    <n v="896.99"/>
    <n v="1"/>
    <n v="421.59"/>
    <x v="7"/>
    <x v="0"/>
  </r>
  <r>
    <d v="2021-08-22T00:00:00"/>
    <x v="354"/>
    <x v="10"/>
    <x v="0"/>
    <x v="4"/>
    <n v="3.91"/>
    <n v="1"/>
    <n v="1.03"/>
    <x v="7"/>
    <x v="0"/>
  </r>
  <r>
    <d v="2021-08-22T00:00:00"/>
    <x v="355"/>
    <x v="16"/>
    <x v="0"/>
    <x v="14"/>
    <n v="7.63"/>
    <n v="3"/>
    <n v="-1.81"/>
    <x v="7"/>
    <x v="0"/>
  </r>
  <r>
    <d v="2021-08-22T00:00:00"/>
    <x v="259"/>
    <x v="24"/>
    <x v="0"/>
    <x v="0"/>
    <n v="11.56"/>
    <n v="2"/>
    <n v="5.66"/>
    <x v="7"/>
    <x v="0"/>
  </r>
  <r>
    <d v="2021-08-23T00:00:00"/>
    <x v="356"/>
    <x v="20"/>
    <x v="0"/>
    <x v="0"/>
    <n v="25.92"/>
    <n v="4"/>
    <n v="12.44"/>
    <x v="7"/>
    <x v="0"/>
  </r>
  <r>
    <d v="2021-08-23T00:00:00"/>
    <x v="356"/>
    <x v="20"/>
    <x v="0"/>
    <x v="0"/>
    <n v="45.92"/>
    <n v="4"/>
    <n v="22.5"/>
    <x v="7"/>
    <x v="0"/>
  </r>
  <r>
    <d v="2021-08-23T00:00:00"/>
    <x v="357"/>
    <x v="3"/>
    <x v="0"/>
    <x v="3"/>
    <n v="49.57"/>
    <n v="2"/>
    <n v="17.350000000000001"/>
    <x v="7"/>
    <x v="0"/>
  </r>
  <r>
    <d v="2021-08-23T00:00:00"/>
    <x v="358"/>
    <x v="26"/>
    <x v="0"/>
    <x v="0"/>
    <n v="15.55"/>
    <n v="3"/>
    <n v="5.44"/>
    <x v="7"/>
    <x v="0"/>
  </r>
  <r>
    <d v="2021-08-23T00:00:00"/>
    <x v="358"/>
    <x v="26"/>
    <x v="0"/>
    <x v="14"/>
    <n v="6.8"/>
    <n v="1"/>
    <n v="0.51"/>
    <x v="7"/>
    <x v="0"/>
  </r>
  <r>
    <d v="2021-08-23T00:00:00"/>
    <x v="358"/>
    <x v="26"/>
    <x v="1"/>
    <x v="8"/>
    <n v="4.22"/>
    <n v="3"/>
    <n v="1.27"/>
    <x v="7"/>
    <x v="0"/>
  </r>
  <r>
    <d v="2021-08-23T00:00:00"/>
    <x v="358"/>
    <x v="26"/>
    <x v="2"/>
    <x v="6"/>
    <n v="143.63999999999999"/>
    <n v="9"/>
    <n v="10.77"/>
    <x v="7"/>
    <x v="0"/>
  </r>
  <r>
    <d v="2021-08-23T00:00:00"/>
    <x v="358"/>
    <x v="26"/>
    <x v="0"/>
    <x v="0"/>
    <n v="31.1"/>
    <n v="6"/>
    <n v="10.89"/>
    <x v="7"/>
    <x v="0"/>
  </r>
  <r>
    <d v="2021-08-23T00:00:00"/>
    <x v="358"/>
    <x v="26"/>
    <x v="0"/>
    <x v="0"/>
    <n v="223.06"/>
    <n v="9"/>
    <n v="69.709999999999994"/>
    <x v="7"/>
    <x v="0"/>
  </r>
  <r>
    <d v="2021-08-23T00:00:00"/>
    <x v="234"/>
    <x v="14"/>
    <x v="0"/>
    <x v="0"/>
    <n v="19.440000000000001"/>
    <n v="3"/>
    <n v="9.5299999999999994"/>
    <x v="7"/>
    <x v="0"/>
  </r>
  <r>
    <d v="2021-08-24T00:00:00"/>
    <x v="357"/>
    <x v="35"/>
    <x v="0"/>
    <x v="3"/>
    <n v="8.2899999999999991"/>
    <n v="2"/>
    <n v="2.69"/>
    <x v="7"/>
    <x v="0"/>
  </r>
  <r>
    <d v="2021-08-24T00:00:00"/>
    <x v="359"/>
    <x v="20"/>
    <x v="1"/>
    <x v="8"/>
    <n v="13.28"/>
    <n v="2"/>
    <n v="6.37"/>
    <x v="7"/>
    <x v="0"/>
  </r>
  <r>
    <d v="2021-08-24T00:00:00"/>
    <x v="359"/>
    <x v="20"/>
    <x v="0"/>
    <x v="3"/>
    <n v="12.67"/>
    <n v="3"/>
    <n v="4.4400000000000004"/>
    <x v="7"/>
    <x v="0"/>
  </r>
  <r>
    <d v="2021-08-24T00:00:00"/>
    <x v="360"/>
    <x v="5"/>
    <x v="0"/>
    <x v="14"/>
    <n v="25.5"/>
    <n v="3"/>
    <n v="6.63"/>
    <x v="7"/>
    <x v="0"/>
  </r>
  <r>
    <d v="2021-08-25T00:00:00"/>
    <x v="361"/>
    <x v="10"/>
    <x v="0"/>
    <x v="7"/>
    <n v="40.1"/>
    <n v="14"/>
    <n v="14.53"/>
    <x v="7"/>
    <x v="0"/>
  </r>
  <r>
    <d v="2021-08-25T00:00:00"/>
    <x v="361"/>
    <x v="10"/>
    <x v="0"/>
    <x v="10"/>
    <n v="4.72"/>
    <n v="2"/>
    <n v="1.65"/>
    <x v="7"/>
    <x v="0"/>
  </r>
  <r>
    <d v="2021-08-25T00:00:00"/>
    <x v="361"/>
    <x v="10"/>
    <x v="0"/>
    <x v="0"/>
    <n v="23.98"/>
    <n v="3"/>
    <n v="7.49"/>
    <x v="7"/>
    <x v="0"/>
  </r>
  <r>
    <d v="2021-08-25T00:00:00"/>
    <x v="361"/>
    <x v="10"/>
    <x v="0"/>
    <x v="10"/>
    <n v="130.46"/>
    <n v="6"/>
    <n v="44.03"/>
    <x v="7"/>
    <x v="0"/>
  </r>
  <r>
    <d v="2021-08-25T00:00:00"/>
    <x v="362"/>
    <x v="3"/>
    <x v="1"/>
    <x v="8"/>
    <n v="6.28"/>
    <n v="1"/>
    <n v="2.64"/>
    <x v="7"/>
    <x v="0"/>
  </r>
  <r>
    <d v="2021-08-25T00:00:00"/>
    <x v="362"/>
    <x v="3"/>
    <x v="2"/>
    <x v="9"/>
    <n v="95.1"/>
    <n v="5"/>
    <n v="30.43"/>
    <x v="7"/>
    <x v="0"/>
  </r>
  <r>
    <d v="2021-08-25T00:00:00"/>
    <x v="362"/>
    <x v="3"/>
    <x v="0"/>
    <x v="0"/>
    <n v="25.92"/>
    <n v="4"/>
    <n v="12.44"/>
    <x v="7"/>
    <x v="0"/>
  </r>
  <r>
    <d v="2021-08-25T00:00:00"/>
    <x v="362"/>
    <x v="3"/>
    <x v="0"/>
    <x v="2"/>
    <n v="48.84"/>
    <n v="4"/>
    <n v="13.19"/>
    <x v="7"/>
    <x v="0"/>
  </r>
  <r>
    <d v="2021-08-25T00:00:00"/>
    <x v="363"/>
    <x v="22"/>
    <x v="2"/>
    <x v="6"/>
    <n v="1007.94"/>
    <n v="7"/>
    <n v="75.599999999999994"/>
    <x v="7"/>
    <x v="0"/>
  </r>
  <r>
    <d v="2021-08-25T00:00:00"/>
    <x v="364"/>
    <x v="0"/>
    <x v="0"/>
    <x v="3"/>
    <n v="25.68"/>
    <n v="3"/>
    <n v="-39.799999999999997"/>
    <x v="7"/>
    <x v="0"/>
  </r>
  <r>
    <d v="2021-08-25T00:00:00"/>
    <x v="364"/>
    <x v="0"/>
    <x v="0"/>
    <x v="3"/>
    <n v="12.38"/>
    <n v="3"/>
    <n v="-19.809999999999999"/>
    <x v="7"/>
    <x v="0"/>
  </r>
  <r>
    <d v="2021-08-25T00:00:00"/>
    <x v="14"/>
    <x v="10"/>
    <x v="0"/>
    <x v="3"/>
    <n v="6.53"/>
    <n v="4"/>
    <n v="-4.57"/>
    <x v="7"/>
    <x v="0"/>
  </r>
  <r>
    <d v="2021-08-25T00:00:00"/>
    <x v="14"/>
    <x v="10"/>
    <x v="0"/>
    <x v="3"/>
    <n v="2.86"/>
    <n v="3"/>
    <n v="-2.29"/>
    <x v="7"/>
    <x v="0"/>
  </r>
  <r>
    <d v="2021-08-25T00:00:00"/>
    <x v="14"/>
    <x v="10"/>
    <x v="0"/>
    <x v="3"/>
    <n v="20.86"/>
    <n v="8"/>
    <n v="-16.68"/>
    <x v="7"/>
    <x v="0"/>
  </r>
  <r>
    <d v="2021-08-26T00:00:00"/>
    <x v="365"/>
    <x v="3"/>
    <x v="2"/>
    <x v="9"/>
    <n v="176.8"/>
    <n v="8"/>
    <n v="22.98"/>
    <x v="7"/>
    <x v="0"/>
  </r>
  <r>
    <d v="2021-08-26T00:00:00"/>
    <x v="366"/>
    <x v="7"/>
    <x v="1"/>
    <x v="8"/>
    <n v="10.68"/>
    <n v="4"/>
    <n v="4.0599999999999996"/>
    <x v="7"/>
    <x v="0"/>
  </r>
  <r>
    <d v="2021-08-26T00:00:00"/>
    <x v="366"/>
    <x v="7"/>
    <x v="0"/>
    <x v="0"/>
    <n v="17.34"/>
    <n v="3"/>
    <n v="8.5"/>
    <x v="7"/>
    <x v="0"/>
  </r>
  <r>
    <d v="2021-08-26T00:00:00"/>
    <x v="366"/>
    <x v="7"/>
    <x v="0"/>
    <x v="0"/>
    <n v="3.38"/>
    <n v="1"/>
    <n v="1.55"/>
    <x v="7"/>
    <x v="0"/>
  </r>
  <r>
    <d v="2021-08-26T00:00:00"/>
    <x v="367"/>
    <x v="7"/>
    <x v="0"/>
    <x v="4"/>
    <n v="8.64"/>
    <n v="3"/>
    <n v="2.5099999999999998"/>
    <x v="7"/>
    <x v="0"/>
  </r>
  <r>
    <d v="2021-08-26T00:00:00"/>
    <x v="367"/>
    <x v="7"/>
    <x v="2"/>
    <x v="9"/>
    <n v="149.97"/>
    <n v="3"/>
    <n v="52.49"/>
    <x v="7"/>
    <x v="0"/>
  </r>
  <r>
    <d v="2021-08-27T00:00:00"/>
    <x v="368"/>
    <x v="3"/>
    <x v="0"/>
    <x v="4"/>
    <n v="8.56"/>
    <n v="2"/>
    <n v="2.48"/>
    <x v="7"/>
    <x v="0"/>
  </r>
  <r>
    <d v="2021-08-27T00:00:00"/>
    <x v="368"/>
    <x v="3"/>
    <x v="2"/>
    <x v="6"/>
    <n v="213.48"/>
    <n v="3"/>
    <n v="16.010000000000002"/>
    <x v="7"/>
    <x v="0"/>
  </r>
  <r>
    <d v="2021-08-27T00:00:00"/>
    <x v="368"/>
    <x v="3"/>
    <x v="0"/>
    <x v="3"/>
    <n v="22.72"/>
    <n v="4"/>
    <n v="7.38"/>
    <x v="7"/>
    <x v="0"/>
  </r>
  <r>
    <d v="2021-08-27T00:00:00"/>
    <x v="369"/>
    <x v="6"/>
    <x v="2"/>
    <x v="6"/>
    <n v="579.95000000000005"/>
    <n v="5"/>
    <n v="168.19"/>
    <x v="7"/>
    <x v="0"/>
  </r>
  <r>
    <d v="2021-08-27T00:00:00"/>
    <x v="369"/>
    <x v="6"/>
    <x v="1"/>
    <x v="8"/>
    <n v="29.12"/>
    <n v="4"/>
    <n v="12.52"/>
    <x v="7"/>
    <x v="0"/>
  </r>
  <r>
    <d v="2021-08-27T00:00:00"/>
    <x v="369"/>
    <x v="6"/>
    <x v="1"/>
    <x v="13"/>
    <n v="1202.94"/>
    <n v="3"/>
    <n v="300.74"/>
    <x v="7"/>
    <x v="0"/>
  </r>
  <r>
    <d v="2021-08-27T00:00:00"/>
    <x v="13"/>
    <x v="6"/>
    <x v="0"/>
    <x v="0"/>
    <n v="13.36"/>
    <n v="2"/>
    <n v="6.41"/>
    <x v="7"/>
    <x v="0"/>
  </r>
  <r>
    <d v="2021-08-29T00:00:00"/>
    <x v="370"/>
    <x v="3"/>
    <x v="0"/>
    <x v="0"/>
    <n v="109.92"/>
    <n v="2"/>
    <n v="53.86"/>
    <x v="7"/>
    <x v="0"/>
  </r>
  <r>
    <d v="2021-08-29T00:00:00"/>
    <x v="370"/>
    <x v="3"/>
    <x v="0"/>
    <x v="0"/>
    <n v="13.36"/>
    <n v="2"/>
    <n v="6.41"/>
    <x v="7"/>
    <x v="0"/>
  </r>
  <r>
    <d v="2021-08-29T00:00:00"/>
    <x v="371"/>
    <x v="16"/>
    <x v="0"/>
    <x v="10"/>
    <n v="29.81"/>
    <n v="2"/>
    <n v="10.81"/>
    <x v="7"/>
    <x v="0"/>
  </r>
  <r>
    <d v="2021-08-29T00:00:00"/>
    <x v="371"/>
    <x v="16"/>
    <x v="0"/>
    <x v="3"/>
    <n v="505.18"/>
    <n v="4"/>
    <n v="-336.78"/>
    <x v="7"/>
    <x v="0"/>
  </r>
  <r>
    <d v="2021-08-29T00:00:00"/>
    <x v="371"/>
    <x v="16"/>
    <x v="1"/>
    <x v="13"/>
    <n v="174.06"/>
    <n v="3"/>
    <n v="-110.76"/>
    <x v="7"/>
    <x v="0"/>
  </r>
  <r>
    <d v="2021-08-30T00:00:00"/>
    <x v="372"/>
    <x v="37"/>
    <x v="0"/>
    <x v="3"/>
    <n v="25.3"/>
    <n v="5"/>
    <n v="11.89"/>
    <x v="7"/>
    <x v="0"/>
  </r>
  <r>
    <d v="2021-08-30T00:00:00"/>
    <x v="372"/>
    <x v="37"/>
    <x v="0"/>
    <x v="2"/>
    <n v="95.94"/>
    <n v="3"/>
    <n v="9.59"/>
    <x v="7"/>
    <x v="0"/>
  </r>
  <r>
    <d v="2021-08-31T00:00:00"/>
    <x v="373"/>
    <x v="31"/>
    <x v="2"/>
    <x v="9"/>
    <n v="92.52"/>
    <n v="9"/>
    <n v="18.5"/>
    <x v="7"/>
    <x v="0"/>
  </r>
  <r>
    <d v="2021-09-01T00:00:00"/>
    <x v="374"/>
    <x v="3"/>
    <x v="0"/>
    <x v="4"/>
    <n v="53.94"/>
    <n v="3"/>
    <n v="15.64"/>
    <x v="8"/>
    <x v="0"/>
  </r>
  <r>
    <d v="2021-09-01T00:00:00"/>
    <x v="304"/>
    <x v="0"/>
    <x v="0"/>
    <x v="3"/>
    <n v="3.65"/>
    <n v="3"/>
    <n v="-6.02"/>
    <x v="8"/>
    <x v="0"/>
  </r>
  <r>
    <d v="2021-09-01T00:00:00"/>
    <x v="304"/>
    <x v="0"/>
    <x v="0"/>
    <x v="0"/>
    <n v="31.1"/>
    <n v="6"/>
    <n v="10.89"/>
    <x v="8"/>
    <x v="0"/>
  </r>
  <r>
    <d v="2021-09-01T00:00:00"/>
    <x v="352"/>
    <x v="20"/>
    <x v="0"/>
    <x v="3"/>
    <n v="23.74"/>
    <n v="2"/>
    <n v="8.31"/>
    <x v="8"/>
    <x v="0"/>
  </r>
  <r>
    <d v="2021-09-01T00:00:00"/>
    <x v="352"/>
    <x v="20"/>
    <x v="2"/>
    <x v="9"/>
    <n v="357"/>
    <n v="3"/>
    <n v="57.12"/>
    <x v="8"/>
    <x v="0"/>
  </r>
  <r>
    <d v="2021-09-02T00:00:00"/>
    <x v="176"/>
    <x v="20"/>
    <x v="0"/>
    <x v="12"/>
    <n v="19.899999999999999"/>
    <n v="1"/>
    <n v="8.9600000000000009"/>
    <x v="8"/>
    <x v="0"/>
  </r>
  <r>
    <d v="2021-09-02T00:00:00"/>
    <x v="176"/>
    <x v="20"/>
    <x v="1"/>
    <x v="8"/>
    <n v="70.709999999999994"/>
    <n v="1"/>
    <n v="4.95"/>
    <x v="8"/>
    <x v="0"/>
  </r>
  <r>
    <d v="2021-09-02T00:00:00"/>
    <x v="68"/>
    <x v="20"/>
    <x v="0"/>
    <x v="4"/>
    <n v="21.24"/>
    <n v="3"/>
    <n v="8.07"/>
    <x v="8"/>
    <x v="0"/>
  </r>
  <r>
    <d v="2021-09-02T00:00:00"/>
    <x v="375"/>
    <x v="20"/>
    <x v="0"/>
    <x v="4"/>
    <n v="57.75"/>
    <n v="5"/>
    <n v="16.170000000000002"/>
    <x v="8"/>
    <x v="0"/>
  </r>
  <r>
    <d v="2021-09-02T00:00:00"/>
    <x v="375"/>
    <x v="20"/>
    <x v="0"/>
    <x v="0"/>
    <n v="14.94"/>
    <n v="3"/>
    <n v="7.02"/>
    <x v="8"/>
    <x v="0"/>
  </r>
  <r>
    <d v="2021-09-02T00:00:00"/>
    <x v="107"/>
    <x v="1"/>
    <x v="2"/>
    <x v="9"/>
    <n v="239.98"/>
    <n v="3"/>
    <n v="53.99"/>
    <x v="8"/>
    <x v="0"/>
  </r>
  <r>
    <d v="2021-09-02T00:00:00"/>
    <x v="340"/>
    <x v="0"/>
    <x v="2"/>
    <x v="15"/>
    <n v="559.71"/>
    <n v="3"/>
    <n v="-121.27"/>
    <x v="8"/>
    <x v="0"/>
  </r>
  <r>
    <d v="2021-09-02T00:00:00"/>
    <x v="42"/>
    <x v="13"/>
    <x v="0"/>
    <x v="3"/>
    <n v="1793.98"/>
    <n v="2"/>
    <n v="843.17"/>
    <x v="8"/>
    <x v="0"/>
  </r>
  <r>
    <d v="2021-09-02T00:00:00"/>
    <x v="240"/>
    <x v="1"/>
    <x v="2"/>
    <x v="9"/>
    <n v="475.94"/>
    <n v="7"/>
    <n v="95.19"/>
    <x v="8"/>
    <x v="0"/>
  </r>
  <r>
    <d v="2021-09-03T00:00:00"/>
    <x v="156"/>
    <x v="20"/>
    <x v="0"/>
    <x v="1"/>
    <n v="14.4"/>
    <n v="5"/>
    <n v="7.06"/>
    <x v="8"/>
    <x v="0"/>
  </r>
  <r>
    <d v="2021-09-03T00:00:00"/>
    <x v="376"/>
    <x v="0"/>
    <x v="0"/>
    <x v="3"/>
    <n v="7.68"/>
    <n v="5"/>
    <n v="-11.52"/>
    <x v="8"/>
    <x v="0"/>
  </r>
  <r>
    <d v="2021-09-05T00:00:00"/>
    <x v="377"/>
    <x v="10"/>
    <x v="0"/>
    <x v="2"/>
    <n v="264.32"/>
    <n v="2"/>
    <n v="19.82"/>
    <x v="8"/>
    <x v="0"/>
  </r>
  <r>
    <d v="2021-09-05T00:00:00"/>
    <x v="378"/>
    <x v="16"/>
    <x v="1"/>
    <x v="8"/>
    <n v="31.98"/>
    <n v="2"/>
    <n v="2"/>
    <x v="8"/>
    <x v="0"/>
  </r>
  <r>
    <d v="2021-09-06T00:00:00"/>
    <x v="379"/>
    <x v="3"/>
    <x v="1"/>
    <x v="8"/>
    <n v="41.88"/>
    <n v="6"/>
    <n v="12.15"/>
    <x v="8"/>
    <x v="0"/>
  </r>
  <r>
    <d v="2021-09-06T00:00:00"/>
    <x v="379"/>
    <x v="3"/>
    <x v="0"/>
    <x v="1"/>
    <n v="58.48"/>
    <n v="8"/>
    <n v="27.49"/>
    <x v="8"/>
    <x v="0"/>
  </r>
  <r>
    <d v="2021-09-07T00:00:00"/>
    <x v="191"/>
    <x v="2"/>
    <x v="0"/>
    <x v="2"/>
    <n v="64.78"/>
    <n v="1"/>
    <n v="-14.58"/>
    <x v="8"/>
    <x v="0"/>
  </r>
  <r>
    <d v="2021-09-07T00:00:00"/>
    <x v="191"/>
    <x v="2"/>
    <x v="2"/>
    <x v="6"/>
    <n v="32.380000000000003"/>
    <n v="3"/>
    <n v="4.32"/>
    <x v="8"/>
    <x v="0"/>
  </r>
  <r>
    <d v="2021-09-07T00:00:00"/>
    <x v="191"/>
    <x v="2"/>
    <x v="1"/>
    <x v="8"/>
    <n v="42.37"/>
    <n v="2"/>
    <n v="8.4700000000000006"/>
    <x v="8"/>
    <x v="0"/>
  </r>
  <r>
    <d v="2021-09-07T00:00:00"/>
    <x v="191"/>
    <x v="2"/>
    <x v="2"/>
    <x v="15"/>
    <n v="399.54"/>
    <n v="4"/>
    <n v="-559.36"/>
    <x v="8"/>
    <x v="0"/>
  </r>
  <r>
    <d v="2021-09-07T00:00:00"/>
    <x v="23"/>
    <x v="39"/>
    <x v="1"/>
    <x v="8"/>
    <n v="57.69"/>
    <n v="3"/>
    <n v="23.65"/>
    <x v="8"/>
    <x v="0"/>
  </r>
  <r>
    <d v="2021-09-07T00:00:00"/>
    <x v="23"/>
    <x v="39"/>
    <x v="0"/>
    <x v="3"/>
    <n v="42.81"/>
    <n v="3"/>
    <n v="20.12"/>
    <x v="8"/>
    <x v="0"/>
  </r>
  <r>
    <d v="2021-09-07T00:00:00"/>
    <x v="23"/>
    <x v="39"/>
    <x v="0"/>
    <x v="0"/>
    <n v="12.96"/>
    <n v="2"/>
    <n v="6.22"/>
    <x v="8"/>
    <x v="0"/>
  </r>
  <r>
    <d v="2021-09-07T00:00:00"/>
    <x v="23"/>
    <x v="39"/>
    <x v="1"/>
    <x v="8"/>
    <n v="821.88"/>
    <n v="6"/>
    <n v="213.69"/>
    <x v="8"/>
    <x v="0"/>
  </r>
  <r>
    <d v="2021-09-07T00:00:00"/>
    <x v="23"/>
    <x v="39"/>
    <x v="2"/>
    <x v="6"/>
    <n v="104.85"/>
    <n v="3"/>
    <n v="28.31"/>
    <x v="8"/>
    <x v="0"/>
  </r>
  <r>
    <d v="2021-09-07T00:00:00"/>
    <x v="380"/>
    <x v="20"/>
    <x v="2"/>
    <x v="6"/>
    <n v="377.97"/>
    <n v="3"/>
    <n v="109.61"/>
    <x v="8"/>
    <x v="0"/>
  </r>
  <r>
    <d v="2021-09-07T00:00:00"/>
    <x v="381"/>
    <x v="0"/>
    <x v="2"/>
    <x v="6"/>
    <n v="196.78"/>
    <n v="3"/>
    <n v="14.76"/>
    <x v="8"/>
    <x v="0"/>
  </r>
  <r>
    <d v="2021-09-07T00:00:00"/>
    <x v="381"/>
    <x v="0"/>
    <x v="0"/>
    <x v="3"/>
    <n v="2.92"/>
    <n v="2"/>
    <n v="-4.82"/>
    <x v="8"/>
    <x v="0"/>
  </r>
  <r>
    <d v="2021-09-07T00:00:00"/>
    <x v="381"/>
    <x v="0"/>
    <x v="1"/>
    <x v="13"/>
    <n v="200.8"/>
    <n v="1"/>
    <n v="-22.95"/>
    <x v="8"/>
    <x v="0"/>
  </r>
  <r>
    <d v="2021-09-07T00:00:00"/>
    <x v="381"/>
    <x v="0"/>
    <x v="2"/>
    <x v="9"/>
    <n v="46.69"/>
    <n v="4"/>
    <n v="-2.92"/>
    <x v="8"/>
    <x v="0"/>
  </r>
  <r>
    <d v="2021-09-07T00:00:00"/>
    <x v="381"/>
    <x v="0"/>
    <x v="0"/>
    <x v="4"/>
    <n v="21.86"/>
    <n v="3"/>
    <n v="3.55"/>
    <x v="8"/>
    <x v="0"/>
  </r>
  <r>
    <d v="2021-09-07T00:00:00"/>
    <x v="81"/>
    <x v="39"/>
    <x v="1"/>
    <x v="13"/>
    <n v="429.9"/>
    <n v="5"/>
    <n v="111.77"/>
    <x v="8"/>
    <x v="0"/>
  </r>
  <r>
    <d v="2021-09-07T00:00:00"/>
    <x v="81"/>
    <x v="39"/>
    <x v="0"/>
    <x v="3"/>
    <n v="32.06"/>
    <n v="2"/>
    <n v="15.39"/>
    <x v="8"/>
    <x v="0"/>
  </r>
  <r>
    <d v="2021-09-07T00:00:00"/>
    <x v="81"/>
    <x v="39"/>
    <x v="1"/>
    <x v="5"/>
    <n v="161.96"/>
    <n v="2"/>
    <n v="45.35"/>
    <x v="8"/>
    <x v="0"/>
  </r>
  <r>
    <d v="2021-09-07T00:00:00"/>
    <x v="81"/>
    <x v="39"/>
    <x v="0"/>
    <x v="2"/>
    <n v="19.86"/>
    <n v="2"/>
    <n v="5.76"/>
    <x v="8"/>
    <x v="0"/>
  </r>
  <r>
    <d v="2021-09-07T00:00:00"/>
    <x v="382"/>
    <x v="3"/>
    <x v="0"/>
    <x v="14"/>
    <n v="27.36"/>
    <n v="4"/>
    <n v="7.39"/>
    <x v="8"/>
    <x v="0"/>
  </r>
  <r>
    <d v="2021-09-07T00:00:00"/>
    <x v="382"/>
    <x v="3"/>
    <x v="0"/>
    <x v="0"/>
    <n v="20.56"/>
    <n v="2"/>
    <n v="9.66"/>
    <x v="8"/>
    <x v="0"/>
  </r>
  <r>
    <d v="2021-09-07T00:00:00"/>
    <x v="382"/>
    <x v="3"/>
    <x v="0"/>
    <x v="3"/>
    <n v="83.92"/>
    <n v="5"/>
    <n v="31.47"/>
    <x v="8"/>
    <x v="0"/>
  </r>
  <r>
    <d v="2021-09-07T00:00:00"/>
    <x v="228"/>
    <x v="1"/>
    <x v="0"/>
    <x v="7"/>
    <n v="13.16"/>
    <n v="5"/>
    <n v="4.1100000000000003"/>
    <x v="8"/>
    <x v="0"/>
  </r>
  <r>
    <d v="2021-09-07T00:00:00"/>
    <x v="228"/>
    <x v="1"/>
    <x v="0"/>
    <x v="3"/>
    <n v="3.83"/>
    <n v="3"/>
    <n v="-6.51"/>
    <x v="8"/>
    <x v="0"/>
  </r>
  <r>
    <d v="2021-09-07T00:00:00"/>
    <x v="228"/>
    <x v="1"/>
    <x v="0"/>
    <x v="3"/>
    <n v="304.99"/>
    <n v="5"/>
    <n v="-533.73"/>
    <x v="8"/>
    <x v="0"/>
  </r>
  <r>
    <d v="2021-09-08T00:00:00"/>
    <x v="383"/>
    <x v="0"/>
    <x v="0"/>
    <x v="4"/>
    <n v="9.94"/>
    <n v="3"/>
    <n v="2.73"/>
    <x v="8"/>
    <x v="0"/>
  </r>
  <r>
    <d v="2021-09-08T00:00:00"/>
    <x v="383"/>
    <x v="0"/>
    <x v="2"/>
    <x v="15"/>
    <n v="8159.95"/>
    <n v="8"/>
    <n v="-1359.99"/>
    <x v="8"/>
    <x v="0"/>
  </r>
  <r>
    <d v="2021-09-08T00:00:00"/>
    <x v="383"/>
    <x v="0"/>
    <x v="0"/>
    <x v="2"/>
    <n v="275.93"/>
    <n v="3"/>
    <n v="-58.63"/>
    <x v="8"/>
    <x v="0"/>
  </r>
  <r>
    <d v="2021-09-08T00:00:00"/>
    <x v="383"/>
    <x v="0"/>
    <x v="1"/>
    <x v="5"/>
    <n v="1740.06"/>
    <n v="9"/>
    <n v="-24.86"/>
    <x v="8"/>
    <x v="0"/>
  </r>
  <r>
    <d v="2021-09-08T00:00:00"/>
    <x v="383"/>
    <x v="0"/>
    <x v="0"/>
    <x v="4"/>
    <n v="32.06"/>
    <n v="6"/>
    <n v="6.81"/>
    <x v="8"/>
    <x v="0"/>
  </r>
  <r>
    <d v="2021-09-08T00:00:00"/>
    <x v="383"/>
    <x v="0"/>
    <x v="0"/>
    <x v="12"/>
    <n v="177.98"/>
    <n v="5"/>
    <n v="-453.85"/>
    <x v="8"/>
    <x v="0"/>
  </r>
  <r>
    <d v="2021-09-08T00:00:00"/>
    <x v="383"/>
    <x v="0"/>
    <x v="2"/>
    <x v="6"/>
    <n v="143.97999999999999"/>
    <n v="3"/>
    <n v="9"/>
    <x v="8"/>
    <x v="0"/>
  </r>
  <r>
    <d v="2021-09-08T00:00:00"/>
    <x v="333"/>
    <x v="3"/>
    <x v="2"/>
    <x v="9"/>
    <n v="49.98"/>
    <n v="2"/>
    <n v="8.5"/>
    <x v="8"/>
    <x v="0"/>
  </r>
  <r>
    <d v="2021-09-08T00:00:00"/>
    <x v="384"/>
    <x v="0"/>
    <x v="0"/>
    <x v="3"/>
    <n v="51.18"/>
    <n v="4"/>
    <n v="-79.34"/>
    <x v="8"/>
    <x v="0"/>
  </r>
  <r>
    <d v="2021-09-08T00:00:00"/>
    <x v="385"/>
    <x v="4"/>
    <x v="2"/>
    <x v="9"/>
    <n v="32.97"/>
    <n v="3"/>
    <n v="12.86"/>
    <x v="8"/>
    <x v="0"/>
  </r>
  <r>
    <d v="2021-09-08T00:00:00"/>
    <x v="385"/>
    <x v="4"/>
    <x v="2"/>
    <x v="9"/>
    <n v="83.88"/>
    <n v="4"/>
    <n v="30.2"/>
    <x v="8"/>
    <x v="0"/>
  </r>
  <r>
    <d v="2021-09-08T00:00:00"/>
    <x v="285"/>
    <x v="3"/>
    <x v="0"/>
    <x v="12"/>
    <n v="56.65"/>
    <n v="5"/>
    <n v="24.36"/>
    <x v="8"/>
    <x v="0"/>
  </r>
  <r>
    <d v="2021-09-08T00:00:00"/>
    <x v="285"/>
    <x v="3"/>
    <x v="0"/>
    <x v="2"/>
    <n v="14.97"/>
    <n v="1"/>
    <n v="4.1900000000000004"/>
    <x v="8"/>
    <x v="0"/>
  </r>
  <r>
    <d v="2021-09-08T00:00:00"/>
    <x v="285"/>
    <x v="3"/>
    <x v="0"/>
    <x v="7"/>
    <n v="4.0199999999999996"/>
    <n v="2"/>
    <n v="1.97"/>
    <x v="8"/>
    <x v="0"/>
  </r>
  <r>
    <d v="2021-09-08T00:00:00"/>
    <x v="207"/>
    <x v="6"/>
    <x v="0"/>
    <x v="7"/>
    <n v="45"/>
    <n v="9"/>
    <n v="21.6"/>
    <x v="8"/>
    <x v="0"/>
  </r>
  <r>
    <d v="2021-09-08T00:00:00"/>
    <x v="207"/>
    <x v="6"/>
    <x v="2"/>
    <x v="15"/>
    <n v="209.97"/>
    <n v="3"/>
    <n v="90.29"/>
    <x v="8"/>
    <x v="0"/>
  </r>
  <r>
    <d v="2021-09-08T00:00:00"/>
    <x v="386"/>
    <x v="20"/>
    <x v="0"/>
    <x v="12"/>
    <n v="16.78"/>
    <n v="2"/>
    <n v="4.2"/>
    <x v="8"/>
    <x v="0"/>
  </r>
  <r>
    <d v="2021-09-08T00:00:00"/>
    <x v="387"/>
    <x v="22"/>
    <x v="0"/>
    <x v="4"/>
    <n v="5.88"/>
    <n v="2"/>
    <n v="2.65"/>
    <x v="8"/>
    <x v="0"/>
  </r>
  <r>
    <d v="2021-09-08T00:00:00"/>
    <x v="387"/>
    <x v="22"/>
    <x v="1"/>
    <x v="5"/>
    <n v="975.92"/>
    <n v="5"/>
    <n v="121.99"/>
    <x v="8"/>
    <x v="0"/>
  </r>
  <r>
    <d v="2021-09-08T00:00:00"/>
    <x v="387"/>
    <x v="22"/>
    <x v="0"/>
    <x v="4"/>
    <n v="303.83999999999997"/>
    <n v="8"/>
    <n v="91.15"/>
    <x v="8"/>
    <x v="0"/>
  </r>
  <r>
    <d v="2021-09-08T00:00:00"/>
    <x v="387"/>
    <x v="22"/>
    <x v="0"/>
    <x v="2"/>
    <n v="485.88"/>
    <n v="6"/>
    <n v="19.440000000000001"/>
    <x v="8"/>
    <x v="0"/>
  </r>
  <r>
    <d v="2021-09-08T00:00:00"/>
    <x v="388"/>
    <x v="0"/>
    <x v="0"/>
    <x v="0"/>
    <n v="17.899999999999999"/>
    <n v="2"/>
    <n v="6.27"/>
    <x v="8"/>
    <x v="0"/>
  </r>
  <r>
    <d v="2021-09-08T00:00:00"/>
    <x v="388"/>
    <x v="0"/>
    <x v="1"/>
    <x v="5"/>
    <n v="966.7"/>
    <n v="5"/>
    <n v="-13.81"/>
    <x v="8"/>
    <x v="0"/>
  </r>
  <r>
    <d v="2021-09-08T00:00:00"/>
    <x v="388"/>
    <x v="0"/>
    <x v="0"/>
    <x v="0"/>
    <n v="182.11"/>
    <n v="6"/>
    <n v="61.46"/>
    <x v="8"/>
    <x v="0"/>
  </r>
  <r>
    <d v="2021-09-08T00:00:00"/>
    <x v="367"/>
    <x v="20"/>
    <x v="1"/>
    <x v="5"/>
    <n v="172.76"/>
    <n v="2"/>
    <n v="13.44"/>
    <x v="8"/>
    <x v="0"/>
  </r>
  <r>
    <d v="2021-09-08T00:00:00"/>
    <x v="367"/>
    <x v="20"/>
    <x v="0"/>
    <x v="4"/>
    <n v="3.52"/>
    <n v="2"/>
    <n v="1.69"/>
    <x v="8"/>
    <x v="0"/>
  </r>
  <r>
    <d v="2021-09-08T00:00:00"/>
    <x v="18"/>
    <x v="3"/>
    <x v="0"/>
    <x v="3"/>
    <n v="8.61"/>
    <n v="2"/>
    <n v="3.01"/>
    <x v="8"/>
    <x v="0"/>
  </r>
  <r>
    <d v="2021-09-09T00:00:00"/>
    <x v="389"/>
    <x v="14"/>
    <x v="0"/>
    <x v="1"/>
    <n v="103.6"/>
    <n v="7"/>
    <n v="51.8"/>
    <x v="8"/>
    <x v="0"/>
  </r>
  <r>
    <d v="2021-09-09T00:00:00"/>
    <x v="390"/>
    <x v="32"/>
    <x v="0"/>
    <x v="0"/>
    <n v="166.44"/>
    <n v="3"/>
    <n v="79.89"/>
    <x v="8"/>
    <x v="0"/>
  </r>
  <r>
    <d v="2021-09-09T00:00:00"/>
    <x v="390"/>
    <x v="32"/>
    <x v="1"/>
    <x v="5"/>
    <n v="785.88"/>
    <n v="6"/>
    <n v="212.19"/>
    <x v="8"/>
    <x v="0"/>
  </r>
  <r>
    <d v="2021-09-09T00:00:00"/>
    <x v="390"/>
    <x v="32"/>
    <x v="0"/>
    <x v="0"/>
    <n v="26.2"/>
    <n v="2"/>
    <n v="12.84"/>
    <x v="8"/>
    <x v="0"/>
  </r>
  <r>
    <d v="2021-09-09T00:00:00"/>
    <x v="390"/>
    <x v="32"/>
    <x v="0"/>
    <x v="2"/>
    <n v="1325.85"/>
    <n v="5"/>
    <n v="238.65"/>
    <x v="8"/>
    <x v="0"/>
  </r>
  <r>
    <d v="2021-09-09T00:00:00"/>
    <x v="391"/>
    <x v="2"/>
    <x v="0"/>
    <x v="0"/>
    <n v="15.55"/>
    <n v="3"/>
    <n v="5.44"/>
    <x v="8"/>
    <x v="0"/>
  </r>
  <r>
    <d v="2021-09-09T00:00:00"/>
    <x v="391"/>
    <x v="2"/>
    <x v="2"/>
    <x v="9"/>
    <n v="64.7"/>
    <n v="6"/>
    <n v="-4.8499999999999996"/>
    <x v="8"/>
    <x v="0"/>
  </r>
  <r>
    <d v="2021-09-09T00:00:00"/>
    <x v="391"/>
    <x v="2"/>
    <x v="1"/>
    <x v="8"/>
    <n v="17.47"/>
    <n v="3"/>
    <n v="5.0199999999999996"/>
    <x v="8"/>
    <x v="0"/>
  </r>
  <r>
    <d v="2021-09-09T00:00:00"/>
    <x v="391"/>
    <x v="2"/>
    <x v="2"/>
    <x v="6"/>
    <n v="135.52000000000001"/>
    <n v="1"/>
    <n v="-31.62"/>
    <x v="8"/>
    <x v="0"/>
  </r>
  <r>
    <d v="2021-09-09T00:00:00"/>
    <x v="392"/>
    <x v="25"/>
    <x v="2"/>
    <x v="15"/>
    <n v="1299.99"/>
    <n v="2"/>
    <n v="-572"/>
    <x v="8"/>
    <x v="0"/>
  </r>
  <r>
    <d v="2021-09-09T00:00:00"/>
    <x v="155"/>
    <x v="10"/>
    <x v="1"/>
    <x v="8"/>
    <n v="60.67"/>
    <n v="6"/>
    <n v="12.89"/>
    <x v="8"/>
    <x v="0"/>
  </r>
  <r>
    <d v="2021-09-09T00:00:00"/>
    <x v="155"/>
    <x v="10"/>
    <x v="0"/>
    <x v="4"/>
    <n v="30.82"/>
    <n v="9"/>
    <n v="2.7"/>
    <x v="8"/>
    <x v="0"/>
  </r>
  <r>
    <d v="2021-09-09T00:00:00"/>
    <x v="393"/>
    <x v="1"/>
    <x v="0"/>
    <x v="0"/>
    <n v="10.9"/>
    <n v="3"/>
    <n v="3.41"/>
    <x v="8"/>
    <x v="0"/>
  </r>
  <r>
    <d v="2021-09-10T00:00:00"/>
    <x v="163"/>
    <x v="6"/>
    <x v="0"/>
    <x v="3"/>
    <n v="9.64"/>
    <n v="2"/>
    <n v="4.72"/>
    <x v="8"/>
    <x v="0"/>
  </r>
  <r>
    <d v="2021-09-10T00:00:00"/>
    <x v="68"/>
    <x v="11"/>
    <x v="0"/>
    <x v="10"/>
    <n v="21.73"/>
    <n v="7"/>
    <n v="7.6"/>
    <x v="8"/>
    <x v="0"/>
  </r>
  <r>
    <d v="2021-09-10T00:00:00"/>
    <x v="68"/>
    <x v="11"/>
    <x v="1"/>
    <x v="5"/>
    <n v="1487.04"/>
    <n v="5"/>
    <n v="148.69999999999999"/>
    <x v="8"/>
    <x v="0"/>
  </r>
  <r>
    <d v="2021-09-10T00:00:00"/>
    <x v="394"/>
    <x v="23"/>
    <x v="0"/>
    <x v="12"/>
    <n v="81.92"/>
    <n v="4"/>
    <n v="22.12"/>
    <x v="8"/>
    <x v="0"/>
  </r>
  <r>
    <d v="2021-09-10T00:00:00"/>
    <x v="394"/>
    <x v="23"/>
    <x v="1"/>
    <x v="8"/>
    <n v="254.9"/>
    <n v="5"/>
    <n v="76.47"/>
    <x v="8"/>
    <x v="0"/>
  </r>
  <r>
    <d v="2021-09-11T00:00:00"/>
    <x v="395"/>
    <x v="3"/>
    <x v="1"/>
    <x v="8"/>
    <n v="127.95"/>
    <n v="3"/>
    <n v="21.75"/>
    <x v="8"/>
    <x v="0"/>
  </r>
  <r>
    <d v="2021-09-12T00:00:00"/>
    <x v="26"/>
    <x v="20"/>
    <x v="2"/>
    <x v="15"/>
    <n v="69.989999999999995"/>
    <n v="1"/>
    <n v="30.1"/>
    <x v="8"/>
    <x v="0"/>
  </r>
  <r>
    <d v="2021-09-12T00:00:00"/>
    <x v="396"/>
    <x v="25"/>
    <x v="0"/>
    <x v="0"/>
    <n v="10.37"/>
    <n v="2"/>
    <n v="3.63"/>
    <x v="8"/>
    <x v="0"/>
  </r>
  <r>
    <d v="2021-09-12T00:00:00"/>
    <x v="396"/>
    <x v="25"/>
    <x v="0"/>
    <x v="12"/>
    <n v="166.84"/>
    <n v="5"/>
    <n v="18.77"/>
    <x v="8"/>
    <x v="0"/>
  </r>
  <r>
    <d v="2021-09-12T00:00:00"/>
    <x v="396"/>
    <x v="25"/>
    <x v="2"/>
    <x v="9"/>
    <n v="15.22"/>
    <n v="1"/>
    <n v="2.2799999999999998"/>
    <x v="8"/>
    <x v="0"/>
  </r>
  <r>
    <d v="2021-09-12T00:00:00"/>
    <x v="397"/>
    <x v="0"/>
    <x v="0"/>
    <x v="3"/>
    <n v="5.18"/>
    <n v="5"/>
    <n v="-8.0299999999999994"/>
    <x v="8"/>
    <x v="0"/>
  </r>
  <r>
    <d v="2021-09-12T00:00:00"/>
    <x v="192"/>
    <x v="10"/>
    <x v="0"/>
    <x v="3"/>
    <n v="63.92"/>
    <n v="7"/>
    <n v="-46.88"/>
    <x v="8"/>
    <x v="0"/>
  </r>
  <r>
    <d v="2021-09-12T00:00:00"/>
    <x v="398"/>
    <x v="42"/>
    <x v="0"/>
    <x v="14"/>
    <n v="357.93"/>
    <n v="3"/>
    <n v="7.16"/>
    <x v="8"/>
    <x v="0"/>
  </r>
  <r>
    <d v="2021-09-12T00:00:00"/>
    <x v="398"/>
    <x v="42"/>
    <x v="2"/>
    <x v="9"/>
    <n v="57.4"/>
    <n v="5"/>
    <n v="10.91"/>
    <x v="8"/>
    <x v="0"/>
  </r>
  <r>
    <d v="2021-09-12T00:00:00"/>
    <x v="398"/>
    <x v="42"/>
    <x v="0"/>
    <x v="3"/>
    <n v="331.96"/>
    <n v="2"/>
    <n v="149.38"/>
    <x v="8"/>
    <x v="0"/>
  </r>
  <r>
    <d v="2021-09-12T00:00:00"/>
    <x v="398"/>
    <x v="42"/>
    <x v="1"/>
    <x v="8"/>
    <n v="40.56"/>
    <n v="2"/>
    <n v="12.98"/>
    <x v="8"/>
    <x v="0"/>
  </r>
  <r>
    <d v="2021-09-12T00:00:00"/>
    <x v="399"/>
    <x v="20"/>
    <x v="1"/>
    <x v="5"/>
    <n v="3785.29"/>
    <n v="6"/>
    <n v="420.59"/>
    <x v="8"/>
    <x v="0"/>
  </r>
  <r>
    <d v="2021-09-13T00:00:00"/>
    <x v="400"/>
    <x v="25"/>
    <x v="0"/>
    <x v="3"/>
    <n v="18.649999999999999"/>
    <n v="7"/>
    <n v="-12.43"/>
    <x v="8"/>
    <x v="0"/>
  </r>
  <r>
    <d v="2021-09-13T00:00:00"/>
    <x v="401"/>
    <x v="2"/>
    <x v="0"/>
    <x v="0"/>
    <n v="15.55"/>
    <n v="3"/>
    <n v="5.44"/>
    <x v="8"/>
    <x v="0"/>
  </r>
  <r>
    <d v="2021-09-13T00:00:00"/>
    <x v="401"/>
    <x v="2"/>
    <x v="2"/>
    <x v="9"/>
    <n v="252"/>
    <n v="5"/>
    <n v="53.55"/>
    <x v="8"/>
    <x v="0"/>
  </r>
  <r>
    <d v="2021-09-13T00:00:00"/>
    <x v="284"/>
    <x v="20"/>
    <x v="0"/>
    <x v="4"/>
    <n v="5.46"/>
    <n v="3"/>
    <n v="1.47"/>
    <x v="8"/>
    <x v="0"/>
  </r>
  <r>
    <d v="2021-09-13T00:00:00"/>
    <x v="402"/>
    <x v="12"/>
    <x v="0"/>
    <x v="2"/>
    <n v="79.400000000000006"/>
    <n v="5"/>
    <n v="5.96"/>
    <x v="8"/>
    <x v="0"/>
  </r>
  <r>
    <d v="2021-09-13T00:00:00"/>
    <x v="288"/>
    <x v="0"/>
    <x v="1"/>
    <x v="5"/>
    <n v="340.12"/>
    <n v="6"/>
    <n v="-9.7200000000000006"/>
    <x v="8"/>
    <x v="0"/>
  </r>
  <r>
    <d v="2021-09-13T00:00:00"/>
    <x v="352"/>
    <x v="10"/>
    <x v="0"/>
    <x v="3"/>
    <n v="2.5"/>
    <n v="3"/>
    <n v="-2"/>
    <x v="8"/>
    <x v="0"/>
  </r>
  <r>
    <d v="2021-09-13T00:00:00"/>
    <x v="218"/>
    <x v="22"/>
    <x v="0"/>
    <x v="7"/>
    <n v="5.7"/>
    <n v="5"/>
    <n v="2.68"/>
    <x v="8"/>
    <x v="0"/>
  </r>
  <r>
    <d v="2021-09-13T00:00:00"/>
    <x v="218"/>
    <x v="22"/>
    <x v="1"/>
    <x v="8"/>
    <n v="14.19"/>
    <n v="3"/>
    <n v="5.53"/>
    <x v="8"/>
    <x v="0"/>
  </r>
  <r>
    <d v="2021-09-13T00:00:00"/>
    <x v="218"/>
    <x v="22"/>
    <x v="0"/>
    <x v="14"/>
    <n v="7.3"/>
    <n v="2"/>
    <n v="2.19"/>
    <x v="8"/>
    <x v="0"/>
  </r>
  <r>
    <d v="2021-09-13T00:00:00"/>
    <x v="218"/>
    <x v="22"/>
    <x v="2"/>
    <x v="9"/>
    <n v="199.98"/>
    <n v="2"/>
    <n v="75.989999999999995"/>
    <x v="8"/>
    <x v="0"/>
  </r>
  <r>
    <d v="2021-09-13T00:00:00"/>
    <x v="218"/>
    <x v="22"/>
    <x v="2"/>
    <x v="9"/>
    <n v="144.96"/>
    <n v="4"/>
    <n v="60.88"/>
    <x v="8"/>
    <x v="0"/>
  </r>
  <r>
    <d v="2021-09-13T00:00:00"/>
    <x v="218"/>
    <x v="22"/>
    <x v="2"/>
    <x v="9"/>
    <n v="118"/>
    <n v="2"/>
    <n v="20.059999999999999"/>
    <x v="8"/>
    <x v="0"/>
  </r>
  <r>
    <d v="2021-09-13T00:00:00"/>
    <x v="218"/>
    <x v="22"/>
    <x v="0"/>
    <x v="0"/>
    <n v="48.94"/>
    <n v="1"/>
    <n v="24.47"/>
    <x v="8"/>
    <x v="0"/>
  </r>
  <r>
    <d v="2021-09-13T00:00:00"/>
    <x v="218"/>
    <x v="22"/>
    <x v="0"/>
    <x v="12"/>
    <n v="22.66"/>
    <n v="2"/>
    <n v="9.74"/>
    <x v="8"/>
    <x v="0"/>
  </r>
  <r>
    <d v="2021-09-14T00:00:00"/>
    <x v="403"/>
    <x v="1"/>
    <x v="0"/>
    <x v="12"/>
    <n v="52.45"/>
    <n v="2"/>
    <n v="-131.12"/>
    <x v="8"/>
    <x v="0"/>
  </r>
  <r>
    <d v="2021-09-14T00:00:00"/>
    <x v="403"/>
    <x v="1"/>
    <x v="0"/>
    <x v="1"/>
    <n v="20.16"/>
    <n v="4"/>
    <n v="6.55"/>
    <x v="8"/>
    <x v="0"/>
  </r>
  <r>
    <d v="2021-09-14T00:00:00"/>
    <x v="404"/>
    <x v="20"/>
    <x v="0"/>
    <x v="2"/>
    <n v="449.15"/>
    <n v="5"/>
    <n v="8.98"/>
    <x v="8"/>
    <x v="0"/>
  </r>
  <r>
    <d v="2021-09-14T00:00:00"/>
    <x v="404"/>
    <x v="20"/>
    <x v="0"/>
    <x v="10"/>
    <n v="11.07"/>
    <n v="3"/>
    <n v="5.09"/>
    <x v="8"/>
    <x v="0"/>
  </r>
  <r>
    <d v="2021-09-14T00:00:00"/>
    <x v="273"/>
    <x v="16"/>
    <x v="0"/>
    <x v="12"/>
    <n v="13"/>
    <n v="5"/>
    <n v="1.3"/>
    <x v="8"/>
    <x v="0"/>
  </r>
  <r>
    <d v="2021-09-14T00:00:00"/>
    <x v="273"/>
    <x v="16"/>
    <x v="1"/>
    <x v="8"/>
    <n v="13.13"/>
    <n v="3"/>
    <n v="3.77"/>
    <x v="8"/>
    <x v="0"/>
  </r>
  <r>
    <d v="2021-09-14T00:00:00"/>
    <x v="405"/>
    <x v="4"/>
    <x v="1"/>
    <x v="8"/>
    <n v="142.4"/>
    <n v="5"/>
    <n v="52.69"/>
    <x v="8"/>
    <x v="0"/>
  </r>
  <r>
    <d v="2021-09-14T00:00:00"/>
    <x v="405"/>
    <x v="4"/>
    <x v="0"/>
    <x v="3"/>
    <n v="7.16"/>
    <n v="2"/>
    <n v="3.44"/>
    <x v="8"/>
    <x v="0"/>
  </r>
  <r>
    <d v="2021-09-14T00:00:00"/>
    <x v="406"/>
    <x v="20"/>
    <x v="1"/>
    <x v="13"/>
    <n v="464.29"/>
    <n v="9"/>
    <n v="-108.33"/>
    <x v="8"/>
    <x v="0"/>
  </r>
  <r>
    <d v="2021-09-14T00:00:00"/>
    <x v="406"/>
    <x v="20"/>
    <x v="0"/>
    <x v="10"/>
    <n v="68.459999999999994"/>
    <n v="7"/>
    <n v="31.49"/>
    <x v="8"/>
    <x v="0"/>
  </r>
  <r>
    <d v="2021-09-14T00:00:00"/>
    <x v="406"/>
    <x v="20"/>
    <x v="2"/>
    <x v="15"/>
    <n v="2799.96"/>
    <n v="4"/>
    <n v="1371.98"/>
    <x v="8"/>
    <x v="0"/>
  </r>
  <r>
    <d v="2021-09-14T00:00:00"/>
    <x v="406"/>
    <x v="20"/>
    <x v="0"/>
    <x v="12"/>
    <n v="601.29999999999995"/>
    <n v="2"/>
    <n v="198.43"/>
    <x v="8"/>
    <x v="0"/>
  </r>
  <r>
    <d v="2021-09-14T00:00:00"/>
    <x v="406"/>
    <x v="20"/>
    <x v="2"/>
    <x v="6"/>
    <n v="16.989999999999998"/>
    <n v="1"/>
    <n v="4.42"/>
    <x v="8"/>
    <x v="0"/>
  </r>
  <r>
    <d v="2021-09-14T00:00:00"/>
    <x v="406"/>
    <x v="20"/>
    <x v="2"/>
    <x v="6"/>
    <n v="287.97000000000003"/>
    <n v="3"/>
    <n v="80.63"/>
    <x v="8"/>
    <x v="0"/>
  </r>
  <r>
    <d v="2021-09-14T00:00:00"/>
    <x v="406"/>
    <x v="20"/>
    <x v="0"/>
    <x v="0"/>
    <n v="44.82"/>
    <n v="9"/>
    <n v="21.07"/>
    <x v="8"/>
    <x v="0"/>
  </r>
  <r>
    <d v="2021-09-14T00:00:00"/>
    <x v="134"/>
    <x v="0"/>
    <x v="0"/>
    <x v="7"/>
    <n v="6.05"/>
    <n v="4"/>
    <n v="-1.36"/>
    <x v="8"/>
    <x v="0"/>
  </r>
  <r>
    <d v="2021-09-14T00:00:00"/>
    <x v="134"/>
    <x v="0"/>
    <x v="0"/>
    <x v="0"/>
    <n v="6.85"/>
    <n v="2"/>
    <n v="2.14"/>
    <x v="8"/>
    <x v="0"/>
  </r>
  <r>
    <d v="2021-09-14T00:00:00"/>
    <x v="134"/>
    <x v="0"/>
    <x v="1"/>
    <x v="8"/>
    <n v="9.9600000000000009"/>
    <n v="5"/>
    <n v="-6.72"/>
    <x v="8"/>
    <x v="0"/>
  </r>
  <r>
    <d v="2021-09-14T00:00:00"/>
    <x v="134"/>
    <x v="0"/>
    <x v="0"/>
    <x v="3"/>
    <n v="8.5500000000000007"/>
    <n v="2"/>
    <n v="-13.68"/>
    <x v="8"/>
    <x v="0"/>
  </r>
  <r>
    <d v="2021-09-15T00:00:00"/>
    <x v="407"/>
    <x v="2"/>
    <x v="1"/>
    <x v="8"/>
    <n v="103.94"/>
    <n v="4"/>
    <n v="16.89"/>
    <x v="8"/>
    <x v="0"/>
  </r>
  <r>
    <d v="2021-09-15T00:00:00"/>
    <x v="116"/>
    <x v="20"/>
    <x v="0"/>
    <x v="0"/>
    <n v="14.94"/>
    <n v="3"/>
    <n v="7.02"/>
    <x v="8"/>
    <x v="0"/>
  </r>
  <r>
    <d v="2021-09-15T00:00:00"/>
    <x v="116"/>
    <x v="20"/>
    <x v="1"/>
    <x v="8"/>
    <n v="14.56"/>
    <n v="2"/>
    <n v="6.26"/>
    <x v="8"/>
    <x v="0"/>
  </r>
  <r>
    <d v="2021-09-16T00:00:00"/>
    <x v="211"/>
    <x v="20"/>
    <x v="0"/>
    <x v="3"/>
    <n v="33.549999999999997"/>
    <n v="1"/>
    <n v="12.58"/>
    <x v="8"/>
    <x v="0"/>
  </r>
  <r>
    <d v="2021-09-17T00:00:00"/>
    <x v="408"/>
    <x v="2"/>
    <x v="0"/>
    <x v="3"/>
    <n v="5.89"/>
    <n v="4"/>
    <n v="-4.12"/>
    <x v="8"/>
    <x v="0"/>
  </r>
  <r>
    <d v="2021-09-17T00:00:00"/>
    <x v="388"/>
    <x v="25"/>
    <x v="2"/>
    <x v="9"/>
    <n v="47.98"/>
    <n v="2"/>
    <n v="13.2"/>
    <x v="8"/>
    <x v="0"/>
  </r>
  <r>
    <d v="2021-09-17T00:00:00"/>
    <x v="388"/>
    <x v="25"/>
    <x v="0"/>
    <x v="0"/>
    <n v="4.62"/>
    <n v="1"/>
    <n v="1.68"/>
    <x v="8"/>
    <x v="0"/>
  </r>
  <r>
    <d v="2021-09-17T00:00:00"/>
    <x v="84"/>
    <x v="22"/>
    <x v="0"/>
    <x v="2"/>
    <n v="30.28"/>
    <n v="2"/>
    <n v="1.21"/>
    <x v="8"/>
    <x v="0"/>
  </r>
  <r>
    <d v="2021-09-17T00:00:00"/>
    <x v="84"/>
    <x v="22"/>
    <x v="0"/>
    <x v="2"/>
    <n v="57.93"/>
    <n v="3"/>
    <n v="16.22"/>
    <x v="8"/>
    <x v="0"/>
  </r>
  <r>
    <d v="2021-09-17T00:00:00"/>
    <x v="84"/>
    <x v="22"/>
    <x v="1"/>
    <x v="8"/>
    <n v="35.340000000000003"/>
    <n v="2"/>
    <n v="13.43"/>
    <x v="8"/>
    <x v="0"/>
  </r>
  <r>
    <d v="2021-09-17T00:00:00"/>
    <x v="84"/>
    <x v="22"/>
    <x v="0"/>
    <x v="3"/>
    <n v="137.24"/>
    <n v="5"/>
    <n v="46.32"/>
    <x v="8"/>
    <x v="0"/>
  </r>
  <r>
    <d v="2021-09-17T00:00:00"/>
    <x v="245"/>
    <x v="3"/>
    <x v="0"/>
    <x v="10"/>
    <n v="182.94"/>
    <n v="3"/>
    <n v="85.98"/>
    <x v="8"/>
    <x v="0"/>
  </r>
  <r>
    <d v="2021-09-17T00:00:00"/>
    <x v="409"/>
    <x v="11"/>
    <x v="0"/>
    <x v="4"/>
    <n v="5.25"/>
    <n v="2"/>
    <n v="0.46"/>
    <x v="8"/>
    <x v="0"/>
  </r>
  <r>
    <d v="2021-09-17T00:00:00"/>
    <x v="409"/>
    <x v="11"/>
    <x v="0"/>
    <x v="4"/>
    <n v="38.26"/>
    <n v="3"/>
    <n v="4.78"/>
    <x v="8"/>
    <x v="0"/>
  </r>
  <r>
    <d v="2021-09-17T00:00:00"/>
    <x v="409"/>
    <x v="11"/>
    <x v="0"/>
    <x v="0"/>
    <n v="40.24"/>
    <n v="5"/>
    <n v="13.08"/>
    <x v="8"/>
    <x v="0"/>
  </r>
  <r>
    <d v="2021-09-17T00:00:00"/>
    <x v="409"/>
    <x v="11"/>
    <x v="2"/>
    <x v="15"/>
    <n v="29.93"/>
    <n v="5"/>
    <n v="-21.95"/>
    <x v="8"/>
    <x v="0"/>
  </r>
  <r>
    <d v="2021-09-17T00:00:00"/>
    <x v="409"/>
    <x v="11"/>
    <x v="0"/>
    <x v="0"/>
    <n v="148.69999999999999"/>
    <n v="6"/>
    <n v="46.47"/>
    <x v="8"/>
    <x v="0"/>
  </r>
  <r>
    <d v="2021-09-17T00:00:00"/>
    <x v="409"/>
    <x v="11"/>
    <x v="2"/>
    <x v="9"/>
    <n v="55.92"/>
    <n v="10"/>
    <n v="16.78"/>
    <x v="8"/>
    <x v="0"/>
  </r>
  <r>
    <d v="2021-09-19T00:00:00"/>
    <x v="191"/>
    <x v="0"/>
    <x v="2"/>
    <x v="15"/>
    <n v="3059.98"/>
    <n v="3"/>
    <n v="-510"/>
    <x v="8"/>
    <x v="0"/>
  </r>
  <r>
    <d v="2021-09-19T00:00:00"/>
    <x v="191"/>
    <x v="0"/>
    <x v="2"/>
    <x v="15"/>
    <n v="2519.96"/>
    <n v="7"/>
    <n v="-252"/>
    <x v="8"/>
    <x v="0"/>
  </r>
  <r>
    <d v="2021-09-19T00:00:00"/>
    <x v="410"/>
    <x v="3"/>
    <x v="0"/>
    <x v="7"/>
    <n v="7.16"/>
    <n v="2"/>
    <n v="3.58"/>
    <x v="8"/>
    <x v="0"/>
  </r>
  <r>
    <d v="2021-09-19T00:00:00"/>
    <x v="154"/>
    <x v="25"/>
    <x v="0"/>
    <x v="2"/>
    <n v="67.34"/>
    <n v="6"/>
    <n v="7.58"/>
    <x v="8"/>
    <x v="0"/>
  </r>
  <r>
    <d v="2021-09-19T00:00:00"/>
    <x v="154"/>
    <x v="25"/>
    <x v="2"/>
    <x v="15"/>
    <n v="2624.99"/>
    <n v="3"/>
    <n v="-944.99"/>
    <x v="8"/>
    <x v="0"/>
  </r>
  <r>
    <d v="2021-09-19T00:00:00"/>
    <x v="183"/>
    <x v="20"/>
    <x v="1"/>
    <x v="5"/>
    <n v="887.1"/>
    <n v="7"/>
    <n v="177.42"/>
    <x v="8"/>
    <x v="0"/>
  </r>
  <r>
    <d v="2021-09-19T00:00:00"/>
    <x v="411"/>
    <x v="22"/>
    <x v="0"/>
    <x v="2"/>
    <n v="92.52"/>
    <n v="6"/>
    <n v="24.98"/>
    <x v="8"/>
    <x v="0"/>
  </r>
  <r>
    <d v="2021-09-19T00:00:00"/>
    <x v="412"/>
    <x v="3"/>
    <x v="0"/>
    <x v="7"/>
    <n v="5.67"/>
    <n v="3"/>
    <n v="0.11"/>
    <x v="8"/>
    <x v="0"/>
  </r>
  <r>
    <d v="2021-09-19T00:00:00"/>
    <x v="37"/>
    <x v="12"/>
    <x v="1"/>
    <x v="13"/>
    <n v="73.92"/>
    <n v="1"/>
    <n v="-45.83"/>
    <x v="8"/>
    <x v="0"/>
  </r>
  <r>
    <d v="2021-09-20T00:00:00"/>
    <x v="413"/>
    <x v="1"/>
    <x v="1"/>
    <x v="13"/>
    <n v="617.70000000000005"/>
    <n v="6"/>
    <n v="-407.68"/>
    <x v="8"/>
    <x v="0"/>
  </r>
  <r>
    <d v="2021-09-20T00:00:00"/>
    <x v="414"/>
    <x v="3"/>
    <x v="0"/>
    <x v="1"/>
    <n v="9.9600000000000009"/>
    <n v="2"/>
    <n v="4.58"/>
    <x v="8"/>
    <x v="0"/>
  </r>
  <r>
    <d v="2021-09-20T00:00:00"/>
    <x v="414"/>
    <x v="3"/>
    <x v="0"/>
    <x v="0"/>
    <n v="21.72"/>
    <n v="4"/>
    <n v="10.64"/>
    <x v="8"/>
    <x v="0"/>
  </r>
  <r>
    <d v="2021-09-20T00:00:00"/>
    <x v="159"/>
    <x v="16"/>
    <x v="0"/>
    <x v="4"/>
    <n v="2.82"/>
    <n v="2"/>
    <n v="0.99"/>
    <x v="8"/>
    <x v="0"/>
  </r>
  <r>
    <d v="2021-09-20T00:00:00"/>
    <x v="415"/>
    <x v="3"/>
    <x v="0"/>
    <x v="12"/>
    <n v="43.92"/>
    <n v="4"/>
    <n v="11.86"/>
    <x v="8"/>
    <x v="0"/>
  </r>
  <r>
    <d v="2021-09-20T00:00:00"/>
    <x v="415"/>
    <x v="3"/>
    <x v="0"/>
    <x v="3"/>
    <n v="20.23"/>
    <n v="3"/>
    <n v="6.58"/>
    <x v="8"/>
    <x v="0"/>
  </r>
  <r>
    <d v="2021-09-20T00:00:00"/>
    <x v="416"/>
    <x v="36"/>
    <x v="1"/>
    <x v="8"/>
    <n v="164.22"/>
    <n v="3"/>
    <n v="50.91"/>
    <x v="8"/>
    <x v="0"/>
  </r>
  <r>
    <d v="2021-09-20T00:00:00"/>
    <x v="416"/>
    <x v="36"/>
    <x v="1"/>
    <x v="11"/>
    <n v="362.94"/>
    <n v="3"/>
    <n v="36.29"/>
    <x v="8"/>
    <x v="0"/>
  </r>
  <r>
    <d v="2021-09-20T00:00:00"/>
    <x v="416"/>
    <x v="36"/>
    <x v="2"/>
    <x v="9"/>
    <n v="59.98"/>
    <n v="2"/>
    <n v="26.39"/>
    <x v="8"/>
    <x v="0"/>
  </r>
  <r>
    <d v="2021-09-20T00:00:00"/>
    <x v="417"/>
    <x v="1"/>
    <x v="1"/>
    <x v="11"/>
    <n v="493.43"/>
    <n v="5"/>
    <n v="-70.489999999999995"/>
    <x v="8"/>
    <x v="0"/>
  </r>
  <r>
    <d v="2021-09-20T00:00:00"/>
    <x v="417"/>
    <x v="1"/>
    <x v="2"/>
    <x v="6"/>
    <n v="11.12"/>
    <n v="2"/>
    <n v="3.48"/>
    <x v="8"/>
    <x v="0"/>
  </r>
  <r>
    <d v="2021-09-20T00:00:00"/>
    <x v="418"/>
    <x v="3"/>
    <x v="0"/>
    <x v="0"/>
    <n v="8.56"/>
    <n v="2"/>
    <n v="3.85"/>
    <x v="8"/>
    <x v="0"/>
  </r>
  <r>
    <d v="2021-09-20T00:00:00"/>
    <x v="363"/>
    <x v="20"/>
    <x v="2"/>
    <x v="6"/>
    <n v="629.95000000000005"/>
    <n v="5"/>
    <n v="157.49"/>
    <x v="8"/>
    <x v="0"/>
  </r>
  <r>
    <d v="2021-09-20T00:00:00"/>
    <x v="363"/>
    <x v="20"/>
    <x v="1"/>
    <x v="5"/>
    <n v="631.78"/>
    <n v="2"/>
    <n v="140.4"/>
    <x v="8"/>
    <x v="0"/>
  </r>
  <r>
    <d v="2021-09-20T00:00:00"/>
    <x v="363"/>
    <x v="20"/>
    <x v="1"/>
    <x v="11"/>
    <n v="801.57"/>
    <n v="2"/>
    <n v="-10.02"/>
    <x v="8"/>
    <x v="0"/>
  </r>
  <r>
    <d v="2021-09-20T00:00:00"/>
    <x v="363"/>
    <x v="20"/>
    <x v="0"/>
    <x v="1"/>
    <n v="75.180000000000007"/>
    <n v="6"/>
    <n v="35.33"/>
    <x v="8"/>
    <x v="0"/>
  </r>
  <r>
    <d v="2021-09-20T00:00:00"/>
    <x v="363"/>
    <x v="20"/>
    <x v="0"/>
    <x v="12"/>
    <n v="30.98"/>
    <n v="1"/>
    <n v="8.0500000000000007"/>
    <x v="8"/>
    <x v="0"/>
  </r>
  <r>
    <d v="2021-09-20T00:00:00"/>
    <x v="363"/>
    <x v="20"/>
    <x v="2"/>
    <x v="6"/>
    <n v="1349.91"/>
    <n v="9"/>
    <n v="661.46"/>
    <x v="8"/>
    <x v="0"/>
  </r>
  <r>
    <d v="2021-09-21T00:00:00"/>
    <x v="419"/>
    <x v="22"/>
    <x v="2"/>
    <x v="6"/>
    <n v="246.38"/>
    <n v="2"/>
    <n v="27.72"/>
    <x v="8"/>
    <x v="0"/>
  </r>
  <r>
    <d v="2021-09-21T00:00:00"/>
    <x v="419"/>
    <x v="22"/>
    <x v="2"/>
    <x v="16"/>
    <n v="1799.97"/>
    <n v="3"/>
    <n v="701.99"/>
    <x v="8"/>
    <x v="0"/>
  </r>
  <r>
    <d v="2021-09-21T00:00:00"/>
    <x v="291"/>
    <x v="40"/>
    <x v="0"/>
    <x v="12"/>
    <n v="25.96"/>
    <n v="2"/>
    <n v="7.53"/>
    <x v="8"/>
    <x v="0"/>
  </r>
  <r>
    <d v="2021-09-21T00:00:00"/>
    <x v="291"/>
    <x v="40"/>
    <x v="0"/>
    <x v="12"/>
    <n v="36.270000000000003"/>
    <n v="3"/>
    <n v="10.88"/>
    <x v="8"/>
    <x v="0"/>
  </r>
  <r>
    <d v="2021-09-21T00:00:00"/>
    <x v="291"/>
    <x v="40"/>
    <x v="0"/>
    <x v="0"/>
    <n v="6.48"/>
    <n v="1"/>
    <n v="3.11"/>
    <x v="8"/>
    <x v="0"/>
  </r>
  <r>
    <d v="2021-09-21T00:00:00"/>
    <x v="221"/>
    <x v="3"/>
    <x v="0"/>
    <x v="10"/>
    <n v="15.56"/>
    <n v="2"/>
    <n v="7.31"/>
    <x v="8"/>
    <x v="0"/>
  </r>
  <r>
    <d v="2021-09-21T00:00:00"/>
    <x v="221"/>
    <x v="3"/>
    <x v="0"/>
    <x v="10"/>
    <n v="78.349999999999994"/>
    <n v="5"/>
    <n v="36.82"/>
    <x v="8"/>
    <x v="0"/>
  </r>
  <r>
    <d v="2021-09-21T00:00:00"/>
    <x v="221"/>
    <x v="3"/>
    <x v="0"/>
    <x v="4"/>
    <n v="59.52"/>
    <n v="3"/>
    <n v="15.48"/>
    <x v="8"/>
    <x v="0"/>
  </r>
  <r>
    <d v="2021-09-21T00:00:00"/>
    <x v="221"/>
    <x v="3"/>
    <x v="0"/>
    <x v="0"/>
    <n v="38.520000000000003"/>
    <n v="9"/>
    <n v="17.329999999999998"/>
    <x v="8"/>
    <x v="0"/>
  </r>
  <r>
    <d v="2021-09-21T00:00:00"/>
    <x v="221"/>
    <x v="3"/>
    <x v="2"/>
    <x v="6"/>
    <n v="239.98"/>
    <n v="2"/>
    <n v="24"/>
    <x v="8"/>
    <x v="0"/>
  </r>
  <r>
    <d v="2021-09-21T00:00:00"/>
    <x v="221"/>
    <x v="3"/>
    <x v="0"/>
    <x v="0"/>
    <n v="19.350000000000001"/>
    <n v="3"/>
    <n v="9.48"/>
    <x v="8"/>
    <x v="0"/>
  </r>
  <r>
    <d v="2021-09-21T00:00:00"/>
    <x v="338"/>
    <x v="2"/>
    <x v="0"/>
    <x v="0"/>
    <n v="11.35"/>
    <n v="3"/>
    <n v="4.12"/>
    <x v="8"/>
    <x v="0"/>
  </r>
  <r>
    <d v="2021-09-21T00:00:00"/>
    <x v="338"/>
    <x v="2"/>
    <x v="0"/>
    <x v="1"/>
    <n v="20.81"/>
    <n v="9"/>
    <n v="7.02"/>
    <x v="8"/>
    <x v="0"/>
  </r>
  <r>
    <d v="2021-09-21T00:00:00"/>
    <x v="179"/>
    <x v="0"/>
    <x v="1"/>
    <x v="8"/>
    <n v="8.5399999999999991"/>
    <n v="2"/>
    <n v="-7.48"/>
    <x v="8"/>
    <x v="0"/>
  </r>
  <r>
    <d v="2021-09-21T00:00:00"/>
    <x v="420"/>
    <x v="2"/>
    <x v="0"/>
    <x v="3"/>
    <n v="6.57"/>
    <n v="3"/>
    <n v="-5.04"/>
    <x v="8"/>
    <x v="0"/>
  </r>
  <r>
    <d v="2021-09-21T00:00:00"/>
    <x v="421"/>
    <x v="20"/>
    <x v="0"/>
    <x v="4"/>
    <n v="66.03"/>
    <n v="3"/>
    <n v="17.170000000000002"/>
    <x v="8"/>
    <x v="0"/>
  </r>
  <r>
    <d v="2021-09-22T00:00:00"/>
    <x v="389"/>
    <x v="16"/>
    <x v="0"/>
    <x v="1"/>
    <n v="4.6100000000000003"/>
    <n v="2"/>
    <n v="1.67"/>
    <x v="8"/>
    <x v="0"/>
  </r>
  <r>
    <d v="2021-09-22T00:00:00"/>
    <x v="422"/>
    <x v="1"/>
    <x v="0"/>
    <x v="2"/>
    <n v="331.54"/>
    <n v="3"/>
    <n v="-82.88"/>
    <x v="8"/>
    <x v="0"/>
  </r>
  <r>
    <d v="2021-09-22T00:00:00"/>
    <x v="145"/>
    <x v="3"/>
    <x v="0"/>
    <x v="2"/>
    <n v="169.45"/>
    <n v="5"/>
    <n v="42.36"/>
    <x v="8"/>
    <x v="0"/>
  </r>
  <r>
    <d v="2021-09-22T00:00:00"/>
    <x v="145"/>
    <x v="3"/>
    <x v="0"/>
    <x v="2"/>
    <n v="40.68"/>
    <n v="2"/>
    <n v="0.41"/>
    <x v="8"/>
    <x v="0"/>
  </r>
  <r>
    <d v="2021-09-22T00:00:00"/>
    <x v="423"/>
    <x v="20"/>
    <x v="1"/>
    <x v="8"/>
    <n v="97.44"/>
    <n v="3"/>
    <n v="35.08"/>
    <x v="8"/>
    <x v="0"/>
  </r>
  <r>
    <d v="2021-09-22T00:00:00"/>
    <x v="423"/>
    <x v="20"/>
    <x v="0"/>
    <x v="3"/>
    <n v="3.98"/>
    <n v="1"/>
    <n v="1.39"/>
    <x v="8"/>
    <x v="0"/>
  </r>
  <r>
    <d v="2021-09-22T00:00:00"/>
    <x v="423"/>
    <x v="20"/>
    <x v="0"/>
    <x v="4"/>
    <n v="13.04"/>
    <n v="4"/>
    <n v="5.74"/>
    <x v="8"/>
    <x v="0"/>
  </r>
  <r>
    <d v="2021-09-22T00:00:00"/>
    <x v="423"/>
    <x v="20"/>
    <x v="1"/>
    <x v="5"/>
    <n v="579.53"/>
    <n v="4"/>
    <n v="83.71"/>
    <x v="8"/>
    <x v="0"/>
  </r>
  <r>
    <d v="2021-09-23T00:00:00"/>
    <x v="291"/>
    <x v="3"/>
    <x v="1"/>
    <x v="11"/>
    <n v="436"/>
    <n v="3"/>
    <n v="20.52"/>
    <x v="8"/>
    <x v="0"/>
  </r>
  <r>
    <d v="2021-09-23T00:00:00"/>
    <x v="291"/>
    <x v="3"/>
    <x v="2"/>
    <x v="6"/>
    <n v="83.98"/>
    <n v="2"/>
    <n v="31.49"/>
    <x v="8"/>
    <x v="0"/>
  </r>
  <r>
    <d v="2021-09-23T00:00:00"/>
    <x v="43"/>
    <x v="20"/>
    <x v="0"/>
    <x v="3"/>
    <n v="139.44"/>
    <n v="3"/>
    <n v="47.06"/>
    <x v="8"/>
    <x v="0"/>
  </r>
  <r>
    <d v="2021-09-23T00:00:00"/>
    <x v="42"/>
    <x v="28"/>
    <x v="0"/>
    <x v="0"/>
    <n v="32.4"/>
    <n v="5"/>
    <n v="15.55"/>
    <x v="8"/>
    <x v="0"/>
  </r>
  <r>
    <d v="2021-09-23T00:00:00"/>
    <x v="42"/>
    <x v="28"/>
    <x v="0"/>
    <x v="2"/>
    <n v="404.9"/>
    <n v="5"/>
    <n v="16.2"/>
    <x v="8"/>
    <x v="0"/>
  </r>
  <r>
    <d v="2021-09-23T00:00:00"/>
    <x v="42"/>
    <x v="28"/>
    <x v="0"/>
    <x v="3"/>
    <n v="9449.9500000000007"/>
    <n v="5"/>
    <n v="4630.4799999999996"/>
    <x v="8"/>
    <x v="0"/>
  </r>
  <r>
    <d v="2021-09-23T00:00:00"/>
    <x v="42"/>
    <x v="28"/>
    <x v="0"/>
    <x v="3"/>
    <n v="12.94"/>
    <n v="2"/>
    <n v="6.47"/>
    <x v="8"/>
    <x v="0"/>
  </r>
  <r>
    <d v="2021-09-23T00:00:00"/>
    <x v="412"/>
    <x v="10"/>
    <x v="0"/>
    <x v="0"/>
    <n v="28.8"/>
    <n v="9"/>
    <n v="10.08"/>
    <x v="8"/>
    <x v="0"/>
  </r>
  <r>
    <d v="2021-09-23T00:00:00"/>
    <x v="424"/>
    <x v="7"/>
    <x v="0"/>
    <x v="3"/>
    <n v="11.12"/>
    <n v="4"/>
    <n v="5.45"/>
    <x v="8"/>
    <x v="0"/>
  </r>
  <r>
    <d v="2021-09-23T00:00:00"/>
    <x v="425"/>
    <x v="20"/>
    <x v="0"/>
    <x v="3"/>
    <n v="18.46"/>
    <n v="4"/>
    <n v="6.92"/>
    <x v="8"/>
    <x v="0"/>
  </r>
  <r>
    <d v="2021-09-23T00:00:00"/>
    <x v="426"/>
    <x v="7"/>
    <x v="0"/>
    <x v="4"/>
    <n v="9.84"/>
    <n v="3"/>
    <n v="2.85"/>
    <x v="8"/>
    <x v="0"/>
  </r>
  <r>
    <d v="2021-09-23T00:00:00"/>
    <x v="426"/>
    <x v="7"/>
    <x v="0"/>
    <x v="3"/>
    <n v="34.5"/>
    <n v="3"/>
    <n v="15.53"/>
    <x v="8"/>
    <x v="0"/>
  </r>
  <r>
    <d v="2021-09-24T00:00:00"/>
    <x v="427"/>
    <x v="3"/>
    <x v="0"/>
    <x v="2"/>
    <n v="211.96"/>
    <n v="4"/>
    <n v="8.48"/>
    <x v="8"/>
    <x v="0"/>
  </r>
  <r>
    <d v="2021-09-25T00:00:00"/>
    <x v="428"/>
    <x v="0"/>
    <x v="0"/>
    <x v="0"/>
    <n v="33.79"/>
    <n v="8"/>
    <n v="10.56"/>
    <x v="8"/>
    <x v="0"/>
  </r>
  <r>
    <d v="2021-09-25T00:00:00"/>
    <x v="428"/>
    <x v="0"/>
    <x v="1"/>
    <x v="11"/>
    <n v="300.52999999999997"/>
    <n v="2"/>
    <n v="-97.23"/>
    <x v="8"/>
    <x v="0"/>
  </r>
  <r>
    <d v="2021-09-25T00:00:00"/>
    <x v="428"/>
    <x v="0"/>
    <x v="0"/>
    <x v="3"/>
    <n v="2.72"/>
    <n v="2"/>
    <n v="-4.3600000000000003"/>
    <x v="8"/>
    <x v="0"/>
  </r>
  <r>
    <d v="2021-09-25T00:00:00"/>
    <x v="428"/>
    <x v="0"/>
    <x v="0"/>
    <x v="10"/>
    <n v="3.26"/>
    <n v="2"/>
    <n v="1.1000000000000001"/>
    <x v="8"/>
    <x v="0"/>
  </r>
  <r>
    <d v="2021-09-25T00:00:00"/>
    <x v="429"/>
    <x v="26"/>
    <x v="0"/>
    <x v="4"/>
    <n v="14.58"/>
    <n v="2"/>
    <n v="2.37"/>
    <x v="8"/>
    <x v="0"/>
  </r>
  <r>
    <d v="2021-09-26T00:00:00"/>
    <x v="388"/>
    <x v="3"/>
    <x v="1"/>
    <x v="5"/>
    <n v="145.57"/>
    <n v="2"/>
    <n v="0"/>
    <x v="8"/>
    <x v="0"/>
  </r>
  <r>
    <d v="2021-09-26T00:00:00"/>
    <x v="418"/>
    <x v="0"/>
    <x v="0"/>
    <x v="3"/>
    <n v="0.88"/>
    <n v="1"/>
    <n v="-1.4"/>
    <x v="8"/>
    <x v="0"/>
  </r>
  <r>
    <d v="2021-09-26T00:00:00"/>
    <x v="430"/>
    <x v="2"/>
    <x v="0"/>
    <x v="12"/>
    <n v="143.94999999999999"/>
    <n v="3"/>
    <n v="14.4"/>
    <x v="8"/>
    <x v="0"/>
  </r>
  <r>
    <d v="2021-09-26T00:00:00"/>
    <x v="431"/>
    <x v="22"/>
    <x v="0"/>
    <x v="2"/>
    <n v="310.12"/>
    <n v="2"/>
    <n v="80.63"/>
    <x v="8"/>
    <x v="0"/>
  </r>
  <r>
    <d v="2021-09-26T00:00:00"/>
    <x v="432"/>
    <x v="3"/>
    <x v="1"/>
    <x v="5"/>
    <n v="585.54999999999995"/>
    <n v="3"/>
    <n v="73.19"/>
    <x v="8"/>
    <x v="0"/>
  </r>
  <r>
    <d v="2021-09-26T00:00:00"/>
    <x v="432"/>
    <x v="3"/>
    <x v="0"/>
    <x v="0"/>
    <n v="19.440000000000001"/>
    <n v="3"/>
    <n v="9.33"/>
    <x v="8"/>
    <x v="0"/>
  </r>
  <r>
    <d v="2021-09-26T00:00:00"/>
    <x v="71"/>
    <x v="2"/>
    <x v="0"/>
    <x v="3"/>
    <n v="5.97"/>
    <n v="5"/>
    <n v="-4.58"/>
    <x v="8"/>
    <x v="0"/>
  </r>
  <r>
    <d v="2021-09-26T00:00:00"/>
    <x v="71"/>
    <x v="2"/>
    <x v="1"/>
    <x v="8"/>
    <n v="21.18"/>
    <n v="1"/>
    <n v="4.7699999999999996"/>
    <x v="8"/>
    <x v="0"/>
  </r>
  <r>
    <d v="2021-09-26T00:00:00"/>
    <x v="71"/>
    <x v="2"/>
    <x v="0"/>
    <x v="12"/>
    <n v="41.38"/>
    <n v="6"/>
    <n v="3.1"/>
    <x v="8"/>
    <x v="0"/>
  </r>
  <r>
    <d v="2021-09-26T00:00:00"/>
    <x v="163"/>
    <x v="10"/>
    <x v="0"/>
    <x v="12"/>
    <n v="16.7"/>
    <n v="6"/>
    <n v="1.25"/>
    <x v="8"/>
    <x v="0"/>
  </r>
  <r>
    <d v="2021-09-26T00:00:00"/>
    <x v="163"/>
    <x v="10"/>
    <x v="2"/>
    <x v="9"/>
    <n v="3.15"/>
    <n v="2"/>
    <n v="0.47"/>
    <x v="8"/>
    <x v="0"/>
  </r>
  <r>
    <d v="2021-09-26T00:00:00"/>
    <x v="163"/>
    <x v="10"/>
    <x v="0"/>
    <x v="0"/>
    <n v="32.9"/>
    <n v="4"/>
    <n v="11.1"/>
    <x v="8"/>
    <x v="0"/>
  </r>
  <r>
    <d v="2021-09-26T00:00:00"/>
    <x v="13"/>
    <x v="1"/>
    <x v="2"/>
    <x v="9"/>
    <n v="153.82"/>
    <n v="11"/>
    <n v="38.46"/>
    <x v="8"/>
    <x v="0"/>
  </r>
  <r>
    <d v="2021-09-27T00:00:00"/>
    <x v="93"/>
    <x v="23"/>
    <x v="1"/>
    <x v="8"/>
    <n v="87.54"/>
    <n v="3"/>
    <n v="37.64"/>
    <x v="8"/>
    <x v="0"/>
  </r>
  <r>
    <d v="2021-09-27T00:00:00"/>
    <x v="433"/>
    <x v="3"/>
    <x v="1"/>
    <x v="5"/>
    <n v="603.91999999999996"/>
    <n v="5"/>
    <n v="45.29"/>
    <x v="8"/>
    <x v="0"/>
  </r>
  <r>
    <d v="2021-09-27T00:00:00"/>
    <x v="433"/>
    <x v="3"/>
    <x v="0"/>
    <x v="0"/>
    <n v="81.98"/>
    <n v="2"/>
    <n v="40.17"/>
    <x v="8"/>
    <x v="0"/>
  </r>
  <r>
    <d v="2021-09-28T00:00:00"/>
    <x v="434"/>
    <x v="32"/>
    <x v="0"/>
    <x v="2"/>
    <n v="46.26"/>
    <n v="3"/>
    <n v="12.49"/>
    <x v="8"/>
    <x v="0"/>
  </r>
  <r>
    <d v="2021-09-28T00:00:00"/>
    <x v="435"/>
    <x v="25"/>
    <x v="0"/>
    <x v="0"/>
    <n v="96.26"/>
    <n v="8"/>
    <n v="31.28"/>
    <x v="8"/>
    <x v="0"/>
  </r>
  <r>
    <d v="2021-09-28T00:00:00"/>
    <x v="435"/>
    <x v="25"/>
    <x v="0"/>
    <x v="0"/>
    <n v="10.69"/>
    <n v="2"/>
    <n v="3.74"/>
    <x v="8"/>
    <x v="0"/>
  </r>
  <r>
    <d v="2021-09-28T00:00:00"/>
    <x v="21"/>
    <x v="16"/>
    <x v="1"/>
    <x v="8"/>
    <n v="337.09"/>
    <n v="4"/>
    <n v="16.850000000000001"/>
    <x v="8"/>
    <x v="0"/>
  </r>
  <r>
    <d v="2021-09-29T00:00:00"/>
    <x v="358"/>
    <x v="3"/>
    <x v="1"/>
    <x v="8"/>
    <n v="204.6"/>
    <n v="2"/>
    <n v="53.2"/>
    <x v="8"/>
    <x v="0"/>
  </r>
  <r>
    <d v="2021-09-29T00:00:00"/>
    <x v="358"/>
    <x v="3"/>
    <x v="0"/>
    <x v="7"/>
    <n v="8.7200000000000006"/>
    <n v="4"/>
    <n v="2.88"/>
    <x v="8"/>
    <x v="0"/>
  </r>
  <r>
    <d v="2021-09-29T00:00:00"/>
    <x v="358"/>
    <x v="3"/>
    <x v="0"/>
    <x v="0"/>
    <n v="6.48"/>
    <n v="1"/>
    <n v="3.11"/>
    <x v="8"/>
    <x v="0"/>
  </r>
  <r>
    <d v="2021-09-29T00:00:00"/>
    <x v="358"/>
    <x v="3"/>
    <x v="2"/>
    <x v="15"/>
    <n v="686.32"/>
    <n v="2"/>
    <n v="223.05"/>
    <x v="8"/>
    <x v="0"/>
  </r>
  <r>
    <d v="2021-09-29T00:00:00"/>
    <x v="358"/>
    <x v="3"/>
    <x v="0"/>
    <x v="2"/>
    <n v="62.18"/>
    <n v="1"/>
    <n v="16.79"/>
    <x v="8"/>
    <x v="0"/>
  </r>
  <r>
    <d v="2021-09-29T00:00:00"/>
    <x v="436"/>
    <x v="2"/>
    <x v="0"/>
    <x v="4"/>
    <n v="4.22"/>
    <n v="3"/>
    <n v="1.48"/>
    <x v="8"/>
    <x v="0"/>
  </r>
  <r>
    <d v="2021-09-29T00:00:00"/>
    <x v="436"/>
    <x v="2"/>
    <x v="1"/>
    <x v="13"/>
    <n v="409.27"/>
    <n v="2"/>
    <n v="-81.849999999999994"/>
    <x v="8"/>
    <x v="0"/>
  </r>
  <r>
    <d v="2021-09-29T00:00:00"/>
    <x v="436"/>
    <x v="2"/>
    <x v="0"/>
    <x v="1"/>
    <n v="55.44"/>
    <n v="11"/>
    <n v="18.02"/>
    <x v="8"/>
    <x v="0"/>
  </r>
  <r>
    <d v="2021-09-29T00:00:00"/>
    <x v="436"/>
    <x v="2"/>
    <x v="0"/>
    <x v="0"/>
    <n v="20.93"/>
    <n v="4"/>
    <n v="6.8"/>
    <x v="8"/>
    <x v="0"/>
  </r>
  <r>
    <d v="2021-09-29T00:00:00"/>
    <x v="436"/>
    <x v="2"/>
    <x v="0"/>
    <x v="2"/>
    <n v="1801.63"/>
    <n v="6"/>
    <n v="-337.81"/>
    <x v="8"/>
    <x v="0"/>
  </r>
  <r>
    <d v="2021-09-29T00:00:00"/>
    <x v="436"/>
    <x v="2"/>
    <x v="1"/>
    <x v="13"/>
    <n v="67.180000000000007"/>
    <n v="1"/>
    <n v="-20.149999999999999"/>
    <x v="8"/>
    <x v="0"/>
  </r>
  <r>
    <d v="2021-09-29T00:00:00"/>
    <x v="367"/>
    <x v="22"/>
    <x v="1"/>
    <x v="8"/>
    <n v="6.16"/>
    <n v="2"/>
    <n v="2.96"/>
    <x v="8"/>
    <x v="0"/>
  </r>
  <r>
    <d v="2021-09-29T00:00:00"/>
    <x v="367"/>
    <x v="22"/>
    <x v="1"/>
    <x v="13"/>
    <n v="2348.8200000000002"/>
    <n v="9"/>
    <n v="399.3"/>
    <x v="8"/>
    <x v="0"/>
  </r>
  <r>
    <d v="2021-09-29T00:00:00"/>
    <x v="437"/>
    <x v="20"/>
    <x v="0"/>
    <x v="2"/>
    <n v="1395.54"/>
    <n v="9"/>
    <n v="362.84"/>
    <x v="8"/>
    <x v="0"/>
  </r>
  <r>
    <d v="2021-09-29T00:00:00"/>
    <x v="437"/>
    <x v="20"/>
    <x v="1"/>
    <x v="8"/>
    <n v="117.36"/>
    <n v="4"/>
    <n v="36.380000000000003"/>
    <x v="8"/>
    <x v="0"/>
  </r>
  <r>
    <d v="2021-09-29T00:00:00"/>
    <x v="437"/>
    <x v="20"/>
    <x v="0"/>
    <x v="1"/>
    <n v="18.899999999999999"/>
    <n v="3"/>
    <n v="8.69"/>
    <x v="8"/>
    <x v="0"/>
  </r>
  <r>
    <d v="2021-09-29T00:00:00"/>
    <x v="437"/>
    <x v="20"/>
    <x v="0"/>
    <x v="0"/>
    <n v="77.52"/>
    <n v="2"/>
    <n v="37.979999999999997"/>
    <x v="8"/>
    <x v="0"/>
  </r>
  <r>
    <d v="2021-09-29T00:00:00"/>
    <x v="438"/>
    <x v="22"/>
    <x v="0"/>
    <x v="3"/>
    <n v="10.050000000000001"/>
    <n v="2"/>
    <n v="3.14"/>
    <x v="8"/>
    <x v="0"/>
  </r>
  <r>
    <d v="2021-09-29T00:00:00"/>
    <x v="438"/>
    <x v="22"/>
    <x v="0"/>
    <x v="2"/>
    <n v="807.75"/>
    <n v="5"/>
    <n v="153.47"/>
    <x v="8"/>
    <x v="0"/>
  </r>
  <r>
    <d v="2021-09-30T00:00:00"/>
    <x v="277"/>
    <x v="20"/>
    <x v="0"/>
    <x v="0"/>
    <n v="48.94"/>
    <n v="1"/>
    <n v="24.47"/>
    <x v="8"/>
    <x v="0"/>
  </r>
  <r>
    <d v="2021-09-30T00:00:00"/>
    <x v="346"/>
    <x v="16"/>
    <x v="0"/>
    <x v="0"/>
    <n v="15.55"/>
    <n v="3"/>
    <n v="5.44"/>
    <x v="8"/>
    <x v="0"/>
  </r>
  <r>
    <d v="2021-09-30T00:00:00"/>
    <x v="439"/>
    <x v="15"/>
    <x v="0"/>
    <x v="12"/>
    <n v="69.22"/>
    <n v="6"/>
    <n v="11.25"/>
    <x v="8"/>
    <x v="0"/>
  </r>
  <r>
    <d v="2021-09-30T00:00:00"/>
    <x v="440"/>
    <x v="22"/>
    <x v="0"/>
    <x v="3"/>
    <n v="43.18"/>
    <n v="7"/>
    <n v="13.49"/>
    <x v="8"/>
    <x v="0"/>
  </r>
  <r>
    <d v="2021-09-30T00:00:00"/>
    <x v="223"/>
    <x v="20"/>
    <x v="1"/>
    <x v="8"/>
    <n v="15.24"/>
    <n v="3"/>
    <n v="5.18"/>
    <x v="8"/>
    <x v="0"/>
  </r>
  <r>
    <d v="2021-09-30T00:00:00"/>
    <x v="441"/>
    <x v="10"/>
    <x v="0"/>
    <x v="12"/>
    <n v="795.41"/>
    <n v="6"/>
    <n v="59.66"/>
    <x v="8"/>
    <x v="0"/>
  </r>
  <r>
    <d v="2021-10-01T00:00:00"/>
    <x v="82"/>
    <x v="17"/>
    <x v="0"/>
    <x v="7"/>
    <n v="4.71"/>
    <n v="1"/>
    <n v="0"/>
    <x v="9"/>
    <x v="0"/>
  </r>
  <r>
    <d v="2021-10-02T00:00:00"/>
    <x v="442"/>
    <x v="12"/>
    <x v="0"/>
    <x v="0"/>
    <n v="9.41"/>
    <n v="2"/>
    <n v="3.41"/>
    <x v="9"/>
    <x v="0"/>
  </r>
  <r>
    <d v="2021-10-02T00:00:00"/>
    <x v="442"/>
    <x v="12"/>
    <x v="0"/>
    <x v="7"/>
    <n v="4.67"/>
    <n v="2"/>
    <n v="1.46"/>
    <x v="9"/>
    <x v="0"/>
  </r>
  <r>
    <d v="2021-10-02T00:00:00"/>
    <x v="442"/>
    <x v="12"/>
    <x v="2"/>
    <x v="6"/>
    <n v="318.39999999999998"/>
    <n v="2"/>
    <n v="107.46"/>
    <x v="9"/>
    <x v="0"/>
  </r>
  <r>
    <d v="2021-10-02T00:00:00"/>
    <x v="442"/>
    <x v="12"/>
    <x v="0"/>
    <x v="10"/>
    <n v="12.77"/>
    <n v="6"/>
    <n v="4.63"/>
    <x v="9"/>
    <x v="0"/>
  </r>
  <r>
    <d v="2021-10-02T00:00:00"/>
    <x v="442"/>
    <x v="12"/>
    <x v="0"/>
    <x v="14"/>
    <n v="15.36"/>
    <n v="2"/>
    <n v="-3.26"/>
    <x v="9"/>
    <x v="0"/>
  </r>
  <r>
    <d v="2021-10-02T00:00:00"/>
    <x v="442"/>
    <x v="12"/>
    <x v="2"/>
    <x v="6"/>
    <n v="230.38"/>
    <n v="3"/>
    <n v="20.16"/>
    <x v="9"/>
    <x v="0"/>
  </r>
  <r>
    <d v="2021-10-02T00:00:00"/>
    <x v="442"/>
    <x v="12"/>
    <x v="2"/>
    <x v="9"/>
    <n v="7.16"/>
    <n v="1"/>
    <n v="-0.09"/>
    <x v="9"/>
    <x v="0"/>
  </r>
  <r>
    <d v="2021-10-03T00:00:00"/>
    <x v="443"/>
    <x v="1"/>
    <x v="1"/>
    <x v="5"/>
    <n v="258.27999999999997"/>
    <n v="3"/>
    <n v="-70.099999999999994"/>
    <x v="9"/>
    <x v="0"/>
  </r>
  <r>
    <d v="2021-10-03T00:00:00"/>
    <x v="444"/>
    <x v="3"/>
    <x v="1"/>
    <x v="13"/>
    <n v="143.43"/>
    <n v="1"/>
    <n v="3.59"/>
    <x v="9"/>
    <x v="0"/>
  </r>
  <r>
    <d v="2021-10-03T00:00:00"/>
    <x v="444"/>
    <x v="3"/>
    <x v="1"/>
    <x v="5"/>
    <n v="122.35"/>
    <n v="3"/>
    <n v="13.76"/>
    <x v="9"/>
    <x v="0"/>
  </r>
  <r>
    <d v="2021-10-03T00:00:00"/>
    <x v="421"/>
    <x v="25"/>
    <x v="0"/>
    <x v="2"/>
    <n v="61.57"/>
    <n v="2"/>
    <n v="4.62"/>
    <x v="9"/>
    <x v="0"/>
  </r>
  <r>
    <d v="2021-10-03T00:00:00"/>
    <x v="421"/>
    <x v="25"/>
    <x v="0"/>
    <x v="4"/>
    <n v="6.19"/>
    <n v="3"/>
    <n v="0.46"/>
    <x v="9"/>
    <x v="0"/>
  </r>
  <r>
    <d v="2021-10-03T00:00:00"/>
    <x v="445"/>
    <x v="10"/>
    <x v="0"/>
    <x v="4"/>
    <n v="55.98"/>
    <n v="2"/>
    <n v="4.2"/>
    <x v="9"/>
    <x v="0"/>
  </r>
  <r>
    <d v="2021-10-03T00:00:00"/>
    <x v="445"/>
    <x v="10"/>
    <x v="0"/>
    <x v="10"/>
    <n v="14.48"/>
    <n v="5"/>
    <n v="4.8899999999999997"/>
    <x v="9"/>
    <x v="0"/>
  </r>
  <r>
    <d v="2021-10-03T00:00:00"/>
    <x v="445"/>
    <x v="10"/>
    <x v="2"/>
    <x v="9"/>
    <n v="142.49"/>
    <n v="3"/>
    <n v="-3.56"/>
    <x v="9"/>
    <x v="0"/>
  </r>
  <r>
    <d v="2021-10-03T00:00:00"/>
    <x v="446"/>
    <x v="0"/>
    <x v="0"/>
    <x v="7"/>
    <n v="4.34"/>
    <n v="3"/>
    <n v="0.87"/>
    <x v="9"/>
    <x v="0"/>
  </r>
  <r>
    <d v="2021-10-03T00:00:00"/>
    <x v="446"/>
    <x v="0"/>
    <x v="1"/>
    <x v="8"/>
    <n v="31.78"/>
    <n v="3"/>
    <n v="-19.07"/>
    <x v="9"/>
    <x v="0"/>
  </r>
  <r>
    <d v="2021-10-03T00:00:00"/>
    <x v="446"/>
    <x v="0"/>
    <x v="0"/>
    <x v="1"/>
    <n v="4.93"/>
    <n v="2"/>
    <n v="1.72"/>
    <x v="9"/>
    <x v="0"/>
  </r>
  <r>
    <d v="2021-10-03T00:00:00"/>
    <x v="446"/>
    <x v="0"/>
    <x v="0"/>
    <x v="3"/>
    <n v="1.79"/>
    <n v="3"/>
    <n v="-3.04"/>
    <x v="9"/>
    <x v="0"/>
  </r>
  <r>
    <d v="2021-10-03T00:00:00"/>
    <x v="446"/>
    <x v="0"/>
    <x v="0"/>
    <x v="7"/>
    <n v="15.07"/>
    <n v="4"/>
    <n v="-3.77"/>
    <x v="9"/>
    <x v="0"/>
  </r>
  <r>
    <d v="2021-10-04T00:00:00"/>
    <x v="447"/>
    <x v="3"/>
    <x v="0"/>
    <x v="1"/>
    <n v="14.45"/>
    <n v="5"/>
    <n v="6.79"/>
    <x v="9"/>
    <x v="0"/>
  </r>
  <r>
    <d v="2021-10-04T00:00:00"/>
    <x v="447"/>
    <x v="3"/>
    <x v="0"/>
    <x v="3"/>
    <n v="95.65"/>
    <n v="2"/>
    <n v="31.09"/>
    <x v="9"/>
    <x v="0"/>
  </r>
  <r>
    <d v="2021-10-04T00:00:00"/>
    <x v="448"/>
    <x v="22"/>
    <x v="0"/>
    <x v="1"/>
    <n v="29.24"/>
    <n v="4"/>
    <n v="13.74"/>
    <x v="9"/>
    <x v="0"/>
  </r>
  <r>
    <d v="2021-10-04T00:00:00"/>
    <x v="393"/>
    <x v="20"/>
    <x v="1"/>
    <x v="5"/>
    <n v="589.41"/>
    <n v="5"/>
    <n v="-6.55"/>
    <x v="9"/>
    <x v="0"/>
  </r>
  <r>
    <d v="2021-10-05T00:00:00"/>
    <x v="449"/>
    <x v="10"/>
    <x v="0"/>
    <x v="12"/>
    <n v="91.92"/>
    <n v="5"/>
    <n v="11.49"/>
    <x v="9"/>
    <x v="0"/>
  </r>
  <r>
    <d v="2021-10-05T00:00:00"/>
    <x v="348"/>
    <x v="3"/>
    <x v="2"/>
    <x v="9"/>
    <n v="99.98"/>
    <n v="2"/>
    <n v="34.99"/>
    <x v="9"/>
    <x v="0"/>
  </r>
  <r>
    <d v="2021-10-06T00:00:00"/>
    <x v="21"/>
    <x v="3"/>
    <x v="2"/>
    <x v="9"/>
    <n v="9.09"/>
    <n v="3"/>
    <n v="1.91"/>
    <x v="9"/>
    <x v="0"/>
  </r>
  <r>
    <d v="2021-10-06T00:00:00"/>
    <x v="450"/>
    <x v="40"/>
    <x v="0"/>
    <x v="3"/>
    <n v="15.36"/>
    <n v="2"/>
    <n v="7.68"/>
    <x v="9"/>
    <x v="0"/>
  </r>
  <r>
    <d v="2021-10-06T00:00:00"/>
    <x v="448"/>
    <x v="2"/>
    <x v="0"/>
    <x v="2"/>
    <n v="83.92"/>
    <n v="5"/>
    <n v="-13.64"/>
    <x v="9"/>
    <x v="0"/>
  </r>
  <r>
    <d v="2021-10-06T00:00:00"/>
    <x v="379"/>
    <x v="18"/>
    <x v="0"/>
    <x v="2"/>
    <n v="386.34"/>
    <n v="2"/>
    <n v="54.09"/>
    <x v="9"/>
    <x v="0"/>
  </r>
  <r>
    <d v="2021-10-07T00:00:00"/>
    <x v="376"/>
    <x v="2"/>
    <x v="1"/>
    <x v="8"/>
    <n v="129.91999999999999"/>
    <n v="5"/>
    <n v="21.11"/>
    <x v="9"/>
    <x v="0"/>
  </r>
  <r>
    <d v="2021-10-07T00:00:00"/>
    <x v="130"/>
    <x v="0"/>
    <x v="0"/>
    <x v="2"/>
    <n v="107.44"/>
    <n v="10"/>
    <n v="10.74"/>
    <x v="9"/>
    <x v="0"/>
  </r>
  <r>
    <d v="2021-10-08T00:00:00"/>
    <x v="419"/>
    <x v="25"/>
    <x v="2"/>
    <x v="9"/>
    <n v="23.47"/>
    <n v="3"/>
    <n v="4.99"/>
    <x v="9"/>
    <x v="0"/>
  </r>
  <r>
    <d v="2021-10-08T00:00:00"/>
    <x v="416"/>
    <x v="20"/>
    <x v="0"/>
    <x v="0"/>
    <n v="123.92"/>
    <n v="4"/>
    <n v="55.76"/>
    <x v="9"/>
    <x v="0"/>
  </r>
  <r>
    <d v="2021-10-09T00:00:00"/>
    <x v="244"/>
    <x v="25"/>
    <x v="0"/>
    <x v="0"/>
    <n v="88.77"/>
    <n v="2"/>
    <n v="31.07"/>
    <x v="9"/>
    <x v="0"/>
  </r>
  <r>
    <d v="2021-10-09T00:00:00"/>
    <x v="373"/>
    <x v="3"/>
    <x v="0"/>
    <x v="4"/>
    <n v="144.6"/>
    <n v="3"/>
    <n v="41.93"/>
    <x v="9"/>
    <x v="0"/>
  </r>
  <r>
    <d v="2021-10-09T00:00:00"/>
    <x v="373"/>
    <x v="3"/>
    <x v="2"/>
    <x v="6"/>
    <n v="15.99"/>
    <n v="1"/>
    <n v="-3"/>
    <x v="9"/>
    <x v="0"/>
  </r>
  <r>
    <d v="2021-10-10T00:00:00"/>
    <x v="451"/>
    <x v="3"/>
    <x v="1"/>
    <x v="5"/>
    <n v="122.35"/>
    <n v="3"/>
    <n v="13.76"/>
    <x v="9"/>
    <x v="0"/>
  </r>
  <r>
    <d v="2021-10-10T00:00:00"/>
    <x v="451"/>
    <x v="3"/>
    <x v="0"/>
    <x v="10"/>
    <n v="15.28"/>
    <n v="2"/>
    <n v="7.49"/>
    <x v="9"/>
    <x v="0"/>
  </r>
  <r>
    <d v="2021-10-10T00:00:00"/>
    <x v="26"/>
    <x v="12"/>
    <x v="1"/>
    <x v="8"/>
    <n v="46.87"/>
    <n v="7"/>
    <n v="3.52"/>
    <x v="9"/>
    <x v="0"/>
  </r>
  <r>
    <d v="2021-10-10T00:00:00"/>
    <x v="71"/>
    <x v="0"/>
    <x v="2"/>
    <x v="6"/>
    <n v="719.95"/>
    <n v="6"/>
    <n v="72"/>
    <x v="9"/>
    <x v="0"/>
  </r>
  <r>
    <d v="2021-10-10T00:00:00"/>
    <x v="71"/>
    <x v="0"/>
    <x v="2"/>
    <x v="6"/>
    <n v="755.94"/>
    <n v="7"/>
    <n v="66.150000000000006"/>
    <x v="9"/>
    <x v="0"/>
  </r>
  <r>
    <d v="2021-10-10T00:00:00"/>
    <x v="71"/>
    <x v="0"/>
    <x v="0"/>
    <x v="3"/>
    <n v="11.98"/>
    <n v="5"/>
    <n v="-19.170000000000002"/>
    <x v="9"/>
    <x v="0"/>
  </r>
  <r>
    <d v="2021-10-10T00:00:00"/>
    <x v="71"/>
    <x v="0"/>
    <x v="0"/>
    <x v="3"/>
    <n v="0.9"/>
    <n v="1"/>
    <n v="-1.57"/>
    <x v="9"/>
    <x v="0"/>
  </r>
  <r>
    <d v="2021-10-10T00:00:00"/>
    <x v="77"/>
    <x v="10"/>
    <x v="2"/>
    <x v="15"/>
    <n v="101.99"/>
    <n v="2"/>
    <n v="-71.400000000000006"/>
    <x v="9"/>
    <x v="0"/>
  </r>
  <r>
    <d v="2021-10-10T00:00:00"/>
    <x v="77"/>
    <x v="10"/>
    <x v="0"/>
    <x v="3"/>
    <n v="18.260000000000002"/>
    <n v="2"/>
    <n v="-13.39"/>
    <x v="9"/>
    <x v="0"/>
  </r>
  <r>
    <d v="2021-10-10T00:00:00"/>
    <x v="452"/>
    <x v="31"/>
    <x v="0"/>
    <x v="4"/>
    <n v="255.85"/>
    <n v="7"/>
    <n v="112.57"/>
    <x v="9"/>
    <x v="0"/>
  </r>
  <r>
    <d v="2021-10-11T00:00:00"/>
    <x v="453"/>
    <x v="2"/>
    <x v="0"/>
    <x v="2"/>
    <n v="281.89999999999998"/>
    <n v="2"/>
    <n v="10.57"/>
    <x v="9"/>
    <x v="0"/>
  </r>
  <r>
    <d v="2021-10-11T00:00:00"/>
    <x v="453"/>
    <x v="2"/>
    <x v="0"/>
    <x v="10"/>
    <n v="201.43"/>
    <n v="3"/>
    <n v="67.98"/>
    <x v="9"/>
    <x v="0"/>
  </r>
  <r>
    <d v="2021-10-11T00:00:00"/>
    <x v="222"/>
    <x v="22"/>
    <x v="1"/>
    <x v="8"/>
    <n v="63.47"/>
    <n v="11"/>
    <n v="19.04"/>
    <x v="9"/>
    <x v="0"/>
  </r>
  <r>
    <d v="2021-10-11T00:00:00"/>
    <x v="222"/>
    <x v="22"/>
    <x v="2"/>
    <x v="9"/>
    <n v="345"/>
    <n v="5"/>
    <n v="58.65"/>
    <x v="9"/>
    <x v="0"/>
  </r>
  <r>
    <d v="2021-10-11T00:00:00"/>
    <x v="454"/>
    <x v="3"/>
    <x v="0"/>
    <x v="2"/>
    <n v="31.92"/>
    <n v="4"/>
    <n v="8.3000000000000007"/>
    <x v="9"/>
    <x v="0"/>
  </r>
  <r>
    <d v="2021-10-11T00:00:00"/>
    <x v="454"/>
    <x v="3"/>
    <x v="1"/>
    <x v="5"/>
    <n v="433.57"/>
    <n v="2"/>
    <n v="-65.040000000000006"/>
    <x v="9"/>
    <x v="0"/>
  </r>
  <r>
    <d v="2021-10-11T00:00:00"/>
    <x v="159"/>
    <x v="13"/>
    <x v="0"/>
    <x v="1"/>
    <n v="7.31"/>
    <n v="1"/>
    <n v="3.44"/>
    <x v="9"/>
    <x v="0"/>
  </r>
  <r>
    <d v="2021-10-11T00:00:00"/>
    <x v="159"/>
    <x v="13"/>
    <x v="1"/>
    <x v="8"/>
    <n v="8.92"/>
    <n v="4"/>
    <n v="3.92"/>
    <x v="9"/>
    <x v="0"/>
  </r>
  <r>
    <d v="2021-10-11T00:00:00"/>
    <x v="83"/>
    <x v="3"/>
    <x v="0"/>
    <x v="10"/>
    <n v="7.64"/>
    <n v="1"/>
    <n v="3.74"/>
    <x v="9"/>
    <x v="0"/>
  </r>
  <r>
    <d v="2021-10-12T00:00:00"/>
    <x v="416"/>
    <x v="3"/>
    <x v="0"/>
    <x v="4"/>
    <n v="14.9"/>
    <n v="5"/>
    <n v="4.17"/>
    <x v="9"/>
    <x v="0"/>
  </r>
  <r>
    <d v="2021-10-12T00:00:00"/>
    <x v="416"/>
    <x v="3"/>
    <x v="0"/>
    <x v="2"/>
    <n v="21.39"/>
    <n v="1"/>
    <n v="6.2"/>
    <x v="9"/>
    <x v="0"/>
  </r>
  <r>
    <d v="2021-10-12T00:00:00"/>
    <x v="455"/>
    <x v="1"/>
    <x v="0"/>
    <x v="14"/>
    <n v="22.24"/>
    <n v="2"/>
    <n v="2.5"/>
    <x v="9"/>
    <x v="0"/>
  </r>
  <r>
    <d v="2021-10-13T00:00:00"/>
    <x v="456"/>
    <x v="22"/>
    <x v="0"/>
    <x v="4"/>
    <n v="11.52"/>
    <n v="4"/>
    <n v="3.23"/>
    <x v="9"/>
    <x v="0"/>
  </r>
  <r>
    <d v="2021-10-13T00:00:00"/>
    <x v="456"/>
    <x v="22"/>
    <x v="1"/>
    <x v="13"/>
    <n v="1298.55"/>
    <n v="5"/>
    <n v="311.64999999999998"/>
    <x v="9"/>
    <x v="0"/>
  </r>
  <r>
    <d v="2021-10-13T00:00:00"/>
    <x v="456"/>
    <x v="22"/>
    <x v="0"/>
    <x v="12"/>
    <n v="213.92"/>
    <n v="4"/>
    <n v="62.04"/>
    <x v="9"/>
    <x v="0"/>
  </r>
  <r>
    <d v="2021-10-13T00:00:00"/>
    <x v="456"/>
    <x v="22"/>
    <x v="2"/>
    <x v="9"/>
    <n v="25.78"/>
    <n v="2"/>
    <n v="2.58"/>
    <x v="9"/>
    <x v="0"/>
  </r>
  <r>
    <d v="2021-10-13T00:00:00"/>
    <x v="44"/>
    <x v="23"/>
    <x v="1"/>
    <x v="5"/>
    <n v="245.98"/>
    <n v="2"/>
    <n v="27.06"/>
    <x v="9"/>
    <x v="0"/>
  </r>
  <r>
    <d v="2021-10-13T00:00:00"/>
    <x v="44"/>
    <x v="23"/>
    <x v="0"/>
    <x v="3"/>
    <n v="18.940000000000001"/>
    <n v="1"/>
    <n v="9.4700000000000006"/>
    <x v="9"/>
    <x v="0"/>
  </r>
  <r>
    <d v="2021-10-13T00:00:00"/>
    <x v="457"/>
    <x v="20"/>
    <x v="0"/>
    <x v="3"/>
    <n v="7.75"/>
    <n v="3"/>
    <n v="2.81"/>
    <x v="9"/>
    <x v="0"/>
  </r>
  <r>
    <d v="2021-10-13T00:00:00"/>
    <x v="415"/>
    <x v="6"/>
    <x v="0"/>
    <x v="10"/>
    <n v="36.4"/>
    <n v="5"/>
    <n v="17.47"/>
    <x v="9"/>
    <x v="0"/>
  </r>
  <r>
    <d v="2021-10-13T00:00:00"/>
    <x v="415"/>
    <x v="6"/>
    <x v="2"/>
    <x v="9"/>
    <n v="22.96"/>
    <n v="2"/>
    <n v="4.3600000000000003"/>
    <x v="9"/>
    <x v="0"/>
  </r>
  <r>
    <d v="2021-10-13T00:00:00"/>
    <x v="415"/>
    <x v="6"/>
    <x v="0"/>
    <x v="2"/>
    <n v="315.2"/>
    <n v="4"/>
    <n v="6.3"/>
    <x v="9"/>
    <x v="0"/>
  </r>
  <r>
    <d v="2021-10-13T00:00:00"/>
    <x v="415"/>
    <x v="6"/>
    <x v="0"/>
    <x v="3"/>
    <n v="15.18"/>
    <n v="3"/>
    <n v="7.13"/>
    <x v="9"/>
    <x v="0"/>
  </r>
  <r>
    <d v="2021-10-14T00:00:00"/>
    <x v="458"/>
    <x v="38"/>
    <x v="0"/>
    <x v="3"/>
    <n v="22.92"/>
    <n v="4"/>
    <n v="11"/>
    <x v="9"/>
    <x v="0"/>
  </r>
  <r>
    <d v="2021-10-14T00:00:00"/>
    <x v="458"/>
    <x v="38"/>
    <x v="0"/>
    <x v="2"/>
    <n v="269.89999999999998"/>
    <n v="5"/>
    <n v="16.190000000000001"/>
    <x v="9"/>
    <x v="0"/>
  </r>
  <r>
    <d v="2021-10-14T00:00:00"/>
    <x v="459"/>
    <x v="0"/>
    <x v="0"/>
    <x v="12"/>
    <n v="3.16"/>
    <n v="4"/>
    <n v="-8.5299999999999994"/>
    <x v="9"/>
    <x v="0"/>
  </r>
  <r>
    <d v="2021-10-14T00:00:00"/>
    <x v="459"/>
    <x v="0"/>
    <x v="2"/>
    <x v="16"/>
    <n v="1999.96"/>
    <n v="5"/>
    <n v="624.99"/>
    <x v="9"/>
    <x v="0"/>
  </r>
  <r>
    <d v="2021-10-14T00:00:00"/>
    <x v="32"/>
    <x v="1"/>
    <x v="0"/>
    <x v="0"/>
    <n v="322.19"/>
    <n v="13"/>
    <n v="100.69"/>
    <x v="9"/>
    <x v="0"/>
  </r>
  <r>
    <d v="2021-10-14T00:00:00"/>
    <x v="32"/>
    <x v="1"/>
    <x v="0"/>
    <x v="3"/>
    <n v="2.95"/>
    <n v="3"/>
    <n v="-4.8600000000000003"/>
    <x v="9"/>
    <x v="0"/>
  </r>
  <r>
    <d v="2021-10-14T00:00:00"/>
    <x v="32"/>
    <x v="1"/>
    <x v="0"/>
    <x v="0"/>
    <n v="19.14"/>
    <n v="4"/>
    <n v="6.94"/>
    <x v="9"/>
    <x v="0"/>
  </r>
  <r>
    <d v="2021-10-14T00:00:00"/>
    <x v="460"/>
    <x v="32"/>
    <x v="2"/>
    <x v="9"/>
    <n v="177"/>
    <n v="3"/>
    <n v="30.09"/>
    <x v="9"/>
    <x v="0"/>
  </r>
  <r>
    <d v="2021-10-14T00:00:00"/>
    <x v="460"/>
    <x v="32"/>
    <x v="0"/>
    <x v="2"/>
    <n v="79.45"/>
    <n v="7"/>
    <n v="22.25"/>
    <x v="9"/>
    <x v="0"/>
  </r>
  <r>
    <d v="2021-10-14T00:00:00"/>
    <x v="460"/>
    <x v="32"/>
    <x v="1"/>
    <x v="5"/>
    <n v="1628.82"/>
    <n v="9"/>
    <n v="260.61"/>
    <x v="9"/>
    <x v="0"/>
  </r>
  <r>
    <d v="2021-10-15T00:00:00"/>
    <x v="275"/>
    <x v="16"/>
    <x v="1"/>
    <x v="8"/>
    <n v="15.38"/>
    <n v="1"/>
    <n v="4.04"/>
    <x v="9"/>
    <x v="0"/>
  </r>
  <r>
    <d v="2021-10-15T00:00:00"/>
    <x v="461"/>
    <x v="10"/>
    <x v="1"/>
    <x v="5"/>
    <n v="183.37"/>
    <n v="2"/>
    <n v="-7.86"/>
    <x v="9"/>
    <x v="0"/>
  </r>
  <r>
    <d v="2021-10-15T00:00:00"/>
    <x v="461"/>
    <x v="10"/>
    <x v="0"/>
    <x v="0"/>
    <n v="7.97"/>
    <n v="2"/>
    <n v="2.89"/>
    <x v="9"/>
    <x v="0"/>
  </r>
  <r>
    <d v="2021-10-16T00:00:00"/>
    <x v="462"/>
    <x v="3"/>
    <x v="0"/>
    <x v="3"/>
    <n v="14.35"/>
    <n v="3"/>
    <n v="5.0199999999999996"/>
    <x v="9"/>
    <x v="0"/>
  </r>
  <r>
    <d v="2021-10-16T00:00:00"/>
    <x v="462"/>
    <x v="3"/>
    <x v="2"/>
    <x v="9"/>
    <n v="179.97"/>
    <n v="3"/>
    <n v="86.39"/>
    <x v="9"/>
    <x v="0"/>
  </r>
  <r>
    <d v="2021-10-17T00:00:00"/>
    <x v="463"/>
    <x v="0"/>
    <x v="0"/>
    <x v="3"/>
    <n v="10.78"/>
    <n v="5"/>
    <n v="-17.25"/>
    <x v="9"/>
    <x v="0"/>
  </r>
  <r>
    <d v="2021-10-17T00:00:00"/>
    <x v="463"/>
    <x v="0"/>
    <x v="2"/>
    <x v="9"/>
    <n v="119.98"/>
    <n v="3"/>
    <n v="-18"/>
    <x v="9"/>
    <x v="0"/>
  </r>
  <r>
    <d v="2021-10-17T00:00:00"/>
    <x v="438"/>
    <x v="0"/>
    <x v="1"/>
    <x v="8"/>
    <n v="5.31"/>
    <n v="2"/>
    <n v="-1.59"/>
    <x v="9"/>
    <x v="0"/>
  </r>
  <r>
    <d v="2021-10-18T00:00:00"/>
    <x v="464"/>
    <x v="33"/>
    <x v="0"/>
    <x v="2"/>
    <n v="275.97000000000003"/>
    <n v="3"/>
    <n v="11.04"/>
    <x v="9"/>
    <x v="0"/>
  </r>
  <r>
    <d v="2021-10-18T00:00:00"/>
    <x v="464"/>
    <x v="33"/>
    <x v="2"/>
    <x v="6"/>
    <n v="1394.95"/>
    <n v="5"/>
    <n v="362.69"/>
    <x v="9"/>
    <x v="0"/>
  </r>
  <r>
    <d v="2021-10-18T00:00:00"/>
    <x v="464"/>
    <x v="33"/>
    <x v="1"/>
    <x v="5"/>
    <n v="545.88"/>
    <n v="6"/>
    <n v="70.959999999999994"/>
    <x v="9"/>
    <x v="0"/>
  </r>
  <r>
    <d v="2021-10-18T00:00:00"/>
    <x v="150"/>
    <x v="2"/>
    <x v="0"/>
    <x v="10"/>
    <n v="52.51"/>
    <n v="6"/>
    <n v="19.690000000000001"/>
    <x v="9"/>
    <x v="0"/>
  </r>
  <r>
    <d v="2021-10-18T00:00:00"/>
    <x v="150"/>
    <x v="2"/>
    <x v="0"/>
    <x v="2"/>
    <n v="186.91"/>
    <n v="6"/>
    <n v="-35.049999999999997"/>
    <x v="9"/>
    <x v="0"/>
  </r>
  <r>
    <d v="2021-10-18T00:00:00"/>
    <x v="150"/>
    <x v="2"/>
    <x v="0"/>
    <x v="0"/>
    <n v="10.050000000000001"/>
    <n v="4"/>
    <n v="3.14"/>
    <x v="9"/>
    <x v="0"/>
  </r>
  <r>
    <d v="2021-10-18T00:00:00"/>
    <x v="465"/>
    <x v="13"/>
    <x v="1"/>
    <x v="5"/>
    <n v="605.34"/>
    <n v="6"/>
    <n v="145.28"/>
    <x v="9"/>
    <x v="0"/>
  </r>
  <r>
    <d v="2021-10-18T00:00:00"/>
    <x v="466"/>
    <x v="22"/>
    <x v="0"/>
    <x v="0"/>
    <n v="61.96"/>
    <n v="2"/>
    <n v="27.88"/>
    <x v="9"/>
    <x v="0"/>
  </r>
  <r>
    <d v="2021-10-18T00:00:00"/>
    <x v="466"/>
    <x v="22"/>
    <x v="0"/>
    <x v="3"/>
    <n v="1.34"/>
    <n v="1"/>
    <n v="0.47"/>
    <x v="9"/>
    <x v="0"/>
  </r>
  <r>
    <d v="2021-10-19T00:00:00"/>
    <x v="467"/>
    <x v="3"/>
    <x v="0"/>
    <x v="0"/>
    <n v="13.44"/>
    <n v="3"/>
    <n v="6.59"/>
    <x v="9"/>
    <x v="0"/>
  </r>
  <r>
    <d v="2021-10-19T00:00:00"/>
    <x v="468"/>
    <x v="3"/>
    <x v="0"/>
    <x v="3"/>
    <n v="2.99"/>
    <n v="1"/>
    <n v="1.1200000000000001"/>
    <x v="9"/>
    <x v="0"/>
  </r>
  <r>
    <d v="2021-10-19T00:00:00"/>
    <x v="468"/>
    <x v="3"/>
    <x v="0"/>
    <x v="3"/>
    <n v="20.059999999999999"/>
    <n v="6"/>
    <n v="7.02"/>
    <x v="9"/>
    <x v="0"/>
  </r>
  <r>
    <d v="2021-10-19T00:00:00"/>
    <x v="468"/>
    <x v="3"/>
    <x v="0"/>
    <x v="0"/>
    <n v="146.72999999999999"/>
    <n v="3"/>
    <n v="68.959999999999994"/>
    <x v="9"/>
    <x v="0"/>
  </r>
  <r>
    <d v="2021-10-19T00:00:00"/>
    <x v="468"/>
    <x v="3"/>
    <x v="0"/>
    <x v="1"/>
    <n v="18.75"/>
    <n v="5"/>
    <n v="9"/>
    <x v="9"/>
    <x v="0"/>
  </r>
  <r>
    <d v="2021-10-19T00:00:00"/>
    <x v="468"/>
    <x v="3"/>
    <x v="2"/>
    <x v="6"/>
    <n v="117.58"/>
    <n v="3"/>
    <n v="11.76"/>
    <x v="9"/>
    <x v="0"/>
  </r>
  <r>
    <d v="2021-10-19T00:00:00"/>
    <x v="469"/>
    <x v="3"/>
    <x v="2"/>
    <x v="6"/>
    <n v="321.55"/>
    <n v="6"/>
    <n v="20.100000000000001"/>
    <x v="9"/>
    <x v="0"/>
  </r>
  <r>
    <d v="2021-10-20T00:00:00"/>
    <x v="99"/>
    <x v="14"/>
    <x v="0"/>
    <x v="2"/>
    <n v="211.96"/>
    <n v="4"/>
    <n v="8.48"/>
    <x v="9"/>
    <x v="0"/>
  </r>
  <r>
    <d v="2021-10-20T00:00:00"/>
    <x v="470"/>
    <x v="15"/>
    <x v="1"/>
    <x v="13"/>
    <n v="328.59"/>
    <n v="3"/>
    <n v="-147.87"/>
    <x v="9"/>
    <x v="0"/>
  </r>
  <r>
    <d v="2021-10-20T00:00:00"/>
    <x v="470"/>
    <x v="15"/>
    <x v="0"/>
    <x v="2"/>
    <n v="98.35"/>
    <n v="3"/>
    <n v="-24.59"/>
    <x v="9"/>
    <x v="0"/>
  </r>
  <r>
    <d v="2021-10-20T00:00:00"/>
    <x v="471"/>
    <x v="1"/>
    <x v="2"/>
    <x v="9"/>
    <n v="319.97000000000003"/>
    <n v="4"/>
    <n v="71.989999999999995"/>
    <x v="9"/>
    <x v="0"/>
  </r>
  <r>
    <d v="2021-10-20T00:00:00"/>
    <x v="471"/>
    <x v="1"/>
    <x v="0"/>
    <x v="2"/>
    <n v="505.32"/>
    <n v="3"/>
    <n v="31.58"/>
    <x v="9"/>
    <x v="0"/>
  </r>
  <r>
    <d v="2021-10-20T00:00:00"/>
    <x v="471"/>
    <x v="1"/>
    <x v="0"/>
    <x v="0"/>
    <n v="3.81"/>
    <n v="1"/>
    <n v="1.24"/>
    <x v="9"/>
    <x v="0"/>
  </r>
  <r>
    <d v="2021-10-20T00:00:00"/>
    <x v="471"/>
    <x v="1"/>
    <x v="0"/>
    <x v="3"/>
    <n v="8.68"/>
    <n v="1"/>
    <n v="-14.76"/>
    <x v="9"/>
    <x v="0"/>
  </r>
  <r>
    <d v="2021-10-20T00:00:00"/>
    <x v="471"/>
    <x v="1"/>
    <x v="0"/>
    <x v="1"/>
    <n v="24.42"/>
    <n v="1"/>
    <n v="7.94"/>
    <x v="9"/>
    <x v="0"/>
  </r>
  <r>
    <d v="2021-10-21T00:00:00"/>
    <x v="463"/>
    <x v="10"/>
    <x v="0"/>
    <x v="12"/>
    <n v="121.79"/>
    <n v="4"/>
    <n v="13.7"/>
    <x v="9"/>
    <x v="0"/>
  </r>
  <r>
    <d v="2021-10-21T00:00:00"/>
    <x v="463"/>
    <x v="10"/>
    <x v="1"/>
    <x v="13"/>
    <n v="409.59"/>
    <n v="3"/>
    <n v="-122.88"/>
    <x v="9"/>
    <x v="0"/>
  </r>
  <r>
    <d v="2021-10-21T00:00:00"/>
    <x v="472"/>
    <x v="3"/>
    <x v="0"/>
    <x v="3"/>
    <n v="36.36"/>
    <n v="3"/>
    <n v="12.27"/>
    <x v="9"/>
    <x v="0"/>
  </r>
  <r>
    <d v="2021-10-21T00:00:00"/>
    <x v="136"/>
    <x v="6"/>
    <x v="0"/>
    <x v="2"/>
    <n v="194.7"/>
    <n v="5"/>
    <n v="9.74"/>
    <x v="9"/>
    <x v="0"/>
  </r>
  <r>
    <d v="2021-10-21T00:00:00"/>
    <x v="136"/>
    <x v="6"/>
    <x v="1"/>
    <x v="13"/>
    <n v="591.32000000000005"/>
    <n v="4"/>
    <n v="112.35"/>
    <x v="9"/>
    <x v="0"/>
  </r>
  <r>
    <d v="2021-10-21T00:00:00"/>
    <x v="136"/>
    <x v="6"/>
    <x v="0"/>
    <x v="4"/>
    <n v="2.84"/>
    <n v="1"/>
    <n v="0.88"/>
    <x v="9"/>
    <x v="0"/>
  </r>
  <r>
    <d v="2021-10-22T00:00:00"/>
    <x v="473"/>
    <x v="10"/>
    <x v="1"/>
    <x v="8"/>
    <n v="93.89"/>
    <n v="4"/>
    <n v="12.91"/>
    <x v="9"/>
    <x v="0"/>
  </r>
  <r>
    <d v="2021-10-22T00:00:00"/>
    <x v="430"/>
    <x v="8"/>
    <x v="1"/>
    <x v="8"/>
    <n v="129.91999999999999"/>
    <n v="4"/>
    <n v="10.39"/>
    <x v="9"/>
    <x v="0"/>
  </r>
  <r>
    <d v="2021-10-24T00:00:00"/>
    <x v="474"/>
    <x v="16"/>
    <x v="0"/>
    <x v="0"/>
    <n v="10.37"/>
    <n v="2"/>
    <n v="3.63"/>
    <x v="9"/>
    <x v="0"/>
  </r>
  <r>
    <d v="2021-10-24T00:00:00"/>
    <x v="158"/>
    <x v="3"/>
    <x v="0"/>
    <x v="3"/>
    <n v="34.270000000000003"/>
    <n v="3"/>
    <n v="11.14"/>
    <x v="9"/>
    <x v="0"/>
  </r>
  <r>
    <d v="2021-10-24T00:00:00"/>
    <x v="358"/>
    <x v="9"/>
    <x v="0"/>
    <x v="7"/>
    <n v="11.85"/>
    <n v="3"/>
    <n v="3.79"/>
    <x v="9"/>
    <x v="0"/>
  </r>
  <r>
    <d v="2021-10-25T00:00:00"/>
    <x v="160"/>
    <x v="3"/>
    <x v="0"/>
    <x v="3"/>
    <n v="49.41"/>
    <n v="4"/>
    <n v="18.53"/>
    <x v="9"/>
    <x v="0"/>
  </r>
  <r>
    <d v="2021-10-25T00:00:00"/>
    <x v="216"/>
    <x v="2"/>
    <x v="2"/>
    <x v="9"/>
    <n v="40.78"/>
    <n v="3"/>
    <n v="0.51"/>
    <x v="9"/>
    <x v="0"/>
  </r>
  <r>
    <d v="2021-10-25T00:00:00"/>
    <x v="216"/>
    <x v="2"/>
    <x v="0"/>
    <x v="3"/>
    <n v="13.7"/>
    <n v="3"/>
    <n v="-9.59"/>
    <x v="9"/>
    <x v="0"/>
  </r>
  <r>
    <d v="2021-10-26T00:00:00"/>
    <x v="475"/>
    <x v="22"/>
    <x v="1"/>
    <x v="8"/>
    <n v="63.92"/>
    <n v="4"/>
    <n v="3.2"/>
    <x v="9"/>
    <x v="0"/>
  </r>
  <r>
    <d v="2021-10-26T00:00:00"/>
    <x v="475"/>
    <x v="22"/>
    <x v="2"/>
    <x v="6"/>
    <n v="383.96"/>
    <n v="5"/>
    <n v="38.4"/>
    <x v="9"/>
    <x v="0"/>
  </r>
  <r>
    <d v="2021-10-27T00:00:00"/>
    <x v="476"/>
    <x v="25"/>
    <x v="0"/>
    <x v="0"/>
    <n v="10.37"/>
    <n v="2"/>
    <n v="3.63"/>
    <x v="9"/>
    <x v="0"/>
  </r>
  <r>
    <d v="2021-10-27T00:00:00"/>
    <x v="476"/>
    <x v="25"/>
    <x v="0"/>
    <x v="0"/>
    <n v="11.95"/>
    <n v="3"/>
    <n v="4.03"/>
    <x v="9"/>
    <x v="0"/>
  </r>
  <r>
    <d v="2021-10-28T00:00:00"/>
    <x v="477"/>
    <x v="3"/>
    <x v="0"/>
    <x v="3"/>
    <n v="7.18"/>
    <n v="2"/>
    <n v="2.25"/>
    <x v="9"/>
    <x v="0"/>
  </r>
  <r>
    <d v="2021-10-28T00:00:00"/>
    <x v="477"/>
    <x v="3"/>
    <x v="0"/>
    <x v="14"/>
    <n v="6.28"/>
    <n v="2"/>
    <n v="0.06"/>
    <x v="9"/>
    <x v="0"/>
  </r>
  <r>
    <d v="2021-10-28T00:00:00"/>
    <x v="477"/>
    <x v="3"/>
    <x v="0"/>
    <x v="14"/>
    <n v="480.74"/>
    <n v="2"/>
    <n v="14.42"/>
    <x v="9"/>
    <x v="0"/>
  </r>
  <r>
    <d v="2021-10-28T00:00:00"/>
    <x v="477"/>
    <x v="3"/>
    <x v="1"/>
    <x v="11"/>
    <n v="617"/>
    <n v="6"/>
    <n v="-36.29"/>
    <x v="9"/>
    <x v="0"/>
  </r>
  <r>
    <d v="2021-10-28T00:00:00"/>
    <x v="477"/>
    <x v="3"/>
    <x v="0"/>
    <x v="2"/>
    <n v="141.4"/>
    <n v="5"/>
    <n v="38.18"/>
    <x v="9"/>
    <x v="0"/>
  </r>
  <r>
    <d v="2021-10-28T00:00:00"/>
    <x v="478"/>
    <x v="42"/>
    <x v="2"/>
    <x v="6"/>
    <n v="257.98"/>
    <n v="2"/>
    <n v="74.81"/>
    <x v="9"/>
    <x v="0"/>
  </r>
  <r>
    <d v="2021-10-29T00:00:00"/>
    <x v="52"/>
    <x v="1"/>
    <x v="2"/>
    <x v="6"/>
    <n v="2735.95"/>
    <n v="6"/>
    <n v="341.99"/>
    <x v="9"/>
    <x v="0"/>
  </r>
  <r>
    <d v="2021-10-29T00:00:00"/>
    <x v="479"/>
    <x v="18"/>
    <x v="2"/>
    <x v="9"/>
    <n v="1.98"/>
    <n v="2"/>
    <n v="0.89"/>
    <x v="9"/>
    <x v="0"/>
  </r>
  <r>
    <d v="2021-10-29T00:00:00"/>
    <x v="479"/>
    <x v="18"/>
    <x v="0"/>
    <x v="0"/>
    <n v="75.88"/>
    <n v="2"/>
    <n v="35.659999999999997"/>
    <x v="9"/>
    <x v="0"/>
  </r>
  <r>
    <d v="2021-10-31T00:00:00"/>
    <x v="480"/>
    <x v="3"/>
    <x v="0"/>
    <x v="7"/>
    <n v="11.34"/>
    <n v="3"/>
    <n v="5.22"/>
    <x v="9"/>
    <x v="0"/>
  </r>
  <r>
    <d v="2021-10-31T00:00:00"/>
    <x v="480"/>
    <x v="3"/>
    <x v="0"/>
    <x v="2"/>
    <n v="80.3"/>
    <n v="5"/>
    <n v="20.88"/>
    <x v="9"/>
    <x v="0"/>
  </r>
  <r>
    <d v="2021-10-31T00:00:00"/>
    <x v="480"/>
    <x v="3"/>
    <x v="0"/>
    <x v="3"/>
    <n v="15.97"/>
    <n v="2"/>
    <n v="5.39"/>
    <x v="9"/>
    <x v="0"/>
  </r>
  <r>
    <d v="2021-10-31T00:00:00"/>
    <x v="480"/>
    <x v="3"/>
    <x v="0"/>
    <x v="0"/>
    <n v="64.739999999999995"/>
    <n v="13"/>
    <n v="30.43"/>
    <x v="9"/>
    <x v="0"/>
  </r>
  <r>
    <d v="2021-10-31T00:00:00"/>
    <x v="480"/>
    <x v="3"/>
    <x v="0"/>
    <x v="3"/>
    <n v="19.3"/>
    <n v="3"/>
    <n v="6.03"/>
    <x v="9"/>
    <x v="0"/>
  </r>
  <r>
    <d v="2021-10-31T00:00:00"/>
    <x v="480"/>
    <x v="3"/>
    <x v="0"/>
    <x v="2"/>
    <n v="405.64"/>
    <n v="4"/>
    <n v="12.17"/>
    <x v="9"/>
    <x v="0"/>
  </r>
  <r>
    <d v="2021-10-31T00:00:00"/>
    <x v="480"/>
    <x v="3"/>
    <x v="1"/>
    <x v="5"/>
    <n v="146.35"/>
    <n v="3"/>
    <n v="-9.15"/>
    <x v="9"/>
    <x v="0"/>
  </r>
  <r>
    <d v="2021-10-31T00:00:00"/>
    <x v="480"/>
    <x v="3"/>
    <x v="2"/>
    <x v="9"/>
    <n v="251.91"/>
    <n v="9"/>
    <n v="47.86"/>
    <x v="9"/>
    <x v="0"/>
  </r>
  <r>
    <d v="2021-10-31T00:00:00"/>
    <x v="480"/>
    <x v="3"/>
    <x v="0"/>
    <x v="4"/>
    <n v="12.39"/>
    <n v="3"/>
    <n v="3.72"/>
    <x v="9"/>
    <x v="0"/>
  </r>
  <r>
    <d v="2021-10-31T00:00:00"/>
    <x v="481"/>
    <x v="43"/>
    <x v="0"/>
    <x v="4"/>
    <n v="49.25"/>
    <n v="5"/>
    <n v="18.72"/>
    <x v="9"/>
    <x v="0"/>
  </r>
  <r>
    <d v="2021-10-31T00:00:00"/>
    <x v="481"/>
    <x v="43"/>
    <x v="0"/>
    <x v="0"/>
    <n v="10.16"/>
    <n v="2"/>
    <n v="4.78"/>
    <x v="9"/>
    <x v="0"/>
  </r>
  <r>
    <d v="2021-10-31T00:00:00"/>
    <x v="481"/>
    <x v="43"/>
    <x v="1"/>
    <x v="8"/>
    <n v="14.76"/>
    <n v="2"/>
    <n v="4.28"/>
    <x v="9"/>
    <x v="0"/>
  </r>
  <r>
    <d v="2021-10-31T00:00:00"/>
    <x v="481"/>
    <x v="43"/>
    <x v="0"/>
    <x v="3"/>
    <n v="34.08"/>
    <n v="2"/>
    <n v="15.68"/>
    <x v="9"/>
    <x v="0"/>
  </r>
  <r>
    <d v="2021-10-31T00:00:00"/>
    <x v="481"/>
    <x v="43"/>
    <x v="1"/>
    <x v="8"/>
    <n v="17.670000000000002"/>
    <n v="3"/>
    <n v="7.77"/>
    <x v="9"/>
    <x v="0"/>
  </r>
  <r>
    <d v="2021-10-31T00:00:00"/>
    <x v="481"/>
    <x v="43"/>
    <x v="1"/>
    <x v="5"/>
    <n v="1604.9"/>
    <n v="5"/>
    <n v="481.47"/>
    <x v="9"/>
    <x v="0"/>
  </r>
  <r>
    <d v="2021-10-31T00:00:00"/>
    <x v="481"/>
    <x v="43"/>
    <x v="1"/>
    <x v="13"/>
    <n v="385.69"/>
    <n v="1"/>
    <n v="-60.61"/>
    <x v="9"/>
    <x v="0"/>
  </r>
  <r>
    <d v="2021-10-31T00:00:00"/>
    <x v="482"/>
    <x v="12"/>
    <x v="2"/>
    <x v="6"/>
    <n v="742.34"/>
    <n v="8"/>
    <n v="83.51"/>
    <x v="9"/>
    <x v="0"/>
  </r>
  <r>
    <d v="2021-10-31T00:00:00"/>
    <x v="8"/>
    <x v="10"/>
    <x v="1"/>
    <x v="13"/>
    <n v="1421.66"/>
    <n v="8"/>
    <n v="-734.53"/>
    <x v="9"/>
    <x v="0"/>
  </r>
  <r>
    <d v="2021-10-31T00:00:00"/>
    <x v="483"/>
    <x v="3"/>
    <x v="2"/>
    <x v="6"/>
    <n v="73.58"/>
    <n v="2"/>
    <n v="8.2799999999999994"/>
    <x v="9"/>
    <x v="0"/>
  </r>
  <r>
    <d v="2021-11-01T00:00:00"/>
    <x v="277"/>
    <x v="26"/>
    <x v="0"/>
    <x v="4"/>
    <n v="43.18"/>
    <n v="3"/>
    <n v="4.32"/>
    <x v="10"/>
    <x v="0"/>
  </r>
  <r>
    <d v="2021-11-01T00:00:00"/>
    <x v="277"/>
    <x v="26"/>
    <x v="2"/>
    <x v="6"/>
    <n v="1983.97"/>
    <n v="4"/>
    <n v="248"/>
    <x v="10"/>
    <x v="0"/>
  </r>
  <r>
    <d v="2021-11-01T00:00:00"/>
    <x v="11"/>
    <x v="11"/>
    <x v="0"/>
    <x v="2"/>
    <n v="443.92"/>
    <n v="5"/>
    <n v="-94.33"/>
    <x v="10"/>
    <x v="0"/>
  </r>
  <r>
    <d v="2021-11-01T00:00:00"/>
    <x v="11"/>
    <x v="11"/>
    <x v="2"/>
    <x v="6"/>
    <n v="155.97999999999999"/>
    <n v="3"/>
    <n v="54.59"/>
    <x v="10"/>
    <x v="0"/>
  </r>
  <r>
    <d v="2021-11-01T00:00:00"/>
    <x v="484"/>
    <x v="25"/>
    <x v="0"/>
    <x v="7"/>
    <n v="7.52"/>
    <n v="5"/>
    <n v="1.41"/>
    <x v="10"/>
    <x v="0"/>
  </r>
  <r>
    <d v="2021-11-01T00:00:00"/>
    <x v="484"/>
    <x v="25"/>
    <x v="0"/>
    <x v="4"/>
    <n v="10.27"/>
    <n v="3"/>
    <n v="0.9"/>
    <x v="10"/>
    <x v="0"/>
  </r>
  <r>
    <d v="2021-11-01T00:00:00"/>
    <x v="484"/>
    <x v="25"/>
    <x v="0"/>
    <x v="1"/>
    <n v="47.81"/>
    <n v="12"/>
    <n v="15.54"/>
    <x v="10"/>
    <x v="0"/>
  </r>
  <r>
    <d v="2021-11-01T00:00:00"/>
    <x v="484"/>
    <x v="25"/>
    <x v="2"/>
    <x v="6"/>
    <n v="978.84"/>
    <n v="9"/>
    <n v="110.12"/>
    <x v="10"/>
    <x v="0"/>
  </r>
  <r>
    <d v="2021-11-01T00:00:00"/>
    <x v="436"/>
    <x v="1"/>
    <x v="0"/>
    <x v="0"/>
    <n v="15.7"/>
    <n v="3"/>
    <n v="5.0999999999999996"/>
    <x v="10"/>
    <x v="0"/>
  </r>
  <r>
    <d v="2021-11-01T00:00:00"/>
    <x v="4"/>
    <x v="5"/>
    <x v="0"/>
    <x v="2"/>
    <n v="69.52"/>
    <n v="2"/>
    <n v="19.47"/>
    <x v="10"/>
    <x v="0"/>
  </r>
  <r>
    <d v="2021-11-01T00:00:00"/>
    <x v="4"/>
    <x v="5"/>
    <x v="0"/>
    <x v="4"/>
    <n v="5.64"/>
    <n v="3"/>
    <n v="1.64"/>
    <x v="10"/>
    <x v="0"/>
  </r>
  <r>
    <d v="2021-11-01T00:00:00"/>
    <x v="485"/>
    <x v="3"/>
    <x v="0"/>
    <x v="1"/>
    <n v="44.4"/>
    <n v="3"/>
    <n v="22.2"/>
    <x v="10"/>
    <x v="0"/>
  </r>
  <r>
    <d v="2021-11-01T00:00:00"/>
    <x v="485"/>
    <x v="3"/>
    <x v="0"/>
    <x v="0"/>
    <n v="21.4"/>
    <n v="5"/>
    <n v="9.6300000000000008"/>
    <x v="10"/>
    <x v="0"/>
  </r>
  <r>
    <d v="2021-11-01T00:00:00"/>
    <x v="392"/>
    <x v="20"/>
    <x v="0"/>
    <x v="12"/>
    <n v="533.94000000000005"/>
    <n v="3"/>
    <n v="154.84"/>
    <x v="10"/>
    <x v="0"/>
  </r>
  <r>
    <d v="2021-11-01T00:00:00"/>
    <x v="392"/>
    <x v="20"/>
    <x v="0"/>
    <x v="0"/>
    <n v="167.94"/>
    <n v="3"/>
    <n v="82.29"/>
    <x v="10"/>
    <x v="0"/>
  </r>
  <r>
    <d v="2021-11-01T00:00:00"/>
    <x v="392"/>
    <x v="20"/>
    <x v="1"/>
    <x v="8"/>
    <n v="31.68"/>
    <n v="6"/>
    <n v="9.82"/>
    <x v="10"/>
    <x v="0"/>
  </r>
  <r>
    <d v="2021-11-01T00:00:00"/>
    <x v="486"/>
    <x v="23"/>
    <x v="0"/>
    <x v="12"/>
    <n v="76.12"/>
    <n v="2"/>
    <n v="22.07"/>
    <x v="10"/>
    <x v="0"/>
  </r>
  <r>
    <d v="2021-11-01T00:00:00"/>
    <x v="400"/>
    <x v="10"/>
    <x v="1"/>
    <x v="8"/>
    <n v="68.7"/>
    <n v="2"/>
    <n v="16.32"/>
    <x v="10"/>
    <x v="0"/>
  </r>
  <r>
    <d v="2021-11-01T00:00:00"/>
    <x v="400"/>
    <x v="10"/>
    <x v="0"/>
    <x v="3"/>
    <n v="3.13"/>
    <n v="2"/>
    <n v="-2.61"/>
    <x v="10"/>
    <x v="0"/>
  </r>
  <r>
    <d v="2021-11-01T00:00:00"/>
    <x v="400"/>
    <x v="10"/>
    <x v="0"/>
    <x v="3"/>
    <n v="22.43"/>
    <n v="3"/>
    <n v="-17.940000000000001"/>
    <x v="10"/>
    <x v="0"/>
  </r>
  <r>
    <d v="2021-11-02T00:00:00"/>
    <x v="310"/>
    <x v="20"/>
    <x v="0"/>
    <x v="1"/>
    <n v="34.86"/>
    <n v="7"/>
    <n v="16.04"/>
    <x v="10"/>
    <x v="0"/>
  </r>
  <r>
    <d v="2021-11-02T00:00:00"/>
    <x v="310"/>
    <x v="20"/>
    <x v="1"/>
    <x v="8"/>
    <n v="89.34"/>
    <n v="6"/>
    <n v="24.12"/>
    <x v="10"/>
    <x v="0"/>
  </r>
  <r>
    <d v="2021-11-02T00:00:00"/>
    <x v="487"/>
    <x v="0"/>
    <x v="2"/>
    <x v="6"/>
    <n v="88.78"/>
    <n v="3"/>
    <n v="7.77"/>
    <x v="10"/>
    <x v="0"/>
  </r>
  <r>
    <d v="2021-11-02T00:00:00"/>
    <x v="31"/>
    <x v="10"/>
    <x v="2"/>
    <x v="6"/>
    <n v="539.96"/>
    <n v="6"/>
    <n v="-107.99"/>
    <x v="10"/>
    <x v="0"/>
  </r>
  <r>
    <d v="2021-11-02T00:00:00"/>
    <x v="31"/>
    <x v="10"/>
    <x v="2"/>
    <x v="6"/>
    <n v="50.23"/>
    <n v="7"/>
    <n v="-10.050000000000001"/>
    <x v="10"/>
    <x v="0"/>
  </r>
  <r>
    <d v="2021-11-02T00:00:00"/>
    <x v="31"/>
    <x v="10"/>
    <x v="0"/>
    <x v="3"/>
    <n v="19.239999999999998"/>
    <n v="3"/>
    <n v="-13.47"/>
    <x v="10"/>
    <x v="0"/>
  </r>
  <r>
    <d v="2021-11-02T00:00:00"/>
    <x v="488"/>
    <x v="16"/>
    <x v="2"/>
    <x v="9"/>
    <n v="799.92"/>
    <n v="10"/>
    <n v="239.98"/>
    <x v="10"/>
    <x v="0"/>
  </r>
  <r>
    <d v="2021-11-02T00:00:00"/>
    <x v="489"/>
    <x v="3"/>
    <x v="2"/>
    <x v="6"/>
    <n v="46.38"/>
    <n v="2"/>
    <n v="5.22"/>
    <x v="10"/>
    <x v="0"/>
  </r>
  <r>
    <d v="2021-11-02T00:00:00"/>
    <x v="489"/>
    <x v="3"/>
    <x v="0"/>
    <x v="2"/>
    <n v="362.92"/>
    <n v="2"/>
    <n v="105.25"/>
    <x v="10"/>
    <x v="0"/>
  </r>
  <r>
    <d v="2021-11-02T00:00:00"/>
    <x v="490"/>
    <x v="22"/>
    <x v="2"/>
    <x v="9"/>
    <n v="41.94"/>
    <n v="2"/>
    <n v="15.1"/>
    <x v="10"/>
    <x v="0"/>
  </r>
  <r>
    <d v="2021-11-02T00:00:00"/>
    <x v="490"/>
    <x v="22"/>
    <x v="2"/>
    <x v="6"/>
    <n v="52.79"/>
    <n v="1"/>
    <n v="4.62"/>
    <x v="10"/>
    <x v="0"/>
  </r>
  <r>
    <d v="2021-11-03T00:00:00"/>
    <x v="282"/>
    <x v="2"/>
    <x v="0"/>
    <x v="14"/>
    <n v="286.33999999999997"/>
    <n v="3"/>
    <n v="-64.430000000000007"/>
    <x v="10"/>
    <x v="0"/>
  </r>
  <r>
    <d v="2021-11-03T00:00:00"/>
    <x v="25"/>
    <x v="20"/>
    <x v="2"/>
    <x v="6"/>
    <n v="783.96"/>
    <n v="4"/>
    <n v="219.51"/>
    <x v="10"/>
    <x v="0"/>
  </r>
  <r>
    <d v="2021-11-03T00:00:00"/>
    <x v="25"/>
    <x v="20"/>
    <x v="0"/>
    <x v="3"/>
    <n v="48.9"/>
    <n v="2"/>
    <n v="18.34"/>
    <x v="10"/>
    <x v="0"/>
  </r>
  <r>
    <d v="2021-11-03T00:00:00"/>
    <x v="25"/>
    <x v="20"/>
    <x v="0"/>
    <x v="3"/>
    <n v="7.86"/>
    <n v="2"/>
    <n v="2.85"/>
    <x v="10"/>
    <x v="0"/>
  </r>
  <r>
    <d v="2021-11-03T00:00:00"/>
    <x v="218"/>
    <x v="37"/>
    <x v="0"/>
    <x v="14"/>
    <n v="11.64"/>
    <n v="3"/>
    <n v="3.38"/>
    <x v="10"/>
    <x v="0"/>
  </r>
  <r>
    <d v="2021-11-03T00:00:00"/>
    <x v="372"/>
    <x v="15"/>
    <x v="0"/>
    <x v="0"/>
    <n v="3.49"/>
    <n v="2"/>
    <n v="1.18"/>
    <x v="10"/>
    <x v="0"/>
  </r>
  <r>
    <d v="2021-11-03T00:00:00"/>
    <x v="372"/>
    <x v="15"/>
    <x v="0"/>
    <x v="0"/>
    <n v="143.86000000000001"/>
    <n v="9"/>
    <n v="48.55"/>
    <x v="10"/>
    <x v="0"/>
  </r>
  <r>
    <d v="2021-11-03T00:00:00"/>
    <x v="489"/>
    <x v="25"/>
    <x v="0"/>
    <x v="2"/>
    <n v="25.98"/>
    <n v="2"/>
    <n v="-1.62"/>
    <x v="10"/>
    <x v="0"/>
  </r>
  <r>
    <d v="2021-11-03T00:00:00"/>
    <x v="489"/>
    <x v="25"/>
    <x v="1"/>
    <x v="13"/>
    <n v="945.04"/>
    <n v="6"/>
    <n v="-299.26"/>
    <x v="10"/>
    <x v="0"/>
  </r>
  <r>
    <d v="2021-11-03T00:00:00"/>
    <x v="489"/>
    <x v="25"/>
    <x v="0"/>
    <x v="3"/>
    <n v="14.3"/>
    <n v="7"/>
    <n v="-10.49"/>
    <x v="10"/>
    <x v="0"/>
  </r>
  <r>
    <d v="2021-11-03T00:00:00"/>
    <x v="489"/>
    <x v="25"/>
    <x v="1"/>
    <x v="8"/>
    <n v="410.35"/>
    <n v="3"/>
    <n v="-51.29"/>
    <x v="10"/>
    <x v="0"/>
  </r>
  <r>
    <d v="2021-11-03T00:00:00"/>
    <x v="491"/>
    <x v="23"/>
    <x v="0"/>
    <x v="3"/>
    <n v="5.76"/>
    <n v="2"/>
    <n v="2.82"/>
    <x v="10"/>
    <x v="0"/>
  </r>
  <r>
    <d v="2021-11-03T00:00:00"/>
    <x v="153"/>
    <x v="40"/>
    <x v="2"/>
    <x v="9"/>
    <n v="89.97"/>
    <n v="3"/>
    <n v="18.89"/>
    <x v="10"/>
    <x v="0"/>
  </r>
  <r>
    <d v="2021-11-03T00:00:00"/>
    <x v="492"/>
    <x v="3"/>
    <x v="0"/>
    <x v="4"/>
    <n v="6.72"/>
    <n v="4"/>
    <n v="3.36"/>
    <x v="10"/>
    <x v="0"/>
  </r>
  <r>
    <d v="2021-11-04T00:00:00"/>
    <x v="39"/>
    <x v="20"/>
    <x v="1"/>
    <x v="5"/>
    <n v="135.88"/>
    <n v="1"/>
    <n v="24.16"/>
    <x v="10"/>
    <x v="0"/>
  </r>
  <r>
    <d v="2021-11-04T00:00:00"/>
    <x v="39"/>
    <x v="20"/>
    <x v="2"/>
    <x v="15"/>
    <n v="3991.98"/>
    <n v="2"/>
    <n v="1995.99"/>
    <x v="10"/>
    <x v="0"/>
  </r>
  <r>
    <d v="2021-11-04T00:00:00"/>
    <x v="39"/>
    <x v="20"/>
    <x v="2"/>
    <x v="6"/>
    <n v="275.94"/>
    <n v="6"/>
    <n v="80.02"/>
    <x v="10"/>
    <x v="0"/>
  </r>
  <r>
    <d v="2021-11-04T00:00:00"/>
    <x v="39"/>
    <x v="20"/>
    <x v="2"/>
    <x v="9"/>
    <n v="360"/>
    <n v="4"/>
    <n v="129.6"/>
    <x v="10"/>
    <x v="0"/>
  </r>
  <r>
    <d v="2021-11-04T00:00:00"/>
    <x v="39"/>
    <x v="20"/>
    <x v="0"/>
    <x v="2"/>
    <n v="43.57"/>
    <n v="1"/>
    <n v="13.07"/>
    <x v="10"/>
    <x v="0"/>
  </r>
  <r>
    <d v="2021-11-04T00:00:00"/>
    <x v="402"/>
    <x v="25"/>
    <x v="0"/>
    <x v="7"/>
    <n v="8.3800000000000008"/>
    <n v="3"/>
    <n v="2.72"/>
    <x v="10"/>
    <x v="0"/>
  </r>
  <r>
    <d v="2021-11-04T00:00:00"/>
    <x v="402"/>
    <x v="25"/>
    <x v="0"/>
    <x v="12"/>
    <n v="58.24"/>
    <n v="5"/>
    <n v="5.0999999999999996"/>
    <x v="10"/>
    <x v="0"/>
  </r>
  <r>
    <d v="2021-11-04T00:00:00"/>
    <x v="493"/>
    <x v="3"/>
    <x v="1"/>
    <x v="8"/>
    <n v="35.340000000000003"/>
    <n v="2"/>
    <n v="13.43"/>
    <x v="10"/>
    <x v="0"/>
  </r>
  <r>
    <d v="2021-11-04T00:00:00"/>
    <x v="494"/>
    <x v="3"/>
    <x v="2"/>
    <x v="6"/>
    <n v="666.34"/>
    <n v="7"/>
    <n v="66.63"/>
    <x v="10"/>
    <x v="0"/>
  </r>
  <r>
    <d v="2021-11-04T00:00:00"/>
    <x v="494"/>
    <x v="3"/>
    <x v="1"/>
    <x v="13"/>
    <n v="573.73"/>
    <n v="4"/>
    <n v="-64.540000000000006"/>
    <x v="10"/>
    <x v="0"/>
  </r>
  <r>
    <d v="2021-11-04T00:00:00"/>
    <x v="494"/>
    <x v="3"/>
    <x v="0"/>
    <x v="3"/>
    <n v="21.94"/>
    <n v="3"/>
    <n v="8.23"/>
    <x v="10"/>
    <x v="0"/>
  </r>
  <r>
    <d v="2021-11-04T00:00:00"/>
    <x v="494"/>
    <x v="3"/>
    <x v="0"/>
    <x v="0"/>
    <n v="19.440000000000001"/>
    <n v="3"/>
    <n v="9.33"/>
    <x v="10"/>
    <x v="0"/>
  </r>
  <r>
    <d v="2021-11-04T00:00:00"/>
    <x v="494"/>
    <x v="3"/>
    <x v="2"/>
    <x v="15"/>
    <n v="447.97"/>
    <n v="4"/>
    <n v="139.99"/>
    <x v="10"/>
    <x v="0"/>
  </r>
  <r>
    <d v="2021-11-04T00:00:00"/>
    <x v="381"/>
    <x v="20"/>
    <x v="0"/>
    <x v="3"/>
    <n v="52.06"/>
    <n v="4"/>
    <n v="18.87"/>
    <x v="10"/>
    <x v="0"/>
  </r>
  <r>
    <d v="2021-11-04T00:00:00"/>
    <x v="495"/>
    <x v="3"/>
    <x v="0"/>
    <x v="4"/>
    <n v="2.94"/>
    <n v="1"/>
    <n v="0.79"/>
    <x v="10"/>
    <x v="0"/>
  </r>
  <r>
    <d v="2021-11-05T00:00:00"/>
    <x v="354"/>
    <x v="3"/>
    <x v="1"/>
    <x v="8"/>
    <n v="20.04"/>
    <n v="6"/>
    <n v="8.82"/>
    <x v="10"/>
    <x v="0"/>
  </r>
  <r>
    <d v="2021-11-05T00:00:00"/>
    <x v="50"/>
    <x v="6"/>
    <x v="2"/>
    <x v="9"/>
    <n v="47.79"/>
    <n v="3"/>
    <n v="16.25"/>
    <x v="10"/>
    <x v="0"/>
  </r>
  <r>
    <d v="2021-11-05T00:00:00"/>
    <x v="496"/>
    <x v="2"/>
    <x v="1"/>
    <x v="8"/>
    <n v="273.57"/>
    <n v="2"/>
    <n v="-34.200000000000003"/>
    <x v="10"/>
    <x v="0"/>
  </r>
  <r>
    <d v="2021-11-05T00:00:00"/>
    <x v="496"/>
    <x v="2"/>
    <x v="0"/>
    <x v="3"/>
    <n v="13.19"/>
    <n v="2"/>
    <n v="-8.8000000000000007"/>
    <x v="10"/>
    <x v="0"/>
  </r>
  <r>
    <d v="2021-11-05T00:00:00"/>
    <x v="496"/>
    <x v="2"/>
    <x v="0"/>
    <x v="2"/>
    <n v="1080.0999999999999"/>
    <n v="6"/>
    <n v="-94.51"/>
    <x v="10"/>
    <x v="0"/>
  </r>
  <r>
    <d v="2021-11-05T00:00:00"/>
    <x v="496"/>
    <x v="2"/>
    <x v="2"/>
    <x v="9"/>
    <n v="51.56"/>
    <n v="5"/>
    <n v="-6.45"/>
    <x v="10"/>
    <x v="0"/>
  </r>
  <r>
    <d v="2021-11-05T00:00:00"/>
    <x v="496"/>
    <x v="2"/>
    <x v="2"/>
    <x v="9"/>
    <n v="58.42"/>
    <n v="2"/>
    <n v="16.79"/>
    <x v="10"/>
    <x v="0"/>
  </r>
  <r>
    <d v="2021-11-05T00:00:00"/>
    <x v="497"/>
    <x v="6"/>
    <x v="1"/>
    <x v="5"/>
    <n v="149.9"/>
    <n v="5"/>
    <n v="40.47"/>
    <x v="10"/>
    <x v="0"/>
  </r>
  <r>
    <d v="2021-11-06T00:00:00"/>
    <x v="208"/>
    <x v="4"/>
    <x v="0"/>
    <x v="0"/>
    <n v="43.68"/>
    <n v="6"/>
    <n v="20.97"/>
    <x v="10"/>
    <x v="0"/>
  </r>
  <r>
    <d v="2021-11-07T00:00:00"/>
    <x v="498"/>
    <x v="0"/>
    <x v="0"/>
    <x v="3"/>
    <n v="26.05"/>
    <n v="3"/>
    <n v="-44.28"/>
    <x v="10"/>
    <x v="0"/>
  </r>
  <r>
    <d v="2021-11-07T00:00:00"/>
    <x v="498"/>
    <x v="0"/>
    <x v="0"/>
    <x v="10"/>
    <n v="74.349999999999994"/>
    <n v="3"/>
    <n v="26.95"/>
    <x v="10"/>
    <x v="0"/>
  </r>
  <r>
    <d v="2021-11-07T00:00:00"/>
    <x v="352"/>
    <x v="3"/>
    <x v="0"/>
    <x v="3"/>
    <n v="123.14"/>
    <n v="7"/>
    <n v="46.18"/>
    <x v="10"/>
    <x v="0"/>
  </r>
  <r>
    <d v="2021-11-07T00:00:00"/>
    <x v="236"/>
    <x v="0"/>
    <x v="1"/>
    <x v="5"/>
    <n v="683.14"/>
    <n v="4"/>
    <n v="0"/>
    <x v="10"/>
    <x v="0"/>
  </r>
  <r>
    <d v="2021-11-07T00:00:00"/>
    <x v="236"/>
    <x v="0"/>
    <x v="0"/>
    <x v="3"/>
    <n v="1.48"/>
    <n v="3"/>
    <n v="-2.21"/>
    <x v="10"/>
    <x v="0"/>
  </r>
  <r>
    <d v="2021-11-07T00:00:00"/>
    <x v="236"/>
    <x v="0"/>
    <x v="0"/>
    <x v="14"/>
    <n v="40.71"/>
    <n v="7"/>
    <n v="3.56"/>
    <x v="10"/>
    <x v="0"/>
  </r>
  <r>
    <d v="2021-11-07T00:00:00"/>
    <x v="389"/>
    <x v="21"/>
    <x v="0"/>
    <x v="12"/>
    <n v="245.88"/>
    <n v="6"/>
    <n v="68.849999999999994"/>
    <x v="10"/>
    <x v="0"/>
  </r>
  <r>
    <d v="2021-11-07T00:00:00"/>
    <x v="389"/>
    <x v="21"/>
    <x v="0"/>
    <x v="2"/>
    <n v="36.630000000000003"/>
    <n v="3"/>
    <n v="9.89"/>
    <x v="10"/>
    <x v="0"/>
  </r>
  <r>
    <d v="2021-11-07T00:00:00"/>
    <x v="389"/>
    <x v="21"/>
    <x v="0"/>
    <x v="2"/>
    <n v="22.58"/>
    <n v="2"/>
    <n v="5.87"/>
    <x v="10"/>
    <x v="0"/>
  </r>
  <r>
    <d v="2021-11-07T00:00:00"/>
    <x v="389"/>
    <x v="21"/>
    <x v="0"/>
    <x v="3"/>
    <n v="12.39"/>
    <n v="3"/>
    <n v="5.82"/>
    <x v="10"/>
    <x v="0"/>
  </r>
  <r>
    <d v="2021-11-07T00:00:00"/>
    <x v="244"/>
    <x v="20"/>
    <x v="0"/>
    <x v="7"/>
    <n v="5.92"/>
    <n v="4"/>
    <n v="2.84"/>
    <x v="10"/>
    <x v="0"/>
  </r>
  <r>
    <d v="2021-11-07T00:00:00"/>
    <x v="244"/>
    <x v="20"/>
    <x v="0"/>
    <x v="0"/>
    <n v="30.18"/>
    <n v="3"/>
    <n v="13.88"/>
    <x v="10"/>
    <x v="0"/>
  </r>
  <r>
    <d v="2021-11-07T00:00:00"/>
    <x v="47"/>
    <x v="11"/>
    <x v="0"/>
    <x v="0"/>
    <n v="25.92"/>
    <n v="5"/>
    <n v="9.07"/>
    <x v="10"/>
    <x v="0"/>
  </r>
  <r>
    <d v="2021-11-07T00:00:00"/>
    <x v="47"/>
    <x v="11"/>
    <x v="0"/>
    <x v="4"/>
    <n v="120.77"/>
    <n v="4"/>
    <n v="9.06"/>
    <x v="10"/>
    <x v="0"/>
  </r>
  <r>
    <d v="2021-11-08T00:00:00"/>
    <x v="185"/>
    <x v="3"/>
    <x v="2"/>
    <x v="6"/>
    <n v="333.58"/>
    <n v="3"/>
    <n v="25.02"/>
    <x v="10"/>
    <x v="0"/>
  </r>
  <r>
    <d v="2021-11-09T00:00:00"/>
    <x v="355"/>
    <x v="3"/>
    <x v="0"/>
    <x v="2"/>
    <n v="340.92"/>
    <n v="3"/>
    <n v="3.41"/>
    <x v="10"/>
    <x v="0"/>
  </r>
  <r>
    <d v="2021-11-09T00:00:00"/>
    <x v="355"/>
    <x v="3"/>
    <x v="1"/>
    <x v="11"/>
    <n v="222.67"/>
    <n v="2"/>
    <n v="10.48"/>
    <x v="10"/>
    <x v="0"/>
  </r>
  <r>
    <d v="2021-11-09T00:00:00"/>
    <x v="355"/>
    <x v="3"/>
    <x v="2"/>
    <x v="6"/>
    <n v="703.97"/>
    <n v="4"/>
    <n v="88"/>
    <x v="10"/>
    <x v="0"/>
  </r>
  <r>
    <d v="2021-11-09T00:00:00"/>
    <x v="355"/>
    <x v="3"/>
    <x v="0"/>
    <x v="2"/>
    <n v="92.52"/>
    <n v="6"/>
    <n v="24.98"/>
    <x v="10"/>
    <x v="0"/>
  </r>
  <r>
    <d v="2021-11-09T00:00:00"/>
    <x v="355"/>
    <x v="3"/>
    <x v="0"/>
    <x v="0"/>
    <n v="62.65"/>
    <n v="7"/>
    <n v="28.82"/>
    <x v="10"/>
    <x v="0"/>
  </r>
  <r>
    <d v="2021-11-09T00:00:00"/>
    <x v="355"/>
    <x v="3"/>
    <x v="0"/>
    <x v="0"/>
    <n v="94.85"/>
    <n v="5"/>
    <n v="45.53"/>
    <x v="10"/>
    <x v="0"/>
  </r>
  <r>
    <d v="2021-11-09T00:00:00"/>
    <x v="499"/>
    <x v="20"/>
    <x v="1"/>
    <x v="8"/>
    <n v="56.52"/>
    <n v="9"/>
    <n v="21.48"/>
    <x v="10"/>
    <x v="0"/>
  </r>
  <r>
    <d v="2021-11-10T00:00:00"/>
    <x v="131"/>
    <x v="3"/>
    <x v="2"/>
    <x v="6"/>
    <n v="601.54"/>
    <n v="8"/>
    <n v="60.15"/>
    <x v="10"/>
    <x v="0"/>
  </r>
  <r>
    <d v="2021-11-10T00:00:00"/>
    <x v="131"/>
    <x v="3"/>
    <x v="2"/>
    <x v="9"/>
    <n v="10.99"/>
    <n v="1"/>
    <n v="4.29"/>
    <x v="10"/>
    <x v="0"/>
  </r>
  <r>
    <d v="2021-11-10T00:00:00"/>
    <x v="131"/>
    <x v="3"/>
    <x v="1"/>
    <x v="8"/>
    <n v="39.880000000000003"/>
    <n v="2"/>
    <n v="11.17"/>
    <x v="10"/>
    <x v="0"/>
  </r>
  <r>
    <d v="2021-11-10T00:00:00"/>
    <x v="131"/>
    <x v="3"/>
    <x v="0"/>
    <x v="0"/>
    <n v="62.24"/>
    <n v="8"/>
    <n v="28.01"/>
    <x v="10"/>
    <x v="0"/>
  </r>
  <r>
    <d v="2021-11-10T00:00:00"/>
    <x v="131"/>
    <x v="3"/>
    <x v="1"/>
    <x v="8"/>
    <n v="53.2"/>
    <n v="5"/>
    <n v="14.9"/>
    <x v="10"/>
    <x v="0"/>
  </r>
  <r>
    <d v="2021-11-10T00:00:00"/>
    <x v="131"/>
    <x v="3"/>
    <x v="0"/>
    <x v="1"/>
    <n v="39.840000000000003"/>
    <n v="8"/>
    <n v="18.329999999999998"/>
    <x v="10"/>
    <x v="0"/>
  </r>
  <r>
    <d v="2021-11-10T00:00:00"/>
    <x v="66"/>
    <x v="14"/>
    <x v="0"/>
    <x v="4"/>
    <n v="3.9"/>
    <n v="2"/>
    <n v="1.52"/>
    <x v="10"/>
    <x v="0"/>
  </r>
  <r>
    <d v="2021-11-10T00:00:00"/>
    <x v="66"/>
    <x v="14"/>
    <x v="0"/>
    <x v="0"/>
    <n v="12.84"/>
    <n v="3"/>
    <n v="5.78"/>
    <x v="10"/>
    <x v="0"/>
  </r>
  <r>
    <d v="2021-11-10T00:00:00"/>
    <x v="66"/>
    <x v="14"/>
    <x v="0"/>
    <x v="0"/>
    <n v="15.84"/>
    <n v="3"/>
    <n v="7.13"/>
    <x v="10"/>
    <x v="0"/>
  </r>
  <r>
    <d v="2021-11-10T00:00:00"/>
    <x v="66"/>
    <x v="14"/>
    <x v="1"/>
    <x v="5"/>
    <n v="563.94000000000005"/>
    <n v="3"/>
    <n v="112.79"/>
    <x v="10"/>
    <x v="0"/>
  </r>
  <r>
    <d v="2021-11-10T00:00:00"/>
    <x v="66"/>
    <x v="14"/>
    <x v="0"/>
    <x v="2"/>
    <n v="62.94"/>
    <n v="3"/>
    <n v="11.96"/>
    <x v="10"/>
    <x v="0"/>
  </r>
  <r>
    <d v="2021-11-10T00:00:00"/>
    <x v="66"/>
    <x v="14"/>
    <x v="0"/>
    <x v="2"/>
    <n v="535.41"/>
    <n v="3"/>
    <n v="160.62"/>
    <x v="10"/>
    <x v="0"/>
  </r>
  <r>
    <d v="2021-11-11T00:00:00"/>
    <x v="500"/>
    <x v="21"/>
    <x v="0"/>
    <x v="2"/>
    <n v="665.88"/>
    <n v="6"/>
    <n v="13.32"/>
    <x v="10"/>
    <x v="0"/>
  </r>
  <r>
    <d v="2021-11-11T00:00:00"/>
    <x v="501"/>
    <x v="26"/>
    <x v="0"/>
    <x v="4"/>
    <n v="3.39"/>
    <n v="1"/>
    <n v="0.81"/>
    <x v="10"/>
    <x v="0"/>
  </r>
  <r>
    <d v="2021-11-11T00:00:00"/>
    <x v="501"/>
    <x v="26"/>
    <x v="2"/>
    <x v="6"/>
    <n v="559.98"/>
    <n v="2"/>
    <n v="56"/>
    <x v="10"/>
    <x v="0"/>
  </r>
  <r>
    <d v="2021-11-11T00:00:00"/>
    <x v="501"/>
    <x v="26"/>
    <x v="1"/>
    <x v="5"/>
    <n v="603.91999999999996"/>
    <n v="5"/>
    <n v="75.489999999999995"/>
    <x v="10"/>
    <x v="0"/>
  </r>
  <r>
    <d v="2021-11-11T00:00:00"/>
    <x v="502"/>
    <x v="0"/>
    <x v="0"/>
    <x v="3"/>
    <n v="896.99"/>
    <n v="5"/>
    <n v="-1480.03"/>
    <x v="10"/>
    <x v="0"/>
  </r>
  <r>
    <d v="2021-11-11T00:00:00"/>
    <x v="502"/>
    <x v="0"/>
    <x v="0"/>
    <x v="3"/>
    <n v="1.23"/>
    <n v="1"/>
    <n v="-1.97"/>
    <x v="10"/>
    <x v="0"/>
  </r>
  <r>
    <d v="2021-11-11T00:00:00"/>
    <x v="502"/>
    <x v="0"/>
    <x v="0"/>
    <x v="4"/>
    <n v="67.56"/>
    <n v="3"/>
    <n v="6.76"/>
    <x v="10"/>
    <x v="0"/>
  </r>
  <r>
    <d v="2021-11-11T00:00:00"/>
    <x v="502"/>
    <x v="0"/>
    <x v="0"/>
    <x v="0"/>
    <n v="21.72"/>
    <n v="5"/>
    <n v="7.87"/>
    <x v="10"/>
    <x v="0"/>
  </r>
  <r>
    <d v="2021-11-11T00:00:00"/>
    <x v="502"/>
    <x v="0"/>
    <x v="0"/>
    <x v="0"/>
    <n v="262.33999999999997"/>
    <n v="8"/>
    <n v="95.1"/>
    <x v="10"/>
    <x v="0"/>
  </r>
  <r>
    <d v="2021-11-11T00:00:00"/>
    <x v="502"/>
    <x v="0"/>
    <x v="2"/>
    <x v="6"/>
    <n v="148.47999999999999"/>
    <n v="2"/>
    <n v="16.7"/>
    <x v="10"/>
    <x v="0"/>
  </r>
  <r>
    <d v="2021-11-11T00:00:00"/>
    <x v="502"/>
    <x v="0"/>
    <x v="2"/>
    <x v="6"/>
    <n v="241.18"/>
    <n v="3"/>
    <n v="15.07"/>
    <x v="10"/>
    <x v="0"/>
  </r>
  <r>
    <d v="2021-11-11T00:00:00"/>
    <x v="358"/>
    <x v="3"/>
    <x v="0"/>
    <x v="4"/>
    <n v="30.48"/>
    <n v="3"/>
    <n v="7.92"/>
    <x v="10"/>
    <x v="0"/>
  </r>
  <r>
    <d v="2021-11-11T00:00:00"/>
    <x v="358"/>
    <x v="3"/>
    <x v="1"/>
    <x v="5"/>
    <n v="112.65"/>
    <n v="1"/>
    <n v="11.26"/>
    <x v="10"/>
    <x v="0"/>
  </r>
  <r>
    <d v="2021-11-11T00:00:00"/>
    <x v="324"/>
    <x v="2"/>
    <x v="1"/>
    <x v="8"/>
    <n v="23.97"/>
    <n v="2"/>
    <n v="7.79"/>
    <x v="10"/>
    <x v="0"/>
  </r>
  <r>
    <d v="2021-11-11T00:00:00"/>
    <x v="324"/>
    <x v="2"/>
    <x v="1"/>
    <x v="11"/>
    <n v="521.96"/>
    <n v="4"/>
    <n v="-250.54"/>
    <x v="10"/>
    <x v="0"/>
  </r>
  <r>
    <d v="2021-11-11T00:00:00"/>
    <x v="338"/>
    <x v="3"/>
    <x v="2"/>
    <x v="6"/>
    <n v="575.92999999999995"/>
    <n v="9"/>
    <n v="57.59"/>
    <x v="10"/>
    <x v="0"/>
  </r>
  <r>
    <d v="2021-11-11T00:00:00"/>
    <x v="338"/>
    <x v="3"/>
    <x v="0"/>
    <x v="12"/>
    <n v="7.78"/>
    <n v="2"/>
    <n v="2.02"/>
    <x v="10"/>
    <x v="0"/>
  </r>
  <r>
    <d v="2021-11-11T00:00:00"/>
    <x v="338"/>
    <x v="3"/>
    <x v="0"/>
    <x v="0"/>
    <n v="123.92"/>
    <n v="4"/>
    <n v="55.76"/>
    <x v="10"/>
    <x v="0"/>
  </r>
  <r>
    <d v="2021-11-11T00:00:00"/>
    <x v="126"/>
    <x v="22"/>
    <x v="0"/>
    <x v="12"/>
    <n v="22.98"/>
    <n v="1"/>
    <n v="6.89"/>
    <x v="10"/>
    <x v="0"/>
  </r>
  <r>
    <d v="2021-11-11T00:00:00"/>
    <x v="126"/>
    <x v="22"/>
    <x v="2"/>
    <x v="9"/>
    <n v="102.13"/>
    <n v="7"/>
    <n v="15.32"/>
    <x v="10"/>
    <x v="0"/>
  </r>
  <r>
    <d v="2021-11-11T00:00:00"/>
    <x v="126"/>
    <x v="22"/>
    <x v="0"/>
    <x v="3"/>
    <n v="2033.58"/>
    <n v="2"/>
    <n v="762.59"/>
    <x v="10"/>
    <x v="0"/>
  </r>
  <r>
    <d v="2021-11-11T00:00:00"/>
    <x v="248"/>
    <x v="1"/>
    <x v="1"/>
    <x v="8"/>
    <n v="10.98"/>
    <n v="2"/>
    <n v="-7.96"/>
    <x v="10"/>
    <x v="0"/>
  </r>
  <r>
    <d v="2021-11-11T00:00:00"/>
    <x v="248"/>
    <x v="1"/>
    <x v="1"/>
    <x v="5"/>
    <n v="797.94"/>
    <n v="4"/>
    <n v="-57"/>
    <x v="10"/>
    <x v="0"/>
  </r>
  <r>
    <d v="2021-11-11T00:00:00"/>
    <x v="61"/>
    <x v="20"/>
    <x v="0"/>
    <x v="0"/>
    <n v="46.35"/>
    <n v="5"/>
    <n v="21.78"/>
    <x v="10"/>
    <x v="0"/>
  </r>
  <r>
    <d v="2021-11-11T00:00:00"/>
    <x v="61"/>
    <x v="20"/>
    <x v="0"/>
    <x v="0"/>
    <n v="223.92"/>
    <n v="4"/>
    <n v="109.72"/>
    <x v="10"/>
    <x v="0"/>
  </r>
  <r>
    <d v="2021-11-11T00:00:00"/>
    <x v="61"/>
    <x v="20"/>
    <x v="0"/>
    <x v="14"/>
    <n v="7.3"/>
    <n v="2"/>
    <n v="2.19"/>
    <x v="10"/>
    <x v="0"/>
  </r>
  <r>
    <d v="2021-11-12T00:00:00"/>
    <x v="503"/>
    <x v="0"/>
    <x v="0"/>
    <x v="2"/>
    <n v="49.63"/>
    <n v="4"/>
    <n v="4.96"/>
    <x v="10"/>
    <x v="0"/>
  </r>
  <r>
    <d v="2021-11-12T00:00:00"/>
    <x v="409"/>
    <x v="3"/>
    <x v="0"/>
    <x v="0"/>
    <n v="11.96"/>
    <n v="2"/>
    <n v="5.86"/>
    <x v="10"/>
    <x v="0"/>
  </r>
  <r>
    <d v="2021-11-12T00:00:00"/>
    <x v="409"/>
    <x v="3"/>
    <x v="1"/>
    <x v="13"/>
    <n v="629.05999999999995"/>
    <n v="3"/>
    <n v="31.45"/>
    <x v="10"/>
    <x v="0"/>
  </r>
  <r>
    <d v="2021-11-12T00:00:00"/>
    <x v="491"/>
    <x v="25"/>
    <x v="0"/>
    <x v="4"/>
    <n v="7.87"/>
    <n v="3"/>
    <n v="0.89"/>
    <x v="10"/>
    <x v="0"/>
  </r>
  <r>
    <d v="2021-11-12T00:00:00"/>
    <x v="504"/>
    <x v="0"/>
    <x v="0"/>
    <x v="4"/>
    <n v="2.67"/>
    <n v="1"/>
    <n v="0.33"/>
    <x v="10"/>
    <x v="0"/>
  </r>
  <r>
    <d v="2021-11-12T00:00:00"/>
    <x v="504"/>
    <x v="0"/>
    <x v="0"/>
    <x v="14"/>
    <n v="16.66"/>
    <n v="6"/>
    <n v="-3.12"/>
    <x v="10"/>
    <x v="0"/>
  </r>
  <r>
    <d v="2021-11-12T00:00:00"/>
    <x v="504"/>
    <x v="0"/>
    <x v="2"/>
    <x v="9"/>
    <n v="79.510000000000005"/>
    <n v="3"/>
    <n v="20.87"/>
    <x v="10"/>
    <x v="0"/>
  </r>
  <r>
    <d v="2021-11-12T00:00:00"/>
    <x v="504"/>
    <x v="0"/>
    <x v="0"/>
    <x v="0"/>
    <n v="36.29"/>
    <n v="7"/>
    <n v="12.7"/>
    <x v="10"/>
    <x v="0"/>
  </r>
  <r>
    <d v="2021-11-12T00:00:00"/>
    <x v="504"/>
    <x v="0"/>
    <x v="1"/>
    <x v="11"/>
    <n v="67.989999999999995"/>
    <n v="1"/>
    <n v="-13"/>
    <x v="10"/>
    <x v="0"/>
  </r>
  <r>
    <d v="2021-11-12T00:00:00"/>
    <x v="0"/>
    <x v="0"/>
    <x v="1"/>
    <x v="8"/>
    <n v="25.13"/>
    <n v="3"/>
    <n v="-6.91"/>
    <x v="10"/>
    <x v="0"/>
  </r>
  <r>
    <d v="2021-11-12T00:00:00"/>
    <x v="0"/>
    <x v="0"/>
    <x v="2"/>
    <x v="9"/>
    <n v="127.98"/>
    <n v="2"/>
    <n v="25.6"/>
    <x v="10"/>
    <x v="0"/>
  </r>
  <r>
    <d v="2021-11-14T00:00:00"/>
    <x v="505"/>
    <x v="37"/>
    <x v="2"/>
    <x v="6"/>
    <n v="832.93"/>
    <n v="7"/>
    <n v="233.22"/>
    <x v="10"/>
    <x v="0"/>
  </r>
  <r>
    <d v="2021-11-14T00:00:00"/>
    <x v="505"/>
    <x v="37"/>
    <x v="0"/>
    <x v="3"/>
    <n v="43.8"/>
    <n v="10"/>
    <n v="21.02"/>
    <x v="10"/>
    <x v="0"/>
  </r>
  <r>
    <d v="2021-11-14T00:00:00"/>
    <x v="506"/>
    <x v="14"/>
    <x v="0"/>
    <x v="3"/>
    <n v="12.72"/>
    <n v="3"/>
    <n v="6.36"/>
    <x v="10"/>
    <x v="0"/>
  </r>
  <r>
    <d v="2021-11-14T00:00:00"/>
    <x v="506"/>
    <x v="14"/>
    <x v="0"/>
    <x v="3"/>
    <n v="11.52"/>
    <n v="4"/>
    <n v="5.64"/>
    <x v="10"/>
    <x v="0"/>
  </r>
  <r>
    <d v="2021-11-14T00:00:00"/>
    <x v="507"/>
    <x v="0"/>
    <x v="0"/>
    <x v="0"/>
    <n v="20.74"/>
    <n v="4"/>
    <n v="7.26"/>
    <x v="10"/>
    <x v="0"/>
  </r>
  <r>
    <d v="2021-11-14T00:00:00"/>
    <x v="508"/>
    <x v="20"/>
    <x v="0"/>
    <x v="0"/>
    <n v="11.36"/>
    <n v="2"/>
    <n v="5.23"/>
    <x v="10"/>
    <x v="0"/>
  </r>
  <r>
    <d v="2021-11-14T00:00:00"/>
    <x v="508"/>
    <x v="20"/>
    <x v="1"/>
    <x v="5"/>
    <n v="69.260000000000005"/>
    <n v="2"/>
    <n v="14.62"/>
    <x v="10"/>
    <x v="0"/>
  </r>
  <r>
    <d v="2021-11-14T00:00:00"/>
    <x v="393"/>
    <x v="6"/>
    <x v="0"/>
    <x v="0"/>
    <n v="32.4"/>
    <n v="5"/>
    <n v="15.55"/>
    <x v="10"/>
    <x v="0"/>
  </r>
  <r>
    <d v="2021-11-15T00:00:00"/>
    <x v="509"/>
    <x v="15"/>
    <x v="0"/>
    <x v="4"/>
    <n v="4.22"/>
    <n v="3"/>
    <n v="0.48"/>
    <x v="10"/>
    <x v="0"/>
  </r>
  <r>
    <d v="2021-11-15T00:00:00"/>
    <x v="509"/>
    <x v="15"/>
    <x v="0"/>
    <x v="12"/>
    <n v="333.06"/>
    <n v="2"/>
    <n v="29.14"/>
    <x v="10"/>
    <x v="0"/>
  </r>
  <r>
    <d v="2021-11-15T00:00:00"/>
    <x v="509"/>
    <x v="15"/>
    <x v="0"/>
    <x v="0"/>
    <n v="24.9"/>
    <n v="4"/>
    <n v="7.78"/>
    <x v="10"/>
    <x v="0"/>
  </r>
  <r>
    <d v="2021-11-15T00:00:00"/>
    <x v="510"/>
    <x v="0"/>
    <x v="0"/>
    <x v="10"/>
    <n v="604.66"/>
    <n v="9"/>
    <n v="204.07"/>
    <x v="10"/>
    <x v="0"/>
  </r>
  <r>
    <d v="2021-11-15T00:00:00"/>
    <x v="228"/>
    <x v="3"/>
    <x v="1"/>
    <x v="8"/>
    <n v="10.11"/>
    <n v="3"/>
    <n v="3.24"/>
    <x v="10"/>
    <x v="0"/>
  </r>
  <r>
    <d v="2021-11-15T00:00:00"/>
    <x v="228"/>
    <x v="3"/>
    <x v="2"/>
    <x v="9"/>
    <n v="772.47"/>
    <n v="3"/>
    <n v="146.77000000000001"/>
    <x v="10"/>
    <x v="0"/>
  </r>
  <r>
    <d v="2021-11-15T00:00:00"/>
    <x v="228"/>
    <x v="3"/>
    <x v="0"/>
    <x v="14"/>
    <n v="20.46"/>
    <n v="2"/>
    <n v="5.32"/>
    <x v="10"/>
    <x v="0"/>
  </r>
  <r>
    <d v="2021-11-15T00:00:00"/>
    <x v="134"/>
    <x v="3"/>
    <x v="0"/>
    <x v="14"/>
    <n v="10.95"/>
    <n v="3"/>
    <n v="3.29"/>
    <x v="10"/>
    <x v="0"/>
  </r>
  <r>
    <d v="2021-11-16T00:00:00"/>
    <x v="511"/>
    <x v="42"/>
    <x v="2"/>
    <x v="6"/>
    <n v="273.95999999999998"/>
    <n v="2"/>
    <n v="10.96"/>
    <x v="10"/>
    <x v="0"/>
  </r>
  <r>
    <d v="2021-11-16T00:00:00"/>
    <x v="50"/>
    <x v="18"/>
    <x v="0"/>
    <x v="10"/>
    <n v="78.349999999999994"/>
    <n v="5"/>
    <n v="36.82"/>
    <x v="10"/>
    <x v="0"/>
  </r>
  <r>
    <d v="2021-11-16T00:00:00"/>
    <x v="50"/>
    <x v="18"/>
    <x v="0"/>
    <x v="0"/>
    <n v="31.68"/>
    <n v="6"/>
    <n v="14.26"/>
    <x v="10"/>
    <x v="0"/>
  </r>
  <r>
    <d v="2021-11-16T00:00:00"/>
    <x v="50"/>
    <x v="18"/>
    <x v="0"/>
    <x v="3"/>
    <n v="29.12"/>
    <n v="4"/>
    <n v="14.27"/>
    <x v="10"/>
    <x v="0"/>
  </r>
  <r>
    <d v="2021-11-16T00:00:00"/>
    <x v="50"/>
    <x v="18"/>
    <x v="0"/>
    <x v="2"/>
    <n v="169.45"/>
    <n v="5"/>
    <n v="42.36"/>
    <x v="10"/>
    <x v="0"/>
  </r>
  <r>
    <d v="2021-11-16T00:00:00"/>
    <x v="512"/>
    <x v="3"/>
    <x v="0"/>
    <x v="1"/>
    <n v="5.22"/>
    <n v="2"/>
    <n v="2.4"/>
    <x v="10"/>
    <x v="0"/>
  </r>
  <r>
    <d v="2021-11-16T00:00:00"/>
    <x v="513"/>
    <x v="1"/>
    <x v="1"/>
    <x v="5"/>
    <n v="37.299999999999997"/>
    <n v="2"/>
    <n v="-1.07"/>
    <x v="10"/>
    <x v="0"/>
  </r>
  <r>
    <d v="2021-11-16T00:00:00"/>
    <x v="514"/>
    <x v="3"/>
    <x v="2"/>
    <x v="6"/>
    <n v="79.97"/>
    <n v="4"/>
    <n v="-17.989999999999998"/>
    <x v="10"/>
    <x v="0"/>
  </r>
  <r>
    <d v="2021-11-16T00:00:00"/>
    <x v="514"/>
    <x v="3"/>
    <x v="1"/>
    <x v="11"/>
    <n v="305.97000000000003"/>
    <n v="3"/>
    <n v="25.2"/>
    <x v="10"/>
    <x v="0"/>
  </r>
  <r>
    <d v="2021-11-16T00:00:00"/>
    <x v="514"/>
    <x v="3"/>
    <x v="0"/>
    <x v="2"/>
    <n v="344.91"/>
    <n v="3"/>
    <n v="10.35"/>
    <x v="10"/>
    <x v="0"/>
  </r>
  <r>
    <d v="2021-11-17T00:00:00"/>
    <x v="114"/>
    <x v="28"/>
    <x v="1"/>
    <x v="5"/>
    <n v="479.9"/>
    <n v="5"/>
    <n v="81.58"/>
    <x v="10"/>
    <x v="0"/>
  </r>
  <r>
    <d v="2021-11-17T00:00:00"/>
    <x v="515"/>
    <x v="7"/>
    <x v="0"/>
    <x v="2"/>
    <n v="2934.33"/>
    <n v="7"/>
    <n v="792.27"/>
    <x v="10"/>
    <x v="0"/>
  </r>
  <r>
    <d v="2021-11-17T00:00:00"/>
    <x v="515"/>
    <x v="7"/>
    <x v="1"/>
    <x v="8"/>
    <n v="124.41"/>
    <n v="3"/>
    <n v="14.93"/>
    <x v="10"/>
    <x v="0"/>
  </r>
  <r>
    <d v="2021-11-17T00:00:00"/>
    <x v="515"/>
    <x v="7"/>
    <x v="0"/>
    <x v="4"/>
    <n v="57.75"/>
    <n v="5"/>
    <n v="26.57"/>
    <x v="10"/>
    <x v="0"/>
  </r>
  <r>
    <d v="2021-11-17T00:00:00"/>
    <x v="93"/>
    <x v="3"/>
    <x v="2"/>
    <x v="9"/>
    <n v="99.98"/>
    <n v="2"/>
    <n v="8"/>
    <x v="10"/>
    <x v="0"/>
  </r>
  <r>
    <d v="2021-11-17T00:00:00"/>
    <x v="93"/>
    <x v="3"/>
    <x v="0"/>
    <x v="0"/>
    <n v="733.95"/>
    <n v="7"/>
    <n v="352.3"/>
    <x v="10"/>
    <x v="0"/>
  </r>
  <r>
    <d v="2021-11-17T00:00:00"/>
    <x v="93"/>
    <x v="3"/>
    <x v="0"/>
    <x v="12"/>
    <n v="241.44"/>
    <n v="3"/>
    <n v="72.430000000000007"/>
    <x v="10"/>
    <x v="0"/>
  </r>
  <r>
    <d v="2021-11-17T00:00:00"/>
    <x v="516"/>
    <x v="2"/>
    <x v="0"/>
    <x v="0"/>
    <n v="12.45"/>
    <n v="2"/>
    <n v="3.89"/>
    <x v="10"/>
    <x v="0"/>
  </r>
  <r>
    <d v="2021-11-17T00:00:00"/>
    <x v="516"/>
    <x v="2"/>
    <x v="1"/>
    <x v="5"/>
    <n v="657.93"/>
    <n v="5"/>
    <n v="-93.99"/>
    <x v="10"/>
    <x v="0"/>
  </r>
  <r>
    <d v="2021-11-17T00:00:00"/>
    <x v="92"/>
    <x v="0"/>
    <x v="0"/>
    <x v="10"/>
    <n v="7.08"/>
    <n v="3"/>
    <n v="2.48"/>
    <x v="10"/>
    <x v="0"/>
  </r>
  <r>
    <d v="2021-11-17T00:00:00"/>
    <x v="217"/>
    <x v="20"/>
    <x v="0"/>
    <x v="3"/>
    <n v="2152.7800000000002"/>
    <n v="3"/>
    <n v="726.56"/>
    <x v="10"/>
    <x v="0"/>
  </r>
  <r>
    <d v="2021-11-17T00:00:00"/>
    <x v="217"/>
    <x v="20"/>
    <x v="1"/>
    <x v="11"/>
    <n v="4007.84"/>
    <n v="10"/>
    <n v="-50.1"/>
    <x v="10"/>
    <x v="0"/>
  </r>
  <r>
    <d v="2021-11-17T00:00:00"/>
    <x v="215"/>
    <x v="20"/>
    <x v="0"/>
    <x v="0"/>
    <n v="34.44"/>
    <n v="3"/>
    <n v="17.22"/>
    <x v="10"/>
    <x v="0"/>
  </r>
  <r>
    <d v="2021-11-18T00:00:00"/>
    <x v="517"/>
    <x v="26"/>
    <x v="1"/>
    <x v="13"/>
    <n v="145.97999999999999"/>
    <n v="2"/>
    <n v="-99.27"/>
    <x v="10"/>
    <x v="0"/>
  </r>
  <r>
    <d v="2021-11-18T00:00:00"/>
    <x v="517"/>
    <x v="26"/>
    <x v="0"/>
    <x v="0"/>
    <n v="35.81"/>
    <n v="4"/>
    <n v="12.53"/>
    <x v="10"/>
    <x v="0"/>
  </r>
  <r>
    <d v="2021-11-18T00:00:00"/>
    <x v="246"/>
    <x v="2"/>
    <x v="0"/>
    <x v="3"/>
    <n v="51"/>
    <n v="1"/>
    <n v="-40.799999999999997"/>
    <x v="10"/>
    <x v="0"/>
  </r>
  <r>
    <d v="2021-11-18T00:00:00"/>
    <x v="246"/>
    <x v="2"/>
    <x v="0"/>
    <x v="2"/>
    <n v="76.790000000000006"/>
    <n v="1"/>
    <n v="-16.32"/>
    <x v="10"/>
    <x v="0"/>
  </r>
  <r>
    <d v="2021-11-18T00:00:00"/>
    <x v="246"/>
    <x v="2"/>
    <x v="2"/>
    <x v="6"/>
    <n v="539.96"/>
    <n v="6"/>
    <n v="-107.99"/>
    <x v="10"/>
    <x v="0"/>
  </r>
  <r>
    <d v="2021-11-18T00:00:00"/>
    <x v="246"/>
    <x v="2"/>
    <x v="1"/>
    <x v="8"/>
    <n v="60.31"/>
    <n v="3"/>
    <n v="5.28"/>
    <x v="10"/>
    <x v="0"/>
  </r>
  <r>
    <d v="2021-11-18T00:00:00"/>
    <x v="246"/>
    <x v="2"/>
    <x v="0"/>
    <x v="3"/>
    <n v="1.94"/>
    <n v="3"/>
    <n v="-1.43"/>
    <x v="10"/>
    <x v="0"/>
  </r>
  <r>
    <d v="2021-11-18T00:00:00"/>
    <x v="518"/>
    <x v="1"/>
    <x v="0"/>
    <x v="3"/>
    <n v="14.48"/>
    <n v="5"/>
    <n v="-23.89"/>
    <x v="10"/>
    <x v="0"/>
  </r>
  <r>
    <d v="2021-11-18T00:00:00"/>
    <x v="493"/>
    <x v="10"/>
    <x v="0"/>
    <x v="3"/>
    <n v="11.81"/>
    <n v="8"/>
    <n v="-8.66"/>
    <x v="10"/>
    <x v="0"/>
  </r>
  <r>
    <d v="2021-11-18T00:00:00"/>
    <x v="493"/>
    <x v="10"/>
    <x v="2"/>
    <x v="6"/>
    <n v="9.59"/>
    <n v="2"/>
    <n v="-2.08"/>
    <x v="10"/>
    <x v="0"/>
  </r>
  <r>
    <d v="2021-11-18T00:00:00"/>
    <x v="130"/>
    <x v="27"/>
    <x v="0"/>
    <x v="0"/>
    <n v="21.98"/>
    <n v="7"/>
    <n v="9.89"/>
    <x v="10"/>
    <x v="0"/>
  </r>
  <r>
    <d v="2021-11-18T00:00:00"/>
    <x v="519"/>
    <x v="1"/>
    <x v="1"/>
    <x v="13"/>
    <n v="292.10000000000002"/>
    <n v="4"/>
    <n v="-175.26"/>
    <x v="10"/>
    <x v="0"/>
  </r>
  <r>
    <d v="2021-11-18T00:00:00"/>
    <x v="519"/>
    <x v="1"/>
    <x v="1"/>
    <x v="8"/>
    <n v="8.5399999999999991"/>
    <n v="2"/>
    <n v="-7.48"/>
    <x v="10"/>
    <x v="0"/>
  </r>
  <r>
    <d v="2021-11-18T00:00:00"/>
    <x v="519"/>
    <x v="1"/>
    <x v="1"/>
    <x v="11"/>
    <n v="424.12"/>
    <n v="6"/>
    <n v="-30.29"/>
    <x v="10"/>
    <x v="0"/>
  </r>
  <r>
    <d v="2021-11-18T00:00:00"/>
    <x v="519"/>
    <x v="1"/>
    <x v="0"/>
    <x v="3"/>
    <n v="2.89"/>
    <n v="3"/>
    <n v="-4.92"/>
    <x v="10"/>
    <x v="0"/>
  </r>
  <r>
    <d v="2021-11-18T00:00:00"/>
    <x v="519"/>
    <x v="1"/>
    <x v="0"/>
    <x v="2"/>
    <n v="381.72"/>
    <n v="5"/>
    <n v="-66.8"/>
    <x v="10"/>
    <x v="0"/>
  </r>
  <r>
    <d v="2021-11-18T00:00:00"/>
    <x v="520"/>
    <x v="28"/>
    <x v="0"/>
    <x v="2"/>
    <n v="67.150000000000006"/>
    <n v="5"/>
    <n v="16.79"/>
    <x v="10"/>
    <x v="0"/>
  </r>
  <r>
    <d v="2021-11-18T00:00:00"/>
    <x v="521"/>
    <x v="21"/>
    <x v="1"/>
    <x v="5"/>
    <n v="392.94"/>
    <n v="3"/>
    <n v="43.22"/>
    <x v="10"/>
    <x v="0"/>
  </r>
  <r>
    <d v="2021-11-18T00:00:00"/>
    <x v="223"/>
    <x v="22"/>
    <x v="1"/>
    <x v="8"/>
    <n v="137.54"/>
    <n v="2"/>
    <n v="55.02"/>
    <x v="10"/>
    <x v="0"/>
  </r>
  <r>
    <d v="2021-11-18T00:00:00"/>
    <x v="223"/>
    <x v="22"/>
    <x v="1"/>
    <x v="13"/>
    <n v="730.2"/>
    <n v="4"/>
    <n v="94.93"/>
    <x v="10"/>
    <x v="0"/>
  </r>
  <r>
    <d v="2021-11-19T00:00:00"/>
    <x v="508"/>
    <x v="8"/>
    <x v="2"/>
    <x v="6"/>
    <n v="503.96"/>
    <n v="4"/>
    <n v="131.03"/>
    <x v="10"/>
    <x v="0"/>
  </r>
  <r>
    <d v="2021-11-19T00:00:00"/>
    <x v="508"/>
    <x v="8"/>
    <x v="2"/>
    <x v="6"/>
    <n v="149.94999999999999"/>
    <n v="5"/>
    <n v="41.99"/>
    <x v="10"/>
    <x v="0"/>
  </r>
  <r>
    <d v="2021-11-19T00:00:00"/>
    <x v="508"/>
    <x v="8"/>
    <x v="2"/>
    <x v="9"/>
    <n v="29"/>
    <n v="2"/>
    <n v="7.25"/>
    <x v="10"/>
    <x v="0"/>
  </r>
  <r>
    <d v="2021-11-19T00:00:00"/>
    <x v="522"/>
    <x v="20"/>
    <x v="2"/>
    <x v="6"/>
    <n v="4548.8100000000004"/>
    <n v="7"/>
    <n v="1228.18"/>
    <x v="10"/>
    <x v="0"/>
  </r>
  <r>
    <d v="2021-11-19T00:00:00"/>
    <x v="523"/>
    <x v="7"/>
    <x v="0"/>
    <x v="1"/>
    <n v="22.5"/>
    <n v="6"/>
    <n v="10.8"/>
    <x v="10"/>
    <x v="0"/>
  </r>
  <r>
    <d v="2021-11-19T00:00:00"/>
    <x v="523"/>
    <x v="7"/>
    <x v="0"/>
    <x v="1"/>
    <n v="9.9600000000000009"/>
    <n v="2"/>
    <n v="4.58"/>
    <x v="10"/>
    <x v="0"/>
  </r>
  <r>
    <d v="2021-11-19T00:00:00"/>
    <x v="523"/>
    <x v="7"/>
    <x v="0"/>
    <x v="3"/>
    <n v="213.08"/>
    <n v="7"/>
    <n v="102.28"/>
    <x v="10"/>
    <x v="0"/>
  </r>
  <r>
    <d v="2021-11-19T00:00:00"/>
    <x v="523"/>
    <x v="7"/>
    <x v="1"/>
    <x v="11"/>
    <n v="1025.8800000000001"/>
    <n v="6"/>
    <n v="235.95"/>
    <x v="10"/>
    <x v="0"/>
  </r>
  <r>
    <d v="2021-11-19T00:00:00"/>
    <x v="524"/>
    <x v="27"/>
    <x v="0"/>
    <x v="0"/>
    <n v="166.44"/>
    <n v="3"/>
    <n v="79.89"/>
    <x v="10"/>
    <x v="0"/>
  </r>
  <r>
    <d v="2021-11-19T00:00:00"/>
    <x v="131"/>
    <x v="2"/>
    <x v="2"/>
    <x v="9"/>
    <n v="47.5"/>
    <n v="1"/>
    <n v="-1.19"/>
    <x v="10"/>
    <x v="0"/>
  </r>
  <r>
    <d v="2021-11-19T00:00:00"/>
    <x v="363"/>
    <x v="28"/>
    <x v="0"/>
    <x v="2"/>
    <n v="221.16"/>
    <n v="4"/>
    <n v="57.5"/>
    <x v="10"/>
    <x v="0"/>
  </r>
  <r>
    <d v="2021-11-19T00:00:00"/>
    <x v="363"/>
    <x v="28"/>
    <x v="2"/>
    <x v="6"/>
    <n v="281.97000000000003"/>
    <n v="3"/>
    <n v="78.95"/>
    <x v="10"/>
    <x v="0"/>
  </r>
  <r>
    <d v="2021-11-19T00:00:00"/>
    <x v="525"/>
    <x v="2"/>
    <x v="0"/>
    <x v="0"/>
    <n v="5.88"/>
    <n v="1"/>
    <n v="1.98"/>
    <x v="10"/>
    <x v="0"/>
  </r>
  <r>
    <d v="2021-11-20T00:00:00"/>
    <x v="121"/>
    <x v="20"/>
    <x v="0"/>
    <x v="10"/>
    <n v="34.74"/>
    <n v="3"/>
    <n v="17.37"/>
    <x v="10"/>
    <x v="0"/>
  </r>
  <r>
    <d v="2021-11-20T00:00:00"/>
    <x v="121"/>
    <x v="20"/>
    <x v="2"/>
    <x v="6"/>
    <n v="833.94"/>
    <n v="6"/>
    <n v="216.82"/>
    <x v="10"/>
    <x v="0"/>
  </r>
  <r>
    <d v="2021-11-20T00:00:00"/>
    <x v="121"/>
    <x v="20"/>
    <x v="0"/>
    <x v="3"/>
    <n v="12.96"/>
    <n v="3"/>
    <n v="4.54"/>
    <x v="10"/>
    <x v="0"/>
  </r>
  <r>
    <d v="2021-11-20T00:00:00"/>
    <x v="121"/>
    <x v="20"/>
    <x v="0"/>
    <x v="0"/>
    <n v="25.92"/>
    <n v="4"/>
    <n v="12.44"/>
    <x v="10"/>
    <x v="0"/>
  </r>
  <r>
    <d v="2021-11-21T00:00:00"/>
    <x v="526"/>
    <x v="5"/>
    <x v="2"/>
    <x v="6"/>
    <n v="36.99"/>
    <n v="1"/>
    <n v="9.99"/>
    <x v="10"/>
    <x v="0"/>
  </r>
  <r>
    <d v="2021-11-21T00:00:00"/>
    <x v="526"/>
    <x v="5"/>
    <x v="0"/>
    <x v="0"/>
    <n v="629.1"/>
    <n v="6"/>
    <n v="301.97000000000003"/>
    <x v="10"/>
    <x v="0"/>
  </r>
  <r>
    <d v="2021-11-21T00:00:00"/>
    <x v="526"/>
    <x v="5"/>
    <x v="0"/>
    <x v="2"/>
    <n v="193.95"/>
    <n v="3"/>
    <n v="9.6999999999999993"/>
    <x v="10"/>
    <x v="0"/>
  </r>
  <r>
    <d v="2021-11-21T00:00:00"/>
    <x v="526"/>
    <x v="5"/>
    <x v="0"/>
    <x v="4"/>
    <n v="5.46"/>
    <n v="3"/>
    <n v="1.47"/>
    <x v="10"/>
    <x v="0"/>
  </r>
  <r>
    <d v="2021-11-21T00:00:00"/>
    <x v="523"/>
    <x v="3"/>
    <x v="0"/>
    <x v="0"/>
    <n v="12.96"/>
    <n v="2"/>
    <n v="6.22"/>
    <x v="10"/>
    <x v="0"/>
  </r>
  <r>
    <d v="2021-11-21T00:00:00"/>
    <x v="527"/>
    <x v="0"/>
    <x v="0"/>
    <x v="10"/>
    <n v="1.63"/>
    <n v="1"/>
    <n v="0.55000000000000004"/>
    <x v="10"/>
    <x v="0"/>
  </r>
  <r>
    <d v="2021-11-21T00:00:00"/>
    <x v="527"/>
    <x v="0"/>
    <x v="2"/>
    <x v="6"/>
    <n v="267.95999999999998"/>
    <n v="5"/>
    <n v="16.75"/>
    <x v="10"/>
    <x v="0"/>
  </r>
  <r>
    <d v="2021-11-21T00:00:00"/>
    <x v="528"/>
    <x v="3"/>
    <x v="0"/>
    <x v="0"/>
    <n v="6.58"/>
    <n v="2"/>
    <n v="3.03"/>
    <x v="10"/>
    <x v="0"/>
  </r>
  <r>
    <d v="2021-11-21T00:00:00"/>
    <x v="528"/>
    <x v="3"/>
    <x v="2"/>
    <x v="9"/>
    <n v="94.99"/>
    <n v="1"/>
    <n v="28.5"/>
    <x v="10"/>
    <x v="0"/>
  </r>
  <r>
    <d v="2021-11-22T00:00:00"/>
    <x v="141"/>
    <x v="4"/>
    <x v="0"/>
    <x v="10"/>
    <n v="16.23"/>
    <n v="3"/>
    <n v="7.95"/>
    <x v="10"/>
    <x v="0"/>
  </r>
  <r>
    <d v="2021-11-22T00:00:00"/>
    <x v="141"/>
    <x v="4"/>
    <x v="0"/>
    <x v="3"/>
    <n v="319.89999999999998"/>
    <n v="5"/>
    <n v="156.75"/>
    <x v="10"/>
    <x v="0"/>
  </r>
  <r>
    <d v="2021-11-22T00:00:00"/>
    <x v="141"/>
    <x v="4"/>
    <x v="0"/>
    <x v="10"/>
    <n v="11.36"/>
    <n v="2"/>
    <n v="5.34"/>
    <x v="10"/>
    <x v="0"/>
  </r>
  <r>
    <d v="2021-11-22T00:00:00"/>
    <x v="141"/>
    <x v="4"/>
    <x v="0"/>
    <x v="12"/>
    <n v="675.12"/>
    <n v="3"/>
    <n v="290.3"/>
    <x v="10"/>
    <x v="0"/>
  </r>
  <r>
    <d v="2021-11-22T00:00:00"/>
    <x v="216"/>
    <x v="0"/>
    <x v="0"/>
    <x v="3"/>
    <n v="6.93"/>
    <n v="1"/>
    <n v="-11.08"/>
    <x v="10"/>
    <x v="0"/>
  </r>
  <r>
    <d v="2021-11-22T00:00:00"/>
    <x v="529"/>
    <x v="1"/>
    <x v="0"/>
    <x v="3"/>
    <n v="9.98"/>
    <n v="5"/>
    <n v="-16.47"/>
    <x v="10"/>
    <x v="0"/>
  </r>
  <r>
    <d v="2021-11-22T00:00:00"/>
    <x v="530"/>
    <x v="3"/>
    <x v="0"/>
    <x v="0"/>
    <n v="53.82"/>
    <n v="9"/>
    <n v="24.22"/>
    <x v="10"/>
    <x v="0"/>
  </r>
  <r>
    <d v="2021-11-22T00:00:00"/>
    <x v="357"/>
    <x v="4"/>
    <x v="0"/>
    <x v="0"/>
    <n v="9.9600000000000009"/>
    <n v="2"/>
    <n v="4.88"/>
    <x v="10"/>
    <x v="0"/>
  </r>
  <r>
    <d v="2021-11-23T00:00:00"/>
    <x v="42"/>
    <x v="3"/>
    <x v="1"/>
    <x v="5"/>
    <n v="603.91999999999996"/>
    <n v="5"/>
    <n v="-67.94"/>
    <x v="10"/>
    <x v="0"/>
  </r>
  <r>
    <d v="2021-11-23T00:00:00"/>
    <x v="42"/>
    <x v="3"/>
    <x v="0"/>
    <x v="10"/>
    <n v="21.84"/>
    <n v="3"/>
    <n v="10.48"/>
    <x v="10"/>
    <x v="0"/>
  </r>
  <r>
    <d v="2021-11-23T00:00:00"/>
    <x v="42"/>
    <x v="3"/>
    <x v="2"/>
    <x v="9"/>
    <n v="29.99"/>
    <n v="1"/>
    <n v="6.3"/>
    <x v="10"/>
    <x v="0"/>
  </r>
  <r>
    <d v="2021-11-23T00:00:00"/>
    <x v="42"/>
    <x v="3"/>
    <x v="1"/>
    <x v="5"/>
    <n v="381.44"/>
    <n v="2"/>
    <n v="23.84"/>
    <x v="10"/>
    <x v="0"/>
  </r>
  <r>
    <d v="2021-11-23T00:00:00"/>
    <x v="341"/>
    <x v="0"/>
    <x v="0"/>
    <x v="1"/>
    <n v="23.68"/>
    <n v="2"/>
    <n v="8.8800000000000008"/>
    <x v="10"/>
    <x v="0"/>
  </r>
  <r>
    <d v="2021-11-23T00:00:00"/>
    <x v="531"/>
    <x v="0"/>
    <x v="1"/>
    <x v="8"/>
    <n v="6.37"/>
    <n v="2"/>
    <n v="-2.5499999999999998"/>
    <x v="10"/>
    <x v="0"/>
  </r>
  <r>
    <d v="2021-11-23T00:00:00"/>
    <x v="531"/>
    <x v="0"/>
    <x v="0"/>
    <x v="12"/>
    <n v="34.18"/>
    <n v="3"/>
    <n v="-87.15"/>
    <x v="10"/>
    <x v="0"/>
  </r>
  <r>
    <d v="2021-11-23T00:00:00"/>
    <x v="531"/>
    <x v="0"/>
    <x v="2"/>
    <x v="9"/>
    <n v="5.54"/>
    <n v="7"/>
    <n v="1.66"/>
    <x v="10"/>
    <x v="0"/>
  </r>
  <r>
    <d v="2021-11-23T00:00:00"/>
    <x v="532"/>
    <x v="2"/>
    <x v="0"/>
    <x v="10"/>
    <n v="62.81"/>
    <n v="3"/>
    <n v="21.2"/>
    <x v="10"/>
    <x v="0"/>
  </r>
  <r>
    <d v="2021-11-23T00:00:00"/>
    <x v="533"/>
    <x v="12"/>
    <x v="0"/>
    <x v="10"/>
    <n v="23.47"/>
    <n v="3"/>
    <n v="8.8000000000000007"/>
    <x v="10"/>
    <x v="0"/>
  </r>
  <r>
    <d v="2021-11-23T00:00:00"/>
    <x v="105"/>
    <x v="0"/>
    <x v="1"/>
    <x v="5"/>
    <n v="155.37"/>
    <n v="2"/>
    <n v="-35.51"/>
    <x v="10"/>
    <x v="0"/>
  </r>
  <r>
    <d v="2021-11-23T00:00:00"/>
    <x v="239"/>
    <x v="14"/>
    <x v="0"/>
    <x v="3"/>
    <n v="14.67"/>
    <n v="3"/>
    <n v="6.75"/>
    <x v="10"/>
    <x v="0"/>
  </r>
  <r>
    <d v="2021-11-24T00:00:00"/>
    <x v="534"/>
    <x v="10"/>
    <x v="0"/>
    <x v="4"/>
    <n v="2.62"/>
    <n v="1"/>
    <n v="0.43"/>
    <x v="10"/>
    <x v="0"/>
  </r>
  <r>
    <d v="2021-11-24T00:00:00"/>
    <x v="339"/>
    <x v="3"/>
    <x v="1"/>
    <x v="8"/>
    <n v="151.72"/>
    <n v="4"/>
    <n v="27.31"/>
    <x v="10"/>
    <x v="0"/>
  </r>
  <r>
    <d v="2021-11-24T00:00:00"/>
    <x v="535"/>
    <x v="22"/>
    <x v="0"/>
    <x v="3"/>
    <n v="12.1"/>
    <n v="7"/>
    <n v="4.2300000000000004"/>
    <x v="10"/>
    <x v="0"/>
  </r>
  <r>
    <d v="2021-11-24T00:00:00"/>
    <x v="535"/>
    <x v="22"/>
    <x v="0"/>
    <x v="2"/>
    <n v="485.88"/>
    <n v="6"/>
    <n v="9.7200000000000006"/>
    <x v="10"/>
    <x v="0"/>
  </r>
  <r>
    <d v="2021-11-24T00:00:00"/>
    <x v="535"/>
    <x v="22"/>
    <x v="0"/>
    <x v="0"/>
    <n v="25.92"/>
    <n v="4"/>
    <n v="12.44"/>
    <x v="10"/>
    <x v="0"/>
  </r>
  <r>
    <d v="2021-11-24T00:00:00"/>
    <x v="535"/>
    <x v="22"/>
    <x v="0"/>
    <x v="2"/>
    <n v="197.58"/>
    <n v="2"/>
    <n v="53.35"/>
    <x v="10"/>
    <x v="0"/>
  </r>
  <r>
    <d v="2021-11-24T00:00:00"/>
    <x v="77"/>
    <x v="24"/>
    <x v="2"/>
    <x v="9"/>
    <n v="111.79"/>
    <n v="7"/>
    <n v="43.6"/>
    <x v="10"/>
    <x v="0"/>
  </r>
  <r>
    <d v="2021-11-24T00:00:00"/>
    <x v="15"/>
    <x v="3"/>
    <x v="1"/>
    <x v="5"/>
    <n v="120.71"/>
    <n v="1"/>
    <n v="-18.11"/>
    <x v="10"/>
    <x v="0"/>
  </r>
  <r>
    <d v="2021-11-24T00:00:00"/>
    <x v="168"/>
    <x v="10"/>
    <x v="2"/>
    <x v="6"/>
    <n v="1049.97"/>
    <n v="5"/>
    <n v="-209.99"/>
    <x v="10"/>
    <x v="0"/>
  </r>
  <r>
    <d v="2021-11-24T00:00:00"/>
    <x v="168"/>
    <x v="10"/>
    <x v="1"/>
    <x v="5"/>
    <n v="611.05999999999995"/>
    <n v="3"/>
    <n v="-34.92"/>
    <x v="10"/>
    <x v="0"/>
  </r>
  <r>
    <d v="2021-11-24T00:00:00"/>
    <x v="536"/>
    <x v="1"/>
    <x v="0"/>
    <x v="2"/>
    <n v="646.20000000000005"/>
    <n v="5"/>
    <n v="-8.08"/>
    <x v="10"/>
    <x v="0"/>
  </r>
  <r>
    <d v="2021-11-24T00:00:00"/>
    <x v="433"/>
    <x v="10"/>
    <x v="1"/>
    <x v="8"/>
    <n v="35.17"/>
    <n v="7"/>
    <n v="9.67"/>
    <x v="10"/>
    <x v="0"/>
  </r>
  <r>
    <d v="2021-11-24T00:00:00"/>
    <x v="433"/>
    <x v="10"/>
    <x v="2"/>
    <x v="6"/>
    <n v="1502.38"/>
    <n v="4"/>
    <n v="-250.4"/>
    <x v="10"/>
    <x v="0"/>
  </r>
  <r>
    <d v="2021-11-24T00:00:00"/>
    <x v="537"/>
    <x v="14"/>
    <x v="0"/>
    <x v="4"/>
    <n v="151.91999999999999"/>
    <n v="4"/>
    <n v="45.58"/>
    <x v="10"/>
    <x v="0"/>
  </r>
  <r>
    <d v="2021-11-24T00:00:00"/>
    <x v="537"/>
    <x v="14"/>
    <x v="0"/>
    <x v="1"/>
    <n v="196.62"/>
    <n v="2"/>
    <n v="96.34"/>
    <x v="10"/>
    <x v="0"/>
  </r>
  <r>
    <d v="2021-11-24T00:00:00"/>
    <x v="537"/>
    <x v="14"/>
    <x v="0"/>
    <x v="0"/>
    <n v="144.12"/>
    <n v="3"/>
    <n v="69.180000000000007"/>
    <x v="10"/>
    <x v="0"/>
  </r>
  <r>
    <d v="2021-11-24T00:00:00"/>
    <x v="537"/>
    <x v="14"/>
    <x v="0"/>
    <x v="0"/>
    <n v="15.96"/>
    <n v="2"/>
    <n v="7.98"/>
    <x v="10"/>
    <x v="0"/>
  </r>
  <r>
    <d v="2021-11-24T00:00:00"/>
    <x v="187"/>
    <x v="6"/>
    <x v="1"/>
    <x v="8"/>
    <n v="111.15"/>
    <n v="5"/>
    <n v="48.91"/>
    <x v="10"/>
    <x v="0"/>
  </r>
  <r>
    <d v="2021-11-24T00:00:00"/>
    <x v="538"/>
    <x v="10"/>
    <x v="0"/>
    <x v="3"/>
    <n v="5.74"/>
    <n v="3"/>
    <n v="-4.59"/>
    <x v="10"/>
    <x v="0"/>
  </r>
  <r>
    <d v="2021-11-25T00:00:00"/>
    <x v="230"/>
    <x v="3"/>
    <x v="0"/>
    <x v="12"/>
    <n v="320.88"/>
    <n v="6"/>
    <n v="93.06"/>
    <x v="10"/>
    <x v="0"/>
  </r>
  <r>
    <d v="2021-11-25T00:00:00"/>
    <x v="230"/>
    <x v="3"/>
    <x v="1"/>
    <x v="8"/>
    <n v="23.88"/>
    <n v="3"/>
    <n v="10.51"/>
    <x v="10"/>
    <x v="0"/>
  </r>
  <r>
    <d v="2021-11-25T00:00:00"/>
    <x v="230"/>
    <x v="3"/>
    <x v="0"/>
    <x v="0"/>
    <n v="26.76"/>
    <n v="4"/>
    <n v="12.31"/>
    <x v="10"/>
    <x v="0"/>
  </r>
  <r>
    <d v="2021-11-25T00:00:00"/>
    <x v="212"/>
    <x v="0"/>
    <x v="2"/>
    <x v="9"/>
    <n v="24.67"/>
    <n v="3"/>
    <n v="0"/>
    <x v="10"/>
    <x v="0"/>
  </r>
  <r>
    <d v="2021-11-25T00:00:00"/>
    <x v="212"/>
    <x v="0"/>
    <x v="0"/>
    <x v="1"/>
    <n v="2.52"/>
    <n v="1"/>
    <n v="0.88"/>
    <x v="10"/>
    <x v="0"/>
  </r>
  <r>
    <d v="2021-11-25T00:00:00"/>
    <x v="212"/>
    <x v="0"/>
    <x v="1"/>
    <x v="13"/>
    <n v="1218.74"/>
    <n v="5"/>
    <n v="-121.87"/>
    <x v="10"/>
    <x v="0"/>
  </r>
  <r>
    <d v="2021-11-25T00:00:00"/>
    <x v="212"/>
    <x v="0"/>
    <x v="0"/>
    <x v="1"/>
    <n v="5.9"/>
    <n v="2"/>
    <n v="1.99"/>
    <x v="10"/>
    <x v="0"/>
  </r>
  <r>
    <d v="2021-11-25T00:00:00"/>
    <x v="212"/>
    <x v="0"/>
    <x v="0"/>
    <x v="0"/>
    <n v="15.7"/>
    <n v="3"/>
    <n v="5.0999999999999996"/>
    <x v="10"/>
    <x v="0"/>
  </r>
  <r>
    <d v="2021-11-25T00:00:00"/>
    <x v="212"/>
    <x v="0"/>
    <x v="1"/>
    <x v="8"/>
    <n v="6.1"/>
    <n v="3"/>
    <n v="-3.96"/>
    <x v="10"/>
    <x v="0"/>
  </r>
  <r>
    <d v="2021-11-25T00:00:00"/>
    <x v="539"/>
    <x v="43"/>
    <x v="1"/>
    <x v="8"/>
    <n v="52.96"/>
    <n v="2"/>
    <n v="20.12"/>
    <x v="10"/>
    <x v="0"/>
  </r>
  <r>
    <d v="2021-11-25T00:00:00"/>
    <x v="109"/>
    <x v="20"/>
    <x v="0"/>
    <x v="2"/>
    <n v="1117.92"/>
    <n v="4"/>
    <n v="55.9"/>
    <x v="10"/>
    <x v="0"/>
  </r>
  <r>
    <d v="2021-11-25T00:00:00"/>
    <x v="109"/>
    <x v="20"/>
    <x v="1"/>
    <x v="11"/>
    <n v="275.95"/>
    <n v="3"/>
    <n v="-37.94"/>
    <x v="10"/>
    <x v="0"/>
  </r>
  <r>
    <d v="2021-11-25T00:00:00"/>
    <x v="145"/>
    <x v="11"/>
    <x v="0"/>
    <x v="4"/>
    <n v="51.02"/>
    <n v="7"/>
    <n v="8.2899999999999991"/>
    <x v="10"/>
    <x v="0"/>
  </r>
  <r>
    <d v="2021-11-25T00:00:00"/>
    <x v="77"/>
    <x v="3"/>
    <x v="2"/>
    <x v="6"/>
    <n v="539.91999999999996"/>
    <n v="5"/>
    <n v="47.24"/>
    <x v="10"/>
    <x v="0"/>
  </r>
  <r>
    <d v="2021-11-25T00:00:00"/>
    <x v="77"/>
    <x v="3"/>
    <x v="1"/>
    <x v="5"/>
    <n v="725.34"/>
    <n v="4"/>
    <n v="54.4"/>
    <x v="10"/>
    <x v="0"/>
  </r>
  <r>
    <d v="2021-11-25T00:00:00"/>
    <x v="77"/>
    <x v="3"/>
    <x v="0"/>
    <x v="4"/>
    <n v="7.44"/>
    <n v="3"/>
    <n v="2.6"/>
    <x v="10"/>
    <x v="0"/>
  </r>
  <r>
    <d v="2021-11-26T00:00:00"/>
    <x v="264"/>
    <x v="0"/>
    <x v="1"/>
    <x v="8"/>
    <n v="19.3"/>
    <n v="5"/>
    <n v="-14.48"/>
    <x v="10"/>
    <x v="0"/>
  </r>
  <r>
    <d v="2021-11-26T00:00:00"/>
    <x v="262"/>
    <x v="11"/>
    <x v="0"/>
    <x v="0"/>
    <n v="15.55"/>
    <n v="3"/>
    <n v="5.44"/>
    <x v="10"/>
    <x v="0"/>
  </r>
  <r>
    <d v="2021-11-26T00:00:00"/>
    <x v="262"/>
    <x v="11"/>
    <x v="0"/>
    <x v="2"/>
    <n v="669.08"/>
    <n v="5"/>
    <n v="-167.27"/>
    <x v="10"/>
    <x v="0"/>
  </r>
  <r>
    <d v="2021-11-26T00:00:00"/>
    <x v="262"/>
    <x v="11"/>
    <x v="2"/>
    <x v="6"/>
    <n v="438.34"/>
    <n v="4"/>
    <n v="-87.67"/>
    <x v="10"/>
    <x v="0"/>
  </r>
  <r>
    <d v="2021-11-26T00:00:00"/>
    <x v="471"/>
    <x v="3"/>
    <x v="0"/>
    <x v="0"/>
    <n v="81.98"/>
    <n v="2"/>
    <n v="40.17"/>
    <x v="10"/>
    <x v="0"/>
  </r>
  <r>
    <d v="2021-11-26T00:00:00"/>
    <x v="462"/>
    <x v="20"/>
    <x v="2"/>
    <x v="6"/>
    <n v="279.95999999999998"/>
    <n v="4"/>
    <n v="78.39"/>
    <x v="10"/>
    <x v="0"/>
  </r>
  <r>
    <d v="2021-11-26T00:00:00"/>
    <x v="462"/>
    <x v="20"/>
    <x v="0"/>
    <x v="3"/>
    <n v="12.91"/>
    <n v="3"/>
    <n v="4.68"/>
    <x v="10"/>
    <x v="0"/>
  </r>
  <r>
    <d v="2021-11-26T00:00:00"/>
    <x v="462"/>
    <x v="20"/>
    <x v="0"/>
    <x v="3"/>
    <n v="17.09"/>
    <n v="4"/>
    <n v="5.77"/>
    <x v="10"/>
    <x v="0"/>
  </r>
  <r>
    <d v="2021-11-26T00:00:00"/>
    <x v="462"/>
    <x v="20"/>
    <x v="0"/>
    <x v="1"/>
    <n v="93.15"/>
    <n v="9"/>
    <n v="44.71"/>
    <x v="10"/>
    <x v="0"/>
  </r>
  <r>
    <d v="2021-11-26T00:00:00"/>
    <x v="462"/>
    <x v="20"/>
    <x v="0"/>
    <x v="1"/>
    <n v="11.52"/>
    <n v="4"/>
    <n v="5.64"/>
    <x v="10"/>
    <x v="0"/>
  </r>
  <r>
    <d v="2021-11-26T00:00:00"/>
    <x v="465"/>
    <x v="3"/>
    <x v="0"/>
    <x v="3"/>
    <n v="4.32"/>
    <n v="3"/>
    <n v="1.51"/>
    <x v="10"/>
    <x v="0"/>
  </r>
  <r>
    <d v="2021-11-26T00:00:00"/>
    <x v="465"/>
    <x v="3"/>
    <x v="0"/>
    <x v="0"/>
    <n v="14.94"/>
    <n v="3"/>
    <n v="7.02"/>
    <x v="10"/>
    <x v="0"/>
  </r>
  <r>
    <d v="2021-11-26T00:00:00"/>
    <x v="465"/>
    <x v="3"/>
    <x v="0"/>
    <x v="12"/>
    <n v="40.54"/>
    <n v="2"/>
    <n v="11.35"/>
    <x v="10"/>
    <x v="0"/>
  </r>
  <r>
    <d v="2021-11-26T00:00:00"/>
    <x v="465"/>
    <x v="3"/>
    <x v="0"/>
    <x v="3"/>
    <n v="7.31"/>
    <n v="1"/>
    <n v="2.56"/>
    <x v="10"/>
    <x v="0"/>
  </r>
  <r>
    <d v="2021-11-27T00:00:00"/>
    <x v="282"/>
    <x v="20"/>
    <x v="0"/>
    <x v="7"/>
    <n v="3.76"/>
    <n v="2"/>
    <n v="1.32"/>
    <x v="10"/>
    <x v="0"/>
  </r>
  <r>
    <d v="2021-11-27T00:00:00"/>
    <x v="4"/>
    <x v="20"/>
    <x v="1"/>
    <x v="8"/>
    <n v="199.9"/>
    <n v="5"/>
    <n v="39.979999999999997"/>
    <x v="10"/>
    <x v="0"/>
  </r>
  <r>
    <d v="2021-11-28T00:00:00"/>
    <x v="540"/>
    <x v="33"/>
    <x v="0"/>
    <x v="4"/>
    <n v="14.67"/>
    <n v="3"/>
    <n v="3.96"/>
    <x v="10"/>
    <x v="0"/>
  </r>
  <r>
    <d v="2021-11-28T00:00:00"/>
    <x v="541"/>
    <x v="20"/>
    <x v="0"/>
    <x v="3"/>
    <n v="17.25"/>
    <n v="2"/>
    <n v="6.04"/>
    <x v="10"/>
    <x v="0"/>
  </r>
  <r>
    <d v="2021-11-28T00:00:00"/>
    <x v="10"/>
    <x v="9"/>
    <x v="1"/>
    <x v="8"/>
    <n v="397.6"/>
    <n v="5"/>
    <n v="43.74"/>
    <x v="10"/>
    <x v="0"/>
  </r>
  <r>
    <d v="2021-11-28T00:00:00"/>
    <x v="10"/>
    <x v="9"/>
    <x v="0"/>
    <x v="0"/>
    <n v="85.96"/>
    <n v="7"/>
    <n v="40.4"/>
    <x v="10"/>
    <x v="0"/>
  </r>
  <r>
    <d v="2021-11-28T00:00:00"/>
    <x v="10"/>
    <x v="9"/>
    <x v="0"/>
    <x v="4"/>
    <n v="13.12"/>
    <n v="4"/>
    <n v="4.33"/>
    <x v="10"/>
    <x v="0"/>
  </r>
  <r>
    <d v="2021-11-28T00:00:00"/>
    <x v="10"/>
    <x v="9"/>
    <x v="0"/>
    <x v="3"/>
    <n v="45.66"/>
    <n v="3"/>
    <n v="22.37"/>
    <x v="10"/>
    <x v="0"/>
  </r>
  <r>
    <d v="2021-11-28T00:00:00"/>
    <x v="347"/>
    <x v="3"/>
    <x v="0"/>
    <x v="14"/>
    <n v="7.36"/>
    <n v="2"/>
    <n v="0.15"/>
    <x v="10"/>
    <x v="0"/>
  </r>
  <r>
    <d v="2021-11-28T00:00:00"/>
    <x v="347"/>
    <x v="3"/>
    <x v="0"/>
    <x v="1"/>
    <n v="41.4"/>
    <n v="4"/>
    <n v="19.87"/>
    <x v="10"/>
    <x v="0"/>
  </r>
  <r>
    <d v="2021-11-28T00:00:00"/>
    <x v="347"/>
    <x v="3"/>
    <x v="1"/>
    <x v="11"/>
    <n v="411.33"/>
    <n v="4"/>
    <n v="-4.84"/>
    <x v="10"/>
    <x v="0"/>
  </r>
  <r>
    <d v="2021-11-28T00:00:00"/>
    <x v="320"/>
    <x v="3"/>
    <x v="0"/>
    <x v="12"/>
    <n v="43.68"/>
    <n v="3"/>
    <n v="11.79"/>
    <x v="10"/>
    <x v="0"/>
  </r>
  <r>
    <d v="2021-11-28T00:00:00"/>
    <x v="320"/>
    <x v="3"/>
    <x v="2"/>
    <x v="9"/>
    <n v="139.93"/>
    <n v="7"/>
    <n v="34.979999999999997"/>
    <x v="10"/>
    <x v="0"/>
  </r>
  <r>
    <d v="2021-11-28T00:00:00"/>
    <x v="542"/>
    <x v="0"/>
    <x v="2"/>
    <x v="15"/>
    <n v="998.85"/>
    <n v="5"/>
    <n v="-199.77"/>
    <x v="10"/>
    <x v="0"/>
  </r>
  <r>
    <d v="2021-11-28T00:00:00"/>
    <x v="543"/>
    <x v="18"/>
    <x v="0"/>
    <x v="10"/>
    <n v="64.02"/>
    <n v="6"/>
    <n v="29.45"/>
    <x v="10"/>
    <x v="0"/>
  </r>
  <r>
    <d v="2021-11-29T00:00:00"/>
    <x v="261"/>
    <x v="2"/>
    <x v="0"/>
    <x v="1"/>
    <n v="5.04"/>
    <n v="2"/>
    <n v="1.76"/>
    <x v="10"/>
    <x v="0"/>
  </r>
  <r>
    <d v="2021-11-29T00:00:00"/>
    <x v="544"/>
    <x v="1"/>
    <x v="0"/>
    <x v="7"/>
    <n v="12.62"/>
    <n v="2"/>
    <n v="3.95"/>
    <x v="10"/>
    <x v="0"/>
  </r>
  <r>
    <d v="2021-11-29T00:00:00"/>
    <x v="545"/>
    <x v="3"/>
    <x v="2"/>
    <x v="6"/>
    <n v="575.91999999999996"/>
    <n v="2"/>
    <n v="71.989999999999995"/>
    <x v="10"/>
    <x v="0"/>
  </r>
  <r>
    <d v="2021-11-29T00:00:00"/>
    <x v="545"/>
    <x v="3"/>
    <x v="0"/>
    <x v="7"/>
    <n v="30.4"/>
    <n v="5"/>
    <n v="15.2"/>
    <x v="10"/>
    <x v="0"/>
  </r>
  <r>
    <d v="2021-11-29T00:00:00"/>
    <x v="300"/>
    <x v="20"/>
    <x v="0"/>
    <x v="1"/>
    <n v="25.06"/>
    <n v="2"/>
    <n v="11.78"/>
    <x v="10"/>
    <x v="0"/>
  </r>
  <r>
    <d v="2021-11-30T00:00:00"/>
    <x v="506"/>
    <x v="20"/>
    <x v="0"/>
    <x v="10"/>
    <n v="62.28"/>
    <n v="4"/>
    <n v="29.27"/>
    <x v="10"/>
    <x v="0"/>
  </r>
  <r>
    <d v="2021-11-30T00:00:00"/>
    <x v="211"/>
    <x v="16"/>
    <x v="0"/>
    <x v="3"/>
    <n v="6.64"/>
    <n v="9"/>
    <n v="-4.43"/>
    <x v="10"/>
    <x v="0"/>
  </r>
  <r>
    <d v="2021-11-30T00:00:00"/>
    <x v="300"/>
    <x v="12"/>
    <x v="0"/>
    <x v="14"/>
    <n v="47.99"/>
    <n v="7"/>
    <n v="3.6"/>
    <x v="10"/>
    <x v="0"/>
  </r>
  <r>
    <d v="2021-11-30T00:00:00"/>
    <x v="300"/>
    <x v="12"/>
    <x v="2"/>
    <x v="9"/>
    <n v="102.24"/>
    <n v="4"/>
    <n v="-16.61"/>
    <x v="10"/>
    <x v="0"/>
  </r>
  <r>
    <d v="2021-12-01T00:00:00"/>
    <x v="218"/>
    <x v="21"/>
    <x v="1"/>
    <x v="5"/>
    <n v="2807.84"/>
    <n v="8"/>
    <n v="673.88"/>
    <x v="11"/>
    <x v="0"/>
  </r>
  <r>
    <d v="2021-12-01T00:00:00"/>
    <x v="218"/>
    <x v="21"/>
    <x v="0"/>
    <x v="4"/>
    <n v="46.64"/>
    <n v="4"/>
    <n v="12.59"/>
    <x v="11"/>
    <x v="0"/>
  </r>
  <r>
    <d v="2021-12-01T00:00:00"/>
    <x v="546"/>
    <x v="3"/>
    <x v="1"/>
    <x v="8"/>
    <n v="58.2"/>
    <n v="3"/>
    <n v="28.52"/>
    <x v="11"/>
    <x v="0"/>
  </r>
  <r>
    <d v="2021-12-01T00:00:00"/>
    <x v="263"/>
    <x v="25"/>
    <x v="2"/>
    <x v="6"/>
    <n v="95.97"/>
    <n v="4"/>
    <n v="9.6"/>
    <x v="11"/>
    <x v="0"/>
  </r>
  <r>
    <d v="2021-12-01T00:00:00"/>
    <x v="519"/>
    <x v="10"/>
    <x v="2"/>
    <x v="16"/>
    <n v="659.99"/>
    <n v="2"/>
    <n v="110"/>
    <x v="11"/>
    <x v="0"/>
  </r>
  <r>
    <d v="2021-12-01T00:00:00"/>
    <x v="519"/>
    <x v="10"/>
    <x v="1"/>
    <x v="8"/>
    <n v="8.1300000000000008"/>
    <n v="2"/>
    <n v="1.42"/>
    <x v="11"/>
    <x v="0"/>
  </r>
  <r>
    <d v="2021-12-01T00:00:00"/>
    <x v="519"/>
    <x v="10"/>
    <x v="0"/>
    <x v="0"/>
    <n v="36.29"/>
    <n v="7"/>
    <n v="12.7"/>
    <x v="11"/>
    <x v="0"/>
  </r>
  <r>
    <d v="2021-12-01T00:00:00"/>
    <x v="519"/>
    <x v="10"/>
    <x v="1"/>
    <x v="5"/>
    <n v="909.72"/>
    <n v="6"/>
    <n v="-51.98"/>
    <x v="11"/>
    <x v="0"/>
  </r>
  <r>
    <d v="2021-12-01T00:00:00"/>
    <x v="91"/>
    <x v="0"/>
    <x v="1"/>
    <x v="5"/>
    <n v="674.06"/>
    <n v="3"/>
    <n v="-19.260000000000002"/>
    <x v="11"/>
    <x v="0"/>
  </r>
  <r>
    <d v="2021-12-01T00:00:00"/>
    <x v="266"/>
    <x v="32"/>
    <x v="2"/>
    <x v="6"/>
    <n v="271.89999999999998"/>
    <n v="2"/>
    <n v="78.849999999999994"/>
    <x v="11"/>
    <x v="0"/>
  </r>
  <r>
    <d v="2021-12-01T00:00:00"/>
    <x v="266"/>
    <x v="32"/>
    <x v="1"/>
    <x v="8"/>
    <n v="45.84"/>
    <n v="3"/>
    <n v="15.59"/>
    <x v="11"/>
    <x v="0"/>
  </r>
  <r>
    <d v="2021-12-01T00:00:00"/>
    <x v="266"/>
    <x v="32"/>
    <x v="1"/>
    <x v="8"/>
    <n v="9.82"/>
    <n v="2"/>
    <n v="3.24"/>
    <x v="11"/>
    <x v="0"/>
  </r>
  <r>
    <d v="2021-12-02T00:00:00"/>
    <x v="547"/>
    <x v="20"/>
    <x v="2"/>
    <x v="9"/>
    <n v="119.96"/>
    <n v="4"/>
    <n v="52.78"/>
    <x v="11"/>
    <x v="0"/>
  </r>
  <r>
    <d v="2021-12-02T00:00:00"/>
    <x v="547"/>
    <x v="20"/>
    <x v="1"/>
    <x v="11"/>
    <n v="883.92"/>
    <n v="5"/>
    <n v="-110.49"/>
    <x v="11"/>
    <x v="0"/>
  </r>
  <r>
    <d v="2021-12-02T00:00:00"/>
    <x v="547"/>
    <x v="20"/>
    <x v="0"/>
    <x v="3"/>
    <n v="46.72"/>
    <n v="8"/>
    <n v="15.77"/>
    <x v="11"/>
    <x v="0"/>
  </r>
  <r>
    <d v="2021-12-02T00:00:00"/>
    <x v="548"/>
    <x v="0"/>
    <x v="1"/>
    <x v="8"/>
    <n v="58.36"/>
    <n v="5"/>
    <n v="-24.8"/>
    <x v="11"/>
    <x v="0"/>
  </r>
  <r>
    <d v="2021-12-02T00:00:00"/>
    <x v="548"/>
    <x v="0"/>
    <x v="0"/>
    <x v="4"/>
    <n v="16.46"/>
    <n v="7"/>
    <n v="1.44"/>
    <x v="11"/>
    <x v="0"/>
  </r>
  <r>
    <d v="2021-12-02T00:00:00"/>
    <x v="548"/>
    <x v="0"/>
    <x v="1"/>
    <x v="8"/>
    <n v="39.96"/>
    <n v="5"/>
    <n v="-23.98"/>
    <x v="11"/>
    <x v="0"/>
  </r>
  <r>
    <d v="2021-12-02T00:00:00"/>
    <x v="549"/>
    <x v="10"/>
    <x v="2"/>
    <x v="9"/>
    <n v="119.8"/>
    <n v="5"/>
    <n v="29.95"/>
    <x v="11"/>
    <x v="0"/>
  </r>
  <r>
    <d v="2021-12-02T00:00:00"/>
    <x v="550"/>
    <x v="1"/>
    <x v="0"/>
    <x v="12"/>
    <n v="2.39"/>
    <n v="1"/>
    <n v="-6.34"/>
    <x v="11"/>
    <x v="0"/>
  </r>
  <r>
    <d v="2021-12-02T00:00:00"/>
    <x v="402"/>
    <x v="36"/>
    <x v="1"/>
    <x v="8"/>
    <n v="60.72"/>
    <n v="3"/>
    <n v="23.68"/>
    <x v="11"/>
    <x v="0"/>
  </r>
  <r>
    <d v="2021-12-02T00:00:00"/>
    <x v="402"/>
    <x v="36"/>
    <x v="0"/>
    <x v="0"/>
    <n v="146.82"/>
    <n v="3"/>
    <n v="73.41"/>
    <x v="11"/>
    <x v="0"/>
  </r>
  <r>
    <d v="2021-12-02T00:00:00"/>
    <x v="402"/>
    <x v="36"/>
    <x v="1"/>
    <x v="5"/>
    <n v="239.84"/>
    <n v="8"/>
    <n v="64.760000000000005"/>
    <x v="11"/>
    <x v="0"/>
  </r>
  <r>
    <d v="2021-12-02T00:00:00"/>
    <x v="402"/>
    <x v="36"/>
    <x v="0"/>
    <x v="1"/>
    <n v="15.66"/>
    <n v="6"/>
    <n v="7.2"/>
    <x v="11"/>
    <x v="0"/>
  </r>
  <r>
    <d v="2021-12-02T00:00:00"/>
    <x v="551"/>
    <x v="4"/>
    <x v="2"/>
    <x v="9"/>
    <n v="5.95"/>
    <n v="1"/>
    <n v="0.83"/>
    <x v="11"/>
    <x v="0"/>
  </r>
  <r>
    <d v="2021-12-02T00:00:00"/>
    <x v="551"/>
    <x v="4"/>
    <x v="0"/>
    <x v="0"/>
    <n v="15.24"/>
    <n v="3"/>
    <n v="7.16"/>
    <x v="11"/>
    <x v="0"/>
  </r>
  <r>
    <d v="2021-12-03T00:00:00"/>
    <x v="534"/>
    <x v="39"/>
    <x v="2"/>
    <x v="6"/>
    <n v="479.96"/>
    <n v="4"/>
    <n v="134.38999999999999"/>
    <x v="11"/>
    <x v="0"/>
  </r>
  <r>
    <d v="2021-12-03T00:00:00"/>
    <x v="543"/>
    <x v="24"/>
    <x v="0"/>
    <x v="0"/>
    <n v="25.92"/>
    <n v="4"/>
    <n v="12.44"/>
    <x v="11"/>
    <x v="0"/>
  </r>
  <r>
    <d v="2021-12-04T00:00:00"/>
    <x v="552"/>
    <x v="20"/>
    <x v="2"/>
    <x v="6"/>
    <n v="129.97999999999999"/>
    <n v="2"/>
    <n v="62.39"/>
    <x v="11"/>
    <x v="0"/>
  </r>
  <r>
    <d v="2021-12-05T00:00:00"/>
    <x v="14"/>
    <x v="12"/>
    <x v="0"/>
    <x v="4"/>
    <n v="1113.02"/>
    <n v="8"/>
    <n v="111.3"/>
    <x v="11"/>
    <x v="0"/>
  </r>
  <r>
    <d v="2021-12-05T00:00:00"/>
    <x v="14"/>
    <x v="12"/>
    <x v="2"/>
    <x v="6"/>
    <n v="167.97"/>
    <n v="4"/>
    <n v="62.99"/>
    <x v="11"/>
    <x v="0"/>
  </r>
  <r>
    <d v="2021-12-05T00:00:00"/>
    <x v="553"/>
    <x v="1"/>
    <x v="0"/>
    <x v="2"/>
    <n v="24.82"/>
    <n v="2"/>
    <n v="1.86"/>
    <x v="11"/>
    <x v="0"/>
  </r>
  <r>
    <d v="2021-12-05T00:00:00"/>
    <x v="553"/>
    <x v="1"/>
    <x v="2"/>
    <x v="9"/>
    <n v="408.74"/>
    <n v="7"/>
    <n v="76.64"/>
    <x v="11"/>
    <x v="0"/>
  </r>
  <r>
    <d v="2021-12-05T00:00:00"/>
    <x v="554"/>
    <x v="6"/>
    <x v="0"/>
    <x v="2"/>
    <n v="24.56"/>
    <n v="2"/>
    <n v="6.88"/>
    <x v="11"/>
    <x v="0"/>
  </r>
  <r>
    <d v="2021-12-05T00:00:00"/>
    <x v="555"/>
    <x v="2"/>
    <x v="0"/>
    <x v="10"/>
    <n v="348.49"/>
    <n v="7"/>
    <n v="117.61"/>
    <x v="11"/>
    <x v="0"/>
  </r>
  <r>
    <d v="2021-12-05T00:00:00"/>
    <x v="555"/>
    <x v="2"/>
    <x v="0"/>
    <x v="2"/>
    <n v="172.74"/>
    <n v="4"/>
    <n v="-30.23"/>
    <x v="11"/>
    <x v="0"/>
  </r>
  <r>
    <d v="2021-12-05T00:00:00"/>
    <x v="400"/>
    <x v="10"/>
    <x v="0"/>
    <x v="0"/>
    <n v="98.38"/>
    <n v="3"/>
    <n v="35.659999999999997"/>
    <x v="11"/>
    <x v="0"/>
  </r>
  <r>
    <d v="2021-12-05T00:00:00"/>
    <x v="400"/>
    <x v="10"/>
    <x v="0"/>
    <x v="3"/>
    <n v="29.94"/>
    <n v="4"/>
    <n v="-23.95"/>
    <x v="11"/>
    <x v="0"/>
  </r>
  <r>
    <d v="2021-12-05T00:00:00"/>
    <x v="400"/>
    <x v="10"/>
    <x v="0"/>
    <x v="0"/>
    <n v="17.47"/>
    <n v="3"/>
    <n v="5.68"/>
    <x v="11"/>
    <x v="0"/>
  </r>
  <r>
    <d v="2021-12-05T00:00:00"/>
    <x v="400"/>
    <x v="10"/>
    <x v="2"/>
    <x v="6"/>
    <n v="36.74"/>
    <n v="1"/>
    <n v="-9.18"/>
    <x v="11"/>
    <x v="0"/>
  </r>
  <r>
    <d v="2021-12-05T00:00:00"/>
    <x v="400"/>
    <x v="10"/>
    <x v="2"/>
    <x v="6"/>
    <n v="179.94"/>
    <n v="2"/>
    <n v="-44.99"/>
    <x v="11"/>
    <x v="0"/>
  </r>
  <r>
    <d v="2021-12-05T00:00:00"/>
    <x v="556"/>
    <x v="3"/>
    <x v="0"/>
    <x v="4"/>
    <n v="26.46"/>
    <n v="9"/>
    <n v="11.91"/>
    <x v="11"/>
    <x v="0"/>
  </r>
  <r>
    <d v="2021-12-05T00:00:00"/>
    <x v="556"/>
    <x v="3"/>
    <x v="0"/>
    <x v="0"/>
    <n v="49.12"/>
    <n v="4"/>
    <n v="23.09"/>
    <x v="11"/>
    <x v="0"/>
  </r>
  <r>
    <d v="2021-12-05T00:00:00"/>
    <x v="556"/>
    <x v="3"/>
    <x v="0"/>
    <x v="7"/>
    <n v="15"/>
    <n v="3"/>
    <n v="7.2"/>
    <x v="11"/>
    <x v="0"/>
  </r>
  <r>
    <d v="2021-12-05T00:00:00"/>
    <x v="557"/>
    <x v="3"/>
    <x v="0"/>
    <x v="12"/>
    <n v="250.26"/>
    <n v="6"/>
    <n v="72.58"/>
    <x v="11"/>
    <x v="0"/>
  </r>
  <r>
    <d v="2021-12-06T00:00:00"/>
    <x v="321"/>
    <x v="0"/>
    <x v="1"/>
    <x v="8"/>
    <n v="23.98"/>
    <n v="3"/>
    <n v="-14.39"/>
    <x v="11"/>
    <x v="0"/>
  </r>
  <r>
    <d v="2021-12-06T00:00:00"/>
    <x v="361"/>
    <x v="11"/>
    <x v="0"/>
    <x v="2"/>
    <n v="53.42"/>
    <n v="3"/>
    <n v="4.67"/>
    <x v="11"/>
    <x v="0"/>
  </r>
  <r>
    <d v="2021-12-06T00:00:00"/>
    <x v="361"/>
    <x v="11"/>
    <x v="1"/>
    <x v="13"/>
    <n v="275.49"/>
    <n v="1"/>
    <n v="-170.8"/>
    <x v="11"/>
    <x v="0"/>
  </r>
  <r>
    <d v="2021-12-06T00:00:00"/>
    <x v="328"/>
    <x v="1"/>
    <x v="0"/>
    <x v="12"/>
    <n v="14.02"/>
    <n v="4"/>
    <n v="-31.54"/>
    <x v="11"/>
    <x v="0"/>
  </r>
  <r>
    <d v="2021-12-06T00:00:00"/>
    <x v="328"/>
    <x v="1"/>
    <x v="1"/>
    <x v="13"/>
    <n v="214.95"/>
    <n v="5"/>
    <n v="-120.37"/>
    <x v="11"/>
    <x v="0"/>
  </r>
  <r>
    <d v="2021-12-06T00:00:00"/>
    <x v="328"/>
    <x v="1"/>
    <x v="2"/>
    <x v="6"/>
    <n v="35.04"/>
    <n v="4"/>
    <n v="-7.01"/>
    <x v="11"/>
    <x v="0"/>
  </r>
  <r>
    <d v="2021-12-06T00:00:00"/>
    <x v="328"/>
    <x v="1"/>
    <x v="1"/>
    <x v="8"/>
    <n v="10.78"/>
    <n v="3"/>
    <n v="-4.8499999999999996"/>
    <x v="11"/>
    <x v="0"/>
  </r>
  <r>
    <d v="2021-12-06T00:00:00"/>
    <x v="328"/>
    <x v="1"/>
    <x v="0"/>
    <x v="3"/>
    <n v="4.5999999999999996"/>
    <n v="2"/>
    <n v="-8.0500000000000007"/>
    <x v="11"/>
    <x v="0"/>
  </r>
  <r>
    <d v="2021-12-06T00:00:00"/>
    <x v="328"/>
    <x v="1"/>
    <x v="0"/>
    <x v="2"/>
    <n v="35.17"/>
    <n v="2"/>
    <n v="-8.35"/>
    <x v="11"/>
    <x v="0"/>
  </r>
  <r>
    <d v="2021-12-06T00:00:00"/>
    <x v="138"/>
    <x v="3"/>
    <x v="0"/>
    <x v="2"/>
    <n v="1261.33"/>
    <n v="7"/>
    <n v="327.95"/>
    <x v="11"/>
    <x v="0"/>
  </r>
  <r>
    <d v="2021-12-06T00:00:00"/>
    <x v="497"/>
    <x v="15"/>
    <x v="0"/>
    <x v="0"/>
    <n v="42.21"/>
    <n v="2"/>
    <n v="13.72"/>
    <x v="11"/>
    <x v="0"/>
  </r>
  <r>
    <d v="2021-12-07T00:00:00"/>
    <x v="487"/>
    <x v="6"/>
    <x v="0"/>
    <x v="0"/>
    <n v="105.52"/>
    <n v="4"/>
    <n v="48.54"/>
    <x v="11"/>
    <x v="0"/>
  </r>
  <r>
    <d v="2021-12-07T00:00:00"/>
    <x v="558"/>
    <x v="3"/>
    <x v="0"/>
    <x v="4"/>
    <n v="8.64"/>
    <n v="3"/>
    <n v="2.42"/>
    <x v="11"/>
    <x v="0"/>
  </r>
  <r>
    <d v="2021-12-07T00:00:00"/>
    <x v="326"/>
    <x v="22"/>
    <x v="0"/>
    <x v="2"/>
    <n v="269.36"/>
    <n v="7"/>
    <n v="70.03"/>
    <x v="11"/>
    <x v="0"/>
  </r>
  <r>
    <d v="2021-12-07T00:00:00"/>
    <x v="200"/>
    <x v="3"/>
    <x v="0"/>
    <x v="0"/>
    <n v="164.88"/>
    <n v="3"/>
    <n v="80.790000000000006"/>
    <x v="11"/>
    <x v="0"/>
  </r>
  <r>
    <d v="2021-12-08T00:00:00"/>
    <x v="559"/>
    <x v="0"/>
    <x v="0"/>
    <x v="2"/>
    <n v="60.42"/>
    <n v="2"/>
    <n v="6.04"/>
    <x v="11"/>
    <x v="0"/>
  </r>
  <r>
    <d v="2021-12-08T00:00:00"/>
    <x v="560"/>
    <x v="11"/>
    <x v="0"/>
    <x v="1"/>
    <n v="27.89"/>
    <n v="7"/>
    <n v="9.06"/>
    <x v="11"/>
    <x v="0"/>
  </r>
  <r>
    <d v="2021-12-08T00:00:00"/>
    <x v="560"/>
    <x v="11"/>
    <x v="0"/>
    <x v="3"/>
    <n v="6.46"/>
    <n v="4"/>
    <n v="-4.5199999999999996"/>
    <x v="11"/>
    <x v="0"/>
  </r>
  <r>
    <d v="2021-12-08T00:00:00"/>
    <x v="560"/>
    <x v="11"/>
    <x v="2"/>
    <x v="6"/>
    <n v="52.68"/>
    <n v="3"/>
    <n v="19.760000000000002"/>
    <x v="11"/>
    <x v="0"/>
  </r>
  <r>
    <d v="2021-12-08T00:00:00"/>
    <x v="560"/>
    <x v="11"/>
    <x v="0"/>
    <x v="14"/>
    <n v="13.88"/>
    <n v="5"/>
    <n v="-2.6"/>
    <x v="11"/>
    <x v="0"/>
  </r>
  <r>
    <d v="2021-12-08T00:00:00"/>
    <x v="560"/>
    <x v="11"/>
    <x v="2"/>
    <x v="9"/>
    <n v="103.92"/>
    <n v="10"/>
    <n v="-18.190000000000001"/>
    <x v="11"/>
    <x v="0"/>
  </r>
  <r>
    <d v="2021-12-08T00:00:00"/>
    <x v="560"/>
    <x v="11"/>
    <x v="0"/>
    <x v="1"/>
    <n v="11.52"/>
    <n v="5"/>
    <n v="3.74"/>
    <x v="11"/>
    <x v="0"/>
  </r>
  <r>
    <d v="2021-12-08T00:00:00"/>
    <x v="560"/>
    <x v="11"/>
    <x v="0"/>
    <x v="0"/>
    <n v="10.37"/>
    <n v="2"/>
    <n v="3.63"/>
    <x v="11"/>
    <x v="0"/>
  </r>
  <r>
    <d v="2021-12-08T00:00:00"/>
    <x v="560"/>
    <x v="11"/>
    <x v="0"/>
    <x v="2"/>
    <n v="39.07"/>
    <n v="3"/>
    <n v="2.93"/>
    <x v="11"/>
    <x v="0"/>
  </r>
  <r>
    <d v="2021-12-08T00:00:00"/>
    <x v="232"/>
    <x v="22"/>
    <x v="0"/>
    <x v="0"/>
    <n v="45.68"/>
    <n v="2"/>
    <n v="21.01"/>
    <x v="11"/>
    <x v="0"/>
  </r>
  <r>
    <d v="2021-12-08T00:00:00"/>
    <x v="232"/>
    <x v="22"/>
    <x v="1"/>
    <x v="5"/>
    <n v="603.91999999999996"/>
    <n v="5"/>
    <n v="45.29"/>
    <x v="11"/>
    <x v="0"/>
  </r>
  <r>
    <d v="2021-12-08T00:00:00"/>
    <x v="561"/>
    <x v="3"/>
    <x v="1"/>
    <x v="8"/>
    <n v="39.880000000000003"/>
    <n v="2"/>
    <n v="11.17"/>
    <x v="11"/>
    <x v="0"/>
  </r>
  <r>
    <d v="2021-12-08T00:00:00"/>
    <x v="561"/>
    <x v="3"/>
    <x v="1"/>
    <x v="8"/>
    <n v="79.44"/>
    <n v="3"/>
    <n v="28.6"/>
    <x v="11"/>
    <x v="0"/>
  </r>
  <r>
    <d v="2021-12-09T00:00:00"/>
    <x v="38"/>
    <x v="3"/>
    <x v="0"/>
    <x v="0"/>
    <n v="34.68"/>
    <n v="6"/>
    <n v="16.989999999999998"/>
    <x v="11"/>
    <x v="0"/>
  </r>
  <r>
    <d v="2021-12-09T00:00:00"/>
    <x v="441"/>
    <x v="12"/>
    <x v="0"/>
    <x v="2"/>
    <n v="100.7"/>
    <n v="6"/>
    <n v="-1.26"/>
    <x v="11"/>
    <x v="0"/>
  </r>
  <r>
    <d v="2021-12-09T00:00:00"/>
    <x v="379"/>
    <x v="0"/>
    <x v="0"/>
    <x v="0"/>
    <n v="10.69"/>
    <n v="2"/>
    <n v="3.74"/>
    <x v="11"/>
    <x v="0"/>
  </r>
  <r>
    <d v="2021-12-09T00:00:00"/>
    <x v="379"/>
    <x v="0"/>
    <x v="0"/>
    <x v="2"/>
    <n v="237.1"/>
    <n v="3"/>
    <n v="20.75"/>
    <x v="11"/>
    <x v="0"/>
  </r>
  <r>
    <d v="2021-12-09T00:00:00"/>
    <x v="93"/>
    <x v="1"/>
    <x v="0"/>
    <x v="0"/>
    <n v="8.4499999999999993"/>
    <n v="2"/>
    <n v="2.96"/>
    <x v="11"/>
    <x v="0"/>
  </r>
  <r>
    <d v="2021-12-09T00:00:00"/>
    <x v="93"/>
    <x v="1"/>
    <x v="0"/>
    <x v="12"/>
    <n v="20.39"/>
    <n v="2"/>
    <n v="-53.01"/>
    <x v="11"/>
    <x v="0"/>
  </r>
  <r>
    <d v="2021-12-09T00:00:00"/>
    <x v="558"/>
    <x v="2"/>
    <x v="0"/>
    <x v="10"/>
    <n v="30.67"/>
    <n v="3"/>
    <n v="9.59"/>
    <x v="11"/>
    <x v="0"/>
  </r>
  <r>
    <d v="2021-12-09T00:00:00"/>
    <x v="558"/>
    <x v="2"/>
    <x v="2"/>
    <x v="16"/>
    <n v="1079.98"/>
    <n v="4"/>
    <n v="126"/>
    <x v="11"/>
    <x v="0"/>
  </r>
  <r>
    <d v="2021-12-10T00:00:00"/>
    <x v="533"/>
    <x v="20"/>
    <x v="0"/>
    <x v="0"/>
    <n v="11.36"/>
    <n v="2"/>
    <n v="5.23"/>
    <x v="11"/>
    <x v="0"/>
  </r>
  <r>
    <d v="2021-12-10T00:00:00"/>
    <x v="533"/>
    <x v="20"/>
    <x v="0"/>
    <x v="3"/>
    <n v="106.34"/>
    <n v="7"/>
    <n v="37.22"/>
    <x v="11"/>
    <x v="0"/>
  </r>
  <r>
    <d v="2021-12-10T00:00:00"/>
    <x v="562"/>
    <x v="34"/>
    <x v="1"/>
    <x v="5"/>
    <n v="338.35"/>
    <n v="3"/>
    <n v="4.2300000000000004"/>
    <x v="11"/>
    <x v="0"/>
  </r>
  <r>
    <d v="2021-12-10T00:00:00"/>
    <x v="562"/>
    <x v="34"/>
    <x v="0"/>
    <x v="0"/>
    <n v="25.92"/>
    <n v="4"/>
    <n v="12.44"/>
    <x v="11"/>
    <x v="0"/>
  </r>
  <r>
    <d v="2021-12-10T00:00:00"/>
    <x v="562"/>
    <x v="34"/>
    <x v="0"/>
    <x v="0"/>
    <n v="91.36"/>
    <n v="4"/>
    <n v="42.03"/>
    <x v="11"/>
    <x v="0"/>
  </r>
  <r>
    <d v="2021-12-12T00:00:00"/>
    <x v="377"/>
    <x v="3"/>
    <x v="1"/>
    <x v="13"/>
    <n v="764.69"/>
    <n v="6"/>
    <n v="95.59"/>
    <x v="11"/>
    <x v="0"/>
  </r>
  <r>
    <d v="2021-12-12T00:00:00"/>
    <x v="377"/>
    <x v="3"/>
    <x v="1"/>
    <x v="13"/>
    <n v="3610.85"/>
    <n v="12"/>
    <n v="135.41"/>
    <x v="11"/>
    <x v="0"/>
  </r>
  <r>
    <d v="2021-12-12T00:00:00"/>
    <x v="377"/>
    <x v="3"/>
    <x v="1"/>
    <x v="11"/>
    <n v="254.97"/>
    <n v="3"/>
    <n v="12"/>
    <x v="11"/>
    <x v="0"/>
  </r>
  <r>
    <d v="2021-12-12T00:00:00"/>
    <x v="494"/>
    <x v="3"/>
    <x v="1"/>
    <x v="8"/>
    <n v="43.31"/>
    <n v="1"/>
    <n v="4.33"/>
    <x v="11"/>
    <x v="0"/>
  </r>
  <r>
    <d v="2021-12-12T00:00:00"/>
    <x v="563"/>
    <x v="0"/>
    <x v="0"/>
    <x v="3"/>
    <n v="210.39"/>
    <n v="2"/>
    <n v="-336.63"/>
    <x v="11"/>
    <x v="0"/>
  </r>
  <r>
    <d v="2021-12-12T00:00:00"/>
    <x v="564"/>
    <x v="3"/>
    <x v="1"/>
    <x v="8"/>
    <n v="12.54"/>
    <n v="3"/>
    <n v="4.51"/>
    <x v="11"/>
    <x v="0"/>
  </r>
  <r>
    <d v="2021-12-12T00:00:00"/>
    <x v="564"/>
    <x v="3"/>
    <x v="0"/>
    <x v="2"/>
    <n v="8.94"/>
    <n v="3"/>
    <n v="0.63"/>
    <x v="11"/>
    <x v="0"/>
  </r>
  <r>
    <d v="2021-12-12T00:00:00"/>
    <x v="564"/>
    <x v="3"/>
    <x v="1"/>
    <x v="8"/>
    <n v="9.24"/>
    <n v="3"/>
    <n v="4.4400000000000004"/>
    <x v="11"/>
    <x v="0"/>
  </r>
  <r>
    <d v="2021-12-12T00:00:00"/>
    <x v="300"/>
    <x v="16"/>
    <x v="0"/>
    <x v="10"/>
    <n v="23.47"/>
    <n v="3"/>
    <n v="7.63"/>
    <x v="11"/>
    <x v="0"/>
  </r>
  <r>
    <d v="2021-12-13T00:00:00"/>
    <x v="375"/>
    <x v="3"/>
    <x v="0"/>
    <x v="0"/>
    <n v="90.24"/>
    <n v="6"/>
    <n v="41.51"/>
    <x v="11"/>
    <x v="0"/>
  </r>
  <r>
    <d v="2021-12-13T00:00:00"/>
    <x v="565"/>
    <x v="0"/>
    <x v="0"/>
    <x v="14"/>
    <n v="2.92"/>
    <n v="1"/>
    <n v="0.37"/>
    <x v="11"/>
    <x v="0"/>
  </r>
  <r>
    <d v="2021-12-13T00:00:00"/>
    <x v="227"/>
    <x v="1"/>
    <x v="1"/>
    <x v="8"/>
    <n v="94.43"/>
    <n v="3"/>
    <n v="-42.49"/>
    <x v="11"/>
    <x v="0"/>
  </r>
  <r>
    <d v="2021-12-13T00:00:00"/>
    <x v="211"/>
    <x v="12"/>
    <x v="1"/>
    <x v="8"/>
    <n v="87.96"/>
    <n v="3"/>
    <n v="7.7"/>
    <x v="11"/>
    <x v="0"/>
  </r>
  <r>
    <d v="2021-12-13T00:00:00"/>
    <x v="211"/>
    <x v="12"/>
    <x v="0"/>
    <x v="3"/>
    <n v="5.21"/>
    <n v="2"/>
    <n v="-4.17"/>
    <x v="11"/>
    <x v="0"/>
  </r>
  <r>
    <d v="2021-12-13T00:00:00"/>
    <x v="566"/>
    <x v="5"/>
    <x v="0"/>
    <x v="3"/>
    <n v="12.39"/>
    <n v="3"/>
    <n v="5.82"/>
    <x v="11"/>
    <x v="0"/>
  </r>
  <r>
    <d v="2021-12-14T00:00:00"/>
    <x v="448"/>
    <x v="1"/>
    <x v="0"/>
    <x v="3"/>
    <n v="5.0999999999999996"/>
    <n v="4"/>
    <n v="-8.68"/>
    <x v="11"/>
    <x v="0"/>
  </r>
  <r>
    <d v="2021-12-14T00:00:00"/>
    <x v="448"/>
    <x v="1"/>
    <x v="0"/>
    <x v="7"/>
    <n v="2.9"/>
    <n v="2"/>
    <n v="0.47"/>
    <x v="11"/>
    <x v="0"/>
  </r>
  <r>
    <d v="2021-12-14T00:00:00"/>
    <x v="448"/>
    <x v="1"/>
    <x v="2"/>
    <x v="9"/>
    <n v="35.020000000000003"/>
    <n v="3"/>
    <n v="-2.19"/>
    <x v="11"/>
    <x v="0"/>
  </r>
  <r>
    <d v="2021-12-14T00:00:00"/>
    <x v="240"/>
    <x v="16"/>
    <x v="1"/>
    <x v="5"/>
    <n v="186.3"/>
    <n v="4"/>
    <n v="13.97"/>
    <x v="11"/>
    <x v="0"/>
  </r>
  <r>
    <d v="2021-12-14T00:00:00"/>
    <x v="567"/>
    <x v="10"/>
    <x v="0"/>
    <x v="4"/>
    <n v="2.62"/>
    <n v="1"/>
    <n v="0.3"/>
    <x v="11"/>
    <x v="0"/>
  </r>
  <r>
    <d v="2021-12-14T00:00:00"/>
    <x v="567"/>
    <x v="10"/>
    <x v="1"/>
    <x v="13"/>
    <n v="136.53"/>
    <n v="1"/>
    <n v="-52.34"/>
    <x v="11"/>
    <x v="0"/>
  </r>
  <r>
    <d v="2021-12-14T00:00:00"/>
    <x v="567"/>
    <x v="10"/>
    <x v="2"/>
    <x v="9"/>
    <n v="263.95999999999998"/>
    <n v="1"/>
    <n v="42.89"/>
    <x v="11"/>
    <x v="0"/>
  </r>
  <r>
    <d v="2021-12-14T00:00:00"/>
    <x v="23"/>
    <x v="20"/>
    <x v="2"/>
    <x v="15"/>
    <n v="6999.96"/>
    <n v="4"/>
    <n v="2239.9899999999998"/>
    <x v="11"/>
    <x v="0"/>
  </r>
  <r>
    <d v="2021-12-14T00:00:00"/>
    <x v="568"/>
    <x v="1"/>
    <x v="0"/>
    <x v="3"/>
    <n v="9.26"/>
    <n v="3"/>
    <n v="-13.9"/>
    <x v="11"/>
    <x v="0"/>
  </r>
  <r>
    <d v="2021-12-15T00:00:00"/>
    <x v="260"/>
    <x v="0"/>
    <x v="2"/>
    <x v="6"/>
    <n v="40.68"/>
    <n v="3"/>
    <n v="-9.15"/>
    <x v="11"/>
    <x v="0"/>
  </r>
  <r>
    <d v="2021-12-15T00:00:00"/>
    <x v="260"/>
    <x v="0"/>
    <x v="1"/>
    <x v="5"/>
    <n v="763.28"/>
    <n v="5"/>
    <n v="-21.81"/>
    <x v="11"/>
    <x v="0"/>
  </r>
  <r>
    <d v="2021-12-15T00:00:00"/>
    <x v="117"/>
    <x v="3"/>
    <x v="1"/>
    <x v="8"/>
    <n v="6.16"/>
    <n v="2"/>
    <n v="1.97"/>
    <x v="11"/>
    <x v="0"/>
  </r>
  <r>
    <d v="2021-12-15T00:00:00"/>
    <x v="569"/>
    <x v="1"/>
    <x v="1"/>
    <x v="8"/>
    <n v="8.5399999999999991"/>
    <n v="2"/>
    <n v="-7.48"/>
    <x v="11"/>
    <x v="0"/>
  </r>
  <r>
    <d v="2021-12-15T00:00:00"/>
    <x v="290"/>
    <x v="2"/>
    <x v="1"/>
    <x v="5"/>
    <n v="445.8"/>
    <n v="7"/>
    <n v="-108.27"/>
    <x v="11"/>
    <x v="0"/>
  </r>
  <r>
    <d v="2021-12-16T00:00:00"/>
    <x v="148"/>
    <x v="16"/>
    <x v="0"/>
    <x v="3"/>
    <n v="1.17"/>
    <n v="1"/>
    <n v="-0.86"/>
    <x v="11"/>
    <x v="0"/>
  </r>
  <r>
    <d v="2021-12-16T00:00:00"/>
    <x v="570"/>
    <x v="3"/>
    <x v="1"/>
    <x v="8"/>
    <n v="44.46"/>
    <n v="2"/>
    <n v="14.67"/>
    <x v="11"/>
    <x v="0"/>
  </r>
  <r>
    <d v="2021-12-16T00:00:00"/>
    <x v="570"/>
    <x v="3"/>
    <x v="1"/>
    <x v="5"/>
    <n v="241.57"/>
    <n v="2"/>
    <n v="18.12"/>
    <x v="11"/>
    <x v="0"/>
  </r>
  <r>
    <d v="2021-12-16T00:00:00"/>
    <x v="570"/>
    <x v="3"/>
    <x v="2"/>
    <x v="9"/>
    <n v="395"/>
    <n v="5"/>
    <n v="39.5"/>
    <x v="11"/>
    <x v="0"/>
  </r>
  <r>
    <d v="2021-12-16T00:00:00"/>
    <x v="570"/>
    <x v="3"/>
    <x v="2"/>
    <x v="6"/>
    <n v="627.16999999999996"/>
    <n v="4"/>
    <n v="70.56"/>
    <x v="11"/>
    <x v="0"/>
  </r>
  <r>
    <d v="2021-12-16T00:00:00"/>
    <x v="127"/>
    <x v="16"/>
    <x v="1"/>
    <x v="5"/>
    <n v="1013.83"/>
    <n v="9"/>
    <n v="101.38"/>
    <x v="11"/>
    <x v="0"/>
  </r>
  <r>
    <d v="2021-12-16T00:00:00"/>
    <x v="127"/>
    <x v="16"/>
    <x v="0"/>
    <x v="7"/>
    <n v="1.98"/>
    <n v="2"/>
    <n v="0.67"/>
    <x v="11"/>
    <x v="0"/>
  </r>
  <r>
    <d v="2021-12-16T00:00:00"/>
    <x v="28"/>
    <x v="0"/>
    <x v="0"/>
    <x v="0"/>
    <n v="36.29"/>
    <n v="7"/>
    <n v="12.7"/>
    <x v="11"/>
    <x v="0"/>
  </r>
  <r>
    <d v="2021-12-16T00:00:00"/>
    <x v="28"/>
    <x v="0"/>
    <x v="1"/>
    <x v="8"/>
    <n v="56.57"/>
    <n v="2"/>
    <n v="-74.95"/>
    <x v="11"/>
    <x v="0"/>
  </r>
  <r>
    <d v="2021-12-16T00:00:00"/>
    <x v="571"/>
    <x v="14"/>
    <x v="0"/>
    <x v="0"/>
    <n v="114.2"/>
    <n v="5"/>
    <n v="52.53"/>
    <x v="11"/>
    <x v="0"/>
  </r>
  <r>
    <d v="2021-12-16T00:00:00"/>
    <x v="572"/>
    <x v="3"/>
    <x v="1"/>
    <x v="5"/>
    <n v="1403.92"/>
    <n v="5"/>
    <n v="70.2"/>
    <x v="11"/>
    <x v="0"/>
  </r>
  <r>
    <d v="2021-12-16T00:00:00"/>
    <x v="224"/>
    <x v="6"/>
    <x v="2"/>
    <x v="9"/>
    <n v="99.98"/>
    <n v="2"/>
    <n v="8"/>
    <x v="11"/>
    <x v="0"/>
  </r>
  <r>
    <d v="2021-12-16T00:00:00"/>
    <x v="224"/>
    <x v="6"/>
    <x v="1"/>
    <x v="8"/>
    <n v="29.46"/>
    <n v="6"/>
    <n v="9.7200000000000006"/>
    <x v="11"/>
    <x v="0"/>
  </r>
  <r>
    <d v="2021-12-16T00:00:00"/>
    <x v="573"/>
    <x v="0"/>
    <x v="2"/>
    <x v="9"/>
    <n v="319.97000000000003"/>
    <n v="4"/>
    <n v="95.99"/>
    <x v="11"/>
    <x v="0"/>
  </r>
  <r>
    <d v="2021-12-16T00:00:00"/>
    <x v="573"/>
    <x v="0"/>
    <x v="1"/>
    <x v="8"/>
    <n v="8.6199999999999992"/>
    <n v="7"/>
    <n v="-2.59"/>
    <x v="11"/>
    <x v="0"/>
  </r>
  <r>
    <d v="2021-12-17T00:00:00"/>
    <x v="503"/>
    <x v="4"/>
    <x v="0"/>
    <x v="4"/>
    <n v="40.049999999999997"/>
    <n v="3"/>
    <n v="11.21"/>
    <x v="11"/>
    <x v="0"/>
  </r>
  <r>
    <d v="2021-12-17T00:00:00"/>
    <x v="574"/>
    <x v="10"/>
    <x v="0"/>
    <x v="3"/>
    <n v="5.48"/>
    <n v="4"/>
    <n v="-4.0199999999999996"/>
    <x v="11"/>
    <x v="0"/>
  </r>
  <r>
    <d v="2021-12-19T00:00:00"/>
    <x v="575"/>
    <x v="16"/>
    <x v="0"/>
    <x v="3"/>
    <n v="4.8099999999999996"/>
    <n v="2"/>
    <n v="-3.69"/>
    <x v="11"/>
    <x v="0"/>
  </r>
  <r>
    <d v="2021-12-19T00:00:00"/>
    <x v="575"/>
    <x v="16"/>
    <x v="2"/>
    <x v="9"/>
    <n v="247.8"/>
    <n v="5"/>
    <n v="-18.59"/>
    <x v="11"/>
    <x v="0"/>
  </r>
  <r>
    <d v="2021-12-19T00:00:00"/>
    <x v="576"/>
    <x v="33"/>
    <x v="0"/>
    <x v="3"/>
    <n v="152.76"/>
    <n v="6"/>
    <n v="74.849999999999994"/>
    <x v="11"/>
    <x v="0"/>
  </r>
  <r>
    <d v="2021-12-19T00:00:00"/>
    <x v="576"/>
    <x v="33"/>
    <x v="0"/>
    <x v="14"/>
    <n v="7.27"/>
    <n v="1"/>
    <n v="1.96"/>
    <x v="11"/>
    <x v="0"/>
  </r>
  <r>
    <d v="2021-12-19T00:00:00"/>
    <x v="576"/>
    <x v="33"/>
    <x v="1"/>
    <x v="5"/>
    <n v="1819.86"/>
    <n v="14"/>
    <n v="163.79"/>
    <x v="11"/>
    <x v="0"/>
  </r>
  <r>
    <d v="2021-12-19T00:00:00"/>
    <x v="244"/>
    <x v="3"/>
    <x v="0"/>
    <x v="1"/>
    <n v="14.62"/>
    <n v="2"/>
    <n v="6.87"/>
    <x v="11"/>
    <x v="0"/>
  </r>
  <r>
    <d v="2021-12-19T00:00:00"/>
    <x v="244"/>
    <x v="3"/>
    <x v="0"/>
    <x v="7"/>
    <n v="22.55"/>
    <n v="5"/>
    <n v="8.7899999999999991"/>
    <x v="11"/>
    <x v="0"/>
  </r>
  <r>
    <d v="2021-12-19T00:00:00"/>
    <x v="244"/>
    <x v="3"/>
    <x v="2"/>
    <x v="6"/>
    <n v="583.79999999999995"/>
    <n v="5"/>
    <n v="72.98"/>
    <x v="11"/>
    <x v="0"/>
  </r>
  <r>
    <d v="2021-12-19T00:00:00"/>
    <x v="244"/>
    <x v="3"/>
    <x v="2"/>
    <x v="6"/>
    <n v="211.17"/>
    <n v="4"/>
    <n v="15.84"/>
    <x v="11"/>
    <x v="0"/>
  </r>
  <r>
    <d v="2021-12-19T00:00:00"/>
    <x v="25"/>
    <x v="1"/>
    <x v="2"/>
    <x v="6"/>
    <n v="323.98"/>
    <n v="3"/>
    <n v="36.450000000000003"/>
    <x v="11"/>
    <x v="0"/>
  </r>
  <r>
    <d v="2021-12-19T00:00:00"/>
    <x v="25"/>
    <x v="1"/>
    <x v="0"/>
    <x v="0"/>
    <n v="15.55"/>
    <n v="3"/>
    <n v="5.44"/>
    <x v="11"/>
    <x v="0"/>
  </r>
  <r>
    <d v="2021-12-19T00:00:00"/>
    <x v="25"/>
    <x v="1"/>
    <x v="0"/>
    <x v="2"/>
    <n v="32.590000000000003"/>
    <n v="3"/>
    <n v="-7.74"/>
    <x v="11"/>
    <x v="0"/>
  </r>
  <r>
    <d v="2021-12-20T00:00:00"/>
    <x v="577"/>
    <x v="6"/>
    <x v="0"/>
    <x v="2"/>
    <n v="122.48"/>
    <n v="2"/>
    <n v="0"/>
    <x v="11"/>
    <x v="0"/>
  </r>
  <r>
    <d v="2021-12-20T00:00:00"/>
    <x v="577"/>
    <x v="6"/>
    <x v="1"/>
    <x v="13"/>
    <n v="2244.48"/>
    <n v="7"/>
    <n v="493.79"/>
    <x v="11"/>
    <x v="0"/>
  </r>
  <r>
    <d v="2021-12-20T00:00:00"/>
    <x v="577"/>
    <x v="6"/>
    <x v="0"/>
    <x v="3"/>
    <n v="62.31"/>
    <n v="3"/>
    <n v="29.29"/>
    <x v="11"/>
    <x v="0"/>
  </r>
  <r>
    <d v="2021-12-20T00:00:00"/>
    <x v="577"/>
    <x v="6"/>
    <x v="1"/>
    <x v="13"/>
    <n v="455.1"/>
    <n v="2"/>
    <n v="100.12"/>
    <x v="11"/>
    <x v="0"/>
  </r>
  <r>
    <d v="2021-12-20T00:00:00"/>
    <x v="348"/>
    <x v="22"/>
    <x v="0"/>
    <x v="1"/>
    <n v="31.05"/>
    <n v="3"/>
    <n v="14.9"/>
    <x v="11"/>
    <x v="0"/>
  </r>
  <r>
    <d v="2021-12-20T00:00:00"/>
    <x v="578"/>
    <x v="15"/>
    <x v="0"/>
    <x v="12"/>
    <n v="43.51"/>
    <n v="7"/>
    <n v="3.81"/>
    <x v="11"/>
    <x v="0"/>
  </r>
  <r>
    <d v="2021-12-20T00:00:00"/>
    <x v="578"/>
    <x v="15"/>
    <x v="1"/>
    <x v="5"/>
    <n v="662.88"/>
    <n v="3"/>
    <n v="74.569999999999993"/>
    <x v="11"/>
    <x v="0"/>
  </r>
  <r>
    <d v="2021-12-20T00:00:00"/>
    <x v="578"/>
    <x v="15"/>
    <x v="0"/>
    <x v="0"/>
    <n v="25.92"/>
    <n v="5"/>
    <n v="9.07"/>
    <x v="11"/>
    <x v="0"/>
  </r>
  <r>
    <d v="2021-12-20T00:00:00"/>
    <x v="283"/>
    <x v="3"/>
    <x v="0"/>
    <x v="3"/>
    <n v="487.98"/>
    <n v="2"/>
    <n v="152.5"/>
    <x v="11"/>
    <x v="0"/>
  </r>
  <r>
    <d v="2021-12-20T00:00:00"/>
    <x v="283"/>
    <x v="3"/>
    <x v="0"/>
    <x v="4"/>
    <n v="47.3"/>
    <n v="2"/>
    <n v="12.3"/>
    <x v="11"/>
    <x v="0"/>
  </r>
  <r>
    <d v="2021-12-20T00:00:00"/>
    <x v="283"/>
    <x v="3"/>
    <x v="0"/>
    <x v="4"/>
    <n v="4.13"/>
    <n v="1"/>
    <n v="1.1599999999999999"/>
    <x v="11"/>
    <x v="0"/>
  </r>
  <r>
    <d v="2021-12-20T00:00:00"/>
    <x v="283"/>
    <x v="3"/>
    <x v="0"/>
    <x v="3"/>
    <n v="155.12"/>
    <n v="5"/>
    <n v="50.41"/>
    <x v="11"/>
    <x v="0"/>
  </r>
  <r>
    <d v="2021-12-20T00:00:00"/>
    <x v="460"/>
    <x v="26"/>
    <x v="2"/>
    <x v="9"/>
    <n v="447.94"/>
    <n v="7"/>
    <n v="89.59"/>
    <x v="11"/>
    <x v="0"/>
  </r>
  <r>
    <d v="2021-12-20T00:00:00"/>
    <x v="579"/>
    <x v="18"/>
    <x v="0"/>
    <x v="1"/>
    <n v="3.69"/>
    <n v="1"/>
    <n v="1.73"/>
    <x v="11"/>
    <x v="0"/>
  </r>
  <r>
    <d v="2021-12-20T00:00:00"/>
    <x v="579"/>
    <x v="18"/>
    <x v="0"/>
    <x v="3"/>
    <n v="1103.97"/>
    <n v="3"/>
    <n v="496.79"/>
    <x v="11"/>
    <x v="0"/>
  </r>
  <r>
    <d v="2021-12-20T00:00:00"/>
    <x v="294"/>
    <x v="10"/>
    <x v="1"/>
    <x v="8"/>
    <n v="190.85"/>
    <n v="3"/>
    <n v="-21.47"/>
    <x v="11"/>
    <x v="0"/>
  </r>
  <r>
    <d v="2021-12-20T00:00:00"/>
    <x v="189"/>
    <x v="12"/>
    <x v="1"/>
    <x v="8"/>
    <n v="51.97"/>
    <n v="2"/>
    <n v="10.39"/>
    <x v="11"/>
    <x v="0"/>
  </r>
  <r>
    <d v="2021-12-20T00:00:00"/>
    <x v="189"/>
    <x v="12"/>
    <x v="2"/>
    <x v="9"/>
    <n v="71.98"/>
    <n v="3"/>
    <n v="21.59"/>
    <x v="11"/>
    <x v="0"/>
  </r>
  <r>
    <d v="2021-12-20T00:00:00"/>
    <x v="189"/>
    <x v="12"/>
    <x v="1"/>
    <x v="5"/>
    <n v="242.35"/>
    <n v="3"/>
    <n v="-42.41"/>
    <x v="11"/>
    <x v="0"/>
  </r>
  <r>
    <d v="2021-12-20T00:00:00"/>
    <x v="189"/>
    <x v="12"/>
    <x v="0"/>
    <x v="0"/>
    <n v="221.92"/>
    <n v="5"/>
    <n v="77.67"/>
    <x v="11"/>
    <x v="0"/>
  </r>
  <r>
    <d v="2021-12-20T00:00:00"/>
    <x v="189"/>
    <x v="12"/>
    <x v="0"/>
    <x v="0"/>
    <n v="8.4499999999999993"/>
    <n v="2"/>
    <n v="2.64"/>
    <x v="11"/>
    <x v="0"/>
  </r>
  <r>
    <d v="2021-12-20T00:00:00"/>
    <x v="494"/>
    <x v="0"/>
    <x v="0"/>
    <x v="12"/>
    <n v="19.43"/>
    <n v="2"/>
    <n v="-49.55"/>
    <x v="11"/>
    <x v="0"/>
  </r>
  <r>
    <d v="2021-12-20T00:00:00"/>
    <x v="494"/>
    <x v="0"/>
    <x v="2"/>
    <x v="9"/>
    <n v="65.44"/>
    <n v="5"/>
    <n v="-8.18"/>
    <x v="11"/>
    <x v="0"/>
  </r>
  <r>
    <d v="2021-12-20T00:00:00"/>
    <x v="436"/>
    <x v="20"/>
    <x v="1"/>
    <x v="5"/>
    <n v="192.19"/>
    <n v="3"/>
    <n v="36.299999999999997"/>
    <x v="11"/>
    <x v="0"/>
  </r>
  <r>
    <d v="2021-12-21T00:00:00"/>
    <x v="95"/>
    <x v="3"/>
    <x v="1"/>
    <x v="5"/>
    <n v="1325.76"/>
    <n v="6"/>
    <n v="149.15"/>
    <x v="11"/>
    <x v="0"/>
  </r>
  <r>
    <d v="2021-12-21T00:00:00"/>
    <x v="95"/>
    <x v="3"/>
    <x v="1"/>
    <x v="5"/>
    <n v="572.16"/>
    <n v="3"/>
    <n v="35.76"/>
    <x v="11"/>
    <x v="0"/>
  </r>
  <r>
    <d v="2021-12-21T00:00:00"/>
    <x v="285"/>
    <x v="15"/>
    <x v="0"/>
    <x v="3"/>
    <n v="18.239999999999998"/>
    <n v="2"/>
    <n v="-14.59"/>
    <x v="11"/>
    <x v="0"/>
  </r>
  <r>
    <d v="2021-12-21T00:00:00"/>
    <x v="405"/>
    <x v="7"/>
    <x v="0"/>
    <x v="1"/>
    <n v="17.28"/>
    <n v="6"/>
    <n v="7.95"/>
    <x v="11"/>
    <x v="0"/>
  </r>
  <r>
    <d v="2021-12-22T00:00:00"/>
    <x v="580"/>
    <x v="3"/>
    <x v="0"/>
    <x v="4"/>
    <n v="11.76"/>
    <n v="4"/>
    <n v="3.18"/>
    <x v="11"/>
    <x v="0"/>
  </r>
  <r>
    <d v="2021-12-22T00:00:00"/>
    <x v="214"/>
    <x v="20"/>
    <x v="0"/>
    <x v="2"/>
    <n v="216.4"/>
    <n v="4"/>
    <n v="56.26"/>
    <x v="11"/>
    <x v="0"/>
  </r>
  <r>
    <d v="2021-12-22T00:00:00"/>
    <x v="377"/>
    <x v="1"/>
    <x v="0"/>
    <x v="2"/>
    <n v="132.16"/>
    <n v="1"/>
    <n v="9.91"/>
    <x v="11"/>
    <x v="0"/>
  </r>
  <r>
    <d v="2021-12-22T00:00:00"/>
    <x v="377"/>
    <x v="1"/>
    <x v="0"/>
    <x v="3"/>
    <n v="17.899999999999999"/>
    <n v="6"/>
    <n v="-31.33"/>
    <x v="11"/>
    <x v="0"/>
  </r>
  <r>
    <d v="2021-12-22T00:00:00"/>
    <x v="377"/>
    <x v="1"/>
    <x v="0"/>
    <x v="0"/>
    <n v="124.03"/>
    <n v="4"/>
    <n v="44.96"/>
    <x v="11"/>
    <x v="0"/>
  </r>
  <r>
    <d v="2021-12-22T00:00:00"/>
    <x v="581"/>
    <x v="20"/>
    <x v="0"/>
    <x v="3"/>
    <n v="296.70999999999998"/>
    <n v="13"/>
    <n v="100.14"/>
    <x v="11"/>
    <x v="0"/>
  </r>
  <r>
    <d v="2021-12-23T00:00:00"/>
    <x v="582"/>
    <x v="18"/>
    <x v="0"/>
    <x v="12"/>
    <n v="207.24"/>
    <n v="11"/>
    <n v="58.03"/>
    <x v="11"/>
    <x v="0"/>
  </r>
  <r>
    <d v="2021-12-23T00:00:00"/>
    <x v="495"/>
    <x v="20"/>
    <x v="1"/>
    <x v="13"/>
    <n v="53.32"/>
    <n v="2"/>
    <n v="-19.55"/>
    <x v="11"/>
    <x v="0"/>
  </r>
  <r>
    <d v="2021-12-23T00:00:00"/>
    <x v="495"/>
    <x v="20"/>
    <x v="0"/>
    <x v="12"/>
    <n v="56.52"/>
    <n v="3"/>
    <n v="15.83"/>
    <x v="11"/>
    <x v="0"/>
  </r>
  <r>
    <d v="2021-12-23T00:00:00"/>
    <x v="311"/>
    <x v="0"/>
    <x v="0"/>
    <x v="0"/>
    <n v="5.18"/>
    <n v="1"/>
    <n v="1.81"/>
    <x v="11"/>
    <x v="0"/>
  </r>
  <r>
    <d v="2021-12-23T00:00:00"/>
    <x v="583"/>
    <x v="16"/>
    <x v="0"/>
    <x v="0"/>
    <n v="45.53"/>
    <n v="3"/>
    <n v="15.93"/>
    <x v="11"/>
    <x v="0"/>
  </r>
  <r>
    <d v="2021-12-23T00:00:00"/>
    <x v="583"/>
    <x v="16"/>
    <x v="1"/>
    <x v="5"/>
    <n v="64.78"/>
    <n v="1"/>
    <n v="6.48"/>
    <x v="11"/>
    <x v="0"/>
  </r>
  <r>
    <d v="2021-12-23T00:00:00"/>
    <x v="583"/>
    <x v="16"/>
    <x v="0"/>
    <x v="2"/>
    <n v="424.27"/>
    <n v="2"/>
    <n v="-10.61"/>
    <x v="11"/>
    <x v="0"/>
  </r>
  <r>
    <d v="2021-12-23T00:00:00"/>
    <x v="583"/>
    <x v="16"/>
    <x v="0"/>
    <x v="4"/>
    <n v="1.34"/>
    <n v="1"/>
    <n v="0.5"/>
    <x v="11"/>
    <x v="0"/>
  </r>
  <r>
    <d v="2021-12-23T00:00:00"/>
    <x v="583"/>
    <x v="16"/>
    <x v="0"/>
    <x v="2"/>
    <n v="83.92"/>
    <n v="5"/>
    <n v="-1.05"/>
    <x v="11"/>
    <x v="0"/>
  </r>
  <r>
    <d v="2021-12-24T00:00:00"/>
    <x v="321"/>
    <x v="16"/>
    <x v="0"/>
    <x v="0"/>
    <n v="9.57"/>
    <n v="2"/>
    <n v="3.47"/>
    <x v="11"/>
    <x v="0"/>
  </r>
  <r>
    <d v="2021-12-24T00:00:00"/>
    <x v="218"/>
    <x v="10"/>
    <x v="1"/>
    <x v="8"/>
    <n v="30.36"/>
    <n v="5"/>
    <n v="8.73"/>
    <x v="11"/>
    <x v="0"/>
  </r>
  <r>
    <d v="2021-12-24T00:00:00"/>
    <x v="520"/>
    <x v="3"/>
    <x v="0"/>
    <x v="2"/>
    <n v="142.86000000000001"/>
    <n v="1"/>
    <n v="41.43"/>
    <x v="11"/>
    <x v="0"/>
  </r>
  <r>
    <d v="2021-12-24T00:00:00"/>
    <x v="520"/>
    <x v="3"/>
    <x v="1"/>
    <x v="5"/>
    <n v="292.27"/>
    <n v="6"/>
    <n v="18.27"/>
    <x v="11"/>
    <x v="0"/>
  </r>
  <r>
    <d v="2021-12-24T00:00:00"/>
    <x v="151"/>
    <x v="3"/>
    <x v="2"/>
    <x v="6"/>
    <n v="173.66"/>
    <n v="7"/>
    <n v="17.37"/>
    <x v="11"/>
    <x v="0"/>
  </r>
  <r>
    <d v="2021-12-24T00:00:00"/>
    <x v="151"/>
    <x v="3"/>
    <x v="0"/>
    <x v="12"/>
    <n v="361.96"/>
    <n v="2"/>
    <n v="101.35"/>
    <x v="11"/>
    <x v="0"/>
  </r>
  <r>
    <d v="2021-12-24T00:00:00"/>
    <x v="151"/>
    <x v="3"/>
    <x v="2"/>
    <x v="9"/>
    <n v="62.85"/>
    <n v="3"/>
    <n v="13.2"/>
    <x v="11"/>
    <x v="0"/>
  </r>
  <r>
    <d v="2021-12-24T00:00:00"/>
    <x v="151"/>
    <x v="3"/>
    <x v="2"/>
    <x v="6"/>
    <n v="818.38"/>
    <n v="3"/>
    <n v="51.15"/>
    <x v="11"/>
    <x v="0"/>
  </r>
  <r>
    <d v="2021-12-24T00:00:00"/>
    <x v="151"/>
    <x v="3"/>
    <x v="0"/>
    <x v="2"/>
    <n v="20.34"/>
    <n v="1"/>
    <n v="0.2"/>
    <x v="11"/>
    <x v="0"/>
  </r>
  <r>
    <d v="2021-12-24T00:00:00"/>
    <x v="151"/>
    <x v="3"/>
    <x v="1"/>
    <x v="8"/>
    <n v="23.99"/>
    <n v="1"/>
    <n v="5.52"/>
    <x v="11"/>
    <x v="0"/>
  </r>
  <r>
    <d v="2021-12-24T00:00:00"/>
    <x v="423"/>
    <x v="3"/>
    <x v="0"/>
    <x v="12"/>
    <n v="13.97"/>
    <n v="1"/>
    <n v="3.63"/>
    <x v="11"/>
    <x v="0"/>
  </r>
  <r>
    <d v="2021-12-26T00:00:00"/>
    <x v="525"/>
    <x v="0"/>
    <x v="1"/>
    <x v="5"/>
    <n v="600.55999999999995"/>
    <n v="3"/>
    <n v="-8.58"/>
    <x v="11"/>
    <x v="0"/>
  </r>
  <r>
    <d v="2021-12-26T00:00:00"/>
    <x v="254"/>
    <x v="26"/>
    <x v="1"/>
    <x v="8"/>
    <n v="300.42"/>
    <n v="8"/>
    <n v="78.86"/>
    <x v="11"/>
    <x v="0"/>
  </r>
  <r>
    <d v="2021-12-26T00:00:00"/>
    <x v="254"/>
    <x v="26"/>
    <x v="1"/>
    <x v="5"/>
    <n v="230.35"/>
    <n v="3"/>
    <n v="20.16"/>
    <x v="11"/>
    <x v="0"/>
  </r>
  <r>
    <d v="2021-12-26T00:00:00"/>
    <x v="254"/>
    <x v="26"/>
    <x v="1"/>
    <x v="8"/>
    <n v="218.35"/>
    <n v="3"/>
    <n v="-24.56"/>
    <x v="11"/>
    <x v="0"/>
  </r>
  <r>
    <d v="2021-12-26T00:00:00"/>
    <x v="254"/>
    <x v="26"/>
    <x v="0"/>
    <x v="3"/>
    <n v="78.599999999999994"/>
    <n v="5"/>
    <n v="-62.88"/>
    <x v="11"/>
    <x v="0"/>
  </r>
  <r>
    <d v="2021-12-26T00:00:00"/>
    <x v="254"/>
    <x v="26"/>
    <x v="0"/>
    <x v="7"/>
    <n v="27.55"/>
    <n v="3"/>
    <n v="9.3000000000000007"/>
    <x v="11"/>
    <x v="0"/>
  </r>
  <r>
    <d v="2021-12-26T00:00:00"/>
    <x v="103"/>
    <x v="1"/>
    <x v="0"/>
    <x v="3"/>
    <n v="8.69"/>
    <n v="5"/>
    <n v="-14.77"/>
    <x v="11"/>
    <x v="0"/>
  </r>
  <r>
    <d v="2021-12-26T00:00:00"/>
    <x v="584"/>
    <x v="3"/>
    <x v="0"/>
    <x v="14"/>
    <n v="11.91"/>
    <n v="3"/>
    <n v="0.12"/>
    <x v="11"/>
    <x v="0"/>
  </r>
  <r>
    <d v="2021-12-26T00:00:00"/>
    <x v="584"/>
    <x v="3"/>
    <x v="1"/>
    <x v="8"/>
    <n v="3.48"/>
    <n v="2"/>
    <n v="1.1100000000000001"/>
    <x v="11"/>
    <x v="0"/>
  </r>
  <r>
    <d v="2021-12-26T00:00:00"/>
    <x v="585"/>
    <x v="2"/>
    <x v="0"/>
    <x v="0"/>
    <n v="18.260000000000002"/>
    <n v="3"/>
    <n v="6.16"/>
    <x v="11"/>
    <x v="0"/>
  </r>
  <r>
    <d v="2021-12-26T00:00:00"/>
    <x v="585"/>
    <x v="2"/>
    <x v="0"/>
    <x v="12"/>
    <n v="34.659999999999997"/>
    <n v="2"/>
    <n v="5.63"/>
    <x v="11"/>
    <x v="0"/>
  </r>
  <r>
    <d v="2021-12-26T00:00:00"/>
    <x v="585"/>
    <x v="2"/>
    <x v="0"/>
    <x v="12"/>
    <n v="81.55"/>
    <n v="2"/>
    <n v="8.16"/>
    <x v="11"/>
    <x v="0"/>
  </r>
  <r>
    <d v="2021-12-26T00:00:00"/>
    <x v="585"/>
    <x v="2"/>
    <x v="0"/>
    <x v="2"/>
    <n v="227.14"/>
    <n v="4"/>
    <n v="-42.59"/>
    <x v="11"/>
    <x v="0"/>
  </r>
  <r>
    <d v="2021-12-26T00:00:00"/>
    <x v="463"/>
    <x v="20"/>
    <x v="0"/>
    <x v="2"/>
    <n v="191.88"/>
    <n v="6"/>
    <n v="19.190000000000001"/>
    <x v="11"/>
    <x v="0"/>
  </r>
  <r>
    <d v="2021-12-26T00:00:00"/>
    <x v="135"/>
    <x v="2"/>
    <x v="0"/>
    <x v="4"/>
    <n v="8.02"/>
    <n v="3"/>
    <n v="1.1000000000000001"/>
    <x v="11"/>
    <x v="0"/>
  </r>
  <r>
    <d v="2021-12-27T00:00:00"/>
    <x v="538"/>
    <x v="3"/>
    <x v="0"/>
    <x v="1"/>
    <n v="11.56"/>
    <n v="4"/>
    <n v="5.43"/>
    <x v="11"/>
    <x v="0"/>
  </r>
  <r>
    <d v="2021-12-27T00:00:00"/>
    <x v="261"/>
    <x v="1"/>
    <x v="1"/>
    <x v="8"/>
    <n v="32.950000000000003"/>
    <n v="6"/>
    <n v="-19.77"/>
    <x v="11"/>
    <x v="0"/>
  </r>
  <r>
    <d v="2021-12-27T00:00:00"/>
    <x v="261"/>
    <x v="1"/>
    <x v="0"/>
    <x v="2"/>
    <n v="30.02"/>
    <n v="4"/>
    <n v="3"/>
    <x v="11"/>
    <x v="0"/>
  </r>
  <r>
    <d v="2021-12-27T00:00:00"/>
    <x v="467"/>
    <x v="3"/>
    <x v="1"/>
    <x v="5"/>
    <n v="230.28"/>
    <n v="3"/>
    <n v="23.03"/>
    <x v="11"/>
    <x v="0"/>
  </r>
  <r>
    <d v="2021-12-27T00:00:00"/>
    <x v="467"/>
    <x v="3"/>
    <x v="0"/>
    <x v="0"/>
    <n v="12.84"/>
    <n v="3"/>
    <n v="5.78"/>
    <x v="11"/>
    <x v="0"/>
  </r>
  <r>
    <d v="2021-12-27T00:00:00"/>
    <x v="586"/>
    <x v="20"/>
    <x v="1"/>
    <x v="5"/>
    <n v="767.21"/>
    <n v="14"/>
    <n v="161.97"/>
    <x v="11"/>
    <x v="0"/>
  </r>
  <r>
    <d v="2021-12-27T00:00:00"/>
    <x v="33"/>
    <x v="3"/>
    <x v="0"/>
    <x v="12"/>
    <n v="10.98"/>
    <n v="1"/>
    <n v="2.96"/>
    <x v="11"/>
    <x v="0"/>
  </r>
  <r>
    <d v="2021-12-27T00:00:00"/>
    <x v="33"/>
    <x v="3"/>
    <x v="0"/>
    <x v="7"/>
    <n v="7.86"/>
    <n v="3"/>
    <n v="3.62"/>
    <x v="11"/>
    <x v="0"/>
  </r>
  <r>
    <d v="2021-12-27T00:00:00"/>
    <x v="33"/>
    <x v="3"/>
    <x v="0"/>
    <x v="2"/>
    <n v="51.45"/>
    <n v="3"/>
    <n v="13.89"/>
    <x v="11"/>
    <x v="0"/>
  </r>
  <r>
    <d v="2021-12-27T00:00:00"/>
    <x v="33"/>
    <x v="3"/>
    <x v="0"/>
    <x v="3"/>
    <n v="37.06"/>
    <n v="3"/>
    <n v="13.9"/>
    <x v="11"/>
    <x v="0"/>
  </r>
  <r>
    <d v="2021-12-27T00:00:00"/>
    <x v="498"/>
    <x v="33"/>
    <x v="0"/>
    <x v="0"/>
    <n v="23.92"/>
    <n v="4"/>
    <n v="11.72"/>
    <x v="11"/>
    <x v="0"/>
  </r>
  <r>
    <d v="2021-12-27T00:00:00"/>
    <x v="498"/>
    <x v="33"/>
    <x v="2"/>
    <x v="9"/>
    <n v="498"/>
    <n v="5"/>
    <n v="184.26"/>
    <x v="11"/>
    <x v="0"/>
  </r>
  <r>
    <d v="2021-12-27T00:00:00"/>
    <x v="180"/>
    <x v="0"/>
    <x v="0"/>
    <x v="3"/>
    <n v="4.9800000000000004"/>
    <n v="1"/>
    <n v="-8.4700000000000006"/>
    <x v="11"/>
    <x v="0"/>
  </r>
  <r>
    <d v="2021-12-27T00:00:00"/>
    <x v="366"/>
    <x v="10"/>
    <x v="1"/>
    <x v="8"/>
    <n v="182.35"/>
    <n v="3"/>
    <n v="-18.239999999999998"/>
    <x v="11"/>
    <x v="0"/>
  </r>
  <r>
    <d v="2021-12-27T00:00:00"/>
    <x v="366"/>
    <x v="10"/>
    <x v="0"/>
    <x v="2"/>
    <n v="118.16"/>
    <n v="2"/>
    <n v="-25.11"/>
    <x v="11"/>
    <x v="0"/>
  </r>
  <r>
    <d v="2021-12-27T00:00:00"/>
    <x v="218"/>
    <x v="12"/>
    <x v="0"/>
    <x v="3"/>
    <n v="946.76"/>
    <n v="6"/>
    <n v="-694.29"/>
    <x v="11"/>
    <x v="0"/>
  </r>
  <r>
    <d v="2021-12-28T00:00:00"/>
    <x v="569"/>
    <x v="2"/>
    <x v="0"/>
    <x v="4"/>
    <n v="99.14"/>
    <n v="4"/>
    <n v="8.67"/>
    <x v="11"/>
    <x v="0"/>
  </r>
  <r>
    <d v="2021-12-28T00:00:00"/>
    <x v="8"/>
    <x v="32"/>
    <x v="0"/>
    <x v="12"/>
    <n v="1737.18"/>
    <n v="6"/>
    <n v="503.78"/>
    <x v="11"/>
    <x v="0"/>
  </r>
  <r>
    <d v="2021-12-28T00:00:00"/>
    <x v="8"/>
    <x v="32"/>
    <x v="0"/>
    <x v="2"/>
    <n v="704.25"/>
    <n v="5"/>
    <n v="84.51"/>
    <x v="11"/>
    <x v="0"/>
  </r>
  <r>
    <d v="2021-12-28T00:00:00"/>
    <x v="8"/>
    <x v="32"/>
    <x v="0"/>
    <x v="0"/>
    <n v="141.76"/>
    <n v="4"/>
    <n v="66.63"/>
    <x v="11"/>
    <x v="0"/>
  </r>
  <r>
    <d v="2021-12-28T00:00:00"/>
    <x v="496"/>
    <x v="3"/>
    <x v="0"/>
    <x v="2"/>
    <n v="998.82"/>
    <n v="9"/>
    <n v="29.96"/>
    <x v="11"/>
    <x v="0"/>
  </r>
  <r>
    <d v="2021-12-28T00:00:00"/>
    <x v="496"/>
    <x v="3"/>
    <x v="0"/>
    <x v="14"/>
    <n v="51.15"/>
    <n v="5"/>
    <n v="13.3"/>
    <x v="11"/>
    <x v="0"/>
  </r>
  <r>
    <d v="2021-12-29T00:00:00"/>
    <x v="587"/>
    <x v="28"/>
    <x v="0"/>
    <x v="2"/>
    <n v="24.56"/>
    <n v="2"/>
    <n v="6.88"/>
    <x v="11"/>
    <x v="0"/>
  </r>
  <r>
    <d v="2021-12-29T00:00:00"/>
    <x v="587"/>
    <x v="28"/>
    <x v="2"/>
    <x v="9"/>
    <n v="119.8"/>
    <n v="4"/>
    <n v="47.92"/>
    <x v="11"/>
    <x v="0"/>
  </r>
  <r>
    <d v="2021-12-29T00:00:00"/>
    <x v="202"/>
    <x v="3"/>
    <x v="1"/>
    <x v="8"/>
    <n v="24.9"/>
    <n v="5"/>
    <n v="8.2200000000000006"/>
    <x v="11"/>
    <x v="0"/>
  </r>
  <r>
    <d v="2021-12-29T00:00:00"/>
    <x v="202"/>
    <x v="3"/>
    <x v="0"/>
    <x v="0"/>
    <n v="21.12"/>
    <n v="4"/>
    <n v="9.5"/>
    <x v="11"/>
    <x v="0"/>
  </r>
  <r>
    <d v="2021-12-29T00:00:00"/>
    <x v="202"/>
    <x v="3"/>
    <x v="2"/>
    <x v="15"/>
    <n v="767.95"/>
    <n v="6"/>
    <n v="287.98"/>
    <x v="11"/>
    <x v="0"/>
  </r>
  <r>
    <d v="2021-12-29T00:00:00"/>
    <x v="202"/>
    <x v="3"/>
    <x v="0"/>
    <x v="3"/>
    <n v="14.35"/>
    <n v="3"/>
    <n v="4.66"/>
    <x v="11"/>
    <x v="0"/>
  </r>
  <r>
    <d v="2021-12-29T00:00:00"/>
    <x v="202"/>
    <x v="3"/>
    <x v="2"/>
    <x v="6"/>
    <n v="191.98"/>
    <n v="3"/>
    <n v="19.2"/>
    <x v="11"/>
    <x v="0"/>
  </r>
  <r>
    <d v="2021-12-29T00:00:00"/>
    <x v="202"/>
    <x v="3"/>
    <x v="0"/>
    <x v="1"/>
    <n v="274.77"/>
    <n v="9"/>
    <n v="126.39"/>
    <x v="11"/>
    <x v="0"/>
  </r>
  <r>
    <d v="2021-12-29T00:00:00"/>
    <x v="202"/>
    <x v="3"/>
    <x v="1"/>
    <x v="8"/>
    <n v="70.56"/>
    <n v="6"/>
    <n v="23.99"/>
    <x v="11"/>
    <x v="0"/>
  </r>
  <r>
    <d v="2021-12-29T00:00:00"/>
    <x v="43"/>
    <x v="31"/>
    <x v="2"/>
    <x v="6"/>
    <n v="23.98"/>
    <n v="3"/>
    <n v="-5.69"/>
    <x v="11"/>
    <x v="0"/>
  </r>
  <r>
    <d v="2021-12-29T00:00:00"/>
    <x v="43"/>
    <x v="31"/>
    <x v="0"/>
    <x v="2"/>
    <n v="33.29"/>
    <n v="1"/>
    <n v="7.99"/>
    <x v="11"/>
    <x v="0"/>
  </r>
  <r>
    <d v="2021-12-29T00:00:00"/>
    <x v="456"/>
    <x v="1"/>
    <x v="1"/>
    <x v="8"/>
    <n v="38.979999999999997"/>
    <n v="3"/>
    <n v="-50.67"/>
    <x v="11"/>
    <x v="0"/>
  </r>
  <r>
    <d v="2021-12-29T00:00:00"/>
    <x v="588"/>
    <x v="1"/>
    <x v="1"/>
    <x v="8"/>
    <n v="8.74"/>
    <n v="3"/>
    <n v="-4.8"/>
    <x v="11"/>
    <x v="0"/>
  </r>
  <r>
    <d v="2021-12-29T00:00:00"/>
    <x v="170"/>
    <x v="3"/>
    <x v="0"/>
    <x v="1"/>
    <n v="88.8"/>
    <n v="6"/>
    <n v="44.4"/>
    <x v="11"/>
    <x v="0"/>
  </r>
  <r>
    <d v="2021-12-29T00:00:00"/>
    <x v="170"/>
    <x v="3"/>
    <x v="2"/>
    <x v="6"/>
    <n v="319.97000000000003"/>
    <n v="4"/>
    <n v="36"/>
    <x v="11"/>
    <x v="0"/>
  </r>
  <r>
    <d v="2021-12-29T00:00:00"/>
    <x v="589"/>
    <x v="10"/>
    <x v="0"/>
    <x v="12"/>
    <n v="48.36"/>
    <n v="5"/>
    <n v="6.05"/>
    <x v="11"/>
    <x v="0"/>
  </r>
  <r>
    <d v="2021-12-30T00:00:00"/>
    <x v="590"/>
    <x v="14"/>
    <x v="0"/>
    <x v="4"/>
    <n v="9.84"/>
    <n v="3"/>
    <n v="2.85"/>
    <x v="11"/>
    <x v="0"/>
  </r>
  <r>
    <d v="2021-12-30T00:00:00"/>
    <x v="386"/>
    <x v="0"/>
    <x v="0"/>
    <x v="10"/>
    <n v="12.98"/>
    <n v="3"/>
    <n v="4.71"/>
    <x v="11"/>
    <x v="0"/>
  </r>
  <r>
    <d v="2021-12-30T00:00:00"/>
    <x v="386"/>
    <x v="0"/>
    <x v="2"/>
    <x v="6"/>
    <n v="217.58"/>
    <n v="2"/>
    <n v="19.04"/>
    <x v="11"/>
    <x v="0"/>
  </r>
  <r>
    <d v="2021-12-30T00:00:00"/>
    <x v="386"/>
    <x v="0"/>
    <x v="2"/>
    <x v="6"/>
    <n v="328.78"/>
    <n v="3"/>
    <n v="28.77"/>
    <x v="11"/>
    <x v="0"/>
  </r>
  <r>
    <d v="2021-12-30T00:00:00"/>
    <x v="386"/>
    <x v="0"/>
    <x v="0"/>
    <x v="3"/>
    <n v="2.29"/>
    <n v="3"/>
    <n v="-3.66"/>
    <x v="11"/>
    <x v="0"/>
  </r>
  <r>
    <d v="2021-12-30T00:00:00"/>
    <x v="386"/>
    <x v="0"/>
    <x v="2"/>
    <x v="9"/>
    <n v="47.98"/>
    <n v="2"/>
    <n v="14.4"/>
    <x v="11"/>
    <x v="0"/>
  </r>
  <r>
    <d v="2021-12-30T00:00:00"/>
    <x v="591"/>
    <x v="12"/>
    <x v="0"/>
    <x v="3"/>
    <n v="551.99"/>
    <n v="5"/>
    <n v="-459.99"/>
    <x v="11"/>
    <x v="0"/>
  </r>
  <r>
    <d v="2021-12-30T00:00:00"/>
    <x v="41"/>
    <x v="2"/>
    <x v="2"/>
    <x v="9"/>
    <n v="27.97"/>
    <n v="2"/>
    <n v="6.99"/>
    <x v="11"/>
    <x v="0"/>
  </r>
  <r>
    <d v="2021-12-30T00:00:00"/>
    <x v="592"/>
    <x v="2"/>
    <x v="2"/>
    <x v="6"/>
    <n v="251.96"/>
    <n v="6"/>
    <n v="-50.39"/>
    <x v="11"/>
    <x v="0"/>
  </r>
  <r>
    <d v="2021-12-30T00:00:00"/>
    <x v="592"/>
    <x v="2"/>
    <x v="1"/>
    <x v="13"/>
    <n v="523.76"/>
    <n v="3"/>
    <n v="-192.05"/>
    <x v="11"/>
    <x v="0"/>
  </r>
  <r>
    <d v="2021-12-30T00:00:00"/>
    <x v="404"/>
    <x v="20"/>
    <x v="0"/>
    <x v="12"/>
    <n v="122.94"/>
    <n v="3"/>
    <n v="30.74"/>
    <x v="11"/>
    <x v="0"/>
  </r>
  <r>
    <d v="2021-12-30T00:00:00"/>
    <x v="404"/>
    <x v="20"/>
    <x v="0"/>
    <x v="3"/>
    <n v="35.450000000000003"/>
    <n v="7"/>
    <n v="12.85"/>
    <x v="11"/>
    <x v="0"/>
  </r>
  <r>
    <d v="2021-12-30T00:00:00"/>
    <x v="118"/>
    <x v="15"/>
    <x v="0"/>
    <x v="2"/>
    <n v="39.130000000000003"/>
    <n v="1"/>
    <n v="-8.8000000000000007"/>
    <x v="11"/>
    <x v="0"/>
  </r>
  <r>
    <d v="2021-12-31T00:00:00"/>
    <x v="593"/>
    <x v="20"/>
    <x v="1"/>
    <x v="11"/>
    <n v="1573.49"/>
    <n v="7"/>
    <n v="196.69"/>
    <x v="11"/>
    <x v="0"/>
  </r>
  <r>
    <d v="2021-12-31T00:00:00"/>
    <x v="274"/>
    <x v="24"/>
    <x v="0"/>
    <x v="4"/>
    <n v="29.68"/>
    <n v="7"/>
    <n v="11.58"/>
    <x v="11"/>
    <x v="0"/>
  </r>
  <r>
    <d v="2021-12-31T00:00:00"/>
    <x v="274"/>
    <x v="24"/>
    <x v="2"/>
    <x v="9"/>
    <n v="47.53"/>
    <n v="7"/>
    <n v="16.16"/>
    <x v="11"/>
    <x v="0"/>
  </r>
  <r>
    <d v="2021-12-31T00:00:00"/>
    <x v="146"/>
    <x v="32"/>
    <x v="1"/>
    <x v="8"/>
    <n v="63.2"/>
    <n v="5"/>
    <n v="23.38"/>
    <x v="11"/>
    <x v="0"/>
  </r>
  <r>
    <d v="2021-12-31T00:00:00"/>
    <x v="146"/>
    <x v="32"/>
    <x v="2"/>
    <x v="9"/>
    <n v="113.97"/>
    <n v="3"/>
    <n v="27.35"/>
    <x v="11"/>
    <x v="0"/>
  </r>
  <r>
    <d v="2021-12-31T00:00:00"/>
    <x v="507"/>
    <x v="0"/>
    <x v="0"/>
    <x v="10"/>
    <n v="49.57"/>
    <n v="2"/>
    <n v="17.97"/>
    <x v="11"/>
    <x v="0"/>
  </r>
  <r>
    <d v="2021-12-31T00:00:00"/>
    <x v="307"/>
    <x v="43"/>
    <x v="0"/>
    <x v="0"/>
    <n v="195.64"/>
    <n v="4"/>
    <n v="91.95"/>
    <x v="11"/>
    <x v="0"/>
  </r>
  <r>
    <d v="2021-12-31T00:00:00"/>
    <x v="307"/>
    <x v="43"/>
    <x v="0"/>
    <x v="0"/>
    <n v="14.94"/>
    <n v="3"/>
    <n v="7.02"/>
    <x v="11"/>
    <x v="0"/>
  </r>
  <r>
    <d v="2021-12-31T00:00:00"/>
    <x v="307"/>
    <x v="43"/>
    <x v="2"/>
    <x v="9"/>
    <n v="1687.8"/>
    <n v="4"/>
    <n v="742.63"/>
    <x v="11"/>
    <x v="0"/>
  </r>
  <r>
    <d v="2021-12-31T00:00:00"/>
    <x v="307"/>
    <x v="43"/>
    <x v="1"/>
    <x v="11"/>
    <n v="341.96"/>
    <n v="2"/>
    <n v="78.650000000000006"/>
    <x v="11"/>
    <x v="0"/>
  </r>
  <r>
    <d v="2021-12-31T00:00:00"/>
    <x v="307"/>
    <x v="43"/>
    <x v="1"/>
    <x v="5"/>
    <n v="605.88"/>
    <n v="6"/>
    <n v="151.47"/>
    <x v="11"/>
    <x v="0"/>
  </r>
  <r>
    <d v="2021-12-31T00:00:00"/>
    <x v="594"/>
    <x v="17"/>
    <x v="2"/>
    <x v="6"/>
    <n v="475.94"/>
    <n v="7"/>
    <n v="59.49"/>
    <x v="11"/>
    <x v="0"/>
  </r>
  <r>
    <d v="2021-12-31T00:00:00"/>
    <x v="160"/>
    <x v="20"/>
    <x v="2"/>
    <x v="9"/>
    <n v="34.770000000000003"/>
    <n v="3"/>
    <n v="11.47"/>
    <x v="11"/>
    <x v="0"/>
  </r>
  <r>
    <d v="2021-12-31T00:00:00"/>
    <x v="160"/>
    <x v="20"/>
    <x v="0"/>
    <x v="1"/>
    <n v="18.899999999999999"/>
    <n v="3"/>
    <n v="8.69"/>
    <x v="11"/>
    <x v="0"/>
  </r>
  <r>
    <d v="2022-01-02T00:00:00"/>
    <x v="197"/>
    <x v="10"/>
    <x v="0"/>
    <x v="1"/>
    <n v="23.68"/>
    <n v="2"/>
    <n v="8.8800000000000008"/>
    <x v="0"/>
    <x v="1"/>
  </r>
  <r>
    <d v="2022-01-02T00:00:00"/>
    <x v="197"/>
    <x v="10"/>
    <x v="1"/>
    <x v="11"/>
    <n v="452.45"/>
    <n v="5"/>
    <n v="-244.32"/>
    <x v="0"/>
    <x v="1"/>
  </r>
  <r>
    <d v="2022-01-02T00:00:00"/>
    <x v="197"/>
    <x v="10"/>
    <x v="2"/>
    <x v="6"/>
    <n v="62.98"/>
    <n v="3"/>
    <n v="-14.7"/>
    <x v="0"/>
    <x v="1"/>
  </r>
  <r>
    <d v="2022-01-02T00:00:00"/>
    <x v="197"/>
    <x v="10"/>
    <x v="2"/>
    <x v="15"/>
    <n v="1188"/>
    <n v="9"/>
    <n v="-950.4"/>
    <x v="0"/>
    <x v="1"/>
  </r>
  <r>
    <d v="2022-01-02T00:00:00"/>
    <x v="197"/>
    <x v="10"/>
    <x v="2"/>
    <x v="9"/>
    <n v="89.58"/>
    <n v="2"/>
    <n v="4.4800000000000004"/>
    <x v="0"/>
    <x v="1"/>
  </r>
  <r>
    <d v="2022-01-02T00:00:00"/>
    <x v="595"/>
    <x v="7"/>
    <x v="0"/>
    <x v="2"/>
    <n v="85.52"/>
    <n v="2"/>
    <n v="22.24"/>
    <x v="0"/>
    <x v="1"/>
  </r>
  <r>
    <d v="2022-01-02T00:00:00"/>
    <x v="595"/>
    <x v="7"/>
    <x v="0"/>
    <x v="4"/>
    <n v="9.84"/>
    <n v="3"/>
    <n v="2.66"/>
    <x v="0"/>
    <x v="1"/>
  </r>
  <r>
    <d v="2022-01-02T00:00:00"/>
    <x v="595"/>
    <x v="7"/>
    <x v="0"/>
    <x v="0"/>
    <n v="20.04"/>
    <n v="3"/>
    <n v="9.6199999999999992"/>
    <x v="0"/>
    <x v="1"/>
  </r>
  <r>
    <d v="2022-01-03T00:00:00"/>
    <x v="472"/>
    <x v="0"/>
    <x v="0"/>
    <x v="0"/>
    <n v="10.37"/>
    <n v="2"/>
    <n v="3.63"/>
    <x v="0"/>
    <x v="1"/>
  </r>
  <r>
    <d v="2022-01-03T00:00:00"/>
    <x v="596"/>
    <x v="0"/>
    <x v="2"/>
    <x v="9"/>
    <n v="398.4"/>
    <n v="5"/>
    <n v="84.66"/>
    <x v="0"/>
    <x v="1"/>
  </r>
  <r>
    <d v="2022-01-03T00:00:00"/>
    <x v="596"/>
    <x v="0"/>
    <x v="0"/>
    <x v="4"/>
    <n v="7.06"/>
    <n v="3"/>
    <n v="0.79"/>
    <x v="0"/>
    <x v="1"/>
  </r>
  <r>
    <d v="2022-01-03T00:00:00"/>
    <x v="596"/>
    <x v="0"/>
    <x v="1"/>
    <x v="11"/>
    <n v="1352.4"/>
    <n v="9"/>
    <n v="-437.54"/>
    <x v="0"/>
    <x v="1"/>
  </r>
  <r>
    <d v="2022-01-04T00:00:00"/>
    <x v="10"/>
    <x v="28"/>
    <x v="0"/>
    <x v="3"/>
    <n v="32.340000000000003"/>
    <n v="3"/>
    <n v="15.52"/>
    <x v="0"/>
    <x v="1"/>
  </r>
  <r>
    <d v="2022-01-04T00:00:00"/>
    <x v="10"/>
    <x v="28"/>
    <x v="0"/>
    <x v="0"/>
    <n v="39.9"/>
    <n v="5"/>
    <n v="19.95"/>
    <x v="0"/>
    <x v="1"/>
  </r>
  <r>
    <d v="2022-01-04T00:00:00"/>
    <x v="597"/>
    <x v="6"/>
    <x v="1"/>
    <x v="8"/>
    <n v="192.22"/>
    <n v="14"/>
    <n v="69.2"/>
    <x v="0"/>
    <x v="1"/>
  </r>
  <r>
    <d v="2022-01-05T00:00:00"/>
    <x v="50"/>
    <x v="22"/>
    <x v="1"/>
    <x v="5"/>
    <n v="61.58"/>
    <n v="1"/>
    <n v="-6.93"/>
    <x v="0"/>
    <x v="1"/>
  </r>
  <r>
    <d v="2022-01-05T00:00:00"/>
    <x v="196"/>
    <x v="20"/>
    <x v="0"/>
    <x v="4"/>
    <n v="59.52"/>
    <n v="3"/>
    <n v="15.48"/>
    <x v="0"/>
    <x v="1"/>
  </r>
  <r>
    <d v="2022-01-05T00:00:00"/>
    <x v="196"/>
    <x v="20"/>
    <x v="0"/>
    <x v="10"/>
    <n v="17.48"/>
    <n v="2"/>
    <n v="8.2200000000000006"/>
    <x v="0"/>
    <x v="1"/>
  </r>
  <r>
    <d v="2022-01-05T00:00:00"/>
    <x v="196"/>
    <x v="20"/>
    <x v="0"/>
    <x v="3"/>
    <n v="13.17"/>
    <n v="2"/>
    <n v="4.6100000000000003"/>
    <x v="0"/>
    <x v="1"/>
  </r>
  <r>
    <d v="2022-01-05T00:00:00"/>
    <x v="594"/>
    <x v="3"/>
    <x v="0"/>
    <x v="12"/>
    <n v="87.36"/>
    <n v="6"/>
    <n v="23.59"/>
    <x v="0"/>
    <x v="1"/>
  </r>
  <r>
    <d v="2022-01-05T00:00:00"/>
    <x v="594"/>
    <x v="3"/>
    <x v="0"/>
    <x v="3"/>
    <n v="56.16"/>
    <n v="6"/>
    <n v="17.55"/>
    <x v="0"/>
    <x v="1"/>
  </r>
  <r>
    <d v="2022-01-06T00:00:00"/>
    <x v="386"/>
    <x v="26"/>
    <x v="0"/>
    <x v="0"/>
    <n v="29.6"/>
    <n v="5"/>
    <n v="9.25"/>
    <x v="0"/>
    <x v="1"/>
  </r>
  <r>
    <d v="2022-01-06T00:00:00"/>
    <x v="386"/>
    <x v="26"/>
    <x v="0"/>
    <x v="3"/>
    <n v="1.94"/>
    <n v="2"/>
    <n v="-1.36"/>
    <x v="0"/>
    <x v="1"/>
  </r>
  <r>
    <d v="2022-01-09T00:00:00"/>
    <x v="96"/>
    <x v="5"/>
    <x v="0"/>
    <x v="0"/>
    <n v="106.32"/>
    <n v="3"/>
    <n v="49.97"/>
    <x v="0"/>
    <x v="1"/>
  </r>
  <r>
    <d v="2022-01-09T00:00:00"/>
    <x v="96"/>
    <x v="5"/>
    <x v="0"/>
    <x v="12"/>
    <n v="163.44"/>
    <n v="3"/>
    <n v="45.76"/>
    <x v="0"/>
    <x v="1"/>
  </r>
  <r>
    <d v="2022-01-09T00:00:00"/>
    <x v="96"/>
    <x v="5"/>
    <x v="0"/>
    <x v="4"/>
    <n v="42.76"/>
    <n v="2"/>
    <n v="11.12"/>
    <x v="0"/>
    <x v="1"/>
  </r>
  <r>
    <d v="2022-01-09T00:00:00"/>
    <x v="96"/>
    <x v="5"/>
    <x v="0"/>
    <x v="0"/>
    <n v="51.55"/>
    <n v="5"/>
    <n v="24.23"/>
    <x v="0"/>
    <x v="1"/>
  </r>
  <r>
    <d v="2022-01-10T00:00:00"/>
    <x v="13"/>
    <x v="20"/>
    <x v="1"/>
    <x v="13"/>
    <n v="1018.1"/>
    <n v="4"/>
    <n v="-373.3"/>
    <x v="0"/>
    <x v="1"/>
  </r>
  <r>
    <d v="2022-01-12T00:00:00"/>
    <x v="598"/>
    <x v="7"/>
    <x v="0"/>
    <x v="2"/>
    <n v="465.18"/>
    <n v="3"/>
    <n v="120.95"/>
    <x v="0"/>
    <x v="1"/>
  </r>
  <r>
    <d v="2022-01-12T00:00:00"/>
    <x v="599"/>
    <x v="10"/>
    <x v="0"/>
    <x v="4"/>
    <n v="10.37"/>
    <n v="2"/>
    <n v="1.56"/>
    <x v="0"/>
    <x v="1"/>
  </r>
  <r>
    <d v="2022-01-12T00:00:00"/>
    <x v="599"/>
    <x v="10"/>
    <x v="2"/>
    <x v="6"/>
    <n v="235.19"/>
    <n v="2"/>
    <n v="-43.12"/>
    <x v="0"/>
    <x v="1"/>
  </r>
  <r>
    <d v="2022-01-12T00:00:00"/>
    <x v="599"/>
    <x v="10"/>
    <x v="2"/>
    <x v="6"/>
    <n v="26.38"/>
    <n v="4"/>
    <n v="2.64"/>
    <x v="0"/>
    <x v="1"/>
  </r>
  <r>
    <d v="2022-01-12T00:00:00"/>
    <x v="599"/>
    <x v="10"/>
    <x v="2"/>
    <x v="9"/>
    <n v="10.38"/>
    <n v="2"/>
    <n v="2.21"/>
    <x v="0"/>
    <x v="1"/>
  </r>
  <r>
    <d v="2022-01-12T00:00:00"/>
    <x v="599"/>
    <x v="10"/>
    <x v="2"/>
    <x v="6"/>
    <n v="107.12"/>
    <n v="3"/>
    <n v="-21.42"/>
    <x v="0"/>
    <x v="1"/>
  </r>
  <r>
    <d v="2022-01-13T00:00:00"/>
    <x v="300"/>
    <x v="3"/>
    <x v="0"/>
    <x v="3"/>
    <n v="70.010000000000005"/>
    <n v="3"/>
    <n v="24.5"/>
    <x v="0"/>
    <x v="1"/>
  </r>
  <r>
    <d v="2022-01-13T00:00:00"/>
    <x v="300"/>
    <x v="3"/>
    <x v="1"/>
    <x v="8"/>
    <n v="77.599999999999994"/>
    <n v="4"/>
    <n v="38.020000000000003"/>
    <x v="0"/>
    <x v="1"/>
  </r>
  <r>
    <d v="2022-01-13T00:00:00"/>
    <x v="300"/>
    <x v="3"/>
    <x v="1"/>
    <x v="8"/>
    <n v="464.85"/>
    <n v="9"/>
    <n v="92.97"/>
    <x v="0"/>
    <x v="1"/>
  </r>
  <r>
    <d v="2022-01-13T00:00:00"/>
    <x v="600"/>
    <x v="4"/>
    <x v="0"/>
    <x v="1"/>
    <n v="9.82"/>
    <n v="2"/>
    <n v="4.8099999999999996"/>
    <x v="0"/>
    <x v="1"/>
  </r>
  <r>
    <d v="2022-01-17T00:00:00"/>
    <x v="179"/>
    <x v="1"/>
    <x v="1"/>
    <x v="8"/>
    <n v="254.74"/>
    <n v="7"/>
    <n v="-312.06"/>
    <x v="0"/>
    <x v="1"/>
  </r>
  <r>
    <d v="2022-01-17T00:00:00"/>
    <x v="134"/>
    <x v="32"/>
    <x v="0"/>
    <x v="4"/>
    <n v="6.68"/>
    <n v="2"/>
    <n v="2"/>
    <x v="0"/>
    <x v="1"/>
  </r>
  <r>
    <d v="2022-01-17T00:00:00"/>
    <x v="596"/>
    <x v="15"/>
    <x v="0"/>
    <x v="14"/>
    <n v="88.96"/>
    <n v="8"/>
    <n v="10.01"/>
    <x v="0"/>
    <x v="1"/>
  </r>
  <r>
    <d v="2022-01-19T00:00:00"/>
    <x v="181"/>
    <x v="0"/>
    <x v="1"/>
    <x v="13"/>
    <n v="102.44"/>
    <n v="1"/>
    <n v="-13.17"/>
    <x v="0"/>
    <x v="1"/>
  </r>
  <r>
    <d v="2022-01-19T00:00:00"/>
    <x v="181"/>
    <x v="0"/>
    <x v="1"/>
    <x v="5"/>
    <n v="199.3"/>
    <n v="4"/>
    <n v="-8.5399999999999991"/>
    <x v="0"/>
    <x v="1"/>
  </r>
  <r>
    <d v="2022-01-23T00:00:00"/>
    <x v="249"/>
    <x v="35"/>
    <x v="0"/>
    <x v="0"/>
    <n v="29.04"/>
    <n v="3"/>
    <n v="13.94"/>
    <x v="0"/>
    <x v="1"/>
  </r>
  <r>
    <d v="2022-01-23T00:00:00"/>
    <x v="249"/>
    <x v="35"/>
    <x v="0"/>
    <x v="1"/>
    <n v="14.62"/>
    <n v="2"/>
    <n v="6.87"/>
    <x v="0"/>
    <x v="1"/>
  </r>
  <r>
    <d v="2022-01-24T00:00:00"/>
    <x v="601"/>
    <x v="16"/>
    <x v="0"/>
    <x v="4"/>
    <n v="13.12"/>
    <n v="5"/>
    <n v="2.13"/>
    <x v="0"/>
    <x v="1"/>
  </r>
  <r>
    <d v="2022-01-26T00:00:00"/>
    <x v="551"/>
    <x v="3"/>
    <x v="0"/>
    <x v="0"/>
    <n v="182.72"/>
    <n v="8"/>
    <n v="84.05"/>
    <x v="0"/>
    <x v="1"/>
  </r>
  <r>
    <d v="2022-01-27T00:00:00"/>
    <x v="9"/>
    <x v="10"/>
    <x v="1"/>
    <x v="5"/>
    <n v="181.99"/>
    <n v="2"/>
    <n v="-54.6"/>
    <x v="0"/>
    <x v="1"/>
  </r>
  <r>
    <d v="2022-01-27T00:00:00"/>
    <x v="9"/>
    <x v="10"/>
    <x v="2"/>
    <x v="6"/>
    <n v="431.98"/>
    <n v="4"/>
    <n v="-100.79"/>
    <x v="0"/>
    <x v="1"/>
  </r>
  <r>
    <d v="2022-01-27T00:00:00"/>
    <x v="9"/>
    <x v="10"/>
    <x v="2"/>
    <x v="6"/>
    <n v="155.37"/>
    <n v="1"/>
    <n v="-36.25"/>
    <x v="0"/>
    <x v="1"/>
  </r>
  <r>
    <d v="2022-01-27T00:00:00"/>
    <x v="573"/>
    <x v="3"/>
    <x v="1"/>
    <x v="5"/>
    <n v="2803.92"/>
    <n v="5"/>
    <n v="0"/>
    <x v="0"/>
    <x v="1"/>
  </r>
  <r>
    <d v="2022-01-28T00:00:00"/>
    <x v="343"/>
    <x v="25"/>
    <x v="1"/>
    <x v="13"/>
    <n v="4297.6400000000003"/>
    <n v="13"/>
    <n v="-1862.31"/>
    <x v="0"/>
    <x v="1"/>
  </r>
  <r>
    <d v="2022-01-30T00:00:00"/>
    <x v="355"/>
    <x v="0"/>
    <x v="0"/>
    <x v="0"/>
    <n v="14.3"/>
    <n v="6"/>
    <n v="5.01"/>
    <x v="0"/>
    <x v="1"/>
  </r>
  <r>
    <d v="2022-01-30T00:00:00"/>
    <x v="309"/>
    <x v="3"/>
    <x v="1"/>
    <x v="8"/>
    <n v="227.36"/>
    <n v="7"/>
    <n v="81.849999999999994"/>
    <x v="0"/>
    <x v="1"/>
  </r>
  <r>
    <d v="2022-01-30T00:00:00"/>
    <x v="309"/>
    <x v="3"/>
    <x v="2"/>
    <x v="15"/>
    <n v="1919.98"/>
    <n v="3"/>
    <n v="216"/>
    <x v="0"/>
    <x v="1"/>
  </r>
  <r>
    <d v="2022-01-31T00:00:00"/>
    <x v="366"/>
    <x v="28"/>
    <x v="0"/>
    <x v="0"/>
    <n v="12.96"/>
    <n v="2"/>
    <n v="6.22"/>
    <x v="0"/>
    <x v="1"/>
  </r>
  <r>
    <d v="2022-01-31T00:00:00"/>
    <x v="366"/>
    <x v="28"/>
    <x v="1"/>
    <x v="8"/>
    <n v="53.34"/>
    <n v="3"/>
    <n v="16.54"/>
    <x v="0"/>
    <x v="1"/>
  </r>
  <r>
    <d v="2022-01-31T00:00:00"/>
    <x v="366"/>
    <x v="28"/>
    <x v="0"/>
    <x v="3"/>
    <n v="32.96"/>
    <n v="2"/>
    <n v="16.149999999999999"/>
    <x v="0"/>
    <x v="1"/>
  </r>
  <r>
    <d v="2022-02-03T00:00:00"/>
    <x v="158"/>
    <x v="40"/>
    <x v="1"/>
    <x v="8"/>
    <n v="28.4"/>
    <n v="2"/>
    <n v="11.08"/>
    <x v="1"/>
    <x v="1"/>
  </r>
  <r>
    <d v="2022-02-03T00:00:00"/>
    <x v="158"/>
    <x v="40"/>
    <x v="2"/>
    <x v="9"/>
    <n v="149.97"/>
    <n v="3"/>
    <n v="50.99"/>
    <x v="1"/>
    <x v="1"/>
  </r>
  <r>
    <d v="2022-02-03T00:00:00"/>
    <x v="602"/>
    <x v="3"/>
    <x v="1"/>
    <x v="8"/>
    <n v="136.91999999999999"/>
    <n v="4"/>
    <n v="41.08"/>
    <x v="1"/>
    <x v="1"/>
  </r>
  <r>
    <d v="2022-02-03T00:00:00"/>
    <x v="484"/>
    <x v="27"/>
    <x v="0"/>
    <x v="3"/>
    <n v="12.14"/>
    <n v="3"/>
    <n v="4.0999999999999996"/>
    <x v="1"/>
    <x v="1"/>
  </r>
  <r>
    <d v="2022-02-03T00:00:00"/>
    <x v="251"/>
    <x v="4"/>
    <x v="0"/>
    <x v="10"/>
    <n v="74.52"/>
    <n v="9"/>
    <n v="35.020000000000003"/>
    <x v="1"/>
    <x v="1"/>
  </r>
  <r>
    <d v="2022-02-03T00:00:00"/>
    <x v="203"/>
    <x v="20"/>
    <x v="1"/>
    <x v="5"/>
    <n v="90.88"/>
    <n v="1"/>
    <n v="15.15"/>
    <x v="1"/>
    <x v="1"/>
  </r>
  <r>
    <d v="2022-02-06T00:00:00"/>
    <x v="197"/>
    <x v="22"/>
    <x v="0"/>
    <x v="4"/>
    <n v="5.28"/>
    <n v="3"/>
    <n v="1.53"/>
    <x v="1"/>
    <x v="1"/>
  </r>
  <r>
    <d v="2022-02-06T00:00:00"/>
    <x v="325"/>
    <x v="7"/>
    <x v="1"/>
    <x v="5"/>
    <n v="1268.82"/>
    <n v="9"/>
    <n v="266.45"/>
    <x v="1"/>
    <x v="1"/>
  </r>
  <r>
    <d v="2022-02-06T00:00:00"/>
    <x v="325"/>
    <x v="7"/>
    <x v="1"/>
    <x v="11"/>
    <n v="283.92"/>
    <n v="4"/>
    <n v="82.34"/>
    <x v="1"/>
    <x v="1"/>
  </r>
  <r>
    <d v="2022-02-06T00:00:00"/>
    <x v="325"/>
    <x v="7"/>
    <x v="0"/>
    <x v="4"/>
    <n v="5.68"/>
    <n v="2"/>
    <n v="1.76"/>
    <x v="1"/>
    <x v="1"/>
  </r>
  <r>
    <d v="2022-02-06T00:00:00"/>
    <x v="603"/>
    <x v="0"/>
    <x v="0"/>
    <x v="3"/>
    <n v="2.93"/>
    <n v="3"/>
    <n v="-4.99"/>
    <x v="1"/>
    <x v="1"/>
  </r>
  <r>
    <d v="2022-02-06T00:00:00"/>
    <x v="603"/>
    <x v="0"/>
    <x v="2"/>
    <x v="9"/>
    <n v="18.53"/>
    <n v="2"/>
    <n v="4.4000000000000004"/>
    <x v="1"/>
    <x v="1"/>
  </r>
  <r>
    <d v="2022-02-06T00:00:00"/>
    <x v="603"/>
    <x v="0"/>
    <x v="0"/>
    <x v="2"/>
    <n v="670.75"/>
    <n v="3"/>
    <n v="-125.77"/>
    <x v="1"/>
    <x v="1"/>
  </r>
  <r>
    <d v="2022-02-06T00:00:00"/>
    <x v="604"/>
    <x v="6"/>
    <x v="0"/>
    <x v="2"/>
    <n v="146.72999999999999"/>
    <n v="3"/>
    <n v="2.93"/>
    <x v="1"/>
    <x v="1"/>
  </r>
  <r>
    <d v="2022-02-06T00:00:00"/>
    <x v="604"/>
    <x v="6"/>
    <x v="0"/>
    <x v="0"/>
    <n v="29.9"/>
    <n v="5"/>
    <n v="13.46"/>
    <x v="1"/>
    <x v="1"/>
  </r>
  <r>
    <d v="2022-02-07T00:00:00"/>
    <x v="105"/>
    <x v="6"/>
    <x v="0"/>
    <x v="10"/>
    <n v="311.14999999999998"/>
    <n v="5"/>
    <n v="146.24"/>
    <x v="1"/>
    <x v="1"/>
  </r>
  <r>
    <d v="2022-02-07T00:00:00"/>
    <x v="105"/>
    <x v="6"/>
    <x v="0"/>
    <x v="0"/>
    <n v="12.96"/>
    <n v="2"/>
    <n v="6.35"/>
    <x v="1"/>
    <x v="1"/>
  </r>
  <r>
    <d v="2022-02-08T00:00:00"/>
    <x v="384"/>
    <x v="10"/>
    <x v="2"/>
    <x v="6"/>
    <n v="107.98"/>
    <n v="3"/>
    <n v="-27"/>
    <x v="1"/>
    <x v="1"/>
  </r>
  <r>
    <d v="2022-02-08T00:00:00"/>
    <x v="248"/>
    <x v="42"/>
    <x v="0"/>
    <x v="0"/>
    <n v="9.5399999999999991"/>
    <n v="2"/>
    <n v="4.29"/>
    <x v="1"/>
    <x v="1"/>
  </r>
  <r>
    <d v="2022-02-08T00:00:00"/>
    <x v="248"/>
    <x v="42"/>
    <x v="0"/>
    <x v="7"/>
    <n v="5.81"/>
    <n v="1"/>
    <n v="1.8"/>
    <x v="1"/>
    <x v="1"/>
  </r>
  <r>
    <d v="2022-02-08T00:00:00"/>
    <x v="248"/>
    <x v="42"/>
    <x v="0"/>
    <x v="4"/>
    <n v="5.76"/>
    <n v="2"/>
    <n v="1.73"/>
    <x v="1"/>
    <x v="1"/>
  </r>
  <r>
    <d v="2022-02-09T00:00:00"/>
    <x v="279"/>
    <x v="0"/>
    <x v="2"/>
    <x v="9"/>
    <n v="20.8"/>
    <n v="2"/>
    <n v="6.5"/>
    <x v="1"/>
    <x v="1"/>
  </r>
  <r>
    <d v="2022-02-09T00:00:00"/>
    <x v="410"/>
    <x v="0"/>
    <x v="0"/>
    <x v="1"/>
    <n v="40.1"/>
    <n v="4"/>
    <n v="13.53"/>
    <x v="1"/>
    <x v="1"/>
  </r>
  <r>
    <d v="2022-02-09T00:00:00"/>
    <x v="410"/>
    <x v="0"/>
    <x v="1"/>
    <x v="8"/>
    <n v="40.78"/>
    <n v="2"/>
    <n v="-30.59"/>
    <x v="1"/>
    <x v="1"/>
  </r>
  <r>
    <d v="2022-02-09T00:00:00"/>
    <x v="605"/>
    <x v="3"/>
    <x v="1"/>
    <x v="5"/>
    <n v="203.92"/>
    <n v="5"/>
    <n v="22.94"/>
    <x v="1"/>
    <x v="1"/>
  </r>
  <r>
    <d v="2022-02-09T00:00:00"/>
    <x v="453"/>
    <x v="1"/>
    <x v="2"/>
    <x v="9"/>
    <n v="479.95"/>
    <n v="6"/>
    <n v="89.99"/>
    <x v="1"/>
    <x v="1"/>
  </r>
  <r>
    <d v="2022-02-10T00:00:00"/>
    <x v="555"/>
    <x v="2"/>
    <x v="0"/>
    <x v="2"/>
    <n v="77.239999999999995"/>
    <n v="5"/>
    <n v="7.72"/>
    <x v="1"/>
    <x v="1"/>
  </r>
  <r>
    <d v="2022-02-14T00:00:00"/>
    <x v="366"/>
    <x v="10"/>
    <x v="0"/>
    <x v="3"/>
    <n v="14.95"/>
    <n v="2"/>
    <n v="-11.96"/>
    <x v="1"/>
    <x v="1"/>
  </r>
  <r>
    <d v="2022-02-14T00:00:00"/>
    <x v="366"/>
    <x v="10"/>
    <x v="2"/>
    <x v="6"/>
    <n v="323.98"/>
    <n v="3"/>
    <n v="-81"/>
    <x v="1"/>
    <x v="1"/>
  </r>
  <r>
    <d v="2022-02-14T00:00:00"/>
    <x v="366"/>
    <x v="10"/>
    <x v="0"/>
    <x v="3"/>
    <n v="2.29"/>
    <n v="2"/>
    <n v="-1.68"/>
    <x v="1"/>
    <x v="1"/>
  </r>
  <r>
    <d v="2022-02-14T00:00:00"/>
    <x v="366"/>
    <x v="10"/>
    <x v="0"/>
    <x v="4"/>
    <n v="14.35"/>
    <n v="3"/>
    <n v="0.9"/>
    <x v="1"/>
    <x v="1"/>
  </r>
  <r>
    <d v="2022-02-14T00:00:00"/>
    <x v="366"/>
    <x v="10"/>
    <x v="2"/>
    <x v="9"/>
    <n v="71.98"/>
    <n v="3"/>
    <n v="0.9"/>
    <x v="1"/>
    <x v="1"/>
  </r>
  <r>
    <d v="2022-02-14T00:00:00"/>
    <x v="207"/>
    <x v="20"/>
    <x v="0"/>
    <x v="3"/>
    <n v="26.42"/>
    <n v="9"/>
    <n v="9.58"/>
    <x v="1"/>
    <x v="1"/>
  </r>
  <r>
    <d v="2022-02-14T00:00:00"/>
    <x v="207"/>
    <x v="20"/>
    <x v="2"/>
    <x v="6"/>
    <n v="625.99"/>
    <n v="1"/>
    <n v="187.8"/>
    <x v="1"/>
    <x v="1"/>
  </r>
  <r>
    <d v="2022-02-15T00:00:00"/>
    <x v="132"/>
    <x v="21"/>
    <x v="2"/>
    <x v="6"/>
    <n v="134.97"/>
    <n v="3"/>
    <n v="64.790000000000006"/>
    <x v="1"/>
    <x v="1"/>
  </r>
  <r>
    <d v="2022-02-15T00:00:00"/>
    <x v="132"/>
    <x v="21"/>
    <x v="2"/>
    <x v="6"/>
    <n v="699.98"/>
    <n v="2"/>
    <n v="195.99"/>
    <x v="1"/>
    <x v="1"/>
  </r>
  <r>
    <d v="2022-02-15T00:00:00"/>
    <x v="132"/>
    <x v="21"/>
    <x v="2"/>
    <x v="9"/>
    <n v="139.94999999999999"/>
    <n v="5"/>
    <n v="26.59"/>
    <x v="1"/>
    <x v="1"/>
  </r>
  <r>
    <d v="2022-02-15T00:00:00"/>
    <x v="176"/>
    <x v="3"/>
    <x v="0"/>
    <x v="0"/>
    <n v="13.36"/>
    <n v="2"/>
    <n v="6.41"/>
    <x v="1"/>
    <x v="1"/>
  </r>
  <r>
    <d v="2022-02-15T00:00:00"/>
    <x v="176"/>
    <x v="3"/>
    <x v="0"/>
    <x v="3"/>
    <n v="41.72"/>
    <n v="5"/>
    <n v="13.04"/>
    <x v="1"/>
    <x v="1"/>
  </r>
  <r>
    <d v="2022-02-15T00:00:00"/>
    <x v="176"/>
    <x v="3"/>
    <x v="0"/>
    <x v="3"/>
    <n v="11.52"/>
    <n v="5"/>
    <n v="4.18"/>
    <x v="1"/>
    <x v="1"/>
  </r>
  <r>
    <d v="2022-02-15T00:00:00"/>
    <x v="176"/>
    <x v="3"/>
    <x v="0"/>
    <x v="12"/>
    <n v="541.44000000000005"/>
    <n v="6"/>
    <n v="157.02000000000001"/>
    <x v="1"/>
    <x v="1"/>
  </r>
  <r>
    <d v="2022-02-15T00:00:00"/>
    <x v="176"/>
    <x v="3"/>
    <x v="0"/>
    <x v="0"/>
    <n v="19.440000000000001"/>
    <n v="3"/>
    <n v="9.33"/>
    <x v="1"/>
    <x v="1"/>
  </r>
  <r>
    <d v="2022-02-16T00:00:00"/>
    <x v="569"/>
    <x v="38"/>
    <x v="0"/>
    <x v="0"/>
    <n v="35.880000000000003"/>
    <n v="6"/>
    <n v="16.149999999999999"/>
    <x v="1"/>
    <x v="1"/>
  </r>
  <r>
    <d v="2022-02-16T00:00:00"/>
    <x v="122"/>
    <x v="3"/>
    <x v="0"/>
    <x v="0"/>
    <n v="36.840000000000003"/>
    <n v="3"/>
    <n v="17.309999999999999"/>
    <x v="1"/>
    <x v="1"/>
  </r>
  <r>
    <d v="2022-02-16T00:00:00"/>
    <x v="122"/>
    <x v="3"/>
    <x v="0"/>
    <x v="1"/>
    <n v="87.71"/>
    <n v="7"/>
    <n v="41.22"/>
    <x v="1"/>
    <x v="1"/>
  </r>
  <r>
    <d v="2022-02-18T00:00:00"/>
    <x v="518"/>
    <x v="3"/>
    <x v="0"/>
    <x v="1"/>
    <n v="9.24"/>
    <n v="3"/>
    <n v="4.4400000000000004"/>
    <x v="1"/>
    <x v="1"/>
  </r>
  <r>
    <d v="2022-02-18T00:00:00"/>
    <x v="606"/>
    <x v="3"/>
    <x v="0"/>
    <x v="1"/>
    <n v="61.06"/>
    <n v="2"/>
    <n v="28.09"/>
    <x v="1"/>
    <x v="1"/>
  </r>
  <r>
    <d v="2022-02-18T00:00:00"/>
    <x v="606"/>
    <x v="3"/>
    <x v="1"/>
    <x v="13"/>
    <n v="35.54"/>
    <n v="1"/>
    <n v="-0.89"/>
    <x v="1"/>
    <x v="1"/>
  </r>
  <r>
    <d v="2022-02-20T00:00:00"/>
    <x v="272"/>
    <x v="13"/>
    <x v="2"/>
    <x v="9"/>
    <n v="29.99"/>
    <n v="1"/>
    <n v="3"/>
    <x v="1"/>
    <x v="1"/>
  </r>
  <r>
    <d v="2022-02-20T00:00:00"/>
    <x v="75"/>
    <x v="23"/>
    <x v="0"/>
    <x v="4"/>
    <n v="286.79000000000002"/>
    <n v="7"/>
    <n v="74.569999999999993"/>
    <x v="1"/>
    <x v="1"/>
  </r>
  <r>
    <d v="2022-02-21T00:00:00"/>
    <x v="364"/>
    <x v="31"/>
    <x v="0"/>
    <x v="0"/>
    <n v="49.12"/>
    <n v="4"/>
    <n v="23.09"/>
    <x v="1"/>
    <x v="1"/>
  </r>
  <r>
    <d v="2022-02-21T00:00:00"/>
    <x v="517"/>
    <x v="36"/>
    <x v="0"/>
    <x v="3"/>
    <n v="2541.98"/>
    <n v="2"/>
    <n v="1270.99"/>
    <x v="1"/>
    <x v="1"/>
  </r>
  <r>
    <d v="2022-02-22T00:00:00"/>
    <x v="577"/>
    <x v="14"/>
    <x v="0"/>
    <x v="4"/>
    <n v="79.36"/>
    <n v="4"/>
    <n v="20.63"/>
    <x v="1"/>
    <x v="1"/>
  </r>
  <r>
    <d v="2022-02-23T00:00:00"/>
    <x v="607"/>
    <x v="20"/>
    <x v="0"/>
    <x v="12"/>
    <n v="26.88"/>
    <n v="6"/>
    <n v="6.72"/>
    <x v="1"/>
    <x v="1"/>
  </r>
  <r>
    <d v="2022-02-23T00:00:00"/>
    <x v="607"/>
    <x v="20"/>
    <x v="0"/>
    <x v="3"/>
    <n v="10.9"/>
    <n v="2"/>
    <n v="3.81"/>
    <x v="1"/>
    <x v="1"/>
  </r>
  <r>
    <d v="2022-02-25T00:00:00"/>
    <x v="567"/>
    <x v="32"/>
    <x v="0"/>
    <x v="1"/>
    <n v="3.15"/>
    <n v="1"/>
    <n v="1.51"/>
    <x v="1"/>
    <x v="1"/>
  </r>
  <r>
    <d v="2022-02-25T00:00:00"/>
    <x v="567"/>
    <x v="32"/>
    <x v="0"/>
    <x v="0"/>
    <n v="22.72"/>
    <n v="4"/>
    <n v="10.220000000000001"/>
    <x v="1"/>
    <x v="1"/>
  </r>
  <r>
    <d v="2022-02-27T00:00:00"/>
    <x v="478"/>
    <x v="2"/>
    <x v="0"/>
    <x v="3"/>
    <n v="4.42"/>
    <n v="3"/>
    <n v="-3.39"/>
    <x v="1"/>
    <x v="1"/>
  </r>
  <r>
    <d v="2022-02-27T00:00:00"/>
    <x v="478"/>
    <x v="2"/>
    <x v="0"/>
    <x v="4"/>
    <n v="16.03"/>
    <n v="6"/>
    <n v="2.2000000000000002"/>
    <x v="1"/>
    <x v="1"/>
  </r>
  <r>
    <d v="2022-02-27T00:00:00"/>
    <x v="442"/>
    <x v="43"/>
    <x v="2"/>
    <x v="6"/>
    <n v="105.98"/>
    <n v="2"/>
    <n v="1.06"/>
    <x v="1"/>
    <x v="1"/>
  </r>
  <r>
    <d v="2022-02-27T00:00:00"/>
    <x v="442"/>
    <x v="43"/>
    <x v="1"/>
    <x v="13"/>
    <n v="493.92"/>
    <n v="7"/>
    <n v="-28.22"/>
    <x v="1"/>
    <x v="1"/>
  </r>
  <r>
    <d v="2022-02-27T00:00:00"/>
    <x v="608"/>
    <x v="22"/>
    <x v="2"/>
    <x v="9"/>
    <n v="538.91999999999996"/>
    <n v="9"/>
    <n v="80.84"/>
    <x v="1"/>
    <x v="1"/>
  </r>
  <r>
    <d v="2022-02-28T00:00:00"/>
    <x v="329"/>
    <x v="15"/>
    <x v="1"/>
    <x v="5"/>
    <n v="161.57"/>
    <n v="2"/>
    <n v="-28.27"/>
    <x v="1"/>
    <x v="1"/>
  </r>
  <r>
    <d v="2022-02-28T00:00:00"/>
    <x v="329"/>
    <x v="15"/>
    <x v="1"/>
    <x v="5"/>
    <n v="389.7"/>
    <n v="8"/>
    <n v="43.84"/>
    <x v="1"/>
    <x v="1"/>
  </r>
  <r>
    <d v="2022-03-01T00:00:00"/>
    <x v="43"/>
    <x v="4"/>
    <x v="0"/>
    <x v="3"/>
    <n v="58.72"/>
    <n v="4"/>
    <n v="27.01"/>
    <x v="2"/>
    <x v="1"/>
  </r>
  <r>
    <d v="2022-03-01T00:00:00"/>
    <x v="526"/>
    <x v="3"/>
    <x v="2"/>
    <x v="6"/>
    <n v="15.98"/>
    <n v="2"/>
    <n v="1.2"/>
    <x v="2"/>
    <x v="1"/>
  </r>
  <r>
    <d v="2022-03-01T00:00:00"/>
    <x v="526"/>
    <x v="3"/>
    <x v="1"/>
    <x v="5"/>
    <n v="184.75"/>
    <n v="3"/>
    <n v="-20.78"/>
    <x v="2"/>
    <x v="1"/>
  </r>
  <r>
    <d v="2022-03-01T00:00:00"/>
    <x v="218"/>
    <x v="2"/>
    <x v="0"/>
    <x v="12"/>
    <n v="3.55"/>
    <n v="2"/>
    <n v="0.44"/>
    <x v="2"/>
    <x v="1"/>
  </r>
  <r>
    <d v="2022-03-01T00:00:00"/>
    <x v="71"/>
    <x v="0"/>
    <x v="0"/>
    <x v="4"/>
    <n v="55.33"/>
    <n v="2"/>
    <n v="6.22"/>
    <x v="2"/>
    <x v="1"/>
  </r>
  <r>
    <d v="2022-03-01T00:00:00"/>
    <x v="71"/>
    <x v="0"/>
    <x v="1"/>
    <x v="11"/>
    <n v="1228"/>
    <n v="6"/>
    <n v="-36.119999999999997"/>
    <x v="2"/>
    <x v="1"/>
  </r>
  <r>
    <d v="2022-03-01T00:00:00"/>
    <x v="609"/>
    <x v="0"/>
    <x v="2"/>
    <x v="6"/>
    <n v="95.84"/>
    <n v="4"/>
    <n v="34.74"/>
    <x v="2"/>
    <x v="1"/>
  </r>
  <r>
    <d v="2022-03-02T00:00:00"/>
    <x v="610"/>
    <x v="22"/>
    <x v="1"/>
    <x v="13"/>
    <n v="787.53"/>
    <n v="3"/>
    <n v="165.38"/>
    <x v="2"/>
    <x v="1"/>
  </r>
  <r>
    <d v="2022-03-02T00:00:00"/>
    <x v="205"/>
    <x v="18"/>
    <x v="0"/>
    <x v="4"/>
    <n v="10.16"/>
    <n v="1"/>
    <n v="2.64"/>
    <x v="2"/>
    <x v="1"/>
  </r>
  <r>
    <d v="2022-03-02T00:00:00"/>
    <x v="205"/>
    <x v="18"/>
    <x v="0"/>
    <x v="10"/>
    <n v="101.88"/>
    <n v="6"/>
    <n v="50.94"/>
    <x v="2"/>
    <x v="1"/>
  </r>
  <r>
    <d v="2022-03-05T00:00:00"/>
    <x v="321"/>
    <x v="20"/>
    <x v="0"/>
    <x v="10"/>
    <n v="29.34"/>
    <n v="3"/>
    <n v="14.67"/>
    <x v="2"/>
    <x v="1"/>
  </r>
  <r>
    <d v="2022-03-05T00:00:00"/>
    <x v="321"/>
    <x v="20"/>
    <x v="1"/>
    <x v="5"/>
    <n v="383.61"/>
    <n v="7"/>
    <n v="63.93"/>
    <x v="2"/>
    <x v="1"/>
  </r>
  <r>
    <d v="2022-03-05T00:00:00"/>
    <x v="321"/>
    <x v="20"/>
    <x v="0"/>
    <x v="2"/>
    <n v="563.4"/>
    <n v="4"/>
    <n v="67.61"/>
    <x v="2"/>
    <x v="1"/>
  </r>
  <r>
    <d v="2022-03-05T00:00:00"/>
    <x v="582"/>
    <x v="18"/>
    <x v="2"/>
    <x v="6"/>
    <n v="23.92"/>
    <n v="2"/>
    <n v="6.7"/>
    <x v="2"/>
    <x v="1"/>
  </r>
  <r>
    <d v="2022-03-05T00:00:00"/>
    <x v="582"/>
    <x v="18"/>
    <x v="0"/>
    <x v="12"/>
    <n v="60.69"/>
    <n v="7"/>
    <n v="16.39"/>
    <x v="2"/>
    <x v="1"/>
  </r>
  <r>
    <d v="2022-03-05T00:00:00"/>
    <x v="549"/>
    <x v="2"/>
    <x v="2"/>
    <x v="6"/>
    <n v="466.16"/>
    <n v="7"/>
    <n v="-93.23"/>
    <x v="2"/>
    <x v="1"/>
  </r>
  <r>
    <d v="2022-03-05T00:00:00"/>
    <x v="549"/>
    <x v="2"/>
    <x v="2"/>
    <x v="9"/>
    <n v="10.31"/>
    <n v="1"/>
    <n v="-1.29"/>
    <x v="2"/>
    <x v="1"/>
  </r>
  <r>
    <d v="2022-03-05T00:00:00"/>
    <x v="549"/>
    <x v="2"/>
    <x v="0"/>
    <x v="3"/>
    <n v="2.56"/>
    <n v="3"/>
    <n v="-1.79"/>
    <x v="2"/>
    <x v="1"/>
  </r>
  <r>
    <d v="2022-03-05T00:00:00"/>
    <x v="611"/>
    <x v="2"/>
    <x v="1"/>
    <x v="5"/>
    <n v="99.37"/>
    <n v="2"/>
    <n v="-7.1"/>
    <x v="2"/>
    <x v="1"/>
  </r>
  <r>
    <d v="2022-03-05T00:00:00"/>
    <x v="611"/>
    <x v="2"/>
    <x v="1"/>
    <x v="8"/>
    <n v="33.57"/>
    <n v="2"/>
    <n v="-5.45"/>
    <x v="2"/>
    <x v="1"/>
  </r>
  <r>
    <d v="2022-03-05T00:00:00"/>
    <x v="30"/>
    <x v="0"/>
    <x v="2"/>
    <x v="6"/>
    <n v="31.92"/>
    <n v="2"/>
    <n v="2.39"/>
    <x v="2"/>
    <x v="1"/>
  </r>
  <r>
    <d v="2022-03-05T00:00:00"/>
    <x v="612"/>
    <x v="1"/>
    <x v="0"/>
    <x v="7"/>
    <n v="7.1"/>
    <n v="6"/>
    <n v="2.4900000000000002"/>
    <x v="2"/>
    <x v="1"/>
  </r>
  <r>
    <d v="2022-03-05T00:00:00"/>
    <x v="389"/>
    <x v="1"/>
    <x v="0"/>
    <x v="3"/>
    <n v="11.21"/>
    <n v="2"/>
    <n v="-16.82"/>
    <x v="2"/>
    <x v="1"/>
  </r>
  <r>
    <d v="2022-03-05T00:00:00"/>
    <x v="389"/>
    <x v="1"/>
    <x v="1"/>
    <x v="8"/>
    <n v="4.71"/>
    <n v="2"/>
    <n v="-1.88"/>
    <x v="2"/>
    <x v="1"/>
  </r>
  <r>
    <d v="2022-03-05T00:00:00"/>
    <x v="389"/>
    <x v="1"/>
    <x v="0"/>
    <x v="12"/>
    <n v="180.98"/>
    <n v="5"/>
    <n v="-470.55"/>
    <x v="2"/>
    <x v="1"/>
  </r>
  <r>
    <d v="2022-03-05T00:00:00"/>
    <x v="389"/>
    <x v="1"/>
    <x v="0"/>
    <x v="2"/>
    <n v="60.42"/>
    <n v="2"/>
    <n v="6.04"/>
    <x v="2"/>
    <x v="1"/>
  </r>
  <r>
    <d v="2022-03-06T00:00:00"/>
    <x v="315"/>
    <x v="3"/>
    <x v="1"/>
    <x v="8"/>
    <n v="435.26"/>
    <n v="7"/>
    <n v="95.76"/>
    <x v="2"/>
    <x v="1"/>
  </r>
  <r>
    <d v="2022-03-06T00:00:00"/>
    <x v="315"/>
    <x v="3"/>
    <x v="2"/>
    <x v="16"/>
    <n v="1119.98"/>
    <n v="2"/>
    <n v="377.99"/>
    <x v="2"/>
    <x v="1"/>
  </r>
  <r>
    <d v="2022-03-07T00:00:00"/>
    <x v="306"/>
    <x v="7"/>
    <x v="2"/>
    <x v="9"/>
    <n v="119.85"/>
    <n v="3"/>
    <n v="52.73"/>
    <x v="2"/>
    <x v="1"/>
  </r>
  <r>
    <d v="2022-03-07T00:00:00"/>
    <x v="306"/>
    <x v="7"/>
    <x v="0"/>
    <x v="3"/>
    <n v="30.44"/>
    <n v="2"/>
    <n v="14.92"/>
    <x v="2"/>
    <x v="1"/>
  </r>
  <r>
    <d v="2022-03-07T00:00:00"/>
    <x v="306"/>
    <x v="7"/>
    <x v="0"/>
    <x v="3"/>
    <n v="69.28"/>
    <n v="2"/>
    <n v="33.25"/>
    <x v="2"/>
    <x v="1"/>
  </r>
  <r>
    <d v="2022-03-07T00:00:00"/>
    <x v="306"/>
    <x v="7"/>
    <x v="2"/>
    <x v="6"/>
    <n v="587.97"/>
    <n v="3"/>
    <n v="170.51"/>
    <x v="2"/>
    <x v="1"/>
  </r>
  <r>
    <d v="2022-03-08T00:00:00"/>
    <x v="613"/>
    <x v="21"/>
    <x v="1"/>
    <x v="11"/>
    <n v="512.94000000000005"/>
    <n v="3"/>
    <n v="97.46"/>
    <x v="2"/>
    <x v="1"/>
  </r>
  <r>
    <d v="2022-03-08T00:00:00"/>
    <x v="613"/>
    <x v="21"/>
    <x v="1"/>
    <x v="5"/>
    <n v="860.93"/>
    <n v="7"/>
    <n v="189.4"/>
    <x v="2"/>
    <x v="1"/>
  </r>
  <r>
    <d v="2022-03-08T00:00:00"/>
    <x v="613"/>
    <x v="21"/>
    <x v="2"/>
    <x v="6"/>
    <n v="769.95"/>
    <n v="5"/>
    <n v="223.29"/>
    <x v="2"/>
    <x v="1"/>
  </r>
  <r>
    <d v="2022-03-08T00:00:00"/>
    <x v="613"/>
    <x v="21"/>
    <x v="0"/>
    <x v="4"/>
    <n v="14.98"/>
    <n v="1"/>
    <n v="4.49"/>
    <x v="2"/>
    <x v="1"/>
  </r>
  <r>
    <d v="2022-03-08T00:00:00"/>
    <x v="613"/>
    <x v="21"/>
    <x v="1"/>
    <x v="8"/>
    <n v="373.08"/>
    <n v="6"/>
    <n v="82.08"/>
    <x v="2"/>
    <x v="1"/>
  </r>
  <r>
    <d v="2022-03-08T00:00:00"/>
    <x v="278"/>
    <x v="20"/>
    <x v="0"/>
    <x v="0"/>
    <n v="19.440000000000001"/>
    <n v="3"/>
    <n v="9.33"/>
    <x v="2"/>
    <x v="1"/>
  </r>
  <r>
    <d v="2022-03-08T00:00:00"/>
    <x v="452"/>
    <x v="26"/>
    <x v="0"/>
    <x v="4"/>
    <n v="3.41"/>
    <n v="1"/>
    <n v="0.89"/>
    <x v="2"/>
    <x v="1"/>
  </r>
  <r>
    <d v="2022-03-08T00:00:00"/>
    <x v="251"/>
    <x v="1"/>
    <x v="0"/>
    <x v="3"/>
    <n v="8.57"/>
    <n v="3"/>
    <n v="-14.57"/>
    <x v="2"/>
    <x v="1"/>
  </r>
  <r>
    <d v="2022-03-09T00:00:00"/>
    <x v="270"/>
    <x v="0"/>
    <x v="2"/>
    <x v="9"/>
    <n v="113.52"/>
    <n v="5"/>
    <n v="29.8"/>
    <x v="2"/>
    <x v="1"/>
  </r>
  <r>
    <d v="2022-03-09T00:00:00"/>
    <x v="270"/>
    <x v="0"/>
    <x v="2"/>
    <x v="6"/>
    <n v="359.88"/>
    <n v="3"/>
    <n v="22.49"/>
    <x v="2"/>
    <x v="1"/>
  </r>
  <r>
    <d v="2022-03-09T00:00:00"/>
    <x v="614"/>
    <x v="25"/>
    <x v="0"/>
    <x v="1"/>
    <n v="4.6100000000000003"/>
    <n v="2"/>
    <n v="1.67"/>
    <x v="2"/>
    <x v="1"/>
  </r>
  <r>
    <d v="2022-03-10T00:00:00"/>
    <x v="18"/>
    <x v="0"/>
    <x v="0"/>
    <x v="3"/>
    <n v="1.1100000000000001"/>
    <n v="2"/>
    <n v="-1.89"/>
    <x v="2"/>
    <x v="1"/>
  </r>
  <r>
    <d v="2022-03-10T00:00:00"/>
    <x v="127"/>
    <x v="36"/>
    <x v="0"/>
    <x v="2"/>
    <n v="89.82"/>
    <n v="6"/>
    <n v="25.15"/>
    <x v="2"/>
    <x v="1"/>
  </r>
  <r>
    <d v="2022-03-12T00:00:00"/>
    <x v="615"/>
    <x v="16"/>
    <x v="0"/>
    <x v="10"/>
    <n v="8.69"/>
    <n v="3"/>
    <n v="2.93"/>
    <x v="2"/>
    <x v="1"/>
  </r>
  <r>
    <d v="2022-03-12T00:00:00"/>
    <x v="615"/>
    <x v="16"/>
    <x v="1"/>
    <x v="8"/>
    <n v="30.88"/>
    <n v="4"/>
    <n v="3.86"/>
    <x v="2"/>
    <x v="1"/>
  </r>
  <r>
    <d v="2022-03-12T00:00:00"/>
    <x v="615"/>
    <x v="16"/>
    <x v="1"/>
    <x v="8"/>
    <n v="6.41"/>
    <n v="3"/>
    <n v="1.44"/>
    <x v="2"/>
    <x v="1"/>
  </r>
  <r>
    <d v="2022-03-12T00:00:00"/>
    <x v="438"/>
    <x v="25"/>
    <x v="0"/>
    <x v="1"/>
    <n v="5.04"/>
    <n v="2"/>
    <n v="1.76"/>
    <x v="2"/>
    <x v="1"/>
  </r>
  <r>
    <d v="2022-03-13T00:00:00"/>
    <x v="387"/>
    <x v="22"/>
    <x v="1"/>
    <x v="11"/>
    <n v="141.96"/>
    <n v="2"/>
    <n v="39.75"/>
    <x v="2"/>
    <x v="1"/>
  </r>
  <r>
    <d v="2022-03-13T00:00:00"/>
    <x v="155"/>
    <x v="3"/>
    <x v="1"/>
    <x v="5"/>
    <n v="915.14"/>
    <n v="4"/>
    <n v="102.95"/>
    <x v="2"/>
    <x v="1"/>
  </r>
  <r>
    <d v="2022-03-13T00:00:00"/>
    <x v="155"/>
    <x v="3"/>
    <x v="1"/>
    <x v="8"/>
    <n v="327.76"/>
    <n v="8"/>
    <n v="91.77"/>
    <x v="2"/>
    <x v="1"/>
  </r>
  <r>
    <d v="2022-03-14T00:00:00"/>
    <x v="287"/>
    <x v="38"/>
    <x v="0"/>
    <x v="1"/>
    <n v="16.52"/>
    <n v="4"/>
    <n v="7.6"/>
    <x v="2"/>
    <x v="1"/>
  </r>
  <r>
    <d v="2022-03-14T00:00:00"/>
    <x v="287"/>
    <x v="38"/>
    <x v="0"/>
    <x v="3"/>
    <n v="671.94"/>
    <n v="3"/>
    <n v="315.81"/>
    <x v="2"/>
    <x v="1"/>
  </r>
  <r>
    <d v="2022-03-14T00:00:00"/>
    <x v="170"/>
    <x v="3"/>
    <x v="0"/>
    <x v="0"/>
    <n v="19.440000000000001"/>
    <n v="3"/>
    <n v="9.33"/>
    <x v="2"/>
    <x v="1"/>
  </r>
  <r>
    <d v="2022-03-15T00:00:00"/>
    <x v="600"/>
    <x v="27"/>
    <x v="2"/>
    <x v="6"/>
    <n v="16.78"/>
    <n v="3"/>
    <n v="1.68"/>
    <x v="2"/>
    <x v="1"/>
  </r>
  <r>
    <d v="2022-03-16T00:00:00"/>
    <x v="616"/>
    <x v="4"/>
    <x v="0"/>
    <x v="4"/>
    <n v="2.74"/>
    <n v="1"/>
    <n v="0.74"/>
    <x v="2"/>
    <x v="1"/>
  </r>
  <r>
    <d v="2022-03-16T00:00:00"/>
    <x v="616"/>
    <x v="4"/>
    <x v="0"/>
    <x v="4"/>
    <n v="8.34"/>
    <n v="3"/>
    <n v="2.17"/>
    <x v="2"/>
    <x v="1"/>
  </r>
  <r>
    <d v="2022-03-16T00:00:00"/>
    <x v="616"/>
    <x v="4"/>
    <x v="0"/>
    <x v="2"/>
    <n v="46.74"/>
    <n v="3"/>
    <n v="11.69"/>
    <x v="2"/>
    <x v="1"/>
  </r>
  <r>
    <d v="2022-03-16T00:00:00"/>
    <x v="616"/>
    <x v="4"/>
    <x v="0"/>
    <x v="3"/>
    <n v="6354.95"/>
    <n v="5"/>
    <n v="3177.48"/>
    <x v="2"/>
    <x v="1"/>
  </r>
  <r>
    <d v="2022-03-16T00:00:00"/>
    <x v="617"/>
    <x v="22"/>
    <x v="1"/>
    <x v="13"/>
    <n v="171.96"/>
    <n v="2"/>
    <n v="44.71"/>
    <x v="2"/>
    <x v="1"/>
  </r>
  <r>
    <d v="2022-03-16T00:00:00"/>
    <x v="407"/>
    <x v="3"/>
    <x v="1"/>
    <x v="8"/>
    <n v="43.13"/>
    <n v="1"/>
    <n v="18.11"/>
    <x v="2"/>
    <x v="1"/>
  </r>
  <r>
    <d v="2022-03-16T00:00:00"/>
    <x v="279"/>
    <x v="20"/>
    <x v="2"/>
    <x v="6"/>
    <n v="85.9"/>
    <n v="2"/>
    <n v="2.58"/>
    <x v="2"/>
    <x v="1"/>
  </r>
  <r>
    <d v="2022-03-16T00:00:00"/>
    <x v="102"/>
    <x v="33"/>
    <x v="0"/>
    <x v="1"/>
    <n v="491.55"/>
    <n v="5"/>
    <n v="240.86"/>
    <x v="2"/>
    <x v="1"/>
  </r>
  <r>
    <d v="2022-03-16T00:00:00"/>
    <x v="102"/>
    <x v="33"/>
    <x v="0"/>
    <x v="10"/>
    <n v="7.38"/>
    <n v="2"/>
    <n v="3.39"/>
    <x v="2"/>
    <x v="1"/>
  </r>
  <r>
    <d v="2022-03-16T00:00:00"/>
    <x v="412"/>
    <x v="20"/>
    <x v="0"/>
    <x v="4"/>
    <n v="17.52"/>
    <n v="3"/>
    <n v="6.31"/>
    <x v="2"/>
    <x v="1"/>
  </r>
  <r>
    <d v="2022-03-17T00:00:00"/>
    <x v="535"/>
    <x v="20"/>
    <x v="2"/>
    <x v="9"/>
    <n v="15.02"/>
    <n v="1"/>
    <n v="2.7"/>
    <x v="2"/>
    <x v="1"/>
  </r>
  <r>
    <d v="2022-03-17T00:00:00"/>
    <x v="535"/>
    <x v="20"/>
    <x v="0"/>
    <x v="2"/>
    <n v="33.82"/>
    <n v="2"/>
    <n v="9.1300000000000008"/>
    <x v="2"/>
    <x v="1"/>
  </r>
  <r>
    <d v="2022-03-19T00:00:00"/>
    <x v="618"/>
    <x v="22"/>
    <x v="2"/>
    <x v="6"/>
    <n v="453.58"/>
    <n v="3"/>
    <n v="39.69"/>
    <x v="2"/>
    <x v="1"/>
  </r>
  <r>
    <d v="2022-03-19T00:00:00"/>
    <x v="470"/>
    <x v="22"/>
    <x v="0"/>
    <x v="2"/>
    <n v="1247.6400000000001"/>
    <n v="3"/>
    <n v="349.34"/>
    <x v="2"/>
    <x v="1"/>
  </r>
  <r>
    <d v="2022-03-19T00:00:00"/>
    <x v="470"/>
    <x v="22"/>
    <x v="2"/>
    <x v="16"/>
    <n v="3149.93"/>
    <n v="7"/>
    <n v="1480.47"/>
    <x v="2"/>
    <x v="1"/>
  </r>
  <r>
    <d v="2022-03-19T00:00:00"/>
    <x v="470"/>
    <x v="22"/>
    <x v="0"/>
    <x v="0"/>
    <n v="209.7"/>
    <n v="2"/>
    <n v="100.66"/>
    <x v="2"/>
    <x v="1"/>
  </r>
  <r>
    <d v="2022-03-19T00:00:00"/>
    <x v="328"/>
    <x v="3"/>
    <x v="0"/>
    <x v="3"/>
    <n v="17.57"/>
    <n v="2"/>
    <n v="6.37"/>
    <x v="2"/>
    <x v="1"/>
  </r>
  <r>
    <d v="2022-03-19T00:00:00"/>
    <x v="328"/>
    <x v="3"/>
    <x v="0"/>
    <x v="1"/>
    <n v="14.62"/>
    <n v="2"/>
    <n v="6.87"/>
    <x v="2"/>
    <x v="1"/>
  </r>
  <r>
    <d v="2022-03-19T00:00:00"/>
    <x v="328"/>
    <x v="3"/>
    <x v="0"/>
    <x v="14"/>
    <n v="33.36"/>
    <n v="4"/>
    <n v="8.67"/>
    <x v="2"/>
    <x v="1"/>
  </r>
  <r>
    <d v="2022-03-19T00:00:00"/>
    <x v="328"/>
    <x v="3"/>
    <x v="0"/>
    <x v="0"/>
    <n v="40.14"/>
    <n v="6"/>
    <n v="19.670000000000002"/>
    <x v="2"/>
    <x v="1"/>
  </r>
  <r>
    <d v="2022-03-19T00:00:00"/>
    <x v="284"/>
    <x v="16"/>
    <x v="0"/>
    <x v="0"/>
    <n v="14.5"/>
    <n v="3"/>
    <n v="4.8899999999999997"/>
    <x v="2"/>
    <x v="1"/>
  </r>
  <r>
    <d v="2022-03-19T00:00:00"/>
    <x v="411"/>
    <x v="3"/>
    <x v="0"/>
    <x v="0"/>
    <n v="11.96"/>
    <n v="2"/>
    <n v="5.86"/>
    <x v="2"/>
    <x v="1"/>
  </r>
  <r>
    <d v="2022-03-19T00:00:00"/>
    <x v="41"/>
    <x v="3"/>
    <x v="0"/>
    <x v="7"/>
    <n v="10.9"/>
    <n v="5"/>
    <n v="3.6"/>
    <x v="2"/>
    <x v="1"/>
  </r>
  <r>
    <d v="2022-03-19T00:00:00"/>
    <x v="619"/>
    <x v="0"/>
    <x v="0"/>
    <x v="0"/>
    <n v="65.58"/>
    <n v="2"/>
    <n v="23.77"/>
    <x v="2"/>
    <x v="1"/>
  </r>
  <r>
    <d v="2022-03-19T00:00:00"/>
    <x v="619"/>
    <x v="0"/>
    <x v="1"/>
    <x v="11"/>
    <n v="383.47"/>
    <n v="4"/>
    <n v="-67.67"/>
    <x v="2"/>
    <x v="1"/>
  </r>
  <r>
    <d v="2022-03-20T00:00:00"/>
    <x v="620"/>
    <x v="21"/>
    <x v="0"/>
    <x v="0"/>
    <n v="51.84"/>
    <n v="8"/>
    <n v="24.88"/>
    <x v="2"/>
    <x v="1"/>
  </r>
  <r>
    <d v="2022-03-20T00:00:00"/>
    <x v="519"/>
    <x v="0"/>
    <x v="0"/>
    <x v="3"/>
    <n v="2.5099999999999998"/>
    <n v="2"/>
    <n v="-4.4000000000000004"/>
    <x v="2"/>
    <x v="1"/>
  </r>
  <r>
    <d v="2022-03-20T00:00:00"/>
    <x v="519"/>
    <x v="0"/>
    <x v="0"/>
    <x v="7"/>
    <n v="18.86"/>
    <n v="9"/>
    <n v="6.13"/>
    <x v="2"/>
    <x v="1"/>
  </r>
  <r>
    <d v="2022-03-20T00:00:00"/>
    <x v="240"/>
    <x v="11"/>
    <x v="0"/>
    <x v="2"/>
    <n v="29.3"/>
    <n v="3"/>
    <n v="2.56"/>
    <x v="2"/>
    <x v="1"/>
  </r>
  <r>
    <d v="2022-03-20T00:00:00"/>
    <x v="526"/>
    <x v="20"/>
    <x v="0"/>
    <x v="3"/>
    <n v="49.85"/>
    <n v="3"/>
    <n v="16.82"/>
    <x v="2"/>
    <x v="1"/>
  </r>
  <r>
    <d v="2022-03-20T00:00:00"/>
    <x v="526"/>
    <x v="20"/>
    <x v="0"/>
    <x v="10"/>
    <n v="23.99"/>
    <n v="1"/>
    <n v="12"/>
    <x v="2"/>
    <x v="1"/>
  </r>
  <r>
    <d v="2022-03-20T00:00:00"/>
    <x v="526"/>
    <x v="20"/>
    <x v="0"/>
    <x v="3"/>
    <n v="1087.94"/>
    <n v="8"/>
    <n v="353.58"/>
    <x v="2"/>
    <x v="1"/>
  </r>
  <r>
    <d v="2022-03-20T00:00:00"/>
    <x v="526"/>
    <x v="20"/>
    <x v="2"/>
    <x v="6"/>
    <n v="199.98"/>
    <n v="2"/>
    <n v="53.99"/>
    <x v="2"/>
    <x v="1"/>
  </r>
  <r>
    <d v="2022-03-20T00:00:00"/>
    <x v="526"/>
    <x v="20"/>
    <x v="0"/>
    <x v="2"/>
    <n v="83.92"/>
    <n v="4"/>
    <n v="20.14"/>
    <x v="2"/>
    <x v="1"/>
  </r>
  <r>
    <d v="2022-03-21T00:00:00"/>
    <x v="621"/>
    <x v="25"/>
    <x v="0"/>
    <x v="12"/>
    <n v="962.08"/>
    <n v="4"/>
    <n v="156.34"/>
    <x v="2"/>
    <x v="1"/>
  </r>
  <r>
    <d v="2022-03-21T00:00:00"/>
    <x v="621"/>
    <x v="25"/>
    <x v="0"/>
    <x v="3"/>
    <n v="12.84"/>
    <n v="3"/>
    <n v="-9.85"/>
    <x v="2"/>
    <x v="1"/>
  </r>
  <r>
    <d v="2022-03-21T00:00:00"/>
    <x v="621"/>
    <x v="25"/>
    <x v="0"/>
    <x v="0"/>
    <n v="295.45999999999998"/>
    <n v="14"/>
    <n v="96.02"/>
    <x v="2"/>
    <x v="1"/>
  </r>
  <r>
    <d v="2022-03-22T00:00:00"/>
    <x v="622"/>
    <x v="0"/>
    <x v="2"/>
    <x v="9"/>
    <n v="18.39"/>
    <n v="1"/>
    <n v="5.29"/>
    <x v="2"/>
    <x v="1"/>
  </r>
  <r>
    <d v="2022-03-22T00:00:00"/>
    <x v="622"/>
    <x v="0"/>
    <x v="0"/>
    <x v="2"/>
    <n v="129.57"/>
    <n v="2"/>
    <n v="-25.91"/>
    <x v="2"/>
    <x v="1"/>
  </r>
  <r>
    <d v="2022-03-22T00:00:00"/>
    <x v="622"/>
    <x v="0"/>
    <x v="0"/>
    <x v="3"/>
    <n v="14.11"/>
    <n v="9"/>
    <n v="-21.17"/>
    <x v="2"/>
    <x v="1"/>
  </r>
  <r>
    <d v="2022-03-22T00:00:00"/>
    <x v="131"/>
    <x v="3"/>
    <x v="2"/>
    <x v="6"/>
    <n v="15.98"/>
    <n v="2"/>
    <n v="1.2"/>
    <x v="2"/>
    <x v="1"/>
  </r>
  <r>
    <d v="2022-03-22T00:00:00"/>
    <x v="514"/>
    <x v="3"/>
    <x v="0"/>
    <x v="0"/>
    <n v="105.52"/>
    <n v="4"/>
    <n v="48.54"/>
    <x v="2"/>
    <x v="1"/>
  </r>
  <r>
    <d v="2022-03-22T00:00:00"/>
    <x v="514"/>
    <x v="3"/>
    <x v="1"/>
    <x v="8"/>
    <n v="91.96"/>
    <n v="2"/>
    <n v="15.63"/>
    <x v="2"/>
    <x v="1"/>
  </r>
  <r>
    <d v="2022-03-22T00:00:00"/>
    <x v="514"/>
    <x v="3"/>
    <x v="2"/>
    <x v="6"/>
    <n v="1487.98"/>
    <n v="3"/>
    <n v="186"/>
    <x v="2"/>
    <x v="1"/>
  </r>
  <r>
    <d v="2022-03-22T00:00:00"/>
    <x v="623"/>
    <x v="33"/>
    <x v="0"/>
    <x v="4"/>
    <n v="19.559999999999999"/>
    <n v="4"/>
    <n v="5.48"/>
    <x v="2"/>
    <x v="1"/>
  </r>
  <r>
    <d v="2022-03-22T00:00:00"/>
    <x v="587"/>
    <x v="16"/>
    <x v="2"/>
    <x v="9"/>
    <n v="447.94"/>
    <n v="7"/>
    <n v="89.59"/>
    <x v="2"/>
    <x v="1"/>
  </r>
  <r>
    <d v="2022-03-22T00:00:00"/>
    <x v="587"/>
    <x v="16"/>
    <x v="0"/>
    <x v="2"/>
    <n v="150.41"/>
    <n v="9"/>
    <n v="-33.840000000000003"/>
    <x v="2"/>
    <x v="1"/>
  </r>
  <r>
    <d v="2022-03-23T00:00:00"/>
    <x v="427"/>
    <x v="0"/>
    <x v="1"/>
    <x v="5"/>
    <n v="107.77"/>
    <n v="2"/>
    <n v="-29.25"/>
    <x v="2"/>
    <x v="1"/>
  </r>
  <r>
    <d v="2022-03-23T00:00:00"/>
    <x v="320"/>
    <x v="9"/>
    <x v="0"/>
    <x v="7"/>
    <n v="31.56"/>
    <n v="4"/>
    <n v="14.2"/>
    <x v="2"/>
    <x v="1"/>
  </r>
  <r>
    <d v="2022-03-23T00:00:00"/>
    <x v="320"/>
    <x v="9"/>
    <x v="0"/>
    <x v="2"/>
    <n v="27.92"/>
    <n v="4"/>
    <n v="0.56000000000000005"/>
    <x v="2"/>
    <x v="1"/>
  </r>
  <r>
    <d v="2022-03-23T00:00:00"/>
    <x v="244"/>
    <x v="3"/>
    <x v="0"/>
    <x v="0"/>
    <n v="33.36"/>
    <n v="4"/>
    <n v="16.68"/>
    <x v="2"/>
    <x v="1"/>
  </r>
  <r>
    <d v="2022-03-23T00:00:00"/>
    <x v="450"/>
    <x v="3"/>
    <x v="0"/>
    <x v="0"/>
    <n v="192.72"/>
    <n v="11"/>
    <n v="92.51"/>
    <x v="2"/>
    <x v="1"/>
  </r>
  <r>
    <d v="2022-03-23T00:00:00"/>
    <x v="450"/>
    <x v="3"/>
    <x v="2"/>
    <x v="9"/>
    <n v="239.97"/>
    <n v="3"/>
    <n v="86.39"/>
    <x v="2"/>
    <x v="1"/>
  </r>
  <r>
    <d v="2022-03-24T00:00:00"/>
    <x v="285"/>
    <x v="1"/>
    <x v="1"/>
    <x v="11"/>
    <n v="359.06"/>
    <n v="3"/>
    <n v="-35.909999999999997"/>
    <x v="2"/>
    <x v="1"/>
  </r>
  <r>
    <d v="2022-03-24T00:00:00"/>
    <x v="624"/>
    <x v="16"/>
    <x v="0"/>
    <x v="12"/>
    <n v="6.99"/>
    <n v="2"/>
    <n v="0.52"/>
    <x v="2"/>
    <x v="1"/>
  </r>
  <r>
    <d v="2022-03-24T00:00:00"/>
    <x v="552"/>
    <x v="22"/>
    <x v="1"/>
    <x v="8"/>
    <n v="46.9"/>
    <n v="5"/>
    <n v="13.13"/>
    <x v="2"/>
    <x v="1"/>
  </r>
  <r>
    <d v="2022-03-26T00:00:00"/>
    <x v="625"/>
    <x v="16"/>
    <x v="0"/>
    <x v="0"/>
    <n v="74.349999999999994"/>
    <n v="3"/>
    <n v="23.24"/>
    <x v="2"/>
    <x v="1"/>
  </r>
  <r>
    <d v="2022-03-26T00:00:00"/>
    <x v="344"/>
    <x v="2"/>
    <x v="0"/>
    <x v="0"/>
    <n v="40.03"/>
    <n v="6"/>
    <n v="12.51"/>
    <x v="2"/>
    <x v="1"/>
  </r>
  <r>
    <d v="2022-03-26T00:00:00"/>
    <x v="344"/>
    <x v="2"/>
    <x v="2"/>
    <x v="9"/>
    <n v="16.78"/>
    <n v="3"/>
    <n v="5.03"/>
    <x v="2"/>
    <x v="1"/>
  </r>
  <r>
    <d v="2022-03-26T00:00:00"/>
    <x v="227"/>
    <x v="22"/>
    <x v="1"/>
    <x v="13"/>
    <n v="3393.68"/>
    <n v="8"/>
    <n v="610.86"/>
    <x v="2"/>
    <x v="1"/>
  </r>
  <r>
    <d v="2022-03-26T00:00:00"/>
    <x v="436"/>
    <x v="20"/>
    <x v="0"/>
    <x v="2"/>
    <n v="1085.42"/>
    <n v="7"/>
    <n v="282.20999999999998"/>
    <x v="2"/>
    <x v="1"/>
  </r>
  <r>
    <d v="2022-03-26T00:00:00"/>
    <x v="436"/>
    <x v="20"/>
    <x v="0"/>
    <x v="12"/>
    <n v="13.11"/>
    <n v="3"/>
    <n v="3.41"/>
    <x v="2"/>
    <x v="1"/>
  </r>
  <r>
    <d v="2022-03-27T00:00:00"/>
    <x v="20"/>
    <x v="22"/>
    <x v="0"/>
    <x v="2"/>
    <n v="83.7"/>
    <n v="5"/>
    <n v="3.35"/>
    <x v="2"/>
    <x v="1"/>
  </r>
  <r>
    <d v="2022-03-28T00:00:00"/>
    <x v="513"/>
    <x v="3"/>
    <x v="2"/>
    <x v="9"/>
    <n v="166.24"/>
    <n v="1"/>
    <n v="24.94"/>
    <x v="2"/>
    <x v="1"/>
  </r>
  <r>
    <d v="2022-03-28T00:00:00"/>
    <x v="513"/>
    <x v="3"/>
    <x v="0"/>
    <x v="0"/>
    <n v="33.4"/>
    <n v="5"/>
    <n v="16.03"/>
    <x v="2"/>
    <x v="1"/>
  </r>
  <r>
    <d v="2022-03-28T00:00:00"/>
    <x v="74"/>
    <x v="2"/>
    <x v="0"/>
    <x v="0"/>
    <n v="15.55"/>
    <n v="3"/>
    <n v="5.44"/>
    <x v="2"/>
    <x v="1"/>
  </r>
  <r>
    <d v="2022-03-28T00:00:00"/>
    <x v="74"/>
    <x v="2"/>
    <x v="0"/>
    <x v="0"/>
    <n v="5.23"/>
    <n v="1"/>
    <n v="1.7"/>
    <x v="2"/>
    <x v="1"/>
  </r>
  <r>
    <d v="2022-03-28T00:00:00"/>
    <x v="209"/>
    <x v="20"/>
    <x v="0"/>
    <x v="10"/>
    <n v="22.92"/>
    <n v="3"/>
    <n v="11.23"/>
    <x v="2"/>
    <x v="1"/>
  </r>
  <r>
    <d v="2022-03-29T00:00:00"/>
    <x v="421"/>
    <x v="16"/>
    <x v="1"/>
    <x v="5"/>
    <n v="1166.92"/>
    <n v="5"/>
    <n v="131.28"/>
    <x v="2"/>
    <x v="1"/>
  </r>
  <r>
    <d v="2022-03-29T00:00:00"/>
    <x v="445"/>
    <x v="22"/>
    <x v="0"/>
    <x v="12"/>
    <n v="73.28"/>
    <n v="4"/>
    <n v="21.25"/>
    <x v="2"/>
    <x v="1"/>
  </r>
  <r>
    <d v="2022-03-29T00:00:00"/>
    <x v="77"/>
    <x v="3"/>
    <x v="0"/>
    <x v="0"/>
    <n v="212.64"/>
    <n v="6"/>
    <n v="99.94"/>
    <x v="2"/>
    <x v="1"/>
  </r>
  <r>
    <d v="2022-03-29T00:00:00"/>
    <x v="77"/>
    <x v="3"/>
    <x v="0"/>
    <x v="0"/>
    <n v="9.8699999999999992"/>
    <n v="3"/>
    <n v="4.54"/>
    <x v="2"/>
    <x v="1"/>
  </r>
  <r>
    <d v="2022-03-29T00:00:00"/>
    <x v="77"/>
    <x v="3"/>
    <x v="2"/>
    <x v="9"/>
    <n v="53.25"/>
    <n v="3"/>
    <n v="20.77"/>
    <x v="2"/>
    <x v="1"/>
  </r>
  <r>
    <d v="2022-03-29T00:00:00"/>
    <x v="77"/>
    <x v="3"/>
    <x v="1"/>
    <x v="8"/>
    <n v="19.920000000000002"/>
    <n v="3"/>
    <n v="9.56"/>
    <x v="2"/>
    <x v="1"/>
  </r>
  <r>
    <d v="2022-03-29T00:00:00"/>
    <x v="83"/>
    <x v="6"/>
    <x v="0"/>
    <x v="4"/>
    <n v="5.56"/>
    <n v="2"/>
    <n v="1.45"/>
    <x v="2"/>
    <x v="1"/>
  </r>
  <r>
    <d v="2022-03-29T00:00:00"/>
    <x v="626"/>
    <x v="20"/>
    <x v="0"/>
    <x v="0"/>
    <n v="17.64"/>
    <n v="4"/>
    <n v="8.11"/>
    <x v="2"/>
    <x v="1"/>
  </r>
  <r>
    <d v="2022-03-30T00:00:00"/>
    <x v="452"/>
    <x v="1"/>
    <x v="0"/>
    <x v="0"/>
    <n v="23.52"/>
    <n v="5"/>
    <n v="8.5299999999999994"/>
    <x v="2"/>
    <x v="1"/>
  </r>
  <r>
    <d v="2022-03-30T00:00:00"/>
    <x v="452"/>
    <x v="1"/>
    <x v="2"/>
    <x v="6"/>
    <n v="180.96"/>
    <n v="5"/>
    <n v="13.57"/>
    <x v="2"/>
    <x v="1"/>
  </r>
  <r>
    <d v="2022-03-30T00:00:00"/>
    <x v="108"/>
    <x v="1"/>
    <x v="1"/>
    <x v="5"/>
    <n v="366.74"/>
    <n v="4"/>
    <n v="-110.02"/>
    <x v="2"/>
    <x v="1"/>
  </r>
  <r>
    <d v="2022-03-31T00:00:00"/>
    <x v="134"/>
    <x v="16"/>
    <x v="2"/>
    <x v="6"/>
    <n v="79.959999999999994"/>
    <n v="5"/>
    <n v="27.99"/>
    <x v="2"/>
    <x v="1"/>
  </r>
  <r>
    <d v="2022-03-31T00:00:00"/>
    <x v="290"/>
    <x v="0"/>
    <x v="0"/>
    <x v="0"/>
    <n v="98.38"/>
    <n v="3"/>
    <n v="35.659999999999997"/>
    <x v="2"/>
    <x v="1"/>
  </r>
  <r>
    <d v="2022-03-31T00:00:00"/>
    <x v="290"/>
    <x v="0"/>
    <x v="1"/>
    <x v="8"/>
    <n v="22.38"/>
    <n v="3"/>
    <n v="-7.83"/>
    <x v="2"/>
    <x v="1"/>
  </r>
  <r>
    <d v="2022-04-02T00:00:00"/>
    <x v="627"/>
    <x v="0"/>
    <x v="0"/>
    <x v="12"/>
    <n v="32.19"/>
    <n v="2"/>
    <n v="-80.48"/>
    <x v="3"/>
    <x v="1"/>
  </r>
  <r>
    <d v="2022-04-02T00:00:00"/>
    <x v="627"/>
    <x v="0"/>
    <x v="2"/>
    <x v="9"/>
    <n v="50.12"/>
    <n v="7"/>
    <n v="-0.63"/>
    <x v="3"/>
    <x v="1"/>
  </r>
  <r>
    <d v="2022-04-02T00:00:00"/>
    <x v="627"/>
    <x v="0"/>
    <x v="2"/>
    <x v="9"/>
    <n v="47.98"/>
    <n v="3"/>
    <n v="1.8"/>
    <x v="3"/>
    <x v="1"/>
  </r>
  <r>
    <d v="2022-04-02T00:00:00"/>
    <x v="568"/>
    <x v="0"/>
    <x v="0"/>
    <x v="3"/>
    <n v="9.16"/>
    <n v="3"/>
    <n v="-13.73"/>
    <x v="3"/>
    <x v="1"/>
  </r>
  <r>
    <d v="2022-04-02T00:00:00"/>
    <x v="628"/>
    <x v="3"/>
    <x v="2"/>
    <x v="15"/>
    <n v="71.98"/>
    <n v="3"/>
    <n v="24.29"/>
    <x v="3"/>
    <x v="1"/>
  </r>
  <r>
    <d v="2022-04-02T00:00:00"/>
    <x v="315"/>
    <x v="12"/>
    <x v="2"/>
    <x v="6"/>
    <n v="87.8"/>
    <n v="5"/>
    <n v="32.93"/>
    <x v="3"/>
    <x v="1"/>
  </r>
  <r>
    <d v="2022-04-04T00:00:00"/>
    <x v="155"/>
    <x v="20"/>
    <x v="0"/>
    <x v="4"/>
    <n v="11.16"/>
    <n v="2"/>
    <n v="4.3499999999999996"/>
    <x v="3"/>
    <x v="1"/>
  </r>
  <r>
    <d v="2022-04-04T00:00:00"/>
    <x v="155"/>
    <x v="20"/>
    <x v="1"/>
    <x v="8"/>
    <n v="108.4"/>
    <n v="2"/>
    <n v="22.76"/>
    <x v="3"/>
    <x v="1"/>
  </r>
  <r>
    <d v="2022-04-04T00:00:00"/>
    <x v="155"/>
    <x v="20"/>
    <x v="0"/>
    <x v="3"/>
    <n v="82.34"/>
    <n v="3"/>
    <n v="27.79"/>
    <x v="3"/>
    <x v="1"/>
  </r>
  <r>
    <d v="2022-04-04T00:00:00"/>
    <x v="155"/>
    <x v="20"/>
    <x v="0"/>
    <x v="3"/>
    <n v="9.09"/>
    <n v="4"/>
    <n v="3.29"/>
    <x v="3"/>
    <x v="1"/>
  </r>
  <r>
    <d v="2022-04-04T00:00:00"/>
    <x v="115"/>
    <x v="14"/>
    <x v="0"/>
    <x v="12"/>
    <n v="644.08000000000004"/>
    <n v="2"/>
    <n v="107.35"/>
    <x v="3"/>
    <x v="1"/>
  </r>
  <r>
    <d v="2022-04-04T00:00:00"/>
    <x v="115"/>
    <x v="14"/>
    <x v="0"/>
    <x v="7"/>
    <n v="5.84"/>
    <n v="2"/>
    <n v="2.63"/>
    <x v="3"/>
    <x v="1"/>
  </r>
  <r>
    <d v="2022-04-04T00:00:00"/>
    <x v="115"/>
    <x v="14"/>
    <x v="0"/>
    <x v="3"/>
    <n v="12.76"/>
    <n v="2"/>
    <n v="5.87"/>
    <x v="3"/>
    <x v="1"/>
  </r>
  <r>
    <d v="2022-04-04T00:00:00"/>
    <x v="115"/>
    <x v="14"/>
    <x v="2"/>
    <x v="6"/>
    <n v="10.95"/>
    <n v="1"/>
    <n v="0.44"/>
    <x v="3"/>
    <x v="1"/>
  </r>
  <r>
    <d v="2022-04-04T00:00:00"/>
    <x v="115"/>
    <x v="14"/>
    <x v="2"/>
    <x v="16"/>
    <n v="599.98"/>
    <n v="2"/>
    <n v="209.99"/>
    <x v="3"/>
    <x v="1"/>
  </r>
  <r>
    <d v="2022-04-05T00:00:00"/>
    <x v="480"/>
    <x v="15"/>
    <x v="0"/>
    <x v="3"/>
    <n v="157.79"/>
    <n v="1"/>
    <n v="-115.72"/>
    <x v="3"/>
    <x v="1"/>
  </r>
  <r>
    <d v="2022-04-05T00:00:00"/>
    <x v="243"/>
    <x v="2"/>
    <x v="0"/>
    <x v="12"/>
    <n v="98.11"/>
    <n v="7"/>
    <n v="18.399999999999999"/>
    <x v="3"/>
    <x v="1"/>
  </r>
  <r>
    <d v="2022-04-05T00:00:00"/>
    <x v="243"/>
    <x v="2"/>
    <x v="0"/>
    <x v="2"/>
    <n v="563.80999999999995"/>
    <n v="4"/>
    <n v="21.14"/>
    <x v="3"/>
    <x v="1"/>
  </r>
  <r>
    <d v="2022-04-05T00:00:00"/>
    <x v="243"/>
    <x v="2"/>
    <x v="0"/>
    <x v="3"/>
    <n v="10.43"/>
    <n v="4"/>
    <n v="-6.95"/>
    <x v="3"/>
    <x v="1"/>
  </r>
  <r>
    <d v="2022-04-05T00:00:00"/>
    <x v="243"/>
    <x v="2"/>
    <x v="1"/>
    <x v="8"/>
    <n v="547.14"/>
    <n v="4"/>
    <n v="-68.39"/>
    <x v="3"/>
    <x v="1"/>
  </r>
  <r>
    <d v="2022-04-05T00:00:00"/>
    <x v="243"/>
    <x v="2"/>
    <x v="2"/>
    <x v="6"/>
    <n v="14.85"/>
    <n v="5"/>
    <n v="-3.22"/>
    <x v="3"/>
    <x v="1"/>
  </r>
  <r>
    <d v="2022-04-05T00:00:00"/>
    <x v="243"/>
    <x v="2"/>
    <x v="2"/>
    <x v="6"/>
    <n v="41.99"/>
    <n v="2"/>
    <n v="-9.8000000000000007"/>
    <x v="3"/>
    <x v="1"/>
  </r>
  <r>
    <d v="2022-04-05T00:00:00"/>
    <x v="243"/>
    <x v="2"/>
    <x v="1"/>
    <x v="8"/>
    <n v="7.58"/>
    <n v="1"/>
    <n v="2.37"/>
    <x v="3"/>
    <x v="1"/>
  </r>
  <r>
    <d v="2022-04-05T00:00:00"/>
    <x v="243"/>
    <x v="2"/>
    <x v="1"/>
    <x v="11"/>
    <n v="352.45"/>
    <n v="5"/>
    <n v="-211.47"/>
    <x v="3"/>
    <x v="1"/>
  </r>
  <r>
    <d v="2022-04-05T00:00:00"/>
    <x v="207"/>
    <x v="2"/>
    <x v="0"/>
    <x v="1"/>
    <n v="23.9"/>
    <n v="6"/>
    <n v="7.77"/>
    <x v="3"/>
    <x v="1"/>
  </r>
  <r>
    <d v="2022-04-05T00:00:00"/>
    <x v="27"/>
    <x v="3"/>
    <x v="1"/>
    <x v="5"/>
    <n v="892.22"/>
    <n v="3"/>
    <n v="89.22"/>
    <x v="3"/>
    <x v="1"/>
  </r>
  <r>
    <d v="2022-04-05T00:00:00"/>
    <x v="259"/>
    <x v="22"/>
    <x v="2"/>
    <x v="9"/>
    <n v="239.94"/>
    <n v="6"/>
    <n v="26.39"/>
    <x v="3"/>
    <x v="1"/>
  </r>
  <r>
    <d v="2022-04-05T00:00:00"/>
    <x v="259"/>
    <x v="22"/>
    <x v="0"/>
    <x v="4"/>
    <n v="23.84"/>
    <n v="8"/>
    <n v="6.44"/>
    <x v="3"/>
    <x v="1"/>
  </r>
  <r>
    <d v="2022-04-06T00:00:00"/>
    <x v="426"/>
    <x v="0"/>
    <x v="0"/>
    <x v="4"/>
    <n v="42.05"/>
    <n v="9"/>
    <n v="5.26"/>
    <x v="3"/>
    <x v="1"/>
  </r>
  <r>
    <d v="2022-04-06T00:00:00"/>
    <x v="426"/>
    <x v="0"/>
    <x v="2"/>
    <x v="9"/>
    <n v="25.49"/>
    <n v="2"/>
    <n v="4.46"/>
    <x v="3"/>
    <x v="1"/>
  </r>
  <r>
    <d v="2022-04-06T00:00:00"/>
    <x v="426"/>
    <x v="0"/>
    <x v="0"/>
    <x v="3"/>
    <n v="6.9"/>
    <n v="3"/>
    <n v="-12.08"/>
    <x v="3"/>
    <x v="1"/>
  </r>
  <r>
    <d v="2022-04-06T00:00:00"/>
    <x v="426"/>
    <x v="0"/>
    <x v="0"/>
    <x v="3"/>
    <n v="9.65"/>
    <n v="6"/>
    <n v="-16.88"/>
    <x v="3"/>
    <x v="1"/>
  </r>
  <r>
    <d v="2022-04-06T00:00:00"/>
    <x v="426"/>
    <x v="0"/>
    <x v="0"/>
    <x v="0"/>
    <n v="7.97"/>
    <n v="2"/>
    <n v="2.89"/>
    <x v="3"/>
    <x v="1"/>
  </r>
  <r>
    <d v="2022-04-06T00:00:00"/>
    <x v="294"/>
    <x v="25"/>
    <x v="0"/>
    <x v="0"/>
    <n v="47.95"/>
    <n v="3"/>
    <n v="16.18"/>
    <x v="3"/>
    <x v="1"/>
  </r>
  <r>
    <d v="2022-04-07T00:00:00"/>
    <x v="184"/>
    <x v="0"/>
    <x v="0"/>
    <x v="12"/>
    <n v="463.25"/>
    <n v="8"/>
    <n v="-1181.28"/>
    <x v="3"/>
    <x v="1"/>
  </r>
  <r>
    <d v="2022-04-07T00:00:00"/>
    <x v="184"/>
    <x v="0"/>
    <x v="2"/>
    <x v="9"/>
    <n v="383.95"/>
    <n v="6"/>
    <n v="47.99"/>
    <x v="3"/>
    <x v="1"/>
  </r>
  <r>
    <d v="2022-04-07T00:00:00"/>
    <x v="365"/>
    <x v="2"/>
    <x v="0"/>
    <x v="4"/>
    <n v="11.74"/>
    <n v="3"/>
    <n v="1.03"/>
    <x v="3"/>
    <x v="1"/>
  </r>
  <r>
    <d v="2022-04-07T00:00:00"/>
    <x v="218"/>
    <x v="20"/>
    <x v="0"/>
    <x v="0"/>
    <n v="25.92"/>
    <n v="4"/>
    <n v="12.44"/>
    <x v="3"/>
    <x v="1"/>
  </r>
  <r>
    <d v="2022-04-07T00:00:00"/>
    <x v="218"/>
    <x v="20"/>
    <x v="0"/>
    <x v="2"/>
    <n v="22.58"/>
    <n v="2"/>
    <n v="5.87"/>
    <x v="3"/>
    <x v="1"/>
  </r>
  <r>
    <d v="2022-04-09T00:00:00"/>
    <x v="144"/>
    <x v="3"/>
    <x v="1"/>
    <x v="13"/>
    <n v="369.91"/>
    <n v="3"/>
    <n v="-13.87"/>
    <x v="3"/>
    <x v="1"/>
  </r>
  <r>
    <d v="2022-04-09T00:00:00"/>
    <x v="260"/>
    <x v="20"/>
    <x v="0"/>
    <x v="2"/>
    <n v="17.940000000000001"/>
    <n v="3"/>
    <n v="3.05"/>
    <x v="3"/>
    <x v="1"/>
  </r>
  <r>
    <d v="2022-04-09T00:00:00"/>
    <x v="466"/>
    <x v="37"/>
    <x v="0"/>
    <x v="12"/>
    <n v="370.14"/>
    <n v="3"/>
    <n v="144.35"/>
    <x v="3"/>
    <x v="1"/>
  </r>
  <r>
    <d v="2022-04-10T00:00:00"/>
    <x v="441"/>
    <x v="3"/>
    <x v="0"/>
    <x v="3"/>
    <n v="12.83"/>
    <n v="2"/>
    <n v="4.33"/>
    <x v="3"/>
    <x v="1"/>
  </r>
  <r>
    <d v="2022-04-10T00:00:00"/>
    <x v="469"/>
    <x v="20"/>
    <x v="0"/>
    <x v="2"/>
    <n v="142.04"/>
    <n v="4"/>
    <n v="38.35"/>
    <x v="3"/>
    <x v="1"/>
  </r>
  <r>
    <d v="2022-04-10T00:00:00"/>
    <x v="469"/>
    <x v="20"/>
    <x v="0"/>
    <x v="4"/>
    <n v="14.67"/>
    <n v="3"/>
    <n v="6.01"/>
    <x v="3"/>
    <x v="1"/>
  </r>
  <r>
    <d v="2022-04-11T00:00:00"/>
    <x v="145"/>
    <x v="20"/>
    <x v="2"/>
    <x v="9"/>
    <n v="85.14"/>
    <n v="3"/>
    <n v="34.909999999999997"/>
    <x v="3"/>
    <x v="1"/>
  </r>
  <r>
    <d v="2022-04-11T00:00:00"/>
    <x v="145"/>
    <x v="20"/>
    <x v="2"/>
    <x v="6"/>
    <n v="21.99"/>
    <n v="1"/>
    <n v="10.56"/>
    <x v="3"/>
    <x v="1"/>
  </r>
  <r>
    <d v="2022-04-11T00:00:00"/>
    <x v="145"/>
    <x v="20"/>
    <x v="0"/>
    <x v="12"/>
    <n v="406.6"/>
    <n v="5"/>
    <n v="113.85"/>
    <x v="3"/>
    <x v="1"/>
  </r>
  <r>
    <d v="2022-04-11T00:00:00"/>
    <x v="378"/>
    <x v="16"/>
    <x v="1"/>
    <x v="8"/>
    <n v="67.36"/>
    <n v="2"/>
    <n v="10.1"/>
    <x v="3"/>
    <x v="1"/>
  </r>
  <r>
    <d v="2022-04-11T00:00:00"/>
    <x v="378"/>
    <x v="16"/>
    <x v="1"/>
    <x v="8"/>
    <n v="54.53"/>
    <n v="3"/>
    <n v="14.31"/>
    <x v="3"/>
    <x v="1"/>
  </r>
  <r>
    <d v="2022-04-11T00:00:00"/>
    <x v="539"/>
    <x v="3"/>
    <x v="2"/>
    <x v="16"/>
    <n v="639.97"/>
    <n v="4"/>
    <n v="215.99"/>
    <x v="3"/>
    <x v="1"/>
  </r>
  <r>
    <d v="2022-04-11T00:00:00"/>
    <x v="539"/>
    <x v="3"/>
    <x v="0"/>
    <x v="0"/>
    <n v="52.76"/>
    <n v="2"/>
    <n v="24.27"/>
    <x v="3"/>
    <x v="1"/>
  </r>
  <r>
    <d v="2022-04-12T00:00:00"/>
    <x v="629"/>
    <x v="22"/>
    <x v="0"/>
    <x v="2"/>
    <n v="40.74"/>
    <n v="3"/>
    <n v="0.41"/>
    <x v="3"/>
    <x v="1"/>
  </r>
  <r>
    <d v="2022-04-13T00:00:00"/>
    <x v="456"/>
    <x v="3"/>
    <x v="2"/>
    <x v="9"/>
    <n v="199.96"/>
    <n v="4"/>
    <n v="69.989999999999995"/>
    <x v="3"/>
    <x v="1"/>
  </r>
  <r>
    <d v="2022-04-13T00:00:00"/>
    <x v="456"/>
    <x v="3"/>
    <x v="1"/>
    <x v="13"/>
    <n v="710.83"/>
    <n v="3"/>
    <n v="-97.74"/>
    <x v="3"/>
    <x v="1"/>
  </r>
  <r>
    <d v="2022-04-13T00:00:00"/>
    <x v="630"/>
    <x v="31"/>
    <x v="0"/>
    <x v="14"/>
    <n v="12.88"/>
    <n v="1"/>
    <n v="0.39"/>
    <x v="3"/>
    <x v="1"/>
  </r>
  <r>
    <d v="2022-04-13T00:00:00"/>
    <x v="631"/>
    <x v="12"/>
    <x v="0"/>
    <x v="0"/>
    <n v="31.1"/>
    <n v="6"/>
    <n v="10.89"/>
    <x v="3"/>
    <x v="1"/>
  </r>
  <r>
    <d v="2022-04-13T00:00:00"/>
    <x v="631"/>
    <x v="12"/>
    <x v="0"/>
    <x v="0"/>
    <n v="54.82"/>
    <n v="3"/>
    <n v="17.82"/>
    <x v="3"/>
    <x v="1"/>
  </r>
  <r>
    <d v="2022-04-13T00:00:00"/>
    <x v="478"/>
    <x v="3"/>
    <x v="1"/>
    <x v="8"/>
    <n v="37.68"/>
    <n v="2"/>
    <n v="15.83"/>
    <x v="3"/>
    <x v="1"/>
  </r>
  <r>
    <d v="2022-04-13T00:00:00"/>
    <x v="478"/>
    <x v="3"/>
    <x v="2"/>
    <x v="6"/>
    <n v="258.58"/>
    <n v="2"/>
    <n v="19.39"/>
    <x v="3"/>
    <x v="1"/>
  </r>
  <r>
    <d v="2022-04-13T00:00:00"/>
    <x v="478"/>
    <x v="3"/>
    <x v="0"/>
    <x v="12"/>
    <n v="75.84"/>
    <n v="2"/>
    <n v="29.58"/>
    <x v="3"/>
    <x v="1"/>
  </r>
  <r>
    <d v="2022-04-13T00:00:00"/>
    <x v="331"/>
    <x v="40"/>
    <x v="0"/>
    <x v="3"/>
    <n v="17.43"/>
    <n v="3"/>
    <n v="8.02"/>
    <x v="3"/>
    <x v="1"/>
  </r>
  <r>
    <d v="2022-04-13T00:00:00"/>
    <x v="632"/>
    <x v="3"/>
    <x v="1"/>
    <x v="13"/>
    <n v="241.57"/>
    <n v="2"/>
    <n v="-15.1"/>
    <x v="3"/>
    <x v="1"/>
  </r>
  <r>
    <d v="2022-04-13T00:00:00"/>
    <x v="632"/>
    <x v="3"/>
    <x v="2"/>
    <x v="6"/>
    <n v="479.92"/>
    <n v="2"/>
    <n v="41.99"/>
    <x v="3"/>
    <x v="1"/>
  </r>
  <r>
    <d v="2022-04-13T00:00:00"/>
    <x v="433"/>
    <x v="12"/>
    <x v="0"/>
    <x v="2"/>
    <n v="10.74"/>
    <n v="1"/>
    <n v="0.81"/>
    <x v="3"/>
    <x v="1"/>
  </r>
  <r>
    <d v="2022-04-13T00:00:00"/>
    <x v="558"/>
    <x v="0"/>
    <x v="1"/>
    <x v="13"/>
    <n v="609.98"/>
    <n v="4"/>
    <n v="-113.28"/>
    <x v="3"/>
    <x v="1"/>
  </r>
  <r>
    <d v="2022-04-13T00:00:00"/>
    <x v="558"/>
    <x v="0"/>
    <x v="1"/>
    <x v="13"/>
    <n v="211.37"/>
    <n v="2"/>
    <n v="-45.29"/>
    <x v="3"/>
    <x v="1"/>
  </r>
  <r>
    <d v="2022-04-13T00:00:00"/>
    <x v="558"/>
    <x v="0"/>
    <x v="2"/>
    <x v="6"/>
    <n v="239.98"/>
    <n v="3"/>
    <n v="18"/>
    <x v="3"/>
    <x v="1"/>
  </r>
  <r>
    <d v="2022-04-14T00:00:00"/>
    <x v="633"/>
    <x v="11"/>
    <x v="0"/>
    <x v="12"/>
    <n v="35.21"/>
    <n v="1"/>
    <n v="2.64"/>
    <x v="3"/>
    <x v="1"/>
  </r>
  <r>
    <d v="2022-04-16T00:00:00"/>
    <x v="161"/>
    <x v="10"/>
    <x v="0"/>
    <x v="12"/>
    <n v="45.22"/>
    <n v="3"/>
    <n v="4.5199999999999996"/>
    <x v="3"/>
    <x v="1"/>
  </r>
  <r>
    <d v="2022-04-16T00:00:00"/>
    <x v="161"/>
    <x v="10"/>
    <x v="0"/>
    <x v="7"/>
    <n v="10.42"/>
    <n v="7"/>
    <n v="-2.21"/>
    <x v="3"/>
    <x v="1"/>
  </r>
  <r>
    <d v="2022-04-16T00:00:00"/>
    <x v="161"/>
    <x v="10"/>
    <x v="0"/>
    <x v="4"/>
    <n v="7.87"/>
    <n v="3"/>
    <n v="1.28"/>
    <x v="3"/>
    <x v="1"/>
  </r>
  <r>
    <d v="2022-04-16T00:00:00"/>
    <x v="161"/>
    <x v="10"/>
    <x v="2"/>
    <x v="6"/>
    <n v="118.78"/>
    <n v="3"/>
    <n v="-27.72"/>
    <x v="3"/>
    <x v="1"/>
  </r>
  <r>
    <d v="2022-04-16T00:00:00"/>
    <x v="161"/>
    <x v="10"/>
    <x v="0"/>
    <x v="7"/>
    <n v="1.45"/>
    <n v="1"/>
    <n v="0.24"/>
    <x v="3"/>
    <x v="1"/>
  </r>
  <r>
    <d v="2022-04-16T00:00:00"/>
    <x v="161"/>
    <x v="10"/>
    <x v="0"/>
    <x v="3"/>
    <n v="55.47"/>
    <n v="5"/>
    <n v="-46.23"/>
    <x v="3"/>
    <x v="1"/>
  </r>
  <r>
    <d v="2022-04-16T00:00:00"/>
    <x v="396"/>
    <x v="2"/>
    <x v="0"/>
    <x v="7"/>
    <n v="12.58"/>
    <n v="4"/>
    <n v="4.09"/>
    <x v="3"/>
    <x v="1"/>
  </r>
  <r>
    <d v="2022-04-16T00:00:00"/>
    <x v="417"/>
    <x v="1"/>
    <x v="2"/>
    <x v="16"/>
    <n v="1439.97"/>
    <n v="4"/>
    <n v="485.99"/>
    <x v="3"/>
    <x v="1"/>
  </r>
  <r>
    <d v="2022-04-16T00:00:00"/>
    <x v="417"/>
    <x v="1"/>
    <x v="2"/>
    <x v="9"/>
    <n v="43.56"/>
    <n v="3"/>
    <n v="-4.9000000000000004"/>
    <x v="3"/>
    <x v="1"/>
  </r>
  <r>
    <d v="2022-04-16T00:00:00"/>
    <x v="172"/>
    <x v="6"/>
    <x v="2"/>
    <x v="6"/>
    <n v="569.64"/>
    <n v="2"/>
    <n v="148.11000000000001"/>
    <x v="3"/>
    <x v="1"/>
  </r>
  <r>
    <d v="2022-04-16T00:00:00"/>
    <x v="172"/>
    <x v="6"/>
    <x v="0"/>
    <x v="3"/>
    <n v="9.14"/>
    <n v="1"/>
    <n v="4.57"/>
    <x v="3"/>
    <x v="1"/>
  </r>
  <r>
    <d v="2022-04-16T00:00:00"/>
    <x v="172"/>
    <x v="6"/>
    <x v="1"/>
    <x v="8"/>
    <n v="1196.8599999999999"/>
    <n v="7"/>
    <n v="119.69"/>
    <x v="3"/>
    <x v="1"/>
  </r>
  <r>
    <d v="2022-04-16T00:00:00"/>
    <x v="172"/>
    <x v="6"/>
    <x v="1"/>
    <x v="11"/>
    <n v="523.26"/>
    <n v="9"/>
    <n v="125.58"/>
    <x v="3"/>
    <x v="1"/>
  </r>
  <r>
    <d v="2022-04-16T00:00:00"/>
    <x v="491"/>
    <x v="20"/>
    <x v="1"/>
    <x v="5"/>
    <n v="127.76"/>
    <n v="2"/>
    <n v="2.84"/>
    <x v="3"/>
    <x v="1"/>
  </r>
  <r>
    <d v="2022-04-17T00:00:00"/>
    <x v="208"/>
    <x v="3"/>
    <x v="0"/>
    <x v="4"/>
    <n v="5.56"/>
    <n v="2"/>
    <n v="2.2200000000000002"/>
    <x v="3"/>
    <x v="1"/>
  </r>
  <r>
    <d v="2022-04-17T00:00:00"/>
    <x v="208"/>
    <x v="3"/>
    <x v="2"/>
    <x v="9"/>
    <n v="323.37"/>
    <n v="3"/>
    <n v="129.35"/>
    <x v="3"/>
    <x v="1"/>
  </r>
  <r>
    <d v="2022-04-17T00:00:00"/>
    <x v="208"/>
    <x v="3"/>
    <x v="2"/>
    <x v="6"/>
    <n v="783.96"/>
    <n v="5"/>
    <n v="68.599999999999994"/>
    <x v="3"/>
    <x v="1"/>
  </r>
  <r>
    <d v="2022-04-17T00:00:00"/>
    <x v="208"/>
    <x v="3"/>
    <x v="0"/>
    <x v="12"/>
    <n v="1447.65"/>
    <n v="5"/>
    <n v="419.82"/>
    <x v="3"/>
    <x v="1"/>
  </r>
  <r>
    <d v="2022-04-17T00:00:00"/>
    <x v="208"/>
    <x v="3"/>
    <x v="0"/>
    <x v="0"/>
    <n v="11.96"/>
    <n v="2"/>
    <n v="5.86"/>
    <x v="3"/>
    <x v="1"/>
  </r>
  <r>
    <d v="2022-04-17T00:00:00"/>
    <x v="401"/>
    <x v="20"/>
    <x v="2"/>
    <x v="9"/>
    <n v="99.6"/>
    <n v="1"/>
    <n v="36.85"/>
    <x v="3"/>
    <x v="1"/>
  </r>
  <r>
    <d v="2022-04-17T00:00:00"/>
    <x v="401"/>
    <x v="20"/>
    <x v="0"/>
    <x v="3"/>
    <n v="62.3"/>
    <n v="13"/>
    <n v="21.02"/>
    <x v="3"/>
    <x v="1"/>
  </r>
  <r>
    <d v="2022-04-17T00:00:00"/>
    <x v="401"/>
    <x v="20"/>
    <x v="0"/>
    <x v="4"/>
    <n v="10.71"/>
    <n v="3"/>
    <n v="2.78"/>
    <x v="3"/>
    <x v="1"/>
  </r>
  <r>
    <d v="2022-04-18T00:00:00"/>
    <x v="0"/>
    <x v="18"/>
    <x v="0"/>
    <x v="3"/>
    <n v="38.22"/>
    <n v="6"/>
    <n v="17.96"/>
    <x v="3"/>
    <x v="1"/>
  </r>
  <r>
    <d v="2022-04-18T00:00:00"/>
    <x v="0"/>
    <x v="18"/>
    <x v="0"/>
    <x v="1"/>
    <n v="75.180000000000007"/>
    <n v="6"/>
    <n v="35.33"/>
    <x v="3"/>
    <x v="1"/>
  </r>
  <r>
    <d v="2022-04-18T00:00:00"/>
    <x v="0"/>
    <x v="18"/>
    <x v="1"/>
    <x v="8"/>
    <n v="6.16"/>
    <n v="2"/>
    <n v="2.96"/>
    <x v="3"/>
    <x v="1"/>
  </r>
  <r>
    <d v="2022-04-18T00:00:00"/>
    <x v="0"/>
    <x v="18"/>
    <x v="1"/>
    <x v="5"/>
    <n v="89.99"/>
    <n v="1"/>
    <n v="17.100000000000001"/>
    <x v="3"/>
    <x v="1"/>
  </r>
  <r>
    <d v="2022-04-18T00:00:00"/>
    <x v="439"/>
    <x v="8"/>
    <x v="2"/>
    <x v="9"/>
    <n v="106.5"/>
    <n v="6"/>
    <n v="41.54"/>
    <x v="3"/>
    <x v="1"/>
  </r>
  <r>
    <d v="2022-04-18T00:00:00"/>
    <x v="334"/>
    <x v="20"/>
    <x v="0"/>
    <x v="1"/>
    <n v="21.93"/>
    <n v="3"/>
    <n v="10.31"/>
    <x v="3"/>
    <x v="1"/>
  </r>
  <r>
    <d v="2022-04-18T00:00:00"/>
    <x v="354"/>
    <x v="3"/>
    <x v="0"/>
    <x v="2"/>
    <n v="947.17"/>
    <n v="7"/>
    <n v="9.4700000000000006"/>
    <x v="3"/>
    <x v="1"/>
  </r>
  <r>
    <d v="2022-04-18T00:00:00"/>
    <x v="354"/>
    <x v="3"/>
    <x v="0"/>
    <x v="0"/>
    <n v="61.96"/>
    <n v="2"/>
    <n v="27.88"/>
    <x v="3"/>
    <x v="1"/>
  </r>
  <r>
    <d v="2022-04-18T00:00:00"/>
    <x v="180"/>
    <x v="3"/>
    <x v="0"/>
    <x v="2"/>
    <n v="115.44"/>
    <n v="3"/>
    <n v="30.01"/>
    <x v="3"/>
    <x v="1"/>
  </r>
  <r>
    <d v="2022-04-18T00:00:00"/>
    <x v="634"/>
    <x v="0"/>
    <x v="2"/>
    <x v="9"/>
    <n v="41.42"/>
    <n v="2"/>
    <n v="8.2799999999999994"/>
    <x v="3"/>
    <x v="1"/>
  </r>
  <r>
    <d v="2022-04-18T00:00:00"/>
    <x v="634"/>
    <x v="0"/>
    <x v="2"/>
    <x v="6"/>
    <n v="244.77"/>
    <n v="4"/>
    <n v="24.48"/>
    <x v="3"/>
    <x v="1"/>
  </r>
  <r>
    <d v="2022-04-18T00:00:00"/>
    <x v="634"/>
    <x v="0"/>
    <x v="0"/>
    <x v="4"/>
    <n v="74.349999999999994"/>
    <n v="3"/>
    <n v="6.51"/>
    <x v="3"/>
    <x v="1"/>
  </r>
  <r>
    <d v="2022-04-18T00:00:00"/>
    <x v="634"/>
    <x v="0"/>
    <x v="0"/>
    <x v="3"/>
    <n v="4.3099999999999996"/>
    <n v="2"/>
    <n v="-6.9"/>
    <x v="3"/>
    <x v="1"/>
  </r>
  <r>
    <d v="2022-04-18T00:00:00"/>
    <x v="634"/>
    <x v="0"/>
    <x v="1"/>
    <x v="5"/>
    <n v="56.69"/>
    <n v="1"/>
    <n v="-20.25"/>
    <x v="3"/>
    <x v="1"/>
  </r>
  <r>
    <d v="2022-04-18T00:00:00"/>
    <x v="634"/>
    <x v="0"/>
    <x v="2"/>
    <x v="6"/>
    <n v="97.97"/>
    <n v="2"/>
    <n v="6.12"/>
    <x v="3"/>
    <x v="1"/>
  </r>
  <r>
    <d v="2022-04-18T00:00:00"/>
    <x v="634"/>
    <x v="0"/>
    <x v="0"/>
    <x v="4"/>
    <n v="7.87"/>
    <n v="3"/>
    <n v="0.89"/>
    <x v="3"/>
    <x v="1"/>
  </r>
  <r>
    <d v="2022-04-18T00:00:00"/>
    <x v="634"/>
    <x v="0"/>
    <x v="0"/>
    <x v="0"/>
    <n v="15.55"/>
    <n v="3"/>
    <n v="5.44"/>
    <x v="3"/>
    <x v="1"/>
  </r>
  <r>
    <d v="2022-04-18T00:00:00"/>
    <x v="634"/>
    <x v="0"/>
    <x v="0"/>
    <x v="3"/>
    <n v="1.48"/>
    <n v="1"/>
    <n v="-2.29"/>
    <x v="3"/>
    <x v="1"/>
  </r>
  <r>
    <d v="2022-04-19T00:00:00"/>
    <x v="190"/>
    <x v="0"/>
    <x v="0"/>
    <x v="12"/>
    <n v="19.57"/>
    <n v="2"/>
    <n v="-52.83"/>
    <x v="3"/>
    <x v="1"/>
  </r>
  <r>
    <d v="2022-04-19T00:00:00"/>
    <x v="190"/>
    <x v="0"/>
    <x v="0"/>
    <x v="3"/>
    <n v="310.39"/>
    <n v="4"/>
    <n v="-512.15"/>
    <x v="3"/>
    <x v="1"/>
  </r>
  <r>
    <d v="2022-04-20T00:00:00"/>
    <x v="161"/>
    <x v="4"/>
    <x v="2"/>
    <x v="6"/>
    <n v="287.97000000000003"/>
    <n v="3"/>
    <n v="77.75"/>
    <x v="3"/>
    <x v="1"/>
  </r>
  <r>
    <d v="2022-04-20T00:00:00"/>
    <x v="161"/>
    <x v="4"/>
    <x v="1"/>
    <x v="8"/>
    <n v="595.38"/>
    <n v="6"/>
    <n v="297.69"/>
    <x v="3"/>
    <x v="1"/>
  </r>
  <r>
    <d v="2022-04-20T00:00:00"/>
    <x v="161"/>
    <x v="4"/>
    <x v="0"/>
    <x v="0"/>
    <n v="12.96"/>
    <n v="2"/>
    <n v="6.22"/>
    <x v="3"/>
    <x v="1"/>
  </r>
  <r>
    <d v="2022-04-20T00:00:00"/>
    <x v="414"/>
    <x v="0"/>
    <x v="0"/>
    <x v="0"/>
    <n v="117.46"/>
    <n v="3"/>
    <n v="44.05"/>
    <x v="3"/>
    <x v="1"/>
  </r>
  <r>
    <d v="2022-04-20T00:00:00"/>
    <x v="635"/>
    <x v="14"/>
    <x v="0"/>
    <x v="10"/>
    <n v="180.96"/>
    <n v="2"/>
    <n v="81.430000000000007"/>
    <x v="3"/>
    <x v="1"/>
  </r>
  <r>
    <d v="2022-04-21T00:00:00"/>
    <x v="636"/>
    <x v="5"/>
    <x v="1"/>
    <x v="5"/>
    <n v="191.96"/>
    <n v="2"/>
    <n v="51.83"/>
    <x v="3"/>
    <x v="1"/>
  </r>
  <r>
    <d v="2022-04-21T00:00:00"/>
    <x v="636"/>
    <x v="5"/>
    <x v="0"/>
    <x v="3"/>
    <n v="21.3"/>
    <n v="3"/>
    <n v="9.8000000000000007"/>
    <x v="3"/>
    <x v="1"/>
  </r>
  <r>
    <d v="2022-04-21T00:00:00"/>
    <x v="636"/>
    <x v="5"/>
    <x v="2"/>
    <x v="6"/>
    <n v="469.95"/>
    <n v="5"/>
    <n v="131.59"/>
    <x v="3"/>
    <x v="1"/>
  </r>
  <r>
    <d v="2022-04-21T00:00:00"/>
    <x v="636"/>
    <x v="5"/>
    <x v="1"/>
    <x v="8"/>
    <n v="209.88"/>
    <n v="3"/>
    <n v="35.68"/>
    <x v="3"/>
    <x v="1"/>
  </r>
  <r>
    <d v="2022-04-22T00:00:00"/>
    <x v="86"/>
    <x v="3"/>
    <x v="2"/>
    <x v="6"/>
    <n v="88.78"/>
    <n v="3"/>
    <n v="7.77"/>
    <x v="3"/>
    <x v="1"/>
  </r>
  <r>
    <d v="2022-04-22T00:00:00"/>
    <x v="86"/>
    <x v="3"/>
    <x v="0"/>
    <x v="4"/>
    <n v="64.14"/>
    <n v="3"/>
    <n v="16.68"/>
    <x v="3"/>
    <x v="1"/>
  </r>
  <r>
    <d v="2022-04-24T00:00:00"/>
    <x v="35"/>
    <x v="20"/>
    <x v="0"/>
    <x v="4"/>
    <n v="25.99"/>
    <n v="1"/>
    <n v="7.54"/>
    <x v="3"/>
    <x v="1"/>
  </r>
  <r>
    <d v="2022-04-25T00:00:00"/>
    <x v="65"/>
    <x v="3"/>
    <x v="0"/>
    <x v="3"/>
    <n v="13.94"/>
    <n v="3"/>
    <n v="4.53"/>
    <x v="3"/>
    <x v="1"/>
  </r>
  <r>
    <d v="2022-04-25T00:00:00"/>
    <x v="315"/>
    <x v="20"/>
    <x v="0"/>
    <x v="12"/>
    <n v="206.43"/>
    <n v="3"/>
    <n v="90.83"/>
    <x v="3"/>
    <x v="1"/>
  </r>
  <r>
    <d v="2022-04-25T00:00:00"/>
    <x v="603"/>
    <x v="21"/>
    <x v="0"/>
    <x v="4"/>
    <n v="57.75"/>
    <n v="5"/>
    <n v="16.170000000000002"/>
    <x v="3"/>
    <x v="1"/>
  </r>
  <r>
    <d v="2022-04-25T00:00:00"/>
    <x v="603"/>
    <x v="21"/>
    <x v="0"/>
    <x v="12"/>
    <n v="272.39999999999998"/>
    <n v="5"/>
    <n v="76.27"/>
    <x v="3"/>
    <x v="1"/>
  </r>
  <r>
    <d v="2022-04-25T00:00:00"/>
    <x v="456"/>
    <x v="1"/>
    <x v="0"/>
    <x v="2"/>
    <n v="221.02"/>
    <n v="2"/>
    <n v="-55.26"/>
    <x v="3"/>
    <x v="1"/>
  </r>
  <r>
    <d v="2022-04-25T00:00:00"/>
    <x v="456"/>
    <x v="1"/>
    <x v="1"/>
    <x v="5"/>
    <n v="128.06"/>
    <n v="3"/>
    <n v="-23.78"/>
    <x v="3"/>
    <x v="1"/>
  </r>
  <r>
    <d v="2022-04-25T00:00:00"/>
    <x v="637"/>
    <x v="3"/>
    <x v="0"/>
    <x v="10"/>
    <n v="21.34"/>
    <n v="2"/>
    <n v="9.82"/>
    <x v="3"/>
    <x v="1"/>
  </r>
  <r>
    <d v="2022-04-26T00:00:00"/>
    <x v="264"/>
    <x v="15"/>
    <x v="1"/>
    <x v="5"/>
    <n v="831.94"/>
    <n v="8"/>
    <n v="-114.39"/>
    <x v="3"/>
    <x v="1"/>
  </r>
  <r>
    <d v="2022-04-26T00:00:00"/>
    <x v="264"/>
    <x v="15"/>
    <x v="1"/>
    <x v="8"/>
    <n v="97.04"/>
    <n v="2"/>
    <n v="1.21"/>
    <x v="3"/>
    <x v="1"/>
  </r>
  <r>
    <d v="2022-04-26T00:00:00"/>
    <x v="264"/>
    <x v="15"/>
    <x v="0"/>
    <x v="2"/>
    <n v="72.78"/>
    <n v="1"/>
    <n v="-18.2"/>
    <x v="3"/>
    <x v="1"/>
  </r>
  <r>
    <d v="2022-04-26T00:00:00"/>
    <x v="517"/>
    <x v="0"/>
    <x v="1"/>
    <x v="5"/>
    <n v="408.42"/>
    <n v="2"/>
    <n v="-5.83"/>
    <x v="3"/>
    <x v="1"/>
  </r>
  <r>
    <d v="2022-04-26T00:00:00"/>
    <x v="620"/>
    <x v="3"/>
    <x v="1"/>
    <x v="5"/>
    <n v="63.94"/>
    <n v="3"/>
    <n v="6.39"/>
    <x v="3"/>
    <x v="1"/>
  </r>
  <r>
    <d v="2022-04-26T00:00:00"/>
    <x v="620"/>
    <x v="3"/>
    <x v="0"/>
    <x v="4"/>
    <n v="59.52"/>
    <n v="3"/>
    <n v="15.48"/>
    <x v="3"/>
    <x v="1"/>
  </r>
  <r>
    <d v="2022-04-26T00:00:00"/>
    <x v="620"/>
    <x v="3"/>
    <x v="2"/>
    <x v="6"/>
    <n v="311.98"/>
    <n v="3"/>
    <n v="39"/>
    <x v="3"/>
    <x v="1"/>
  </r>
  <r>
    <d v="2022-04-26T00:00:00"/>
    <x v="620"/>
    <x v="3"/>
    <x v="0"/>
    <x v="3"/>
    <n v="50.35"/>
    <n v="3"/>
    <n v="17.62"/>
    <x v="3"/>
    <x v="1"/>
  </r>
  <r>
    <d v="2022-04-26T00:00:00"/>
    <x v="52"/>
    <x v="16"/>
    <x v="1"/>
    <x v="13"/>
    <n v="191.52"/>
    <n v="1"/>
    <n v="-76.61"/>
    <x v="3"/>
    <x v="1"/>
  </r>
  <r>
    <d v="2022-04-26T00:00:00"/>
    <x v="52"/>
    <x v="16"/>
    <x v="0"/>
    <x v="4"/>
    <n v="2.62"/>
    <n v="1"/>
    <n v="0.43"/>
    <x v="3"/>
    <x v="1"/>
  </r>
  <r>
    <d v="2022-04-27T00:00:00"/>
    <x v="217"/>
    <x v="44"/>
    <x v="0"/>
    <x v="4"/>
    <n v="22.74"/>
    <n v="3"/>
    <n v="8.8699999999999992"/>
    <x v="3"/>
    <x v="1"/>
  </r>
  <r>
    <d v="2022-04-27T00:00:00"/>
    <x v="217"/>
    <x v="44"/>
    <x v="1"/>
    <x v="5"/>
    <n v="1267.53"/>
    <n v="3"/>
    <n v="316.88"/>
    <x v="3"/>
    <x v="1"/>
  </r>
  <r>
    <d v="2022-04-27T00:00:00"/>
    <x v="217"/>
    <x v="44"/>
    <x v="2"/>
    <x v="15"/>
    <n v="1379.92"/>
    <n v="8"/>
    <n v="648.55999999999995"/>
    <x v="3"/>
    <x v="1"/>
  </r>
  <r>
    <d v="2022-04-27T00:00:00"/>
    <x v="529"/>
    <x v="26"/>
    <x v="0"/>
    <x v="12"/>
    <n v="43.56"/>
    <n v="5"/>
    <n v="3.27"/>
    <x v="3"/>
    <x v="1"/>
  </r>
  <r>
    <d v="2022-04-27T00:00:00"/>
    <x v="529"/>
    <x v="26"/>
    <x v="0"/>
    <x v="14"/>
    <n v="5.84"/>
    <n v="2"/>
    <n v="0.73"/>
    <x v="3"/>
    <x v="1"/>
  </r>
  <r>
    <d v="2022-04-28T00:00:00"/>
    <x v="277"/>
    <x v="0"/>
    <x v="0"/>
    <x v="12"/>
    <n v="8.65"/>
    <n v="3"/>
    <n v="-20.329999999999998"/>
    <x v="3"/>
    <x v="1"/>
  </r>
  <r>
    <d v="2022-04-28T00:00:00"/>
    <x v="277"/>
    <x v="0"/>
    <x v="0"/>
    <x v="2"/>
    <n v="23.83"/>
    <n v="3"/>
    <n v="2.68"/>
    <x v="3"/>
    <x v="1"/>
  </r>
  <r>
    <d v="2022-04-28T00:00:00"/>
    <x v="277"/>
    <x v="0"/>
    <x v="0"/>
    <x v="3"/>
    <n v="12.18"/>
    <n v="4"/>
    <n v="-18.87"/>
    <x v="3"/>
    <x v="1"/>
  </r>
  <r>
    <d v="2022-04-28T00:00:00"/>
    <x v="26"/>
    <x v="14"/>
    <x v="0"/>
    <x v="12"/>
    <n v="186.73"/>
    <n v="1"/>
    <n v="41.5"/>
    <x v="3"/>
    <x v="1"/>
  </r>
  <r>
    <d v="2022-04-28T00:00:00"/>
    <x v="26"/>
    <x v="14"/>
    <x v="0"/>
    <x v="3"/>
    <n v="3812.97"/>
    <n v="3"/>
    <n v="1906.49"/>
    <x v="3"/>
    <x v="1"/>
  </r>
  <r>
    <d v="2022-04-29T00:00:00"/>
    <x v="412"/>
    <x v="2"/>
    <x v="0"/>
    <x v="0"/>
    <n v="7.97"/>
    <n v="2"/>
    <n v="2.89"/>
    <x v="3"/>
    <x v="1"/>
  </r>
  <r>
    <d v="2022-04-30T00:00:00"/>
    <x v="152"/>
    <x v="1"/>
    <x v="1"/>
    <x v="5"/>
    <n v="213.12"/>
    <n v="5"/>
    <n v="-15.22"/>
    <x v="3"/>
    <x v="1"/>
  </r>
  <r>
    <d v="2022-04-30T00:00:00"/>
    <x v="157"/>
    <x v="10"/>
    <x v="2"/>
    <x v="6"/>
    <n v="1022.97"/>
    <n v="5"/>
    <n v="-255.74"/>
    <x v="3"/>
    <x v="1"/>
  </r>
  <r>
    <d v="2022-04-30T00:00:00"/>
    <x v="127"/>
    <x v="3"/>
    <x v="0"/>
    <x v="4"/>
    <n v="34.65"/>
    <n v="3"/>
    <n v="9.6999999999999993"/>
    <x v="3"/>
    <x v="1"/>
  </r>
  <r>
    <d v="2022-04-30T00:00:00"/>
    <x v="127"/>
    <x v="3"/>
    <x v="2"/>
    <x v="6"/>
    <n v="19.8"/>
    <n v="5"/>
    <n v="1.73"/>
    <x v="3"/>
    <x v="1"/>
  </r>
  <r>
    <d v="2022-04-30T00:00:00"/>
    <x v="638"/>
    <x v="32"/>
    <x v="1"/>
    <x v="8"/>
    <n v="31.4"/>
    <n v="5"/>
    <n v="13.19"/>
    <x v="3"/>
    <x v="1"/>
  </r>
  <r>
    <d v="2022-04-30T00:00:00"/>
    <x v="638"/>
    <x v="32"/>
    <x v="1"/>
    <x v="8"/>
    <n v="9.48"/>
    <n v="1"/>
    <n v="3.79"/>
    <x v="3"/>
    <x v="1"/>
  </r>
  <r>
    <d v="2022-04-30T00:00:00"/>
    <x v="638"/>
    <x v="32"/>
    <x v="2"/>
    <x v="6"/>
    <n v="209.5"/>
    <n v="10"/>
    <n v="58.66"/>
    <x v="3"/>
    <x v="1"/>
  </r>
  <r>
    <d v="2022-04-30T00:00:00"/>
    <x v="638"/>
    <x v="32"/>
    <x v="1"/>
    <x v="8"/>
    <n v="24.3"/>
    <n v="5"/>
    <n v="10.45"/>
    <x v="3"/>
    <x v="1"/>
  </r>
  <r>
    <d v="2022-04-30T00:00:00"/>
    <x v="638"/>
    <x v="32"/>
    <x v="0"/>
    <x v="0"/>
    <n v="6.48"/>
    <n v="1"/>
    <n v="3.11"/>
    <x v="3"/>
    <x v="1"/>
  </r>
  <r>
    <d v="2022-05-01T00:00:00"/>
    <x v="403"/>
    <x v="3"/>
    <x v="2"/>
    <x v="6"/>
    <n v="88.75"/>
    <n v="3"/>
    <n v="11.09"/>
    <x v="4"/>
    <x v="1"/>
  </r>
  <r>
    <d v="2022-05-01T00:00:00"/>
    <x v="639"/>
    <x v="16"/>
    <x v="1"/>
    <x v="8"/>
    <n v="63.55"/>
    <n v="3"/>
    <n v="14.3"/>
    <x v="4"/>
    <x v="1"/>
  </r>
  <r>
    <d v="2022-05-01T00:00:00"/>
    <x v="639"/>
    <x v="16"/>
    <x v="0"/>
    <x v="14"/>
    <n v="41.38"/>
    <n v="3"/>
    <n v="4.6500000000000004"/>
    <x v="4"/>
    <x v="1"/>
  </r>
  <r>
    <d v="2022-05-01T00:00:00"/>
    <x v="639"/>
    <x v="16"/>
    <x v="0"/>
    <x v="4"/>
    <n v="172.7"/>
    <n v="6"/>
    <n v="10.79"/>
    <x v="4"/>
    <x v="1"/>
  </r>
  <r>
    <d v="2022-05-01T00:00:00"/>
    <x v="487"/>
    <x v="3"/>
    <x v="0"/>
    <x v="3"/>
    <n v="12.18"/>
    <n v="1"/>
    <n v="4.41"/>
    <x v="4"/>
    <x v="1"/>
  </r>
  <r>
    <d v="2022-05-01T00:00:00"/>
    <x v="487"/>
    <x v="3"/>
    <x v="0"/>
    <x v="2"/>
    <n v="37.32"/>
    <n v="3"/>
    <n v="10.45"/>
    <x v="4"/>
    <x v="1"/>
  </r>
  <r>
    <d v="2022-05-01T00:00:00"/>
    <x v="487"/>
    <x v="3"/>
    <x v="0"/>
    <x v="14"/>
    <n v="35.06"/>
    <n v="2"/>
    <n v="10.52"/>
    <x v="4"/>
    <x v="1"/>
  </r>
  <r>
    <d v="2022-05-02T00:00:00"/>
    <x v="479"/>
    <x v="0"/>
    <x v="0"/>
    <x v="1"/>
    <n v="8.86"/>
    <n v="3"/>
    <n v="2.99"/>
    <x v="4"/>
    <x v="1"/>
  </r>
  <r>
    <d v="2022-05-02T00:00:00"/>
    <x v="479"/>
    <x v="0"/>
    <x v="2"/>
    <x v="6"/>
    <n v="158.38"/>
    <n v="3"/>
    <n v="13.86"/>
    <x v="4"/>
    <x v="1"/>
  </r>
  <r>
    <d v="2022-05-03T00:00:00"/>
    <x v="640"/>
    <x v="3"/>
    <x v="1"/>
    <x v="8"/>
    <n v="665.88"/>
    <n v="6"/>
    <n v="106.54"/>
    <x v="4"/>
    <x v="1"/>
  </r>
  <r>
    <d v="2022-05-03T00:00:00"/>
    <x v="149"/>
    <x v="2"/>
    <x v="0"/>
    <x v="4"/>
    <n v="59.9"/>
    <n v="2"/>
    <n v="14.23"/>
    <x v="4"/>
    <x v="1"/>
  </r>
  <r>
    <d v="2022-05-03T00:00:00"/>
    <x v="149"/>
    <x v="2"/>
    <x v="0"/>
    <x v="12"/>
    <n v="23.7"/>
    <n v="2"/>
    <n v="6.52"/>
    <x v="4"/>
    <x v="1"/>
  </r>
  <r>
    <d v="2022-05-03T00:00:00"/>
    <x v="149"/>
    <x v="2"/>
    <x v="0"/>
    <x v="0"/>
    <n v="7.97"/>
    <n v="2"/>
    <n v="2.89"/>
    <x v="4"/>
    <x v="1"/>
  </r>
  <r>
    <d v="2022-05-03T00:00:00"/>
    <x v="149"/>
    <x v="2"/>
    <x v="0"/>
    <x v="12"/>
    <n v="18.2"/>
    <n v="7"/>
    <n v="2.0499999999999998"/>
    <x v="4"/>
    <x v="1"/>
  </r>
  <r>
    <d v="2022-05-03T00:00:00"/>
    <x v="149"/>
    <x v="2"/>
    <x v="2"/>
    <x v="9"/>
    <n v="27.55"/>
    <n v="3"/>
    <n v="-0.34"/>
    <x v="4"/>
    <x v="1"/>
  </r>
  <r>
    <d v="2022-05-03T00:00:00"/>
    <x v="149"/>
    <x v="2"/>
    <x v="1"/>
    <x v="5"/>
    <n v="844.12"/>
    <n v="6"/>
    <n v="-36.18"/>
    <x v="4"/>
    <x v="1"/>
  </r>
  <r>
    <d v="2022-05-03T00:00:00"/>
    <x v="149"/>
    <x v="2"/>
    <x v="0"/>
    <x v="2"/>
    <n v="76.75"/>
    <n v="3"/>
    <n v="-9.59"/>
    <x v="4"/>
    <x v="1"/>
  </r>
  <r>
    <d v="2022-05-03T00:00:00"/>
    <x v="641"/>
    <x v="3"/>
    <x v="0"/>
    <x v="4"/>
    <n v="8.82"/>
    <n v="3"/>
    <n v="2.56"/>
    <x v="4"/>
    <x v="1"/>
  </r>
  <r>
    <d v="2022-05-03T00:00:00"/>
    <x v="641"/>
    <x v="3"/>
    <x v="0"/>
    <x v="3"/>
    <n v="62.5"/>
    <n v="2"/>
    <n v="21.87"/>
    <x v="4"/>
    <x v="1"/>
  </r>
  <r>
    <d v="2022-05-03T00:00:00"/>
    <x v="641"/>
    <x v="3"/>
    <x v="2"/>
    <x v="9"/>
    <n v="339.96"/>
    <n v="4"/>
    <n v="122.39"/>
    <x v="4"/>
    <x v="1"/>
  </r>
  <r>
    <d v="2022-05-03T00:00:00"/>
    <x v="641"/>
    <x v="3"/>
    <x v="0"/>
    <x v="3"/>
    <n v="49.57"/>
    <n v="2"/>
    <n v="17.350000000000001"/>
    <x v="4"/>
    <x v="1"/>
  </r>
  <r>
    <d v="2022-05-03T00:00:00"/>
    <x v="155"/>
    <x v="3"/>
    <x v="0"/>
    <x v="3"/>
    <n v="13.85"/>
    <n v="3"/>
    <n v="5.19"/>
    <x v="4"/>
    <x v="1"/>
  </r>
  <r>
    <d v="2022-05-04T00:00:00"/>
    <x v="464"/>
    <x v="20"/>
    <x v="1"/>
    <x v="8"/>
    <n v="26.8"/>
    <n v="2"/>
    <n v="12.86"/>
    <x v="4"/>
    <x v="1"/>
  </r>
  <r>
    <d v="2022-05-04T00:00:00"/>
    <x v="174"/>
    <x v="1"/>
    <x v="1"/>
    <x v="8"/>
    <n v="22.29"/>
    <n v="7"/>
    <n v="-8.92"/>
    <x v="4"/>
    <x v="1"/>
  </r>
  <r>
    <d v="2022-05-04T00:00:00"/>
    <x v="123"/>
    <x v="0"/>
    <x v="2"/>
    <x v="6"/>
    <n v="946.34"/>
    <n v="7"/>
    <n v="118.29"/>
    <x v="4"/>
    <x v="1"/>
  </r>
  <r>
    <d v="2022-05-04T00:00:00"/>
    <x v="642"/>
    <x v="18"/>
    <x v="0"/>
    <x v="4"/>
    <n v="125.93"/>
    <n v="7"/>
    <n v="35.26"/>
    <x v="4"/>
    <x v="1"/>
  </r>
  <r>
    <d v="2022-05-07T00:00:00"/>
    <x v="643"/>
    <x v="0"/>
    <x v="1"/>
    <x v="13"/>
    <n v="244.01"/>
    <n v="2"/>
    <n v="-31.37"/>
    <x v="4"/>
    <x v="1"/>
  </r>
  <r>
    <d v="2022-05-07T00:00:00"/>
    <x v="643"/>
    <x v="0"/>
    <x v="0"/>
    <x v="0"/>
    <n v="15.94"/>
    <n v="4"/>
    <n v="5.38"/>
    <x v="4"/>
    <x v="1"/>
  </r>
  <r>
    <d v="2022-05-07T00:00:00"/>
    <x v="393"/>
    <x v="5"/>
    <x v="0"/>
    <x v="0"/>
    <n v="45.68"/>
    <n v="2"/>
    <n v="21.01"/>
    <x v="4"/>
    <x v="1"/>
  </r>
  <r>
    <d v="2022-05-08T00:00:00"/>
    <x v="595"/>
    <x v="10"/>
    <x v="1"/>
    <x v="8"/>
    <n v="8.35"/>
    <n v="6"/>
    <n v="1.25"/>
    <x v="4"/>
    <x v="1"/>
  </r>
  <r>
    <d v="2022-05-08T00:00:00"/>
    <x v="158"/>
    <x v="11"/>
    <x v="0"/>
    <x v="4"/>
    <n v="5.25"/>
    <n v="2"/>
    <n v="0.59"/>
    <x v="4"/>
    <x v="1"/>
  </r>
  <r>
    <d v="2022-05-08T00:00:00"/>
    <x v="392"/>
    <x v="28"/>
    <x v="0"/>
    <x v="3"/>
    <n v="43.98"/>
    <n v="2"/>
    <n v="21.99"/>
    <x v="4"/>
    <x v="1"/>
  </r>
  <r>
    <d v="2022-05-08T00:00:00"/>
    <x v="392"/>
    <x v="28"/>
    <x v="2"/>
    <x v="6"/>
    <n v="377.97"/>
    <n v="3"/>
    <n v="105.83"/>
    <x v="4"/>
    <x v="1"/>
  </r>
  <r>
    <d v="2022-05-08T00:00:00"/>
    <x v="392"/>
    <x v="28"/>
    <x v="1"/>
    <x v="8"/>
    <n v="123.96"/>
    <n v="3"/>
    <n v="11.16"/>
    <x v="4"/>
    <x v="1"/>
  </r>
  <r>
    <d v="2022-05-08T00:00:00"/>
    <x v="314"/>
    <x v="20"/>
    <x v="0"/>
    <x v="0"/>
    <n v="37.94"/>
    <n v="2"/>
    <n v="18.21"/>
    <x v="4"/>
    <x v="1"/>
  </r>
  <r>
    <d v="2022-05-08T00:00:00"/>
    <x v="262"/>
    <x v="20"/>
    <x v="1"/>
    <x v="8"/>
    <n v="79.44"/>
    <n v="3"/>
    <n v="30.19"/>
    <x v="4"/>
    <x v="1"/>
  </r>
  <r>
    <d v="2022-05-08T00:00:00"/>
    <x v="262"/>
    <x v="20"/>
    <x v="0"/>
    <x v="14"/>
    <n v="357.93"/>
    <n v="3"/>
    <n v="7.16"/>
    <x v="4"/>
    <x v="1"/>
  </r>
  <r>
    <d v="2022-05-08T00:00:00"/>
    <x v="262"/>
    <x v="20"/>
    <x v="1"/>
    <x v="5"/>
    <n v="127.76"/>
    <n v="2"/>
    <n v="21.29"/>
    <x v="4"/>
    <x v="1"/>
  </r>
  <r>
    <d v="2022-05-08T00:00:00"/>
    <x v="262"/>
    <x v="20"/>
    <x v="2"/>
    <x v="16"/>
    <n v="2799.94"/>
    <n v="7"/>
    <n v="1014.98"/>
    <x v="4"/>
    <x v="1"/>
  </r>
  <r>
    <d v="2022-05-08T00:00:00"/>
    <x v="262"/>
    <x v="20"/>
    <x v="0"/>
    <x v="0"/>
    <n v="19.440000000000001"/>
    <n v="3"/>
    <n v="9.33"/>
    <x v="4"/>
    <x v="1"/>
  </r>
  <r>
    <d v="2022-05-09T00:00:00"/>
    <x v="297"/>
    <x v="5"/>
    <x v="0"/>
    <x v="3"/>
    <n v="48.81"/>
    <n v="3"/>
    <n v="23.92"/>
    <x v="4"/>
    <x v="1"/>
  </r>
  <r>
    <d v="2022-05-10T00:00:00"/>
    <x v="285"/>
    <x v="1"/>
    <x v="0"/>
    <x v="12"/>
    <n v="70.97"/>
    <n v="5"/>
    <n v="-191.62"/>
    <x v="4"/>
    <x v="1"/>
  </r>
  <r>
    <d v="2022-05-10T00:00:00"/>
    <x v="285"/>
    <x v="1"/>
    <x v="0"/>
    <x v="4"/>
    <n v="36.78"/>
    <n v="2"/>
    <n v="3.68"/>
    <x v="4"/>
    <x v="1"/>
  </r>
  <r>
    <d v="2022-05-10T00:00:00"/>
    <x v="513"/>
    <x v="26"/>
    <x v="2"/>
    <x v="9"/>
    <n v="46.69"/>
    <n v="4"/>
    <n v="-2.92"/>
    <x v="4"/>
    <x v="1"/>
  </r>
  <r>
    <d v="2022-05-11T00:00:00"/>
    <x v="152"/>
    <x v="12"/>
    <x v="1"/>
    <x v="5"/>
    <n v="191.97"/>
    <n v="7"/>
    <n v="16.8"/>
    <x v="4"/>
    <x v="1"/>
  </r>
  <r>
    <d v="2022-05-12T00:00:00"/>
    <x v="106"/>
    <x v="3"/>
    <x v="0"/>
    <x v="0"/>
    <n v="12.84"/>
    <n v="3"/>
    <n v="5.78"/>
    <x v="4"/>
    <x v="1"/>
  </r>
  <r>
    <d v="2022-05-12T00:00:00"/>
    <x v="106"/>
    <x v="3"/>
    <x v="0"/>
    <x v="0"/>
    <n v="25.68"/>
    <n v="6"/>
    <n v="11.56"/>
    <x v="4"/>
    <x v="1"/>
  </r>
  <r>
    <d v="2022-05-12T00:00:00"/>
    <x v="374"/>
    <x v="26"/>
    <x v="2"/>
    <x v="6"/>
    <n v="201.58"/>
    <n v="2"/>
    <n v="20.16"/>
    <x v="4"/>
    <x v="1"/>
  </r>
  <r>
    <d v="2022-05-12T00:00:00"/>
    <x v="86"/>
    <x v="20"/>
    <x v="0"/>
    <x v="2"/>
    <n v="36.630000000000003"/>
    <n v="3"/>
    <n v="9.89"/>
    <x v="4"/>
    <x v="1"/>
  </r>
  <r>
    <d v="2022-05-12T00:00:00"/>
    <x v="644"/>
    <x v="22"/>
    <x v="0"/>
    <x v="3"/>
    <n v="14.59"/>
    <n v="3"/>
    <n v="4.92"/>
    <x v="4"/>
    <x v="1"/>
  </r>
  <r>
    <d v="2022-05-12T00:00:00"/>
    <x v="229"/>
    <x v="0"/>
    <x v="1"/>
    <x v="8"/>
    <n v="21.97"/>
    <n v="4"/>
    <n v="-15.93"/>
    <x v="4"/>
    <x v="1"/>
  </r>
  <r>
    <d v="2022-05-12T00:00:00"/>
    <x v="229"/>
    <x v="0"/>
    <x v="2"/>
    <x v="6"/>
    <n v="619.15"/>
    <n v="6"/>
    <n v="69.650000000000006"/>
    <x v="4"/>
    <x v="1"/>
  </r>
  <r>
    <d v="2022-05-12T00:00:00"/>
    <x v="229"/>
    <x v="0"/>
    <x v="0"/>
    <x v="0"/>
    <n v="127.9"/>
    <n v="7"/>
    <n v="41.57"/>
    <x v="4"/>
    <x v="1"/>
  </r>
  <r>
    <d v="2022-05-13T00:00:00"/>
    <x v="151"/>
    <x v="1"/>
    <x v="2"/>
    <x v="6"/>
    <n v="222.38"/>
    <n v="2"/>
    <n v="16.68"/>
    <x v="4"/>
    <x v="1"/>
  </r>
  <r>
    <d v="2022-05-13T00:00:00"/>
    <x v="151"/>
    <x v="1"/>
    <x v="0"/>
    <x v="7"/>
    <n v="16"/>
    <n v="4"/>
    <n v="5.6"/>
    <x v="4"/>
    <x v="1"/>
  </r>
  <r>
    <d v="2022-05-14T00:00:00"/>
    <x v="618"/>
    <x v="2"/>
    <x v="0"/>
    <x v="4"/>
    <n v="198.27"/>
    <n v="8"/>
    <n v="17.350000000000001"/>
    <x v="4"/>
    <x v="1"/>
  </r>
  <r>
    <d v="2022-05-14T00:00:00"/>
    <x v="618"/>
    <x v="2"/>
    <x v="0"/>
    <x v="1"/>
    <n v="47.36"/>
    <n v="4"/>
    <n v="17.760000000000002"/>
    <x v="4"/>
    <x v="1"/>
  </r>
  <r>
    <d v="2022-05-14T00:00:00"/>
    <x v="618"/>
    <x v="2"/>
    <x v="0"/>
    <x v="10"/>
    <n v="200.98"/>
    <n v="7"/>
    <n v="62.81"/>
    <x v="4"/>
    <x v="1"/>
  </r>
  <r>
    <d v="2022-05-14T00:00:00"/>
    <x v="618"/>
    <x v="2"/>
    <x v="0"/>
    <x v="1"/>
    <n v="97.7"/>
    <n v="4"/>
    <n v="31.75"/>
    <x v="4"/>
    <x v="1"/>
  </r>
  <r>
    <d v="2022-05-14T00:00:00"/>
    <x v="618"/>
    <x v="2"/>
    <x v="0"/>
    <x v="4"/>
    <n v="2.7"/>
    <n v="1"/>
    <n v="0.81"/>
    <x v="4"/>
    <x v="1"/>
  </r>
  <r>
    <d v="2022-05-14T00:00:00"/>
    <x v="618"/>
    <x v="2"/>
    <x v="0"/>
    <x v="3"/>
    <n v="18.59"/>
    <n v="2"/>
    <n v="-13.63"/>
    <x v="4"/>
    <x v="1"/>
  </r>
  <r>
    <d v="2022-05-14T00:00:00"/>
    <x v="618"/>
    <x v="2"/>
    <x v="0"/>
    <x v="3"/>
    <n v="4.9000000000000004"/>
    <n v="3"/>
    <n v="-3.43"/>
    <x v="4"/>
    <x v="1"/>
  </r>
  <r>
    <d v="2022-05-14T00:00:00"/>
    <x v="459"/>
    <x v="3"/>
    <x v="0"/>
    <x v="2"/>
    <n v="1117.92"/>
    <n v="4"/>
    <n v="55.9"/>
    <x v="4"/>
    <x v="1"/>
  </r>
  <r>
    <d v="2022-05-14T00:00:00"/>
    <x v="595"/>
    <x v="3"/>
    <x v="1"/>
    <x v="11"/>
    <n v="509.96"/>
    <n v="5"/>
    <n v="42"/>
    <x v="4"/>
    <x v="1"/>
  </r>
  <r>
    <d v="2022-05-14T00:00:00"/>
    <x v="595"/>
    <x v="3"/>
    <x v="1"/>
    <x v="8"/>
    <n v="122.91"/>
    <n v="3"/>
    <n v="34.409999999999997"/>
    <x v="4"/>
    <x v="1"/>
  </r>
  <r>
    <d v="2022-05-14T00:00:00"/>
    <x v="595"/>
    <x v="3"/>
    <x v="1"/>
    <x v="5"/>
    <n v="97.57"/>
    <n v="2"/>
    <n v="-6.1"/>
    <x v="4"/>
    <x v="1"/>
  </r>
  <r>
    <d v="2022-05-14T00:00:00"/>
    <x v="595"/>
    <x v="3"/>
    <x v="1"/>
    <x v="5"/>
    <n v="722.35"/>
    <n v="3"/>
    <n v="81.260000000000005"/>
    <x v="4"/>
    <x v="1"/>
  </r>
  <r>
    <d v="2022-05-15T00:00:00"/>
    <x v="123"/>
    <x v="4"/>
    <x v="0"/>
    <x v="10"/>
    <n v="17.940000000000001"/>
    <n v="3"/>
    <n v="8.7899999999999991"/>
    <x v="4"/>
    <x v="1"/>
  </r>
  <r>
    <d v="2022-05-15T00:00:00"/>
    <x v="452"/>
    <x v="2"/>
    <x v="0"/>
    <x v="2"/>
    <n v="51.97"/>
    <n v="2"/>
    <n v="-10.39"/>
    <x v="4"/>
    <x v="1"/>
  </r>
  <r>
    <d v="2022-05-16T00:00:00"/>
    <x v="128"/>
    <x v="16"/>
    <x v="2"/>
    <x v="9"/>
    <n v="255.97"/>
    <n v="4"/>
    <n v="32"/>
    <x v="4"/>
    <x v="1"/>
  </r>
  <r>
    <d v="2022-05-17T00:00:00"/>
    <x v="402"/>
    <x v="0"/>
    <x v="0"/>
    <x v="3"/>
    <n v="33.28"/>
    <n v="5"/>
    <n v="-49.92"/>
    <x v="4"/>
    <x v="1"/>
  </r>
  <r>
    <d v="2022-05-17T00:00:00"/>
    <x v="402"/>
    <x v="0"/>
    <x v="0"/>
    <x v="0"/>
    <n v="14.09"/>
    <n v="3"/>
    <n v="4.93"/>
    <x v="4"/>
    <x v="1"/>
  </r>
  <r>
    <d v="2022-05-17T00:00:00"/>
    <x v="265"/>
    <x v="20"/>
    <x v="0"/>
    <x v="1"/>
    <n v="31.5"/>
    <n v="10"/>
    <n v="15.12"/>
    <x v="4"/>
    <x v="1"/>
  </r>
  <r>
    <d v="2022-05-17T00:00:00"/>
    <x v="265"/>
    <x v="20"/>
    <x v="0"/>
    <x v="14"/>
    <n v="55.6"/>
    <n v="4"/>
    <n v="16.12"/>
    <x v="4"/>
    <x v="1"/>
  </r>
  <r>
    <d v="2022-05-18T00:00:00"/>
    <x v="8"/>
    <x v="3"/>
    <x v="0"/>
    <x v="0"/>
    <n v="10.86"/>
    <n v="2"/>
    <n v="5.32"/>
    <x v="4"/>
    <x v="1"/>
  </r>
  <r>
    <d v="2022-05-20T00:00:00"/>
    <x v="320"/>
    <x v="25"/>
    <x v="1"/>
    <x v="8"/>
    <n v="163.13999999999999"/>
    <n v="4"/>
    <n v="20.39"/>
    <x v="4"/>
    <x v="1"/>
  </r>
  <r>
    <d v="2022-05-20T00:00:00"/>
    <x v="320"/>
    <x v="25"/>
    <x v="0"/>
    <x v="3"/>
    <n v="6.41"/>
    <n v="4"/>
    <n v="-4.91"/>
    <x v="4"/>
    <x v="1"/>
  </r>
  <r>
    <d v="2022-05-21T00:00:00"/>
    <x v="264"/>
    <x v="1"/>
    <x v="0"/>
    <x v="12"/>
    <n v="20.77"/>
    <n v="8"/>
    <n v="-52.96"/>
    <x v="4"/>
    <x v="1"/>
  </r>
  <r>
    <d v="2022-05-21T00:00:00"/>
    <x v="311"/>
    <x v="22"/>
    <x v="0"/>
    <x v="3"/>
    <n v="26.98"/>
    <n v="4"/>
    <n v="8.77"/>
    <x v="4"/>
    <x v="1"/>
  </r>
  <r>
    <d v="2022-05-21T00:00:00"/>
    <x v="418"/>
    <x v="2"/>
    <x v="0"/>
    <x v="3"/>
    <n v="24.59"/>
    <n v="2"/>
    <n v="-18.03"/>
    <x v="4"/>
    <x v="1"/>
  </r>
  <r>
    <d v="2022-05-22T00:00:00"/>
    <x v="417"/>
    <x v="3"/>
    <x v="0"/>
    <x v="1"/>
    <n v="8.26"/>
    <n v="2"/>
    <n v="3.8"/>
    <x v="4"/>
    <x v="1"/>
  </r>
  <r>
    <d v="2022-05-22T00:00:00"/>
    <x v="417"/>
    <x v="3"/>
    <x v="2"/>
    <x v="15"/>
    <n v="2973.32"/>
    <n v="7"/>
    <n v="334.5"/>
    <x v="4"/>
    <x v="1"/>
  </r>
  <r>
    <d v="2022-05-22T00:00:00"/>
    <x v="417"/>
    <x v="3"/>
    <x v="0"/>
    <x v="2"/>
    <n v="104.79"/>
    <n v="7"/>
    <n v="29.34"/>
    <x v="4"/>
    <x v="1"/>
  </r>
  <r>
    <d v="2022-05-22T00:00:00"/>
    <x v="417"/>
    <x v="3"/>
    <x v="2"/>
    <x v="6"/>
    <n v="775.73"/>
    <n v="6"/>
    <n v="58.18"/>
    <x v="4"/>
    <x v="1"/>
  </r>
  <r>
    <d v="2022-05-23T00:00:00"/>
    <x v="400"/>
    <x v="9"/>
    <x v="0"/>
    <x v="10"/>
    <n v="186.69"/>
    <n v="3"/>
    <n v="87.74"/>
    <x v="4"/>
    <x v="1"/>
  </r>
  <r>
    <d v="2022-05-23T00:00:00"/>
    <x v="185"/>
    <x v="12"/>
    <x v="0"/>
    <x v="3"/>
    <n v="19.190000000000001"/>
    <n v="7"/>
    <n v="-12.8"/>
    <x v="4"/>
    <x v="1"/>
  </r>
  <r>
    <d v="2022-05-23T00:00:00"/>
    <x v="185"/>
    <x v="12"/>
    <x v="0"/>
    <x v="12"/>
    <n v="121.79"/>
    <n v="4"/>
    <n v="13.7"/>
    <x v="4"/>
    <x v="1"/>
  </r>
  <r>
    <d v="2022-05-23T00:00:00"/>
    <x v="94"/>
    <x v="43"/>
    <x v="0"/>
    <x v="2"/>
    <n v="51.45"/>
    <n v="3"/>
    <n v="13.89"/>
    <x v="4"/>
    <x v="1"/>
  </r>
  <r>
    <d v="2022-05-23T00:00:00"/>
    <x v="39"/>
    <x v="14"/>
    <x v="0"/>
    <x v="12"/>
    <n v="850.5"/>
    <n v="5"/>
    <n v="245.7"/>
    <x v="4"/>
    <x v="1"/>
  </r>
  <r>
    <d v="2022-05-23T00:00:00"/>
    <x v="39"/>
    <x v="14"/>
    <x v="1"/>
    <x v="8"/>
    <n v="75.33"/>
    <n v="9"/>
    <n v="19.59"/>
    <x v="4"/>
    <x v="1"/>
  </r>
  <r>
    <d v="2022-05-24T00:00:00"/>
    <x v="6"/>
    <x v="1"/>
    <x v="1"/>
    <x v="5"/>
    <n v="602.65"/>
    <n v="7"/>
    <n v="-163.58000000000001"/>
    <x v="4"/>
    <x v="1"/>
  </r>
  <r>
    <d v="2022-05-24T00:00:00"/>
    <x v="6"/>
    <x v="1"/>
    <x v="0"/>
    <x v="3"/>
    <n v="7.66"/>
    <n v="6"/>
    <n v="-13.02"/>
    <x v="4"/>
    <x v="1"/>
  </r>
  <r>
    <d v="2022-05-25T00:00:00"/>
    <x v="645"/>
    <x v="26"/>
    <x v="0"/>
    <x v="12"/>
    <n v="845.73"/>
    <n v="13"/>
    <n v="84.57"/>
    <x v="4"/>
    <x v="1"/>
  </r>
  <r>
    <d v="2022-05-25T00:00:00"/>
    <x v="70"/>
    <x v="3"/>
    <x v="1"/>
    <x v="8"/>
    <n v="14.73"/>
    <n v="3"/>
    <n v="4.8600000000000003"/>
    <x v="4"/>
    <x v="1"/>
  </r>
  <r>
    <d v="2022-05-25T00:00:00"/>
    <x v="39"/>
    <x v="42"/>
    <x v="0"/>
    <x v="4"/>
    <n v="21.24"/>
    <n v="3"/>
    <n v="8.07"/>
    <x v="4"/>
    <x v="1"/>
  </r>
  <r>
    <d v="2022-05-25T00:00:00"/>
    <x v="39"/>
    <x v="42"/>
    <x v="0"/>
    <x v="3"/>
    <n v="127.96"/>
    <n v="2"/>
    <n v="60.14"/>
    <x v="4"/>
    <x v="1"/>
  </r>
  <r>
    <d v="2022-05-25T00:00:00"/>
    <x v="563"/>
    <x v="15"/>
    <x v="2"/>
    <x v="6"/>
    <n v="467.04"/>
    <n v="4"/>
    <n v="58.38"/>
    <x v="4"/>
    <x v="1"/>
  </r>
  <r>
    <d v="2022-05-25T00:00:00"/>
    <x v="22"/>
    <x v="0"/>
    <x v="0"/>
    <x v="14"/>
    <n v="22.37"/>
    <n v="2"/>
    <n v="1.68"/>
    <x v="4"/>
    <x v="1"/>
  </r>
  <r>
    <d v="2022-05-25T00:00:00"/>
    <x v="22"/>
    <x v="0"/>
    <x v="0"/>
    <x v="0"/>
    <n v="32.369999999999997"/>
    <n v="7"/>
    <n v="11.73"/>
    <x v="4"/>
    <x v="1"/>
  </r>
  <r>
    <d v="2022-05-25T00:00:00"/>
    <x v="22"/>
    <x v="0"/>
    <x v="2"/>
    <x v="9"/>
    <n v="207.98"/>
    <n v="2"/>
    <n v="36.4"/>
    <x v="4"/>
    <x v="1"/>
  </r>
  <r>
    <d v="2022-05-26T00:00:00"/>
    <x v="151"/>
    <x v="25"/>
    <x v="0"/>
    <x v="0"/>
    <n v="18.27"/>
    <n v="1"/>
    <n v="5.94"/>
    <x v="4"/>
    <x v="1"/>
  </r>
  <r>
    <d v="2022-05-26T00:00:00"/>
    <x v="151"/>
    <x v="25"/>
    <x v="0"/>
    <x v="0"/>
    <n v="153.72999999999999"/>
    <n v="4"/>
    <n v="53.8"/>
    <x v="4"/>
    <x v="1"/>
  </r>
  <r>
    <d v="2022-05-26T00:00:00"/>
    <x v="151"/>
    <x v="25"/>
    <x v="0"/>
    <x v="10"/>
    <n v="12.22"/>
    <n v="2"/>
    <n v="4.43"/>
    <x v="4"/>
    <x v="1"/>
  </r>
  <r>
    <d v="2022-05-26T00:00:00"/>
    <x v="151"/>
    <x v="25"/>
    <x v="2"/>
    <x v="9"/>
    <n v="167.94"/>
    <n v="7"/>
    <n v="50.38"/>
    <x v="4"/>
    <x v="1"/>
  </r>
  <r>
    <d v="2022-05-26T00:00:00"/>
    <x v="131"/>
    <x v="22"/>
    <x v="1"/>
    <x v="8"/>
    <n v="20.239999999999998"/>
    <n v="1"/>
    <n v="7.89"/>
    <x v="4"/>
    <x v="1"/>
  </r>
  <r>
    <d v="2022-05-26T00:00:00"/>
    <x v="255"/>
    <x v="0"/>
    <x v="1"/>
    <x v="5"/>
    <n v="105.69"/>
    <n v="1"/>
    <n v="-28.69"/>
    <x v="4"/>
    <x v="1"/>
  </r>
  <r>
    <d v="2022-05-26T00:00:00"/>
    <x v="255"/>
    <x v="0"/>
    <x v="2"/>
    <x v="15"/>
    <n v="399.54"/>
    <n v="2"/>
    <n v="-79.91"/>
    <x v="4"/>
    <x v="1"/>
  </r>
  <r>
    <d v="2022-05-26T00:00:00"/>
    <x v="255"/>
    <x v="0"/>
    <x v="1"/>
    <x v="5"/>
    <n v="104.93"/>
    <n v="5"/>
    <n v="-4.5"/>
    <x v="4"/>
    <x v="1"/>
  </r>
  <r>
    <d v="2022-05-28T00:00:00"/>
    <x v="646"/>
    <x v="22"/>
    <x v="0"/>
    <x v="4"/>
    <n v="6.63"/>
    <n v="3"/>
    <n v="1.79"/>
    <x v="4"/>
    <x v="1"/>
  </r>
  <r>
    <d v="2022-05-28T00:00:00"/>
    <x v="366"/>
    <x v="20"/>
    <x v="0"/>
    <x v="4"/>
    <n v="47.82"/>
    <n v="3"/>
    <n v="14.35"/>
    <x v="4"/>
    <x v="1"/>
  </r>
  <r>
    <d v="2022-05-28T00:00:00"/>
    <x v="366"/>
    <x v="20"/>
    <x v="0"/>
    <x v="1"/>
    <n v="13.05"/>
    <n v="5"/>
    <n v="6"/>
    <x v="4"/>
    <x v="1"/>
  </r>
  <r>
    <d v="2022-05-28T00:00:00"/>
    <x v="282"/>
    <x v="20"/>
    <x v="2"/>
    <x v="6"/>
    <n v="45.99"/>
    <n v="1"/>
    <n v="13.34"/>
    <x v="4"/>
    <x v="1"/>
  </r>
  <r>
    <d v="2022-05-28T00:00:00"/>
    <x v="282"/>
    <x v="20"/>
    <x v="0"/>
    <x v="2"/>
    <n v="535.41"/>
    <n v="3"/>
    <n v="160.62"/>
    <x v="4"/>
    <x v="1"/>
  </r>
  <r>
    <d v="2022-05-28T00:00:00"/>
    <x v="282"/>
    <x v="20"/>
    <x v="0"/>
    <x v="3"/>
    <n v="6.1"/>
    <n v="2"/>
    <n v="2.06"/>
    <x v="4"/>
    <x v="1"/>
  </r>
  <r>
    <d v="2022-05-28T00:00:00"/>
    <x v="282"/>
    <x v="20"/>
    <x v="0"/>
    <x v="0"/>
    <n v="45.36"/>
    <n v="7"/>
    <n v="21.77"/>
    <x v="4"/>
    <x v="1"/>
  </r>
  <r>
    <d v="2022-05-28T00:00:00"/>
    <x v="335"/>
    <x v="37"/>
    <x v="0"/>
    <x v="2"/>
    <n v="16.239999999999998"/>
    <n v="1"/>
    <n v="2.44"/>
    <x v="4"/>
    <x v="1"/>
  </r>
  <r>
    <d v="2022-05-28T00:00:00"/>
    <x v="335"/>
    <x v="37"/>
    <x v="0"/>
    <x v="2"/>
    <n v="77.55"/>
    <n v="5"/>
    <n v="21.71"/>
    <x v="4"/>
    <x v="1"/>
  </r>
  <r>
    <d v="2022-05-29T00:00:00"/>
    <x v="315"/>
    <x v="22"/>
    <x v="0"/>
    <x v="0"/>
    <n v="32.4"/>
    <n v="5"/>
    <n v="15.55"/>
    <x v="4"/>
    <x v="1"/>
  </r>
  <r>
    <d v="2022-05-29T00:00:00"/>
    <x v="315"/>
    <x v="22"/>
    <x v="0"/>
    <x v="2"/>
    <n v="540.57000000000005"/>
    <n v="3"/>
    <n v="140.55000000000001"/>
    <x v="4"/>
    <x v="1"/>
  </r>
  <r>
    <d v="2022-05-29T00:00:00"/>
    <x v="315"/>
    <x v="22"/>
    <x v="0"/>
    <x v="3"/>
    <n v="167.76"/>
    <n v="5"/>
    <n v="62.91"/>
    <x v="4"/>
    <x v="1"/>
  </r>
  <r>
    <d v="2022-05-29T00:00:00"/>
    <x v="379"/>
    <x v="10"/>
    <x v="1"/>
    <x v="8"/>
    <n v="41.57"/>
    <n v="4"/>
    <n v="-4.16"/>
    <x v="4"/>
    <x v="1"/>
  </r>
  <r>
    <d v="2022-05-29T00:00:00"/>
    <x v="379"/>
    <x v="10"/>
    <x v="1"/>
    <x v="5"/>
    <n v="317.06"/>
    <n v="3"/>
    <n v="-86.06"/>
    <x v="4"/>
    <x v="1"/>
  </r>
  <r>
    <d v="2022-05-29T00:00:00"/>
    <x v="379"/>
    <x v="10"/>
    <x v="0"/>
    <x v="7"/>
    <n v="8.0399999999999991"/>
    <n v="5"/>
    <n v="2.91"/>
    <x v="4"/>
    <x v="1"/>
  </r>
  <r>
    <d v="2022-05-29T00:00:00"/>
    <x v="366"/>
    <x v="18"/>
    <x v="0"/>
    <x v="1"/>
    <n v="12.39"/>
    <n v="3"/>
    <n v="5.7"/>
    <x v="4"/>
    <x v="1"/>
  </r>
  <r>
    <d v="2022-05-29T00:00:00"/>
    <x v="570"/>
    <x v="10"/>
    <x v="0"/>
    <x v="0"/>
    <n v="85.06"/>
    <n v="3"/>
    <n v="28.71"/>
    <x v="4"/>
    <x v="1"/>
  </r>
  <r>
    <d v="2022-05-30T00:00:00"/>
    <x v="647"/>
    <x v="20"/>
    <x v="2"/>
    <x v="6"/>
    <n v="239.97"/>
    <n v="3"/>
    <n v="2.4"/>
    <x v="4"/>
    <x v="1"/>
  </r>
  <r>
    <d v="2022-05-30T00:00:00"/>
    <x v="647"/>
    <x v="20"/>
    <x v="0"/>
    <x v="12"/>
    <n v="160.32"/>
    <n v="2"/>
    <n v="44.89"/>
    <x v="4"/>
    <x v="1"/>
  </r>
  <r>
    <d v="2022-05-30T00:00:00"/>
    <x v="647"/>
    <x v="20"/>
    <x v="2"/>
    <x v="6"/>
    <n v="128.85"/>
    <n v="3"/>
    <n v="3.87"/>
    <x v="4"/>
    <x v="1"/>
  </r>
  <r>
    <d v="2022-05-30T00:00:00"/>
    <x v="648"/>
    <x v="6"/>
    <x v="2"/>
    <x v="9"/>
    <n v="151.96"/>
    <n v="4"/>
    <n v="36.47"/>
    <x v="4"/>
    <x v="1"/>
  </r>
  <r>
    <d v="2022-05-31T00:00:00"/>
    <x v="153"/>
    <x v="3"/>
    <x v="0"/>
    <x v="0"/>
    <n v="58.38"/>
    <n v="7"/>
    <n v="26.27"/>
    <x v="4"/>
    <x v="1"/>
  </r>
  <r>
    <d v="2022-05-31T00:00:00"/>
    <x v="153"/>
    <x v="3"/>
    <x v="0"/>
    <x v="0"/>
    <n v="105.52"/>
    <n v="4"/>
    <n v="48.54"/>
    <x v="4"/>
    <x v="1"/>
  </r>
  <r>
    <d v="2022-05-31T00:00:00"/>
    <x v="153"/>
    <x v="3"/>
    <x v="0"/>
    <x v="2"/>
    <n v="80.88"/>
    <n v="6"/>
    <n v="21.03"/>
    <x v="4"/>
    <x v="1"/>
  </r>
  <r>
    <d v="2022-05-31T00:00:00"/>
    <x v="90"/>
    <x v="37"/>
    <x v="1"/>
    <x v="8"/>
    <n v="22.2"/>
    <n v="6"/>
    <n v="9.1"/>
    <x v="4"/>
    <x v="1"/>
  </r>
  <r>
    <d v="2022-05-31T00:00:00"/>
    <x v="51"/>
    <x v="27"/>
    <x v="1"/>
    <x v="11"/>
    <n v="1406.86"/>
    <n v="7"/>
    <n v="140.69"/>
    <x v="4"/>
    <x v="1"/>
  </r>
  <r>
    <d v="2022-05-31T00:00:00"/>
    <x v="51"/>
    <x v="27"/>
    <x v="0"/>
    <x v="1"/>
    <n v="15.75"/>
    <n v="5"/>
    <n v="7.56"/>
    <x v="4"/>
    <x v="1"/>
  </r>
  <r>
    <d v="2022-05-31T00:00:00"/>
    <x v="51"/>
    <x v="27"/>
    <x v="0"/>
    <x v="2"/>
    <n v="323.10000000000002"/>
    <n v="2"/>
    <n v="61.39"/>
    <x v="4"/>
    <x v="1"/>
  </r>
  <r>
    <d v="2022-05-31T00:00:00"/>
    <x v="649"/>
    <x v="28"/>
    <x v="1"/>
    <x v="5"/>
    <n v="2567.84"/>
    <n v="8"/>
    <n v="770.35"/>
    <x v="4"/>
    <x v="1"/>
  </r>
  <r>
    <d v="2022-05-31T00:00:00"/>
    <x v="650"/>
    <x v="25"/>
    <x v="0"/>
    <x v="4"/>
    <n v="10.27"/>
    <n v="3"/>
    <n v="1.1599999999999999"/>
    <x v="4"/>
    <x v="1"/>
  </r>
  <r>
    <d v="2022-05-31T00:00:00"/>
    <x v="249"/>
    <x v="20"/>
    <x v="0"/>
    <x v="7"/>
    <n v="7.56"/>
    <n v="6"/>
    <n v="0.3"/>
    <x v="4"/>
    <x v="1"/>
  </r>
  <r>
    <d v="2022-05-31T00:00:00"/>
    <x v="362"/>
    <x v="1"/>
    <x v="0"/>
    <x v="1"/>
    <n v="5.9"/>
    <n v="2"/>
    <n v="1.99"/>
    <x v="4"/>
    <x v="1"/>
  </r>
  <r>
    <d v="2022-05-31T00:00:00"/>
    <x v="362"/>
    <x v="1"/>
    <x v="0"/>
    <x v="0"/>
    <n v="173.49"/>
    <n v="7"/>
    <n v="54.22"/>
    <x v="4"/>
    <x v="1"/>
  </r>
  <r>
    <d v="2022-05-31T00:00:00"/>
    <x v="362"/>
    <x v="1"/>
    <x v="1"/>
    <x v="8"/>
    <n v="51.56"/>
    <n v="2"/>
    <n v="-61.87"/>
    <x v="4"/>
    <x v="1"/>
  </r>
  <r>
    <d v="2022-05-31T00:00:00"/>
    <x v="362"/>
    <x v="1"/>
    <x v="0"/>
    <x v="3"/>
    <n v="3.56"/>
    <n v="3"/>
    <n v="-6.24"/>
    <x v="4"/>
    <x v="1"/>
  </r>
  <r>
    <d v="2022-05-31T00:00:00"/>
    <x v="551"/>
    <x v="23"/>
    <x v="0"/>
    <x v="0"/>
    <n v="274.8"/>
    <n v="5"/>
    <n v="134.65"/>
    <x v="4"/>
    <x v="1"/>
  </r>
  <r>
    <d v="2022-05-31T00:00:00"/>
    <x v="551"/>
    <x v="23"/>
    <x v="0"/>
    <x v="2"/>
    <n v="62.18"/>
    <n v="1"/>
    <n v="16.79"/>
    <x v="4"/>
    <x v="1"/>
  </r>
  <r>
    <d v="2022-05-31T00:00:00"/>
    <x v="551"/>
    <x v="23"/>
    <x v="1"/>
    <x v="8"/>
    <n v="8.2799999999999994"/>
    <n v="2"/>
    <n v="2.98"/>
    <x v="4"/>
    <x v="1"/>
  </r>
  <r>
    <d v="2022-06-01T00:00:00"/>
    <x v="124"/>
    <x v="0"/>
    <x v="0"/>
    <x v="3"/>
    <n v="5.73"/>
    <n v="8"/>
    <n v="-9.16"/>
    <x v="5"/>
    <x v="1"/>
  </r>
  <r>
    <d v="2022-06-01T00:00:00"/>
    <x v="124"/>
    <x v="0"/>
    <x v="0"/>
    <x v="0"/>
    <n v="42.24"/>
    <n v="10"/>
    <n v="13.2"/>
    <x v="5"/>
    <x v="1"/>
  </r>
  <r>
    <d v="2022-06-01T00:00:00"/>
    <x v="63"/>
    <x v="14"/>
    <x v="2"/>
    <x v="6"/>
    <n v="299.98"/>
    <n v="2"/>
    <n v="83.99"/>
    <x v="5"/>
    <x v="1"/>
  </r>
  <r>
    <d v="2022-06-01T00:00:00"/>
    <x v="63"/>
    <x v="14"/>
    <x v="0"/>
    <x v="3"/>
    <n v="403.68"/>
    <n v="6"/>
    <n v="181.66"/>
    <x v="5"/>
    <x v="1"/>
  </r>
  <r>
    <d v="2022-06-01T00:00:00"/>
    <x v="63"/>
    <x v="14"/>
    <x v="2"/>
    <x v="6"/>
    <n v="41.9"/>
    <n v="2"/>
    <n v="11.73"/>
    <x v="5"/>
    <x v="1"/>
  </r>
  <r>
    <d v="2022-06-01T00:00:00"/>
    <x v="63"/>
    <x v="14"/>
    <x v="0"/>
    <x v="1"/>
    <n v="28.91"/>
    <n v="7"/>
    <n v="13.3"/>
    <x v="5"/>
    <x v="1"/>
  </r>
  <r>
    <d v="2022-06-01T00:00:00"/>
    <x v="651"/>
    <x v="3"/>
    <x v="0"/>
    <x v="0"/>
    <n v="11.76"/>
    <n v="2"/>
    <n v="5.76"/>
    <x v="5"/>
    <x v="1"/>
  </r>
  <r>
    <d v="2022-06-04T00:00:00"/>
    <x v="172"/>
    <x v="22"/>
    <x v="0"/>
    <x v="1"/>
    <n v="7.38"/>
    <n v="2"/>
    <n v="3.47"/>
    <x v="5"/>
    <x v="1"/>
  </r>
  <r>
    <d v="2022-06-04T00:00:00"/>
    <x v="172"/>
    <x v="22"/>
    <x v="0"/>
    <x v="4"/>
    <n v="9.26"/>
    <n v="2"/>
    <n v="3.06"/>
    <x v="5"/>
    <x v="1"/>
  </r>
  <r>
    <d v="2022-06-04T00:00:00"/>
    <x v="492"/>
    <x v="20"/>
    <x v="0"/>
    <x v="0"/>
    <n v="30.44"/>
    <n v="4"/>
    <n v="14.31"/>
    <x v="5"/>
    <x v="1"/>
  </r>
  <r>
    <d v="2022-06-04T00:00:00"/>
    <x v="492"/>
    <x v="20"/>
    <x v="1"/>
    <x v="8"/>
    <n v="35.28"/>
    <n v="3"/>
    <n v="12"/>
    <x v="5"/>
    <x v="1"/>
  </r>
  <r>
    <d v="2022-06-04T00:00:00"/>
    <x v="652"/>
    <x v="3"/>
    <x v="2"/>
    <x v="9"/>
    <n v="119.98"/>
    <n v="2"/>
    <n v="35.99"/>
    <x v="5"/>
    <x v="1"/>
  </r>
  <r>
    <d v="2022-06-04T00:00:00"/>
    <x v="652"/>
    <x v="3"/>
    <x v="2"/>
    <x v="9"/>
    <n v="989.97"/>
    <n v="3"/>
    <n v="395.99"/>
    <x v="5"/>
    <x v="1"/>
  </r>
  <r>
    <d v="2022-06-05T00:00:00"/>
    <x v="615"/>
    <x v="20"/>
    <x v="1"/>
    <x v="5"/>
    <n v="1522.64"/>
    <n v="9"/>
    <n v="169.18"/>
    <x v="5"/>
    <x v="1"/>
  </r>
  <r>
    <d v="2022-06-05T00:00:00"/>
    <x v="653"/>
    <x v="24"/>
    <x v="0"/>
    <x v="0"/>
    <n v="10.56"/>
    <n v="2"/>
    <n v="4.75"/>
    <x v="5"/>
    <x v="1"/>
  </r>
  <r>
    <d v="2022-06-07T00:00:00"/>
    <x v="654"/>
    <x v="3"/>
    <x v="0"/>
    <x v="3"/>
    <n v="7.52"/>
    <n v="5"/>
    <n v="2.63"/>
    <x v="5"/>
    <x v="1"/>
  </r>
  <r>
    <d v="2022-06-07T00:00:00"/>
    <x v="198"/>
    <x v="2"/>
    <x v="0"/>
    <x v="3"/>
    <n v="18.309999999999999"/>
    <n v="4"/>
    <n v="-12.21"/>
    <x v="5"/>
    <x v="1"/>
  </r>
  <r>
    <d v="2022-06-07T00:00:00"/>
    <x v="198"/>
    <x v="2"/>
    <x v="0"/>
    <x v="0"/>
    <n v="25.92"/>
    <n v="5"/>
    <n v="9.07"/>
    <x v="5"/>
    <x v="1"/>
  </r>
  <r>
    <d v="2022-06-07T00:00:00"/>
    <x v="198"/>
    <x v="2"/>
    <x v="0"/>
    <x v="4"/>
    <n v="8.02"/>
    <n v="3"/>
    <n v="1"/>
    <x v="5"/>
    <x v="1"/>
  </r>
  <r>
    <d v="2022-06-08T00:00:00"/>
    <x v="585"/>
    <x v="1"/>
    <x v="2"/>
    <x v="9"/>
    <n v="2.38"/>
    <n v="3"/>
    <n v="0.74"/>
    <x v="5"/>
    <x v="1"/>
  </r>
  <r>
    <d v="2022-06-08T00:00:00"/>
    <x v="585"/>
    <x v="1"/>
    <x v="0"/>
    <x v="12"/>
    <n v="143.13"/>
    <n v="2"/>
    <n v="-393.6"/>
    <x v="5"/>
    <x v="1"/>
  </r>
  <r>
    <d v="2022-06-08T00:00:00"/>
    <x v="597"/>
    <x v="16"/>
    <x v="0"/>
    <x v="0"/>
    <n v="173.49"/>
    <n v="7"/>
    <n v="54.22"/>
    <x v="5"/>
    <x v="1"/>
  </r>
  <r>
    <d v="2022-06-08T00:00:00"/>
    <x v="597"/>
    <x v="16"/>
    <x v="0"/>
    <x v="2"/>
    <n v="516.96"/>
    <n v="4"/>
    <n v="-6.46"/>
    <x v="5"/>
    <x v="1"/>
  </r>
  <r>
    <d v="2022-06-08T00:00:00"/>
    <x v="597"/>
    <x v="16"/>
    <x v="1"/>
    <x v="8"/>
    <n v="173.21"/>
    <n v="7"/>
    <n v="45.47"/>
    <x v="5"/>
    <x v="1"/>
  </r>
  <r>
    <d v="2022-06-08T00:00:00"/>
    <x v="597"/>
    <x v="16"/>
    <x v="0"/>
    <x v="4"/>
    <n v="4.45"/>
    <n v="2"/>
    <n v="0.33"/>
    <x v="5"/>
    <x v="1"/>
  </r>
  <r>
    <d v="2022-06-08T00:00:00"/>
    <x v="597"/>
    <x v="16"/>
    <x v="0"/>
    <x v="1"/>
    <n v="9"/>
    <n v="3"/>
    <n v="3.15"/>
    <x v="5"/>
    <x v="1"/>
  </r>
  <r>
    <d v="2022-06-08T00:00:00"/>
    <x v="597"/>
    <x v="16"/>
    <x v="0"/>
    <x v="0"/>
    <n v="42.24"/>
    <n v="10"/>
    <n v="13.2"/>
    <x v="5"/>
    <x v="1"/>
  </r>
  <r>
    <d v="2022-06-08T00:00:00"/>
    <x v="597"/>
    <x v="16"/>
    <x v="0"/>
    <x v="3"/>
    <n v="18.260000000000002"/>
    <n v="2"/>
    <n v="-13.39"/>
    <x v="5"/>
    <x v="1"/>
  </r>
  <r>
    <d v="2022-06-09T00:00:00"/>
    <x v="408"/>
    <x v="6"/>
    <x v="0"/>
    <x v="3"/>
    <n v="113.1"/>
    <n v="3"/>
    <n v="56.55"/>
    <x v="5"/>
    <x v="1"/>
  </r>
  <r>
    <d v="2022-06-09T00:00:00"/>
    <x v="180"/>
    <x v="14"/>
    <x v="0"/>
    <x v="0"/>
    <n v="12.96"/>
    <n v="2"/>
    <n v="6.22"/>
    <x v="5"/>
    <x v="1"/>
  </r>
  <r>
    <d v="2022-06-09T00:00:00"/>
    <x v="120"/>
    <x v="34"/>
    <x v="1"/>
    <x v="8"/>
    <n v="355.36"/>
    <n v="4"/>
    <n v="92.39"/>
    <x v="5"/>
    <x v="1"/>
  </r>
  <r>
    <d v="2022-06-09T00:00:00"/>
    <x v="120"/>
    <x v="34"/>
    <x v="2"/>
    <x v="6"/>
    <n v="140.38"/>
    <n v="3"/>
    <n v="8.77"/>
    <x v="5"/>
    <x v="1"/>
  </r>
  <r>
    <d v="2022-06-09T00:00:00"/>
    <x v="655"/>
    <x v="16"/>
    <x v="0"/>
    <x v="3"/>
    <n v="64.2"/>
    <n v="5"/>
    <n v="-42.8"/>
    <x v="5"/>
    <x v="1"/>
  </r>
  <r>
    <d v="2022-06-09T00:00:00"/>
    <x v="655"/>
    <x v="16"/>
    <x v="0"/>
    <x v="3"/>
    <n v="38.520000000000003"/>
    <n v="3"/>
    <n v="-26.96"/>
    <x v="5"/>
    <x v="1"/>
  </r>
  <r>
    <d v="2022-06-09T00:00:00"/>
    <x v="655"/>
    <x v="16"/>
    <x v="2"/>
    <x v="9"/>
    <n v="72.599999999999994"/>
    <n v="5"/>
    <n v="-8.17"/>
    <x v="5"/>
    <x v="1"/>
  </r>
  <r>
    <d v="2022-06-11T00:00:00"/>
    <x v="12"/>
    <x v="8"/>
    <x v="2"/>
    <x v="9"/>
    <n v="53.7"/>
    <n v="6"/>
    <n v="10.199999999999999"/>
    <x v="5"/>
    <x v="1"/>
  </r>
  <r>
    <d v="2022-06-11T00:00:00"/>
    <x v="12"/>
    <x v="8"/>
    <x v="0"/>
    <x v="3"/>
    <n v="36.26"/>
    <n v="7"/>
    <n v="16.68"/>
    <x v="5"/>
    <x v="1"/>
  </r>
  <r>
    <d v="2022-06-11T00:00:00"/>
    <x v="12"/>
    <x v="8"/>
    <x v="0"/>
    <x v="4"/>
    <n v="56.3"/>
    <n v="2"/>
    <n v="15.76"/>
    <x v="5"/>
    <x v="1"/>
  </r>
  <r>
    <d v="2022-06-11T00:00:00"/>
    <x v="12"/>
    <x v="8"/>
    <x v="0"/>
    <x v="0"/>
    <n v="32.4"/>
    <n v="5"/>
    <n v="15.55"/>
    <x v="5"/>
    <x v="1"/>
  </r>
  <r>
    <d v="2022-06-11T00:00:00"/>
    <x v="12"/>
    <x v="8"/>
    <x v="1"/>
    <x v="8"/>
    <n v="29.16"/>
    <n v="2"/>
    <n v="10.79"/>
    <x v="5"/>
    <x v="1"/>
  </r>
  <r>
    <d v="2022-06-11T00:00:00"/>
    <x v="458"/>
    <x v="16"/>
    <x v="1"/>
    <x v="5"/>
    <n v="1123.92"/>
    <n v="5"/>
    <n v="-182.64"/>
    <x v="5"/>
    <x v="1"/>
  </r>
  <r>
    <d v="2022-06-11T00:00:00"/>
    <x v="458"/>
    <x v="16"/>
    <x v="2"/>
    <x v="6"/>
    <n v="249.58"/>
    <n v="2"/>
    <n v="31.2"/>
    <x v="5"/>
    <x v="1"/>
  </r>
  <r>
    <d v="2022-06-11T00:00:00"/>
    <x v="458"/>
    <x v="16"/>
    <x v="1"/>
    <x v="8"/>
    <n v="48.67"/>
    <n v="3"/>
    <n v="7.3"/>
    <x v="5"/>
    <x v="1"/>
  </r>
  <r>
    <d v="2022-06-11T00:00:00"/>
    <x v="458"/>
    <x v="16"/>
    <x v="0"/>
    <x v="4"/>
    <n v="60.77"/>
    <n v="2"/>
    <n v="7.6"/>
    <x v="5"/>
    <x v="1"/>
  </r>
  <r>
    <d v="2022-06-11T00:00:00"/>
    <x v="458"/>
    <x v="16"/>
    <x v="0"/>
    <x v="3"/>
    <n v="78.599999999999994"/>
    <n v="5"/>
    <n v="-62.88"/>
    <x v="5"/>
    <x v="1"/>
  </r>
  <r>
    <d v="2022-06-11T00:00:00"/>
    <x v="458"/>
    <x v="16"/>
    <x v="0"/>
    <x v="3"/>
    <n v="3.77"/>
    <n v="2"/>
    <n v="-3.14"/>
    <x v="5"/>
    <x v="1"/>
  </r>
  <r>
    <d v="2022-06-11T00:00:00"/>
    <x v="458"/>
    <x v="16"/>
    <x v="0"/>
    <x v="2"/>
    <n v="1036.6199999999999"/>
    <n v="2"/>
    <n v="51.83"/>
    <x v="5"/>
    <x v="1"/>
  </r>
  <r>
    <d v="2022-06-11T00:00:00"/>
    <x v="458"/>
    <x v="16"/>
    <x v="0"/>
    <x v="2"/>
    <n v="563.80999999999995"/>
    <n v="4"/>
    <n v="21.14"/>
    <x v="5"/>
    <x v="1"/>
  </r>
  <r>
    <d v="2022-06-12T00:00:00"/>
    <x v="656"/>
    <x v="2"/>
    <x v="0"/>
    <x v="0"/>
    <n v="20.74"/>
    <n v="4"/>
    <n v="7.26"/>
    <x v="5"/>
    <x v="1"/>
  </r>
  <r>
    <d v="2022-06-12T00:00:00"/>
    <x v="656"/>
    <x v="2"/>
    <x v="1"/>
    <x v="8"/>
    <n v="43.3"/>
    <n v="2"/>
    <n v="4.33"/>
    <x v="5"/>
    <x v="1"/>
  </r>
  <r>
    <d v="2022-06-12T00:00:00"/>
    <x v="224"/>
    <x v="7"/>
    <x v="0"/>
    <x v="2"/>
    <n v="29.9"/>
    <n v="5"/>
    <n v="5.08"/>
    <x v="5"/>
    <x v="1"/>
  </r>
  <r>
    <d v="2022-06-12T00:00:00"/>
    <x v="657"/>
    <x v="16"/>
    <x v="2"/>
    <x v="6"/>
    <n v="55.98"/>
    <n v="2"/>
    <n v="4.2"/>
    <x v="5"/>
    <x v="1"/>
  </r>
  <r>
    <d v="2022-06-12T00:00:00"/>
    <x v="381"/>
    <x v="18"/>
    <x v="0"/>
    <x v="2"/>
    <n v="24.56"/>
    <n v="2"/>
    <n v="6.88"/>
    <x v="5"/>
    <x v="1"/>
  </r>
  <r>
    <d v="2022-06-13T00:00:00"/>
    <x v="612"/>
    <x v="3"/>
    <x v="0"/>
    <x v="3"/>
    <n v="36.619999999999997"/>
    <n v="3"/>
    <n v="13.73"/>
    <x v="5"/>
    <x v="1"/>
  </r>
  <r>
    <d v="2022-06-13T00:00:00"/>
    <x v="526"/>
    <x v="33"/>
    <x v="0"/>
    <x v="4"/>
    <n v="24.78"/>
    <n v="6"/>
    <n v="6.94"/>
    <x v="5"/>
    <x v="1"/>
  </r>
  <r>
    <d v="2022-06-13T00:00:00"/>
    <x v="526"/>
    <x v="33"/>
    <x v="0"/>
    <x v="3"/>
    <n v="19.14"/>
    <n v="3"/>
    <n v="8.8000000000000007"/>
    <x v="5"/>
    <x v="1"/>
  </r>
  <r>
    <d v="2022-06-13T00:00:00"/>
    <x v="526"/>
    <x v="33"/>
    <x v="2"/>
    <x v="16"/>
    <n v="899.97"/>
    <n v="3"/>
    <n v="314.99"/>
    <x v="5"/>
    <x v="1"/>
  </r>
  <r>
    <d v="2022-06-13T00:00:00"/>
    <x v="526"/>
    <x v="33"/>
    <x v="0"/>
    <x v="0"/>
    <n v="32.4"/>
    <n v="5"/>
    <n v="15.55"/>
    <x v="5"/>
    <x v="1"/>
  </r>
  <r>
    <d v="2022-06-13T00:00:00"/>
    <x v="577"/>
    <x v="41"/>
    <x v="0"/>
    <x v="3"/>
    <n v="8.26"/>
    <n v="2"/>
    <n v="3.88"/>
    <x v="5"/>
    <x v="1"/>
  </r>
  <r>
    <d v="2022-06-13T00:00:00"/>
    <x v="577"/>
    <x v="41"/>
    <x v="0"/>
    <x v="3"/>
    <n v="29.84"/>
    <n v="2"/>
    <n v="13.43"/>
    <x v="5"/>
    <x v="1"/>
  </r>
  <r>
    <d v="2022-06-13T00:00:00"/>
    <x v="577"/>
    <x v="41"/>
    <x v="2"/>
    <x v="9"/>
    <n v="67.98"/>
    <n v="2"/>
    <n v="14.96"/>
    <x v="5"/>
    <x v="1"/>
  </r>
  <r>
    <d v="2022-06-13T00:00:00"/>
    <x v="302"/>
    <x v="4"/>
    <x v="0"/>
    <x v="0"/>
    <n v="6.48"/>
    <n v="1"/>
    <n v="3.11"/>
    <x v="5"/>
    <x v="1"/>
  </r>
  <r>
    <d v="2022-06-13T00:00:00"/>
    <x v="658"/>
    <x v="10"/>
    <x v="0"/>
    <x v="4"/>
    <n v="3.42"/>
    <n v="1"/>
    <n v="0.3"/>
    <x v="5"/>
    <x v="1"/>
  </r>
  <r>
    <d v="2022-06-14T00:00:00"/>
    <x v="525"/>
    <x v="2"/>
    <x v="1"/>
    <x v="8"/>
    <n v="51.07"/>
    <n v="6"/>
    <n v="5.1100000000000003"/>
    <x v="5"/>
    <x v="1"/>
  </r>
  <r>
    <d v="2022-06-15T00:00:00"/>
    <x v="184"/>
    <x v="12"/>
    <x v="0"/>
    <x v="0"/>
    <n v="9.57"/>
    <n v="2"/>
    <n v="2.99"/>
    <x v="5"/>
    <x v="1"/>
  </r>
  <r>
    <d v="2022-06-15T00:00:00"/>
    <x v="184"/>
    <x v="12"/>
    <x v="0"/>
    <x v="2"/>
    <n v="82.37"/>
    <n v="2"/>
    <n v="-19.559999999999999"/>
    <x v="5"/>
    <x v="1"/>
  </r>
  <r>
    <d v="2022-06-15T00:00:00"/>
    <x v="184"/>
    <x v="12"/>
    <x v="1"/>
    <x v="8"/>
    <n v="364.7"/>
    <n v="6"/>
    <n v="-36.47"/>
    <x v="5"/>
    <x v="1"/>
  </r>
  <r>
    <d v="2022-06-15T00:00:00"/>
    <x v="184"/>
    <x v="12"/>
    <x v="1"/>
    <x v="8"/>
    <n v="40.26"/>
    <n v="4"/>
    <n v="11.07"/>
    <x v="5"/>
    <x v="1"/>
  </r>
  <r>
    <d v="2022-06-15T00:00:00"/>
    <x v="482"/>
    <x v="16"/>
    <x v="2"/>
    <x v="9"/>
    <n v="11.67"/>
    <n v="1"/>
    <n v="-0.73"/>
    <x v="5"/>
    <x v="1"/>
  </r>
  <r>
    <d v="2022-06-15T00:00:00"/>
    <x v="271"/>
    <x v="3"/>
    <x v="2"/>
    <x v="6"/>
    <n v="225.58"/>
    <n v="3"/>
    <n v="22.56"/>
    <x v="5"/>
    <x v="1"/>
  </r>
  <r>
    <d v="2022-06-16T00:00:00"/>
    <x v="300"/>
    <x v="2"/>
    <x v="0"/>
    <x v="10"/>
    <n v="6.21"/>
    <n v="2"/>
    <n v="2.17"/>
    <x v="5"/>
    <x v="1"/>
  </r>
  <r>
    <d v="2022-06-16T00:00:00"/>
    <x v="3"/>
    <x v="0"/>
    <x v="0"/>
    <x v="10"/>
    <n v="28.75"/>
    <n v="3"/>
    <n v="9.34"/>
    <x v="5"/>
    <x v="1"/>
  </r>
  <r>
    <d v="2022-06-16T00:00:00"/>
    <x v="3"/>
    <x v="0"/>
    <x v="0"/>
    <x v="0"/>
    <n v="27.22"/>
    <n v="3"/>
    <n v="9.8699999999999992"/>
    <x v="5"/>
    <x v="1"/>
  </r>
  <r>
    <d v="2022-06-16T00:00:00"/>
    <x v="3"/>
    <x v="0"/>
    <x v="1"/>
    <x v="5"/>
    <n v="197.37"/>
    <n v="2"/>
    <n v="-25.38"/>
    <x v="5"/>
    <x v="1"/>
  </r>
  <r>
    <d v="2022-06-16T00:00:00"/>
    <x v="164"/>
    <x v="20"/>
    <x v="0"/>
    <x v="3"/>
    <n v="3050.38"/>
    <n v="3"/>
    <n v="1143.8900000000001"/>
    <x v="5"/>
    <x v="1"/>
  </r>
  <r>
    <d v="2022-06-16T00:00:00"/>
    <x v="164"/>
    <x v="20"/>
    <x v="2"/>
    <x v="6"/>
    <n v="133.97999999999999"/>
    <n v="2"/>
    <n v="33.5"/>
    <x v="5"/>
    <x v="1"/>
  </r>
  <r>
    <d v="2022-06-18T00:00:00"/>
    <x v="659"/>
    <x v="12"/>
    <x v="0"/>
    <x v="0"/>
    <n v="11.95"/>
    <n v="3"/>
    <n v="4.33"/>
    <x v="5"/>
    <x v="1"/>
  </r>
  <r>
    <d v="2022-06-18T00:00:00"/>
    <x v="659"/>
    <x v="12"/>
    <x v="0"/>
    <x v="3"/>
    <n v="4.54"/>
    <n v="7"/>
    <n v="-3.33"/>
    <x v="5"/>
    <x v="1"/>
  </r>
  <r>
    <d v="2022-06-18T00:00:00"/>
    <x v="659"/>
    <x v="12"/>
    <x v="0"/>
    <x v="3"/>
    <n v="9.16"/>
    <n v="2"/>
    <n v="-6.1"/>
    <x v="5"/>
    <x v="1"/>
  </r>
  <r>
    <d v="2022-06-18T00:00:00"/>
    <x v="659"/>
    <x v="12"/>
    <x v="1"/>
    <x v="8"/>
    <n v="75.36"/>
    <n v="5"/>
    <n v="20.72"/>
    <x v="5"/>
    <x v="1"/>
  </r>
  <r>
    <d v="2022-06-18T00:00:00"/>
    <x v="100"/>
    <x v="3"/>
    <x v="0"/>
    <x v="4"/>
    <n v="51.98"/>
    <n v="2"/>
    <n v="15.07"/>
    <x v="5"/>
    <x v="1"/>
  </r>
  <r>
    <d v="2022-06-18T00:00:00"/>
    <x v="535"/>
    <x v="16"/>
    <x v="0"/>
    <x v="4"/>
    <n v="13.63"/>
    <n v="4"/>
    <n v="3.58"/>
    <x v="5"/>
    <x v="1"/>
  </r>
  <r>
    <d v="2022-06-18T00:00:00"/>
    <x v="625"/>
    <x v="15"/>
    <x v="0"/>
    <x v="3"/>
    <n v="6.13"/>
    <n v="3"/>
    <n v="-4.49"/>
    <x v="5"/>
    <x v="1"/>
  </r>
  <r>
    <d v="2022-06-18T00:00:00"/>
    <x v="625"/>
    <x v="15"/>
    <x v="1"/>
    <x v="5"/>
    <n v="643.14"/>
    <n v="4"/>
    <n v="56.27"/>
    <x v="5"/>
    <x v="1"/>
  </r>
  <r>
    <d v="2022-06-18T00:00:00"/>
    <x v="625"/>
    <x v="15"/>
    <x v="0"/>
    <x v="0"/>
    <n v="20.74"/>
    <n v="4"/>
    <n v="7.26"/>
    <x v="5"/>
    <x v="1"/>
  </r>
  <r>
    <d v="2022-06-18T00:00:00"/>
    <x v="348"/>
    <x v="6"/>
    <x v="1"/>
    <x v="8"/>
    <n v="60.84"/>
    <n v="3"/>
    <n v="19.47"/>
    <x v="5"/>
    <x v="1"/>
  </r>
  <r>
    <d v="2022-06-18T00:00:00"/>
    <x v="348"/>
    <x v="6"/>
    <x v="0"/>
    <x v="2"/>
    <n v="450.04"/>
    <n v="2"/>
    <n v="58.51"/>
    <x v="5"/>
    <x v="1"/>
  </r>
  <r>
    <d v="2022-06-18T00:00:00"/>
    <x v="348"/>
    <x v="6"/>
    <x v="0"/>
    <x v="3"/>
    <n v="34.6"/>
    <n v="2"/>
    <n v="16.61"/>
    <x v="5"/>
    <x v="1"/>
  </r>
  <r>
    <d v="2022-06-18T00:00:00"/>
    <x v="348"/>
    <x v="6"/>
    <x v="2"/>
    <x v="6"/>
    <n v="467.97"/>
    <n v="3"/>
    <n v="140.38999999999999"/>
    <x v="5"/>
    <x v="1"/>
  </r>
  <r>
    <d v="2022-06-18T00:00:00"/>
    <x v="348"/>
    <x v="6"/>
    <x v="0"/>
    <x v="3"/>
    <n v="33.020000000000003"/>
    <n v="2"/>
    <n v="15.85"/>
    <x v="5"/>
    <x v="1"/>
  </r>
  <r>
    <d v="2022-06-19T00:00:00"/>
    <x v="564"/>
    <x v="3"/>
    <x v="1"/>
    <x v="8"/>
    <n v="12.56"/>
    <n v="2"/>
    <n v="4.0199999999999996"/>
    <x v="5"/>
    <x v="1"/>
  </r>
  <r>
    <d v="2022-06-19T00:00:00"/>
    <x v="564"/>
    <x v="3"/>
    <x v="0"/>
    <x v="0"/>
    <n v="6.48"/>
    <n v="1"/>
    <n v="3.11"/>
    <x v="5"/>
    <x v="1"/>
  </r>
  <r>
    <d v="2022-06-19T00:00:00"/>
    <x v="564"/>
    <x v="3"/>
    <x v="0"/>
    <x v="10"/>
    <n v="186.69"/>
    <n v="3"/>
    <n v="87.74"/>
    <x v="5"/>
    <x v="1"/>
  </r>
  <r>
    <d v="2022-06-19T00:00:00"/>
    <x v="5"/>
    <x v="0"/>
    <x v="0"/>
    <x v="3"/>
    <n v="5.79"/>
    <n v="2"/>
    <n v="-9.56"/>
    <x v="5"/>
    <x v="1"/>
  </r>
  <r>
    <d v="2022-06-19T00:00:00"/>
    <x v="307"/>
    <x v="0"/>
    <x v="0"/>
    <x v="2"/>
    <n v="228.92"/>
    <n v="5"/>
    <n v="14.31"/>
    <x v="5"/>
    <x v="1"/>
  </r>
  <r>
    <d v="2022-06-19T00:00:00"/>
    <x v="367"/>
    <x v="2"/>
    <x v="0"/>
    <x v="1"/>
    <n v="5.9"/>
    <n v="2"/>
    <n v="1.99"/>
    <x v="5"/>
    <x v="1"/>
  </r>
  <r>
    <d v="2022-06-20T00:00:00"/>
    <x v="660"/>
    <x v="3"/>
    <x v="1"/>
    <x v="8"/>
    <n v="257.64"/>
    <n v="6"/>
    <n v="100.48"/>
    <x v="5"/>
    <x v="1"/>
  </r>
  <r>
    <d v="2022-06-20T00:00:00"/>
    <x v="660"/>
    <x v="3"/>
    <x v="2"/>
    <x v="6"/>
    <n v="125.98"/>
    <n v="3"/>
    <n v="47.24"/>
    <x v="5"/>
    <x v="1"/>
  </r>
  <r>
    <d v="2022-06-20T00:00:00"/>
    <x v="176"/>
    <x v="26"/>
    <x v="2"/>
    <x v="6"/>
    <n v="125.94"/>
    <n v="7"/>
    <n v="15.74"/>
    <x v="5"/>
    <x v="1"/>
  </r>
  <r>
    <d v="2022-06-20T00:00:00"/>
    <x v="288"/>
    <x v="2"/>
    <x v="2"/>
    <x v="9"/>
    <n v="319.98"/>
    <n v="2"/>
    <n v="92"/>
    <x v="5"/>
    <x v="1"/>
  </r>
  <r>
    <d v="2022-06-21T00:00:00"/>
    <x v="287"/>
    <x v="16"/>
    <x v="2"/>
    <x v="6"/>
    <n v="107.98"/>
    <n v="3"/>
    <n v="37.79"/>
    <x v="5"/>
    <x v="1"/>
  </r>
  <r>
    <d v="2022-06-22T00:00:00"/>
    <x v="318"/>
    <x v="27"/>
    <x v="0"/>
    <x v="7"/>
    <n v="4.96"/>
    <n v="4"/>
    <n v="2.33"/>
    <x v="5"/>
    <x v="1"/>
  </r>
  <r>
    <d v="2022-06-22T00:00:00"/>
    <x v="53"/>
    <x v="1"/>
    <x v="1"/>
    <x v="13"/>
    <n v="796.43"/>
    <n v="7"/>
    <n v="-525.64"/>
    <x v="5"/>
    <x v="1"/>
  </r>
  <r>
    <d v="2022-06-22T00:00:00"/>
    <x v="661"/>
    <x v="20"/>
    <x v="0"/>
    <x v="3"/>
    <n v="1217.57"/>
    <n v="2"/>
    <n v="456.59"/>
    <x v="5"/>
    <x v="1"/>
  </r>
  <r>
    <d v="2022-06-23T00:00:00"/>
    <x v="247"/>
    <x v="22"/>
    <x v="2"/>
    <x v="6"/>
    <n v="201.57"/>
    <n v="4"/>
    <n v="22.68"/>
    <x v="5"/>
    <x v="1"/>
  </r>
  <r>
    <d v="2022-06-23T00:00:00"/>
    <x v="349"/>
    <x v="3"/>
    <x v="2"/>
    <x v="6"/>
    <n v="217.58"/>
    <n v="2"/>
    <n v="19.04"/>
    <x v="5"/>
    <x v="1"/>
  </r>
  <r>
    <d v="2022-06-23T00:00:00"/>
    <x v="349"/>
    <x v="3"/>
    <x v="0"/>
    <x v="7"/>
    <n v="5.43"/>
    <n v="3"/>
    <n v="1.79"/>
    <x v="5"/>
    <x v="1"/>
  </r>
  <r>
    <d v="2022-06-23T00:00:00"/>
    <x v="349"/>
    <x v="3"/>
    <x v="2"/>
    <x v="6"/>
    <n v="143.97999999999999"/>
    <n v="3"/>
    <n v="9"/>
    <x v="5"/>
    <x v="1"/>
  </r>
  <r>
    <d v="2022-06-23T00:00:00"/>
    <x v="211"/>
    <x v="4"/>
    <x v="1"/>
    <x v="8"/>
    <n v="27.42"/>
    <n v="3"/>
    <n v="9.32"/>
    <x v="5"/>
    <x v="1"/>
  </r>
  <r>
    <d v="2022-06-23T00:00:00"/>
    <x v="211"/>
    <x v="4"/>
    <x v="0"/>
    <x v="3"/>
    <n v="165.98"/>
    <n v="1"/>
    <n v="74.69"/>
    <x v="5"/>
    <x v="1"/>
  </r>
  <r>
    <d v="2022-06-23T00:00:00"/>
    <x v="211"/>
    <x v="4"/>
    <x v="2"/>
    <x v="9"/>
    <n v="75"/>
    <n v="3"/>
    <n v="18"/>
    <x v="5"/>
    <x v="1"/>
  </r>
  <r>
    <d v="2022-06-25T00:00:00"/>
    <x v="662"/>
    <x v="2"/>
    <x v="0"/>
    <x v="0"/>
    <n v="31.1"/>
    <n v="6"/>
    <n v="10.89"/>
    <x v="5"/>
    <x v="1"/>
  </r>
  <r>
    <d v="2022-06-25T00:00:00"/>
    <x v="662"/>
    <x v="2"/>
    <x v="0"/>
    <x v="2"/>
    <n v="78.260000000000005"/>
    <n v="2"/>
    <n v="-17.61"/>
    <x v="5"/>
    <x v="1"/>
  </r>
  <r>
    <d v="2022-06-25T00:00:00"/>
    <x v="453"/>
    <x v="3"/>
    <x v="1"/>
    <x v="8"/>
    <n v="204.85"/>
    <n v="5"/>
    <n v="57.36"/>
    <x v="5"/>
    <x v="1"/>
  </r>
  <r>
    <d v="2022-06-25T00:00:00"/>
    <x v="513"/>
    <x v="3"/>
    <x v="0"/>
    <x v="4"/>
    <n v="20.96"/>
    <n v="2"/>
    <n v="5.24"/>
    <x v="5"/>
    <x v="1"/>
  </r>
  <r>
    <d v="2022-06-25T00:00:00"/>
    <x v="513"/>
    <x v="3"/>
    <x v="0"/>
    <x v="3"/>
    <n v="88.75"/>
    <n v="3"/>
    <n v="27.74"/>
    <x v="5"/>
    <x v="1"/>
  </r>
  <r>
    <d v="2022-06-25T00:00:00"/>
    <x v="513"/>
    <x v="3"/>
    <x v="0"/>
    <x v="2"/>
    <n v="304.23"/>
    <n v="3"/>
    <n v="9.1300000000000008"/>
    <x v="5"/>
    <x v="1"/>
  </r>
  <r>
    <d v="2022-06-25T00:00:00"/>
    <x v="20"/>
    <x v="0"/>
    <x v="0"/>
    <x v="0"/>
    <n v="47.95"/>
    <n v="3"/>
    <n v="16.18"/>
    <x v="5"/>
    <x v="1"/>
  </r>
  <r>
    <d v="2022-06-25T00:00:00"/>
    <x v="20"/>
    <x v="0"/>
    <x v="0"/>
    <x v="3"/>
    <n v="0.98"/>
    <n v="2"/>
    <n v="-1.48"/>
    <x v="5"/>
    <x v="1"/>
  </r>
  <r>
    <d v="2022-06-25T00:00:00"/>
    <x v="20"/>
    <x v="0"/>
    <x v="1"/>
    <x v="8"/>
    <n v="75.38"/>
    <n v="9"/>
    <n v="-20.73"/>
    <x v="5"/>
    <x v="1"/>
  </r>
  <r>
    <d v="2022-06-25T00:00:00"/>
    <x v="20"/>
    <x v="0"/>
    <x v="0"/>
    <x v="1"/>
    <n v="4.6100000000000003"/>
    <n v="2"/>
    <n v="1.67"/>
    <x v="5"/>
    <x v="1"/>
  </r>
  <r>
    <d v="2022-06-26T00:00:00"/>
    <x v="174"/>
    <x v="14"/>
    <x v="2"/>
    <x v="9"/>
    <n v="41.9"/>
    <n v="2"/>
    <n v="8.8000000000000007"/>
    <x v="5"/>
    <x v="1"/>
  </r>
  <r>
    <d v="2022-06-26T00:00:00"/>
    <x v="52"/>
    <x v="6"/>
    <x v="0"/>
    <x v="3"/>
    <n v="143.96"/>
    <n v="4"/>
    <n v="69.099999999999994"/>
    <x v="5"/>
    <x v="1"/>
  </r>
  <r>
    <d v="2022-06-26T00:00:00"/>
    <x v="52"/>
    <x v="6"/>
    <x v="0"/>
    <x v="2"/>
    <n v="15.42"/>
    <n v="1"/>
    <n v="4.16"/>
    <x v="5"/>
    <x v="1"/>
  </r>
  <r>
    <d v="2022-06-26T00:00:00"/>
    <x v="52"/>
    <x v="6"/>
    <x v="0"/>
    <x v="3"/>
    <n v="43.04"/>
    <n v="8"/>
    <n v="21.09"/>
    <x v="5"/>
    <x v="1"/>
  </r>
  <r>
    <d v="2022-06-26T00:00:00"/>
    <x v="52"/>
    <x v="6"/>
    <x v="1"/>
    <x v="5"/>
    <n v="332.94"/>
    <n v="3"/>
    <n v="79.91"/>
    <x v="5"/>
    <x v="1"/>
  </r>
  <r>
    <d v="2022-06-26T00:00:00"/>
    <x v="329"/>
    <x v="0"/>
    <x v="2"/>
    <x v="6"/>
    <n v="971.88"/>
    <n v="3"/>
    <n v="109.34"/>
    <x v="5"/>
    <x v="1"/>
  </r>
  <r>
    <d v="2022-06-26T00:00:00"/>
    <x v="524"/>
    <x v="10"/>
    <x v="0"/>
    <x v="0"/>
    <n v="43.06"/>
    <n v="9"/>
    <n v="15.61"/>
    <x v="5"/>
    <x v="1"/>
  </r>
  <r>
    <d v="2022-06-28T00:00:00"/>
    <x v="563"/>
    <x v="12"/>
    <x v="0"/>
    <x v="1"/>
    <n v="5.9"/>
    <n v="2"/>
    <n v="1.99"/>
    <x v="5"/>
    <x v="1"/>
  </r>
  <r>
    <d v="2022-06-28T00:00:00"/>
    <x v="563"/>
    <x v="12"/>
    <x v="1"/>
    <x v="8"/>
    <n v="621.76"/>
    <n v="4"/>
    <n v="46.63"/>
    <x v="5"/>
    <x v="1"/>
  </r>
  <r>
    <d v="2022-06-28T00:00:00"/>
    <x v="360"/>
    <x v="10"/>
    <x v="0"/>
    <x v="0"/>
    <n v="15.55"/>
    <n v="3"/>
    <n v="5.44"/>
    <x v="5"/>
    <x v="1"/>
  </r>
  <r>
    <d v="2022-06-28T00:00:00"/>
    <x v="360"/>
    <x v="10"/>
    <x v="1"/>
    <x v="11"/>
    <n v="482.94"/>
    <n v="6"/>
    <n v="-376.69"/>
    <x v="5"/>
    <x v="1"/>
  </r>
  <r>
    <d v="2022-06-28T00:00:00"/>
    <x v="114"/>
    <x v="4"/>
    <x v="0"/>
    <x v="3"/>
    <n v="119.56"/>
    <n v="2"/>
    <n v="55"/>
    <x v="5"/>
    <x v="1"/>
  </r>
  <r>
    <d v="2022-06-28T00:00:00"/>
    <x v="114"/>
    <x v="4"/>
    <x v="0"/>
    <x v="4"/>
    <n v="140.75"/>
    <n v="5"/>
    <n v="42.23"/>
    <x v="5"/>
    <x v="1"/>
  </r>
  <r>
    <d v="2022-06-29T00:00:00"/>
    <x v="236"/>
    <x v="2"/>
    <x v="1"/>
    <x v="8"/>
    <n v="20.100000000000001"/>
    <n v="1"/>
    <n v="1.76"/>
    <x v="5"/>
    <x v="1"/>
  </r>
  <r>
    <d v="2022-06-29T00:00:00"/>
    <x v="147"/>
    <x v="20"/>
    <x v="0"/>
    <x v="0"/>
    <n v="24.96"/>
    <n v="4"/>
    <n v="11.23"/>
    <x v="5"/>
    <x v="1"/>
  </r>
  <r>
    <d v="2022-06-29T00:00:00"/>
    <x v="320"/>
    <x v="20"/>
    <x v="1"/>
    <x v="5"/>
    <n v="117.88"/>
    <n v="1"/>
    <n v="1.31"/>
    <x v="5"/>
    <x v="1"/>
  </r>
  <r>
    <d v="2022-06-29T00:00:00"/>
    <x v="82"/>
    <x v="40"/>
    <x v="2"/>
    <x v="6"/>
    <n v="269.98"/>
    <n v="2"/>
    <n v="72.89"/>
    <x v="5"/>
    <x v="1"/>
  </r>
  <r>
    <d v="2022-07-02T00:00:00"/>
    <x v="77"/>
    <x v="0"/>
    <x v="0"/>
    <x v="12"/>
    <n v="32.78"/>
    <n v="4"/>
    <n v="-85.24"/>
    <x v="6"/>
    <x v="1"/>
  </r>
  <r>
    <d v="2022-07-02T00:00:00"/>
    <x v="663"/>
    <x v="1"/>
    <x v="1"/>
    <x v="5"/>
    <n v="408.42"/>
    <n v="2"/>
    <n v="-5.83"/>
    <x v="6"/>
    <x v="1"/>
  </r>
  <r>
    <d v="2022-07-02T00:00:00"/>
    <x v="663"/>
    <x v="1"/>
    <x v="1"/>
    <x v="5"/>
    <n v="382.12"/>
    <n v="6"/>
    <n v="-92.8"/>
    <x v="6"/>
    <x v="1"/>
  </r>
  <r>
    <d v="2022-07-02T00:00:00"/>
    <x v="663"/>
    <x v="1"/>
    <x v="0"/>
    <x v="2"/>
    <n v="68.599999999999994"/>
    <n v="5"/>
    <n v="6"/>
    <x v="6"/>
    <x v="1"/>
  </r>
  <r>
    <d v="2022-07-02T00:00:00"/>
    <x v="663"/>
    <x v="1"/>
    <x v="0"/>
    <x v="2"/>
    <n v="435.5"/>
    <n v="3"/>
    <n v="48.99"/>
    <x v="6"/>
    <x v="1"/>
  </r>
  <r>
    <d v="2022-07-02T00:00:00"/>
    <x v="663"/>
    <x v="1"/>
    <x v="0"/>
    <x v="0"/>
    <n v="11.17"/>
    <n v="2"/>
    <n v="3.77"/>
    <x v="6"/>
    <x v="1"/>
  </r>
  <r>
    <d v="2022-07-02T00:00:00"/>
    <x v="366"/>
    <x v="16"/>
    <x v="0"/>
    <x v="0"/>
    <n v="11.95"/>
    <n v="3"/>
    <n v="4.03"/>
    <x v="6"/>
    <x v="1"/>
  </r>
  <r>
    <d v="2022-07-02T00:00:00"/>
    <x v="366"/>
    <x v="16"/>
    <x v="0"/>
    <x v="0"/>
    <n v="15.55"/>
    <n v="3"/>
    <n v="5.64"/>
    <x v="6"/>
    <x v="1"/>
  </r>
  <r>
    <d v="2022-07-02T00:00:00"/>
    <x v="50"/>
    <x v="20"/>
    <x v="0"/>
    <x v="0"/>
    <n v="19.440000000000001"/>
    <n v="3"/>
    <n v="9.33"/>
    <x v="6"/>
    <x v="1"/>
  </r>
  <r>
    <d v="2022-07-02T00:00:00"/>
    <x v="410"/>
    <x v="25"/>
    <x v="2"/>
    <x v="6"/>
    <n v="74.239999999999995"/>
    <n v="1"/>
    <n v="8.35"/>
    <x v="6"/>
    <x v="1"/>
  </r>
  <r>
    <d v="2022-07-02T00:00:00"/>
    <x v="410"/>
    <x v="25"/>
    <x v="1"/>
    <x v="8"/>
    <n v="159.84"/>
    <n v="10"/>
    <n v="45.95"/>
    <x v="6"/>
    <x v="1"/>
  </r>
  <r>
    <d v="2022-07-02T00:00:00"/>
    <x v="410"/>
    <x v="25"/>
    <x v="0"/>
    <x v="3"/>
    <n v="2.89"/>
    <n v="2"/>
    <n v="-2.31"/>
    <x v="6"/>
    <x v="1"/>
  </r>
  <r>
    <d v="2022-07-02T00:00:00"/>
    <x v="410"/>
    <x v="25"/>
    <x v="0"/>
    <x v="0"/>
    <n v="9.39"/>
    <n v="2"/>
    <n v="3.29"/>
    <x v="6"/>
    <x v="1"/>
  </r>
  <r>
    <d v="2022-07-03T00:00:00"/>
    <x v="664"/>
    <x v="5"/>
    <x v="1"/>
    <x v="5"/>
    <n v="70.98"/>
    <n v="1"/>
    <n v="4.97"/>
    <x v="6"/>
    <x v="1"/>
  </r>
  <r>
    <d v="2022-07-03T00:00:00"/>
    <x v="664"/>
    <x v="5"/>
    <x v="0"/>
    <x v="1"/>
    <n v="294.93"/>
    <n v="3"/>
    <n v="144.52000000000001"/>
    <x v="6"/>
    <x v="1"/>
  </r>
  <r>
    <d v="2022-07-03T00:00:00"/>
    <x v="486"/>
    <x v="2"/>
    <x v="1"/>
    <x v="8"/>
    <n v="168.46"/>
    <n v="2"/>
    <n v="-29.48"/>
    <x v="6"/>
    <x v="1"/>
  </r>
  <r>
    <d v="2022-07-03T00:00:00"/>
    <x v="486"/>
    <x v="2"/>
    <x v="0"/>
    <x v="0"/>
    <n v="6.72"/>
    <n v="2"/>
    <n v="2.44"/>
    <x v="6"/>
    <x v="1"/>
  </r>
  <r>
    <d v="2022-07-03T00:00:00"/>
    <x v="486"/>
    <x v="2"/>
    <x v="1"/>
    <x v="8"/>
    <n v="282.89"/>
    <n v="9"/>
    <n v="56.58"/>
    <x v="6"/>
    <x v="1"/>
  </r>
  <r>
    <d v="2022-07-04T00:00:00"/>
    <x v="576"/>
    <x v="21"/>
    <x v="2"/>
    <x v="6"/>
    <n v="1099.96"/>
    <n v="4"/>
    <n v="285.99"/>
    <x v="6"/>
    <x v="1"/>
  </r>
  <r>
    <d v="2022-07-04T00:00:00"/>
    <x v="525"/>
    <x v="20"/>
    <x v="0"/>
    <x v="4"/>
    <n v="15.48"/>
    <n v="3"/>
    <n v="4.49"/>
    <x v="6"/>
    <x v="1"/>
  </r>
  <r>
    <d v="2022-07-04T00:00:00"/>
    <x v="425"/>
    <x v="3"/>
    <x v="0"/>
    <x v="3"/>
    <n v="22.85"/>
    <n v="2"/>
    <n v="7.43"/>
    <x v="6"/>
    <x v="1"/>
  </r>
  <r>
    <d v="2022-07-05T00:00:00"/>
    <x v="302"/>
    <x v="25"/>
    <x v="1"/>
    <x v="8"/>
    <n v="4.93"/>
    <n v="2"/>
    <n v="0.74"/>
    <x v="6"/>
    <x v="1"/>
  </r>
  <r>
    <d v="2022-07-05T00:00:00"/>
    <x v="302"/>
    <x v="25"/>
    <x v="0"/>
    <x v="3"/>
    <n v="7.23"/>
    <n v="5"/>
    <n v="-5.78"/>
    <x v="6"/>
    <x v="1"/>
  </r>
  <r>
    <d v="2022-07-05T00:00:00"/>
    <x v="665"/>
    <x v="14"/>
    <x v="0"/>
    <x v="3"/>
    <n v="19"/>
    <n v="5"/>
    <n v="8.93"/>
    <x v="6"/>
    <x v="1"/>
  </r>
  <r>
    <d v="2022-07-05T00:00:00"/>
    <x v="363"/>
    <x v="2"/>
    <x v="2"/>
    <x v="9"/>
    <n v="34.799999999999997"/>
    <n v="3"/>
    <n v="2.1800000000000002"/>
    <x v="6"/>
    <x v="1"/>
  </r>
  <r>
    <d v="2022-07-05T00:00:00"/>
    <x v="363"/>
    <x v="2"/>
    <x v="0"/>
    <x v="2"/>
    <n v="38.979999999999997"/>
    <n v="3"/>
    <n v="-2.44"/>
    <x v="6"/>
    <x v="1"/>
  </r>
  <r>
    <d v="2022-07-05T00:00:00"/>
    <x v="138"/>
    <x v="25"/>
    <x v="1"/>
    <x v="8"/>
    <n v="4.93"/>
    <n v="2"/>
    <n v="0.74"/>
    <x v="6"/>
    <x v="1"/>
  </r>
  <r>
    <d v="2022-07-05T00:00:00"/>
    <x v="138"/>
    <x v="25"/>
    <x v="0"/>
    <x v="1"/>
    <n v="11.78"/>
    <n v="3"/>
    <n v="4.2699999999999996"/>
    <x v="6"/>
    <x v="1"/>
  </r>
  <r>
    <d v="2022-07-06T00:00:00"/>
    <x v="666"/>
    <x v="20"/>
    <x v="1"/>
    <x v="8"/>
    <n v="13.96"/>
    <n v="2"/>
    <n v="6.7"/>
    <x v="6"/>
    <x v="1"/>
  </r>
  <r>
    <d v="2022-07-06T00:00:00"/>
    <x v="666"/>
    <x v="20"/>
    <x v="1"/>
    <x v="8"/>
    <n v="155.82"/>
    <n v="3"/>
    <n v="63.89"/>
    <x v="6"/>
    <x v="1"/>
  </r>
  <r>
    <d v="2022-07-06T00:00:00"/>
    <x v="666"/>
    <x v="20"/>
    <x v="2"/>
    <x v="6"/>
    <n v="124.95"/>
    <n v="5"/>
    <n v="2.5"/>
    <x v="6"/>
    <x v="1"/>
  </r>
  <r>
    <d v="2022-07-06T00:00:00"/>
    <x v="666"/>
    <x v="20"/>
    <x v="0"/>
    <x v="2"/>
    <n v="601.65"/>
    <n v="5"/>
    <n v="156.43"/>
    <x v="6"/>
    <x v="1"/>
  </r>
  <r>
    <d v="2022-07-06T00:00:00"/>
    <x v="367"/>
    <x v="32"/>
    <x v="1"/>
    <x v="11"/>
    <n v="301.95999999999998"/>
    <n v="2"/>
    <n v="60.39"/>
    <x v="6"/>
    <x v="1"/>
  </r>
  <r>
    <d v="2022-07-06T00:00:00"/>
    <x v="605"/>
    <x v="3"/>
    <x v="1"/>
    <x v="5"/>
    <n v="170.35"/>
    <n v="3"/>
    <n v="-17.04"/>
    <x v="6"/>
    <x v="1"/>
  </r>
  <r>
    <d v="2022-07-06T00:00:00"/>
    <x v="302"/>
    <x v="23"/>
    <x v="0"/>
    <x v="4"/>
    <n v="11.12"/>
    <n v="4"/>
    <n v="2.89"/>
    <x v="6"/>
    <x v="1"/>
  </r>
  <r>
    <d v="2022-07-08T00:00:00"/>
    <x v="406"/>
    <x v="0"/>
    <x v="0"/>
    <x v="0"/>
    <n v="21.12"/>
    <n v="5"/>
    <n v="6.6"/>
    <x v="6"/>
    <x v="1"/>
  </r>
  <r>
    <d v="2022-07-09T00:00:00"/>
    <x v="595"/>
    <x v="32"/>
    <x v="0"/>
    <x v="0"/>
    <n v="6.58"/>
    <n v="2"/>
    <n v="3.03"/>
    <x v="6"/>
    <x v="1"/>
  </r>
  <r>
    <d v="2022-07-09T00:00:00"/>
    <x v="595"/>
    <x v="32"/>
    <x v="0"/>
    <x v="3"/>
    <n v="122.94"/>
    <n v="3"/>
    <n v="59.01"/>
    <x v="6"/>
    <x v="1"/>
  </r>
  <r>
    <d v="2022-07-09T00:00:00"/>
    <x v="185"/>
    <x v="15"/>
    <x v="0"/>
    <x v="4"/>
    <n v="5.16"/>
    <n v="3"/>
    <n v="0.84"/>
    <x v="6"/>
    <x v="1"/>
  </r>
  <r>
    <d v="2022-07-09T00:00:00"/>
    <x v="542"/>
    <x v="36"/>
    <x v="0"/>
    <x v="7"/>
    <n v="15.8"/>
    <n v="4"/>
    <n v="5.0599999999999996"/>
    <x v="6"/>
    <x v="1"/>
  </r>
  <r>
    <d v="2022-07-09T00:00:00"/>
    <x v="542"/>
    <x v="36"/>
    <x v="2"/>
    <x v="15"/>
    <n v="464.97"/>
    <n v="3"/>
    <n v="209.24"/>
    <x v="6"/>
    <x v="1"/>
  </r>
  <r>
    <d v="2022-07-09T00:00:00"/>
    <x v="542"/>
    <x v="36"/>
    <x v="1"/>
    <x v="8"/>
    <n v="181.96"/>
    <n v="2"/>
    <n v="20.02"/>
    <x v="6"/>
    <x v="1"/>
  </r>
  <r>
    <d v="2022-07-09T00:00:00"/>
    <x v="542"/>
    <x v="36"/>
    <x v="0"/>
    <x v="1"/>
    <n v="12.39"/>
    <n v="3"/>
    <n v="5.7"/>
    <x v="6"/>
    <x v="1"/>
  </r>
  <r>
    <d v="2022-07-09T00:00:00"/>
    <x v="542"/>
    <x v="36"/>
    <x v="0"/>
    <x v="3"/>
    <n v="84.09"/>
    <n v="3"/>
    <n v="42.05"/>
    <x v="6"/>
    <x v="1"/>
  </r>
  <r>
    <d v="2022-07-09T00:00:00"/>
    <x v="542"/>
    <x v="36"/>
    <x v="0"/>
    <x v="4"/>
    <n v="79.36"/>
    <n v="4"/>
    <n v="32.54"/>
    <x v="6"/>
    <x v="1"/>
  </r>
  <r>
    <d v="2022-07-09T00:00:00"/>
    <x v="542"/>
    <x v="36"/>
    <x v="0"/>
    <x v="3"/>
    <n v="153.36000000000001"/>
    <n v="9"/>
    <n v="70.55"/>
    <x v="6"/>
    <x v="1"/>
  </r>
  <r>
    <d v="2022-07-09T00:00:00"/>
    <x v="542"/>
    <x v="36"/>
    <x v="0"/>
    <x v="3"/>
    <n v="43.68"/>
    <n v="6"/>
    <n v="21.4"/>
    <x v="6"/>
    <x v="1"/>
  </r>
  <r>
    <d v="2022-07-09T00:00:00"/>
    <x v="542"/>
    <x v="36"/>
    <x v="0"/>
    <x v="2"/>
    <n v="98.21"/>
    <n v="7"/>
    <n v="28.48"/>
    <x v="6"/>
    <x v="1"/>
  </r>
  <r>
    <d v="2022-07-09T00:00:00"/>
    <x v="550"/>
    <x v="2"/>
    <x v="2"/>
    <x v="6"/>
    <n v="269.98"/>
    <n v="3"/>
    <n v="40.5"/>
    <x v="6"/>
    <x v="1"/>
  </r>
  <r>
    <d v="2022-07-09T00:00:00"/>
    <x v="148"/>
    <x v="0"/>
    <x v="0"/>
    <x v="12"/>
    <n v="48.63"/>
    <n v="2"/>
    <n v="-121.58"/>
    <x v="6"/>
    <x v="1"/>
  </r>
  <r>
    <d v="2022-07-10T00:00:00"/>
    <x v="281"/>
    <x v="12"/>
    <x v="0"/>
    <x v="3"/>
    <n v="3.37"/>
    <n v="3"/>
    <n v="-2.2400000000000002"/>
    <x v="6"/>
    <x v="1"/>
  </r>
  <r>
    <d v="2022-07-10T00:00:00"/>
    <x v="30"/>
    <x v="3"/>
    <x v="0"/>
    <x v="3"/>
    <n v="39.92"/>
    <n v="2"/>
    <n v="12.97"/>
    <x v="6"/>
    <x v="1"/>
  </r>
  <r>
    <d v="2022-07-11T00:00:00"/>
    <x v="584"/>
    <x v="2"/>
    <x v="1"/>
    <x v="8"/>
    <n v="289.8"/>
    <n v="7"/>
    <n v="36.229999999999997"/>
    <x v="6"/>
    <x v="1"/>
  </r>
  <r>
    <d v="2022-07-11T00:00:00"/>
    <x v="584"/>
    <x v="2"/>
    <x v="0"/>
    <x v="3"/>
    <n v="2.5"/>
    <n v="3"/>
    <n v="-2"/>
    <x v="6"/>
    <x v="1"/>
  </r>
  <r>
    <d v="2022-07-11T00:00:00"/>
    <x v="584"/>
    <x v="2"/>
    <x v="0"/>
    <x v="3"/>
    <n v="6.48"/>
    <n v="4"/>
    <n v="-4.75"/>
    <x v="6"/>
    <x v="1"/>
  </r>
  <r>
    <d v="2022-07-11T00:00:00"/>
    <x v="584"/>
    <x v="2"/>
    <x v="1"/>
    <x v="5"/>
    <n v="341.49"/>
    <n v="8"/>
    <n v="-73.180000000000007"/>
    <x v="6"/>
    <x v="1"/>
  </r>
  <r>
    <d v="2022-07-11T00:00:00"/>
    <x v="584"/>
    <x v="2"/>
    <x v="0"/>
    <x v="4"/>
    <n v="11.12"/>
    <n v="5"/>
    <n v="0.83"/>
    <x v="6"/>
    <x v="1"/>
  </r>
  <r>
    <d v="2022-07-11T00:00:00"/>
    <x v="584"/>
    <x v="2"/>
    <x v="1"/>
    <x v="8"/>
    <n v="25.34"/>
    <n v="6"/>
    <n v="3.48"/>
    <x v="6"/>
    <x v="1"/>
  </r>
  <r>
    <d v="2022-07-11T00:00:00"/>
    <x v="59"/>
    <x v="22"/>
    <x v="0"/>
    <x v="0"/>
    <n v="29.97"/>
    <n v="3"/>
    <n v="13.49"/>
    <x v="6"/>
    <x v="1"/>
  </r>
  <r>
    <d v="2022-07-11T00:00:00"/>
    <x v="59"/>
    <x v="22"/>
    <x v="0"/>
    <x v="3"/>
    <n v="98.35"/>
    <n v="3"/>
    <n v="34.42"/>
    <x v="6"/>
    <x v="1"/>
  </r>
  <r>
    <d v="2022-07-11T00:00:00"/>
    <x v="477"/>
    <x v="7"/>
    <x v="1"/>
    <x v="13"/>
    <n v="199.84"/>
    <n v="4"/>
    <n v="-37.11"/>
    <x v="6"/>
    <x v="1"/>
  </r>
  <r>
    <d v="2022-07-11T00:00:00"/>
    <x v="477"/>
    <x v="7"/>
    <x v="2"/>
    <x v="6"/>
    <n v="716"/>
    <n v="2"/>
    <n v="193.32"/>
    <x v="6"/>
    <x v="1"/>
  </r>
  <r>
    <d v="2022-07-11T00:00:00"/>
    <x v="477"/>
    <x v="7"/>
    <x v="0"/>
    <x v="3"/>
    <n v="221.06"/>
    <n v="7"/>
    <n v="103.9"/>
    <x v="6"/>
    <x v="1"/>
  </r>
  <r>
    <d v="2022-07-12T00:00:00"/>
    <x v="556"/>
    <x v="1"/>
    <x v="1"/>
    <x v="5"/>
    <n v="383.61"/>
    <n v="9"/>
    <n v="-5.48"/>
    <x v="6"/>
    <x v="1"/>
  </r>
  <r>
    <d v="2022-07-12T00:00:00"/>
    <x v="556"/>
    <x v="1"/>
    <x v="2"/>
    <x v="6"/>
    <n v="148.47999999999999"/>
    <n v="2"/>
    <n v="16.7"/>
    <x v="6"/>
    <x v="1"/>
  </r>
  <r>
    <d v="2022-07-12T00:00:00"/>
    <x v="556"/>
    <x v="1"/>
    <x v="2"/>
    <x v="6"/>
    <n v="537.54"/>
    <n v="7"/>
    <n v="53.75"/>
    <x v="6"/>
    <x v="1"/>
  </r>
  <r>
    <d v="2022-07-12T00:00:00"/>
    <x v="556"/>
    <x v="1"/>
    <x v="0"/>
    <x v="3"/>
    <n v="1.93"/>
    <n v="2"/>
    <n v="-2.99"/>
    <x v="6"/>
    <x v="1"/>
  </r>
  <r>
    <d v="2022-07-12T00:00:00"/>
    <x v="556"/>
    <x v="1"/>
    <x v="0"/>
    <x v="4"/>
    <n v="6.91"/>
    <n v="3"/>
    <n v="0.69"/>
    <x v="6"/>
    <x v="1"/>
  </r>
  <r>
    <d v="2022-07-12T00:00:00"/>
    <x v="556"/>
    <x v="1"/>
    <x v="1"/>
    <x v="8"/>
    <n v="7.76"/>
    <n v="1"/>
    <n v="-2.13"/>
    <x v="6"/>
    <x v="1"/>
  </r>
  <r>
    <d v="2022-07-12T00:00:00"/>
    <x v="556"/>
    <x v="1"/>
    <x v="2"/>
    <x v="6"/>
    <n v="659.17"/>
    <n v="4"/>
    <n v="49.44"/>
    <x v="6"/>
    <x v="1"/>
  </r>
  <r>
    <d v="2022-07-12T00:00:00"/>
    <x v="667"/>
    <x v="0"/>
    <x v="2"/>
    <x v="6"/>
    <n v="307.17"/>
    <n v="4"/>
    <n v="30.72"/>
    <x v="6"/>
    <x v="1"/>
  </r>
  <r>
    <d v="2022-07-13T00:00:00"/>
    <x v="11"/>
    <x v="20"/>
    <x v="0"/>
    <x v="3"/>
    <n v="11.81"/>
    <n v="2"/>
    <n v="4.28"/>
    <x v="6"/>
    <x v="1"/>
  </r>
  <r>
    <d v="2022-07-13T00:00:00"/>
    <x v="11"/>
    <x v="20"/>
    <x v="1"/>
    <x v="5"/>
    <n v="1931.04"/>
    <n v="9"/>
    <n v="321.83999999999997"/>
    <x v="6"/>
    <x v="1"/>
  </r>
  <r>
    <d v="2022-07-13T00:00:00"/>
    <x v="11"/>
    <x v="20"/>
    <x v="0"/>
    <x v="0"/>
    <n v="9.9600000000000009"/>
    <n v="2"/>
    <n v="4.68"/>
    <x v="6"/>
    <x v="1"/>
  </r>
  <r>
    <d v="2022-07-13T00:00:00"/>
    <x v="421"/>
    <x v="0"/>
    <x v="0"/>
    <x v="3"/>
    <n v="41.57"/>
    <n v="6"/>
    <n v="-66.510000000000005"/>
    <x v="6"/>
    <x v="1"/>
  </r>
  <r>
    <d v="2022-07-13T00:00:00"/>
    <x v="37"/>
    <x v="4"/>
    <x v="0"/>
    <x v="0"/>
    <n v="38.880000000000003"/>
    <n v="6"/>
    <n v="18.66"/>
    <x v="6"/>
    <x v="1"/>
  </r>
  <r>
    <d v="2022-07-14T00:00:00"/>
    <x v="614"/>
    <x v="12"/>
    <x v="0"/>
    <x v="2"/>
    <n v="272.74"/>
    <n v="3"/>
    <n v="-64.77"/>
    <x v="6"/>
    <x v="1"/>
  </r>
  <r>
    <d v="2022-07-14T00:00:00"/>
    <x v="614"/>
    <x v="12"/>
    <x v="0"/>
    <x v="0"/>
    <n v="18.5"/>
    <n v="4"/>
    <n v="6.7"/>
    <x v="6"/>
    <x v="1"/>
  </r>
  <r>
    <d v="2022-07-14T00:00:00"/>
    <x v="614"/>
    <x v="12"/>
    <x v="1"/>
    <x v="5"/>
    <n v="441.92"/>
    <n v="2"/>
    <n v="49.72"/>
    <x v="6"/>
    <x v="1"/>
  </r>
  <r>
    <d v="2022-07-14T00:00:00"/>
    <x v="614"/>
    <x v="12"/>
    <x v="1"/>
    <x v="11"/>
    <n v="127.76"/>
    <n v="6"/>
    <n v="-191.65"/>
    <x v="6"/>
    <x v="1"/>
  </r>
  <r>
    <d v="2022-07-16T00:00:00"/>
    <x v="654"/>
    <x v="3"/>
    <x v="1"/>
    <x v="5"/>
    <n v="1348.7"/>
    <n v="6"/>
    <n v="-219.16"/>
    <x v="6"/>
    <x v="1"/>
  </r>
  <r>
    <d v="2022-07-16T00:00:00"/>
    <x v="654"/>
    <x v="3"/>
    <x v="1"/>
    <x v="5"/>
    <n v="700.15"/>
    <n v="3"/>
    <n v="78.77"/>
    <x v="6"/>
    <x v="1"/>
  </r>
  <r>
    <d v="2022-07-16T00:00:00"/>
    <x v="124"/>
    <x v="20"/>
    <x v="0"/>
    <x v="0"/>
    <n v="80.88"/>
    <n v="3"/>
    <n v="39.630000000000003"/>
    <x v="6"/>
    <x v="1"/>
  </r>
  <r>
    <d v="2022-07-16T00:00:00"/>
    <x v="124"/>
    <x v="20"/>
    <x v="2"/>
    <x v="9"/>
    <n v="599.9"/>
    <n v="10"/>
    <n v="191.97"/>
    <x v="6"/>
    <x v="1"/>
  </r>
  <r>
    <d v="2022-07-16T00:00:00"/>
    <x v="588"/>
    <x v="36"/>
    <x v="1"/>
    <x v="5"/>
    <n v="150.97999999999999"/>
    <n v="1"/>
    <n v="43.78"/>
    <x v="6"/>
    <x v="1"/>
  </r>
  <r>
    <d v="2022-07-16T00:00:00"/>
    <x v="588"/>
    <x v="36"/>
    <x v="0"/>
    <x v="10"/>
    <n v="137.25"/>
    <n v="9"/>
    <n v="63.14"/>
    <x v="6"/>
    <x v="1"/>
  </r>
  <r>
    <d v="2022-07-16T00:00:00"/>
    <x v="588"/>
    <x v="36"/>
    <x v="0"/>
    <x v="7"/>
    <n v="11.52"/>
    <n v="4"/>
    <n v="5.41"/>
    <x v="6"/>
    <x v="1"/>
  </r>
  <r>
    <d v="2022-07-17T00:00:00"/>
    <x v="401"/>
    <x v="3"/>
    <x v="1"/>
    <x v="11"/>
    <n v="195.47"/>
    <n v="2"/>
    <n v="-13.8"/>
    <x v="6"/>
    <x v="1"/>
  </r>
  <r>
    <d v="2022-07-17T00:00:00"/>
    <x v="634"/>
    <x v="16"/>
    <x v="1"/>
    <x v="11"/>
    <n v="231.92"/>
    <n v="5"/>
    <n v="5.8"/>
    <x v="6"/>
    <x v="1"/>
  </r>
  <r>
    <d v="2022-07-17T00:00:00"/>
    <x v="668"/>
    <x v="0"/>
    <x v="0"/>
    <x v="1"/>
    <n v="6.26"/>
    <n v="3"/>
    <n v="2.04"/>
    <x v="6"/>
    <x v="1"/>
  </r>
  <r>
    <d v="2022-07-17T00:00:00"/>
    <x v="668"/>
    <x v="0"/>
    <x v="0"/>
    <x v="7"/>
    <n v="14.43"/>
    <n v="4"/>
    <n v="3.43"/>
    <x v="6"/>
    <x v="1"/>
  </r>
  <r>
    <d v="2022-07-18T00:00:00"/>
    <x v="334"/>
    <x v="3"/>
    <x v="2"/>
    <x v="9"/>
    <n v="519.96"/>
    <n v="4"/>
    <n v="176.79"/>
    <x v="6"/>
    <x v="1"/>
  </r>
  <r>
    <d v="2022-07-18T00:00:00"/>
    <x v="385"/>
    <x v="20"/>
    <x v="0"/>
    <x v="4"/>
    <n v="5.76"/>
    <n v="2"/>
    <n v="1.61"/>
    <x v="6"/>
    <x v="1"/>
  </r>
  <r>
    <d v="2022-07-18T00:00:00"/>
    <x v="137"/>
    <x v="20"/>
    <x v="0"/>
    <x v="3"/>
    <n v="3.33"/>
    <n v="2"/>
    <n v="1.21"/>
    <x v="6"/>
    <x v="1"/>
  </r>
  <r>
    <d v="2022-07-18T00:00:00"/>
    <x v="137"/>
    <x v="20"/>
    <x v="2"/>
    <x v="6"/>
    <n v="135.99"/>
    <n v="1"/>
    <n v="36.72"/>
    <x v="6"/>
    <x v="1"/>
  </r>
  <r>
    <d v="2022-07-18T00:00:00"/>
    <x v="137"/>
    <x v="20"/>
    <x v="1"/>
    <x v="8"/>
    <n v="7.38"/>
    <n v="1"/>
    <n v="2.14"/>
    <x v="6"/>
    <x v="1"/>
  </r>
  <r>
    <d v="2022-07-19T00:00:00"/>
    <x v="669"/>
    <x v="12"/>
    <x v="0"/>
    <x v="3"/>
    <n v="2.0299999999999998"/>
    <n v="1"/>
    <n v="-1.35"/>
    <x v="6"/>
    <x v="1"/>
  </r>
  <r>
    <d v="2022-07-20T00:00:00"/>
    <x v="670"/>
    <x v="18"/>
    <x v="0"/>
    <x v="2"/>
    <n v="34.76"/>
    <n v="1"/>
    <n v="9.73"/>
    <x v="6"/>
    <x v="1"/>
  </r>
  <r>
    <d v="2022-07-20T00:00:00"/>
    <x v="670"/>
    <x v="18"/>
    <x v="2"/>
    <x v="9"/>
    <n v="831.2"/>
    <n v="5"/>
    <n v="124.68"/>
    <x v="6"/>
    <x v="1"/>
  </r>
  <r>
    <d v="2022-07-20T00:00:00"/>
    <x v="670"/>
    <x v="18"/>
    <x v="0"/>
    <x v="0"/>
    <n v="26.4"/>
    <n v="5"/>
    <n v="11.88"/>
    <x v="6"/>
    <x v="1"/>
  </r>
  <r>
    <d v="2022-07-20T00:00:00"/>
    <x v="670"/>
    <x v="18"/>
    <x v="0"/>
    <x v="10"/>
    <n v="106.75"/>
    <n v="7"/>
    <n v="49.11"/>
    <x v="6"/>
    <x v="1"/>
  </r>
  <r>
    <d v="2022-07-20T00:00:00"/>
    <x v="670"/>
    <x v="18"/>
    <x v="0"/>
    <x v="0"/>
    <n v="97.82"/>
    <n v="2"/>
    <n v="45.98"/>
    <x v="6"/>
    <x v="1"/>
  </r>
  <r>
    <d v="2022-07-20T00:00:00"/>
    <x v="670"/>
    <x v="18"/>
    <x v="0"/>
    <x v="2"/>
    <n v="141.4"/>
    <n v="5"/>
    <n v="38.18"/>
    <x v="6"/>
    <x v="1"/>
  </r>
  <r>
    <d v="2022-07-20T00:00:00"/>
    <x v="277"/>
    <x v="1"/>
    <x v="0"/>
    <x v="3"/>
    <n v="2.88"/>
    <n v="5"/>
    <n v="-4.46"/>
    <x v="6"/>
    <x v="1"/>
  </r>
  <r>
    <d v="2022-07-20T00:00:00"/>
    <x v="277"/>
    <x v="1"/>
    <x v="1"/>
    <x v="11"/>
    <n v="384.94"/>
    <n v="4"/>
    <n v="-126.48"/>
    <x v="6"/>
    <x v="1"/>
  </r>
  <r>
    <d v="2022-07-20T00:00:00"/>
    <x v="277"/>
    <x v="1"/>
    <x v="2"/>
    <x v="6"/>
    <n v="153.58000000000001"/>
    <n v="2"/>
    <n v="13.44"/>
    <x v="6"/>
    <x v="1"/>
  </r>
  <r>
    <d v="2022-07-20T00:00:00"/>
    <x v="277"/>
    <x v="1"/>
    <x v="1"/>
    <x v="11"/>
    <n v="913.43"/>
    <n v="5"/>
    <n v="-52.2"/>
    <x v="6"/>
    <x v="1"/>
  </r>
  <r>
    <d v="2022-07-23T00:00:00"/>
    <x v="128"/>
    <x v="20"/>
    <x v="0"/>
    <x v="12"/>
    <n v="68.94"/>
    <n v="3"/>
    <n v="20.68"/>
    <x v="6"/>
    <x v="1"/>
  </r>
  <r>
    <d v="2022-07-23T00:00:00"/>
    <x v="128"/>
    <x v="20"/>
    <x v="1"/>
    <x v="8"/>
    <n v="128.82"/>
    <n v="3"/>
    <n v="50.24"/>
    <x v="6"/>
    <x v="1"/>
  </r>
  <r>
    <d v="2022-07-23T00:00:00"/>
    <x v="7"/>
    <x v="20"/>
    <x v="0"/>
    <x v="3"/>
    <n v="10.51"/>
    <n v="3"/>
    <n v="3.68"/>
    <x v="6"/>
    <x v="1"/>
  </r>
  <r>
    <d v="2022-07-24T00:00:00"/>
    <x v="301"/>
    <x v="5"/>
    <x v="1"/>
    <x v="8"/>
    <n v="20.94"/>
    <n v="3"/>
    <n v="6.07"/>
    <x v="6"/>
    <x v="1"/>
  </r>
  <r>
    <d v="2022-07-24T00:00:00"/>
    <x v="301"/>
    <x v="5"/>
    <x v="0"/>
    <x v="3"/>
    <n v="135.09"/>
    <n v="9"/>
    <n v="62.14"/>
    <x v="6"/>
    <x v="1"/>
  </r>
  <r>
    <d v="2022-07-24T00:00:00"/>
    <x v="301"/>
    <x v="5"/>
    <x v="2"/>
    <x v="9"/>
    <n v="279.86"/>
    <n v="14"/>
    <n v="64.37"/>
    <x v="6"/>
    <x v="1"/>
  </r>
  <r>
    <d v="2022-07-24T00:00:00"/>
    <x v="301"/>
    <x v="5"/>
    <x v="0"/>
    <x v="3"/>
    <n v="90.06"/>
    <n v="6"/>
    <n v="41.43"/>
    <x v="6"/>
    <x v="1"/>
  </r>
  <r>
    <d v="2022-07-25T00:00:00"/>
    <x v="237"/>
    <x v="2"/>
    <x v="0"/>
    <x v="3"/>
    <n v="25.18"/>
    <n v="4"/>
    <n v="-18.46"/>
    <x v="6"/>
    <x v="1"/>
  </r>
  <r>
    <d v="2022-07-25T00:00:00"/>
    <x v="289"/>
    <x v="22"/>
    <x v="0"/>
    <x v="7"/>
    <n v="9.42"/>
    <n v="2"/>
    <n v="0.47"/>
    <x v="6"/>
    <x v="1"/>
  </r>
  <r>
    <d v="2022-07-25T00:00:00"/>
    <x v="289"/>
    <x v="22"/>
    <x v="0"/>
    <x v="0"/>
    <n v="12.96"/>
    <n v="2"/>
    <n v="6.22"/>
    <x v="6"/>
    <x v="1"/>
  </r>
  <r>
    <d v="2022-07-25T00:00:00"/>
    <x v="289"/>
    <x v="22"/>
    <x v="1"/>
    <x v="11"/>
    <n v="704.9"/>
    <n v="5"/>
    <n v="56.39"/>
    <x v="6"/>
    <x v="1"/>
  </r>
  <r>
    <d v="2022-07-25T00:00:00"/>
    <x v="289"/>
    <x v="22"/>
    <x v="1"/>
    <x v="5"/>
    <n v="561.57000000000005"/>
    <n v="2"/>
    <n v="28.08"/>
    <x v="6"/>
    <x v="1"/>
  </r>
  <r>
    <d v="2022-07-25T00:00:00"/>
    <x v="598"/>
    <x v="33"/>
    <x v="0"/>
    <x v="10"/>
    <n v="98.46"/>
    <n v="9"/>
    <n v="49.23"/>
    <x v="6"/>
    <x v="1"/>
  </r>
  <r>
    <d v="2022-07-25T00:00:00"/>
    <x v="598"/>
    <x v="33"/>
    <x v="1"/>
    <x v="13"/>
    <n v="358.58"/>
    <n v="2"/>
    <n v="39.44"/>
    <x v="6"/>
    <x v="1"/>
  </r>
  <r>
    <d v="2022-07-25T00:00:00"/>
    <x v="446"/>
    <x v="3"/>
    <x v="2"/>
    <x v="6"/>
    <n v="623.96"/>
    <n v="5"/>
    <n v="39"/>
    <x v="6"/>
    <x v="1"/>
  </r>
  <r>
    <d v="2022-07-26T00:00:00"/>
    <x v="273"/>
    <x v="12"/>
    <x v="1"/>
    <x v="13"/>
    <n v="393.17"/>
    <n v="3"/>
    <n v="-204.45"/>
    <x v="6"/>
    <x v="1"/>
  </r>
  <r>
    <d v="2022-07-26T00:00:00"/>
    <x v="454"/>
    <x v="3"/>
    <x v="0"/>
    <x v="10"/>
    <n v="167.86"/>
    <n v="2"/>
    <n v="78.89"/>
    <x v="6"/>
    <x v="1"/>
  </r>
  <r>
    <d v="2022-07-26T00:00:00"/>
    <x v="244"/>
    <x v="3"/>
    <x v="0"/>
    <x v="3"/>
    <n v="9.14"/>
    <n v="3"/>
    <n v="3.09"/>
    <x v="6"/>
    <x v="1"/>
  </r>
  <r>
    <d v="2022-07-26T00:00:00"/>
    <x v="244"/>
    <x v="3"/>
    <x v="0"/>
    <x v="3"/>
    <n v="23.14"/>
    <n v="6"/>
    <n v="8.39"/>
    <x v="6"/>
    <x v="1"/>
  </r>
  <r>
    <d v="2022-07-26T00:00:00"/>
    <x v="244"/>
    <x v="3"/>
    <x v="0"/>
    <x v="4"/>
    <n v="99.2"/>
    <n v="5"/>
    <n v="25.79"/>
    <x v="6"/>
    <x v="1"/>
  </r>
  <r>
    <d v="2022-07-26T00:00:00"/>
    <x v="38"/>
    <x v="12"/>
    <x v="1"/>
    <x v="5"/>
    <n v="266.35000000000002"/>
    <n v="3"/>
    <n v="13.32"/>
    <x v="6"/>
    <x v="1"/>
  </r>
  <r>
    <d v="2022-07-26T00:00:00"/>
    <x v="83"/>
    <x v="2"/>
    <x v="0"/>
    <x v="0"/>
    <n v="10.37"/>
    <n v="2"/>
    <n v="3.63"/>
    <x v="6"/>
    <x v="1"/>
  </r>
  <r>
    <d v="2022-07-27T00:00:00"/>
    <x v="190"/>
    <x v="5"/>
    <x v="2"/>
    <x v="6"/>
    <n v="29.97"/>
    <n v="3"/>
    <n v="0.3"/>
    <x v="6"/>
    <x v="1"/>
  </r>
  <r>
    <d v="2022-07-30T00:00:00"/>
    <x v="454"/>
    <x v="3"/>
    <x v="2"/>
    <x v="9"/>
    <n v="209.93"/>
    <n v="7"/>
    <n v="92.37"/>
    <x v="6"/>
    <x v="1"/>
  </r>
  <r>
    <d v="2022-07-30T00:00:00"/>
    <x v="454"/>
    <x v="3"/>
    <x v="1"/>
    <x v="8"/>
    <n v="5.28"/>
    <n v="3"/>
    <n v="2.3199999999999998"/>
    <x v="6"/>
    <x v="1"/>
  </r>
  <r>
    <d v="2022-07-30T00:00:00"/>
    <x v="454"/>
    <x v="3"/>
    <x v="0"/>
    <x v="3"/>
    <n v="10.92"/>
    <n v="3"/>
    <n v="4.0999999999999996"/>
    <x v="6"/>
    <x v="1"/>
  </r>
  <r>
    <d v="2022-07-30T00:00:00"/>
    <x v="369"/>
    <x v="0"/>
    <x v="0"/>
    <x v="2"/>
    <n v="61.79"/>
    <n v="4"/>
    <n v="6.18"/>
    <x v="6"/>
    <x v="1"/>
  </r>
  <r>
    <d v="2022-07-30T00:00:00"/>
    <x v="292"/>
    <x v="28"/>
    <x v="1"/>
    <x v="5"/>
    <n v="155.88"/>
    <n v="6"/>
    <n v="38.97"/>
    <x v="6"/>
    <x v="1"/>
  </r>
  <r>
    <d v="2022-07-31T00:00:00"/>
    <x v="356"/>
    <x v="20"/>
    <x v="2"/>
    <x v="9"/>
    <n v="2309.65"/>
    <n v="7"/>
    <n v="762.18"/>
    <x v="6"/>
    <x v="1"/>
  </r>
  <r>
    <d v="2022-07-31T00:00:00"/>
    <x v="356"/>
    <x v="20"/>
    <x v="1"/>
    <x v="13"/>
    <n v="1090.78"/>
    <n v="7"/>
    <n v="-290.88"/>
    <x v="6"/>
    <x v="1"/>
  </r>
  <r>
    <d v="2022-07-31T00:00:00"/>
    <x v="356"/>
    <x v="20"/>
    <x v="0"/>
    <x v="0"/>
    <n v="19.440000000000001"/>
    <n v="3"/>
    <n v="9.33"/>
    <x v="6"/>
    <x v="1"/>
  </r>
  <r>
    <d v="2022-07-31T00:00:00"/>
    <x v="444"/>
    <x v="29"/>
    <x v="2"/>
    <x v="9"/>
    <n v="239.7"/>
    <n v="6"/>
    <n v="105.47"/>
    <x v="6"/>
    <x v="1"/>
  </r>
  <r>
    <d v="2022-07-31T00:00:00"/>
    <x v="571"/>
    <x v="24"/>
    <x v="0"/>
    <x v="14"/>
    <n v="52.59"/>
    <n v="3"/>
    <n v="15.78"/>
    <x v="6"/>
    <x v="1"/>
  </r>
  <r>
    <d v="2022-08-01T00:00:00"/>
    <x v="142"/>
    <x v="3"/>
    <x v="0"/>
    <x v="4"/>
    <n v="6.72"/>
    <n v="4"/>
    <n v="3.36"/>
    <x v="7"/>
    <x v="1"/>
  </r>
  <r>
    <d v="2022-08-01T00:00:00"/>
    <x v="142"/>
    <x v="3"/>
    <x v="1"/>
    <x v="13"/>
    <n v="1004.98"/>
    <n v="6"/>
    <n v="-175.87"/>
    <x v="7"/>
    <x v="1"/>
  </r>
  <r>
    <d v="2022-08-02T00:00:00"/>
    <x v="261"/>
    <x v="22"/>
    <x v="0"/>
    <x v="3"/>
    <n v="6.37"/>
    <n v="2"/>
    <n v="2.15"/>
    <x v="7"/>
    <x v="1"/>
  </r>
  <r>
    <d v="2022-08-02T00:00:00"/>
    <x v="261"/>
    <x v="22"/>
    <x v="2"/>
    <x v="15"/>
    <n v="558.4"/>
    <n v="2"/>
    <n v="41.88"/>
    <x v="7"/>
    <x v="1"/>
  </r>
  <r>
    <d v="2022-08-02T00:00:00"/>
    <x v="671"/>
    <x v="43"/>
    <x v="2"/>
    <x v="6"/>
    <n v="128.85"/>
    <n v="3"/>
    <n v="3.87"/>
    <x v="7"/>
    <x v="1"/>
  </r>
  <r>
    <d v="2022-08-02T00:00:00"/>
    <x v="671"/>
    <x v="43"/>
    <x v="0"/>
    <x v="0"/>
    <n v="8.4"/>
    <n v="2"/>
    <n v="4.12"/>
    <x v="7"/>
    <x v="1"/>
  </r>
  <r>
    <d v="2022-08-02T00:00:00"/>
    <x v="671"/>
    <x v="43"/>
    <x v="2"/>
    <x v="9"/>
    <n v="199.98"/>
    <n v="2"/>
    <n v="83.99"/>
    <x v="7"/>
    <x v="1"/>
  </r>
  <r>
    <d v="2022-08-02T00:00:00"/>
    <x v="671"/>
    <x v="43"/>
    <x v="1"/>
    <x v="5"/>
    <n v="110.98"/>
    <n v="1"/>
    <n v="15.54"/>
    <x v="7"/>
    <x v="1"/>
  </r>
  <r>
    <d v="2022-08-02T00:00:00"/>
    <x v="536"/>
    <x v="11"/>
    <x v="1"/>
    <x v="13"/>
    <n v="277.5"/>
    <n v="4"/>
    <n v="-188.7"/>
    <x v="7"/>
    <x v="1"/>
  </r>
  <r>
    <d v="2022-08-05T00:00:00"/>
    <x v="123"/>
    <x v="0"/>
    <x v="0"/>
    <x v="2"/>
    <n v="33.49"/>
    <n v="7"/>
    <n v="-1.26"/>
    <x v="7"/>
    <x v="1"/>
  </r>
  <r>
    <d v="2022-08-05T00:00:00"/>
    <x v="123"/>
    <x v="0"/>
    <x v="0"/>
    <x v="14"/>
    <n v="23.04"/>
    <n v="3"/>
    <n v="-4.9000000000000004"/>
    <x v="7"/>
    <x v="1"/>
  </r>
  <r>
    <d v="2022-08-05T00:00:00"/>
    <x v="123"/>
    <x v="0"/>
    <x v="0"/>
    <x v="3"/>
    <n v="1.36"/>
    <n v="1"/>
    <n v="-2.1800000000000002"/>
    <x v="7"/>
    <x v="1"/>
  </r>
  <r>
    <d v="2022-08-05T00:00:00"/>
    <x v="123"/>
    <x v="0"/>
    <x v="1"/>
    <x v="8"/>
    <n v="14.76"/>
    <n v="5"/>
    <n v="-11.44"/>
    <x v="7"/>
    <x v="1"/>
  </r>
  <r>
    <d v="2022-08-06T00:00:00"/>
    <x v="279"/>
    <x v="0"/>
    <x v="0"/>
    <x v="0"/>
    <n v="27.22"/>
    <n v="3"/>
    <n v="9.8699999999999992"/>
    <x v="7"/>
    <x v="1"/>
  </r>
  <r>
    <d v="2022-08-06T00:00:00"/>
    <x v="468"/>
    <x v="0"/>
    <x v="0"/>
    <x v="1"/>
    <n v="35.520000000000003"/>
    <n v="3"/>
    <n v="13.32"/>
    <x v="7"/>
    <x v="1"/>
  </r>
  <r>
    <d v="2022-08-06T00:00:00"/>
    <x v="468"/>
    <x v="0"/>
    <x v="0"/>
    <x v="3"/>
    <n v="6.23"/>
    <n v="5"/>
    <n v="-9.66"/>
    <x v="7"/>
    <x v="1"/>
  </r>
  <r>
    <d v="2022-08-06T00:00:00"/>
    <x v="468"/>
    <x v="0"/>
    <x v="0"/>
    <x v="0"/>
    <n v="56.7"/>
    <n v="2"/>
    <n v="19.14"/>
    <x v="7"/>
    <x v="1"/>
  </r>
  <r>
    <d v="2022-08-06T00:00:00"/>
    <x v="468"/>
    <x v="0"/>
    <x v="1"/>
    <x v="11"/>
    <n v="369.2"/>
    <n v="3"/>
    <n v="-114.02"/>
    <x v="7"/>
    <x v="1"/>
  </r>
  <r>
    <d v="2022-08-07T00:00:00"/>
    <x v="270"/>
    <x v="34"/>
    <x v="0"/>
    <x v="3"/>
    <n v="3.3"/>
    <n v="1"/>
    <n v="1.1200000000000001"/>
    <x v="7"/>
    <x v="1"/>
  </r>
  <r>
    <d v="2022-08-07T00:00:00"/>
    <x v="672"/>
    <x v="3"/>
    <x v="0"/>
    <x v="3"/>
    <n v="19.149999999999999"/>
    <n v="3"/>
    <n v="6.46"/>
    <x v="7"/>
    <x v="1"/>
  </r>
  <r>
    <d v="2022-08-07T00:00:00"/>
    <x v="439"/>
    <x v="24"/>
    <x v="0"/>
    <x v="3"/>
    <n v="28.4"/>
    <n v="4"/>
    <n v="13.06"/>
    <x v="7"/>
    <x v="1"/>
  </r>
  <r>
    <d v="2022-08-07T00:00:00"/>
    <x v="439"/>
    <x v="24"/>
    <x v="1"/>
    <x v="8"/>
    <n v="212.94"/>
    <n v="3"/>
    <n v="34.07"/>
    <x v="7"/>
    <x v="1"/>
  </r>
  <r>
    <d v="2022-08-07T00:00:00"/>
    <x v="232"/>
    <x v="2"/>
    <x v="0"/>
    <x v="4"/>
    <n v="106.8"/>
    <n v="10"/>
    <n v="10.68"/>
    <x v="7"/>
    <x v="1"/>
  </r>
  <r>
    <d v="2022-08-07T00:00:00"/>
    <x v="270"/>
    <x v="36"/>
    <x v="0"/>
    <x v="12"/>
    <n v="77.58"/>
    <n v="9"/>
    <n v="20.170000000000002"/>
    <x v="7"/>
    <x v="1"/>
  </r>
  <r>
    <d v="2022-08-07T00:00:00"/>
    <x v="673"/>
    <x v="6"/>
    <x v="2"/>
    <x v="6"/>
    <n v="494.97"/>
    <n v="3"/>
    <n v="148.49"/>
    <x v="7"/>
    <x v="1"/>
  </r>
  <r>
    <d v="2022-08-07T00:00:00"/>
    <x v="673"/>
    <x v="6"/>
    <x v="0"/>
    <x v="1"/>
    <n v="25.06"/>
    <n v="2"/>
    <n v="11.78"/>
    <x v="7"/>
    <x v="1"/>
  </r>
  <r>
    <d v="2022-08-08T00:00:00"/>
    <x v="426"/>
    <x v="3"/>
    <x v="0"/>
    <x v="3"/>
    <n v="6.61"/>
    <n v="2"/>
    <n v="2.23"/>
    <x v="7"/>
    <x v="1"/>
  </r>
  <r>
    <d v="2022-08-08T00:00:00"/>
    <x v="426"/>
    <x v="3"/>
    <x v="0"/>
    <x v="3"/>
    <n v="7.28"/>
    <n v="2"/>
    <n v="2.73"/>
    <x v="7"/>
    <x v="1"/>
  </r>
  <r>
    <d v="2022-08-08T00:00:00"/>
    <x v="426"/>
    <x v="3"/>
    <x v="1"/>
    <x v="5"/>
    <n v="144.78"/>
    <n v="1"/>
    <n v="10.86"/>
    <x v="7"/>
    <x v="1"/>
  </r>
  <r>
    <d v="2022-08-08T00:00:00"/>
    <x v="674"/>
    <x v="32"/>
    <x v="0"/>
    <x v="4"/>
    <n v="39.659999999999997"/>
    <n v="2"/>
    <n v="11.9"/>
    <x v="7"/>
    <x v="1"/>
  </r>
  <r>
    <d v="2022-08-08T00:00:00"/>
    <x v="674"/>
    <x v="32"/>
    <x v="0"/>
    <x v="12"/>
    <n v="113.92"/>
    <n v="2"/>
    <n v="33.04"/>
    <x v="7"/>
    <x v="1"/>
  </r>
  <r>
    <d v="2022-08-08T00:00:00"/>
    <x v="674"/>
    <x v="32"/>
    <x v="0"/>
    <x v="3"/>
    <n v="447.86"/>
    <n v="7"/>
    <n v="210.49"/>
    <x v="7"/>
    <x v="1"/>
  </r>
  <r>
    <d v="2022-08-08T00:00:00"/>
    <x v="122"/>
    <x v="20"/>
    <x v="2"/>
    <x v="9"/>
    <n v="79.989999999999995"/>
    <n v="1"/>
    <n v="28.8"/>
    <x v="7"/>
    <x v="1"/>
  </r>
  <r>
    <d v="2022-08-09T00:00:00"/>
    <x v="171"/>
    <x v="14"/>
    <x v="0"/>
    <x v="4"/>
    <n v="2.2000000000000002"/>
    <n v="1"/>
    <n v="0.97"/>
    <x v="7"/>
    <x v="1"/>
  </r>
  <r>
    <d v="2022-08-09T00:00:00"/>
    <x v="171"/>
    <x v="14"/>
    <x v="1"/>
    <x v="13"/>
    <n v="622.45000000000005"/>
    <n v="5"/>
    <n v="136.94"/>
    <x v="7"/>
    <x v="1"/>
  </r>
  <r>
    <d v="2022-08-09T00:00:00"/>
    <x v="171"/>
    <x v="14"/>
    <x v="0"/>
    <x v="2"/>
    <n v="21.98"/>
    <n v="1"/>
    <n v="0.22"/>
    <x v="7"/>
    <x v="1"/>
  </r>
  <r>
    <d v="2022-08-09T00:00:00"/>
    <x v="201"/>
    <x v="20"/>
    <x v="2"/>
    <x v="6"/>
    <n v="307.98"/>
    <n v="2"/>
    <n v="89.31"/>
    <x v="7"/>
    <x v="1"/>
  </r>
  <r>
    <d v="2022-08-09T00:00:00"/>
    <x v="201"/>
    <x v="20"/>
    <x v="1"/>
    <x v="13"/>
    <n v="382.81"/>
    <n v="9"/>
    <n v="-153.12"/>
    <x v="7"/>
    <x v="1"/>
  </r>
  <r>
    <d v="2022-08-09T00:00:00"/>
    <x v="201"/>
    <x v="20"/>
    <x v="0"/>
    <x v="2"/>
    <n v="41.96"/>
    <n v="2"/>
    <n v="2.94"/>
    <x v="7"/>
    <x v="1"/>
  </r>
  <r>
    <d v="2022-08-09T00:00:00"/>
    <x v="201"/>
    <x v="20"/>
    <x v="0"/>
    <x v="3"/>
    <n v="1217.57"/>
    <n v="2"/>
    <n v="456.59"/>
    <x v="7"/>
    <x v="1"/>
  </r>
  <r>
    <d v="2022-08-09T00:00:00"/>
    <x v="201"/>
    <x v="20"/>
    <x v="1"/>
    <x v="8"/>
    <n v="47.04"/>
    <n v="3"/>
    <n v="18.350000000000001"/>
    <x v="7"/>
    <x v="1"/>
  </r>
  <r>
    <d v="2022-08-09T00:00:00"/>
    <x v="201"/>
    <x v="20"/>
    <x v="1"/>
    <x v="8"/>
    <n v="6.16"/>
    <n v="2"/>
    <n v="2.96"/>
    <x v="7"/>
    <x v="1"/>
  </r>
  <r>
    <d v="2022-08-09T00:00:00"/>
    <x v="201"/>
    <x v="20"/>
    <x v="2"/>
    <x v="6"/>
    <n v="979.95"/>
    <n v="5"/>
    <n v="274.39"/>
    <x v="7"/>
    <x v="1"/>
  </r>
  <r>
    <d v="2022-08-09T00:00:00"/>
    <x v="201"/>
    <x v="20"/>
    <x v="0"/>
    <x v="0"/>
    <n v="143.69999999999999"/>
    <n v="3"/>
    <n v="68.98"/>
    <x v="7"/>
    <x v="1"/>
  </r>
  <r>
    <d v="2022-08-09T00:00:00"/>
    <x v="201"/>
    <x v="20"/>
    <x v="0"/>
    <x v="7"/>
    <n v="10.65"/>
    <n v="3"/>
    <n v="5.01"/>
    <x v="7"/>
    <x v="1"/>
  </r>
  <r>
    <d v="2022-08-09T00:00:00"/>
    <x v="201"/>
    <x v="20"/>
    <x v="2"/>
    <x v="9"/>
    <n v="247.8"/>
    <n v="4"/>
    <n v="34.69"/>
    <x v="7"/>
    <x v="1"/>
  </r>
  <r>
    <d v="2022-08-09T00:00:00"/>
    <x v="141"/>
    <x v="16"/>
    <x v="0"/>
    <x v="1"/>
    <n v="4.6100000000000003"/>
    <n v="2"/>
    <n v="1.67"/>
    <x v="7"/>
    <x v="1"/>
  </r>
  <r>
    <d v="2022-08-09T00:00:00"/>
    <x v="57"/>
    <x v="21"/>
    <x v="1"/>
    <x v="11"/>
    <n v="687.4"/>
    <n v="5"/>
    <n v="48.12"/>
    <x v="7"/>
    <x v="1"/>
  </r>
  <r>
    <d v="2022-08-09T00:00:00"/>
    <x v="407"/>
    <x v="20"/>
    <x v="1"/>
    <x v="8"/>
    <n v="10.02"/>
    <n v="3"/>
    <n v="4.41"/>
    <x v="7"/>
    <x v="1"/>
  </r>
  <r>
    <d v="2022-08-09T00:00:00"/>
    <x v="407"/>
    <x v="20"/>
    <x v="0"/>
    <x v="0"/>
    <n v="144.12"/>
    <n v="3"/>
    <n v="69.180000000000007"/>
    <x v="7"/>
    <x v="1"/>
  </r>
  <r>
    <d v="2022-08-10T00:00:00"/>
    <x v="488"/>
    <x v="28"/>
    <x v="0"/>
    <x v="1"/>
    <n v="3.75"/>
    <n v="1"/>
    <n v="1.8"/>
    <x v="7"/>
    <x v="1"/>
  </r>
  <r>
    <d v="2022-08-10T00:00:00"/>
    <x v="488"/>
    <x v="28"/>
    <x v="0"/>
    <x v="1"/>
    <n v="41.4"/>
    <n v="4"/>
    <n v="19.87"/>
    <x v="7"/>
    <x v="1"/>
  </r>
  <r>
    <d v="2022-08-10T00:00:00"/>
    <x v="488"/>
    <x v="28"/>
    <x v="0"/>
    <x v="4"/>
    <n v="29.79"/>
    <n v="3"/>
    <n v="12.51"/>
    <x v="7"/>
    <x v="1"/>
  </r>
  <r>
    <d v="2022-08-10T00:00:00"/>
    <x v="494"/>
    <x v="11"/>
    <x v="2"/>
    <x v="6"/>
    <n v="438.37"/>
    <n v="4"/>
    <n v="38.36"/>
    <x v="7"/>
    <x v="1"/>
  </r>
  <r>
    <d v="2022-08-10T00:00:00"/>
    <x v="494"/>
    <x v="11"/>
    <x v="2"/>
    <x v="6"/>
    <n v="139.94"/>
    <n v="7"/>
    <n v="-31.49"/>
    <x v="7"/>
    <x v="1"/>
  </r>
  <r>
    <d v="2022-08-10T00:00:00"/>
    <x v="494"/>
    <x v="11"/>
    <x v="0"/>
    <x v="12"/>
    <n v="133.47"/>
    <n v="4"/>
    <n v="15.02"/>
    <x v="7"/>
    <x v="1"/>
  </r>
  <r>
    <d v="2022-08-10T00:00:00"/>
    <x v="649"/>
    <x v="14"/>
    <x v="0"/>
    <x v="3"/>
    <n v="64.75"/>
    <n v="5"/>
    <n v="29.14"/>
    <x v="7"/>
    <x v="1"/>
  </r>
  <r>
    <d v="2022-08-11T00:00:00"/>
    <x v="220"/>
    <x v="25"/>
    <x v="1"/>
    <x v="8"/>
    <n v="46.15"/>
    <n v="3"/>
    <n v="12.11"/>
    <x v="7"/>
    <x v="1"/>
  </r>
  <r>
    <d v="2022-08-11T00:00:00"/>
    <x v="675"/>
    <x v="20"/>
    <x v="0"/>
    <x v="4"/>
    <n v="11.96"/>
    <n v="2"/>
    <n v="3.11"/>
    <x v="7"/>
    <x v="1"/>
  </r>
  <r>
    <d v="2022-08-11T00:00:00"/>
    <x v="675"/>
    <x v="20"/>
    <x v="2"/>
    <x v="6"/>
    <n v="138"/>
    <n v="2"/>
    <n v="34.5"/>
    <x v="7"/>
    <x v="1"/>
  </r>
  <r>
    <d v="2022-08-13T00:00:00"/>
    <x v="402"/>
    <x v="3"/>
    <x v="0"/>
    <x v="4"/>
    <n v="50.8"/>
    <n v="5"/>
    <n v="13.21"/>
    <x v="7"/>
    <x v="1"/>
  </r>
  <r>
    <d v="2022-08-13T00:00:00"/>
    <x v="584"/>
    <x v="4"/>
    <x v="0"/>
    <x v="3"/>
    <n v="5.64"/>
    <n v="3"/>
    <n v="2.71"/>
    <x v="7"/>
    <x v="1"/>
  </r>
  <r>
    <d v="2022-08-13T00:00:00"/>
    <x v="565"/>
    <x v="18"/>
    <x v="0"/>
    <x v="3"/>
    <n v="11.36"/>
    <n v="4"/>
    <n v="5.57"/>
    <x v="7"/>
    <x v="1"/>
  </r>
  <r>
    <d v="2022-08-13T00:00:00"/>
    <x v="28"/>
    <x v="2"/>
    <x v="0"/>
    <x v="2"/>
    <n v="422.86"/>
    <n v="3"/>
    <n v="15.86"/>
    <x v="7"/>
    <x v="1"/>
  </r>
  <r>
    <d v="2022-08-13T00:00:00"/>
    <x v="394"/>
    <x v="3"/>
    <x v="1"/>
    <x v="8"/>
    <n v="31.56"/>
    <n v="3"/>
    <n v="10.41"/>
    <x v="7"/>
    <x v="1"/>
  </r>
  <r>
    <d v="2022-08-13T00:00:00"/>
    <x v="271"/>
    <x v="25"/>
    <x v="0"/>
    <x v="4"/>
    <n v="64.680000000000007"/>
    <n v="7"/>
    <n v="8.09"/>
    <x v="7"/>
    <x v="1"/>
  </r>
  <r>
    <d v="2022-08-15T00:00:00"/>
    <x v="676"/>
    <x v="3"/>
    <x v="0"/>
    <x v="2"/>
    <n v="323.10000000000002"/>
    <n v="2"/>
    <n v="61.39"/>
    <x v="7"/>
    <x v="1"/>
  </r>
  <r>
    <d v="2022-08-15T00:00:00"/>
    <x v="238"/>
    <x v="3"/>
    <x v="1"/>
    <x v="8"/>
    <n v="104.23"/>
    <n v="7"/>
    <n v="28.14"/>
    <x v="7"/>
    <x v="1"/>
  </r>
  <r>
    <d v="2022-08-15T00:00:00"/>
    <x v="238"/>
    <x v="3"/>
    <x v="0"/>
    <x v="2"/>
    <n v="70.260000000000005"/>
    <n v="3"/>
    <n v="18.97"/>
    <x v="7"/>
    <x v="1"/>
  </r>
  <r>
    <d v="2022-08-16T00:00:00"/>
    <x v="522"/>
    <x v="12"/>
    <x v="0"/>
    <x v="4"/>
    <n v="2.2999999999999998"/>
    <n v="1"/>
    <n v="0.26"/>
    <x v="7"/>
    <x v="1"/>
  </r>
  <r>
    <d v="2022-08-16T00:00:00"/>
    <x v="522"/>
    <x v="12"/>
    <x v="2"/>
    <x v="6"/>
    <n v="1879.96"/>
    <n v="5"/>
    <n v="211.5"/>
    <x v="7"/>
    <x v="1"/>
  </r>
  <r>
    <d v="2022-08-16T00:00:00"/>
    <x v="522"/>
    <x v="12"/>
    <x v="0"/>
    <x v="0"/>
    <n v="313.02"/>
    <n v="8"/>
    <n v="105.65"/>
    <x v="7"/>
    <x v="1"/>
  </r>
  <r>
    <d v="2022-08-16T00:00:00"/>
    <x v="522"/>
    <x v="12"/>
    <x v="0"/>
    <x v="1"/>
    <n v="5.04"/>
    <n v="2"/>
    <n v="1.76"/>
    <x v="7"/>
    <x v="1"/>
  </r>
  <r>
    <d v="2022-08-16T00:00:00"/>
    <x v="569"/>
    <x v="2"/>
    <x v="2"/>
    <x v="6"/>
    <n v="519.79"/>
    <n v="4"/>
    <n v="-112.62"/>
    <x v="7"/>
    <x v="1"/>
  </r>
  <r>
    <d v="2022-08-16T00:00:00"/>
    <x v="569"/>
    <x v="2"/>
    <x v="2"/>
    <x v="9"/>
    <n v="31.18"/>
    <n v="3"/>
    <n v="-5.46"/>
    <x v="7"/>
    <x v="1"/>
  </r>
  <r>
    <d v="2022-08-16T00:00:00"/>
    <x v="569"/>
    <x v="2"/>
    <x v="0"/>
    <x v="0"/>
    <n v="10.37"/>
    <n v="2"/>
    <n v="3.63"/>
    <x v="7"/>
    <x v="1"/>
  </r>
  <r>
    <d v="2022-08-16T00:00:00"/>
    <x v="569"/>
    <x v="2"/>
    <x v="0"/>
    <x v="3"/>
    <n v="2.72"/>
    <n v="2"/>
    <n v="-1.91"/>
    <x v="7"/>
    <x v="1"/>
  </r>
  <r>
    <d v="2022-08-16T00:00:00"/>
    <x v="569"/>
    <x v="2"/>
    <x v="1"/>
    <x v="8"/>
    <n v="254.35"/>
    <n v="3"/>
    <n v="0"/>
    <x v="7"/>
    <x v="1"/>
  </r>
  <r>
    <d v="2022-08-16T00:00:00"/>
    <x v="569"/>
    <x v="2"/>
    <x v="0"/>
    <x v="3"/>
    <n v="3.76"/>
    <n v="3"/>
    <n v="-2.76"/>
    <x v="7"/>
    <x v="1"/>
  </r>
  <r>
    <d v="2022-08-16T00:00:00"/>
    <x v="569"/>
    <x v="2"/>
    <x v="0"/>
    <x v="0"/>
    <n v="10.27"/>
    <n v="3"/>
    <n v="3.21"/>
    <x v="7"/>
    <x v="1"/>
  </r>
  <r>
    <d v="2022-08-16T00:00:00"/>
    <x v="677"/>
    <x v="2"/>
    <x v="0"/>
    <x v="2"/>
    <n v="44.69"/>
    <n v="7"/>
    <n v="3.35"/>
    <x v="7"/>
    <x v="1"/>
  </r>
  <r>
    <d v="2022-08-16T00:00:00"/>
    <x v="677"/>
    <x v="2"/>
    <x v="1"/>
    <x v="11"/>
    <n v="301.47000000000003"/>
    <n v="3"/>
    <n v="-205"/>
    <x v="7"/>
    <x v="1"/>
  </r>
  <r>
    <d v="2022-08-17T00:00:00"/>
    <x v="678"/>
    <x v="32"/>
    <x v="0"/>
    <x v="3"/>
    <n v="52.2"/>
    <n v="9"/>
    <n v="23.49"/>
    <x v="7"/>
    <x v="1"/>
  </r>
  <r>
    <d v="2022-08-17T00:00:00"/>
    <x v="236"/>
    <x v="12"/>
    <x v="2"/>
    <x v="9"/>
    <n v="30.08"/>
    <n v="2"/>
    <n v="-5.26"/>
    <x v="7"/>
    <x v="1"/>
  </r>
  <r>
    <d v="2022-08-17T00:00:00"/>
    <x v="236"/>
    <x v="12"/>
    <x v="0"/>
    <x v="0"/>
    <n v="36.29"/>
    <n v="7"/>
    <n v="12.7"/>
    <x v="7"/>
    <x v="1"/>
  </r>
  <r>
    <d v="2022-08-17T00:00:00"/>
    <x v="236"/>
    <x v="12"/>
    <x v="0"/>
    <x v="4"/>
    <n v="10.27"/>
    <n v="3"/>
    <n v="1.1599999999999999"/>
    <x v="7"/>
    <x v="1"/>
  </r>
  <r>
    <d v="2022-08-17T00:00:00"/>
    <x v="236"/>
    <x v="12"/>
    <x v="2"/>
    <x v="9"/>
    <n v="252.8"/>
    <n v="4"/>
    <n v="-31.6"/>
    <x v="7"/>
    <x v="1"/>
  </r>
  <r>
    <d v="2022-08-21T00:00:00"/>
    <x v="327"/>
    <x v="3"/>
    <x v="1"/>
    <x v="5"/>
    <n v="544.01"/>
    <n v="3"/>
    <n v="40.799999999999997"/>
    <x v="7"/>
    <x v="1"/>
  </r>
  <r>
    <d v="2022-08-21T00:00:00"/>
    <x v="327"/>
    <x v="3"/>
    <x v="0"/>
    <x v="0"/>
    <n v="59.94"/>
    <n v="3"/>
    <n v="28.17"/>
    <x v="7"/>
    <x v="1"/>
  </r>
  <r>
    <d v="2022-08-21T00:00:00"/>
    <x v="327"/>
    <x v="3"/>
    <x v="0"/>
    <x v="0"/>
    <n v="23.92"/>
    <n v="4"/>
    <n v="11.72"/>
    <x v="7"/>
    <x v="1"/>
  </r>
  <r>
    <d v="2022-08-21T00:00:00"/>
    <x v="327"/>
    <x v="3"/>
    <x v="0"/>
    <x v="0"/>
    <n v="4.28"/>
    <n v="1"/>
    <n v="1.93"/>
    <x v="7"/>
    <x v="1"/>
  </r>
  <r>
    <d v="2022-08-21T00:00:00"/>
    <x v="171"/>
    <x v="3"/>
    <x v="1"/>
    <x v="11"/>
    <n v="586.4"/>
    <n v="6"/>
    <n v="34.49"/>
    <x v="7"/>
    <x v="1"/>
  </r>
  <r>
    <d v="2022-08-21T00:00:00"/>
    <x v="171"/>
    <x v="3"/>
    <x v="0"/>
    <x v="2"/>
    <n v="80.98"/>
    <n v="1"/>
    <n v="3.24"/>
    <x v="7"/>
    <x v="1"/>
  </r>
  <r>
    <d v="2022-08-21T00:00:00"/>
    <x v="549"/>
    <x v="10"/>
    <x v="0"/>
    <x v="3"/>
    <n v="12.83"/>
    <n v="2"/>
    <n v="-8.98"/>
    <x v="7"/>
    <x v="1"/>
  </r>
  <r>
    <d v="2022-08-21T00:00:00"/>
    <x v="549"/>
    <x v="10"/>
    <x v="1"/>
    <x v="5"/>
    <n v="598.46"/>
    <n v="3"/>
    <n v="-42.75"/>
    <x v="7"/>
    <x v="1"/>
  </r>
  <r>
    <d v="2022-08-21T00:00:00"/>
    <x v="549"/>
    <x v="10"/>
    <x v="1"/>
    <x v="8"/>
    <n v="25.98"/>
    <n v="1"/>
    <n v="-3.9"/>
    <x v="7"/>
    <x v="1"/>
  </r>
  <r>
    <d v="2022-08-21T00:00:00"/>
    <x v="418"/>
    <x v="5"/>
    <x v="0"/>
    <x v="4"/>
    <n v="17.52"/>
    <n v="3"/>
    <n v="8.23"/>
    <x v="7"/>
    <x v="1"/>
  </r>
  <r>
    <d v="2022-08-21T00:00:00"/>
    <x v="418"/>
    <x v="5"/>
    <x v="0"/>
    <x v="4"/>
    <n v="35.76"/>
    <n v="12"/>
    <n v="10.01"/>
    <x v="7"/>
    <x v="1"/>
  </r>
  <r>
    <d v="2022-08-21T00:00:00"/>
    <x v="88"/>
    <x v="2"/>
    <x v="0"/>
    <x v="14"/>
    <n v="3.49"/>
    <n v="2"/>
    <n v="-0.7"/>
    <x v="7"/>
    <x v="1"/>
  </r>
  <r>
    <d v="2022-08-21T00:00:00"/>
    <x v="88"/>
    <x v="2"/>
    <x v="2"/>
    <x v="9"/>
    <n v="21.73"/>
    <n v="4"/>
    <n v="3.8"/>
    <x v="7"/>
    <x v="1"/>
  </r>
  <r>
    <d v="2022-08-21T00:00:00"/>
    <x v="88"/>
    <x v="2"/>
    <x v="0"/>
    <x v="2"/>
    <n v="663.07"/>
    <n v="6"/>
    <n v="-165.77"/>
    <x v="7"/>
    <x v="1"/>
  </r>
  <r>
    <d v="2022-08-21T00:00:00"/>
    <x v="88"/>
    <x v="2"/>
    <x v="0"/>
    <x v="3"/>
    <n v="99.59"/>
    <n v="2"/>
    <n v="-82.99"/>
    <x v="7"/>
    <x v="1"/>
  </r>
  <r>
    <d v="2022-08-21T00:00:00"/>
    <x v="88"/>
    <x v="2"/>
    <x v="0"/>
    <x v="0"/>
    <n v="49.57"/>
    <n v="2"/>
    <n v="15.49"/>
    <x v="7"/>
    <x v="1"/>
  </r>
  <r>
    <d v="2022-08-22T00:00:00"/>
    <x v="679"/>
    <x v="20"/>
    <x v="0"/>
    <x v="3"/>
    <n v="50.11"/>
    <n v="6"/>
    <n v="16.29"/>
    <x v="7"/>
    <x v="1"/>
  </r>
  <r>
    <d v="2022-08-22T00:00:00"/>
    <x v="680"/>
    <x v="20"/>
    <x v="0"/>
    <x v="4"/>
    <n v="16.52"/>
    <n v="4"/>
    <n v="7.6"/>
    <x v="7"/>
    <x v="1"/>
  </r>
  <r>
    <d v="2022-08-23T00:00:00"/>
    <x v="210"/>
    <x v="1"/>
    <x v="0"/>
    <x v="14"/>
    <n v="31.68"/>
    <n v="4"/>
    <n v="2.77"/>
    <x v="7"/>
    <x v="1"/>
  </r>
  <r>
    <d v="2022-08-23T00:00:00"/>
    <x v="210"/>
    <x v="1"/>
    <x v="0"/>
    <x v="0"/>
    <n v="10.37"/>
    <n v="2"/>
    <n v="3.63"/>
    <x v="7"/>
    <x v="1"/>
  </r>
  <r>
    <d v="2022-08-23T00:00:00"/>
    <x v="210"/>
    <x v="1"/>
    <x v="0"/>
    <x v="7"/>
    <n v="12.03"/>
    <n v="8"/>
    <n v="2.2599999999999998"/>
    <x v="7"/>
    <x v="1"/>
  </r>
  <r>
    <d v="2022-08-23T00:00:00"/>
    <x v="210"/>
    <x v="1"/>
    <x v="0"/>
    <x v="12"/>
    <n v="5.77"/>
    <n v="2"/>
    <n v="-13.55"/>
    <x v="7"/>
    <x v="1"/>
  </r>
  <r>
    <d v="2022-08-23T00:00:00"/>
    <x v="681"/>
    <x v="4"/>
    <x v="0"/>
    <x v="12"/>
    <n v="542.94000000000005"/>
    <n v="3"/>
    <n v="152.02000000000001"/>
    <x v="7"/>
    <x v="1"/>
  </r>
  <r>
    <d v="2022-08-23T00:00:00"/>
    <x v="681"/>
    <x v="4"/>
    <x v="0"/>
    <x v="1"/>
    <n v="8.64"/>
    <n v="3"/>
    <n v="4.2300000000000004"/>
    <x v="7"/>
    <x v="1"/>
  </r>
  <r>
    <d v="2022-08-23T00:00:00"/>
    <x v="681"/>
    <x v="4"/>
    <x v="0"/>
    <x v="0"/>
    <n v="193.8"/>
    <n v="5"/>
    <n v="94.96"/>
    <x v="7"/>
    <x v="1"/>
  </r>
  <r>
    <d v="2022-08-23T00:00:00"/>
    <x v="681"/>
    <x v="4"/>
    <x v="0"/>
    <x v="0"/>
    <n v="21.4"/>
    <n v="5"/>
    <n v="9.6300000000000008"/>
    <x v="7"/>
    <x v="1"/>
  </r>
  <r>
    <d v="2022-08-23T00:00:00"/>
    <x v="681"/>
    <x v="4"/>
    <x v="0"/>
    <x v="0"/>
    <n v="97.88"/>
    <n v="2"/>
    <n v="48.94"/>
    <x v="7"/>
    <x v="1"/>
  </r>
  <r>
    <d v="2022-08-23T00:00:00"/>
    <x v="681"/>
    <x v="4"/>
    <x v="2"/>
    <x v="9"/>
    <n v="251.91"/>
    <n v="9"/>
    <n v="47.86"/>
    <x v="7"/>
    <x v="1"/>
  </r>
  <r>
    <d v="2022-08-23T00:00:00"/>
    <x v="681"/>
    <x v="4"/>
    <x v="0"/>
    <x v="12"/>
    <n v="25.86"/>
    <n v="3"/>
    <n v="6.72"/>
    <x v="7"/>
    <x v="1"/>
  </r>
  <r>
    <d v="2022-08-24T00:00:00"/>
    <x v="92"/>
    <x v="0"/>
    <x v="0"/>
    <x v="2"/>
    <n v="999.43"/>
    <n v="7"/>
    <n v="124.93"/>
    <x v="7"/>
    <x v="1"/>
  </r>
  <r>
    <d v="2022-08-24T00:00:00"/>
    <x v="92"/>
    <x v="0"/>
    <x v="0"/>
    <x v="2"/>
    <n v="724.08"/>
    <n v="14"/>
    <n v="-135.77000000000001"/>
    <x v="7"/>
    <x v="1"/>
  </r>
  <r>
    <d v="2022-08-24T00:00:00"/>
    <x v="92"/>
    <x v="0"/>
    <x v="1"/>
    <x v="13"/>
    <n v="918.79"/>
    <n v="5"/>
    <n v="-118.13"/>
    <x v="7"/>
    <x v="1"/>
  </r>
  <r>
    <d v="2022-08-24T00:00:00"/>
    <x v="92"/>
    <x v="0"/>
    <x v="0"/>
    <x v="3"/>
    <n v="2.72"/>
    <n v="3"/>
    <n v="-4.22"/>
    <x v="7"/>
    <x v="1"/>
  </r>
  <r>
    <d v="2022-08-24T00:00:00"/>
    <x v="654"/>
    <x v="20"/>
    <x v="1"/>
    <x v="13"/>
    <n v="284.36"/>
    <n v="2"/>
    <n v="-75.83"/>
    <x v="7"/>
    <x v="1"/>
  </r>
  <r>
    <d v="2022-08-24T00:00:00"/>
    <x v="654"/>
    <x v="20"/>
    <x v="2"/>
    <x v="9"/>
    <n v="26"/>
    <n v="2"/>
    <n v="11.7"/>
    <x v="7"/>
    <x v="1"/>
  </r>
  <r>
    <d v="2022-08-24T00:00:00"/>
    <x v="682"/>
    <x v="5"/>
    <x v="2"/>
    <x v="15"/>
    <n v="3080"/>
    <n v="7"/>
    <n v="1416.8"/>
    <x v="7"/>
    <x v="1"/>
  </r>
  <r>
    <d v="2022-08-24T00:00:00"/>
    <x v="682"/>
    <x v="5"/>
    <x v="2"/>
    <x v="9"/>
    <n v="79.959999999999994"/>
    <n v="4"/>
    <n v="18.39"/>
    <x v="7"/>
    <x v="1"/>
  </r>
  <r>
    <d v="2022-08-24T00:00:00"/>
    <x v="682"/>
    <x v="5"/>
    <x v="2"/>
    <x v="6"/>
    <n v="587.97"/>
    <n v="3"/>
    <n v="170.51"/>
    <x v="7"/>
    <x v="1"/>
  </r>
  <r>
    <d v="2022-08-24T00:00:00"/>
    <x v="59"/>
    <x v="20"/>
    <x v="1"/>
    <x v="8"/>
    <n v="14.91"/>
    <n v="3"/>
    <n v="4.62"/>
    <x v="7"/>
    <x v="1"/>
  </r>
  <r>
    <d v="2022-08-24T00:00:00"/>
    <x v="445"/>
    <x v="11"/>
    <x v="0"/>
    <x v="4"/>
    <n v="7.15"/>
    <n v="3"/>
    <n v="0.72"/>
    <x v="7"/>
    <x v="1"/>
  </r>
  <r>
    <d v="2022-08-24T00:00:00"/>
    <x v="102"/>
    <x v="10"/>
    <x v="2"/>
    <x v="6"/>
    <n v="26.98"/>
    <n v="3"/>
    <n v="4.05"/>
    <x v="7"/>
    <x v="1"/>
  </r>
  <r>
    <d v="2022-08-24T00:00:00"/>
    <x v="102"/>
    <x v="10"/>
    <x v="0"/>
    <x v="1"/>
    <n v="6.91"/>
    <n v="3"/>
    <n v="2.5099999999999998"/>
    <x v="7"/>
    <x v="1"/>
  </r>
  <r>
    <d v="2022-08-24T00:00:00"/>
    <x v="102"/>
    <x v="10"/>
    <x v="0"/>
    <x v="2"/>
    <n v="435.5"/>
    <n v="3"/>
    <n v="48.99"/>
    <x v="7"/>
    <x v="1"/>
  </r>
  <r>
    <d v="2022-08-25T00:00:00"/>
    <x v="483"/>
    <x v="3"/>
    <x v="1"/>
    <x v="5"/>
    <n v="40.78"/>
    <n v="1"/>
    <n v="4.59"/>
    <x v="7"/>
    <x v="1"/>
  </r>
  <r>
    <d v="2022-08-25T00:00:00"/>
    <x v="483"/>
    <x v="3"/>
    <x v="0"/>
    <x v="12"/>
    <n v="105.96"/>
    <n v="4"/>
    <n v="29.67"/>
    <x v="7"/>
    <x v="1"/>
  </r>
  <r>
    <d v="2022-08-25T00:00:00"/>
    <x v="260"/>
    <x v="0"/>
    <x v="1"/>
    <x v="8"/>
    <n v="20.100000000000001"/>
    <n v="2"/>
    <n v="-16.59"/>
    <x v="7"/>
    <x v="1"/>
  </r>
  <r>
    <d v="2022-08-25T00:00:00"/>
    <x v="260"/>
    <x v="0"/>
    <x v="0"/>
    <x v="3"/>
    <n v="3.8"/>
    <n v="1"/>
    <n v="-6.08"/>
    <x v="7"/>
    <x v="1"/>
  </r>
  <r>
    <d v="2022-08-25T00:00:00"/>
    <x v="260"/>
    <x v="0"/>
    <x v="1"/>
    <x v="8"/>
    <n v="7.88"/>
    <n v="5"/>
    <n v="-3.94"/>
    <x v="7"/>
    <x v="1"/>
  </r>
  <r>
    <d v="2022-08-27T00:00:00"/>
    <x v="371"/>
    <x v="3"/>
    <x v="0"/>
    <x v="2"/>
    <n v="484.65"/>
    <n v="3"/>
    <n v="92.08"/>
    <x v="7"/>
    <x v="1"/>
  </r>
  <r>
    <d v="2022-08-27T00:00:00"/>
    <x v="413"/>
    <x v="3"/>
    <x v="0"/>
    <x v="14"/>
    <n v="32.94"/>
    <n v="3"/>
    <n v="9.2200000000000006"/>
    <x v="7"/>
    <x v="1"/>
  </r>
  <r>
    <d v="2022-08-27T00:00:00"/>
    <x v="413"/>
    <x v="3"/>
    <x v="0"/>
    <x v="0"/>
    <n v="114.2"/>
    <n v="5"/>
    <n v="52.53"/>
    <x v="7"/>
    <x v="1"/>
  </r>
  <r>
    <d v="2022-08-27T00:00:00"/>
    <x v="413"/>
    <x v="3"/>
    <x v="0"/>
    <x v="1"/>
    <n v="3.08"/>
    <n v="1"/>
    <n v="1.48"/>
    <x v="7"/>
    <x v="1"/>
  </r>
  <r>
    <d v="2022-08-27T00:00:00"/>
    <x v="570"/>
    <x v="3"/>
    <x v="0"/>
    <x v="3"/>
    <n v="5.0999999999999996"/>
    <n v="1"/>
    <n v="1.66"/>
    <x v="7"/>
    <x v="1"/>
  </r>
  <r>
    <d v="2022-08-28T00:00:00"/>
    <x v="477"/>
    <x v="1"/>
    <x v="2"/>
    <x v="16"/>
    <n v="2799.96"/>
    <n v="5"/>
    <n v="874.99"/>
    <x v="7"/>
    <x v="1"/>
  </r>
  <r>
    <d v="2022-08-28T00:00:00"/>
    <x v="92"/>
    <x v="3"/>
    <x v="0"/>
    <x v="2"/>
    <n v="892.35"/>
    <n v="5"/>
    <n v="267.70999999999998"/>
    <x v="7"/>
    <x v="1"/>
  </r>
  <r>
    <d v="2022-08-28T00:00:00"/>
    <x v="92"/>
    <x v="3"/>
    <x v="1"/>
    <x v="11"/>
    <n v="307.67"/>
    <n v="2"/>
    <n v="28.96"/>
    <x v="7"/>
    <x v="1"/>
  </r>
  <r>
    <d v="2022-08-28T00:00:00"/>
    <x v="92"/>
    <x v="3"/>
    <x v="0"/>
    <x v="2"/>
    <n v="728.82"/>
    <n v="9"/>
    <n v="29.15"/>
    <x v="7"/>
    <x v="1"/>
  </r>
  <r>
    <d v="2022-08-28T00:00:00"/>
    <x v="92"/>
    <x v="3"/>
    <x v="0"/>
    <x v="3"/>
    <n v="41.36"/>
    <n v="5"/>
    <n v="13.96"/>
    <x v="7"/>
    <x v="1"/>
  </r>
  <r>
    <d v="2022-08-28T00:00:00"/>
    <x v="92"/>
    <x v="3"/>
    <x v="2"/>
    <x v="6"/>
    <n v="43.18"/>
    <n v="3"/>
    <n v="15.11"/>
    <x v="7"/>
    <x v="1"/>
  </r>
  <r>
    <d v="2022-08-28T00:00:00"/>
    <x v="92"/>
    <x v="3"/>
    <x v="1"/>
    <x v="8"/>
    <n v="4.16"/>
    <n v="2"/>
    <n v="1.75"/>
    <x v="7"/>
    <x v="1"/>
  </r>
  <r>
    <d v="2022-08-28T00:00:00"/>
    <x v="624"/>
    <x v="0"/>
    <x v="2"/>
    <x v="6"/>
    <n v="1099.96"/>
    <n v="5"/>
    <n v="82.5"/>
    <x v="7"/>
    <x v="1"/>
  </r>
  <r>
    <d v="2022-08-28T00:00:00"/>
    <x v="624"/>
    <x v="0"/>
    <x v="1"/>
    <x v="13"/>
    <n v="103.48"/>
    <n v="1"/>
    <n v="-16.260000000000002"/>
    <x v="7"/>
    <x v="1"/>
  </r>
  <r>
    <d v="2022-08-28T00:00:00"/>
    <x v="436"/>
    <x v="37"/>
    <x v="0"/>
    <x v="2"/>
    <n v="470.36"/>
    <n v="11"/>
    <n v="122.29"/>
    <x v="7"/>
    <x v="1"/>
  </r>
  <r>
    <d v="2022-08-29T00:00:00"/>
    <x v="570"/>
    <x v="14"/>
    <x v="2"/>
    <x v="6"/>
    <n v="131.97999999999999"/>
    <n v="2"/>
    <n v="35.630000000000003"/>
    <x v="7"/>
    <x v="1"/>
  </r>
  <r>
    <d v="2022-08-29T00:00:00"/>
    <x v="570"/>
    <x v="14"/>
    <x v="2"/>
    <x v="9"/>
    <n v="114.52"/>
    <n v="7"/>
    <n v="11.45"/>
    <x v="7"/>
    <x v="1"/>
  </r>
  <r>
    <d v="2022-08-31T00:00:00"/>
    <x v="177"/>
    <x v="3"/>
    <x v="0"/>
    <x v="0"/>
    <n v="58.32"/>
    <n v="9"/>
    <n v="27.99"/>
    <x v="7"/>
    <x v="1"/>
  </r>
  <r>
    <d v="2022-08-31T00:00:00"/>
    <x v="134"/>
    <x v="3"/>
    <x v="1"/>
    <x v="11"/>
    <n v="1552.83"/>
    <n v="7"/>
    <n v="200.95"/>
    <x v="7"/>
    <x v="1"/>
  </r>
  <r>
    <d v="2022-08-31T00:00:00"/>
    <x v="134"/>
    <x v="3"/>
    <x v="0"/>
    <x v="3"/>
    <n v="137.24"/>
    <n v="5"/>
    <n v="46.32"/>
    <x v="7"/>
    <x v="1"/>
  </r>
  <r>
    <d v="2022-08-31T00:00:00"/>
    <x v="134"/>
    <x v="3"/>
    <x v="2"/>
    <x v="9"/>
    <n v="36.51"/>
    <n v="1"/>
    <n v="15.7"/>
    <x v="7"/>
    <x v="1"/>
  </r>
  <r>
    <d v="2022-08-31T00:00:00"/>
    <x v="134"/>
    <x v="3"/>
    <x v="2"/>
    <x v="15"/>
    <n v="239.98"/>
    <n v="3"/>
    <n v="80.989999999999995"/>
    <x v="7"/>
    <x v="1"/>
  </r>
  <r>
    <d v="2022-08-31T00:00:00"/>
    <x v="26"/>
    <x v="0"/>
    <x v="0"/>
    <x v="0"/>
    <n v="20.96"/>
    <n v="4"/>
    <n v="6.81"/>
    <x v="7"/>
    <x v="1"/>
  </r>
  <r>
    <d v="2022-08-31T00:00:00"/>
    <x v="511"/>
    <x v="3"/>
    <x v="2"/>
    <x v="6"/>
    <n v="555.96"/>
    <n v="5"/>
    <n v="41.7"/>
    <x v="7"/>
    <x v="1"/>
  </r>
  <r>
    <d v="2022-09-01T00:00:00"/>
    <x v="440"/>
    <x v="3"/>
    <x v="0"/>
    <x v="3"/>
    <n v="4.75"/>
    <n v="1"/>
    <n v="1.6"/>
    <x v="8"/>
    <x v="1"/>
  </r>
  <r>
    <d v="2022-09-01T00:00:00"/>
    <x v="440"/>
    <x v="3"/>
    <x v="2"/>
    <x v="16"/>
    <n v="959.98"/>
    <n v="2"/>
    <n v="335.99"/>
    <x v="8"/>
    <x v="1"/>
  </r>
  <r>
    <d v="2022-09-01T00:00:00"/>
    <x v="440"/>
    <x v="3"/>
    <x v="0"/>
    <x v="3"/>
    <n v="14.37"/>
    <n v="4"/>
    <n v="4.49"/>
    <x v="8"/>
    <x v="1"/>
  </r>
  <r>
    <d v="2022-09-01T00:00:00"/>
    <x v="108"/>
    <x v="32"/>
    <x v="0"/>
    <x v="3"/>
    <n v="114.6"/>
    <n v="5"/>
    <n v="51.57"/>
    <x v="8"/>
    <x v="1"/>
  </r>
  <r>
    <d v="2022-09-01T00:00:00"/>
    <x v="108"/>
    <x v="32"/>
    <x v="1"/>
    <x v="5"/>
    <n v="60.74"/>
    <n v="1"/>
    <n v="15.19"/>
    <x v="8"/>
    <x v="1"/>
  </r>
  <r>
    <d v="2022-09-01T00:00:00"/>
    <x v="108"/>
    <x v="32"/>
    <x v="1"/>
    <x v="8"/>
    <n v="124.36"/>
    <n v="2"/>
    <n v="27.36"/>
    <x v="8"/>
    <x v="1"/>
  </r>
  <r>
    <d v="2022-09-01T00:00:00"/>
    <x v="108"/>
    <x v="32"/>
    <x v="0"/>
    <x v="2"/>
    <n v="1088.76"/>
    <n v="6"/>
    <n v="315.74"/>
    <x v="8"/>
    <x v="1"/>
  </r>
  <r>
    <d v="2022-09-03T00:00:00"/>
    <x v="520"/>
    <x v="25"/>
    <x v="0"/>
    <x v="10"/>
    <n v="200.98"/>
    <n v="7"/>
    <n v="62.81"/>
    <x v="8"/>
    <x v="1"/>
  </r>
  <r>
    <d v="2022-09-03T00:00:00"/>
    <x v="110"/>
    <x v="2"/>
    <x v="0"/>
    <x v="2"/>
    <n v="36.340000000000003"/>
    <n v="3"/>
    <n v="-7.27"/>
    <x v="8"/>
    <x v="1"/>
  </r>
  <r>
    <d v="2022-09-03T00:00:00"/>
    <x v="110"/>
    <x v="2"/>
    <x v="0"/>
    <x v="14"/>
    <n v="666.25"/>
    <n v="1"/>
    <n v="-149.91"/>
    <x v="8"/>
    <x v="1"/>
  </r>
  <r>
    <d v="2022-09-03T00:00:00"/>
    <x v="110"/>
    <x v="2"/>
    <x v="0"/>
    <x v="10"/>
    <n v="52.51"/>
    <n v="6"/>
    <n v="19.690000000000001"/>
    <x v="8"/>
    <x v="1"/>
  </r>
  <r>
    <d v="2022-09-03T00:00:00"/>
    <x v="639"/>
    <x v="3"/>
    <x v="0"/>
    <x v="2"/>
    <n v="31.44"/>
    <n v="3"/>
    <n v="8.49"/>
    <x v="8"/>
    <x v="1"/>
  </r>
  <r>
    <d v="2022-09-03T00:00:00"/>
    <x v="639"/>
    <x v="3"/>
    <x v="2"/>
    <x v="9"/>
    <n v="17.899999999999999"/>
    <n v="2"/>
    <n v="3.4"/>
    <x v="8"/>
    <x v="1"/>
  </r>
  <r>
    <d v="2022-09-03T00:00:00"/>
    <x v="639"/>
    <x v="3"/>
    <x v="2"/>
    <x v="9"/>
    <n v="129.44999999999999"/>
    <n v="5"/>
    <n v="46.6"/>
    <x v="8"/>
    <x v="1"/>
  </r>
  <r>
    <d v="2022-09-03T00:00:00"/>
    <x v="403"/>
    <x v="37"/>
    <x v="0"/>
    <x v="12"/>
    <n v="137.62"/>
    <n v="2"/>
    <n v="60.55"/>
    <x v="8"/>
    <x v="1"/>
  </r>
  <r>
    <d v="2022-09-03T00:00:00"/>
    <x v="403"/>
    <x v="37"/>
    <x v="2"/>
    <x v="6"/>
    <n v="100.49"/>
    <n v="1"/>
    <n v="25.12"/>
    <x v="8"/>
    <x v="1"/>
  </r>
  <r>
    <d v="2022-09-03T00:00:00"/>
    <x v="403"/>
    <x v="20"/>
    <x v="0"/>
    <x v="2"/>
    <n v="120.33"/>
    <n v="1"/>
    <n v="31.29"/>
    <x v="8"/>
    <x v="1"/>
  </r>
  <r>
    <d v="2022-09-03T00:00:00"/>
    <x v="326"/>
    <x v="3"/>
    <x v="1"/>
    <x v="5"/>
    <n v="129.57"/>
    <n v="2"/>
    <n v="-12.96"/>
    <x v="8"/>
    <x v="1"/>
  </r>
  <r>
    <d v="2022-09-03T00:00:00"/>
    <x v="326"/>
    <x v="3"/>
    <x v="0"/>
    <x v="3"/>
    <n v="6.37"/>
    <n v="2"/>
    <n v="2.15"/>
    <x v="8"/>
    <x v="1"/>
  </r>
  <r>
    <d v="2022-09-03T00:00:00"/>
    <x v="552"/>
    <x v="12"/>
    <x v="1"/>
    <x v="8"/>
    <n v="238.15"/>
    <n v="3"/>
    <n v="89.31"/>
    <x v="8"/>
    <x v="1"/>
  </r>
  <r>
    <d v="2022-09-03T00:00:00"/>
    <x v="209"/>
    <x v="14"/>
    <x v="0"/>
    <x v="1"/>
    <n v="7.5"/>
    <n v="2"/>
    <n v="3.6"/>
    <x v="8"/>
    <x v="1"/>
  </r>
  <r>
    <d v="2022-09-04T00:00:00"/>
    <x v="349"/>
    <x v="4"/>
    <x v="0"/>
    <x v="0"/>
    <n v="279.89999999999998"/>
    <n v="5"/>
    <n v="137.15"/>
    <x v="8"/>
    <x v="1"/>
  </r>
  <r>
    <d v="2022-09-04T00:00:00"/>
    <x v="349"/>
    <x v="4"/>
    <x v="2"/>
    <x v="9"/>
    <n v="619.95000000000005"/>
    <n v="5"/>
    <n v="111.59"/>
    <x v="8"/>
    <x v="1"/>
  </r>
  <r>
    <d v="2022-09-04T00:00:00"/>
    <x v="349"/>
    <x v="4"/>
    <x v="0"/>
    <x v="0"/>
    <n v="4.3600000000000003"/>
    <n v="2"/>
    <n v="2.0499999999999998"/>
    <x v="8"/>
    <x v="1"/>
  </r>
  <r>
    <d v="2022-09-04T00:00:00"/>
    <x v="349"/>
    <x v="4"/>
    <x v="0"/>
    <x v="10"/>
    <n v="15.28"/>
    <n v="2"/>
    <n v="7.49"/>
    <x v="8"/>
    <x v="1"/>
  </r>
  <r>
    <d v="2022-09-04T00:00:00"/>
    <x v="127"/>
    <x v="11"/>
    <x v="0"/>
    <x v="3"/>
    <n v="9.76"/>
    <n v="2"/>
    <n v="-6.83"/>
    <x v="8"/>
    <x v="1"/>
  </r>
  <r>
    <d v="2022-09-04T00:00:00"/>
    <x v="171"/>
    <x v="0"/>
    <x v="2"/>
    <x v="9"/>
    <n v="134.38"/>
    <n v="3"/>
    <n v="6.72"/>
    <x v="8"/>
    <x v="1"/>
  </r>
  <r>
    <d v="2022-09-04T00:00:00"/>
    <x v="678"/>
    <x v="2"/>
    <x v="0"/>
    <x v="3"/>
    <n v="7.66"/>
    <n v="4"/>
    <n v="-6.12"/>
    <x v="8"/>
    <x v="1"/>
  </r>
  <r>
    <d v="2022-09-05T00:00:00"/>
    <x v="316"/>
    <x v="3"/>
    <x v="1"/>
    <x v="11"/>
    <n v="411.33"/>
    <n v="4"/>
    <n v="-4.84"/>
    <x v="8"/>
    <x v="1"/>
  </r>
  <r>
    <d v="2022-09-05T00:00:00"/>
    <x v="316"/>
    <x v="3"/>
    <x v="0"/>
    <x v="3"/>
    <n v="28.75"/>
    <n v="6"/>
    <n v="9.6999999999999993"/>
    <x v="8"/>
    <x v="1"/>
  </r>
  <r>
    <d v="2022-09-05T00:00:00"/>
    <x v="316"/>
    <x v="3"/>
    <x v="1"/>
    <x v="11"/>
    <n v="293.2"/>
    <n v="3"/>
    <n v="-20.7"/>
    <x v="8"/>
    <x v="1"/>
  </r>
  <r>
    <d v="2022-09-05T00:00:00"/>
    <x v="683"/>
    <x v="0"/>
    <x v="0"/>
    <x v="3"/>
    <n v="16.27"/>
    <n v="5"/>
    <n v="-25.22"/>
    <x v="8"/>
    <x v="1"/>
  </r>
  <r>
    <d v="2022-09-05T00:00:00"/>
    <x v="683"/>
    <x v="0"/>
    <x v="0"/>
    <x v="14"/>
    <n v="69.12"/>
    <n v="9"/>
    <n v="-14.69"/>
    <x v="8"/>
    <x v="1"/>
  </r>
  <r>
    <d v="2022-09-05T00:00:00"/>
    <x v="683"/>
    <x v="0"/>
    <x v="0"/>
    <x v="3"/>
    <n v="4.47"/>
    <n v="3"/>
    <n v="-7.82"/>
    <x v="8"/>
    <x v="1"/>
  </r>
  <r>
    <d v="2022-09-05T00:00:00"/>
    <x v="569"/>
    <x v="28"/>
    <x v="1"/>
    <x v="8"/>
    <n v="6.16"/>
    <n v="2"/>
    <n v="2.96"/>
    <x v="8"/>
    <x v="1"/>
  </r>
  <r>
    <d v="2022-09-05T00:00:00"/>
    <x v="569"/>
    <x v="28"/>
    <x v="0"/>
    <x v="0"/>
    <n v="36.840000000000003"/>
    <n v="3"/>
    <n v="17.309999999999999"/>
    <x v="8"/>
    <x v="1"/>
  </r>
  <r>
    <d v="2022-09-05T00:00:00"/>
    <x v="581"/>
    <x v="6"/>
    <x v="1"/>
    <x v="8"/>
    <n v="67.959999999999994"/>
    <n v="4"/>
    <n v="12.23"/>
    <x v="8"/>
    <x v="1"/>
  </r>
  <r>
    <d v="2022-09-06T00:00:00"/>
    <x v="165"/>
    <x v="22"/>
    <x v="0"/>
    <x v="3"/>
    <n v="6.1"/>
    <n v="2"/>
    <n v="2.13"/>
    <x v="8"/>
    <x v="1"/>
  </r>
  <r>
    <d v="2022-09-06T00:00:00"/>
    <x v="165"/>
    <x v="22"/>
    <x v="1"/>
    <x v="8"/>
    <n v="191.82"/>
    <n v="3"/>
    <n v="74.81"/>
    <x v="8"/>
    <x v="1"/>
  </r>
  <r>
    <d v="2022-09-06T00:00:00"/>
    <x v="604"/>
    <x v="3"/>
    <x v="2"/>
    <x v="9"/>
    <n v="46.32"/>
    <n v="4"/>
    <n v="18.059999999999999"/>
    <x v="8"/>
    <x v="1"/>
  </r>
  <r>
    <d v="2022-09-06T00:00:00"/>
    <x v="684"/>
    <x v="20"/>
    <x v="1"/>
    <x v="5"/>
    <n v="271.76"/>
    <n v="2"/>
    <n v="60.39"/>
    <x v="8"/>
    <x v="1"/>
  </r>
  <r>
    <d v="2022-09-06T00:00:00"/>
    <x v="38"/>
    <x v="15"/>
    <x v="0"/>
    <x v="7"/>
    <n v="7.24"/>
    <n v="5"/>
    <n v="1.18"/>
    <x v="8"/>
    <x v="1"/>
  </r>
  <r>
    <d v="2022-09-06T00:00:00"/>
    <x v="538"/>
    <x v="16"/>
    <x v="0"/>
    <x v="3"/>
    <n v="3.44"/>
    <n v="1"/>
    <n v="-2.5299999999999998"/>
    <x v="8"/>
    <x v="1"/>
  </r>
  <r>
    <d v="2022-09-06T00:00:00"/>
    <x v="14"/>
    <x v="20"/>
    <x v="0"/>
    <x v="12"/>
    <n v="8.39"/>
    <n v="1"/>
    <n v="2.1"/>
    <x v="8"/>
    <x v="1"/>
  </r>
  <r>
    <d v="2022-09-06T00:00:00"/>
    <x v="14"/>
    <x v="20"/>
    <x v="2"/>
    <x v="6"/>
    <n v="337.98"/>
    <n v="2"/>
    <n v="101.39"/>
    <x v="8"/>
    <x v="1"/>
  </r>
  <r>
    <d v="2022-09-06T00:00:00"/>
    <x v="340"/>
    <x v="6"/>
    <x v="0"/>
    <x v="3"/>
    <n v="46.62"/>
    <n v="9"/>
    <n v="21.45"/>
    <x v="8"/>
    <x v="1"/>
  </r>
  <r>
    <d v="2022-09-06T00:00:00"/>
    <x v="661"/>
    <x v="8"/>
    <x v="1"/>
    <x v="13"/>
    <n v="85.98"/>
    <n v="1"/>
    <n v="22.35"/>
    <x v="8"/>
    <x v="1"/>
  </r>
  <r>
    <d v="2022-09-07T00:00:00"/>
    <x v="454"/>
    <x v="3"/>
    <x v="0"/>
    <x v="2"/>
    <n v="671.93"/>
    <n v="7"/>
    <n v="20.16"/>
    <x v="8"/>
    <x v="1"/>
  </r>
  <r>
    <d v="2022-09-07T00:00:00"/>
    <x v="309"/>
    <x v="0"/>
    <x v="1"/>
    <x v="5"/>
    <n v="47.52"/>
    <n v="2"/>
    <n v="-2.04"/>
    <x v="8"/>
    <x v="1"/>
  </r>
  <r>
    <d v="2022-09-07T00:00:00"/>
    <x v="387"/>
    <x v="20"/>
    <x v="0"/>
    <x v="2"/>
    <n v="13.96"/>
    <n v="2"/>
    <n v="0.28000000000000003"/>
    <x v="8"/>
    <x v="1"/>
  </r>
  <r>
    <d v="2022-09-07T00:00:00"/>
    <x v="387"/>
    <x v="20"/>
    <x v="1"/>
    <x v="13"/>
    <n v="27.41"/>
    <n v="3"/>
    <n v="-14.16"/>
    <x v="8"/>
    <x v="1"/>
  </r>
  <r>
    <d v="2022-09-07T00:00:00"/>
    <x v="382"/>
    <x v="2"/>
    <x v="0"/>
    <x v="3"/>
    <n v="9.52"/>
    <n v="1"/>
    <n v="-6.98"/>
    <x v="8"/>
    <x v="1"/>
  </r>
  <r>
    <d v="2022-09-07T00:00:00"/>
    <x v="382"/>
    <x v="2"/>
    <x v="2"/>
    <x v="6"/>
    <n v="791.96"/>
    <n v="6"/>
    <n v="-131.99"/>
    <x v="8"/>
    <x v="1"/>
  </r>
  <r>
    <d v="2022-09-07T00:00:00"/>
    <x v="382"/>
    <x v="2"/>
    <x v="0"/>
    <x v="3"/>
    <n v="4.92"/>
    <n v="3"/>
    <n v="-3.94"/>
    <x v="8"/>
    <x v="1"/>
  </r>
  <r>
    <d v="2022-09-07T00:00:00"/>
    <x v="369"/>
    <x v="25"/>
    <x v="0"/>
    <x v="4"/>
    <n v="140.74"/>
    <n v="4"/>
    <n v="12.31"/>
    <x v="8"/>
    <x v="1"/>
  </r>
  <r>
    <d v="2022-09-07T00:00:00"/>
    <x v="451"/>
    <x v="20"/>
    <x v="2"/>
    <x v="9"/>
    <n v="559.92999999999995"/>
    <n v="7"/>
    <n v="167.98"/>
    <x v="8"/>
    <x v="1"/>
  </r>
  <r>
    <d v="2022-09-07T00:00:00"/>
    <x v="340"/>
    <x v="20"/>
    <x v="0"/>
    <x v="2"/>
    <n v="70.260000000000005"/>
    <n v="3"/>
    <n v="18.97"/>
    <x v="8"/>
    <x v="1"/>
  </r>
  <r>
    <d v="2022-09-07T00:00:00"/>
    <x v="340"/>
    <x v="20"/>
    <x v="2"/>
    <x v="9"/>
    <n v="90"/>
    <n v="5"/>
    <n v="16.2"/>
    <x v="8"/>
    <x v="1"/>
  </r>
  <r>
    <d v="2022-09-07T00:00:00"/>
    <x v="340"/>
    <x v="20"/>
    <x v="0"/>
    <x v="3"/>
    <n v="6.1"/>
    <n v="2"/>
    <n v="2.06"/>
    <x v="8"/>
    <x v="1"/>
  </r>
  <r>
    <d v="2022-09-07T00:00:00"/>
    <x v="340"/>
    <x v="20"/>
    <x v="1"/>
    <x v="13"/>
    <n v="481.18"/>
    <n v="2"/>
    <n v="-120.29"/>
    <x v="8"/>
    <x v="1"/>
  </r>
  <r>
    <d v="2022-09-07T00:00:00"/>
    <x v="340"/>
    <x v="20"/>
    <x v="0"/>
    <x v="7"/>
    <n v="7.24"/>
    <n v="4"/>
    <n v="2.39"/>
    <x v="8"/>
    <x v="1"/>
  </r>
  <r>
    <d v="2022-09-08T00:00:00"/>
    <x v="685"/>
    <x v="3"/>
    <x v="0"/>
    <x v="0"/>
    <n v="26.4"/>
    <n v="5"/>
    <n v="11.88"/>
    <x v="8"/>
    <x v="1"/>
  </r>
  <r>
    <d v="2022-09-08T00:00:00"/>
    <x v="685"/>
    <x v="3"/>
    <x v="0"/>
    <x v="2"/>
    <n v="41.88"/>
    <n v="6"/>
    <n v="0.84"/>
    <x v="8"/>
    <x v="1"/>
  </r>
  <r>
    <d v="2022-09-08T00:00:00"/>
    <x v="197"/>
    <x v="33"/>
    <x v="1"/>
    <x v="8"/>
    <n v="21.36"/>
    <n v="8"/>
    <n v="8.1199999999999992"/>
    <x v="8"/>
    <x v="1"/>
  </r>
  <r>
    <d v="2022-09-10T00:00:00"/>
    <x v="309"/>
    <x v="3"/>
    <x v="0"/>
    <x v="14"/>
    <n v="51.52"/>
    <n v="4"/>
    <n v="1.55"/>
    <x v="8"/>
    <x v="1"/>
  </r>
  <r>
    <d v="2022-09-10T00:00:00"/>
    <x v="69"/>
    <x v="39"/>
    <x v="0"/>
    <x v="0"/>
    <n v="14.94"/>
    <n v="3"/>
    <n v="7.02"/>
    <x v="8"/>
    <x v="1"/>
  </r>
  <r>
    <d v="2022-09-10T00:00:00"/>
    <x v="150"/>
    <x v="32"/>
    <x v="0"/>
    <x v="12"/>
    <n v="61.96"/>
    <n v="2"/>
    <n v="16.11"/>
    <x v="8"/>
    <x v="1"/>
  </r>
  <r>
    <d v="2022-09-10T00:00:00"/>
    <x v="150"/>
    <x v="32"/>
    <x v="1"/>
    <x v="11"/>
    <n v="361.96"/>
    <n v="2"/>
    <n v="83.25"/>
    <x v="8"/>
    <x v="1"/>
  </r>
  <r>
    <d v="2022-09-10T00:00:00"/>
    <x v="150"/>
    <x v="32"/>
    <x v="0"/>
    <x v="0"/>
    <n v="278.82"/>
    <n v="9"/>
    <n v="125.47"/>
    <x v="8"/>
    <x v="1"/>
  </r>
  <r>
    <d v="2022-09-10T00:00:00"/>
    <x v="550"/>
    <x v="22"/>
    <x v="0"/>
    <x v="2"/>
    <n v="353.88"/>
    <n v="6"/>
    <n v="17.690000000000001"/>
    <x v="8"/>
    <x v="1"/>
  </r>
  <r>
    <d v="2022-09-10T00:00:00"/>
    <x v="686"/>
    <x v="20"/>
    <x v="0"/>
    <x v="4"/>
    <n v="6.08"/>
    <n v="2"/>
    <n v="2.0699999999999998"/>
    <x v="8"/>
    <x v="1"/>
  </r>
  <r>
    <d v="2022-09-10T00:00:00"/>
    <x v="410"/>
    <x v="3"/>
    <x v="1"/>
    <x v="8"/>
    <n v="106.68"/>
    <n v="6"/>
    <n v="33.07"/>
    <x v="8"/>
    <x v="1"/>
  </r>
  <r>
    <d v="2022-09-10T00:00:00"/>
    <x v="592"/>
    <x v="0"/>
    <x v="1"/>
    <x v="5"/>
    <n v="179.89"/>
    <n v="1"/>
    <n v="-2.57"/>
    <x v="8"/>
    <x v="1"/>
  </r>
  <r>
    <d v="2022-09-11T00:00:00"/>
    <x v="236"/>
    <x v="3"/>
    <x v="0"/>
    <x v="4"/>
    <n v="181.35"/>
    <n v="9"/>
    <n v="48.96"/>
    <x v="8"/>
    <x v="1"/>
  </r>
  <r>
    <d v="2022-09-11T00:00:00"/>
    <x v="236"/>
    <x v="3"/>
    <x v="0"/>
    <x v="1"/>
    <n v="8.64"/>
    <n v="3"/>
    <n v="4.2300000000000004"/>
    <x v="8"/>
    <x v="1"/>
  </r>
  <r>
    <d v="2022-09-11T00:00:00"/>
    <x v="191"/>
    <x v="3"/>
    <x v="0"/>
    <x v="4"/>
    <n v="265.86"/>
    <n v="7"/>
    <n v="79.760000000000005"/>
    <x v="8"/>
    <x v="1"/>
  </r>
  <r>
    <d v="2022-09-11T00:00:00"/>
    <x v="286"/>
    <x v="20"/>
    <x v="1"/>
    <x v="8"/>
    <n v="210.68"/>
    <n v="2"/>
    <n v="50.56"/>
    <x v="8"/>
    <x v="1"/>
  </r>
  <r>
    <d v="2022-09-11T00:00:00"/>
    <x v="286"/>
    <x v="20"/>
    <x v="0"/>
    <x v="2"/>
    <n v="78.8"/>
    <n v="1"/>
    <n v="1.58"/>
    <x v="8"/>
    <x v="1"/>
  </r>
  <r>
    <d v="2022-09-11T00:00:00"/>
    <x v="286"/>
    <x v="20"/>
    <x v="2"/>
    <x v="9"/>
    <n v="19.989999999999998"/>
    <n v="1"/>
    <n v="6.8"/>
    <x v="8"/>
    <x v="1"/>
  </r>
  <r>
    <d v="2022-09-11T00:00:00"/>
    <x v="286"/>
    <x v="20"/>
    <x v="0"/>
    <x v="2"/>
    <n v="772.68"/>
    <n v="4"/>
    <n v="108.18"/>
    <x v="8"/>
    <x v="1"/>
  </r>
  <r>
    <d v="2022-09-11T00:00:00"/>
    <x v="169"/>
    <x v="26"/>
    <x v="1"/>
    <x v="8"/>
    <n v="24.64"/>
    <n v="4"/>
    <n v="4"/>
    <x v="8"/>
    <x v="1"/>
  </r>
  <r>
    <d v="2022-09-11T00:00:00"/>
    <x v="659"/>
    <x v="23"/>
    <x v="0"/>
    <x v="1"/>
    <n v="31.05"/>
    <n v="3"/>
    <n v="14.9"/>
    <x v="8"/>
    <x v="1"/>
  </r>
  <r>
    <d v="2022-09-11T00:00:00"/>
    <x v="659"/>
    <x v="23"/>
    <x v="1"/>
    <x v="8"/>
    <n v="8.92"/>
    <n v="4"/>
    <n v="3.92"/>
    <x v="8"/>
    <x v="1"/>
  </r>
  <r>
    <d v="2022-09-11T00:00:00"/>
    <x v="659"/>
    <x v="23"/>
    <x v="0"/>
    <x v="3"/>
    <n v="209.6"/>
    <n v="4"/>
    <n v="96.42"/>
    <x v="8"/>
    <x v="1"/>
  </r>
  <r>
    <d v="2022-09-11T00:00:00"/>
    <x v="659"/>
    <x v="23"/>
    <x v="0"/>
    <x v="12"/>
    <n v="111.04"/>
    <n v="4"/>
    <n v="29.98"/>
    <x v="8"/>
    <x v="1"/>
  </r>
  <r>
    <d v="2022-09-11T00:00:00"/>
    <x v="659"/>
    <x v="23"/>
    <x v="0"/>
    <x v="0"/>
    <n v="38.880000000000003"/>
    <n v="6"/>
    <n v="18.66"/>
    <x v="8"/>
    <x v="1"/>
  </r>
  <r>
    <d v="2022-09-12T00:00:00"/>
    <x v="194"/>
    <x v="20"/>
    <x v="2"/>
    <x v="16"/>
    <n v="479.98"/>
    <n v="2"/>
    <n v="60"/>
    <x v="8"/>
    <x v="1"/>
  </r>
  <r>
    <d v="2022-09-12T00:00:00"/>
    <x v="194"/>
    <x v="20"/>
    <x v="0"/>
    <x v="1"/>
    <n v="12.6"/>
    <n v="4"/>
    <n v="6.05"/>
    <x v="8"/>
    <x v="1"/>
  </r>
  <r>
    <d v="2022-09-12T00:00:00"/>
    <x v="51"/>
    <x v="20"/>
    <x v="0"/>
    <x v="4"/>
    <n v="9.26"/>
    <n v="2"/>
    <n v="3.06"/>
    <x v="8"/>
    <x v="1"/>
  </r>
  <r>
    <d v="2022-09-12T00:00:00"/>
    <x v="51"/>
    <x v="20"/>
    <x v="0"/>
    <x v="2"/>
    <n v="105.98"/>
    <n v="2"/>
    <n v="4.24"/>
    <x v="8"/>
    <x v="1"/>
  </r>
  <r>
    <d v="2022-09-12T00:00:00"/>
    <x v="51"/>
    <x v="20"/>
    <x v="0"/>
    <x v="7"/>
    <n v="1.24"/>
    <n v="1"/>
    <n v="0.57999999999999996"/>
    <x v="8"/>
    <x v="1"/>
  </r>
  <r>
    <d v="2022-09-12T00:00:00"/>
    <x v="51"/>
    <x v="20"/>
    <x v="0"/>
    <x v="1"/>
    <n v="20.7"/>
    <n v="2"/>
    <n v="9.94"/>
    <x v="8"/>
    <x v="1"/>
  </r>
  <r>
    <d v="2022-09-12T00:00:00"/>
    <x v="51"/>
    <x v="20"/>
    <x v="0"/>
    <x v="0"/>
    <n v="28.9"/>
    <n v="5"/>
    <n v="14.16"/>
    <x v="8"/>
    <x v="1"/>
  </r>
  <r>
    <d v="2022-09-12T00:00:00"/>
    <x v="51"/>
    <x v="20"/>
    <x v="0"/>
    <x v="10"/>
    <n v="27.18"/>
    <n v="1"/>
    <n v="12.77"/>
    <x v="8"/>
    <x v="1"/>
  </r>
  <r>
    <d v="2022-09-12T00:00:00"/>
    <x v="583"/>
    <x v="22"/>
    <x v="2"/>
    <x v="9"/>
    <n v="21.98"/>
    <n v="2"/>
    <n v="8.57"/>
    <x v="8"/>
    <x v="1"/>
  </r>
  <r>
    <d v="2022-09-13T00:00:00"/>
    <x v="456"/>
    <x v="18"/>
    <x v="2"/>
    <x v="9"/>
    <n v="199.96"/>
    <n v="4"/>
    <n v="16"/>
    <x v="8"/>
    <x v="1"/>
  </r>
  <r>
    <d v="2022-09-13T00:00:00"/>
    <x v="456"/>
    <x v="18"/>
    <x v="1"/>
    <x v="5"/>
    <n v="1516.2"/>
    <n v="7"/>
    <n v="394.21"/>
    <x v="8"/>
    <x v="1"/>
  </r>
  <r>
    <d v="2022-09-13T00:00:00"/>
    <x v="173"/>
    <x v="2"/>
    <x v="0"/>
    <x v="3"/>
    <n v="2.41"/>
    <n v="1"/>
    <n v="-2.0099999999999998"/>
    <x v="8"/>
    <x v="1"/>
  </r>
  <r>
    <d v="2022-09-13T00:00:00"/>
    <x v="657"/>
    <x v="4"/>
    <x v="1"/>
    <x v="8"/>
    <n v="129.93"/>
    <n v="3"/>
    <n v="12.99"/>
    <x v="8"/>
    <x v="1"/>
  </r>
  <r>
    <d v="2022-09-13T00:00:00"/>
    <x v="657"/>
    <x v="4"/>
    <x v="0"/>
    <x v="0"/>
    <n v="69.930000000000007"/>
    <n v="7"/>
    <n v="31.47"/>
    <x v="8"/>
    <x v="1"/>
  </r>
  <r>
    <d v="2022-09-13T00:00:00"/>
    <x v="316"/>
    <x v="1"/>
    <x v="0"/>
    <x v="10"/>
    <n v="7.82"/>
    <n v="1"/>
    <n v="2.93"/>
    <x v="8"/>
    <x v="1"/>
  </r>
  <r>
    <d v="2022-09-13T00:00:00"/>
    <x v="316"/>
    <x v="1"/>
    <x v="1"/>
    <x v="5"/>
    <n v="170.07"/>
    <n v="4"/>
    <n v="-12.15"/>
    <x v="8"/>
    <x v="1"/>
  </r>
  <r>
    <d v="2022-09-13T00:00:00"/>
    <x v="481"/>
    <x v="25"/>
    <x v="0"/>
    <x v="3"/>
    <n v="13.09"/>
    <n v="4"/>
    <n v="-10.039999999999999"/>
    <x v="8"/>
    <x v="1"/>
  </r>
  <r>
    <d v="2022-09-13T00:00:00"/>
    <x v="687"/>
    <x v="3"/>
    <x v="1"/>
    <x v="8"/>
    <n v="131.88"/>
    <n v="7"/>
    <n v="55.39"/>
    <x v="8"/>
    <x v="1"/>
  </r>
  <r>
    <d v="2022-09-13T00:00:00"/>
    <x v="687"/>
    <x v="3"/>
    <x v="0"/>
    <x v="3"/>
    <n v="25.03"/>
    <n v="3"/>
    <n v="7.82"/>
    <x v="8"/>
    <x v="1"/>
  </r>
  <r>
    <d v="2022-09-13T00:00:00"/>
    <x v="687"/>
    <x v="3"/>
    <x v="1"/>
    <x v="5"/>
    <n v="717.72"/>
    <n v="3"/>
    <n v="71.77"/>
    <x v="8"/>
    <x v="1"/>
  </r>
  <r>
    <d v="2022-09-13T00:00:00"/>
    <x v="687"/>
    <x v="3"/>
    <x v="1"/>
    <x v="8"/>
    <n v="207.35"/>
    <n v="5"/>
    <n v="24.88"/>
    <x v="8"/>
    <x v="1"/>
  </r>
  <r>
    <d v="2022-09-13T00:00:00"/>
    <x v="687"/>
    <x v="3"/>
    <x v="1"/>
    <x v="8"/>
    <n v="44.67"/>
    <n v="3"/>
    <n v="12.06"/>
    <x v="8"/>
    <x v="1"/>
  </r>
  <r>
    <d v="2022-09-13T00:00:00"/>
    <x v="687"/>
    <x v="3"/>
    <x v="0"/>
    <x v="0"/>
    <n v="209.7"/>
    <n v="2"/>
    <n v="100.66"/>
    <x v="8"/>
    <x v="1"/>
  </r>
  <r>
    <d v="2022-09-14T00:00:00"/>
    <x v="103"/>
    <x v="27"/>
    <x v="1"/>
    <x v="13"/>
    <n v="912.75"/>
    <n v="5"/>
    <n v="118.66"/>
    <x v="8"/>
    <x v="1"/>
  </r>
  <r>
    <d v="2022-09-14T00:00:00"/>
    <x v="386"/>
    <x v="3"/>
    <x v="1"/>
    <x v="13"/>
    <n v="170.14"/>
    <n v="3"/>
    <n v="-8.51"/>
    <x v="8"/>
    <x v="1"/>
  </r>
  <r>
    <d v="2022-09-14T00:00:00"/>
    <x v="616"/>
    <x v="9"/>
    <x v="0"/>
    <x v="2"/>
    <n v="269.49"/>
    <n v="3"/>
    <n v="5.39"/>
    <x v="8"/>
    <x v="1"/>
  </r>
  <r>
    <d v="2022-09-14T00:00:00"/>
    <x v="96"/>
    <x v="20"/>
    <x v="0"/>
    <x v="2"/>
    <n v="991.2"/>
    <n v="6"/>
    <n v="257.70999999999998"/>
    <x v="8"/>
    <x v="1"/>
  </r>
  <r>
    <d v="2022-09-14T00:00:00"/>
    <x v="96"/>
    <x v="20"/>
    <x v="2"/>
    <x v="16"/>
    <n v="879.98"/>
    <n v="2"/>
    <n v="329.99"/>
    <x v="8"/>
    <x v="1"/>
  </r>
  <r>
    <d v="2022-09-14T00:00:00"/>
    <x v="96"/>
    <x v="20"/>
    <x v="0"/>
    <x v="3"/>
    <n v="12.96"/>
    <n v="9"/>
    <n v="4.54"/>
    <x v="8"/>
    <x v="1"/>
  </r>
  <r>
    <d v="2022-09-14T00:00:00"/>
    <x v="671"/>
    <x v="30"/>
    <x v="0"/>
    <x v="3"/>
    <n v="25.9"/>
    <n v="5"/>
    <n v="12.69"/>
    <x v="8"/>
    <x v="1"/>
  </r>
  <r>
    <d v="2022-09-15T00:00:00"/>
    <x v="537"/>
    <x v="16"/>
    <x v="0"/>
    <x v="0"/>
    <n v="15.55"/>
    <n v="3"/>
    <n v="5.44"/>
    <x v="8"/>
    <x v="1"/>
  </r>
  <r>
    <d v="2022-09-15T00:00:00"/>
    <x v="537"/>
    <x v="16"/>
    <x v="1"/>
    <x v="8"/>
    <n v="15.71"/>
    <n v="4"/>
    <n v="2.5499999999999998"/>
    <x v="8"/>
    <x v="1"/>
  </r>
  <r>
    <d v="2022-09-15T00:00:00"/>
    <x v="537"/>
    <x v="16"/>
    <x v="0"/>
    <x v="2"/>
    <n v="24.67"/>
    <n v="2"/>
    <n v="2.16"/>
    <x v="8"/>
    <x v="1"/>
  </r>
  <r>
    <d v="2022-09-15T00:00:00"/>
    <x v="537"/>
    <x v="16"/>
    <x v="1"/>
    <x v="8"/>
    <n v="55.97"/>
    <n v="1"/>
    <n v="-2.1"/>
    <x v="8"/>
    <x v="1"/>
  </r>
  <r>
    <d v="2022-09-15T00:00:00"/>
    <x v="189"/>
    <x v="18"/>
    <x v="0"/>
    <x v="2"/>
    <n v="190.86"/>
    <n v="2"/>
    <n v="11.45"/>
    <x v="8"/>
    <x v="1"/>
  </r>
  <r>
    <d v="2022-09-15T00:00:00"/>
    <x v="189"/>
    <x v="18"/>
    <x v="0"/>
    <x v="4"/>
    <n v="24.32"/>
    <n v="8"/>
    <n v="8.27"/>
    <x v="8"/>
    <x v="1"/>
  </r>
  <r>
    <d v="2022-09-15T00:00:00"/>
    <x v="688"/>
    <x v="20"/>
    <x v="0"/>
    <x v="3"/>
    <n v="79.87"/>
    <n v="3"/>
    <n v="29.95"/>
    <x v="8"/>
    <x v="1"/>
  </r>
  <r>
    <d v="2022-09-15T00:00:00"/>
    <x v="688"/>
    <x v="20"/>
    <x v="1"/>
    <x v="11"/>
    <n v="46.38"/>
    <n v="1"/>
    <n v="1.1599999999999999"/>
    <x v="8"/>
    <x v="1"/>
  </r>
  <r>
    <d v="2022-09-15T00:00:00"/>
    <x v="688"/>
    <x v="20"/>
    <x v="0"/>
    <x v="0"/>
    <n v="12.96"/>
    <n v="2"/>
    <n v="6.22"/>
    <x v="8"/>
    <x v="1"/>
  </r>
  <r>
    <d v="2022-09-15T00:00:00"/>
    <x v="262"/>
    <x v="33"/>
    <x v="1"/>
    <x v="13"/>
    <n v="801.96"/>
    <n v="2"/>
    <n v="200.49"/>
    <x v="8"/>
    <x v="1"/>
  </r>
  <r>
    <d v="2022-09-15T00:00:00"/>
    <x v="262"/>
    <x v="33"/>
    <x v="2"/>
    <x v="6"/>
    <n v="59.97"/>
    <n v="3"/>
    <n v="0"/>
    <x v="8"/>
    <x v="1"/>
  </r>
  <r>
    <d v="2022-09-15T00:00:00"/>
    <x v="262"/>
    <x v="33"/>
    <x v="1"/>
    <x v="5"/>
    <n v="1056.8599999999999"/>
    <n v="7"/>
    <n v="306.49"/>
    <x v="8"/>
    <x v="1"/>
  </r>
  <r>
    <d v="2022-09-15T00:00:00"/>
    <x v="689"/>
    <x v="2"/>
    <x v="0"/>
    <x v="3"/>
    <n v="3.58"/>
    <n v="4"/>
    <n v="-2.86"/>
    <x v="8"/>
    <x v="1"/>
  </r>
  <r>
    <d v="2022-09-15T00:00:00"/>
    <x v="689"/>
    <x v="2"/>
    <x v="0"/>
    <x v="2"/>
    <n v="147.18"/>
    <n v="2"/>
    <n v="-29.44"/>
    <x v="8"/>
    <x v="1"/>
  </r>
  <r>
    <d v="2022-09-16T00:00:00"/>
    <x v="32"/>
    <x v="6"/>
    <x v="0"/>
    <x v="10"/>
    <n v="31.12"/>
    <n v="4"/>
    <n v="14.63"/>
    <x v="8"/>
    <x v="1"/>
  </r>
  <r>
    <d v="2022-09-17T00:00:00"/>
    <x v="463"/>
    <x v="2"/>
    <x v="1"/>
    <x v="11"/>
    <n v="3083.43"/>
    <n v="7"/>
    <n v="-1665.05"/>
    <x v="8"/>
    <x v="1"/>
  </r>
  <r>
    <d v="2022-09-17T00:00:00"/>
    <x v="463"/>
    <x v="2"/>
    <x v="0"/>
    <x v="3"/>
    <n v="9.6199999999999992"/>
    <n v="2"/>
    <n v="-7.05"/>
    <x v="8"/>
    <x v="1"/>
  </r>
  <r>
    <d v="2022-09-17T00:00:00"/>
    <x v="463"/>
    <x v="2"/>
    <x v="1"/>
    <x v="8"/>
    <n v="124.2"/>
    <n v="3"/>
    <n v="15.53"/>
    <x v="8"/>
    <x v="1"/>
  </r>
  <r>
    <d v="2022-09-17T00:00:00"/>
    <x v="463"/>
    <x v="2"/>
    <x v="0"/>
    <x v="10"/>
    <n v="3.26"/>
    <n v="2"/>
    <n v="1.1000000000000001"/>
    <x v="8"/>
    <x v="1"/>
  </r>
  <r>
    <d v="2022-09-17T00:00:00"/>
    <x v="463"/>
    <x v="2"/>
    <x v="0"/>
    <x v="4"/>
    <n v="86.3"/>
    <n v="6"/>
    <n v="9.7100000000000009"/>
    <x v="8"/>
    <x v="1"/>
  </r>
  <r>
    <d v="2022-09-17T00:00:00"/>
    <x v="463"/>
    <x v="2"/>
    <x v="0"/>
    <x v="3"/>
    <n v="6.86"/>
    <n v="6"/>
    <n v="-5.72"/>
    <x v="8"/>
    <x v="1"/>
  </r>
  <r>
    <d v="2022-09-17T00:00:00"/>
    <x v="463"/>
    <x v="2"/>
    <x v="0"/>
    <x v="4"/>
    <n v="15.76"/>
    <n v="2"/>
    <n v="3.55"/>
    <x v="8"/>
    <x v="1"/>
  </r>
  <r>
    <d v="2022-09-17T00:00:00"/>
    <x v="690"/>
    <x v="3"/>
    <x v="0"/>
    <x v="0"/>
    <n v="32.4"/>
    <n v="5"/>
    <n v="15.55"/>
    <x v="8"/>
    <x v="1"/>
  </r>
  <r>
    <d v="2022-09-17T00:00:00"/>
    <x v="472"/>
    <x v="0"/>
    <x v="1"/>
    <x v="8"/>
    <n v="21.94"/>
    <n v="2"/>
    <n v="-10.42"/>
    <x v="8"/>
    <x v="1"/>
  </r>
  <r>
    <d v="2022-09-17T00:00:00"/>
    <x v="472"/>
    <x v="0"/>
    <x v="0"/>
    <x v="3"/>
    <n v="6.59"/>
    <n v="3"/>
    <n v="-10.210000000000001"/>
    <x v="8"/>
    <x v="1"/>
  </r>
  <r>
    <d v="2022-09-17T00:00:00"/>
    <x v="471"/>
    <x v="20"/>
    <x v="1"/>
    <x v="13"/>
    <n v="344.22"/>
    <n v="2"/>
    <n v="-103.27"/>
    <x v="8"/>
    <x v="1"/>
  </r>
  <r>
    <d v="2022-09-17T00:00:00"/>
    <x v="674"/>
    <x v="16"/>
    <x v="2"/>
    <x v="9"/>
    <n v="87.17"/>
    <n v="3"/>
    <n v="10.9"/>
    <x v="8"/>
    <x v="1"/>
  </r>
  <r>
    <d v="2022-09-17T00:00:00"/>
    <x v="568"/>
    <x v="22"/>
    <x v="0"/>
    <x v="3"/>
    <n v="25.03"/>
    <n v="3"/>
    <n v="7.82"/>
    <x v="8"/>
    <x v="1"/>
  </r>
  <r>
    <d v="2022-09-17T00:00:00"/>
    <x v="184"/>
    <x v="20"/>
    <x v="0"/>
    <x v="2"/>
    <n v="14.9"/>
    <n v="5"/>
    <n v="1.04"/>
    <x v="8"/>
    <x v="1"/>
  </r>
  <r>
    <d v="2022-09-17T00:00:00"/>
    <x v="184"/>
    <x v="20"/>
    <x v="0"/>
    <x v="1"/>
    <n v="87.71"/>
    <n v="7"/>
    <n v="41.22"/>
    <x v="8"/>
    <x v="1"/>
  </r>
  <r>
    <d v="2022-09-17T00:00:00"/>
    <x v="184"/>
    <x v="20"/>
    <x v="1"/>
    <x v="5"/>
    <n v="199.76"/>
    <n v="2"/>
    <n v="8.8800000000000008"/>
    <x v="8"/>
    <x v="1"/>
  </r>
  <r>
    <d v="2022-09-17T00:00:00"/>
    <x v="184"/>
    <x v="20"/>
    <x v="0"/>
    <x v="2"/>
    <n v="94.6"/>
    <n v="4"/>
    <n v="27.43"/>
    <x v="8"/>
    <x v="1"/>
  </r>
  <r>
    <d v="2022-09-17T00:00:00"/>
    <x v="184"/>
    <x v="20"/>
    <x v="1"/>
    <x v="11"/>
    <n v="4228.7"/>
    <n v="6"/>
    <n v="158.58000000000001"/>
    <x v="8"/>
    <x v="1"/>
  </r>
  <r>
    <d v="2022-09-17T00:00:00"/>
    <x v="184"/>
    <x v="20"/>
    <x v="1"/>
    <x v="11"/>
    <n v="2003.92"/>
    <n v="5"/>
    <n v="-25.05"/>
    <x v="8"/>
    <x v="1"/>
  </r>
  <r>
    <d v="2022-09-17T00:00:00"/>
    <x v="184"/>
    <x v="20"/>
    <x v="2"/>
    <x v="6"/>
    <n v="209.97"/>
    <n v="3"/>
    <n v="58.79"/>
    <x v="8"/>
    <x v="1"/>
  </r>
  <r>
    <d v="2022-09-17T00:00:00"/>
    <x v="184"/>
    <x v="20"/>
    <x v="2"/>
    <x v="9"/>
    <n v="659.9"/>
    <n v="2"/>
    <n v="217.77"/>
    <x v="8"/>
    <x v="1"/>
  </r>
  <r>
    <d v="2022-09-17T00:00:00"/>
    <x v="184"/>
    <x v="20"/>
    <x v="0"/>
    <x v="0"/>
    <n v="110.96"/>
    <n v="2"/>
    <n v="53.26"/>
    <x v="8"/>
    <x v="1"/>
  </r>
  <r>
    <d v="2022-09-17T00:00:00"/>
    <x v="184"/>
    <x v="20"/>
    <x v="2"/>
    <x v="6"/>
    <n v="67.8"/>
    <n v="4"/>
    <n v="1.36"/>
    <x v="8"/>
    <x v="1"/>
  </r>
  <r>
    <d v="2022-09-18T00:00:00"/>
    <x v="120"/>
    <x v="3"/>
    <x v="0"/>
    <x v="0"/>
    <n v="160.72"/>
    <n v="14"/>
    <n v="78.75"/>
    <x v="8"/>
    <x v="1"/>
  </r>
  <r>
    <d v="2022-09-18T00:00:00"/>
    <x v="120"/>
    <x v="3"/>
    <x v="0"/>
    <x v="0"/>
    <n v="19.920000000000002"/>
    <n v="4"/>
    <n v="9.76"/>
    <x v="8"/>
    <x v="1"/>
  </r>
  <r>
    <d v="2022-09-18T00:00:00"/>
    <x v="120"/>
    <x v="3"/>
    <x v="0"/>
    <x v="14"/>
    <n v="7.3"/>
    <n v="2"/>
    <n v="2.19"/>
    <x v="8"/>
    <x v="1"/>
  </r>
  <r>
    <d v="2022-09-18T00:00:00"/>
    <x v="484"/>
    <x v="36"/>
    <x v="0"/>
    <x v="2"/>
    <n v="41.96"/>
    <n v="2"/>
    <n v="7.97"/>
    <x v="8"/>
    <x v="1"/>
  </r>
  <r>
    <d v="2022-09-18T00:00:00"/>
    <x v="484"/>
    <x v="36"/>
    <x v="0"/>
    <x v="2"/>
    <n v="636.86"/>
    <n v="7"/>
    <n v="0"/>
    <x v="8"/>
    <x v="1"/>
  </r>
  <r>
    <d v="2022-09-18T00:00:00"/>
    <x v="484"/>
    <x v="36"/>
    <x v="2"/>
    <x v="6"/>
    <n v="499.99"/>
    <n v="1"/>
    <n v="130"/>
    <x v="8"/>
    <x v="1"/>
  </r>
  <r>
    <d v="2022-09-18T00:00:00"/>
    <x v="484"/>
    <x v="36"/>
    <x v="2"/>
    <x v="6"/>
    <n v="1259.93"/>
    <n v="7"/>
    <n v="327.58"/>
    <x v="8"/>
    <x v="1"/>
  </r>
  <r>
    <d v="2022-09-18T00:00:00"/>
    <x v="484"/>
    <x v="36"/>
    <x v="0"/>
    <x v="3"/>
    <n v="65.08"/>
    <n v="4"/>
    <n v="31.89"/>
    <x v="8"/>
    <x v="1"/>
  </r>
  <r>
    <d v="2022-09-18T00:00:00"/>
    <x v="169"/>
    <x v="3"/>
    <x v="0"/>
    <x v="4"/>
    <n v="11.68"/>
    <n v="2"/>
    <n v="5.49"/>
    <x v="8"/>
    <x v="1"/>
  </r>
  <r>
    <d v="2022-09-18T00:00:00"/>
    <x v="169"/>
    <x v="3"/>
    <x v="0"/>
    <x v="14"/>
    <n v="16.899999999999999"/>
    <n v="2"/>
    <n v="5.07"/>
    <x v="8"/>
    <x v="1"/>
  </r>
  <r>
    <d v="2022-09-18T00:00:00"/>
    <x v="169"/>
    <x v="3"/>
    <x v="1"/>
    <x v="8"/>
    <n v="24.4"/>
    <n v="2"/>
    <n v="10.25"/>
    <x v="8"/>
    <x v="1"/>
  </r>
  <r>
    <d v="2022-09-18T00:00:00"/>
    <x v="691"/>
    <x v="16"/>
    <x v="2"/>
    <x v="9"/>
    <n v="717.12"/>
    <n v="9"/>
    <n v="152.38999999999999"/>
    <x v="8"/>
    <x v="1"/>
  </r>
  <r>
    <d v="2022-09-18T00:00:00"/>
    <x v="692"/>
    <x v="22"/>
    <x v="0"/>
    <x v="0"/>
    <n v="18.54"/>
    <n v="2"/>
    <n v="8.7100000000000009"/>
    <x v="8"/>
    <x v="1"/>
  </r>
  <r>
    <d v="2022-09-18T00:00:00"/>
    <x v="693"/>
    <x v="3"/>
    <x v="0"/>
    <x v="2"/>
    <n v="443.92"/>
    <n v="4"/>
    <n v="8.8800000000000008"/>
    <x v="8"/>
    <x v="1"/>
  </r>
  <r>
    <d v="2022-09-19T00:00:00"/>
    <x v="492"/>
    <x v="6"/>
    <x v="1"/>
    <x v="11"/>
    <n v="61.96"/>
    <n v="2"/>
    <n v="4.34"/>
    <x v="8"/>
    <x v="1"/>
  </r>
  <r>
    <d v="2022-09-19T00:00:00"/>
    <x v="62"/>
    <x v="4"/>
    <x v="2"/>
    <x v="9"/>
    <n v="66.36"/>
    <n v="4"/>
    <n v="23.23"/>
    <x v="8"/>
    <x v="1"/>
  </r>
  <r>
    <d v="2022-09-19T00:00:00"/>
    <x v="602"/>
    <x v="3"/>
    <x v="0"/>
    <x v="0"/>
    <n v="22.96"/>
    <n v="2"/>
    <n v="11.25"/>
    <x v="8"/>
    <x v="1"/>
  </r>
  <r>
    <d v="2022-09-19T00:00:00"/>
    <x v="60"/>
    <x v="20"/>
    <x v="2"/>
    <x v="6"/>
    <n v="279.86"/>
    <n v="14"/>
    <n v="134.33000000000001"/>
    <x v="8"/>
    <x v="1"/>
  </r>
  <r>
    <d v="2022-09-19T00:00:00"/>
    <x v="167"/>
    <x v="31"/>
    <x v="0"/>
    <x v="4"/>
    <n v="8.4"/>
    <n v="5"/>
    <n v="2.1800000000000002"/>
    <x v="8"/>
    <x v="1"/>
  </r>
  <r>
    <d v="2022-09-19T00:00:00"/>
    <x v="658"/>
    <x v="3"/>
    <x v="1"/>
    <x v="8"/>
    <n v="60.84"/>
    <n v="3"/>
    <n v="19.47"/>
    <x v="8"/>
    <x v="1"/>
  </r>
  <r>
    <d v="2022-09-20T00:00:00"/>
    <x v="199"/>
    <x v="32"/>
    <x v="0"/>
    <x v="3"/>
    <n v="37.68"/>
    <n v="6"/>
    <n v="16.96"/>
    <x v="8"/>
    <x v="1"/>
  </r>
  <r>
    <d v="2022-09-20T00:00:00"/>
    <x v="498"/>
    <x v="20"/>
    <x v="0"/>
    <x v="0"/>
    <n v="61.4"/>
    <n v="5"/>
    <n v="28.86"/>
    <x v="8"/>
    <x v="1"/>
  </r>
  <r>
    <d v="2022-09-20T00:00:00"/>
    <x v="498"/>
    <x v="20"/>
    <x v="0"/>
    <x v="3"/>
    <n v="24.45"/>
    <n v="2"/>
    <n v="8.86"/>
    <x v="8"/>
    <x v="1"/>
  </r>
  <r>
    <d v="2022-09-20T00:00:00"/>
    <x v="497"/>
    <x v="15"/>
    <x v="0"/>
    <x v="3"/>
    <n v="1369.76"/>
    <n v="6"/>
    <n v="-913.18"/>
    <x v="8"/>
    <x v="1"/>
  </r>
  <r>
    <d v="2022-09-20T00:00:00"/>
    <x v="497"/>
    <x v="15"/>
    <x v="0"/>
    <x v="2"/>
    <n v="294.37"/>
    <n v="4"/>
    <n v="-58.87"/>
    <x v="8"/>
    <x v="1"/>
  </r>
  <r>
    <d v="2022-09-20T00:00:00"/>
    <x v="481"/>
    <x v="17"/>
    <x v="0"/>
    <x v="3"/>
    <n v="45.58"/>
    <n v="11"/>
    <n v="16.52"/>
    <x v="8"/>
    <x v="1"/>
  </r>
  <r>
    <d v="2022-09-20T00:00:00"/>
    <x v="633"/>
    <x v="1"/>
    <x v="0"/>
    <x v="3"/>
    <n v="2.81"/>
    <n v="3"/>
    <n v="-4.49"/>
    <x v="8"/>
    <x v="1"/>
  </r>
  <r>
    <d v="2022-09-21T00:00:00"/>
    <x v="642"/>
    <x v="0"/>
    <x v="2"/>
    <x v="6"/>
    <n v="946.34"/>
    <n v="7"/>
    <n v="118.29"/>
    <x v="8"/>
    <x v="1"/>
  </r>
  <r>
    <d v="2022-09-21T00:00:00"/>
    <x v="642"/>
    <x v="0"/>
    <x v="2"/>
    <x v="9"/>
    <n v="151.19999999999999"/>
    <n v="3"/>
    <n v="32.130000000000003"/>
    <x v="8"/>
    <x v="1"/>
  </r>
  <r>
    <d v="2022-09-21T00:00:00"/>
    <x v="642"/>
    <x v="0"/>
    <x v="1"/>
    <x v="8"/>
    <n v="4.93"/>
    <n v="4"/>
    <n v="-1.48"/>
    <x v="8"/>
    <x v="1"/>
  </r>
  <r>
    <d v="2022-09-21T00:00:00"/>
    <x v="330"/>
    <x v="22"/>
    <x v="0"/>
    <x v="2"/>
    <n v="199.74"/>
    <n v="6"/>
    <n v="47.94"/>
    <x v="8"/>
    <x v="1"/>
  </r>
  <r>
    <d v="2022-09-21T00:00:00"/>
    <x v="33"/>
    <x v="3"/>
    <x v="1"/>
    <x v="5"/>
    <n v="601.54"/>
    <n v="4"/>
    <n v="0"/>
    <x v="8"/>
    <x v="1"/>
  </r>
  <r>
    <d v="2022-09-21T00:00:00"/>
    <x v="33"/>
    <x v="3"/>
    <x v="0"/>
    <x v="7"/>
    <n v="7.9"/>
    <n v="2"/>
    <n v="2.5299999999999998"/>
    <x v="8"/>
    <x v="1"/>
  </r>
  <r>
    <d v="2022-09-21T00:00:00"/>
    <x v="441"/>
    <x v="14"/>
    <x v="1"/>
    <x v="11"/>
    <n v="194.32"/>
    <n v="4"/>
    <n v="31.09"/>
    <x v="8"/>
    <x v="1"/>
  </r>
  <r>
    <d v="2022-09-21T00:00:00"/>
    <x v="441"/>
    <x v="14"/>
    <x v="0"/>
    <x v="4"/>
    <n v="25.99"/>
    <n v="1"/>
    <n v="7.54"/>
    <x v="8"/>
    <x v="1"/>
  </r>
  <r>
    <d v="2022-09-21T00:00:00"/>
    <x v="347"/>
    <x v="32"/>
    <x v="1"/>
    <x v="8"/>
    <n v="85.3"/>
    <n v="2"/>
    <n v="14.5"/>
    <x v="8"/>
    <x v="1"/>
  </r>
  <r>
    <d v="2022-09-21T00:00:00"/>
    <x v="128"/>
    <x v="32"/>
    <x v="2"/>
    <x v="6"/>
    <n v="589.9"/>
    <n v="2"/>
    <n v="147.47999999999999"/>
    <x v="8"/>
    <x v="1"/>
  </r>
  <r>
    <d v="2022-09-21T00:00:00"/>
    <x v="128"/>
    <x v="32"/>
    <x v="1"/>
    <x v="5"/>
    <n v="542.94000000000005"/>
    <n v="3"/>
    <n v="141.16"/>
    <x v="8"/>
    <x v="1"/>
  </r>
  <r>
    <d v="2022-09-21T00:00:00"/>
    <x v="656"/>
    <x v="9"/>
    <x v="1"/>
    <x v="5"/>
    <n v="1690.04"/>
    <n v="4"/>
    <n v="422.51"/>
    <x v="8"/>
    <x v="1"/>
  </r>
  <r>
    <d v="2022-09-21T00:00:00"/>
    <x v="656"/>
    <x v="9"/>
    <x v="0"/>
    <x v="2"/>
    <n v="85.96"/>
    <n v="7"/>
    <n v="24.07"/>
    <x v="8"/>
    <x v="1"/>
  </r>
  <r>
    <d v="2022-09-21T00:00:00"/>
    <x v="656"/>
    <x v="9"/>
    <x v="0"/>
    <x v="10"/>
    <n v="121.96"/>
    <n v="2"/>
    <n v="57.32"/>
    <x v="8"/>
    <x v="1"/>
  </r>
  <r>
    <d v="2022-09-21T00:00:00"/>
    <x v="656"/>
    <x v="9"/>
    <x v="0"/>
    <x v="0"/>
    <n v="23.92"/>
    <n v="4"/>
    <n v="11.72"/>
    <x v="8"/>
    <x v="1"/>
  </r>
  <r>
    <d v="2022-09-21T00:00:00"/>
    <x v="656"/>
    <x v="9"/>
    <x v="0"/>
    <x v="2"/>
    <n v="63.96"/>
    <n v="2"/>
    <n v="6.4"/>
    <x v="8"/>
    <x v="1"/>
  </r>
  <r>
    <d v="2022-09-21T00:00:00"/>
    <x v="656"/>
    <x v="9"/>
    <x v="2"/>
    <x v="6"/>
    <n v="629.95000000000005"/>
    <n v="5"/>
    <n v="176.39"/>
    <x v="8"/>
    <x v="1"/>
  </r>
  <r>
    <d v="2022-09-21T00:00:00"/>
    <x v="656"/>
    <x v="9"/>
    <x v="2"/>
    <x v="6"/>
    <n v="113.73"/>
    <n v="3"/>
    <n v="32.979999999999997"/>
    <x v="8"/>
    <x v="1"/>
  </r>
  <r>
    <d v="2022-09-21T00:00:00"/>
    <x v="656"/>
    <x v="9"/>
    <x v="0"/>
    <x v="3"/>
    <n v="14.6"/>
    <n v="2"/>
    <n v="6.86"/>
    <x v="8"/>
    <x v="1"/>
  </r>
  <r>
    <d v="2022-09-21T00:00:00"/>
    <x v="656"/>
    <x v="9"/>
    <x v="0"/>
    <x v="2"/>
    <n v="887.84"/>
    <n v="8"/>
    <n v="17.760000000000002"/>
    <x v="8"/>
    <x v="1"/>
  </r>
  <r>
    <d v="2022-09-22T00:00:00"/>
    <x v="392"/>
    <x v="3"/>
    <x v="1"/>
    <x v="8"/>
    <n v="204.6"/>
    <n v="2"/>
    <n v="53.2"/>
    <x v="8"/>
    <x v="1"/>
  </r>
  <r>
    <d v="2022-09-22T00:00:00"/>
    <x v="53"/>
    <x v="6"/>
    <x v="0"/>
    <x v="0"/>
    <n v="32.4"/>
    <n v="5"/>
    <n v="15.55"/>
    <x v="8"/>
    <x v="1"/>
  </r>
  <r>
    <d v="2022-09-22T00:00:00"/>
    <x v="53"/>
    <x v="6"/>
    <x v="1"/>
    <x v="8"/>
    <n v="47.98"/>
    <n v="2"/>
    <n v="11.04"/>
    <x v="8"/>
    <x v="1"/>
  </r>
  <r>
    <d v="2022-09-22T00:00:00"/>
    <x v="694"/>
    <x v="15"/>
    <x v="0"/>
    <x v="1"/>
    <n v="12"/>
    <n v="4"/>
    <n v="4.2"/>
    <x v="8"/>
    <x v="1"/>
  </r>
  <r>
    <d v="2022-09-22T00:00:00"/>
    <x v="694"/>
    <x v="15"/>
    <x v="0"/>
    <x v="2"/>
    <n v="720.06"/>
    <n v="4"/>
    <n v="-63.01"/>
    <x v="8"/>
    <x v="1"/>
  </r>
  <r>
    <d v="2022-09-22T00:00:00"/>
    <x v="694"/>
    <x v="15"/>
    <x v="0"/>
    <x v="2"/>
    <n v="25.42"/>
    <n v="1"/>
    <n v="-4.7699999999999996"/>
    <x v="8"/>
    <x v="1"/>
  </r>
  <r>
    <d v="2022-09-22T00:00:00"/>
    <x v="694"/>
    <x v="15"/>
    <x v="0"/>
    <x v="4"/>
    <n v="2.82"/>
    <n v="2"/>
    <n v="0.32"/>
    <x v="8"/>
    <x v="1"/>
  </r>
  <r>
    <d v="2022-09-22T00:00:00"/>
    <x v="694"/>
    <x v="15"/>
    <x v="0"/>
    <x v="3"/>
    <n v="3.2"/>
    <n v="2"/>
    <n v="-2.56"/>
    <x v="8"/>
    <x v="1"/>
  </r>
  <r>
    <d v="2022-09-22T00:00:00"/>
    <x v="251"/>
    <x v="2"/>
    <x v="0"/>
    <x v="14"/>
    <n v="55.6"/>
    <n v="5"/>
    <n v="6.26"/>
    <x v="8"/>
    <x v="1"/>
  </r>
  <r>
    <d v="2022-09-22T00:00:00"/>
    <x v="251"/>
    <x v="2"/>
    <x v="2"/>
    <x v="9"/>
    <n v="617.98"/>
    <n v="3"/>
    <n v="-7.72"/>
    <x v="8"/>
    <x v="1"/>
  </r>
  <r>
    <d v="2022-09-22T00:00:00"/>
    <x v="22"/>
    <x v="3"/>
    <x v="0"/>
    <x v="12"/>
    <n v="61.44"/>
    <n v="3"/>
    <n v="16.59"/>
    <x v="8"/>
    <x v="1"/>
  </r>
  <r>
    <d v="2022-09-24T00:00:00"/>
    <x v="402"/>
    <x v="2"/>
    <x v="0"/>
    <x v="4"/>
    <n v="6.85"/>
    <n v="2"/>
    <n v="0.6"/>
    <x v="8"/>
    <x v="1"/>
  </r>
  <r>
    <d v="2022-09-24T00:00:00"/>
    <x v="387"/>
    <x v="8"/>
    <x v="1"/>
    <x v="5"/>
    <n v="517.5"/>
    <n v="6"/>
    <n v="155.25"/>
    <x v="8"/>
    <x v="1"/>
  </r>
  <r>
    <d v="2022-09-24T00:00:00"/>
    <x v="354"/>
    <x v="30"/>
    <x v="0"/>
    <x v="3"/>
    <n v="15.24"/>
    <n v="4"/>
    <n v="6.86"/>
    <x v="8"/>
    <x v="1"/>
  </r>
  <r>
    <d v="2022-09-24T00:00:00"/>
    <x v="354"/>
    <x v="30"/>
    <x v="1"/>
    <x v="5"/>
    <n v="1408.1"/>
    <n v="10"/>
    <n v="394.27"/>
    <x v="8"/>
    <x v="1"/>
  </r>
  <r>
    <d v="2022-09-24T00:00:00"/>
    <x v="528"/>
    <x v="39"/>
    <x v="2"/>
    <x v="6"/>
    <n v="821.94"/>
    <n v="6"/>
    <n v="213.7"/>
    <x v="8"/>
    <x v="1"/>
  </r>
  <r>
    <d v="2022-09-24T00:00:00"/>
    <x v="297"/>
    <x v="22"/>
    <x v="0"/>
    <x v="4"/>
    <n v="35.96"/>
    <n v="2"/>
    <n v="10.43"/>
    <x v="8"/>
    <x v="1"/>
  </r>
  <r>
    <d v="2022-09-24T00:00:00"/>
    <x v="297"/>
    <x v="22"/>
    <x v="0"/>
    <x v="3"/>
    <n v="14.95"/>
    <n v="3"/>
    <n v="5.42"/>
    <x v="8"/>
    <x v="1"/>
  </r>
  <r>
    <d v="2022-09-24T00:00:00"/>
    <x v="678"/>
    <x v="3"/>
    <x v="1"/>
    <x v="8"/>
    <n v="14.91"/>
    <n v="3"/>
    <n v="4.62"/>
    <x v="8"/>
    <x v="1"/>
  </r>
  <r>
    <d v="2022-09-24T00:00:00"/>
    <x v="678"/>
    <x v="3"/>
    <x v="0"/>
    <x v="12"/>
    <n v="1158.1199999999999"/>
    <n v="4"/>
    <n v="335.85"/>
    <x v="8"/>
    <x v="1"/>
  </r>
  <r>
    <d v="2022-09-24T00:00:00"/>
    <x v="695"/>
    <x v="12"/>
    <x v="2"/>
    <x v="6"/>
    <n v="35.119999999999997"/>
    <n v="2"/>
    <n v="13.17"/>
    <x v="8"/>
    <x v="1"/>
  </r>
  <r>
    <d v="2022-09-24T00:00:00"/>
    <x v="111"/>
    <x v="12"/>
    <x v="0"/>
    <x v="4"/>
    <n v="14.58"/>
    <n v="2"/>
    <n v="2.37"/>
    <x v="8"/>
    <x v="1"/>
  </r>
  <r>
    <d v="2022-09-24T00:00:00"/>
    <x v="111"/>
    <x v="12"/>
    <x v="2"/>
    <x v="9"/>
    <n v="23.2"/>
    <n v="2"/>
    <n v="1.45"/>
    <x v="8"/>
    <x v="1"/>
  </r>
  <r>
    <d v="2022-09-24T00:00:00"/>
    <x v="111"/>
    <x v="12"/>
    <x v="0"/>
    <x v="4"/>
    <n v="16.46"/>
    <n v="7"/>
    <n v="1.85"/>
    <x v="8"/>
    <x v="1"/>
  </r>
  <r>
    <d v="2022-09-24T00:00:00"/>
    <x v="337"/>
    <x v="10"/>
    <x v="0"/>
    <x v="3"/>
    <n v="6.73"/>
    <n v="6"/>
    <n v="-4.49"/>
    <x v="8"/>
    <x v="1"/>
  </r>
  <r>
    <d v="2022-09-24T00:00:00"/>
    <x v="337"/>
    <x v="10"/>
    <x v="0"/>
    <x v="2"/>
    <n v="33.57"/>
    <n v="2"/>
    <n v="1.68"/>
    <x v="8"/>
    <x v="1"/>
  </r>
  <r>
    <d v="2022-09-24T00:00:00"/>
    <x v="337"/>
    <x v="10"/>
    <x v="0"/>
    <x v="10"/>
    <n v="15.84"/>
    <n v="2"/>
    <n v="5.54"/>
    <x v="8"/>
    <x v="1"/>
  </r>
  <r>
    <d v="2022-09-24T00:00:00"/>
    <x v="337"/>
    <x v="10"/>
    <x v="0"/>
    <x v="1"/>
    <n v="24.42"/>
    <n v="1"/>
    <n v="7.94"/>
    <x v="8"/>
    <x v="1"/>
  </r>
  <r>
    <d v="2022-09-24T00:00:00"/>
    <x v="337"/>
    <x v="10"/>
    <x v="0"/>
    <x v="4"/>
    <n v="17.12"/>
    <n v="5"/>
    <n v="1.93"/>
    <x v="8"/>
    <x v="1"/>
  </r>
  <r>
    <d v="2022-09-24T00:00:00"/>
    <x v="509"/>
    <x v="20"/>
    <x v="0"/>
    <x v="10"/>
    <n v="39.979999999999997"/>
    <n v="1"/>
    <n v="17.989999999999998"/>
    <x v="8"/>
    <x v="1"/>
  </r>
  <r>
    <d v="2022-09-25T00:00:00"/>
    <x v="185"/>
    <x v="27"/>
    <x v="1"/>
    <x v="13"/>
    <n v="1044.6300000000001"/>
    <n v="3"/>
    <n v="240.26"/>
    <x v="8"/>
    <x v="1"/>
  </r>
  <r>
    <d v="2022-09-25T00:00:00"/>
    <x v="1"/>
    <x v="23"/>
    <x v="2"/>
    <x v="9"/>
    <n v="63.96"/>
    <n v="4"/>
    <n v="19.829999999999998"/>
    <x v="8"/>
    <x v="1"/>
  </r>
  <r>
    <d v="2022-09-25T00:00:00"/>
    <x v="1"/>
    <x v="23"/>
    <x v="0"/>
    <x v="3"/>
    <n v="14.46"/>
    <n v="3"/>
    <n v="7.09"/>
    <x v="8"/>
    <x v="1"/>
  </r>
  <r>
    <d v="2022-09-25T00:00:00"/>
    <x v="1"/>
    <x v="23"/>
    <x v="2"/>
    <x v="6"/>
    <n v="104.98"/>
    <n v="2"/>
    <n v="52.49"/>
    <x v="8"/>
    <x v="1"/>
  </r>
  <r>
    <d v="2022-09-25T00:00:00"/>
    <x v="481"/>
    <x v="3"/>
    <x v="0"/>
    <x v="10"/>
    <n v="17.48"/>
    <n v="2"/>
    <n v="8.2200000000000006"/>
    <x v="8"/>
    <x v="1"/>
  </r>
  <r>
    <d v="2022-09-25T00:00:00"/>
    <x v="417"/>
    <x v="38"/>
    <x v="0"/>
    <x v="3"/>
    <n v="68.62"/>
    <n v="2"/>
    <n v="32.25"/>
    <x v="8"/>
    <x v="1"/>
  </r>
  <r>
    <d v="2022-09-25T00:00:00"/>
    <x v="696"/>
    <x v="20"/>
    <x v="2"/>
    <x v="9"/>
    <n v="899.91"/>
    <n v="9"/>
    <n v="395.96"/>
    <x v="8"/>
    <x v="1"/>
  </r>
  <r>
    <d v="2022-09-25T00:00:00"/>
    <x v="15"/>
    <x v="37"/>
    <x v="0"/>
    <x v="3"/>
    <n v="10.76"/>
    <n v="2"/>
    <n v="5.16"/>
    <x v="8"/>
    <x v="1"/>
  </r>
  <r>
    <d v="2022-09-25T00:00:00"/>
    <x v="15"/>
    <x v="37"/>
    <x v="0"/>
    <x v="0"/>
    <n v="45.68"/>
    <n v="2"/>
    <n v="21.01"/>
    <x v="8"/>
    <x v="1"/>
  </r>
  <r>
    <d v="2022-09-25T00:00:00"/>
    <x v="15"/>
    <x v="37"/>
    <x v="0"/>
    <x v="4"/>
    <n v="6.7"/>
    <n v="1"/>
    <n v="2.21"/>
    <x v="8"/>
    <x v="1"/>
  </r>
  <r>
    <d v="2022-09-25T00:00:00"/>
    <x v="613"/>
    <x v="1"/>
    <x v="0"/>
    <x v="4"/>
    <n v="128.74"/>
    <n v="7"/>
    <n v="12.87"/>
    <x v="8"/>
    <x v="1"/>
  </r>
  <r>
    <d v="2022-09-25T00:00:00"/>
    <x v="562"/>
    <x v="22"/>
    <x v="1"/>
    <x v="5"/>
    <n v="307.14"/>
    <n v="4"/>
    <n v="-11.52"/>
    <x v="8"/>
    <x v="1"/>
  </r>
  <r>
    <d v="2022-09-25T00:00:00"/>
    <x v="562"/>
    <x v="22"/>
    <x v="0"/>
    <x v="1"/>
    <n v="12.6"/>
    <n v="2"/>
    <n v="5.8"/>
    <x v="8"/>
    <x v="1"/>
  </r>
  <r>
    <d v="2022-09-25T00:00:00"/>
    <x v="562"/>
    <x v="22"/>
    <x v="2"/>
    <x v="9"/>
    <n v="159.97999999999999"/>
    <n v="2"/>
    <n v="57.59"/>
    <x v="8"/>
    <x v="1"/>
  </r>
  <r>
    <d v="2022-09-25T00:00:00"/>
    <x v="44"/>
    <x v="15"/>
    <x v="0"/>
    <x v="3"/>
    <n v="6.34"/>
    <n v="4"/>
    <n v="-4.6500000000000004"/>
    <x v="8"/>
    <x v="1"/>
  </r>
  <r>
    <d v="2022-09-25T00:00:00"/>
    <x v="44"/>
    <x v="15"/>
    <x v="0"/>
    <x v="0"/>
    <n v="10.48"/>
    <n v="1"/>
    <n v="3.8"/>
    <x v="8"/>
    <x v="1"/>
  </r>
  <r>
    <d v="2022-09-25T00:00:00"/>
    <x v="44"/>
    <x v="15"/>
    <x v="0"/>
    <x v="3"/>
    <n v="2.4700000000000002"/>
    <n v="1"/>
    <n v="-1.81"/>
    <x v="8"/>
    <x v="1"/>
  </r>
  <r>
    <d v="2022-09-25T00:00:00"/>
    <x v="44"/>
    <x v="15"/>
    <x v="0"/>
    <x v="3"/>
    <n v="3.26"/>
    <n v="2"/>
    <n v="-2.2799999999999998"/>
    <x v="8"/>
    <x v="1"/>
  </r>
  <r>
    <d v="2022-09-25T00:00:00"/>
    <x v="246"/>
    <x v="20"/>
    <x v="1"/>
    <x v="5"/>
    <n v="102.58"/>
    <n v="1"/>
    <n v="6.84"/>
    <x v="8"/>
    <x v="1"/>
  </r>
  <r>
    <d v="2022-09-25T00:00:00"/>
    <x v="246"/>
    <x v="20"/>
    <x v="0"/>
    <x v="0"/>
    <n v="20.04"/>
    <n v="3"/>
    <n v="9.6199999999999992"/>
    <x v="8"/>
    <x v="1"/>
  </r>
  <r>
    <d v="2022-09-25T00:00:00"/>
    <x v="240"/>
    <x v="2"/>
    <x v="0"/>
    <x v="3"/>
    <n v="2.95"/>
    <n v="2"/>
    <n v="-2.06"/>
    <x v="8"/>
    <x v="1"/>
  </r>
  <r>
    <d v="2022-09-26T00:00:00"/>
    <x v="236"/>
    <x v="0"/>
    <x v="0"/>
    <x v="3"/>
    <n v="2.08"/>
    <n v="5"/>
    <n v="-3.43"/>
    <x v="8"/>
    <x v="1"/>
  </r>
  <r>
    <d v="2022-09-26T00:00:00"/>
    <x v="236"/>
    <x v="0"/>
    <x v="2"/>
    <x v="6"/>
    <n v="1114.4000000000001"/>
    <n v="7"/>
    <n v="376.11"/>
    <x v="8"/>
    <x v="1"/>
  </r>
  <r>
    <d v="2022-09-26T00:00:00"/>
    <x v="463"/>
    <x v="11"/>
    <x v="0"/>
    <x v="0"/>
    <n v="141.76"/>
    <n v="5"/>
    <n v="47.84"/>
    <x v="8"/>
    <x v="1"/>
  </r>
  <r>
    <d v="2022-09-26T00:00:00"/>
    <x v="463"/>
    <x v="11"/>
    <x v="2"/>
    <x v="9"/>
    <n v="239.8"/>
    <n v="5"/>
    <n v="47.96"/>
    <x v="8"/>
    <x v="1"/>
  </r>
  <r>
    <d v="2022-09-26T00:00:00"/>
    <x v="463"/>
    <x v="11"/>
    <x v="0"/>
    <x v="0"/>
    <n v="31.1"/>
    <n v="6"/>
    <n v="10.89"/>
    <x v="8"/>
    <x v="1"/>
  </r>
  <r>
    <d v="2022-09-26T00:00:00"/>
    <x v="602"/>
    <x v="12"/>
    <x v="0"/>
    <x v="0"/>
    <n v="86.27"/>
    <n v="4"/>
    <n v="31.27"/>
    <x v="8"/>
    <x v="1"/>
  </r>
  <r>
    <d v="2022-09-26T00:00:00"/>
    <x v="602"/>
    <x v="12"/>
    <x v="0"/>
    <x v="3"/>
    <n v="72.59"/>
    <n v="2"/>
    <n v="-48.39"/>
    <x v="8"/>
    <x v="1"/>
  </r>
  <r>
    <d v="2022-09-26T00:00:00"/>
    <x v="602"/>
    <x v="12"/>
    <x v="0"/>
    <x v="12"/>
    <n v="60.67"/>
    <n v="2"/>
    <n v="14.41"/>
    <x v="8"/>
    <x v="1"/>
  </r>
  <r>
    <d v="2022-09-26T00:00:00"/>
    <x v="602"/>
    <x v="12"/>
    <x v="0"/>
    <x v="3"/>
    <n v="77.03"/>
    <n v="9"/>
    <n v="-59.06"/>
    <x v="8"/>
    <x v="1"/>
  </r>
  <r>
    <d v="2022-09-26T00:00:00"/>
    <x v="602"/>
    <x v="12"/>
    <x v="0"/>
    <x v="2"/>
    <n v="119.9"/>
    <n v="6"/>
    <n v="-1.5"/>
    <x v="8"/>
    <x v="1"/>
  </r>
  <r>
    <d v="2022-09-26T00:00:00"/>
    <x v="602"/>
    <x v="12"/>
    <x v="2"/>
    <x v="6"/>
    <n v="263.95999999999998"/>
    <n v="5"/>
    <n v="23.1"/>
    <x v="8"/>
    <x v="1"/>
  </r>
  <r>
    <d v="2022-09-26T00:00:00"/>
    <x v="602"/>
    <x v="12"/>
    <x v="0"/>
    <x v="2"/>
    <n v="363.65"/>
    <n v="4"/>
    <n v="-86.37"/>
    <x v="8"/>
    <x v="1"/>
  </r>
  <r>
    <d v="2022-09-26T00:00:00"/>
    <x v="582"/>
    <x v="2"/>
    <x v="0"/>
    <x v="3"/>
    <n v="121.1"/>
    <n v="6"/>
    <n v="-100.92"/>
    <x v="8"/>
    <x v="1"/>
  </r>
  <r>
    <d v="2022-09-26T00:00:00"/>
    <x v="582"/>
    <x v="2"/>
    <x v="2"/>
    <x v="6"/>
    <n v="45.89"/>
    <n v="1"/>
    <n v="-9.18"/>
    <x v="8"/>
    <x v="1"/>
  </r>
  <r>
    <d v="2022-09-26T00:00:00"/>
    <x v="697"/>
    <x v="3"/>
    <x v="0"/>
    <x v="2"/>
    <n v="64.17"/>
    <n v="3"/>
    <n v="18.61"/>
    <x v="8"/>
    <x v="1"/>
  </r>
  <r>
    <d v="2022-09-26T00:00:00"/>
    <x v="697"/>
    <x v="3"/>
    <x v="0"/>
    <x v="10"/>
    <n v="124.46"/>
    <n v="2"/>
    <n v="58.5"/>
    <x v="8"/>
    <x v="1"/>
  </r>
  <r>
    <d v="2022-09-26T00:00:00"/>
    <x v="413"/>
    <x v="20"/>
    <x v="2"/>
    <x v="9"/>
    <n v="50"/>
    <n v="2"/>
    <n v="12"/>
    <x v="8"/>
    <x v="1"/>
  </r>
  <r>
    <d v="2022-09-26T00:00:00"/>
    <x v="344"/>
    <x v="20"/>
    <x v="0"/>
    <x v="7"/>
    <n v="34.44"/>
    <n v="3"/>
    <n v="16.190000000000001"/>
    <x v="8"/>
    <x v="1"/>
  </r>
  <r>
    <d v="2022-09-26T00:00:00"/>
    <x v="344"/>
    <x v="20"/>
    <x v="2"/>
    <x v="15"/>
    <n v="629.92999999999995"/>
    <n v="7"/>
    <n v="296.07"/>
    <x v="8"/>
    <x v="1"/>
  </r>
  <r>
    <d v="2022-09-26T00:00:00"/>
    <x v="344"/>
    <x v="20"/>
    <x v="0"/>
    <x v="3"/>
    <n v="79.06"/>
    <n v="9"/>
    <n v="28.66"/>
    <x v="8"/>
    <x v="1"/>
  </r>
  <r>
    <d v="2022-09-27T00:00:00"/>
    <x v="685"/>
    <x v="1"/>
    <x v="0"/>
    <x v="3"/>
    <n v="15.08"/>
    <n v="2"/>
    <n v="-22.62"/>
    <x v="8"/>
    <x v="1"/>
  </r>
  <r>
    <d v="2022-09-27T00:00:00"/>
    <x v="685"/>
    <x v="1"/>
    <x v="1"/>
    <x v="8"/>
    <n v="24.29"/>
    <n v="3"/>
    <n v="-12.75"/>
    <x v="8"/>
    <x v="1"/>
  </r>
  <r>
    <d v="2022-09-27T00:00:00"/>
    <x v="511"/>
    <x v="3"/>
    <x v="0"/>
    <x v="2"/>
    <n v="15.51"/>
    <n v="1"/>
    <n v="4.34"/>
    <x v="8"/>
    <x v="1"/>
  </r>
  <r>
    <d v="2022-09-27T00:00:00"/>
    <x v="511"/>
    <x v="3"/>
    <x v="0"/>
    <x v="0"/>
    <n v="146.82"/>
    <n v="3"/>
    <n v="73.41"/>
    <x v="8"/>
    <x v="1"/>
  </r>
  <r>
    <d v="2022-09-27T00:00:00"/>
    <x v="511"/>
    <x v="3"/>
    <x v="0"/>
    <x v="0"/>
    <n v="12.96"/>
    <n v="2"/>
    <n v="6.22"/>
    <x v="8"/>
    <x v="1"/>
  </r>
  <r>
    <d v="2022-09-27T00:00:00"/>
    <x v="698"/>
    <x v="14"/>
    <x v="0"/>
    <x v="4"/>
    <n v="16.399999999999999"/>
    <n v="5"/>
    <n v="4.76"/>
    <x v="8"/>
    <x v="1"/>
  </r>
  <r>
    <d v="2022-09-27T00:00:00"/>
    <x v="698"/>
    <x v="14"/>
    <x v="0"/>
    <x v="0"/>
    <n v="25.92"/>
    <n v="4"/>
    <n v="12.44"/>
    <x v="8"/>
    <x v="1"/>
  </r>
  <r>
    <d v="2022-09-27T00:00:00"/>
    <x v="295"/>
    <x v="6"/>
    <x v="0"/>
    <x v="0"/>
    <n v="154.9"/>
    <n v="5"/>
    <n v="69.709999999999994"/>
    <x v="8"/>
    <x v="1"/>
  </r>
  <r>
    <d v="2022-09-27T00:00:00"/>
    <x v="295"/>
    <x v="6"/>
    <x v="2"/>
    <x v="6"/>
    <n v="1871.88"/>
    <n v="12"/>
    <n v="561.55999999999995"/>
    <x v="8"/>
    <x v="1"/>
  </r>
  <r>
    <d v="2022-09-27T00:00:00"/>
    <x v="531"/>
    <x v="22"/>
    <x v="0"/>
    <x v="4"/>
    <n v="99.2"/>
    <n v="5"/>
    <n v="25.79"/>
    <x v="8"/>
    <x v="1"/>
  </r>
  <r>
    <d v="2022-09-28T00:00:00"/>
    <x v="418"/>
    <x v="3"/>
    <x v="0"/>
    <x v="12"/>
    <n v="43.26"/>
    <n v="3"/>
    <n v="14.28"/>
    <x v="8"/>
    <x v="1"/>
  </r>
  <r>
    <d v="2022-09-28T00:00:00"/>
    <x v="418"/>
    <x v="3"/>
    <x v="0"/>
    <x v="12"/>
    <n v="43.56"/>
    <n v="2"/>
    <n v="15.25"/>
    <x v="8"/>
    <x v="1"/>
  </r>
  <r>
    <d v="2022-09-28T00:00:00"/>
    <x v="456"/>
    <x v="26"/>
    <x v="0"/>
    <x v="10"/>
    <n v="12.54"/>
    <n v="1"/>
    <n v="4.2300000000000004"/>
    <x v="8"/>
    <x v="1"/>
  </r>
  <r>
    <d v="2022-09-28T00:00:00"/>
    <x v="456"/>
    <x v="26"/>
    <x v="0"/>
    <x v="3"/>
    <n v="1.08"/>
    <n v="2"/>
    <n v="-0.79"/>
    <x v="8"/>
    <x v="1"/>
  </r>
  <r>
    <d v="2022-09-28T00:00:00"/>
    <x v="456"/>
    <x v="26"/>
    <x v="0"/>
    <x v="7"/>
    <n v="4.51"/>
    <n v="3"/>
    <n v="0.85"/>
    <x v="8"/>
    <x v="1"/>
  </r>
  <r>
    <d v="2022-09-28T00:00:00"/>
    <x v="612"/>
    <x v="20"/>
    <x v="0"/>
    <x v="12"/>
    <n v="293.52"/>
    <n v="6"/>
    <n v="76.319999999999993"/>
    <x v="8"/>
    <x v="1"/>
  </r>
  <r>
    <d v="2022-09-28T00:00:00"/>
    <x v="612"/>
    <x v="20"/>
    <x v="2"/>
    <x v="6"/>
    <n v="307.98"/>
    <n v="2"/>
    <n v="89.31"/>
    <x v="8"/>
    <x v="1"/>
  </r>
  <r>
    <d v="2022-09-28T00:00:00"/>
    <x v="132"/>
    <x v="3"/>
    <x v="0"/>
    <x v="12"/>
    <n v="186.15"/>
    <n v="3"/>
    <n v="55.85"/>
    <x v="8"/>
    <x v="1"/>
  </r>
  <r>
    <d v="2022-09-28T00:00:00"/>
    <x v="132"/>
    <x v="3"/>
    <x v="0"/>
    <x v="3"/>
    <n v="81.790000000000006"/>
    <n v="6"/>
    <n v="26.58"/>
    <x v="8"/>
    <x v="1"/>
  </r>
  <r>
    <d v="2022-09-28T00:00:00"/>
    <x v="132"/>
    <x v="3"/>
    <x v="0"/>
    <x v="14"/>
    <n v="47.19"/>
    <n v="3"/>
    <n v="13.69"/>
    <x v="8"/>
    <x v="1"/>
  </r>
  <r>
    <d v="2022-09-28T00:00:00"/>
    <x v="132"/>
    <x v="3"/>
    <x v="2"/>
    <x v="6"/>
    <n v="36.78"/>
    <n v="2"/>
    <n v="-8.2799999999999994"/>
    <x v="8"/>
    <x v="1"/>
  </r>
  <r>
    <d v="2022-10-01T00:00:00"/>
    <x v="678"/>
    <x v="26"/>
    <x v="0"/>
    <x v="2"/>
    <n v="139.41999999999999"/>
    <n v="4"/>
    <n v="17.43"/>
    <x v="9"/>
    <x v="1"/>
  </r>
  <r>
    <d v="2022-10-01T00:00:00"/>
    <x v="508"/>
    <x v="32"/>
    <x v="2"/>
    <x v="6"/>
    <n v="311.98"/>
    <n v="2"/>
    <n v="93.59"/>
    <x v="9"/>
    <x v="1"/>
  </r>
  <r>
    <d v="2022-10-01T00:00:00"/>
    <x v="508"/>
    <x v="32"/>
    <x v="0"/>
    <x v="3"/>
    <n v="22.45"/>
    <n v="5"/>
    <n v="10.33"/>
    <x v="9"/>
    <x v="1"/>
  </r>
  <r>
    <d v="2022-10-01T00:00:00"/>
    <x v="699"/>
    <x v="1"/>
    <x v="0"/>
    <x v="3"/>
    <n v="2.99"/>
    <n v="4"/>
    <n v="-4.49"/>
    <x v="9"/>
    <x v="1"/>
  </r>
  <r>
    <d v="2022-10-01T00:00:00"/>
    <x v="699"/>
    <x v="1"/>
    <x v="2"/>
    <x v="9"/>
    <n v="108.77"/>
    <n v="4"/>
    <n v="2.72"/>
    <x v="9"/>
    <x v="1"/>
  </r>
  <r>
    <d v="2022-10-01T00:00:00"/>
    <x v="699"/>
    <x v="11"/>
    <x v="2"/>
    <x v="6"/>
    <n v="572.79999999999995"/>
    <n v="2"/>
    <n v="50.12"/>
    <x v="9"/>
    <x v="1"/>
  </r>
  <r>
    <d v="2022-10-02T00:00:00"/>
    <x v="290"/>
    <x v="3"/>
    <x v="0"/>
    <x v="3"/>
    <n v="57.5"/>
    <n v="6"/>
    <n v="20.13"/>
    <x v="9"/>
    <x v="1"/>
  </r>
  <r>
    <d v="2022-10-02T00:00:00"/>
    <x v="359"/>
    <x v="23"/>
    <x v="0"/>
    <x v="0"/>
    <n v="94.85"/>
    <n v="5"/>
    <n v="45.53"/>
    <x v="9"/>
    <x v="1"/>
  </r>
  <r>
    <d v="2022-10-02T00:00:00"/>
    <x v="359"/>
    <x v="23"/>
    <x v="0"/>
    <x v="10"/>
    <n v="51.12"/>
    <n v="4"/>
    <n v="23"/>
    <x v="9"/>
    <x v="1"/>
  </r>
  <r>
    <d v="2022-10-02T00:00:00"/>
    <x v="359"/>
    <x v="23"/>
    <x v="2"/>
    <x v="9"/>
    <n v="90"/>
    <n v="1"/>
    <n v="32.4"/>
    <x v="9"/>
    <x v="1"/>
  </r>
  <r>
    <d v="2022-10-02T00:00:00"/>
    <x v="431"/>
    <x v="3"/>
    <x v="0"/>
    <x v="2"/>
    <n v="270.33999999999997"/>
    <n v="14"/>
    <n v="75.7"/>
    <x v="9"/>
    <x v="1"/>
  </r>
  <r>
    <d v="2022-10-02T00:00:00"/>
    <x v="70"/>
    <x v="25"/>
    <x v="0"/>
    <x v="3"/>
    <n v="7.38"/>
    <n v="5"/>
    <n v="-5.41"/>
    <x v="9"/>
    <x v="1"/>
  </r>
  <r>
    <d v="2022-10-02T00:00:00"/>
    <x v="700"/>
    <x v="3"/>
    <x v="0"/>
    <x v="3"/>
    <n v="11.81"/>
    <n v="3"/>
    <n v="4.13"/>
    <x v="9"/>
    <x v="1"/>
  </r>
  <r>
    <d v="2022-10-02T00:00:00"/>
    <x v="700"/>
    <x v="3"/>
    <x v="0"/>
    <x v="3"/>
    <n v="53.57"/>
    <n v="4"/>
    <n v="19.420000000000002"/>
    <x v="9"/>
    <x v="1"/>
  </r>
  <r>
    <d v="2022-10-02T00:00:00"/>
    <x v="700"/>
    <x v="3"/>
    <x v="2"/>
    <x v="6"/>
    <n v="503.96"/>
    <n v="5"/>
    <n v="50.4"/>
    <x v="9"/>
    <x v="1"/>
  </r>
  <r>
    <d v="2022-10-02T00:00:00"/>
    <x v="634"/>
    <x v="37"/>
    <x v="0"/>
    <x v="3"/>
    <n v="26.9"/>
    <n v="5"/>
    <n v="13.18"/>
    <x v="9"/>
    <x v="1"/>
  </r>
  <r>
    <d v="2022-10-02T00:00:00"/>
    <x v="320"/>
    <x v="36"/>
    <x v="0"/>
    <x v="0"/>
    <n v="19.440000000000001"/>
    <n v="3"/>
    <n v="9.33"/>
    <x v="9"/>
    <x v="1"/>
  </r>
  <r>
    <d v="2022-10-02T00:00:00"/>
    <x v="320"/>
    <x v="36"/>
    <x v="0"/>
    <x v="3"/>
    <n v="7.38"/>
    <n v="1"/>
    <n v="3.62"/>
    <x v="9"/>
    <x v="1"/>
  </r>
  <r>
    <d v="2022-10-02T00:00:00"/>
    <x v="218"/>
    <x v="26"/>
    <x v="0"/>
    <x v="14"/>
    <n v="10.94"/>
    <n v="2"/>
    <n v="0.96"/>
    <x v="9"/>
    <x v="1"/>
  </r>
  <r>
    <d v="2022-10-02T00:00:00"/>
    <x v="74"/>
    <x v="11"/>
    <x v="1"/>
    <x v="8"/>
    <n v="11.03"/>
    <n v="1"/>
    <n v="3.03"/>
    <x v="9"/>
    <x v="1"/>
  </r>
  <r>
    <d v="2022-10-02T00:00:00"/>
    <x v="74"/>
    <x v="11"/>
    <x v="2"/>
    <x v="9"/>
    <n v="53.04"/>
    <n v="3"/>
    <n v="-4.6399999999999997"/>
    <x v="9"/>
    <x v="1"/>
  </r>
  <r>
    <d v="2022-10-03T00:00:00"/>
    <x v="240"/>
    <x v="10"/>
    <x v="0"/>
    <x v="3"/>
    <n v="32.07"/>
    <n v="5"/>
    <n v="-22.45"/>
    <x v="9"/>
    <x v="1"/>
  </r>
  <r>
    <d v="2022-10-03T00:00:00"/>
    <x v="240"/>
    <x v="10"/>
    <x v="2"/>
    <x v="9"/>
    <n v="24"/>
    <n v="2"/>
    <n v="-2.7"/>
    <x v="9"/>
    <x v="1"/>
  </r>
  <r>
    <d v="2022-10-03T00:00:00"/>
    <x v="240"/>
    <x v="10"/>
    <x v="1"/>
    <x v="11"/>
    <n v="35.49"/>
    <n v="1"/>
    <n v="-15.62"/>
    <x v="9"/>
    <x v="1"/>
  </r>
  <r>
    <d v="2022-10-03T00:00:00"/>
    <x v="240"/>
    <x v="10"/>
    <x v="2"/>
    <x v="9"/>
    <n v="47.98"/>
    <n v="2"/>
    <n v="0.6"/>
    <x v="9"/>
    <x v="1"/>
  </r>
  <r>
    <d v="2022-10-03T00:00:00"/>
    <x v="126"/>
    <x v="2"/>
    <x v="0"/>
    <x v="2"/>
    <n v="15.01"/>
    <n v="2"/>
    <n v="1.5"/>
    <x v="9"/>
    <x v="1"/>
  </r>
  <r>
    <d v="2022-10-03T00:00:00"/>
    <x v="206"/>
    <x v="3"/>
    <x v="1"/>
    <x v="11"/>
    <n v="120.67"/>
    <n v="2"/>
    <n v="18.45"/>
    <x v="9"/>
    <x v="1"/>
  </r>
  <r>
    <d v="2022-10-04T00:00:00"/>
    <x v="561"/>
    <x v="4"/>
    <x v="1"/>
    <x v="5"/>
    <n v="392.94"/>
    <n v="3"/>
    <n v="43.22"/>
    <x v="9"/>
    <x v="1"/>
  </r>
  <r>
    <d v="2022-10-04T00:00:00"/>
    <x v="116"/>
    <x v="3"/>
    <x v="0"/>
    <x v="2"/>
    <n v="26.96"/>
    <n v="2"/>
    <n v="7.01"/>
    <x v="9"/>
    <x v="1"/>
  </r>
  <r>
    <d v="2022-10-04T00:00:00"/>
    <x v="488"/>
    <x v="2"/>
    <x v="1"/>
    <x v="8"/>
    <n v="64.94"/>
    <n v="3"/>
    <n v="6.49"/>
    <x v="9"/>
    <x v="1"/>
  </r>
  <r>
    <d v="2022-10-04T00:00:00"/>
    <x v="488"/>
    <x v="2"/>
    <x v="0"/>
    <x v="0"/>
    <n v="20.74"/>
    <n v="4"/>
    <n v="7.26"/>
    <x v="9"/>
    <x v="1"/>
  </r>
  <r>
    <d v="2022-10-05T00:00:00"/>
    <x v="701"/>
    <x v="6"/>
    <x v="0"/>
    <x v="4"/>
    <n v="46.2"/>
    <n v="4"/>
    <n v="12.94"/>
    <x v="9"/>
    <x v="1"/>
  </r>
  <r>
    <d v="2022-10-05T00:00:00"/>
    <x v="701"/>
    <x v="6"/>
    <x v="0"/>
    <x v="12"/>
    <n v="28.84"/>
    <n v="2"/>
    <n v="9.52"/>
    <x v="9"/>
    <x v="1"/>
  </r>
  <r>
    <d v="2022-10-05T00:00:00"/>
    <x v="472"/>
    <x v="7"/>
    <x v="0"/>
    <x v="2"/>
    <n v="77.55"/>
    <n v="5"/>
    <n v="21.71"/>
    <x v="9"/>
    <x v="1"/>
  </r>
  <r>
    <d v="2022-10-05T00:00:00"/>
    <x v="337"/>
    <x v="10"/>
    <x v="2"/>
    <x v="9"/>
    <n v="53.04"/>
    <n v="3"/>
    <n v="-4.6399999999999997"/>
    <x v="9"/>
    <x v="1"/>
  </r>
  <r>
    <d v="2022-10-05T00:00:00"/>
    <x v="467"/>
    <x v="11"/>
    <x v="1"/>
    <x v="11"/>
    <n v="66.290000000000006"/>
    <n v="1"/>
    <n v="-103.86"/>
    <x v="9"/>
    <x v="1"/>
  </r>
  <r>
    <d v="2022-10-05T00:00:00"/>
    <x v="467"/>
    <x v="11"/>
    <x v="1"/>
    <x v="5"/>
    <n v="291.17"/>
    <n v="4"/>
    <n v="-14.56"/>
    <x v="9"/>
    <x v="1"/>
  </r>
  <r>
    <d v="2022-10-05T00:00:00"/>
    <x v="325"/>
    <x v="10"/>
    <x v="2"/>
    <x v="9"/>
    <n v="288"/>
    <n v="4"/>
    <n v="57.6"/>
    <x v="9"/>
    <x v="1"/>
  </r>
  <r>
    <d v="2022-10-08T00:00:00"/>
    <x v="337"/>
    <x v="3"/>
    <x v="1"/>
    <x v="8"/>
    <n v="145.9"/>
    <n v="5"/>
    <n v="62.74"/>
    <x v="9"/>
    <x v="1"/>
  </r>
  <r>
    <d v="2022-10-08T00:00:00"/>
    <x v="542"/>
    <x v="0"/>
    <x v="0"/>
    <x v="4"/>
    <n v="3.44"/>
    <n v="2"/>
    <n v="0.56000000000000005"/>
    <x v="9"/>
    <x v="1"/>
  </r>
  <r>
    <d v="2022-10-08T00:00:00"/>
    <x v="702"/>
    <x v="0"/>
    <x v="1"/>
    <x v="8"/>
    <n v="72.78"/>
    <n v="3"/>
    <n v="-70.959999999999994"/>
    <x v="9"/>
    <x v="1"/>
  </r>
  <r>
    <d v="2022-10-09T00:00:00"/>
    <x v="610"/>
    <x v="6"/>
    <x v="0"/>
    <x v="2"/>
    <n v="30.84"/>
    <n v="2"/>
    <n v="8.33"/>
    <x v="9"/>
    <x v="1"/>
  </r>
  <r>
    <d v="2022-10-09T00:00:00"/>
    <x v="560"/>
    <x v="20"/>
    <x v="2"/>
    <x v="6"/>
    <n v="631.96"/>
    <n v="4"/>
    <n v="303.33999999999997"/>
    <x v="9"/>
    <x v="1"/>
  </r>
  <r>
    <d v="2022-10-09T00:00:00"/>
    <x v="560"/>
    <x v="20"/>
    <x v="0"/>
    <x v="0"/>
    <n v="23.92"/>
    <n v="4"/>
    <n v="10.76"/>
    <x v="9"/>
    <x v="1"/>
  </r>
  <r>
    <d v="2022-10-09T00:00:00"/>
    <x v="291"/>
    <x v="14"/>
    <x v="2"/>
    <x v="9"/>
    <n v="619.95000000000005"/>
    <n v="5"/>
    <n v="111.59"/>
    <x v="9"/>
    <x v="1"/>
  </r>
  <r>
    <d v="2022-10-09T00:00:00"/>
    <x v="291"/>
    <x v="14"/>
    <x v="2"/>
    <x v="6"/>
    <n v="29.16"/>
    <n v="3"/>
    <n v="8.4600000000000009"/>
    <x v="9"/>
    <x v="1"/>
  </r>
  <r>
    <d v="2022-10-09T00:00:00"/>
    <x v="291"/>
    <x v="14"/>
    <x v="0"/>
    <x v="10"/>
    <n v="57.96"/>
    <n v="7"/>
    <n v="27.24"/>
    <x v="9"/>
    <x v="1"/>
  </r>
  <r>
    <d v="2022-10-09T00:00:00"/>
    <x v="291"/>
    <x v="14"/>
    <x v="0"/>
    <x v="12"/>
    <n v="29.4"/>
    <n v="3"/>
    <n v="5.23"/>
    <x v="9"/>
    <x v="1"/>
  </r>
  <r>
    <d v="2022-10-09T00:00:00"/>
    <x v="256"/>
    <x v="16"/>
    <x v="0"/>
    <x v="3"/>
    <n v="1.87"/>
    <n v="2"/>
    <n v="-1.31"/>
    <x v="9"/>
    <x v="1"/>
  </r>
  <r>
    <d v="2022-10-09T00:00:00"/>
    <x v="256"/>
    <x v="16"/>
    <x v="0"/>
    <x v="3"/>
    <n v="11.21"/>
    <n v="2"/>
    <n v="-8.6"/>
    <x v="9"/>
    <x v="1"/>
  </r>
  <r>
    <d v="2022-10-09T00:00:00"/>
    <x v="256"/>
    <x v="16"/>
    <x v="0"/>
    <x v="4"/>
    <n v="37.380000000000003"/>
    <n v="8"/>
    <n v="7.48"/>
    <x v="9"/>
    <x v="1"/>
  </r>
  <r>
    <d v="2022-10-09T00:00:00"/>
    <x v="667"/>
    <x v="14"/>
    <x v="1"/>
    <x v="5"/>
    <n v="389.97"/>
    <n v="3"/>
    <n v="35.1"/>
    <x v="9"/>
    <x v="1"/>
  </r>
  <r>
    <d v="2022-10-09T00:00:00"/>
    <x v="667"/>
    <x v="14"/>
    <x v="0"/>
    <x v="12"/>
    <n v="269.91000000000003"/>
    <n v="5"/>
    <n v="53.98"/>
    <x v="9"/>
    <x v="1"/>
  </r>
  <r>
    <d v="2022-10-10T00:00:00"/>
    <x v="561"/>
    <x v="3"/>
    <x v="0"/>
    <x v="0"/>
    <n v="45.36"/>
    <n v="7"/>
    <n v="21.77"/>
    <x v="9"/>
    <x v="1"/>
  </r>
  <r>
    <d v="2022-10-10T00:00:00"/>
    <x v="628"/>
    <x v="16"/>
    <x v="0"/>
    <x v="2"/>
    <n v="1801.63"/>
    <n v="6"/>
    <n v="-337.81"/>
    <x v="9"/>
    <x v="1"/>
  </r>
  <r>
    <d v="2022-10-10T00:00:00"/>
    <x v="547"/>
    <x v="1"/>
    <x v="0"/>
    <x v="4"/>
    <n v="8.02"/>
    <n v="3"/>
    <n v="1"/>
    <x v="9"/>
    <x v="1"/>
  </r>
  <r>
    <d v="2022-10-10T00:00:00"/>
    <x v="549"/>
    <x v="3"/>
    <x v="1"/>
    <x v="5"/>
    <n v="362.14"/>
    <n v="3"/>
    <n v="-54.32"/>
    <x v="9"/>
    <x v="1"/>
  </r>
  <r>
    <d v="2022-10-10T00:00:00"/>
    <x v="549"/>
    <x v="3"/>
    <x v="0"/>
    <x v="1"/>
    <n v="31.05"/>
    <n v="3"/>
    <n v="14.9"/>
    <x v="9"/>
    <x v="1"/>
  </r>
  <r>
    <d v="2022-10-11T00:00:00"/>
    <x v="703"/>
    <x v="16"/>
    <x v="1"/>
    <x v="13"/>
    <n v="957.58"/>
    <n v="5"/>
    <n v="-383.03"/>
    <x v="9"/>
    <x v="1"/>
  </r>
  <r>
    <d v="2022-10-11T00:00:00"/>
    <x v="703"/>
    <x v="16"/>
    <x v="0"/>
    <x v="2"/>
    <n v="22.37"/>
    <n v="2"/>
    <n v="2.52"/>
    <x v="9"/>
    <x v="1"/>
  </r>
  <r>
    <d v="2022-10-11T00:00:00"/>
    <x v="489"/>
    <x v="20"/>
    <x v="2"/>
    <x v="9"/>
    <n v="31.95"/>
    <n v="1"/>
    <n v="2.2400000000000002"/>
    <x v="9"/>
    <x v="1"/>
  </r>
  <r>
    <d v="2022-10-12T00:00:00"/>
    <x v="114"/>
    <x v="20"/>
    <x v="1"/>
    <x v="11"/>
    <n v="899.14"/>
    <n v="4"/>
    <n v="112.39"/>
    <x v="9"/>
    <x v="1"/>
  </r>
  <r>
    <d v="2022-10-12T00:00:00"/>
    <x v="114"/>
    <x v="20"/>
    <x v="2"/>
    <x v="6"/>
    <n v="71.760000000000005"/>
    <n v="6"/>
    <n v="20.09"/>
    <x v="9"/>
    <x v="1"/>
  </r>
  <r>
    <d v="2022-10-12T00:00:00"/>
    <x v="114"/>
    <x v="20"/>
    <x v="0"/>
    <x v="0"/>
    <n v="51.84"/>
    <n v="8"/>
    <n v="24.88"/>
    <x v="9"/>
    <x v="1"/>
  </r>
  <r>
    <d v="2022-10-12T00:00:00"/>
    <x v="114"/>
    <x v="20"/>
    <x v="1"/>
    <x v="11"/>
    <n v="626.35"/>
    <n v="3"/>
    <n v="46.98"/>
    <x v="9"/>
    <x v="1"/>
  </r>
  <r>
    <d v="2022-10-12T00:00:00"/>
    <x v="114"/>
    <x v="20"/>
    <x v="0"/>
    <x v="4"/>
    <n v="19.899999999999999"/>
    <n v="5"/>
    <n v="6.57"/>
    <x v="9"/>
    <x v="1"/>
  </r>
  <r>
    <d v="2022-10-12T00:00:00"/>
    <x v="670"/>
    <x v="20"/>
    <x v="1"/>
    <x v="13"/>
    <n v="209.67"/>
    <n v="1"/>
    <n v="-13.98"/>
    <x v="9"/>
    <x v="1"/>
  </r>
  <r>
    <d v="2022-10-12T00:00:00"/>
    <x v="392"/>
    <x v="18"/>
    <x v="2"/>
    <x v="6"/>
    <n v="135.72"/>
    <n v="3"/>
    <n v="35.29"/>
    <x v="9"/>
    <x v="1"/>
  </r>
  <r>
    <d v="2022-10-12T00:00:00"/>
    <x v="392"/>
    <x v="18"/>
    <x v="0"/>
    <x v="3"/>
    <n v="12.56"/>
    <n v="2"/>
    <n v="5.65"/>
    <x v="9"/>
    <x v="1"/>
  </r>
  <r>
    <d v="2022-10-12T00:00:00"/>
    <x v="392"/>
    <x v="18"/>
    <x v="2"/>
    <x v="6"/>
    <n v="263.95999999999998"/>
    <n v="4"/>
    <n v="71.27"/>
    <x v="9"/>
    <x v="1"/>
  </r>
  <r>
    <d v="2022-10-12T00:00:00"/>
    <x v="75"/>
    <x v="22"/>
    <x v="2"/>
    <x v="9"/>
    <n v="17.899999999999999"/>
    <n v="2"/>
    <n v="3.4"/>
    <x v="9"/>
    <x v="1"/>
  </r>
  <r>
    <d v="2022-10-12T00:00:00"/>
    <x v="75"/>
    <x v="22"/>
    <x v="0"/>
    <x v="2"/>
    <n v="81.96"/>
    <n v="2"/>
    <n v="0"/>
    <x v="9"/>
    <x v="1"/>
  </r>
  <r>
    <d v="2022-10-13T00:00:00"/>
    <x v="192"/>
    <x v="5"/>
    <x v="2"/>
    <x v="6"/>
    <n v="83.72"/>
    <n v="7"/>
    <n v="23.44"/>
    <x v="9"/>
    <x v="1"/>
  </r>
  <r>
    <d v="2022-10-13T00:00:00"/>
    <x v="192"/>
    <x v="5"/>
    <x v="1"/>
    <x v="5"/>
    <n v="287.94"/>
    <n v="3"/>
    <n v="77.739999999999995"/>
    <x v="9"/>
    <x v="1"/>
  </r>
  <r>
    <d v="2022-10-15T00:00:00"/>
    <x v="205"/>
    <x v="1"/>
    <x v="2"/>
    <x v="9"/>
    <n v="339.96"/>
    <n v="5"/>
    <n v="67.989999999999995"/>
    <x v="9"/>
    <x v="1"/>
  </r>
  <r>
    <d v="2022-10-15T00:00:00"/>
    <x v="264"/>
    <x v="0"/>
    <x v="2"/>
    <x v="9"/>
    <n v="263.88"/>
    <n v="3"/>
    <n v="42.88"/>
    <x v="9"/>
    <x v="1"/>
  </r>
  <r>
    <d v="2022-10-15T00:00:00"/>
    <x v="264"/>
    <x v="0"/>
    <x v="1"/>
    <x v="5"/>
    <n v="2453.4299999999998"/>
    <n v="5"/>
    <n v="-350.49"/>
    <x v="9"/>
    <x v="1"/>
  </r>
  <r>
    <d v="2022-10-15T00:00:00"/>
    <x v="41"/>
    <x v="14"/>
    <x v="1"/>
    <x v="8"/>
    <n v="17.14"/>
    <n v="2"/>
    <n v="6.17"/>
    <x v="9"/>
    <x v="1"/>
  </r>
  <r>
    <d v="2022-10-15T00:00:00"/>
    <x v="704"/>
    <x v="0"/>
    <x v="1"/>
    <x v="8"/>
    <n v="131.38"/>
    <n v="6"/>
    <n v="-95.25"/>
    <x v="9"/>
    <x v="1"/>
  </r>
  <r>
    <d v="2022-10-15T00:00:00"/>
    <x v="704"/>
    <x v="0"/>
    <x v="0"/>
    <x v="0"/>
    <n v="5.34"/>
    <n v="1"/>
    <n v="1.87"/>
    <x v="9"/>
    <x v="1"/>
  </r>
  <r>
    <d v="2022-10-15T00:00:00"/>
    <x v="471"/>
    <x v="0"/>
    <x v="0"/>
    <x v="10"/>
    <n v="4.46"/>
    <n v="1"/>
    <n v="1.67"/>
    <x v="9"/>
    <x v="1"/>
  </r>
  <r>
    <d v="2022-10-15T00:00:00"/>
    <x v="471"/>
    <x v="0"/>
    <x v="0"/>
    <x v="3"/>
    <n v="3.96"/>
    <n v="10"/>
    <n v="-6.93"/>
    <x v="9"/>
    <x v="1"/>
  </r>
  <r>
    <d v="2022-10-16T00:00:00"/>
    <x v="634"/>
    <x v="20"/>
    <x v="2"/>
    <x v="6"/>
    <n v="824.97"/>
    <n v="3"/>
    <n v="214.49"/>
    <x v="9"/>
    <x v="1"/>
  </r>
  <r>
    <d v="2022-10-17T00:00:00"/>
    <x v="693"/>
    <x v="3"/>
    <x v="0"/>
    <x v="2"/>
    <n v="77.88"/>
    <n v="2"/>
    <n v="3.89"/>
    <x v="9"/>
    <x v="1"/>
  </r>
  <r>
    <d v="2022-10-18T00:00:00"/>
    <x v="61"/>
    <x v="0"/>
    <x v="2"/>
    <x v="9"/>
    <n v="27.7"/>
    <n v="3"/>
    <n v="3.46"/>
    <x v="9"/>
    <x v="1"/>
  </r>
  <r>
    <d v="2022-10-18T00:00:00"/>
    <x v="61"/>
    <x v="0"/>
    <x v="0"/>
    <x v="12"/>
    <n v="73.16"/>
    <n v="6"/>
    <n v="-186.57"/>
    <x v="9"/>
    <x v="1"/>
  </r>
  <r>
    <d v="2022-10-18T00:00:00"/>
    <x v="405"/>
    <x v="22"/>
    <x v="2"/>
    <x v="6"/>
    <n v="249.58"/>
    <n v="2"/>
    <n v="15.6"/>
    <x v="9"/>
    <x v="1"/>
  </r>
  <r>
    <d v="2022-10-18T00:00:00"/>
    <x v="405"/>
    <x v="22"/>
    <x v="0"/>
    <x v="0"/>
    <n v="17.940000000000001"/>
    <n v="3"/>
    <n v="8.7899999999999991"/>
    <x v="9"/>
    <x v="1"/>
  </r>
  <r>
    <d v="2022-10-18T00:00:00"/>
    <x v="405"/>
    <x v="22"/>
    <x v="1"/>
    <x v="8"/>
    <n v="10.11"/>
    <n v="3"/>
    <n v="3.24"/>
    <x v="9"/>
    <x v="1"/>
  </r>
  <r>
    <d v="2022-10-19T00:00:00"/>
    <x v="463"/>
    <x v="38"/>
    <x v="0"/>
    <x v="0"/>
    <n v="34.44"/>
    <n v="3"/>
    <n v="17.22"/>
    <x v="9"/>
    <x v="1"/>
  </r>
  <r>
    <d v="2022-10-19T00:00:00"/>
    <x v="62"/>
    <x v="14"/>
    <x v="0"/>
    <x v="3"/>
    <n v="38.28"/>
    <n v="6"/>
    <n v="17.61"/>
    <x v="9"/>
    <x v="1"/>
  </r>
  <r>
    <d v="2022-10-19T00:00:00"/>
    <x v="62"/>
    <x v="14"/>
    <x v="2"/>
    <x v="6"/>
    <n v="149.94999999999999"/>
    <n v="5"/>
    <n v="44.99"/>
    <x v="9"/>
    <x v="1"/>
  </r>
  <r>
    <d v="2022-10-19T00:00:00"/>
    <x v="508"/>
    <x v="3"/>
    <x v="0"/>
    <x v="12"/>
    <n v="1640.7"/>
    <n v="5"/>
    <n v="459.4"/>
    <x v="9"/>
    <x v="1"/>
  </r>
  <r>
    <d v="2022-10-19T00:00:00"/>
    <x v="508"/>
    <x v="3"/>
    <x v="2"/>
    <x v="9"/>
    <n v="270"/>
    <n v="3"/>
    <n v="97.2"/>
    <x v="9"/>
    <x v="1"/>
  </r>
  <r>
    <d v="2022-10-19T00:00:00"/>
    <x v="178"/>
    <x v="0"/>
    <x v="0"/>
    <x v="3"/>
    <n v="1.72"/>
    <n v="1"/>
    <n v="-2.84"/>
    <x v="9"/>
    <x v="1"/>
  </r>
  <r>
    <d v="2022-10-20T00:00:00"/>
    <x v="270"/>
    <x v="3"/>
    <x v="2"/>
    <x v="9"/>
    <n v="239.97"/>
    <n v="3"/>
    <n v="86.39"/>
    <x v="9"/>
    <x v="1"/>
  </r>
  <r>
    <d v="2022-10-20T00:00:00"/>
    <x v="270"/>
    <x v="3"/>
    <x v="1"/>
    <x v="8"/>
    <n v="16.02"/>
    <n v="6"/>
    <n v="6.09"/>
    <x v="9"/>
    <x v="1"/>
  </r>
  <r>
    <d v="2022-10-20T00:00:00"/>
    <x v="282"/>
    <x v="20"/>
    <x v="0"/>
    <x v="0"/>
    <n v="24.56"/>
    <n v="2"/>
    <n v="11.54"/>
    <x v="9"/>
    <x v="1"/>
  </r>
  <r>
    <d v="2022-10-20T00:00:00"/>
    <x v="149"/>
    <x v="3"/>
    <x v="1"/>
    <x v="8"/>
    <n v="74.760000000000005"/>
    <n v="7"/>
    <n v="23.92"/>
    <x v="9"/>
    <x v="1"/>
  </r>
  <r>
    <d v="2022-10-20T00:00:00"/>
    <x v="149"/>
    <x v="3"/>
    <x v="1"/>
    <x v="13"/>
    <n v="364.78"/>
    <n v="3"/>
    <n v="27.36"/>
    <x v="9"/>
    <x v="1"/>
  </r>
  <r>
    <d v="2022-10-22T00:00:00"/>
    <x v="235"/>
    <x v="1"/>
    <x v="0"/>
    <x v="3"/>
    <n v="5.18"/>
    <n v="4"/>
    <n v="-7.76"/>
    <x v="9"/>
    <x v="1"/>
  </r>
  <r>
    <d v="2022-10-22T00:00:00"/>
    <x v="344"/>
    <x v="16"/>
    <x v="0"/>
    <x v="2"/>
    <n v="9.9499999999999993"/>
    <n v="1"/>
    <n v="1"/>
    <x v="9"/>
    <x v="1"/>
  </r>
  <r>
    <d v="2022-10-23T00:00:00"/>
    <x v="705"/>
    <x v="3"/>
    <x v="2"/>
    <x v="9"/>
    <n v="148.32"/>
    <n v="9"/>
    <n v="63.78"/>
    <x v="9"/>
    <x v="1"/>
  </r>
  <r>
    <d v="2022-10-23T00:00:00"/>
    <x v="705"/>
    <x v="3"/>
    <x v="1"/>
    <x v="5"/>
    <n v="240.78"/>
    <n v="1"/>
    <n v="27.09"/>
    <x v="9"/>
    <x v="1"/>
  </r>
  <r>
    <d v="2022-10-23T00:00:00"/>
    <x v="705"/>
    <x v="3"/>
    <x v="1"/>
    <x v="5"/>
    <n v="191.97"/>
    <n v="7"/>
    <n v="16.8"/>
    <x v="9"/>
    <x v="1"/>
  </r>
  <r>
    <d v="2022-10-23T00:00:00"/>
    <x v="705"/>
    <x v="3"/>
    <x v="0"/>
    <x v="0"/>
    <n v="11.56"/>
    <n v="2"/>
    <n v="5.66"/>
    <x v="9"/>
    <x v="1"/>
  </r>
  <r>
    <d v="2022-10-23T00:00:00"/>
    <x v="705"/>
    <x v="3"/>
    <x v="0"/>
    <x v="10"/>
    <n v="11.8"/>
    <n v="4"/>
    <n v="5.66"/>
    <x v="9"/>
    <x v="1"/>
  </r>
  <r>
    <d v="2022-10-23T00:00:00"/>
    <x v="705"/>
    <x v="3"/>
    <x v="1"/>
    <x v="5"/>
    <n v="842.35"/>
    <n v="3"/>
    <n v="42.12"/>
    <x v="9"/>
    <x v="1"/>
  </r>
  <r>
    <d v="2022-10-23T00:00:00"/>
    <x v="565"/>
    <x v="16"/>
    <x v="2"/>
    <x v="6"/>
    <n v="55.94"/>
    <n v="7"/>
    <n v="-13.29"/>
    <x v="9"/>
    <x v="1"/>
  </r>
  <r>
    <d v="2022-10-23T00:00:00"/>
    <x v="565"/>
    <x v="16"/>
    <x v="0"/>
    <x v="4"/>
    <n v="10.69"/>
    <n v="2"/>
    <n v="2.27"/>
    <x v="9"/>
    <x v="1"/>
  </r>
  <r>
    <d v="2022-10-23T00:00:00"/>
    <x v="565"/>
    <x v="16"/>
    <x v="2"/>
    <x v="6"/>
    <n v="11.82"/>
    <n v="2"/>
    <n v="1.03"/>
    <x v="9"/>
    <x v="1"/>
  </r>
  <r>
    <d v="2022-10-23T00:00:00"/>
    <x v="597"/>
    <x v="22"/>
    <x v="0"/>
    <x v="3"/>
    <n v="3.59"/>
    <n v="1"/>
    <n v="1.1200000000000001"/>
    <x v="9"/>
    <x v="1"/>
  </r>
  <r>
    <d v="2022-10-23T00:00:00"/>
    <x v="364"/>
    <x v="0"/>
    <x v="0"/>
    <x v="0"/>
    <n v="36.29"/>
    <n v="7"/>
    <n v="12.7"/>
    <x v="9"/>
    <x v="1"/>
  </r>
  <r>
    <d v="2022-10-23T00:00:00"/>
    <x v="364"/>
    <x v="0"/>
    <x v="2"/>
    <x v="6"/>
    <n v="150.38"/>
    <n v="2"/>
    <n v="15.04"/>
    <x v="9"/>
    <x v="1"/>
  </r>
  <r>
    <d v="2022-10-23T00:00:00"/>
    <x v="96"/>
    <x v="0"/>
    <x v="0"/>
    <x v="0"/>
    <n v="60.74"/>
    <n v="8"/>
    <n v="20.5"/>
    <x v="9"/>
    <x v="1"/>
  </r>
  <r>
    <d v="2022-10-23T00:00:00"/>
    <x v="96"/>
    <x v="0"/>
    <x v="2"/>
    <x v="16"/>
    <n v="479.98"/>
    <n v="3"/>
    <n v="161.99"/>
    <x v="9"/>
    <x v="1"/>
  </r>
  <r>
    <d v="2022-10-23T00:00:00"/>
    <x v="96"/>
    <x v="0"/>
    <x v="0"/>
    <x v="3"/>
    <n v="6.08"/>
    <n v="1"/>
    <n v="-10.34"/>
    <x v="9"/>
    <x v="1"/>
  </r>
  <r>
    <d v="2022-10-24T00:00:00"/>
    <x v="597"/>
    <x v="0"/>
    <x v="0"/>
    <x v="0"/>
    <n v="15.55"/>
    <n v="3"/>
    <n v="5.44"/>
    <x v="9"/>
    <x v="1"/>
  </r>
  <r>
    <d v="2022-10-24T00:00:00"/>
    <x v="597"/>
    <x v="0"/>
    <x v="1"/>
    <x v="13"/>
    <n v="347.36"/>
    <n v="7"/>
    <n v="-69.47"/>
    <x v="9"/>
    <x v="1"/>
  </r>
  <r>
    <d v="2022-10-24T00:00:00"/>
    <x v="597"/>
    <x v="0"/>
    <x v="0"/>
    <x v="0"/>
    <n v="10.37"/>
    <n v="2"/>
    <n v="3.63"/>
    <x v="9"/>
    <x v="1"/>
  </r>
  <r>
    <d v="2022-10-24T00:00:00"/>
    <x v="428"/>
    <x v="0"/>
    <x v="0"/>
    <x v="3"/>
    <n v="3.59"/>
    <n v="4"/>
    <n v="-6.29"/>
    <x v="9"/>
    <x v="1"/>
  </r>
  <r>
    <d v="2022-10-24T00:00:00"/>
    <x v="629"/>
    <x v="3"/>
    <x v="1"/>
    <x v="5"/>
    <n v="454.27"/>
    <n v="8"/>
    <n v="-73.819999999999993"/>
    <x v="9"/>
    <x v="1"/>
  </r>
  <r>
    <d v="2022-10-25T00:00:00"/>
    <x v="335"/>
    <x v="3"/>
    <x v="0"/>
    <x v="4"/>
    <n v="60.45"/>
    <n v="3"/>
    <n v="16.32"/>
    <x v="9"/>
    <x v="1"/>
  </r>
  <r>
    <d v="2022-10-25T00:00:00"/>
    <x v="335"/>
    <x v="3"/>
    <x v="1"/>
    <x v="13"/>
    <n v="253.18"/>
    <n v="3"/>
    <n v="-31.65"/>
    <x v="9"/>
    <x v="1"/>
  </r>
  <r>
    <d v="2022-10-25T00:00:00"/>
    <x v="252"/>
    <x v="7"/>
    <x v="2"/>
    <x v="6"/>
    <n v="158.99"/>
    <n v="1"/>
    <n v="41.34"/>
    <x v="9"/>
    <x v="1"/>
  </r>
  <r>
    <d v="2022-10-25T00:00:00"/>
    <x v="252"/>
    <x v="7"/>
    <x v="1"/>
    <x v="5"/>
    <n v="291.10000000000002"/>
    <n v="5"/>
    <n v="75.69"/>
    <x v="9"/>
    <x v="1"/>
  </r>
  <r>
    <d v="2022-10-25T00:00:00"/>
    <x v="259"/>
    <x v="17"/>
    <x v="0"/>
    <x v="4"/>
    <n v="79.36"/>
    <n v="4"/>
    <n v="23.81"/>
    <x v="9"/>
    <x v="1"/>
  </r>
  <r>
    <d v="2022-10-25T00:00:00"/>
    <x v="486"/>
    <x v="26"/>
    <x v="1"/>
    <x v="5"/>
    <n v="582.34"/>
    <n v="8"/>
    <n v="-29.12"/>
    <x v="9"/>
    <x v="1"/>
  </r>
  <r>
    <d v="2022-10-26T00:00:00"/>
    <x v="706"/>
    <x v="3"/>
    <x v="0"/>
    <x v="1"/>
    <n v="5.76"/>
    <n v="2"/>
    <n v="2.65"/>
    <x v="9"/>
    <x v="1"/>
  </r>
  <r>
    <d v="2022-10-26T00:00:00"/>
    <x v="597"/>
    <x v="12"/>
    <x v="2"/>
    <x v="6"/>
    <n v="105.58"/>
    <n v="2"/>
    <n v="9.24"/>
    <x v="9"/>
    <x v="1"/>
  </r>
  <r>
    <d v="2022-10-26T00:00:00"/>
    <x v="597"/>
    <x v="12"/>
    <x v="2"/>
    <x v="6"/>
    <n v="68.72"/>
    <n v="2"/>
    <n v="-14.6"/>
    <x v="9"/>
    <x v="1"/>
  </r>
  <r>
    <d v="2022-10-26T00:00:00"/>
    <x v="94"/>
    <x v="11"/>
    <x v="0"/>
    <x v="1"/>
    <n v="146.54"/>
    <n v="6"/>
    <n v="47.63"/>
    <x v="9"/>
    <x v="1"/>
  </r>
  <r>
    <d v="2022-10-26T00:00:00"/>
    <x v="94"/>
    <x v="11"/>
    <x v="0"/>
    <x v="0"/>
    <n v="131.9"/>
    <n v="3"/>
    <n v="47.82"/>
    <x v="9"/>
    <x v="1"/>
  </r>
  <r>
    <d v="2022-10-26T00:00:00"/>
    <x v="94"/>
    <x v="11"/>
    <x v="0"/>
    <x v="12"/>
    <n v="203.88"/>
    <n v="5"/>
    <n v="20.39"/>
    <x v="9"/>
    <x v="1"/>
  </r>
  <r>
    <d v="2022-10-26T00:00:00"/>
    <x v="94"/>
    <x v="11"/>
    <x v="0"/>
    <x v="3"/>
    <n v="14.3"/>
    <n v="7"/>
    <n v="-10.49"/>
    <x v="9"/>
    <x v="1"/>
  </r>
  <r>
    <d v="2022-10-26T00:00:00"/>
    <x v="94"/>
    <x v="11"/>
    <x v="0"/>
    <x v="2"/>
    <n v="718.64"/>
    <n v="10"/>
    <n v="-161.69"/>
    <x v="9"/>
    <x v="1"/>
  </r>
  <r>
    <d v="2022-10-28T00:00:00"/>
    <x v="122"/>
    <x v="5"/>
    <x v="0"/>
    <x v="10"/>
    <n v="10.67"/>
    <n v="1"/>
    <n v="4.91"/>
    <x v="9"/>
    <x v="1"/>
  </r>
  <r>
    <d v="2022-10-28T00:00:00"/>
    <x v="122"/>
    <x v="5"/>
    <x v="0"/>
    <x v="2"/>
    <n v="36.630000000000003"/>
    <n v="3"/>
    <n v="9.89"/>
    <x v="9"/>
    <x v="1"/>
  </r>
  <r>
    <d v="2022-10-28T00:00:00"/>
    <x v="122"/>
    <x v="5"/>
    <x v="1"/>
    <x v="8"/>
    <n v="24.1"/>
    <n v="5"/>
    <n v="9.16"/>
    <x v="9"/>
    <x v="1"/>
  </r>
  <r>
    <d v="2022-10-28T00:00:00"/>
    <x v="122"/>
    <x v="5"/>
    <x v="1"/>
    <x v="8"/>
    <n v="33.11"/>
    <n v="7"/>
    <n v="12.91"/>
    <x v="9"/>
    <x v="1"/>
  </r>
  <r>
    <d v="2022-10-29T00:00:00"/>
    <x v="555"/>
    <x v="3"/>
    <x v="0"/>
    <x v="0"/>
    <n v="33.4"/>
    <n v="5"/>
    <n v="16.03"/>
    <x v="9"/>
    <x v="1"/>
  </r>
  <r>
    <d v="2022-10-29T00:00:00"/>
    <x v="555"/>
    <x v="3"/>
    <x v="0"/>
    <x v="10"/>
    <n v="210.84"/>
    <n v="4"/>
    <n v="103.31"/>
    <x v="9"/>
    <x v="1"/>
  </r>
  <r>
    <d v="2022-10-30T00:00:00"/>
    <x v="662"/>
    <x v="14"/>
    <x v="2"/>
    <x v="6"/>
    <n v="299.89999999999998"/>
    <n v="2"/>
    <n v="74.98"/>
    <x v="9"/>
    <x v="1"/>
  </r>
  <r>
    <d v="2022-10-30T00:00:00"/>
    <x v="410"/>
    <x v="26"/>
    <x v="2"/>
    <x v="15"/>
    <n v="59.99"/>
    <n v="2"/>
    <n v="-46"/>
    <x v="9"/>
    <x v="1"/>
  </r>
  <r>
    <d v="2022-10-30T00:00:00"/>
    <x v="410"/>
    <x v="26"/>
    <x v="2"/>
    <x v="16"/>
    <n v="439.99"/>
    <n v="1"/>
    <n v="165"/>
    <x v="9"/>
    <x v="1"/>
  </r>
  <r>
    <d v="2022-10-30T00:00:00"/>
    <x v="410"/>
    <x v="26"/>
    <x v="2"/>
    <x v="6"/>
    <n v="87.96"/>
    <n v="5"/>
    <n v="30.79"/>
    <x v="9"/>
    <x v="1"/>
  </r>
  <r>
    <d v="2022-10-30T00:00:00"/>
    <x v="410"/>
    <x v="26"/>
    <x v="1"/>
    <x v="8"/>
    <n v="15.49"/>
    <n v="4"/>
    <n v="3.68"/>
    <x v="9"/>
    <x v="1"/>
  </r>
  <r>
    <d v="2022-10-30T00:00:00"/>
    <x v="426"/>
    <x v="6"/>
    <x v="0"/>
    <x v="12"/>
    <n v="182.91"/>
    <n v="3"/>
    <n v="53.04"/>
    <x v="9"/>
    <x v="1"/>
  </r>
  <r>
    <d v="2022-10-30T00:00:00"/>
    <x v="45"/>
    <x v="20"/>
    <x v="2"/>
    <x v="15"/>
    <n v="1035.8"/>
    <n v="4"/>
    <n v="269.31"/>
    <x v="9"/>
    <x v="1"/>
  </r>
  <r>
    <d v="2022-10-31T00:00:00"/>
    <x v="126"/>
    <x v="3"/>
    <x v="0"/>
    <x v="10"/>
    <n v="14.28"/>
    <n v="7"/>
    <n v="6.71"/>
    <x v="9"/>
    <x v="1"/>
  </r>
  <r>
    <d v="2022-10-31T00:00:00"/>
    <x v="187"/>
    <x v="14"/>
    <x v="0"/>
    <x v="14"/>
    <n v="70.12"/>
    <n v="4"/>
    <n v="21.04"/>
    <x v="9"/>
    <x v="1"/>
  </r>
  <r>
    <d v="2022-10-31T00:00:00"/>
    <x v="73"/>
    <x v="20"/>
    <x v="0"/>
    <x v="4"/>
    <n v="2.78"/>
    <n v="2"/>
    <n v="0.72"/>
    <x v="9"/>
    <x v="1"/>
  </r>
  <r>
    <d v="2022-10-31T00:00:00"/>
    <x v="73"/>
    <x v="20"/>
    <x v="0"/>
    <x v="10"/>
    <n v="79.959999999999994"/>
    <n v="2"/>
    <n v="35.979999999999997"/>
    <x v="9"/>
    <x v="1"/>
  </r>
  <r>
    <d v="2022-10-31T00:00:00"/>
    <x v="105"/>
    <x v="3"/>
    <x v="0"/>
    <x v="3"/>
    <n v="9.73"/>
    <n v="2"/>
    <n v="3.28"/>
    <x v="9"/>
    <x v="1"/>
  </r>
  <r>
    <d v="2022-10-31T00:00:00"/>
    <x v="105"/>
    <x v="3"/>
    <x v="0"/>
    <x v="10"/>
    <n v="14.75"/>
    <n v="5"/>
    <n v="7.08"/>
    <x v="9"/>
    <x v="1"/>
  </r>
  <r>
    <d v="2022-10-31T00:00:00"/>
    <x v="105"/>
    <x v="3"/>
    <x v="0"/>
    <x v="3"/>
    <n v="29.8"/>
    <n v="5"/>
    <n v="9.31"/>
    <x v="9"/>
    <x v="1"/>
  </r>
  <r>
    <d v="2022-10-31T00:00:00"/>
    <x v="105"/>
    <x v="3"/>
    <x v="0"/>
    <x v="1"/>
    <n v="427.42"/>
    <n v="14"/>
    <n v="196.61"/>
    <x v="9"/>
    <x v="1"/>
  </r>
  <r>
    <d v="2022-10-31T00:00:00"/>
    <x v="707"/>
    <x v="3"/>
    <x v="0"/>
    <x v="0"/>
    <n v="19.98"/>
    <n v="1"/>
    <n v="9.39"/>
    <x v="9"/>
    <x v="1"/>
  </r>
  <r>
    <d v="2022-10-31T00:00:00"/>
    <x v="707"/>
    <x v="3"/>
    <x v="0"/>
    <x v="3"/>
    <n v="398.35"/>
    <n v="3"/>
    <n v="124.49"/>
    <x v="9"/>
    <x v="1"/>
  </r>
  <r>
    <d v="2022-10-31T00:00:00"/>
    <x v="707"/>
    <x v="3"/>
    <x v="0"/>
    <x v="4"/>
    <n v="5.04"/>
    <n v="3"/>
    <n v="1.26"/>
    <x v="9"/>
    <x v="1"/>
  </r>
  <r>
    <d v="2022-10-31T00:00:00"/>
    <x v="707"/>
    <x v="3"/>
    <x v="0"/>
    <x v="7"/>
    <n v="17.45"/>
    <n v="5"/>
    <n v="8.0299999999999994"/>
    <x v="9"/>
    <x v="1"/>
  </r>
  <r>
    <d v="2022-10-31T00:00:00"/>
    <x v="707"/>
    <x v="3"/>
    <x v="1"/>
    <x v="5"/>
    <n v="323.14"/>
    <n v="4"/>
    <n v="20.2"/>
    <x v="9"/>
    <x v="1"/>
  </r>
  <r>
    <d v="2022-10-31T00:00:00"/>
    <x v="707"/>
    <x v="3"/>
    <x v="0"/>
    <x v="14"/>
    <n v="29.7"/>
    <n v="3"/>
    <n v="8.02"/>
    <x v="9"/>
    <x v="1"/>
  </r>
  <r>
    <d v="2022-10-31T00:00:00"/>
    <x v="707"/>
    <x v="3"/>
    <x v="2"/>
    <x v="6"/>
    <n v="1295.8399999999999"/>
    <n v="4"/>
    <n v="145.78"/>
    <x v="9"/>
    <x v="1"/>
  </r>
  <r>
    <d v="2022-10-31T00:00:00"/>
    <x v="707"/>
    <x v="3"/>
    <x v="0"/>
    <x v="2"/>
    <n v="46.84"/>
    <n v="2"/>
    <n v="12.65"/>
    <x v="9"/>
    <x v="1"/>
  </r>
  <r>
    <d v="2022-10-31T00:00:00"/>
    <x v="707"/>
    <x v="3"/>
    <x v="1"/>
    <x v="11"/>
    <n v="425.83"/>
    <n v="1"/>
    <n v="20.04"/>
    <x v="9"/>
    <x v="1"/>
  </r>
  <r>
    <d v="2022-11-01T00:00:00"/>
    <x v="139"/>
    <x v="2"/>
    <x v="2"/>
    <x v="9"/>
    <n v="35.36"/>
    <n v="2"/>
    <n v="-3.09"/>
    <x v="10"/>
    <x v="1"/>
  </r>
  <r>
    <d v="2022-11-01T00:00:00"/>
    <x v="139"/>
    <x v="2"/>
    <x v="0"/>
    <x v="7"/>
    <n v="3.17"/>
    <n v="2"/>
    <n v="-0.71"/>
    <x v="10"/>
    <x v="1"/>
  </r>
  <r>
    <d v="2022-11-01T00:00:00"/>
    <x v="87"/>
    <x v="20"/>
    <x v="2"/>
    <x v="6"/>
    <n v="4.95"/>
    <n v="1"/>
    <n v="1.34"/>
    <x v="10"/>
    <x v="1"/>
  </r>
  <r>
    <d v="2022-11-01T00:00:00"/>
    <x v="329"/>
    <x v="20"/>
    <x v="0"/>
    <x v="0"/>
    <n v="13.52"/>
    <n v="4"/>
    <n v="6.22"/>
    <x v="10"/>
    <x v="1"/>
  </r>
  <r>
    <d v="2022-11-01T00:00:00"/>
    <x v="329"/>
    <x v="20"/>
    <x v="1"/>
    <x v="8"/>
    <n v="259.7"/>
    <n v="5"/>
    <n v="106.48"/>
    <x v="10"/>
    <x v="1"/>
  </r>
  <r>
    <d v="2022-11-01T00:00:00"/>
    <x v="329"/>
    <x v="20"/>
    <x v="2"/>
    <x v="6"/>
    <n v="42.95"/>
    <n v="1"/>
    <n v="1.29"/>
    <x v="10"/>
    <x v="1"/>
  </r>
  <r>
    <d v="2022-11-01T00:00:00"/>
    <x v="329"/>
    <x v="20"/>
    <x v="2"/>
    <x v="9"/>
    <n v="1399.93"/>
    <n v="7"/>
    <n v="601.97"/>
    <x v="10"/>
    <x v="1"/>
  </r>
  <r>
    <d v="2022-11-01T00:00:00"/>
    <x v="329"/>
    <x v="20"/>
    <x v="2"/>
    <x v="6"/>
    <n v="503.96"/>
    <n v="4"/>
    <n v="125.99"/>
    <x v="10"/>
    <x v="1"/>
  </r>
  <r>
    <d v="2022-11-01T00:00:00"/>
    <x v="41"/>
    <x v="11"/>
    <x v="0"/>
    <x v="4"/>
    <n v="7.88"/>
    <n v="1"/>
    <n v="1.77"/>
    <x v="10"/>
    <x v="1"/>
  </r>
  <r>
    <d v="2022-11-01T00:00:00"/>
    <x v="493"/>
    <x v="13"/>
    <x v="1"/>
    <x v="13"/>
    <n v="301.95999999999998"/>
    <n v="2"/>
    <n v="45.29"/>
    <x v="10"/>
    <x v="1"/>
  </r>
  <r>
    <d v="2022-11-01T00:00:00"/>
    <x v="645"/>
    <x v="20"/>
    <x v="1"/>
    <x v="5"/>
    <n v="327.56"/>
    <n v="4"/>
    <n v="21.84"/>
    <x v="10"/>
    <x v="1"/>
  </r>
  <r>
    <d v="2022-11-01T00:00:00"/>
    <x v="467"/>
    <x v="20"/>
    <x v="1"/>
    <x v="5"/>
    <n v="205.16"/>
    <n v="2"/>
    <n v="13.68"/>
    <x v="10"/>
    <x v="1"/>
  </r>
  <r>
    <d v="2022-11-02T00:00:00"/>
    <x v="117"/>
    <x v="3"/>
    <x v="1"/>
    <x v="13"/>
    <n v="1038.8399999999999"/>
    <n v="5"/>
    <n v="51.94"/>
    <x v="10"/>
    <x v="1"/>
  </r>
  <r>
    <d v="2022-11-02T00:00:00"/>
    <x v="708"/>
    <x v="22"/>
    <x v="2"/>
    <x v="9"/>
    <n v="447.93"/>
    <n v="9"/>
    <n v="49.27"/>
    <x v="10"/>
    <x v="1"/>
  </r>
  <r>
    <d v="2022-11-02T00:00:00"/>
    <x v="308"/>
    <x v="20"/>
    <x v="1"/>
    <x v="5"/>
    <n v="109.76"/>
    <n v="2"/>
    <n v="8.5399999999999991"/>
    <x v="10"/>
    <x v="1"/>
  </r>
  <r>
    <d v="2022-11-02T00:00:00"/>
    <x v="235"/>
    <x v="3"/>
    <x v="1"/>
    <x v="8"/>
    <n v="96.96"/>
    <n v="6"/>
    <n v="33.94"/>
    <x v="10"/>
    <x v="1"/>
  </r>
  <r>
    <d v="2022-11-02T00:00:00"/>
    <x v="235"/>
    <x v="3"/>
    <x v="0"/>
    <x v="3"/>
    <n v="117.49"/>
    <n v="7"/>
    <n v="41.12"/>
    <x v="10"/>
    <x v="1"/>
  </r>
  <r>
    <d v="2022-11-02T00:00:00"/>
    <x v="235"/>
    <x v="3"/>
    <x v="0"/>
    <x v="3"/>
    <n v="11.95"/>
    <n v="3"/>
    <n v="4.18"/>
    <x v="10"/>
    <x v="1"/>
  </r>
  <r>
    <d v="2022-11-02T00:00:00"/>
    <x v="235"/>
    <x v="3"/>
    <x v="1"/>
    <x v="11"/>
    <n v="512.5"/>
    <n v="3"/>
    <n v="-30.15"/>
    <x v="10"/>
    <x v="1"/>
  </r>
  <r>
    <d v="2022-11-02T00:00:00"/>
    <x v="341"/>
    <x v="20"/>
    <x v="1"/>
    <x v="5"/>
    <n v="2621.3200000000002"/>
    <n v="11"/>
    <n v="553.39"/>
    <x v="10"/>
    <x v="1"/>
  </r>
  <r>
    <d v="2022-11-02T00:00:00"/>
    <x v="323"/>
    <x v="0"/>
    <x v="0"/>
    <x v="3"/>
    <n v="29.37"/>
    <n v="7"/>
    <n v="-47"/>
    <x v="10"/>
    <x v="1"/>
  </r>
  <r>
    <d v="2022-11-02T00:00:00"/>
    <x v="323"/>
    <x v="0"/>
    <x v="2"/>
    <x v="6"/>
    <n v="344.7"/>
    <n v="2"/>
    <n v="38.78"/>
    <x v="10"/>
    <x v="1"/>
  </r>
  <r>
    <d v="2022-11-02T00:00:00"/>
    <x v="709"/>
    <x v="6"/>
    <x v="0"/>
    <x v="12"/>
    <n v="197.72"/>
    <n v="4"/>
    <n v="55.36"/>
    <x v="10"/>
    <x v="1"/>
  </r>
  <r>
    <d v="2022-11-03T00:00:00"/>
    <x v="619"/>
    <x v="3"/>
    <x v="2"/>
    <x v="6"/>
    <n v="1212.8499999999999"/>
    <n v="7"/>
    <n v="106.12"/>
    <x v="10"/>
    <x v="1"/>
  </r>
  <r>
    <d v="2022-11-03T00:00:00"/>
    <x v="619"/>
    <x v="3"/>
    <x v="2"/>
    <x v="9"/>
    <n v="89.97"/>
    <n v="3"/>
    <n v="37.79"/>
    <x v="10"/>
    <x v="1"/>
  </r>
  <r>
    <d v="2022-11-03T00:00:00"/>
    <x v="619"/>
    <x v="3"/>
    <x v="1"/>
    <x v="8"/>
    <n v="42.6"/>
    <n v="3"/>
    <n v="16.61"/>
    <x v="10"/>
    <x v="1"/>
  </r>
  <r>
    <d v="2022-11-03T00:00:00"/>
    <x v="10"/>
    <x v="0"/>
    <x v="0"/>
    <x v="10"/>
    <n v="6.61"/>
    <n v="2"/>
    <n v="2.15"/>
    <x v="10"/>
    <x v="1"/>
  </r>
  <r>
    <d v="2022-11-03T00:00:00"/>
    <x v="470"/>
    <x v="20"/>
    <x v="1"/>
    <x v="5"/>
    <n v="1448.82"/>
    <n v="10"/>
    <n v="209.27"/>
    <x v="10"/>
    <x v="1"/>
  </r>
  <r>
    <d v="2022-11-05T00:00:00"/>
    <x v="169"/>
    <x v="25"/>
    <x v="1"/>
    <x v="5"/>
    <n v="207"/>
    <n v="3"/>
    <n v="25.88"/>
    <x v="10"/>
    <x v="1"/>
  </r>
  <r>
    <d v="2022-11-05T00:00:00"/>
    <x v="329"/>
    <x v="16"/>
    <x v="0"/>
    <x v="12"/>
    <n v="387.14"/>
    <n v="4"/>
    <n v="24.2"/>
    <x v="10"/>
    <x v="1"/>
  </r>
  <r>
    <d v="2022-11-05T00:00:00"/>
    <x v="241"/>
    <x v="20"/>
    <x v="0"/>
    <x v="3"/>
    <n v="25.34"/>
    <n v="6"/>
    <n v="8.8699999999999992"/>
    <x v="10"/>
    <x v="1"/>
  </r>
  <r>
    <d v="2022-11-05T00:00:00"/>
    <x v="534"/>
    <x v="1"/>
    <x v="0"/>
    <x v="1"/>
    <n v="19.82"/>
    <n v="6"/>
    <n v="6.44"/>
    <x v="10"/>
    <x v="1"/>
  </r>
  <r>
    <d v="2022-11-05T00:00:00"/>
    <x v="176"/>
    <x v="3"/>
    <x v="0"/>
    <x v="2"/>
    <n v="62.8"/>
    <n v="4"/>
    <n v="15.7"/>
    <x v="10"/>
    <x v="1"/>
  </r>
  <r>
    <d v="2022-11-05T00:00:00"/>
    <x v="318"/>
    <x v="22"/>
    <x v="0"/>
    <x v="3"/>
    <n v="98.35"/>
    <n v="3"/>
    <n v="35.65"/>
    <x v="10"/>
    <x v="1"/>
  </r>
  <r>
    <d v="2022-11-05T00:00:00"/>
    <x v="710"/>
    <x v="10"/>
    <x v="0"/>
    <x v="3"/>
    <n v="7.22"/>
    <n v="3"/>
    <n v="-5.53"/>
    <x v="10"/>
    <x v="1"/>
  </r>
  <r>
    <d v="2022-11-05T00:00:00"/>
    <x v="710"/>
    <x v="10"/>
    <x v="0"/>
    <x v="14"/>
    <n v="27.2"/>
    <n v="4"/>
    <n v="2.04"/>
    <x v="10"/>
    <x v="1"/>
  </r>
  <r>
    <d v="2022-11-06T00:00:00"/>
    <x v="711"/>
    <x v="12"/>
    <x v="0"/>
    <x v="10"/>
    <n v="7.08"/>
    <n v="3"/>
    <n v="2.48"/>
    <x v="10"/>
    <x v="1"/>
  </r>
  <r>
    <d v="2022-11-06T00:00:00"/>
    <x v="711"/>
    <x v="12"/>
    <x v="0"/>
    <x v="3"/>
    <n v="4.4000000000000004"/>
    <n v="3"/>
    <n v="-3.52"/>
    <x v="10"/>
    <x v="1"/>
  </r>
  <r>
    <d v="2022-11-07T00:00:00"/>
    <x v="119"/>
    <x v="3"/>
    <x v="1"/>
    <x v="5"/>
    <n v="190.72"/>
    <n v="1"/>
    <n v="11.92"/>
    <x v="10"/>
    <x v="1"/>
  </r>
  <r>
    <d v="2022-11-07T00:00:00"/>
    <x v="411"/>
    <x v="7"/>
    <x v="0"/>
    <x v="7"/>
    <n v="26.18"/>
    <n v="7"/>
    <n v="0.52"/>
    <x v="10"/>
    <x v="1"/>
  </r>
  <r>
    <d v="2022-11-07T00:00:00"/>
    <x v="411"/>
    <x v="7"/>
    <x v="0"/>
    <x v="0"/>
    <n v="7.3"/>
    <n v="2"/>
    <n v="3.43"/>
    <x v="10"/>
    <x v="1"/>
  </r>
  <r>
    <d v="2022-11-07T00:00:00"/>
    <x v="119"/>
    <x v="2"/>
    <x v="0"/>
    <x v="10"/>
    <n v="24.4"/>
    <n v="2"/>
    <n v="7.93"/>
    <x v="10"/>
    <x v="1"/>
  </r>
  <r>
    <d v="2022-11-07T00:00:00"/>
    <x v="149"/>
    <x v="45"/>
    <x v="1"/>
    <x v="5"/>
    <n v="715.2"/>
    <n v="3"/>
    <n v="178.8"/>
    <x v="10"/>
    <x v="1"/>
  </r>
  <r>
    <d v="2022-11-07T00:00:00"/>
    <x v="85"/>
    <x v="16"/>
    <x v="0"/>
    <x v="3"/>
    <n v="16.149999999999999"/>
    <n v="9"/>
    <n v="-12.92"/>
    <x v="10"/>
    <x v="1"/>
  </r>
  <r>
    <d v="2022-11-07T00:00:00"/>
    <x v="85"/>
    <x v="16"/>
    <x v="0"/>
    <x v="3"/>
    <n v="1345.49"/>
    <n v="5"/>
    <n v="-1031.54"/>
    <x v="10"/>
    <x v="1"/>
  </r>
  <r>
    <d v="2022-11-07T00:00:00"/>
    <x v="712"/>
    <x v="0"/>
    <x v="0"/>
    <x v="0"/>
    <n v="76.64"/>
    <n v="2"/>
    <n v="26.82"/>
    <x v="10"/>
    <x v="1"/>
  </r>
  <r>
    <d v="2022-11-07T00:00:00"/>
    <x v="579"/>
    <x v="0"/>
    <x v="0"/>
    <x v="4"/>
    <n v="23.64"/>
    <n v="3"/>
    <n v="5.32"/>
    <x v="10"/>
    <x v="1"/>
  </r>
  <r>
    <d v="2022-11-07T00:00:00"/>
    <x v="579"/>
    <x v="0"/>
    <x v="0"/>
    <x v="2"/>
    <n v="84.78"/>
    <n v="2"/>
    <n v="-16.96"/>
    <x v="10"/>
    <x v="1"/>
  </r>
  <r>
    <d v="2022-11-07T00:00:00"/>
    <x v="579"/>
    <x v="0"/>
    <x v="1"/>
    <x v="8"/>
    <n v="64.959999999999994"/>
    <n v="5"/>
    <n v="-84.45"/>
    <x v="10"/>
    <x v="1"/>
  </r>
  <r>
    <d v="2022-11-07T00:00:00"/>
    <x v="579"/>
    <x v="0"/>
    <x v="0"/>
    <x v="3"/>
    <n v="32.06"/>
    <n v="10"/>
    <n v="-51.3"/>
    <x v="10"/>
    <x v="1"/>
  </r>
  <r>
    <d v="2022-11-07T00:00:00"/>
    <x v="579"/>
    <x v="0"/>
    <x v="0"/>
    <x v="2"/>
    <n v="177.65"/>
    <n v="2"/>
    <n v="-28.87"/>
    <x v="10"/>
    <x v="1"/>
  </r>
  <r>
    <d v="2022-11-07T00:00:00"/>
    <x v="579"/>
    <x v="0"/>
    <x v="2"/>
    <x v="15"/>
    <n v="287.91000000000003"/>
    <n v="3"/>
    <n v="33.590000000000003"/>
    <x v="10"/>
    <x v="1"/>
  </r>
  <r>
    <d v="2022-11-08T00:00:00"/>
    <x v="276"/>
    <x v="32"/>
    <x v="0"/>
    <x v="4"/>
    <n v="11.65"/>
    <n v="5"/>
    <n v="3.38"/>
    <x v="10"/>
    <x v="1"/>
  </r>
  <r>
    <d v="2022-11-08T00:00:00"/>
    <x v="713"/>
    <x v="3"/>
    <x v="0"/>
    <x v="7"/>
    <n v="5"/>
    <n v="1"/>
    <n v="2.4"/>
    <x v="10"/>
    <x v="1"/>
  </r>
  <r>
    <d v="2022-11-08T00:00:00"/>
    <x v="713"/>
    <x v="3"/>
    <x v="2"/>
    <x v="9"/>
    <n v="371.97"/>
    <n v="3"/>
    <n v="66.95"/>
    <x v="10"/>
    <x v="1"/>
  </r>
  <r>
    <d v="2022-11-08T00:00:00"/>
    <x v="42"/>
    <x v="27"/>
    <x v="0"/>
    <x v="7"/>
    <n v="5.04"/>
    <n v="3"/>
    <n v="0.2"/>
    <x v="10"/>
    <x v="1"/>
  </r>
  <r>
    <d v="2022-11-08T00:00:00"/>
    <x v="42"/>
    <x v="27"/>
    <x v="0"/>
    <x v="0"/>
    <n v="92.94"/>
    <n v="3"/>
    <n v="41.82"/>
    <x v="10"/>
    <x v="1"/>
  </r>
  <r>
    <d v="2022-11-08T00:00:00"/>
    <x v="42"/>
    <x v="27"/>
    <x v="1"/>
    <x v="8"/>
    <n v="66.69"/>
    <n v="3"/>
    <n v="22.01"/>
    <x v="10"/>
    <x v="1"/>
  </r>
  <r>
    <d v="2022-11-08T00:00:00"/>
    <x v="42"/>
    <x v="27"/>
    <x v="0"/>
    <x v="3"/>
    <n v="91.68"/>
    <n v="5"/>
    <n v="28.65"/>
    <x v="10"/>
    <x v="1"/>
  </r>
  <r>
    <d v="2022-11-08T00:00:00"/>
    <x v="482"/>
    <x v="20"/>
    <x v="0"/>
    <x v="3"/>
    <n v="52.27"/>
    <n v="11"/>
    <n v="17.64"/>
    <x v="10"/>
    <x v="1"/>
  </r>
  <r>
    <d v="2022-11-08T00:00:00"/>
    <x v="482"/>
    <x v="20"/>
    <x v="0"/>
    <x v="0"/>
    <n v="17.940000000000001"/>
    <n v="3"/>
    <n v="8.07"/>
    <x v="10"/>
    <x v="1"/>
  </r>
  <r>
    <d v="2022-11-08T00:00:00"/>
    <x v="257"/>
    <x v="0"/>
    <x v="0"/>
    <x v="3"/>
    <n v="10.48"/>
    <n v="6"/>
    <n v="-17.29"/>
    <x v="10"/>
    <x v="1"/>
  </r>
  <r>
    <d v="2022-11-08T00:00:00"/>
    <x v="661"/>
    <x v="3"/>
    <x v="2"/>
    <x v="9"/>
    <n v="119.9"/>
    <n v="2"/>
    <n v="43.16"/>
    <x v="10"/>
    <x v="1"/>
  </r>
  <r>
    <d v="2022-11-08T00:00:00"/>
    <x v="663"/>
    <x v="6"/>
    <x v="0"/>
    <x v="12"/>
    <n v="44.43"/>
    <n v="3"/>
    <n v="18.66"/>
    <x v="10"/>
    <x v="1"/>
  </r>
  <r>
    <d v="2022-11-08T00:00:00"/>
    <x v="663"/>
    <x v="6"/>
    <x v="2"/>
    <x v="6"/>
    <n v="226.2"/>
    <n v="5"/>
    <n v="58.81"/>
    <x v="10"/>
    <x v="1"/>
  </r>
  <r>
    <d v="2022-11-08T00:00:00"/>
    <x v="663"/>
    <x v="6"/>
    <x v="1"/>
    <x v="8"/>
    <n v="186.54"/>
    <n v="3"/>
    <n v="41.04"/>
    <x v="10"/>
    <x v="1"/>
  </r>
  <r>
    <d v="2022-11-08T00:00:00"/>
    <x v="663"/>
    <x v="6"/>
    <x v="0"/>
    <x v="4"/>
    <n v="265.86"/>
    <n v="7"/>
    <n v="79.760000000000005"/>
    <x v="10"/>
    <x v="1"/>
  </r>
  <r>
    <d v="2022-11-08T00:00:00"/>
    <x v="663"/>
    <x v="6"/>
    <x v="0"/>
    <x v="4"/>
    <n v="27.9"/>
    <n v="5"/>
    <n v="6.98"/>
    <x v="10"/>
    <x v="1"/>
  </r>
  <r>
    <d v="2022-11-08T00:00:00"/>
    <x v="122"/>
    <x v="30"/>
    <x v="2"/>
    <x v="6"/>
    <n v="263.95999999999998"/>
    <n v="4"/>
    <n v="76.55"/>
    <x v="10"/>
    <x v="1"/>
  </r>
  <r>
    <d v="2022-11-08T00:00:00"/>
    <x v="435"/>
    <x v="20"/>
    <x v="0"/>
    <x v="2"/>
    <n v="67.150000000000006"/>
    <n v="5"/>
    <n v="16.79"/>
    <x v="10"/>
    <x v="1"/>
  </r>
  <r>
    <d v="2022-11-08T00:00:00"/>
    <x v="435"/>
    <x v="20"/>
    <x v="2"/>
    <x v="6"/>
    <n v="549.98"/>
    <n v="2"/>
    <n v="142.99"/>
    <x v="10"/>
    <x v="1"/>
  </r>
  <r>
    <d v="2022-11-08T00:00:00"/>
    <x v="435"/>
    <x v="20"/>
    <x v="1"/>
    <x v="8"/>
    <n v="11.82"/>
    <n v="3"/>
    <n v="4.7300000000000004"/>
    <x v="10"/>
    <x v="1"/>
  </r>
  <r>
    <d v="2022-11-08T00:00:00"/>
    <x v="435"/>
    <x v="20"/>
    <x v="2"/>
    <x v="15"/>
    <n v="4643.8"/>
    <n v="4"/>
    <n v="2229.02"/>
    <x v="10"/>
    <x v="1"/>
  </r>
  <r>
    <d v="2022-11-08T00:00:00"/>
    <x v="435"/>
    <x v="20"/>
    <x v="1"/>
    <x v="5"/>
    <n v="577.76"/>
    <n v="2"/>
    <n v="115.55"/>
    <x v="10"/>
    <x v="1"/>
  </r>
  <r>
    <d v="2022-11-08T00:00:00"/>
    <x v="270"/>
    <x v="25"/>
    <x v="0"/>
    <x v="7"/>
    <n v="31.5"/>
    <n v="11"/>
    <n v="11.81"/>
    <x v="10"/>
    <x v="1"/>
  </r>
  <r>
    <d v="2022-11-08T00:00:00"/>
    <x v="270"/>
    <x v="25"/>
    <x v="0"/>
    <x v="1"/>
    <n v="5.04"/>
    <n v="1"/>
    <n v="1.64"/>
    <x v="10"/>
    <x v="1"/>
  </r>
  <r>
    <d v="2022-11-08T00:00:00"/>
    <x v="270"/>
    <x v="25"/>
    <x v="0"/>
    <x v="3"/>
    <n v="39.880000000000003"/>
    <n v="7"/>
    <n v="-29.24"/>
    <x v="10"/>
    <x v="1"/>
  </r>
  <r>
    <d v="2022-11-08T00:00:00"/>
    <x v="270"/>
    <x v="25"/>
    <x v="1"/>
    <x v="8"/>
    <n v="4.71"/>
    <n v="1"/>
    <n v="1.41"/>
    <x v="10"/>
    <x v="1"/>
  </r>
  <r>
    <d v="2022-11-08T00:00:00"/>
    <x v="87"/>
    <x v="45"/>
    <x v="1"/>
    <x v="11"/>
    <n v="4404.8999999999996"/>
    <n v="5"/>
    <n v="1013.13"/>
    <x v="10"/>
    <x v="1"/>
  </r>
  <r>
    <d v="2022-11-09T00:00:00"/>
    <x v="693"/>
    <x v="2"/>
    <x v="0"/>
    <x v="0"/>
    <n v="11.35"/>
    <n v="3"/>
    <n v="4.12"/>
    <x v="10"/>
    <x v="1"/>
  </r>
  <r>
    <d v="2022-11-09T00:00:00"/>
    <x v="423"/>
    <x v="24"/>
    <x v="0"/>
    <x v="3"/>
    <n v="17.22"/>
    <n v="3"/>
    <n v="7.92"/>
    <x v="10"/>
    <x v="1"/>
  </r>
  <r>
    <d v="2022-11-09T00:00:00"/>
    <x v="423"/>
    <x v="24"/>
    <x v="1"/>
    <x v="13"/>
    <n v="1024.3800000000001"/>
    <n v="7"/>
    <n v="215.12"/>
    <x v="10"/>
    <x v="1"/>
  </r>
  <r>
    <d v="2022-11-09T00:00:00"/>
    <x v="423"/>
    <x v="24"/>
    <x v="0"/>
    <x v="10"/>
    <n v="26.22"/>
    <n v="3"/>
    <n v="12.32"/>
    <x v="10"/>
    <x v="1"/>
  </r>
  <r>
    <d v="2022-11-09T00:00:00"/>
    <x v="423"/>
    <x v="24"/>
    <x v="0"/>
    <x v="0"/>
    <n v="17.34"/>
    <n v="3"/>
    <n v="8.5"/>
    <x v="10"/>
    <x v="1"/>
  </r>
  <r>
    <d v="2022-11-09T00:00:00"/>
    <x v="222"/>
    <x v="20"/>
    <x v="2"/>
    <x v="15"/>
    <n v="2321.9"/>
    <n v="2"/>
    <n v="1114.51"/>
    <x v="10"/>
    <x v="1"/>
  </r>
  <r>
    <d v="2022-11-09T00:00:00"/>
    <x v="222"/>
    <x v="20"/>
    <x v="0"/>
    <x v="2"/>
    <n v="17.940000000000001"/>
    <n v="3"/>
    <n v="3.05"/>
    <x v="10"/>
    <x v="1"/>
  </r>
  <r>
    <d v="2022-11-09T00:00:00"/>
    <x v="265"/>
    <x v="20"/>
    <x v="0"/>
    <x v="2"/>
    <n v="244.55"/>
    <n v="5"/>
    <n v="4.8899999999999997"/>
    <x v="10"/>
    <x v="1"/>
  </r>
  <r>
    <d v="2022-11-09T00:00:00"/>
    <x v="265"/>
    <x v="20"/>
    <x v="0"/>
    <x v="10"/>
    <n v="12.24"/>
    <n v="6"/>
    <n v="5.75"/>
    <x v="10"/>
    <x v="1"/>
  </r>
  <r>
    <d v="2022-11-09T00:00:00"/>
    <x v="265"/>
    <x v="20"/>
    <x v="2"/>
    <x v="9"/>
    <n v="13.98"/>
    <n v="2"/>
    <n v="6.01"/>
    <x v="10"/>
    <x v="1"/>
  </r>
  <r>
    <d v="2022-11-09T00:00:00"/>
    <x v="265"/>
    <x v="20"/>
    <x v="2"/>
    <x v="9"/>
    <n v="899.95"/>
    <n v="5"/>
    <n v="54"/>
    <x v="10"/>
    <x v="1"/>
  </r>
  <r>
    <d v="2022-11-09T00:00:00"/>
    <x v="618"/>
    <x v="3"/>
    <x v="0"/>
    <x v="7"/>
    <n v="2.48"/>
    <n v="2"/>
    <n v="1.17"/>
    <x v="10"/>
    <x v="1"/>
  </r>
  <r>
    <d v="2022-11-09T00:00:00"/>
    <x v="408"/>
    <x v="18"/>
    <x v="0"/>
    <x v="3"/>
    <n v="10.74"/>
    <n v="3"/>
    <n v="5.16"/>
    <x v="10"/>
    <x v="1"/>
  </r>
  <r>
    <d v="2022-11-10T00:00:00"/>
    <x v="545"/>
    <x v="3"/>
    <x v="2"/>
    <x v="9"/>
    <n v="79.900000000000006"/>
    <n v="2"/>
    <n v="35.159999999999997"/>
    <x v="10"/>
    <x v="1"/>
  </r>
  <r>
    <d v="2022-11-10T00:00:00"/>
    <x v="571"/>
    <x v="18"/>
    <x v="0"/>
    <x v="2"/>
    <n v="714.3"/>
    <n v="5"/>
    <n v="207.15"/>
    <x v="10"/>
    <x v="1"/>
  </r>
  <r>
    <d v="2022-11-10T00:00:00"/>
    <x v="675"/>
    <x v="28"/>
    <x v="0"/>
    <x v="12"/>
    <n v="715.64"/>
    <n v="2"/>
    <n v="178.91"/>
    <x v="10"/>
    <x v="1"/>
  </r>
  <r>
    <d v="2022-11-10T00:00:00"/>
    <x v="675"/>
    <x v="28"/>
    <x v="0"/>
    <x v="2"/>
    <n v="795.51"/>
    <n v="3"/>
    <n v="143.19"/>
    <x v="10"/>
    <x v="1"/>
  </r>
  <r>
    <d v="2022-11-10T00:00:00"/>
    <x v="675"/>
    <x v="28"/>
    <x v="2"/>
    <x v="16"/>
    <n v="549.99"/>
    <n v="1"/>
    <n v="275"/>
    <x v="10"/>
    <x v="1"/>
  </r>
  <r>
    <d v="2022-11-10T00:00:00"/>
    <x v="675"/>
    <x v="28"/>
    <x v="0"/>
    <x v="3"/>
    <n v="74.760000000000005"/>
    <n v="3"/>
    <n v="34.39"/>
    <x v="10"/>
    <x v="1"/>
  </r>
  <r>
    <d v="2022-11-10T00:00:00"/>
    <x v="675"/>
    <x v="28"/>
    <x v="1"/>
    <x v="8"/>
    <n v="29.22"/>
    <n v="3"/>
    <n v="12.86"/>
    <x v="10"/>
    <x v="1"/>
  </r>
  <r>
    <d v="2022-11-10T00:00:00"/>
    <x v="66"/>
    <x v="2"/>
    <x v="0"/>
    <x v="2"/>
    <n v="577.58000000000004"/>
    <n v="6"/>
    <n v="43.32"/>
    <x v="10"/>
    <x v="1"/>
  </r>
  <r>
    <d v="2022-11-11T00:00:00"/>
    <x v="597"/>
    <x v="14"/>
    <x v="0"/>
    <x v="2"/>
    <n v="418.32"/>
    <n v="7"/>
    <n v="117.13"/>
    <x v="10"/>
    <x v="1"/>
  </r>
  <r>
    <d v="2022-11-11T00:00:00"/>
    <x v="597"/>
    <x v="14"/>
    <x v="0"/>
    <x v="12"/>
    <n v="123.86"/>
    <n v="2"/>
    <n v="46.79"/>
    <x v="10"/>
    <x v="1"/>
  </r>
  <r>
    <d v="2022-11-12T00:00:00"/>
    <x v="515"/>
    <x v="3"/>
    <x v="0"/>
    <x v="0"/>
    <n v="15.7"/>
    <n v="5"/>
    <n v="7.07"/>
    <x v="10"/>
    <x v="1"/>
  </r>
  <r>
    <d v="2022-11-12T00:00:00"/>
    <x v="123"/>
    <x v="16"/>
    <x v="0"/>
    <x v="4"/>
    <n v="11.76"/>
    <n v="5"/>
    <n v="1.32"/>
    <x v="10"/>
    <x v="1"/>
  </r>
  <r>
    <d v="2022-11-12T00:00:00"/>
    <x v="123"/>
    <x v="16"/>
    <x v="0"/>
    <x v="3"/>
    <n v="5.24"/>
    <n v="2"/>
    <n v="-4.0199999999999996"/>
    <x v="10"/>
    <x v="1"/>
  </r>
  <r>
    <d v="2022-11-12T00:00:00"/>
    <x v="123"/>
    <x v="16"/>
    <x v="0"/>
    <x v="3"/>
    <n v="4.66"/>
    <n v="3"/>
    <n v="-3.73"/>
    <x v="10"/>
    <x v="1"/>
  </r>
  <r>
    <d v="2022-11-12T00:00:00"/>
    <x v="123"/>
    <x v="16"/>
    <x v="1"/>
    <x v="5"/>
    <n v="523.91999999999996"/>
    <n v="5"/>
    <n v="-72.040000000000006"/>
    <x v="10"/>
    <x v="1"/>
  </r>
  <r>
    <d v="2022-11-12T00:00:00"/>
    <x v="123"/>
    <x v="16"/>
    <x v="2"/>
    <x v="6"/>
    <n v="100.79"/>
    <n v="1"/>
    <n v="10.08"/>
    <x v="10"/>
    <x v="1"/>
  </r>
  <r>
    <d v="2022-11-12T00:00:00"/>
    <x v="123"/>
    <x v="16"/>
    <x v="1"/>
    <x v="5"/>
    <n v="146.13999999999999"/>
    <n v="3"/>
    <n v="16.440000000000001"/>
    <x v="10"/>
    <x v="1"/>
  </r>
  <r>
    <d v="2022-11-12T00:00:00"/>
    <x v="407"/>
    <x v="0"/>
    <x v="0"/>
    <x v="2"/>
    <n v="64.78"/>
    <n v="1"/>
    <n v="-14.58"/>
    <x v="10"/>
    <x v="1"/>
  </r>
  <r>
    <d v="2022-11-12T00:00:00"/>
    <x v="407"/>
    <x v="0"/>
    <x v="0"/>
    <x v="0"/>
    <n v="15.55"/>
    <n v="3"/>
    <n v="5.64"/>
    <x v="10"/>
    <x v="1"/>
  </r>
  <r>
    <d v="2022-11-12T00:00:00"/>
    <x v="407"/>
    <x v="0"/>
    <x v="0"/>
    <x v="10"/>
    <n v="223.89"/>
    <n v="7"/>
    <n v="69.97"/>
    <x v="10"/>
    <x v="1"/>
  </r>
  <r>
    <d v="2022-11-12T00:00:00"/>
    <x v="632"/>
    <x v="20"/>
    <x v="0"/>
    <x v="10"/>
    <n v="15.56"/>
    <n v="2"/>
    <n v="7.31"/>
    <x v="10"/>
    <x v="1"/>
  </r>
  <r>
    <d v="2022-11-13T00:00:00"/>
    <x v="641"/>
    <x v="26"/>
    <x v="2"/>
    <x v="9"/>
    <n v="238.9"/>
    <n v="6"/>
    <n v="-26.88"/>
    <x v="10"/>
    <x v="1"/>
  </r>
  <r>
    <d v="2022-11-13T00:00:00"/>
    <x v="641"/>
    <x v="26"/>
    <x v="1"/>
    <x v="8"/>
    <n v="102.36"/>
    <n v="3"/>
    <n v="-3.84"/>
    <x v="10"/>
    <x v="1"/>
  </r>
  <r>
    <d v="2022-11-13T00:00:00"/>
    <x v="641"/>
    <x v="26"/>
    <x v="0"/>
    <x v="3"/>
    <n v="36.880000000000003"/>
    <n v="3"/>
    <n v="-25.82"/>
    <x v="10"/>
    <x v="1"/>
  </r>
  <r>
    <d v="2022-11-13T00:00:00"/>
    <x v="519"/>
    <x v="25"/>
    <x v="0"/>
    <x v="0"/>
    <n v="115.3"/>
    <n v="3"/>
    <n v="40.35"/>
    <x v="10"/>
    <x v="1"/>
  </r>
  <r>
    <d v="2022-11-13T00:00:00"/>
    <x v="318"/>
    <x v="7"/>
    <x v="2"/>
    <x v="6"/>
    <n v="377.97"/>
    <n v="3"/>
    <n v="94.49"/>
    <x v="10"/>
    <x v="1"/>
  </r>
  <r>
    <d v="2022-11-13T00:00:00"/>
    <x v="318"/>
    <x v="7"/>
    <x v="0"/>
    <x v="0"/>
    <n v="42.28"/>
    <n v="7"/>
    <n v="19.87"/>
    <x v="10"/>
    <x v="1"/>
  </r>
  <r>
    <d v="2022-11-13T00:00:00"/>
    <x v="318"/>
    <x v="7"/>
    <x v="1"/>
    <x v="11"/>
    <n v="299.97000000000003"/>
    <n v="3"/>
    <n v="56.99"/>
    <x v="10"/>
    <x v="1"/>
  </r>
  <r>
    <d v="2022-11-13T00:00:00"/>
    <x v="318"/>
    <x v="7"/>
    <x v="2"/>
    <x v="6"/>
    <n v="89.98"/>
    <n v="2"/>
    <n v="43.19"/>
    <x v="10"/>
    <x v="1"/>
  </r>
  <r>
    <d v="2022-11-13T00:00:00"/>
    <x v="276"/>
    <x v="1"/>
    <x v="1"/>
    <x v="8"/>
    <n v="17.5"/>
    <n v="9"/>
    <n v="-7.44"/>
    <x v="10"/>
    <x v="1"/>
  </r>
  <r>
    <d v="2022-11-13T00:00:00"/>
    <x v="277"/>
    <x v="18"/>
    <x v="0"/>
    <x v="0"/>
    <n v="63.77"/>
    <n v="7"/>
    <n v="28.7"/>
    <x v="10"/>
    <x v="1"/>
  </r>
  <r>
    <d v="2022-11-13T00:00:00"/>
    <x v="277"/>
    <x v="18"/>
    <x v="2"/>
    <x v="6"/>
    <n v="50.97"/>
    <n v="3"/>
    <n v="13.25"/>
    <x v="10"/>
    <x v="1"/>
  </r>
  <r>
    <d v="2022-11-13T00:00:00"/>
    <x v="277"/>
    <x v="18"/>
    <x v="0"/>
    <x v="0"/>
    <n v="96.08"/>
    <n v="2"/>
    <n v="46.12"/>
    <x v="10"/>
    <x v="1"/>
  </r>
  <r>
    <d v="2022-11-13T00:00:00"/>
    <x v="158"/>
    <x v="15"/>
    <x v="0"/>
    <x v="2"/>
    <n v="84.96"/>
    <n v="6"/>
    <n v="6.37"/>
    <x v="10"/>
    <x v="1"/>
  </r>
  <r>
    <d v="2022-11-13T00:00:00"/>
    <x v="299"/>
    <x v="35"/>
    <x v="2"/>
    <x v="6"/>
    <n v="339.96"/>
    <n v="5"/>
    <n v="42.5"/>
    <x v="10"/>
    <x v="1"/>
  </r>
  <r>
    <d v="2022-11-13T00:00:00"/>
    <x v="299"/>
    <x v="35"/>
    <x v="1"/>
    <x v="8"/>
    <n v="63.98"/>
    <n v="7"/>
    <n v="21.75"/>
    <x v="10"/>
    <x v="1"/>
  </r>
  <r>
    <d v="2022-11-13T00:00:00"/>
    <x v="667"/>
    <x v="16"/>
    <x v="0"/>
    <x v="3"/>
    <n v="121.1"/>
    <n v="6"/>
    <n v="-100.92"/>
    <x v="10"/>
    <x v="1"/>
  </r>
  <r>
    <d v="2022-11-13T00:00:00"/>
    <x v="667"/>
    <x v="16"/>
    <x v="2"/>
    <x v="9"/>
    <n v="111.96"/>
    <n v="5"/>
    <n v="-1.4"/>
    <x v="10"/>
    <x v="1"/>
  </r>
  <r>
    <d v="2022-11-13T00:00:00"/>
    <x v="487"/>
    <x v="0"/>
    <x v="1"/>
    <x v="11"/>
    <n v="614"/>
    <n v="3"/>
    <n v="-18.059999999999999"/>
    <x v="10"/>
    <x v="1"/>
  </r>
  <r>
    <d v="2022-11-13T00:00:00"/>
    <x v="348"/>
    <x v="3"/>
    <x v="0"/>
    <x v="3"/>
    <n v="9.8699999999999992"/>
    <n v="2"/>
    <n v="3.46"/>
    <x v="10"/>
    <x v="1"/>
  </r>
  <r>
    <d v="2022-11-13T00:00:00"/>
    <x v="348"/>
    <x v="3"/>
    <x v="1"/>
    <x v="11"/>
    <n v="683.33"/>
    <n v="4"/>
    <n v="-40.200000000000003"/>
    <x v="10"/>
    <x v="1"/>
  </r>
  <r>
    <d v="2022-11-13T00:00:00"/>
    <x v="348"/>
    <x v="3"/>
    <x v="0"/>
    <x v="0"/>
    <n v="29.96"/>
    <n v="7"/>
    <n v="13.48"/>
    <x v="10"/>
    <x v="1"/>
  </r>
  <r>
    <d v="2022-11-14T00:00:00"/>
    <x v="225"/>
    <x v="20"/>
    <x v="2"/>
    <x v="9"/>
    <n v="37.6"/>
    <n v="2"/>
    <n v="2.2599999999999998"/>
    <x v="10"/>
    <x v="1"/>
  </r>
  <r>
    <d v="2022-11-14T00:00:00"/>
    <x v="225"/>
    <x v="20"/>
    <x v="2"/>
    <x v="9"/>
    <n v="59.9"/>
    <n v="2"/>
    <n v="23.96"/>
    <x v="10"/>
    <x v="1"/>
  </r>
  <r>
    <d v="2022-11-14T00:00:00"/>
    <x v="225"/>
    <x v="20"/>
    <x v="0"/>
    <x v="0"/>
    <n v="37"/>
    <n v="5"/>
    <n v="16.649999999999999"/>
    <x v="10"/>
    <x v="1"/>
  </r>
  <r>
    <d v="2022-11-14T00:00:00"/>
    <x v="225"/>
    <x v="6"/>
    <x v="0"/>
    <x v="10"/>
    <n v="33.96"/>
    <n v="2"/>
    <n v="16.98"/>
    <x v="10"/>
    <x v="1"/>
  </r>
  <r>
    <d v="2022-11-14T00:00:00"/>
    <x v="225"/>
    <x v="6"/>
    <x v="0"/>
    <x v="12"/>
    <n v="826.11"/>
    <n v="3"/>
    <n v="322.18"/>
    <x v="10"/>
    <x v="1"/>
  </r>
  <r>
    <d v="2022-11-14T00:00:00"/>
    <x v="3"/>
    <x v="7"/>
    <x v="1"/>
    <x v="8"/>
    <n v="76.14"/>
    <n v="3"/>
    <n v="26.65"/>
    <x v="10"/>
    <x v="1"/>
  </r>
  <r>
    <d v="2022-11-14T00:00:00"/>
    <x v="3"/>
    <x v="7"/>
    <x v="0"/>
    <x v="3"/>
    <n v="19.96"/>
    <n v="2"/>
    <n v="9.3800000000000008"/>
    <x v="10"/>
    <x v="1"/>
  </r>
  <r>
    <d v="2022-11-14T00:00:00"/>
    <x v="473"/>
    <x v="2"/>
    <x v="2"/>
    <x v="9"/>
    <n v="47.98"/>
    <n v="2"/>
    <n v="-1.2"/>
    <x v="10"/>
    <x v="1"/>
  </r>
  <r>
    <d v="2022-11-14T00:00:00"/>
    <x v="127"/>
    <x v="11"/>
    <x v="0"/>
    <x v="7"/>
    <n v="8.7200000000000006"/>
    <n v="5"/>
    <n v="2.29"/>
    <x v="10"/>
    <x v="1"/>
  </r>
  <r>
    <d v="2022-11-14T00:00:00"/>
    <x v="127"/>
    <x v="11"/>
    <x v="2"/>
    <x v="9"/>
    <n v="91.18"/>
    <n v="3"/>
    <n v="4.5599999999999996"/>
    <x v="10"/>
    <x v="1"/>
  </r>
  <r>
    <d v="2022-11-14T00:00:00"/>
    <x v="127"/>
    <x v="11"/>
    <x v="2"/>
    <x v="9"/>
    <n v="159.97"/>
    <n v="4"/>
    <n v="29.99"/>
    <x v="10"/>
    <x v="1"/>
  </r>
  <r>
    <d v="2022-11-14T00:00:00"/>
    <x v="333"/>
    <x v="31"/>
    <x v="1"/>
    <x v="5"/>
    <n v="883.84"/>
    <n v="4"/>
    <n v="99.43"/>
    <x v="10"/>
    <x v="1"/>
  </r>
  <r>
    <d v="2022-11-14T00:00:00"/>
    <x v="333"/>
    <x v="31"/>
    <x v="1"/>
    <x v="5"/>
    <n v="230.35"/>
    <n v="3"/>
    <n v="20.16"/>
    <x v="10"/>
    <x v="1"/>
  </r>
  <r>
    <d v="2022-11-15T00:00:00"/>
    <x v="78"/>
    <x v="1"/>
    <x v="0"/>
    <x v="2"/>
    <n v="250.27"/>
    <n v="9"/>
    <n v="15.64"/>
    <x v="10"/>
    <x v="1"/>
  </r>
  <r>
    <d v="2022-11-15T00:00:00"/>
    <x v="78"/>
    <x v="1"/>
    <x v="0"/>
    <x v="3"/>
    <n v="11.36"/>
    <n v="3"/>
    <n v="-17.05"/>
    <x v="10"/>
    <x v="1"/>
  </r>
  <r>
    <d v="2022-11-15T00:00:00"/>
    <x v="78"/>
    <x v="1"/>
    <x v="0"/>
    <x v="14"/>
    <n v="8.7200000000000006"/>
    <n v="5"/>
    <n v="-1.74"/>
    <x v="10"/>
    <x v="1"/>
  </r>
  <r>
    <d v="2022-11-15T00:00:00"/>
    <x v="223"/>
    <x v="20"/>
    <x v="0"/>
    <x v="2"/>
    <n v="70.95"/>
    <n v="3"/>
    <n v="20.58"/>
    <x v="10"/>
    <x v="1"/>
  </r>
  <r>
    <d v="2022-11-15T00:00:00"/>
    <x v="223"/>
    <x v="20"/>
    <x v="0"/>
    <x v="3"/>
    <n v="34.94"/>
    <n v="6"/>
    <n v="11.79"/>
    <x v="10"/>
    <x v="1"/>
  </r>
  <r>
    <d v="2022-11-15T00:00:00"/>
    <x v="223"/>
    <x v="20"/>
    <x v="0"/>
    <x v="4"/>
    <n v="119.04"/>
    <n v="6"/>
    <n v="35.71"/>
    <x v="10"/>
    <x v="1"/>
  </r>
  <r>
    <d v="2022-11-15T00:00:00"/>
    <x v="347"/>
    <x v="6"/>
    <x v="1"/>
    <x v="8"/>
    <n v="39.96"/>
    <n v="2"/>
    <n v="14.39"/>
    <x v="10"/>
    <x v="1"/>
  </r>
  <r>
    <d v="2022-11-15T00:00:00"/>
    <x v="379"/>
    <x v="10"/>
    <x v="0"/>
    <x v="3"/>
    <n v="166.92"/>
    <n v="13"/>
    <n v="-116.84"/>
    <x v="10"/>
    <x v="1"/>
  </r>
  <r>
    <d v="2022-11-16T00:00:00"/>
    <x v="675"/>
    <x v="20"/>
    <x v="0"/>
    <x v="12"/>
    <n v="523.25"/>
    <n v="5"/>
    <n v="141.28"/>
    <x v="10"/>
    <x v="1"/>
  </r>
  <r>
    <d v="2022-11-16T00:00:00"/>
    <x v="109"/>
    <x v="21"/>
    <x v="0"/>
    <x v="0"/>
    <n v="179.82"/>
    <n v="9"/>
    <n v="84.52"/>
    <x v="10"/>
    <x v="1"/>
  </r>
  <r>
    <d v="2022-11-16T00:00:00"/>
    <x v="109"/>
    <x v="21"/>
    <x v="1"/>
    <x v="8"/>
    <n v="185.58"/>
    <n v="6"/>
    <n v="76.09"/>
    <x v="10"/>
    <x v="1"/>
  </r>
  <r>
    <d v="2022-11-16T00:00:00"/>
    <x v="109"/>
    <x v="21"/>
    <x v="1"/>
    <x v="13"/>
    <n v="214.11"/>
    <n v="3"/>
    <n v="36.4"/>
    <x v="10"/>
    <x v="1"/>
  </r>
  <r>
    <d v="2022-11-16T00:00:00"/>
    <x v="109"/>
    <x v="21"/>
    <x v="2"/>
    <x v="9"/>
    <n v="999.96"/>
    <n v="4"/>
    <n v="229.99"/>
    <x v="10"/>
    <x v="1"/>
  </r>
  <r>
    <d v="2022-11-16T00:00:00"/>
    <x v="109"/>
    <x v="21"/>
    <x v="1"/>
    <x v="13"/>
    <n v="653.54999999999995"/>
    <n v="3"/>
    <n v="111.1"/>
    <x v="10"/>
    <x v="1"/>
  </r>
  <r>
    <d v="2022-11-16T00:00:00"/>
    <x v="252"/>
    <x v="34"/>
    <x v="1"/>
    <x v="13"/>
    <n v="696.42"/>
    <n v="2"/>
    <n v="160.18"/>
    <x v="10"/>
    <x v="1"/>
  </r>
  <r>
    <d v="2022-11-16T00:00:00"/>
    <x v="252"/>
    <x v="34"/>
    <x v="2"/>
    <x v="6"/>
    <n v="304.77999999999997"/>
    <n v="3"/>
    <n v="22.86"/>
    <x v="10"/>
    <x v="1"/>
  </r>
  <r>
    <d v="2022-11-16T00:00:00"/>
    <x v="91"/>
    <x v="1"/>
    <x v="0"/>
    <x v="2"/>
    <n v="21.49"/>
    <n v="2"/>
    <n v="1.61"/>
    <x v="10"/>
    <x v="1"/>
  </r>
  <r>
    <d v="2022-11-16T00:00:00"/>
    <x v="91"/>
    <x v="1"/>
    <x v="2"/>
    <x v="6"/>
    <n v="239.98"/>
    <n v="3"/>
    <n v="27"/>
    <x v="10"/>
    <x v="1"/>
  </r>
  <r>
    <d v="2022-11-16T00:00:00"/>
    <x v="91"/>
    <x v="1"/>
    <x v="1"/>
    <x v="8"/>
    <n v="34.5"/>
    <n v="2"/>
    <n v="-15.53"/>
    <x v="10"/>
    <x v="1"/>
  </r>
  <r>
    <d v="2022-11-16T00:00:00"/>
    <x v="130"/>
    <x v="3"/>
    <x v="0"/>
    <x v="1"/>
    <n v="18.899999999999999"/>
    <n v="3"/>
    <n v="8.69"/>
    <x v="10"/>
    <x v="1"/>
  </r>
  <r>
    <d v="2022-11-17T00:00:00"/>
    <x v="714"/>
    <x v="1"/>
    <x v="0"/>
    <x v="14"/>
    <n v="40.92"/>
    <n v="5"/>
    <n v="3.07"/>
    <x v="10"/>
    <x v="1"/>
  </r>
  <r>
    <d v="2022-11-17T00:00:00"/>
    <x v="267"/>
    <x v="3"/>
    <x v="2"/>
    <x v="6"/>
    <n v="415.97"/>
    <n v="4"/>
    <n v="52"/>
    <x v="10"/>
    <x v="1"/>
  </r>
  <r>
    <d v="2022-11-17T00:00:00"/>
    <x v="267"/>
    <x v="3"/>
    <x v="0"/>
    <x v="2"/>
    <n v="304.89999999999998"/>
    <n v="5"/>
    <n v="6.1"/>
    <x v="10"/>
    <x v="1"/>
  </r>
  <r>
    <d v="2022-11-17T00:00:00"/>
    <x v="267"/>
    <x v="3"/>
    <x v="1"/>
    <x v="8"/>
    <n v="80.959999999999994"/>
    <n v="4"/>
    <n v="29.15"/>
    <x v="10"/>
    <x v="1"/>
  </r>
  <r>
    <d v="2022-11-17T00:00:00"/>
    <x v="267"/>
    <x v="3"/>
    <x v="0"/>
    <x v="2"/>
    <n v="777.21"/>
    <n v="7"/>
    <n v="54.4"/>
    <x v="10"/>
    <x v="1"/>
  </r>
  <r>
    <d v="2022-11-17T00:00:00"/>
    <x v="267"/>
    <x v="3"/>
    <x v="0"/>
    <x v="0"/>
    <n v="32.4"/>
    <n v="5"/>
    <n v="15.55"/>
    <x v="10"/>
    <x v="1"/>
  </r>
  <r>
    <d v="2022-11-17T00:00:00"/>
    <x v="267"/>
    <x v="3"/>
    <x v="1"/>
    <x v="5"/>
    <n v="225.57"/>
    <n v="2"/>
    <n v="2.82"/>
    <x v="10"/>
    <x v="1"/>
  </r>
  <r>
    <d v="2022-11-17T00:00:00"/>
    <x v="267"/>
    <x v="3"/>
    <x v="1"/>
    <x v="8"/>
    <n v="36.6"/>
    <n v="3"/>
    <n v="15.37"/>
    <x v="10"/>
    <x v="1"/>
  </r>
  <r>
    <d v="2022-11-17T00:00:00"/>
    <x v="266"/>
    <x v="39"/>
    <x v="0"/>
    <x v="2"/>
    <n v="541.24"/>
    <n v="4"/>
    <n v="5.41"/>
    <x v="10"/>
    <x v="1"/>
  </r>
  <r>
    <d v="2022-11-17T00:00:00"/>
    <x v="266"/>
    <x v="39"/>
    <x v="0"/>
    <x v="0"/>
    <n v="106.32"/>
    <n v="3"/>
    <n v="49.97"/>
    <x v="10"/>
    <x v="1"/>
  </r>
  <r>
    <d v="2022-11-17T00:00:00"/>
    <x v="266"/>
    <x v="39"/>
    <x v="1"/>
    <x v="5"/>
    <n v="1323.9"/>
    <n v="5"/>
    <n v="383.93"/>
    <x v="10"/>
    <x v="1"/>
  </r>
  <r>
    <d v="2022-11-19T00:00:00"/>
    <x v="529"/>
    <x v="22"/>
    <x v="1"/>
    <x v="8"/>
    <n v="141.96"/>
    <n v="2"/>
    <n v="22.71"/>
    <x v="10"/>
    <x v="1"/>
  </r>
  <r>
    <d v="2022-11-19T00:00:00"/>
    <x v="166"/>
    <x v="17"/>
    <x v="0"/>
    <x v="12"/>
    <n v="31.08"/>
    <n v="4"/>
    <n v="8.39"/>
    <x v="10"/>
    <x v="1"/>
  </r>
  <r>
    <d v="2022-11-19T00:00:00"/>
    <x v="375"/>
    <x v="20"/>
    <x v="0"/>
    <x v="3"/>
    <n v="5.98"/>
    <n v="2"/>
    <n v="2.2400000000000002"/>
    <x v="10"/>
    <x v="1"/>
  </r>
  <r>
    <d v="2022-11-19T00:00:00"/>
    <x v="375"/>
    <x v="20"/>
    <x v="2"/>
    <x v="6"/>
    <n v="861.76"/>
    <n v="4"/>
    <n v="249.91"/>
    <x v="10"/>
    <x v="1"/>
  </r>
  <r>
    <d v="2022-11-20T00:00:00"/>
    <x v="291"/>
    <x v="20"/>
    <x v="0"/>
    <x v="4"/>
    <n v="60.45"/>
    <n v="3"/>
    <n v="16.32"/>
    <x v="10"/>
    <x v="1"/>
  </r>
  <r>
    <d v="2022-11-20T00:00:00"/>
    <x v="291"/>
    <x v="20"/>
    <x v="0"/>
    <x v="4"/>
    <n v="11.52"/>
    <n v="4"/>
    <n v="3.34"/>
    <x v="10"/>
    <x v="1"/>
  </r>
  <r>
    <d v="2022-11-20T00:00:00"/>
    <x v="291"/>
    <x v="20"/>
    <x v="1"/>
    <x v="11"/>
    <n v="186.05"/>
    <n v="4"/>
    <n v="9.3000000000000007"/>
    <x v="10"/>
    <x v="1"/>
  </r>
  <r>
    <d v="2022-11-20T00:00:00"/>
    <x v="659"/>
    <x v="3"/>
    <x v="0"/>
    <x v="4"/>
    <n v="19.46"/>
    <n v="7"/>
    <n v="5.0599999999999996"/>
    <x v="10"/>
    <x v="1"/>
  </r>
  <r>
    <d v="2022-11-20T00:00:00"/>
    <x v="275"/>
    <x v="20"/>
    <x v="0"/>
    <x v="0"/>
    <n v="19.649999999999999"/>
    <n v="3"/>
    <n v="9.0399999999999991"/>
    <x v="10"/>
    <x v="1"/>
  </r>
  <r>
    <d v="2022-11-20T00:00:00"/>
    <x v="164"/>
    <x v="3"/>
    <x v="2"/>
    <x v="6"/>
    <n v="72.739999999999995"/>
    <n v="7"/>
    <n v="-15.46"/>
    <x v="10"/>
    <x v="1"/>
  </r>
  <r>
    <d v="2022-11-20T00:00:00"/>
    <x v="164"/>
    <x v="3"/>
    <x v="1"/>
    <x v="5"/>
    <n v="572.16"/>
    <n v="3"/>
    <n v="35.76"/>
    <x v="10"/>
    <x v="1"/>
  </r>
  <r>
    <d v="2022-11-20T00:00:00"/>
    <x v="715"/>
    <x v="3"/>
    <x v="0"/>
    <x v="3"/>
    <n v="24.19"/>
    <n v="9"/>
    <n v="7.56"/>
    <x v="10"/>
    <x v="1"/>
  </r>
  <r>
    <d v="2022-11-20T00:00:00"/>
    <x v="716"/>
    <x v="22"/>
    <x v="0"/>
    <x v="4"/>
    <n v="119.04"/>
    <n v="6"/>
    <n v="30.95"/>
    <x v="10"/>
    <x v="1"/>
  </r>
  <r>
    <d v="2022-11-20T00:00:00"/>
    <x v="716"/>
    <x v="22"/>
    <x v="1"/>
    <x v="8"/>
    <n v="22.14"/>
    <n v="3"/>
    <n v="6.42"/>
    <x v="10"/>
    <x v="1"/>
  </r>
  <r>
    <d v="2022-11-20T00:00:00"/>
    <x v="716"/>
    <x v="22"/>
    <x v="2"/>
    <x v="9"/>
    <n v="13.98"/>
    <n v="2"/>
    <n v="6.01"/>
    <x v="10"/>
    <x v="1"/>
  </r>
  <r>
    <d v="2022-11-20T00:00:00"/>
    <x v="295"/>
    <x v="10"/>
    <x v="1"/>
    <x v="8"/>
    <n v="63.82"/>
    <n v="2"/>
    <n v="9.57"/>
    <x v="10"/>
    <x v="1"/>
  </r>
  <r>
    <d v="2022-11-20T00:00:00"/>
    <x v="295"/>
    <x v="10"/>
    <x v="0"/>
    <x v="2"/>
    <n v="141.55000000000001"/>
    <n v="3"/>
    <n v="-26.54"/>
    <x v="10"/>
    <x v="1"/>
  </r>
  <r>
    <d v="2022-11-20T00:00:00"/>
    <x v="271"/>
    <x v="0"/>
    <x v="2"/>
    <x v="15"/>
    <n v="479.99"/>
    <n v="2"/>
    <n v="56"/>
    <x v="10"/>
    <x v="1"/>
  </r>
  <r>
    <d v="2022-11-20T00:00:00"/>
    <x v="567"/>
    <x v="16"/>
    <x v="0"/>
    <x v="3"/>
    <n v="7.23"/>
    <n v="5"/>
    <n v="-5.78"/>
    <x v="10"/>
    <x v="1"/>
  </r>
  <r>
    <d v="2022-11-20T00:00:00"/>
    <x v="567"/>
    <x v="16"/>
    <x v="0"/>
    <x v="2"/>
    <n v="17.440000000000001"/>
    <n v="2"/>
    <n v="1.31"/>
    <x v="10"/>
    <x v="1"/>
  </r>
  <r>
    <d v="2022-11-20T00:00:00"/>
    <x v="567"/>
    <x v="16"/>
    <x v="0"/>
    <x v="3"/>
    <n v="62.88"/>
    <n v="4"/>
    <n v="-50.3"/>
    <x v="10"/>
    <x v="1"/>
  </r>
  <r>
    <d v="2022-11-20T00:00:00"/>
    <x v="567"/>
    <x v="16"/>
    <x v="1"/>
    <x v="11"/>
    <n v="290.35000000000002"/>
    <n v="3"/>
    <n v="-36.29"/>
    <x v="10"/>
    <x v="1"/>
  </r>
  <r>
    <d v="2022-11-20T00:00:00"/>
    <x v="1"/>
    <x v="2"/>
    <x v="1"/>
    <x v="5"/>
    <n v="344.37"/>
    <n v="4"/>
    <n v="-93.47"/>
    <x v="10"/>
    <x v="1"/>
  </r>
  <r>
    <d v="2022-11-20T00:00:00"/>
    <x v="147"/>
    <x v="26"/>
    <x v="0"/>
    <x v="3"/>
    <n v="4.9000000000000004"/>
    <n v="3"/>
    <n v="-3.43"/>
    <x v="10"/>
    <x v="1"/>
  </r>
  <r>
    <d v="2022-11-20T00:00:00"/>
    <x v="147"/>
    <x v="26"/>
    <x v="1"/>
    <x v="11"/>
    <n v="145.76"/>
    <n v="6"/>
    <n v="-247.8"/>
    <x v="10"/>
    <x v="1"/>
  </r>
  <r>
    <d v="2022-11-20T00:00:00"/>
    <x v="147"/>
    <x v="26"/>
    <x v="0"/>
    <x v="3"/>
    <n v="9.61"/>
    <n v="6"/>
    <n v="-7.37"/>
    <x v="10"/>
    <x v="1"/>
  </r>
  <r>
    <d v="2022-11-20T00:00:00"/>
    <x v="10"/>
    <x v="3"/>
    <x v="0"/>
    <x v="3"/>
    <n v="89.7"/>
    <n v="4"/>
    <n v="33.64"/>
    <x v="10"/>
    <x v="1"/>
  </r>
  <r>
    <d v="2022-11-20T00:00:00"/>
    <x v="10"/>
    <x v="3"/>
    <x v="0"/>
    <x v="1"/>
    <n v="50.12"/>
    <n v="4"/>
    <n v="23.56"/>
    <x v="10"/>
    <x v="1"/>
  </r>
  <r>
    <d v="2022-11-20T00:00:00"/>
    <x v="439"/>
    <x v="3"/>
    <x v="1"/>
    <x v="8"/>
    <n v="32.04"/>
    <n v="3"/>
    <n v="8.01"/>
    <x v="10"/>
    <x v="1"/>
  </r>
  <r>
    <d v="2022-11-21T00:00:00"/>
    <x v="264"/>
    <x v="10"/>
    <x v="1"/>
    <x v="5"/>
    <n v="396.8"/>
    <n v="7"/>
    <n v="-11.34"/>
    <x v="10"/>
    <x v="1"/>
  </r>
  <r>
    <d v="2022-11-21T00:00:00"/>
    <x v="264"/>
    <x v="10"/>
    <x v="0"/>
    <x v="14"/>
    <n v="15.88"/>
    <n v="5"/>
    <n v="-3.77"/>
    <x v="10"/>
    <x v="1"/>
  </r>
  <r>
    <d v="2022-11-21T00:00:00"/>
    <x v="262"/>
    <x v="17"/>
    <x v="1"/>
    <x v="11"/>
    <n v="141.96"/>
    <n v="2"/>
    <n v="41.17"/>
    <x v="10"/>
    <x v="1"/>
  </r>
  <r>
    <d v="2022-11-21T00:00:00"/>
    <x v="262"/>
    <x v="17"/>
    <x v="0"/>
    <x v="3"/>
    <n v="66.05"/>
    <n v="4"/>
    <n v="23.12"/>
    <x v="10"/>
    <x v="1"/>
  </r>
  <r>
    <d v="2022-11-21T00:00:00"/>
    <x v="27"/>
    <x v="0"/>
    <x v="1"/>
    <x v="11"/>
    <n v="246.13"/>
    <n v="2"/>
    <n v="-76.010000000000005"/>
    <x v="10"/>
    <x v="1"/>
  </r>
  <r>
    <d v="2022-11-21T00:00:00"/>
    <x v="27"/>
    <x v="0"/>
    <x v="0"/>
    <x v="1"/>
    <n v="11.7"/>
    <n v="2"/>
    <n v="3.95"/>
    <x v="10"/>
    <x v="1"/>
  </r>
  <r>
    <d v="2022-11-21T00:00:00"/>
    <x v="27"/>
    <x v="0"/>
    <x v="2"/>
    <x v="16"/>
    <n v="439.99"/>
    <n v="1"/>
    <n v="165"/>
    <x v="10"/>
    <x v="1"/>
  </r>
  <r>
    <d v="2022-11-21T00:00:00"/>
    <x v="268"/>
    <x v="18"/>
    <x v="0"/>
    <x v="4"/>
    <n v="10.92"/>
    <n v="6"/>
    <n v="4.91"/>
    <x v="10"/>
    <x v="1"/>
  </r>
  <r>
    <d v="2022-11-21T00:00:00"/>
    <x v="268"/>
    <x v="18"/>
    <x v="2"/>
    <x v="15"/>
    <n v="83.9"/>
    <n v="2"/>
    <n v="22.65"/>
    <x v="10"/>
    <x v="1"/>
  </r>
  <r>
    <d v="2022-11-21T00:00:00"/>
    <x v="268"/>
    <x v="18"/>
    <x v="0"/>
    <x v="12"/>
    <n v="19.75"/>
    <n v="5"/>
    <n v="5.14"/>
    <x v="10"/>
    <x v="1"/>
  </r>
  <r>
    <d v="2022-11-21T00:00:00"/>
    <x v="268"/>
    <x v="18"/>
    <x v="2"/>
    <x v="9"/>
    <n v="393.54"/>
    <n v="3"/>
    <n v="165.29"/>
    <x v="10"/>
    <x v="1"/>
  </r>
  <r>
    <d v="2022-11-21T00:00:00"/>
    <x v="673"/>
    <x v="12"/>
    <x v="0"/>
    <x v="12"/>
    <n v="325.63"/>
    <n v="6"/>
    <n v="28.49"/>
    <x v="10"/>
    <x v="1"/>
  </r>
  <r>
    <d v="2022-11-21T00:00:00"/>
    <x v="673"/>
    <x v="12"/>
    <x v="2"/>
    <x v="9"/>
    <n v="23.34"/>
    <n v="2"/>
    <n v="-1.46"/>
    <x v="10"/>
    <x v="1"/>
  </r>
  <r>
    <d v="2022-11-21T00:00:00"/>
    <x v="673"/>
    <x v="12"/>
    <x v="0"/>
    <x v="1"/>
    <n v="16.52"/>
    <n v="5"/>
    <n v="5.37"/>
    <x v="10"/>
    <x v="1"/>
  </r>
  <r>
    <d v="2022-11-21T00:00:00"/>
    <x v="228"/>
    <x v="2"/>
    <x v="1"/>
    <x v="13"/>
    <n v="1252.7"/>
    <n v="8"/>
    <n v="-480.2"/>
    <x v="10"/>
    <x v="1"/>
  </r>
  <r>
    <d v="2022-11-21T00:00:00"/>
    <x v="228"/>
    <x v="2"/>
    <x v="2"/>
    <x v="6"/>
    <n v="110.97"/>
    <n v="5"/>
    <n v="-24.04"/>
    <x v="10"/>
    <x v="1"/>
  </r>
  <r>
    <d v="2022-11-21T00:00:00"/>
    <x v="653"/>
    <x v="0"/>
    <x v="0"/>
    <x v="4"/>
    <n v="5.34"/>
    <n v="2"/>
    <n v="0.73"/>
    <x v="10"/>
    <x v="1"/>
  </r>
  <r>
    <d v="2022-11-21T00:00:00"/>
    <x v="653"/>
    <x v="0"/>
    <x v="0"/>
    <x v="3"/>
    <n v="1.7"/>
    <n v="2"/>
    <n v="-2.54"/>
    <x v="10"/>
    <x v="1"/>
  </r>
  <r>
    <d v="2022-11-21T00:00:00"/>
    <x v="653"/>
    <x v="0"/>
    <x v="0"/>
    <x v="12"/>
    <n v="24.59"/>
    <n v="3"/>
    <n v="-67.62"/>
    <x v="10"/>
    <x v="1"/>
  </r>
  <r>
    <d v="2022-11-21T00:00:00"/>
    <x v="653"/>
    <x v="0"/>
    <x v="0"/>
    <x v="3"/>
    <n v="7.98"/>
    <n v="5"/>
    <n v="-13.17"/>
    <x v="10"/>
    <x v="1"/>
  </r>
  <r>
    <d v="2022-11-21T00:00:00"/>
    <x v="209"/>
    <x v="25"/>
    <x v="1"/>
    <x v="8"/>
    <n v="18.18"/>
    <n v="1"/>
    <n v="4.7699999999999996"/>
    <x v="10"/>
    <x v="1"/>
  </r>
  <r>
    <d v="2022-11-22T00:00:00"/>
    <x v="187"/>
    <x v="0"/>
    <x v="0"/>
    <x v="12"/>
    <n v="68.81"/>
    <n v="5"/>
    <n v="-123.86"/>
    <x v="10"/>
    <x v="1"/>
  </r>
  <r>
    <d v="2022-11-22T00:00:00"/>
    <x v="187"/>
    <x v="0"/>
    <x v="0"/>
    <x v="3"/>
    <n v="2.54"/>
    <n v="3"/>
    <n v="-3.82"/>
    <x v="10"/>
    <x v="1"/>
  </r>
  <r>
    <d v="2022-11-22T00:00:00"/>
    <x v="576"/>
    <x v="2"/>
    <x v="0"/>
    <x v="3"/>
    <n v="11.61"/>
    <n v="2"/>
    <n v="-9.2899999999999991"/>
    <x v="10"/>
    <x v="1"/>
  </r>
  <r>
    <d v="2022-11-22T00:00:00"/>
    <x v="690"/>
    <x v="0"/>
    <x v="1"/>
    <x v="13"/>
    <n v="206.96"/>
    <n v="2"/>
    <n v="-32.520000000000003"/>
    <x v="10"/>
    <x v="1"/>
  </r>
  <r>
    <d v="2022-11-22T00:00:00"/>
    <x v="539"/>
    <x v="32"/>
    <x v="0"/>
    <x v="0"/>
    <n v="14.94"/>
    <n v="3"/>
    <n v="7.02"/>
    <x v="10"/>
    <x v="1"/>
  </r>
  <r>
    <d v="2022-11-22T00:00:00"/>
    <x v="64"/>
    <x v="0"/>
    <x v="2"/>
    <x v="9"/>
    <n v="27.17"/>
    <n v="4"/>
    <n v="-1.36"/>
    <x v="10"/>
    <x v="1"/>
  </r>
  <r>
    <d v="2022-11-22T00:00:00"/>
    <x v="387"/>
    <x v="15"/>
    <x v="0"/>
    <x v="3"/>
    <n v="2.95"/>
    <n v="2"/>
    <n v="-2.06"/>
    <x v="10"/>
    <x v="1"/>
  </r>
  <r>
    <d v="2022-11-22T00:00:00"/>
    <x v="387"/>
    <x v="15"/>
    <x v="0"/>
    <x v="7"/>
    <n v="55.1"/>
    <n v="6"/>
    <n v="18.600000000000001"/>
    <x v="10"/>
    <x v="1"/>
  </r>
  <r>
    <d v="2022-11-22T00:00:00"/>
    <x v="534"/>
    <x v="3"/>
    <x v="0"/>
    <x v="0"/>
    <n v="37.94"/>
    <n v="2"/>
    <n v="18.21"/>
    <x v="10"/>
    <x v="1"/>
  </r>
  <r>
    <d v="2022-11-22T00:00:00"/>
    <x v="534"/>
    <x v="3"/>
    <x v="0"/>
    <x v="0"/>
    <n v="42.8"/>
    <n v="10"/>
    <n v="19.260000000000002"/>
    <x v="10"/>
    <x v="1"/>
  </r>
  <r>
    <d v="2022-11-22T00:00:00"/>
    <x v="534"/>
    <x v="3"/>
    <x v="0"/>
    <x v="2"/>
    <n v="33.630000000000003"/>
    <n v="3"/>
    <n v="10.09"/>
    <x v="10"/>
    <x v="1"/>
  </r>
  <r>
    <d v="2022-11-22T00:00:00"/>
    <x v="248"/>
    <x v="16"/>
    <x v="2"/>
    <x v="15"/>
    <n v="32.99"/>
    <n v="3"/>
    <n v="-1.98"/>
    <x v="10"/>
    <x v="1"/>
  </r>
  <r>
    <d v="2022-11-22T00:00:00"/>
    <x v="198"/>
    <x v="32"/>
    <x v="0"/>
    <x v="4"/>
    <n v="17.12"/>
    <n v="4"/>
    <n v="4.96"/>
    <x v="10"/>
    <x v="1"/>
  </r>
  <r>
    <d v="2022-11-22T00:00:00"/>
    <x v="198"/>
    <x v="32"/>
    <x v="0"/>
    <x v="0"/>
    <n v="59.94"/>
    <n v="3"/>
    <n v="28.17"/>
    <x v="10"/>
    <x v="1"/>
  </r>
  <r>
    <d v="2022-11-23T00:00:00"/>
    <x v="668"/>
    <x v="0"/>
    <x v="0"/>
    <x v="0"/>
    <n v="335.52"/>
    <n v="4"/>
    <n v="117.43"/>
    <x v="10"/>
    <x v="1"/>
  </r>
  <r>
    <d v="2022-11-23T00:00:00"/>
    <x v="668"/>
    <x v="0"/>
    <x v="0"/>
    <x v="3"/>
    <n v="23.91"/>
    <n v="2"/>
    <n v="-40.65"/>
    <x v="10"/>
    <x v="1"/>
  </r>
  <r>
    <d v="2022-11-23T00:00:00"/>
    <x v="668"/>
    <x v="0"/>
    <x v="0"/>
    <x v="2"/>
    <n v="27.06"/>
    <n v="2"/>
    <n v="2.37"/>
    <x v="10"/>
    <x v="1"/>
  </r>
  <r>
    <d v="2022-11-23T00:00:00"/>
    <x v="372"/>
    <x v="23"/>
    <x v="0"/>
    <x v="12"/>
    <n v="2625.12"/>
    <n v="8"/>
    <n v="735.03"/>
    <x v="10"/>
    <x v="1"/>
  </r>
  <r>
    <d v="2022-11-23T00:00:00"/>
    <x v="372"/>
    <x v="23"/>
    <x v="0"/>
    <x v="4"/>
    <n v="17.940000000000001"/>
    <n v="3"/>
    <n v="4.49"/>
    <x v="10"/>
    <x v="1"/>
  </r>
  <r>
    <d v="2022-11-23T00:00:00"/>
    <x v="517"/>
    <x v="7"/>
    <x v="2"/>
    <x v="6"/>
    <n v="307.98"/>
    <n v="2"/>
    <n v="89.31"/>
    <x v="10"/>
    <x v="1"/>
  </r>
  <r>
    <d v="2022-11-23T00:00:00"/>
    <x v="517"/>
    <x v="7"/>
    <x v="0"/>
    <x v="0"/>
    <n v="44.1"/>
    <n v="6"/>
    <n v="20.73"/>
    <x v="10"/>
    <x v="1"/>
  </r>
  <r>
    <d v="2022-11-23T00:00:00"/>
    <x v="517"/>
    <x v="7"/>
    <x v="0"/>
    <x v="4"/>
    <n v="13.12"/>
    <n v="4"/>
    <n v="5.64"/>
    <x v="10"/>
    <x v="1"/>
  </r>
  <r>
    <d v="2022-11-23T00:00:00"/>
    <x v="517"/>
    <x v="7"/>
    <x v="0"/>
    <x v="10"/>
    <n v="16.559999999999999"/>
    <n v="2"/>
    <n v="7.78"/>
    <x v="10"/>
    <x v="1"/>
  </r>
  <r>
    <d v="2022-11-23T00:00:00"/>
    <x v="517"/>
    <x v="7"/>
    <x v="0"/>
    <x v="0"/>
    <n v="38.880000000000003"/>
    <n v="6"/>
    <n v="18.66"/>
    <x v="10"/>
    <x v="1"/>
  </r>
  <r>
    <d v="2022-11-24T00:00:00"/>
    <x v="111"/>
    <x v="3"/>
    <x v="2"/>
    <x v="9"/>
    <n v="13.98"/>
    <n v="2"/>
    <n v="6.15"/>
    <x v="10"/>
    <x v="1"/>
  </r>
  <r>
    <d v="2022-11-24T00:00:00"/>
    <x v="111"/>
    <x v="3"/>
    <x v="0"/>
    <x v="3"/>
    <n v="25.82"/>
    <n v="6"/>
    <n v="9.36"/>
    <x v="10"/>
    <x v="1"/>
  </r>
  <r>
    <d v="2022-11-24T00:00:00"/>
    <x v="111"/>
    <x v="3"/>
    <x v="0"/>
    <x v="0"/>
    <n v="146.72999999999999"/>
    <n v="3"/>
    <n v="68.959999999999994"/>
    <x v="10"/>
    <x v="1"/>
  </r>
  <r>
    <d v="2022-11-24T00:00:00"/>
    <x v="111"/>
    <x v="3"/>
    <x v="1"/>
    <x v="8"/>
    <n v="79.760000000000005"/>
    <n v="4"/>
    <n v="22.33"/>
    <x v="10"/>
    <x v="1"/>
  </r>
  <r>
    <d v="2022-11-24T00:00:00"/>
    <x v="0"/>
    <x v="3"/>
    <x v="0"/>
    <x v="0"/>
    <n v="368.91"/>
    <n v="9"/>
    <n v="180.77"/>
    <x v="10"/>
    <x v="1"/>
  </r>
  <r>
    <d v="2022-11-24T00:00:00"/>
    <x v="0"/>
    <x v="3"/>
    <x v="0"/>
    <x v="4"/>
    <n v="14.7"/>
    <n v="5"/>
    <n v="6.62"/>
    <x v="10"/>
    <x v="1"/>
  </r>
  <r>
    <d v="2022-11-24T00:00:00"/>
    <x v="18"/>
    <x v="3"/>
    <x v="0"/>
    <x v="3"/>
    <n v="3.17"/>
    <n v="2"/>
    <n v="0.99"/>
    <x v="10"/>
    <x v="1"/>
  </r>
  <r>
    <d v="2022-11-24T00:00:00"/>
    <x v="18"/>
    <x v="3"/>
    <x v="0"/>
    <x v="0"/>
    <n v="19.440000000000001"/>
    <n v="3"/>
    <n v="9.33"/>
    <x v="10"/>
    <x v="1"/>
  </r>
  <r>
    <d v="2022-11-24T00:00:00"/>
    <x v="18"/>
    <x v="3"/>
    <x v="0"/>
    <x v="2"/>
    <n v="454.86"/>
    <n v="7"/>
    <n v="54.58"/>
    <x v="10"/>
    <x v="1"/>
  </r>
  <r>
    <d v="2022-11-24T00:00:00"/>
    <x v="18"/>
    <x v="3"/>
    <x v="0"/>
    <x v="3"/>
    <n v="91.39"/>
    <n v="8"/>
    <n v="29.7"/>
    <x v="10"/>
    <x v="1"/>
  </r>
  <r>
    <d v="2022-11-25T00:00:00"/>
    <x v="394"/>
    <x v="25"/>
    <x v="0"/>
    <x v="4"/>
    <n v="13.12"/>
    <n v="5"/>
    <n v="1.48"/>
    <x v="10"/>
    <x v="1"/>
  </r>
  <r>
    <d v="2022-11-26T00:00:00"/>
    <x v="133"/>
    <x v="32"/>
    <x v="0"/>
    <x v="3"/>
    <n v="14.73"/>
    <n v="3"/>
    <n v="6.92"/>
    <x v="10"/>
    <x v="1"/>
  </r>
  <r>
    <d v="2022-11-26T00:00:00"/>
    <x v="133"/>
    <x v="32"/>
    <x v="0"/>
    <x v="2"/>
    <n v="104.9"/>
    <n v="5"/>
    <n v="25.18"/>
    <x v="10"/>
    <x v="1"/>
  </r>
  <r>
    <d v="2022-11-26T00:00:00"/>
    <x v="133"/>
    <x v="32"/>
    <x v="0"/>
    <x v="3"/>
    <n v="61.04"/>
    <n v="4"/>
    <n v="30.52"/>
    <x v="10"/>
    <x v="1"/>
  </r>
  <r>
    <d v="2022-11-26T00:00:00"/>
    <x v="133"/>
    <x v="32"/>
    <x v="0"/>
    <x v="0"/>
    <n v="10.95"/>
    <n v="3"/>
    <n v="5.15"/>
    <x v="10"/>
    <x v="1"/>
  </r>
  <r>
    <d v="2022-11-26T00:00:00"/>
    <x v="572"/>
    <x v="15"/>
    <x v="1"/>
    <x v="8"/>
    <n v="692.47"/>
    <n v="11"/>
    <n v="190.43"/>
    <x v="10"/>
    <x v="1"/>
  </r>
  <r>
    <d v="2022-11-26T00:00:00"/>
    <x v="400"/>
    <x v="24"/>
    <x v="2"/>
    <x v="16"/>
    <n v="599.99"/>
    <n v="1"/>
    <n v="234"/>
    <x v="10"/>
    <x v="1"/>
  </r>
  <r>
    <d v="2022-11-27T00:00:00"/>
    <x v="445"/>
    <x v="16"/>
    <x v="1"/>
    <x v="13"/>
    <n v="375.46"/>
    <n v="3"/>
    <n v="-157.01"/>
    <x v="10"/>
    <x v="1"/>
  </r>
  <r>
    <d v="2022-11-27T00:00:00"/>
    <x v="445"/>
    <x v="16"/>
    <x v="2"/>
    <x v="9"/>
    <n v="83.98"/>
    <n v="3"/>
    <n v="-1.05"/>
    <x v="10"/>
    <x v="1"/>
  </r>
  <r>
    <d v="2022-11-27T00:00:00"/>
    <x v="101"/>
    <x v="3"/>
    <x v="1"/>
    <x v="5"/>
    <n v="283.92"/>
    <n v="5"/>
    <n v="17.75"/>
    <x v="10"/>
    <x v="1"/>
  </r>
  <r>
    <d v="2022-11-27T00:00:00"/>
    <x v="586"/>
    <x v="13"/>
    <x v="0"/>
    <x v="3"/>
    <n v="6.24"/>
    <n v="2"/>
    <n v="3.06"/>
    <x v="10"/>
    <x v="1"/>
  </r>
  <r>
    <d v="2022-11-27T00:00:00"/>
    <x v="514"/>
    <x v="7"/>
    <x v="2"/>
    <x v="6"/>
    <n v="83.97"/>
    <n v="3"/>
    <n v="23.51"/>
    <x v="10"/>
    <x v="1"/>
  </r>
  <r>
    <d v="2022-11-27T00:00:00"/>
    <x v="514"/>
    <x v="7"/>
    <x v="2"/>
    <x v="9"/>
    <n v="104.97"/>
    <n v="3"/>
    <n v="7.35"/>
    <x v="10"/>
    <x v="1"/>
  </r>
  <r>
    <d v="2022-11-27T00:00:00"/>
    <x v="617"/>
    <x v="20"/>
    <x v="0"/>
    <x v="4"/>
    <n v="29.79"/>
    <n v="3"/>
    <n v="12.51"/>
    <x v="10"/>
    <x v="1"/>
  </r>
  <r>
    <d v="2022-11-27T00:00:00"/>
    <x v="188"/>
    <x v="3"/>
    <x v="2"/>
    <x v="9"/>
    <n v="107.97"/>
    <n v="3"/>
    <n v="22.67"/>
    <x v="10"/>
    <x v="1"/>
  </r>
  <r>
    <d v="2022-11-27T00:00:00"/>
    <x v="188"/>
    <x v="3"/>
    <x v="0"/>
    <x v="0"/>
    <n v="113.82"/>
    <n v="3"/>
    <n v="53.5"/>
    <x v="10"/>
    <x v="1"/>
  </r>
  <r>
    <d v="2022-11-27T00:00:00"/>
    <x v="469"/>
    <x v="2"/>
    <x v="2"/>
    <x v="6"/>
    <n v="748.75"/>
    <n v="8"/>
    <n v="-162.22999999999999"/>
    <x v="10"/>
    <x v="1"/>
  </r>
  <r>
    <d v="2022-11-27T00:00:00"/>
    <x v="338"/>
    <x v="32"/>
    <x v="0"/>
    <x v="0"/>
    <n v="40.08"/>
    <n v="6"/>
    <n v="19.239999999999998"/>
    <x v="10"/>
    <x v="1"/>
  </r>
  <r>
    <d v="2022-11-27T00:00:00"/>
    <x v="338"/>
    <x v="32"/>
    <x v="0"/>
    <x v="0"/>
    <n v="59.94"/>
    <n v="3"/>
    <n v="28.17"/>
    <x v="10"/>
    <x v="1"/>
  </r>
  <r>
    <d v="2022-11-27T00:00:00"/>
    <x v="338"/>
    <x v="32"/>
    <x v="2"/>
    <x v="9"/>
    <n v="259.98"/>
    <n v="2"/>
    <n v="88.39"/>
    <x v="10"/>
    <x v="1"/>
  </r>
  <r>
    <d v="2022-11-27T00:00:00"/>
    <x v="338"/>
    <x v="32"/>
    <x v="1"/>
    <x v="11"/>
    <n v="170.98"/>
    <n v="1"/>
    <n v="32.49"/>
    <x v="10"/>
    <x v="1"/>
  </r>
  <r>
    <d v="2022-11-27T00:00:00"/>
    <x v="338"/>
    <x v="32"/>
    <x v="1"/>
    <x v="8"/>
    <n v="38.97"/>
    <n v="3"/>
    <n v="4.68"/>
    <x v="10"/>
    <x v="1"/>
  </r>
  <r>
    <d v="2022-11-27T00:00:00"/>
    <x v="338"/>
    <x v="32"/>
    <x v="0"/>
    <x v="0"/>
    <n v="154.9"/>
    <n v="5"/>
    <n v="69.709999999999994"/>
    <x v="10"/>
    <x v="1"/>
  </r>
  <r>
    <d v="2022-11-27T00:00:00"/>
    <x v="338"/>
    <x v="32"/>
    <x v="1"/>
    <x v="13"/>
    <n v="446.07"/>
    <n v="4"/>
    <n v="0"/>
    <x v="10"/>
    <x v="1"/>
  </r>
  <r>
    <d v="2022-11-28T00:00:00"/>
    <x v="696"/>
    <x v="1"/>
    <x v="1"/>
    <x v="8"/>
    <n v="12.13"/>
    <n v="9"/>
    <n v="-8.49"/>
    <x v="10"/>
    <x v="1"/>
  </r>
  <r>
    <d v="2022-11-28T00:00:00"/>
    <x v="696"/>
    <x v="1"/>
    <x v="0"/>
    <x v="2"/>
    <n v="82.37"/>
    <n v="2"/>
    <n v="-19.559999999999999"/>
    <x v="10"/>
    <x v="1"/>
  </r>
  <r>
    <d v="2022-11-28T00:00:00"/>
    <x v="696"/>
    <x v="1"/>
    <x v="0"/>
    <x v="2"/>
    <n v="53.92"/>
    <n v="5"/>
    <n v="4.04"/>
    <x v="10"/>
    <x v="1"/>
  </r>
  <r>
    <d v="2022-11-28T00:00:00"/>
    <x v="696"/>
    <x v="1"/>
    <x v="2"/>
    <x v="6"/>
    <n v="647.9"/>
    <n v="6"/>
    <n v="56.69"/>
    <x v="10"/>
    <x v="1"/>
  </r>
  <r>
    <d v="2022-11-28T00:00:00"/>
    <x v="164"/>
    <x v="1"/>
    <x v="1"/>
    <x v="8"/>
    <n v="151.96"/>
    <n v="5"/>
    <n v="-182.35"/>
    <x v="10"/>
    <x v="1"/>
  </r>
  <r>
    <d v="2022-11-28T00:00:00"/>
    <x v="717"/>
    <x v="20"/>
    <x v="1"/>
    <x v="8"/>
    <n v="322.58999999999997"/>
    <n v="3"/>
    <n v="64.52"/>
    <x v="10"/>
    <x v="1"/>
  </r>
  <r>
    <d v="2022-11-28T00:00:00"/>
    <x v="231"/>
    <x v="20"/>
    <x v="1"/>
    <x v="8"/>
    <n v="68.16"/>
    <n v="3"/>
    <n v="27.95"/>
    <x v="10"/>
    <x v="1"/>
  </r>
  <r>
    <d v="2022-11-28T00:00:00"/>
    <x v="231"/>
    <x v="20"/>
    <x v="0"/>
    <x v="10"/>
    <n v="62.24"/>
    <n v="8"/>
    <n v="29.25"/>
    <x v="10"/>
    <x v="1"/>
  </r>
  <r>
    <d v="2022-11-28T00:00:00"/>
    <x v="438"/>
    <x v="0"/>
    <x v="0"/>
    <x v="0"/>
    <n v="335.52"/>
    <n v="4"/>
    <n v="117.43"/>
    <x v="10"/>
    <x v="1"/>
  </r>
  <r>
    <d v="2022-11-28T00:00:00"/>
    <x v="415"/>
    <x v="31"/>
    <x v="0"/>
    <x v="4"/>
    <n v="8.2799999999999994"/>
    <n v="2"/>
    <n v="3.48"/>
    <x v="10"/>
    <x v="1"/>
  </r>
  <r>
    <d v="2022-11-28T00:00:00"/>
    <x v="63"/>
    <x v="3"/>
    <x v="0"/>
    <x v="12"/>
    <n v="45.28"/>
    <n v="4"/>
    <n v="15.4"/>
    <x v="10"/>
    <x v="1"/>
  </r>
  <r>
    <d v="2022-11-28T00:00:00"/>
    <x v="632"/>
    <x v="10"/>
    <x v="1"/>
    <x v="8"/>
    <n v="71.12"/>
    <n v="5"/>
    <n v="9.7799999999999994"/>
    <x v="10"/>
    <x v="1"/>
  </r>
  <r>
    <d v="2022-11-28T00:00:00"/>
    <x v="632"/>
    <x v="10"/>
    <x v="0"/>
    <x v="7"/>
    <n v="3.01"/>
    <n v="2"/>
    <n v="0.56000000000000005"/>
    <x v="10"/>
    <x v="1"/>
  </r>
  <r>
    <d v="2022-11-29T00:00:00"/>
    <x v="472"/>
    <x v="14"/>
    <x v="1"/>
    <x v="5"/>
    <n v="301.95999999999998"/>
    <n v="2"/>
    <n v="87.57"/>
    <x v="10"/>
    <x v="1"/>
  </r>
  <r>
    <d v="2022-11-29T00:00:00"/>
    <x v="472"/>
    <x v="14"/>
    <x v="0"/>
    <x v="12"/>
    <n v="555.21"/>
    <n v="5"/>
    <n v="178.9"/>
    <x v="10"/>
    <x v="1"/>
  </r>
  <r>
    <d v="2022-11-29T00:00:00"/>
    <x v="472"/>
    <x v="14"/>
    <x v="0"/>
    <x v="2"/>
    <n v="523.48"/>
    <n v="4"/>
    <n v="130.87"/>
    <x v="10"/>
    <x v="1"/>
  </r>
  <r>
    <d v="2022-11-29T00:00:00"/>
    <x v="472"/>
    <x v="14"/>
    <x v="0"/>
    <x v="4"/>
    <n v="161.82"/>
    <n v="9"/>
    <n v="46.93"/>
    <x v="10"/>
    <x v="1"/>
  </r>
  <r>
    <d v="2022-11-29T00:00:00"/>
    <x v="478"/>
    <x v="14"/>
    <x v="0"/>
    <x v="0"/>
    <n v="19.920000000000002"/>
    <n v="4"/>
    <n v="9.36"/>
    <x v="10"/>
    <x v="1"/>
  </r>
  <r>
    <d v="2022-11-29T00:00:00"/>
    <x v="478"/>
    <x v="14"/>
    <x v="1"/>
    <x v="5"/>
    <n v="1106.9100000000001"/>
    <n v="9"/>
    <n v="121.76"/>
    <x v="10"/>
    <x v="1"/>
  </r>
  <r>
    <d v="2022-11-29T00:00:00"/>
    <x v="630"/>
    <x v="0"/>
    <x v="2"/>
    <x v="9"/>
    <n v="21.48"/>
    <n v="3"/>
    <n v="-0.27"/>
    <x v="10"/>
    <x v="1"/>
  </r>
  <r>
    <d v="2022-11-29T00:00:00"/>
    <x v="630"/>
    <x v="0"/>
    <x v="0"/>
    <x v="3"/>
    <n v="8.7799999999999994"/>
    <n v="4"/>
    <n v="-13.62"/>
    <x v="10"/>
    <x v="1"/>
  </r>
  <r>
    <d v="2022-11-29T00:00:00"/>
    <x v="1"/>
    <x v="3"/>
    <x v="0"/>
    <x v="3"/>
    <n v="4.3"/>
    <n v="1"/>
    <n v="1.56"/>
    <x v="10"/>
    <x v="1"/>
  </r>
  <r>
    <d v="2022-11-29T00:00:00"/>
    <x v="89"/>
    <x v="3"/>
    <x v="0"/>
    <x v="4"/>
    <n v="56.3"/>
    <n v="2"/>
    <n v="15.76"/>
    <x v="10"/>
    <x v="1"/>
  </r>
  <r>
    <d v="2022-11-30T00:00:00"/>
    <x v="494"/>
    <x v="2"/>
    <x v="0"/>
    <x v="3"/>
    <n v="152.99"/>
    <n v="3"/>
    <n v="-122.39"/>
    <x v="10"/>
    <x v="1"/>
  </r>
  <r>
    <d v="2022-11-30T00:00:00"/>
    <x v="494"/>
    <x v="2"/>
    <x v="0"/>
    <x v="7"/>
    <n v="10.58"/>
    <n v="7"/>
    <n v="-2.38"/>
    <x v="10"/>
    <x v="1"/>
  </r>
  <r>
    <d v="2022-11-30T00:00:00"/>
    <x v="494"/>
    <x v="2"/>
    <x v="2"/>
    <x v="6"/>
    <n v="94.92"/>
    <n v="4"/>
    <n v="15.82"/>
    <x v="10"/>
    <x v="1"/>
  </r>
  <r>
    <d v="2022-11-30T00:00:00"/>
    <x v="35"/>
    <x v="0"/>
    <x v="0"/>
    <x v="3"/>
    <n v="3.88"/>
    <n v="3"/>
    <n v="-5.82"/>
    <x v="10"/>
    <x v="1"/>
  </r>
  <r>
    <d v="2022-11-30T00:00:00"/>
    <x v="152"/>
    <x v="5"/>
    <x v="0"/>
    <x v="10"/>
    <n v="17.48"/>
    <n v="2"/>
    <n v="8.2200000000000006"/>
    <x v="10"/>
    <x v="1"/>
  </r>
  <r>
    <d v="2022-11-30T00:00:00"/>
    <x v="152"/>
    <x v="5"/>
    <x v="0"/>
    <x v="10"/>
    <n v="71.88"/>
    <n v="2"/>
    <n v="32.35"/>
    <x v="10"/>
    <x v="1"/>
  </r>
  <r>
    <d v="2022-11-30T00:00:00"/>
    <x v="195"/>
    <x v="25"/>
    <x v="2"/>
    <x v="6"/>
    <n v="177.48"/>
    <n v="3"/>
    <n v="19.97"/>
    <x v="10"/>
    <x v="1"/>
  </r>
  <r>
    <d v="2022-11-30T00:00:00"/>
    <x v="219"/>
    <x v="20"/>
    <x v="0"/>
    <x v="0"/>
    <n v="23.66"/>
    <n v="7"/>
    <n v="10.88"/>
    <x v="10"/>
    <x v="1"/>
  </r>
  <r>
    <d v="2022-11-30T00:00:00"/>
    <x v="219"/>
    <x v="20"/>
    <x v="1"/>
    <x v="11"/>
    <n v="681.41"/>
    <n v="12"/>
    <n v="42.59"/>
    <x v="10"/>
    <x v="1"/>
  </r>
  <r>
    <d v="2022-11-30T00:00:00"/>
    <x v="522"/>
    <x v="17"/>
    <x v="1"/>
    <x v="8"/>
    <n v="80.959999999999994"/>
    <n v="4"/>
    <n v="29.15"/>
    <x v="10"/>
    <x v="1"/>
  </r>
  <r>
    <d v="2022-11-30T00:00:00"/>
    <x v="522"/>
    <x v="17"/>
    <x v="0"/>
    <x v="0"/>
    <n v="25.92"/>
    <n v="4"/>
    <n v="12.44"/>
    <x v="10"/>
    <x v="1"/>
  </r>
  <r>
    <d v="2022-11-30T00:00:00"/>
    <x v="518"/>
    <x v="25"/>
    <x v="1"/>
    <x v="8"/>
    <n v="17.09"/>
    <n v="2"/>
    <n v="1.07"/>
    <x v="10"/>
    <x v="1"/>
  </r>
  <r>
    <d v="2022-11-30T00:00:00"/>
    <x v="336"/>
    <x v="25"/>
    <x v="0"/>
    <x v="3"/>
    <n v="6.05"/>
    <n v="7"/>
    <n v="-4.2300000000000004"/>
    <x v="10"/>
    <x v="1"/>
  </r>
  <r>
    <d v="2022-11-30T00:00:00"/>
    <x v="336"/>
    <x v="25"/>
    <x v="0"/>
    <x v="12"/>
    <n v="98.35"/>
    <n v="3"/>
    <n v="9.84"/>
    <x v="10"/>
    <x v="1"/>
  </r>
  <r>
    <d v="2022-11-30T00:00:00"/>
    <x v="336"/>
    <x v="25"/>
    <x v="1"/>
    <x v="8"/>
    <n v="335.74"/>
    <n v="2"/>
    <n v="25.18"/>
    <x v="10"/>
    <x v="1"/>
  </r>
  <r>
    <d v="2022-12-01T00:00:00"/>
    <x v="391"/>
    <x v="22"/>
    <x v="0"/>
    <x v="3"/>
    <n v="55.42"/>
    <n v="2"/>
    <n v="19.399999999999999"/>
    <x v="11"/>
    <x v="1"/>
  </r>
  <r>
    <d v="2022-12-01T00:00:00"/>
    <x v="685"/>
    <x v="0"/>
    <x v="1"/>
    <x v="8"/>
    <n v="6.69"/>
    <n v="4"/>
    <n v="-4.01"/>
    <x v="11"/>
    <x v="1"/>
  </r>
  <r>
    <d v="2022-12-01T00:00:00"/>
    <x v="165"/>
    <x v="22"/>
    <x v="0"/>
    <x v="4"/>
    <n v="13.9"/>
    <n v="5"/>
    <n v="5.56"/>
    <x v="11"/>
    <x v="1"/>
  </r>
  <r>
    <d v="2022-12-01T00:00:00"/>
    <x v="435"/>
    <x v="6"/>
    <x v="0"/>
    <x v="2"/>
    <n v="61.68"/>
    <n v="4"/>
    <n v="16.649999999999999"/>
    <x v="11"/>
    <x v="1"/>
  </r>
  <r>
    <d v="2022-12-01T00:00:00"/>
    <x v="435"/>
    <x v="6"/>
    <x v="0"/>
    <x v="3"/>
    <n v="63.96"/>
    <n v="4"/>
    <n v="30.7"/>
    <x v="11"/>
    <x v="1"/>
  </r>
  <r>
    <d v="2022-12-01T00:00:00"/>
    <x v="581"/>
    <x v="22"/>
    <x v="1"/>
    <x v="5"/>
    <n v="2003.92"/>
    <n v="5"/>
    <n v="125.25"/>
    <x v="11"/>
    <x v="1"/>
  </r>
  <r>
    <d v="2022-12-01T00:00:00"/>
    <x v="581"/>
    <x v="22"/>
    <x v="0"/>
    <x v="0"/>
    <n v="32.4"/>
    <n v="5"/>
    <n v="15.55"/>
    <x v="11"/>
    <x v="1"/>
  </r>
  <r>
    <d v="2022-12-01T00:00:00"/>
    <x v="581"/>
    <x v="22"/>
    <x v="1"/>
    <x v="13"/>
    <n v="1913.4"/>
    <n v="9"/>
    <n v="401.81"/>
    <x v="11"/>
    <x v="1"/>
  </r>
  <r>
    <d v="2022-12-01T00:00:00"/>
    <x v="581"/>
    <x v="22"/>
    <x v="0"/>
    <x v="2"/>
    <n v="146.72999999999999"/>
    <n v="3"/>
    <n v="2.93"/>
    <x v="11"/>
    <x v="1"/>
  </r>
  <r>
    <d v="2022-12-01T00:00:00"/>
    <x v="581"/>
    <x v="22"/>
    <x v="0"/>
    <x v="0"/>
    <n v="114.2"/>
    <n v="5"/>
    <n v="52.53"/>
    <x v="11"/>
    <x v="1"/>
  </r>
  <r>
    <d v="2022-12-01T00:00:00"/>
    <x v="607"/>
    <x v="3"/>
    <x v="1"/>
    <x v="5"/>
    <n v="2676.67"/>
    <n v="9"/>
    <n v="267.67"/>
    <x v="11"/>
    <x v="1"/>
  </r>
  <r>
    <d v="2022-12-01T00:00:00"/>
    <x v="338"/>
    <x v="14"/>
    <x v="0"/>
    <x v="0"/>
    <n v="19.440000000000001"/>
    <n v="3"/>
    <n v="9.33"/>
    <x v="11"/>
    <x v="1"/>
  </r>
  <r>
    <d v="2022-12-01T00:00:00"/>
    <x v="338"/>
    <x v="14"/>
    <x v="0"/>
    <x v="4"/>
    <n v="3.64"/>
    <n v="2"/>
    <n v="1.02"/>
    <x v="11"/>
    <x v="1"/>
  </r>
  <r>
    <d v="2022-12-01T00:00:00"/>
    <x v="338"/>
    <x v="14"/>
    <x v="0"/>
    <x v="0"/>
    <n v="18.54"/>
    <n v="2"/>
    <n v="8.7100000000000009"/>
    <x v="11"/>
    <x v="1"/>
  </r>
  <r>
    <d v="2022-12-03T00:00:00"/>
    <x v="78"/>
    <x v="2"/>
    <x v="2"/>
    <x v="15"/>
    <n v="482.34"/>
    <n v="4"/>
    <n v="-337.64"/>
    <x v="11"/>
    <x v="1"/>
  </r>
  <r>
    <d v="2022-12-03T00:00:00"/>
    <x v="78"/>
    <x v="2"/>
    <x v="1"/>
    <x v="8"/>
    <n v="2.96"/>
    <n v="1"/>
    <n v="0.78"/>
    <x v="11"/>
    <x v="1"/>
  </r>
  <r>
    <d v="2022-12-03T00:00:00"/>
    <x v="114"/>
    <x v="20"/>
    <x v="0"/>
    <x v="3"/>
    <n v="10.75"/>
    <n v="4"/>
    <n v="3.36"/>
    <x v="11"/>
    <x v="1"/>
  </r>
  <r>
    <d v="2022-12-03T00:00:00"/>
    <x v="314"/>
    <x v="2"/>
    <x v="0"/>
    <x v="0"/>
    <n v="16.45"/>
    <n v="2"/>
    <n v="5.55"/>
    <x v="11"/>
    <x v="1"/>
  </r>
  <r>
    <d v="2022-12-03T00:00:00"/>
    <x v="314"/>
    <x v="2"/>
    <x v="2"/>
    <x v="9"/>
    <n v="36.78"/>
    <n v="2"/>
    <n v="10.58"/>
    <x v="11"/>
    <x v="1"/>
  </r>
  <r>
    <d v="2022-12-03T00:00:00"/>
    <x v="544"/>
    <x v="20"/>
    <x v="0"/>
    <x v="3"/>
    <n v="590.35"/>
    <n v="6"/>
    <n v="206.62"/>
    <x v="11"/>
    <x v="1"/>
  </r>
  <r>
    <d v="2022-12-03T00:00:00"/>
    <x v="517"/>
    <x v="3"/>
    <x v="1"/>
    <x v="11"/>
    <n v="359.5"/>
    <n v="3"/>
    <n v="-29.61"/>
    <x v="11"/>
    <x v="1"/>
  </r>
  <r>
    <d v="2022-12-03T00:00:00"/>
    <x v="419"/>
    <x v="25"/>
    <x v="1"/>
    <x v="8"/>
    <n v="77.95"/>
    <n v="3"/>
    <n v="12.67"/>
    <x v="11"/>
    <x v="1"/>
  </r>
  <r>
    <d v="2022-12-03T00:00:00"/>
    <x v="419"/>
    <x v="25"/>
    <x v="0"/>
    <x v="3"/>
    <n v="95.97"/>
    <n v="5"/>
    <n v="-73.58"/>
    <x v="11"/>
    <x v="1"/>
  </r>
  <r>
    <d v="2022-12-03T00:00:00"/>
    <x v="419"/>
    <x v="25"/>
    <x v="2"/>
    <x v="6"/>
    <n v="105.58"/>
    <n v="2"/>
    <n v="9.24"/>
    <x v="11"/>
    <x v="1"/>
  </r>
  <r>
    <d v="2022-12-03T00:00:00"/>
    <x v="419"/>
    <x v="25"/>
    <x v="0"/>
    <x v="4"/>
    <n v="9.34"/>
    <n v="2"/>
    <n v="1.17"/>
    <x v="11"/>
    <x v="1"/>
  </r>
  <r>
    <d v="2022-12-03T00:00:00"/>
    <x v="187"/>
    <x v="38"/>
    <x v="0"/>
    <x v="0"/>
    <n v="184.66"/>
    <n v="7"/>
    <n v="84.94"/>
    <x v="11"/>
    <x v="1"/>
  </r>
  <r>
    <d v="2022-12-04T00:00:00"/>
    <x v="718"/>
    <x v="16"/>
    <x v="0"/>
    <x v="3"/>
    <n v="8.23"/>
    <n v="3"/>
    <n v="-6.03"/>
    <x v="11"/>
    <x v="1"/>
  </r>
  <r>
    <d v="2022-12-04T00:00:00"/>
    <x v="703"/>
    <x v="20"/>
    <x v="1"/>
    <x v="8"/>
    <n v="28.44"/>
    <n v="3"/>
    <n v="11.38"/>
    <x v="11"/>
    <x v="1"/>
  </r>
  <r>
    <d v="2022-12-04T00:00:00"/>
    <x v="703"/>
    <x v="20"/>
    <x v="1"/>
    <x v="5"/>
    <n v="364.41"/>
    <n v="5"/>
    <n v="8.1"/>
    <x v="11"/>
    <x v="1"/>
  </r>
  <r>
    <d v="2022-12-04T00:00:00"/>
    <x v="703"/>
    <x v="20"/>
    <x v="2"/>
    <x v="6"/>
    <n v="39.96"/>
    <n v="4"/>
    <n v="10.39"/>
    <x v="11"/>
    <x v="1"/>
  </r>
  <r>
    <d v="2022-12-04T00:00:00"/>
    <x v="703"/>
    <x v="20"/>
    <x v="1"/>
    <x v="5"/>
    <n v="361.76"/>
    <n v="2"/>
    <n v="68.33"/>
    <x v="11"/>
    <x v="1"/>
  </r>
  <r>
    <d v="2022-12-04T00:00:00"/>
    <x v="389"/>
    <x v="20"/>
    <x v="0"/>
    <x v="10"/>
    <n v="17.940000000000001"/>
    <n v="3"/>
    <n v="8.7899999999999991"/>
    <x v="11"/>
    <x v="1"/>
  </r>
  <r>
    <d v="2022-12-04T00:00:00"/>
    <x v="389"/>
    <x v="20"/>
    <x v="1"/>
    <x v="5"/>
    <n v="384.17"/>
    <n v="7"/>
    <n v="29.88"/>
    <x v="11"/>
    <x v="1"/>
  </r>
  <r>
    <d v="2022-12-04T00:00:00"/>
    <x v="389"/>
    <x v="20"/>
    <x v="2"/>
    <x v="6"/>
    <n v="1799.75"/>
    <n v="5"/>
    <n v="539.92999999999995"/>
    <x v="11"/>
    <x v="1"/>
  </r>
  <r>
    <d v="2022-12-04T00:00:00"/>
    <x v="279"/>
    <x v="24"/>
    <x v="0"/>
    <x v="0"/>
    <n v="85.96"/>
    <n v="7"/>
    <n v="40.4"/>
    <x v="11"/>
    <x v="1"/>
  </r>
  <r>
    <d v="2022-12-04T00:00:00"/>
    <x v="644"/>
    <x v="15"/>
    <x v="0"/>
    <x v="3"/>
    <n v="1598.06"/>
    <n v="7"/>
    <n v="-1065.3699999999999"/>
    <x v="11"/>
    <x v="1"/>
  </r>
  <r>
    <d v="2022-12-04T00:00:00"/>
    <x v="644"/>
    <x v="15"/>
    <x v="0"/>
    <x v="4"/>
    <n v="36.96"/>
    <n v="4"/>
    <n v="12.01"/>
    <x v="11"/>
    <x v="1"/>
  </r>
  <r>
    <d v="2022-12-04T00:00:00"/>
    <x v="312"/>
    <x v="3"/>
    <x v="0"/>
    <x v="10"/>
    <n v="271.44"/>
    <n v="3"/>
    <n v="122.15"/>
    <x v="11"/>
    <x v="1"/>
  </r>
  <r>
    <d v="2022-12-04T00:00:00"/>
    <x v="312"/>
    <x v="3"/>
    <x v="2"/>
    <x v="6"/>
    <n v="110.35"/>
    <n v="3"/>
    <n v="8.2799999999999994"/>
    <x v="11"/>
    <x v="1"/>
  </r>
  <r>
    <d v="2022-12-04T00:00:00"/>
    <x v="312"/>
    <x v="3"/>
    <x v="1"/>
    <x v="8"/>
    <n v="36.4"/>
    <n v="5"/>
    <n v="13.83"/>
    <x v="11"/>
    <x v="1"/>
  </r>
  <r>
    <d v="2022-12-04T00:00:00"/>
    <x v="501"/>
    <x v="3"/>
    <x v="0"/>
    <x v="4"/>
    <n v="16.899999999999999"/>
    <n v="5"/>
    <n v="6.25"/>
    <x v="11"/>
    <x v="1"/>
  </r>
  <r>
    <d v="2022-12-04T00:00:00"/>
    <x v="501"/>
    <x v="3"/>
    <x v="1"/>
    <x v="8"/>
    <n v="25.08"/>
    <n v="6"/>
    <n v="9.0299999999999994"/>
    <x v="11"/>
    <x v="1"/>
  </r>
  <r>
    <d v="2022-12-05T00:00:00"/>
    <x v="719"/>
    <x v="3"/>
    <x v="1"/>
    <x v="8"/>
    <n v="44.46"/>
    <n v="2"/>
    <n v="14.67"/>
    <x v="11"/>
    <x v="1"/>
  </r>
  <r>
    <d v="2022-12-05T00:00:00"/>
    <x v="308"/>
    <x v="2"/>
    <x v="2"/>
    <x v="9"/>
    <n v="47.98"/>
    <n v="2"/>
    <n v="0.6"/>
    <x v="11"/>
    <x v="1"/>
  </r>
  <r>
    <d v="2022-12-05T00:00:00"/>
    <x v="308"/>
    <x v="2"/>
    <x v="0"/>
    <x v="3"/>
    <n v="26.06"/>
    <n v="6"/>
    <n v="-19.98"/>
    <x v="11"/>
    <x v="1"/>
  </r>
  <r>
    <d v="2022-12-05T00:00:00"/>
    <x v="720"/>
    <x v="14"/>
    <x v="0"/>
    <x v="3"/>
    <n v="152.80000000000001"/>
    <n v="5"/>
    <n v="76.400000000000006"/>
    <x v="11"/>
    <x v="1"/>
  </r>
  <r>
    <d v="2022-12-05T00:00:00"/>
    <x v="394"/>
    <x v="0"/>
    <x v="0"/>
    <x v="4"/>
    <n v="45.04"/>
    <n v="2"/>
    <n v="4.5"/>
    <x v="11"/>
    <x v="1"/>
  </r>
  <r>
    <d v="2022-12-05T00:00:00"/>
    <x v="449"/>
    <x v="20"/>
    <x v="0"/>
    <x v="3"/>
    <n v="232.4"/>
    <n v="5"/>
    <n v="78.44"/>
    <x v="11"/>
    <x v="1"/>
  </r>
  <r>
    <d v="2022-12-05T00:00:00"/>
    <x v="449"/>
    <x v="20"/>
    <x v="1"/>
    <x v="5"/>
    <n v="164.65"/>
    <n v="3"/>
    <n v="12.81"/>
    <x v="11"/>
    <x v="1"/>
  </r>
  <r>
    <d v="2022-12-05T00:00:00"/>
    <x v="449"/>
    <x v="20"/>
    <x v="0"/>
    <x v="0"/>
    <n v="22.68"/>
    <n v="2"/>
    <n v="11.11"/>
    <x v="11"/>
    <x v="1"/>
  </r>
  <r>
    <d v="2022-12-05T00:00:00"/>
    <x v="169"/>
    <x v="3"/>
    <x v="2"/>
    <x v="9"/>
    <n v="39"/>
    <n v="3"/>
    <n v="17.55"/>
    <x v="11"/>
    <x v="1"/>
  </r>
  <r>
    <d v="2022-12-05T00:00:00"/>
    <x v="169"/>
    <x v="3"/>
    <x v="0"/>
    <x v="1"/>
    <n v="12.6"/>
    <n v="4"/>
    <n v="6.05"/>
    <x v="11"/>
    <x v="1"/>
  </r>
  <r>
    <d v="2022-12-05T00:00:00"/>
    <x v="390"/>
    <x v="15"/>
    <x v="1"/>
    <x v="5"/>
    <n v="97.42"/>
    <n v="2"/>
    <n v="10.96"/>
    <x v="11"/>
    <x v="1"/>
  </r>
  <r>
    <d v="2022-12-05T00:00:00"/>
    <x v="560"/>
    <x v="1"/>
    <x v="0"/>
    <x v="10"/>
    <n v="12.22"/>
    <n v="2"/>
    <n v="4.43"/>
    <x v="11"/>
    <x v="1"/>
  </r>
  <r>
    <d v="2022-12-06T00:00:00"/>
    <x v="201"/>
    <x v="3"/>
    <x v="0"/>
    <x v="4"/>
    <n v="120.15"/>
    <n v="9"/>
    <n v="33.64"/>
    <x v="11"/>
    <x v="1"/>
  </r>
  <r>
    <d v="2022-12-06T00:00:00"/>
    <x v="201"/>
    <x v="3"/>
    <x v="2"/>
    <x v="6"/>
    <n v="219.18"/>
    <n v="2"/>
    <n v="19.18"/>
    <x v="11"/>
    <x v="1"/>
  </r>
  <r>
    <d v="2022-12-06T00:00:00"/>
    <x v="682"/>
    <x v="0"/>
    <x v="0"/>
    <x v="3"/>
    <n v="2.77"/>
    <n v="7"/>
    <n v="-4.8499999999999996"/>
    <x v="11"/>
    <x v="1"/>
  </r>
  <r>
    <d v="2022-12-06T00:00:00"/>
    <x v="258"/>
    <x v="12"/>
    <x v="1"/>
    <x v="8"/>
    <n v="206.11"/>
    <n v="6"/>
    <n v="48.95"/>
    <x v="11"/>
    <x v="1"/>
  </r>
  <r>
    <d v="2022-12-06T00:00:00"/>
    <x v="258"/>
    <x v="12"/>
    <x v="0"/>
    <x v="0"/>
    <n v="19.920000000000002"/>
    <n v="5"/>
    <n v="6.72"/>
    <x v="11"/>
    <x v="1"/>
  </r>
  <r>
    <d v="2022-12-06T00:00:00"/>
    <x v="258"/>
    <x v="12"/>
    <x v="0"/>
    <x v="0"/>
    <n v="198.27"/>
    <n v="8"/>
    <n v="61.96"/>
    <x v="11"/>
    <x v="1"/>
  </r>
  <r>
    <d v="2022-12-06T00:00:00"/>
    <x v="258"/>
    <x v="12"/>
    <x v="0"/>
    <x v="2"/>
    <n v="247.1"/>
    <n v="6"/>
    <n v="-58.69"/>
    <x v="11"/>
    <x v="1"/>
  </r>
  <r>
    <d v="2022-12-06T00:00:00"/>
    <x v="258"/>
    <x v="12"/>
    <x v="0"/>
    <x v="4"/>
    <n v="86.3"/>
    <n v="6"/>
    <n v="9.7100000000000009"/>
    <x v="11"/>
    <x v="1"/>
  </r>
  <r>
    <d v="2022-12-06T00:00:00"/>
    <x v="380"/>
    <x v="10"/>
    <x v="2"/>
    <x v="6"/>
    <n v="485.94"/>
    <n v="2"/>
    <n v="-89.09"/>
    <x v="11"/>
    <x v="1"/>
  </r>
  <r>
    <d v="2022-12-06T00:00:00"/>
    <x v="380"/>
    <x v="10"/>
    <x v="0"/>
    <x v="4"/>
    <n v="37.380000000000003"/>
    <n v="8"/>
    <n v="4.67"/>
    <x v="11"/>
    <x v="1"/>
  </r>
  <r>
    <d v="2022-12-06T00:00:00"/>
    <x v="380"/>
    <x v="10"/>
    <x v="1"/>
    <x v="5"/>
    <n v="70.69"/>
    <n v="1"/>
    <n v="-24.24"/>
    <x v="11"/>
    <x v="1"/>
  </r>
  <r>
    <d v="2022-12-06T00:00:00"/>
    <x v="307"/>
    <x v="3"/>
    <x v="0"/>
    <x v="0"/>
    <n v="32.75"/>
    <n v="5"/>
    <n v="15.07"/>
    <x v="11"/>
    <x v="1"/>
  </r>
  <r>
    <d v="2022-12-06T00:00:00"/>
    <x v="25"/>
    <x v="20"/>
    <x v="0"/>
    <x v="0"/>
    <n v="6.48"/>
    <n v="1"/>
    <n v="3.11"/>
    <x v="11"/>
    <x v="1"/>
  </r>
  <r>
    <d v="2022-12-06T00:00:00"/>
    <x v="25"/>
    <x v="20"/>
    <x v="0"/>
    <x v="0"/>
    <n v="41.86"/>
    <n v="7"/>
    <n v="20.51"/>
    <x v="11"/>
    <x v="1"/>
  </r>
  <r>
    <d v="2022-12-06T00:00:00"/>
    <x v="25"/>
    <x v="20"/>
    <x v="2"/>
    <x v="9"/>
    <n v="1619.91"/>
    <n v="9"/>
    <n v="97.19"/>
    <x v="11"/>
    <x v="1"/>
  </r>
  <r>
    <d v="2022-12-06T00:00:00"/>
    <x v="25"/>
    <x v="20"/>
    <x v="1"/>
    <x v="8"/>
    <n v="113.92"/>
    <n v="4"/>
    <n v="42.15"/>
    <x v="11"/>
    <x v="1"/>
  </r>
  <r>
    <d v="2022-12-06T00:00:00"/>
    <x v="70"/>
    <x v="18"/>
    <x v="2"/>
    <x v="16"/>
    <n v="999.98"/>
    <n v="2"/>
    <n v="449.99"/>
    <x v="11"/>
    <x v="1"/>
  </r>
  <r>
    <d v="2022-12-06T00:00:00"/>
    <x v="325"/>
    <x v="17"/>
    <x v="0"/>
    <x v="0"/>
    <n v="6.48"/>
    <n v="1"/>
    <n v="3.11"/>
    <x v="11"/>
    <x v="1"/>
  </r>
  <r>
    <d v="2022-12-06T00:00:00"/>
    <x v="325"/>
    <x v="17"/>
    <x v="0"/>
    <x v="2"/>
    <n v="1325.85"/>
    <n v="5"/>
    <n v="238.65"/>
    <x v="11"/>
    <x v="1"/>
  </r>
  <r>
    <d v="2022-12-06T00:00:00"/>
    <x v="325"/>
    <x v="17"/>
    <x v="0"/>
    <x v="1"/>
    <n v="14.94"/>
    <n v="3"/>
    <n v="6.87"/>
    <x v="11"/>
    <x v="1"/>
  </r>
  <r>
    <d v="2022-12-06T00:00:00"/>
    <x v="721"/>
    <x v="3"/>
    <x v="0"/>
    <x v="12"/>
    <n v="7.78"/>
    <n v="2"/>
    <n v="2.02"/>
    <x v="11"/>
    <x v="1"/>
  </r>
  <r>
    <d v="2022-12-06T00:00:00"/>
    <x v="644"/>
    <x v="6"/>
    <x v="2"/>
    <x v="6"/>
    <n v="173.94"/>
    <n v="6"/>
    <n v="50.44"/>
    <x v="11"/>
    <x v="1"/>
  </r>
  <r>
    <d v="2022-12-06T00:00:00"/>
    <x v="109"/>
    <x v="10"/>
    <x v="0"/>
    <x v="3"/>
    <n v="14.83"/>
    <n v="3"/>
    <n v="-10.38"/>
    <x v="11"/>
    <x v="1"/>
  </r>
  <r>
    <d v="2022-12-06T00:00:00"/>
    <x v="639"/>
    <x v="3"/>
    <x v="0"/>
    <x v="0"/>
    <n v="8.9600000000000009"/>
    <n v="2"/>
    <n v="4.3899999999999997"/>
    <x v="11"/>
    <x v="1"/>
  </r>
  <r>
    <d v="2022-12-07T00:00:00"/>
    <x v="536"/>
    <x v="5"/>
    <x v="0"/>
    <x v="12"/>
    <n v="152.94"/>
    <n v="3"/>
    <n v="41.29"/>
    <x v="11"/>
    <x v="1"/>
  </r>
  <r>
    <d v="2022-12-07T00:00:00"/>
    <x v="536"/>
    <x v="5"/>
    <x v="1"/>
    <x v="5"/>
    <n v="283.92"/>
    <n v="4"/>
    <n v="70.98"/>
    <x v="11"/>
    <x v="1"/>
  </r>
  <r>
    <d v="2022-12-07T00:00:00"/>
    <x v="467"/>
    <x v="22"/>
    <x v="0"/>
    <x v="7"/>
    <n v="3.96"/>
    <n v="2"/>
    <n v="0"/>
    <x v="11"/>
    <x v="1"/>
  </r>
  <r>
    <d v="2022-12-07T00:00:00"/>
    <x v="467"/>
    <x v="22"/>
    <x v="0"/>
    <x v="1"/>
    <n v="2.61"/>
    <n v="1"/>
    <n v="1.2"/>
    <x v="11"/>
    <x v="1"/>
  </r>
  <r>
    <d v="2022-12-07T00:00:00"/>
    <x v="7"/>
    <x v="3"/>
    <x v="1"/>
    <x v="8"/>
    <n v="79.92"/>
    <n v="4"/>
    <n v="28.77"/>
    <x v="11"/>
    <x v="1"/>
  </r>
  <r>
    <d v="2022-12-07T00:00:00"/>
    <x v="545"/>
    <x v="20"/>
    <x v="0"/>
    <x v="3"/>
    <n v="21.36"/>
    <n v="5"/>
    <n v="7.21"/>
    <x v="11"/>
    <x v="1"/>
  </r>
  <r>
    <d v="2022-12-07T00:00:00"/>
    <x v="545"/>
    <x v="20"/>
    <x v="0"/>
    <x v="3"/>
    <n v="6.69"/>
    <n v="2"/>
    <n v="2.34"/>
    <x v="11"/>
    <x v="1"/>
  </r>
  <r>
    <d v="2022-12-07T00:00:00"/>
    <x v="545"/>
    <x v="20"/>
    <x v="2"/>
    <x v="6"/>
    <n v="773.94"/>
    <n v="6"/>
    <n v="224.44"/>
    <x v="11"/>
    <x v="1"/>
  </r>
  <r>
    <d v="2022-12-07T00:00:00"/>
    <x v="94"/>
    <x v="3"/>
    <x v="0"/>
    <x v="0"/>
    <n v="12.96"/>
    <n v="2"/>
    <n v="6.22"/>
    <x v="11"/>
    <x v="1"/>
  </r>
  <r>
    <d v="2022-12-08T00:00:00"/>
    <x v="722"/>
    <x v="0"/>
    <x v="0"/>
    <x v="0"/>
    <n v="360.71"/>
    <n v="11"/>
    <n v="130.76"/>
    <x v="11"/>
    <x v="1"/>
  </r>
  <r>
    <d v="2022-12-08T00:00:00"/>
    <x v="722"/>
    <x v="0"/>
    <x v="2"/>
    <x v="6"/>
    <n v="1718.4"/>
    <n v="6"/>
    <n v="150.36000000000001"/>
    <x v="11"/>
    <x v="1"/>
  </r>
  <r>
    <d v="2022-12-08T00:00:00"/>
    <x v="701"/>
    <x v="0"/>
    <x v="2"/>
    <x v="6"/>
    <n v="119.96"/>
    <n v="5"/>
    <n v="12"/>
    <x v="11"/>
    <x v="1"/>
  </r>
  <r>
    <d v="2022-12-08T00:00:00"/>
    <x v="598"/>
    <x v="3"/>
    <x v="0"/>
    <x v="2"/>
    <n v="221.96"/>
    <n v="2"/>
    <n v="4.4400000000000004"/>
    <x v="11"/>
    <x v="1"/>
  </r>
  <r>
    <d v="2022-12-08T00:00:00"/>
    <x v="598"/>
    <x v="3"/>
    <x v="2"/>
    <x v="9"/>
    <n v="236"/>
    <n v="4"/>
    <n v="40.119999999999997"/>
    <x v="11"/>
    <x v="1"/>
  </r>
  <r>
    <d v="2022-12-08T00:00:00"/>
    <x v="418"/>
    <x v="26"/>
    <x v="0"/>
    <x v="0"/>
    <n v="15.7"/>
    <n v="3"/>
    <n v="5.0999999999999996"/>
    <x v="11"/>
    <x v="1"/>
  </r>
  <r>
    <d v="2022-12-09T00:00:00"/>
    <x v="590"/>
    <x v="18"/>
    <x v="0"/>
    <x v="0"/>
    <n v="34.020000000000003"/>
    <n v="3"/>
    <n v="16.670000000000002"/>
    <x v="11"/>
    <x v="1"/>
  </r>
  <r>
    <d v="2022-12-10T00:00:00"/>
    <x v="435"/>
    <x v="14"/>
    <x v="0"/>
    <x v="4"/>
    <n v="3.9"/>
    <n v="2"/>
    <n v="1.52"/>
    <x v="11"/>
    <x v="1"/>
  </r>
  <r>
    <d v="2022-12-10T00:00:00"/>
    <x v="435"/>
    <x v="14"/>
    <x v="1"/>
    <x v="13"/>
    <n v="801.96"/>
    <n v="2"/>
    <n v="200.49"/>
    <x v="11"/>
    <x v="1"/>
  </r>
  <r>
    <d v="2022-12-10T00:00:00"/>
    <x v="435"/>
    <x v="14"/>
    <x v="1"/>
    <x v="5"/>
    <n v="191.96"/>
    <n v="2"/>
    <n v="32.630000000000003"/>
    <x v="11"/>
    <x v="1"/>
  </r>
  <r>
    <d v="2022-12-10T00:00:00"/>
    <x v="435"/>
    <x v="14"/>
    <x v="0"/>
    <x v="1"/>
    <n v="2.61"/>
    <n v="1"/>
    <n v="1.2"/>
    <x v="11"/>
    <x v="1"/>
  </r>
  <r>
    <d v="2022-12-10T00:00:00"/>
    <x v="580"/>
    <x v="4"/>
    <x v="0"/>
    <x v="4"/>
    <n v="1.78"/>
    <n v="1"/>
    <n v="0.5"/>
    <x v="11"/>
    <x v="1"/>
  </r>
  <r>
    <d v="2022-12-10T00:00:00"/>
    <x v="580"/>
    <x v="4"/>
    <x v="0"/>
    <x v="0"/>
    <n v="25.92"/>
    <n v="4"/>
    <n v="12.44"/>
    <x v="11"/>
    <x v="1"/>
  </r>
  <r>
    <d v="2022-12-10T00:00:00"/>
    <x v="580"/>
    <x v="4"/>
    <x v="2"/>
    <x v="9"/>
    <n v="101.94"/>
    <n v="6"/>
    <n v="21.41"/>
    <x v="11"/>
    <x v="1"/>
  </r>
  <r>
    <d v="2022-12-10T00:00:00"/>
    <x v="338"/>
    <x v="20"/>
    <x v="0"/>
    <x v="1"/>
    <n v="7.31"/>
    <n v="1"/>
    <n v="3.44"/>
    <x v="11"/>
    <x v="1"/>
  </r>
  <r>
    <d v="2022-12-10T00:00:00"/>
    <x v="338"/>
    <x v="20"/>
    <x v="2"/>
    <x v="16"/>
    <n v="799.98"/>
    <n v="2"/>
    <n v="250"/>
    <x v="11"/>
    <x v="1"/>
  </r>
  <r>
    <d v="2022-12-10T00:00:00"/>
    <x v="338"/>
    <x v="20"/>
    <x v="0"/>
    <x v="0"/>
    <n v="41.28"/>
    <n v="6"/>
    <n v="18.989999999999998"/>
    <x v="11"/>
    <x v="1"/>
  </r>
  <r>
    <d v="2022-12-10T00:00:00"/>
    <x v="338"/>
    <x v="20"/>
    <x v="0"/>
    <x v="0"/>
    <n v="184.66"/>
    <n v="7"/>
    <n v="84.94"/>
    <x v="11"/>
    <x v="1"/>
  </r>
  <r>
    <d v="2022-12-10T00:00:00"/>
    <x v="666"/>
    <x v="36"/>
    <x v="0"/>
    <x v="4"/>
    <n v="27.36"/>
    <n v="9"/>
    <n v="9.3000000000000007"/>
    <x v="11"/>
    <x v="1"/>
  </r>
  <r>
    <d v="2022-12-10T00:00:00"/>
    <x v="666"/>
    <x v="36"/>
    <x v="0"/>
    <x v="0"/>
    <n v="44.75"/>
    <n v="5"/>
    <n v="20.59"/>
    <x v="11"/>
    <x v="1"/>
  </r>
  <r>
    <d v="2022-12-10T00:00:00"/>
    <x v="666"/>
    <x v="36"/>
    <x v="2"/>
    <x v="6"/>
    <n v="134.99"/>
    <n v="1"/>
    <n v="36.450000000000003"/>
    <x v="11"/>
    <x v="1"/>
  </r>
  <r>
    <d v="2022-12-10T00:00:00"/>
    <x v="666"/>
    <x v="36"/>
    <x v="0"/>
    <x v="0"/>
    <n v="26.4"/>
    <n v="5"/>
    <n v="12.67"/>
    <x v="11"/>
    <x v="1"/>
  </r>
  <r>
    <d v="2022-12-10T00:00:00"/>
    <x v="666"/>
    <x v="36"/>
    <x v="1"/>
    <x v="5"/>
    <n v="542.94000000000005"/>
    <n v="3"/>
    <n v="141.16"/>
    <x v="11"/>
    <x v="1"/>
  </r>
  <r>
    <d v="2022-12-10T00:00:00"/>
    <x v="658"/>
    <x v="3"/>
    <x v="0"/>
    <x v="4"/>
    <n v="56.3"/>
    <n v="2"/>
    <n v="15.76"/>
    <x v="11"/>
    <x v="1"/>
  </r>
  <r>
    <d v="2022-12-10T00:00:00"/>
    <x v="621"/>
    <x v="1"/>
    <x v="0"/>
    <x v="12"/>
    <n v="53.09"/>
    <n v="7"/>
    <n v="-108.83"/>
    <x v="11"/>
    <x v="1"/>
  </r>
  <r>
    <d v="2022-12-10T00:00:00"/>
    <x v="711"/>
    <x v="3"/>
    <x v="0"/>
    <x v="1"/>
    <n v="5.76"/>
    <n v="2"/>
    <n v="2.82"/>
    <x v="11"/>
    <x v="1"/>
  </r>
  <r>
    <d v="2022-12-10T00:00:00"/>
    <x v="371"/>
    <x v="10"/>
    <x v="2"/>
    <x v="9"/>
    <n v="25.49"/>
    <n v="2"/>
    <n v="4.46"/>
    <x v="11"/>
    <x v="1"/>
  </r>
  <r>
    <d v="2022-12-11T00:00:00"/>
    <x v="661"/>
    <x v="6"/>
    <x v="0"/>
    <x v="1"/>
    <n v="196.62"/>
    <n v="2"/>
    <n v="96.34"/>
    <x v="11"/>
    <x v="1"/>
  </r>
  <r>
    <d v="2022-12-11T00:00:00"/>
    <x v="723"/>
    <x v="0"/>
    <x v="2"/>
    <x v="9"/>
    <n v="159.97999999999999"/>
    <n v="2"/>
    <n v="36"/>
    <x v="11"/>
    <x v="1"/>
  </r>
  <r>
    <d v="2022-12-11T00:00:00"/>
    <x v="723"/>
    <x v="0"/>
    <x v="0"/>
    <x v="2"/>
    <n v="46.34"/>
    <n v="3"/>
    <n v="4.63"/>
    <x v="11"/>
    <x v="1"/>
  </r>
  <r>
    <d v="2022-12-11T00:00:00"/>
    <x v="258"/>
    <x v="16"/>
    <x v="0"/>
    <x v="3"/>
    <n v="12.83"/>
    <n v="2"/>
    <n v="-8.98"/>
    <x v="11"/>
    <x v="1"/>
  </r>
  <r>
    <d v="2022-12-11T00:00:00"/>
    <x v="576"/>
    <x v="26"/>
    <x v="0"/>
    <x v="4"/>
    <n v="13.12"/>
    <n v="5"/>
    <n v="1.1499999999999999"/>
    <x v="11"/>
    <x v="1"/>
  </r>
  <r>
    <d v="2022-12-11T00:00:00"/>
    <x v="576"/>
    <x v="26"/>
    <x v="1"/>
    <x v="11"/>
    <n v="69.58"/>
    <n v="4"/>
    <n v="-143.79"/>
    <x v="11"/>
    <x v="1"/>
  </r>
  <r>
    <d v="2022-12-11T00:00:00"/>
    <x v="576"/>
    <x v="26"/>
    <x v="0"/>
    <x v="4"/>
    <n v="4.22"/>
    <n v="3"/>
    <n v="0.48"/>
    <x v="11"/>
    <x v="1"/>
  </r>
  <r>
    <d v="2022-12-11T00:00:00"/>
    <x v="576"/>
    <x v="26"/>
    <x v="2"/>
    <x v="9"/>
    <n v="58.08"/>
    <n v="4"/>
    <n v="-6.53"/>
    <x v="11"/>
    <x v="1"/>
  </r>
  <r>
    <d v="2022-12-11T00:00:00"/>
    <x v="576"/>
    <x v="26"/>
    <x v="1"/>
    <x v="8"/>
    <n v="52.42"/>
    <n v="9"/>
    <n v="15.07"/>
    <x v="11"/>
    <x v="1"/>
  </r>
  <r>
    <d v="2022-12-11T00:00:00"/>
    <x v="576"/>
    <x v="26"/>
    <x v="1"/>
    <x v="8"/>
    <n v="54.92"/>
    <n v="5"/>
    <n v="10.98"/>
    <x v="11"/>
    <x v="1"/>
  </r>
  <r>
    <d v="2022-12-11T00:00:00"/>
    <x v="576"/>
    <x v="26"/>
    <x v="1"/>
    <x v="13"/>
    <n v="364.95"/>
    <n v="5"/>
    <n v="-248.17"/>
    <x v="11"/>
    <x v="1"/>
  </r>
  <r>
    <d v="2022-12-11T00:00:00"/>
    <x v="576"/>
    <x v="26"/>
    <x v="0"/>
    <x v="0"/>
    <n v="85.06"/>
    <n v="3"/>
    <n v="28.71"/>
    <x v="11"/>
    <x v="1"/>
  </r>
  <r>
    <d v="2022-12-11T00:00:00"/>
    <x v="576"/>
    <x v="26"/>
    <x v="0"/>
    <x v="0"/>
    <n v="27.7"/>
    <n v="3"/>
    <n v="9.69"/>
    <x v="11"/>
    <x v="1"/>
  </r>
  <r>
    <d v="2022-12-11T00:00:00"/>
    <x v="164"/>
    <x v="10"/>
    <x v="0"/>
    <x v="3"/>
    <n v="10.33"/>
    <n v="3"/>
    <n v="-7.58"/>
    <x v="11"/>
    <x v="1"/>
  </r>
  <r>
    <d v="2022-12-11T00:00:00"/>
    <x v="412"/>
    <x v="3"/>
    <x v="0"/>
    <x v="3"/>
    <n v="110.53"/>
    <n v="4"/>
    <n v="38.68"/>
    <x v="11"/>
    <x v="1"/>
  </r>
  <r>
    <d v="2022-12-11T00:00:00"/>
    <x v="273"/>
    <x v="14"/>
    <x v="2"/>
    <x v="9"/>
    <n v="175.23"/>
    <n v="11"/>
    <n v="61.33"/>
    <x v="11"/>
    <x v="1"/>
  </r>
  <r>
    <d v="2022-12-11T00:00:00"/>
    <x v="273"/>
    <x v="14"/>
    <x v="2"/>
    <x v="6"/>
    <n v="125.99"/>
    <n v="1"/>
    <n v="31.5"/>
    <x v="11"/>
    <x v="1"/>
  </r>
  <r>
    <d v="2022-12-11T00:00:00"/>
    <x v="273"/>
    <x v="14"/>
    <x v="0"/>
    <x v="3"/>
    <n v="23"/>
    <n v="2"/>
    <n v="10.35"/>
    <x v="11"/>
    <x v="1"/>
  </r>
  <r>
    <d v="2022-12-12T00:00:00"/>
    <x v="235"/>
    <x v="3"/>
    <x v="1"/>
    <x v="5"/>
    <n v="348.93"/>
    <n v="2"/>
    <n v="34.89"/>
    <x v="11"/>
    <x v="1"/>
  </r>
  <r>
    <d v="2022-12-12T00:00:00"/>
    <x v="380"/>
    <x v="3"/>
    <x v="0"/>
    <x v="7"/>
    <n v="7.86"/>
    <n v="2"/>
    <n v="3.62"/>
    <x v="11"/>
    <x v="1"/>
  </r>
  <r>
    <d v="2022-12-12T00:00:00"/>
    <x v="380"/>
    <x v="3"/>
    <x v="0"/>
    <x v="3"/>
    <n v="24.45"/>
    <n v="2"/>
    <n v="8.86"/>
    <x v="11"/>
    <x v="1"/>
  </r>
  <r>
    <d v="2022-12-12T00:00:00"/>
    <x v="699"/>
    <x v="36"/>
    <x v="0"/>
    <x v="4"/>
    <n v="8.2200000000000006"/>
    <n v="3"/>
    <n v="2.2200000000000002"/>
    <x v="11"/>
    <x v="1"/>
  </r>
  <r>
    <d v="2022-12-12T00:00:00"/>
    <x v="557"/>
    <x v="0"/>
    <x v="2"/>
    <x v="9"/>
    <n v="22.37"/>
    <n v="4"/>
    <n v="6.43"/>
    <x v="11"/>
    <x v="1"/>
  </r>
  <r>
    <d v="2022-12-12T00:00:00"/>
    <x v="21"/>
    <x v="3"/>
    <x v="0"/>
    <x v="4"/>
    <n v="2.21"/>
    <n v="1"/>
    <n v="0.6"/>
    <x v="11"/>
    <x v="1"/>
  </r>
  <r>
    <d v="2022-12-12T00:00:00"/>
    <x v="21"/>
    <x v="3"/>
    <x v="0"/>
    <x v="10"/>
    <n v="15.52"/>
    <n v="4"/>
    <n v="7.45"/>
    <x v="11"/>
    <x v="1"/>
  </r>
  <r>
    <d v="2022-12-12T00:00:00"/>
    <x v="21"/>
    <x v="3"/>
    <x v="0"/>
    <x v="0"/>
    <n v="36.44"/>
    <n v="4"/>
    <n v="16.399999999999999"/>
    <x v="11"/>
    <x v="1"/>
  </r>
  <r>
    <d v="2022-12-12T00:00:00"/>
    <x v="276"/>
    <x v="3"/>
    <x v="1"/>
    <x v="8"/>
    <n v="166.5"/>
    <n v="3"/>
    <n v="21.65"/>
    <x v="11"/>
    <x v="1"/>
  </r>
  <r>
    <d v="2022-12-12T00:00:00"/>
    <x v="276"/>
    <x v="3"/>
    <x v="0"/>
    <x v="2"/>
    <n v="360.38"/>
    <n v="2"/>
    <n v="93.7"/>
    <x v="11"/>
    <x v="1"/>
  </r>
  <r>
    <d v="2022-12-12T00:00:00"/>
    <x v="104"/>
    <x v="17"/>
    <x v="0"/>
    <x v="0"/>
    <n v="32.4"/>
    <n v="5"/>
    <n v="15.88"/>
    <x v="11"/>
    <x v="1"/>
  </r>
  <r>
    <d v="2022-12-12T00:00:00"/>
    <x v="104"/>
    <x v="17"/>
    <x v="0"/>
    <x v="0"/>
    <n v="97.88"/>
    <n v="2"/>
    <n v="48.94"/>
    <x v="11"/>
    <x v="1"/>
  </r>
  <r>
    <d v="2022-12-12T00:00:00"/>
    <x v="502"/>
    <x v="3"/>
    <x v="2"/>
    <x v="9"/>
    <n v="299.94"/>
    <n v="6"/>
    <n v="128.97"/>
    <x v="11"/>
    <x v="1"/>
  </r>
  <r>
    <d v="2022-12-12T00:00:00"/>
    <x v="502"/>
    <x v="3"/>
    <x v="0"/>
    <x v="14"/>
    <n v="25.76"/>
    <n v="7"/>
    <n v="0.52"/>
    <x v="11"/>
    <x v="1"/>
  </r>
  <r>
    <d v="2022-12-13T00:00:00"/>
    <x v="468"/>
    <x v="3"/>
    <x v="0"/>
    <x v="0"/>
    <n v="12.96"/>
    <n v="2"/>
    <n v="6.22"/>
    <x v="11"/>
    <x v="1"/>
  </r>
  <r>
    <d v="2022-12-13T00:00:00"/>
    <x v="468"/>
    <x v="3"/>
    <x v="0"/>
    <x v="12"/>
    <n v="134.47999999999999"/>
    <n v="4"/>
    <n v="34.96"/>
    <x v="11"/>
    <x v="1"/>
  </r>
  <r>
    <d v="2022-12-13T00:00:00"/>
    <x v="550"/>
    <x v="3"/>
    <x v="0"/>
    <x v="1"/>
    <n v="9.9600000000000009"/>
    <n v="2"/>
    <n v="4.58"/>
    <x v="11"/>
    <x v="1"/>
  </r>
  <r>
    <d v="2022-12-13T00:00:00"/>
    <x v="122"/>
    <x v="3"/>
    <x v="2"/>
    <x v="6"/>
    <n v="494.38"/>
    <n v="3"/>
    <n v="49.44"/>
    <x v="11"/>
    <x v="1"/>
  </r>
  <r>
    <d v="2022-12-13T00:00:00"/>
    <x v="122"/>
    <x v="3"/>
    <x v="0"/>
    <x v="3"/>
    <n v="29.2"/>
    <n v="5"/>
    <n v="9.86"/>
    <x v="11"/>
    <x v="1"/>
  </r>
  <r>
    <d v="2022-12-13T00:00:00"/>
    <x v="122"/>
    <x v="3"/>
    <x v="2"/>
    <x v="9"/>
    <n v="248.85"/>
    <n v="5"/>
    <n v="27.37"/>
    <x v="11"/>
    <x v="1"/>
  </r>
  <r>
    <d v="2022-12-13T00:00:00"/>
    <x v="122"/>
    <x v="3"/>
    <x v="2"/>
    <x v="9"/>
    <n v="36.24"/>
    <n v="1"/>
    <n v="15.22"/>
    <x v="11"/>
    <x v="1"/>
  </r>
  <r>
    <d v="2022-12-13T00:00:00"/>
    <x v="222"/>
    <x v="32"/>
    <x v="0"/>
    <x v="0"/>
    <n v="19.440000000000001"/>
    <n v="3"/>
    <n v="9.33"/>
    <x v="11"/>
    <x v="1"/>
  </r>
  <r>
    <d v="2022-12-13T00:00:00"/>
    <x v="222"/>
    <x v="32"/>
    <x v="0"/>
    <x v="3"/>
    <n v="37.880000000000003"/>
    <n v="2"/>
    <n v="18.940000000000001"/>
    <x v="11"/>
    <x v="1"/>
  </r>
  <r>
    <d v="2022-12-14T00:00:00"/>
    <x v="22"/>
    <x v="4"/>
    <x v="0"/>
    <x v="3"/>
    <n v="3.76"/>
    <n v="2"/>
    <n v="1.8"/>
    <x v="11"/>
    <x v="1"/>
  </r>
  <r>
    <d v="2022-12-14T00:00:00"/>
    <x v="724"/>
    <x v="11"/>
    <x v="2"/>
    <x v="6"/>
    <n v="319.97000000000003"/>
    <n v="4"/>
    <n v="36"/>
    <x v="11"/>
    <x v="1"/>
  </r>
  <r>
    <d v="2022-12-14T00:00:00"/>
    <x v="247"/>
    <x v="3"/>
    <x v="0"/>
    <x v="3"/>
    <n v="8.1"/>
    <n v="2"/>
    <n v="2.73"/>
    <x v="11"/>
    <x v="1"/>
  </r>
  <r>
    <d v="2022-12-14T00:00:00"/>
    <x v="435"/>
    <x v="29"/>
    <x v="1"/>
    <x v="8"/>
    <n v="6.16"/>
    <n v="2"/>
    <n v="1.97"/>
    <x v="11"/>
    <x v="1"/>
  </r>
  <r>
    <d v="2022-12-14T00:00:00"/>
    <x v="435"/>
    <x v="29"/>
    <x v="0"/>
    <x v="4"/>
    <n v="56.3"/>
    <n v="2"/>
    <n v="15.76"/>
    <x v="11"/>
    <x v="1"/>
  </r>
  <r>
    <d v="2022-12-14T00:00:00"/>
    <x v="367"/>
    <x v="3"/>
    <x v="1"/>
    <x v="8"/>
    <n v="15.24"/>
    <n v="3"/>
    <n v="5.18"/>
    <x v="11"/>
    <x v="1"/>
  </r>
  <r>
    <d v="2022-12-14T00:00:00"/>
    <x v="281"/>
    <x v="3"/>
    <x v="1"/>
    <x v="8"/>
    <n v="29.22"/>
    <n v="3"/>
    <n v="12.86"/>
    <x v="11"/>
    <x v="1"/>
  </r>
  <r>
    <d v="2022-12-14T00:00:00"/>
    <x v="63"/>
    <x v="3"/>
    <x v="2"/>
    <x v="9"/>
    <n v="50"/>
    <n v="2"/>
    <n v="10.5"/>
    <x v="11"/>
    <x v="1"/>
  </r>
  <r>
    <d v="2022-12-14T00:00:00"/>
    <x v="504"/>
    <x v="3"/>
    <x v="0"/>
    <x v="3"/>
    <n v="55.26"/>
    <n v="2"/>
    <n v="20.72"/>
    <x v="11"/>
    <x v="1"/>
  </r>
  <r>
    <d v="2022-12-14T00:00:00"/>
    <x v="504"/>
    <x v="3"/>
    <x v="0"/>
    <x v="0"/>
    <n v="6.48"/>
    <n v="1"/>
    <n v="3.11"/>
    <x v="11"/>
    <x v="1"/>
  </r>
  <r>
    <d v="2022-12-14T00:00:00"/>
    <x v="504"/>
    <x v="3"/>
    <x v="0"/>
    <x v="3"/>
    <n v="34.25"/>
    <n v="3"/>
    <n v="11.56"/>
    <x v="11"/>
    <x v="1"/>
  </r>
  <r>
    <d v="2022-12-14T00:00:00"/>
    <x v="504"/>
    <x v="3"/>
    <x v="1"/>
    <x v="13"/>
    <n v="273.57"/>
    <n v="2"/>
    <n v="10.26"/>
    <x v="11"/>
    <x v="1"/>
  </r>
  <r>
    <d v="2022-12-15T00:00:00"/>
    <x v="412"/>
    <x v="20"/>
    <x v="0"/>
    <x v="4"/>
    <n v="3.28"/>
    <n v="1"/>
    <n v="1.41"/>
    <x v="11"/>
    <x v="1"/>
  </r>
  <r>
    <d v="2022-12-15T00:00:00"/>
    <x v="343"/>
    <x v="22"/>
    <x v="0"/>
    <x v="12"/>
    <n v="103.92"/>
    <n v="4"/>
    <n v="36.369999999999997"/>
    <x v="11"/>
    <x v="1"/>
  </r>
  <r>
    <d v="2022-12-15T00:00:00"/>
    <x v="343"/>
    <x v="22"/>
    <x v="2"/>
    <x v="9"/>
    <n v="899.91"/>
    <n v="9"/>
    <n v="377.96"/>
    <x v="11"/>
    <x v="1"/>
  </r>
  <r>
    <d v="2022-12-15T00:00:00"/>
    <x v="343"/>
    <x v="22"/>
    <x v="0"/>
    <x v="3"/>
    <n v="51.31"/>
    <n v="3"/>
    <n v="18.600000000000001"/>
    <x v="11"/>
    <x v="1"/>
  </r>
  <r>
    <d v="2022-12-15T00:00:00"/>
    <x v="40"/>
    <x v="10"/>
    <x v="2"/>
    <x v="9"/>
    <n v="2025.36"/>
    <n v="6"/>
    <n v="607.61"/>
    <x v="11"/>
    <x v="1"/>
  </r>
  <r>
    <d v="2022-12-15T00:00:00"/>
    <x v="40"/>
    <x v="10"/>
    <x v="2"/>
    <x v="15"/>
    <n v="1799.99"/>
    <n v="2"/>
    <n v="-2639.99"/>
    <x v="11"/>
    <x v="1"/>
  </r>
  <r>
    <d v="2022-12-15T00:00:00"/>
    <x v="40"/>
    <x v="10"/>
    <x v="2"/>
    <x v="6"/>
    <n v="101.99"/>
    <n v="2"/>
    <n v="-17"/>
    <x v="11"/>
    <x v="1"/>
  </r>
  <r>
    <d v="2022-12-15T00:00:00"/>
    <x v="40"/>
    <x v="10"/>
    <x v="1"/>
    <x v="8"/>
    <n v="262.86"/>
    <n v="7"/>
    <n v="69"/>
    <x v="11"/>
    <x v="1"/>
  </r>
  <r>
    <d v="2022-12-15T00:00:00"/>
    <x v="390"/>
    <x v="25"/>
    <x v="2"/>
    <x v="6"/>
    <n v="246.17"/>
    <n v="3"/>
    <n v="21.54"/>
    <x v="11"/>
    <x v="1"/>
  </r>
  <r>
    <d v="2022-12-16T00:00:00"/>
    <x v="707"/>
    <x v="22"/>
    <x v="0"/>
    <x v="0"/>
    <n v="4.9800000000000004"/>
    <n v="1"/>
    <n v="2.34"/>
    <x v="11"/>
    <x v="1"/>
  </r>
  <r>
    <d v="2022-12-17T00:00:00"/>
    <x v="154"/>
    <x v="14"/>
    <x v="0"/>
    <x v="3"/>
    <n v="29.52"/>
    <n v="4"/>
    <n v="14.46"/>
    <x v="11"/>
    <x v="1"/>
  </r>
  <r>
    <d v="2022-12-17T00:00:00"/>
    <x v="154"/>
    <x v="14"/>
    <x v="1"/>
    <x v="5"/>
    <n v="302.94"/>
    <n v="3"/>
    <n v="48.47"/>
    <x v="11"/>
    <x v="1"/>
  </r>
  <r>
    <d v="2022-12-17T00:00:00"/>
    <x v="154"/>
    <x v="14"/>
    <x v="1"/>
    <x v="5"/>
    <n v="142.36000000000001"/>
    <n v="2"/>
    <n v="38.44"/>
    <x v="11"/>
    <x v="1"/>
  </r>
  <r>
    <d v="2022-12-17T00:00:00"/>
    <x v="154"/>
    <x v="14"/>
    <x v="1"/>
    <x v="5"/>
    <n v="546.66"/>
    <n v="9"/>
    <n v="136.66999999999999"/>
    <x v="11"/>
    <x v="1"/>
  </r>
  <r>
    <d v="2022-12-17T00:00:00"/>
    <x v="154"/>
    <x v="14"/>
    <x v="1"/>
    <x v="8"/>
    <n v="212.13"/>
    <n v="3"/>
    <n v="14.85"/>
    <x v="11"/>
    <x v="1"/>
  </r>
  <r>
    <d v="2022-12-17T00:00:00"/>
    <x v="260"/>
    <x v="1"/>
    <x v="0"/>
    <x v="2"/>
    <n v="180.02"/>
    <n v="1"/>
    <n v="-15.75"/>
    <x v="11"/>
    <x v="1"/>
  </r>
  <r>
    <d v="2022-12-17T00:00:00"/>
    <x v="260"/>
    <x v="1"/>
    <x v="1"/>
    <x v="8"/>
    <n v="41.55"/>
    <n v="2"/>
    <n v="-19.739999999999998"/>
    <x v="11"/>
    <x v="1"/>
  </r>
  <r>
    <d v="2022-12-17T00:00:00"/>
    <x v="260"/>
    <x v="1"/>
    <x v="0"/>
    <x v="4"/>
    <n v="13.12"/>
    <n v="5"/>
    <n v="1.48"/>
    <x v="11"/>
    <x v="1"/>
  </r>
  <r>
    <d v="2022-12-17T00:00:00"/>
    <x v="194"/>
    <x v="3"/>
    <x v="0"/>
    <x v="4"/>
    <n v="204.85"/>
    <n v="5"/>
    <n v="53.26"/>
    <x v="11"/>
    <x v="1"/>
  </r>
  <r>
    <d v="2022-12-17T00:00:00"/>
    <x v="194"/>
    <x v="3"/>
    <x v="2"/>
    <x v="6"/>
    <n v="135.97999999999999"/>
    <n v="2"/>
    <n v="17"/>
    <x v="11"/>
    <x v="1"/>
  </r>
  <r>
    <d v="2022-12-17T00:00:00"/>
    <x v="194"/>
    <x v="3"/>
    <x v="0"/>
    <x v="4"/>
    <n v="16.399999999999999"/>
    <n v="5"/>
    <n v="7.05"/>
    <x v="11"/>
    <x v="1"/>
  </r>
  <r>
    <d v="2022-12-17T00:00:00"/>
    <x v="194"/>
    <x v="3"/>
    <x v="0"/>
    <x v="3"/>
    <n v="92.96"/>
    <n v="2"/>
    <n v="31.37"/>
    <x v="11"/>
    <x v="1"/>
  </r>
  <r>
    <d v="2022-12-18T00:00:00"/>
    <x v="272"/>
    <x v="10"/>
    <x v="0"/>
    <x v="2"/>
    <n v="646.78"/>
    <n v="9"/>
    <n v="-145.52000000000001"/>
    <x v="11"/>
    <x v="1"/>
  </r>
  <r>
    <d v="2022-12-18T00:00:00"/>
    <x v="363"/>
    <x v="20"/>
    <x v="2"/>
    <x v="9"/>
    <n v="166.24"/>
    <n v="1"/>
    <n v="24.94"/>
    <x v="11"/>
    <x v="1"/>
  </r>
  <r>
    <d v="2022-12-18T00:00:00"/>
    <x v="521"/>
    <x v="26"/>
    <x v="0"/>
    <x v="4"/>
    <n v="6.85"/>
    <n v="2"/>
    <n v="0.6"/>
    <x v="11"/>
    <x v="1"/>
  </r>
  <r>
    <d v="2022-12-18T00:00:00"/>
    <x v="357"/>
    <x v="15"/>
    <x v="0"/>
    <x v="10"/>
    <n v="55.94"/>
    <n v="8"/>
    <n v="18.88"/>
    <x v="11"/>
    <x v="1"/>
  </r>
  <r>
    <d v="2022-12-18T00:00:00"/>
    <x v="357"/>
    <x v="15"/>
    <x v="0"/>
    <x v="1"/>
    <n v="18.43"/>
    <n v="8"/>
    <n v="5.99"/>
    <x v="11"/>
    <x v="1"/>
  </r>
  <r>
    <d v="2022-12-18T00:00:00"/>
    <x v="357"/>
    <x v="15"/>
    <x v="1"/>
    <x v="8"/>
    <n v="20.32"/>
    <n v="5"/>
    <n v="3.56"/>
    <x v="11"/>
    <x v="1"/>
  </r>
  <r>
    <d v="2022-12-18T00:00:00"/>
    <x v="412"/>
    <x v="10"/>
    <x v="0"/>
    <x v="0"/>
    <n v="20.74"/>
    <n v="4"/>
    <n v="7.26"/>
    <x v="11"/>
    <x v="1"/>
  </r>
  <r>
    <d v="2022-12-19T00:00:00"/>
    <x v="229"/>
    <x v="3"/>
    <x v="2"/>
    <x v="6"/>
    <n v="675.96"/>
    <n v="5"/>
    <n v="84.5"/>
    <x v="11"/>
    <x v="1"/>
  </r>
  <r>
    <d v="2022-12-19T00:00:00"/>
    <x v="229"/>
    <x v="3"/>
    <x v="2"/>
    <x v="9"/>
    <n v="1265.8499999999999"/>
    <n v="3"/>
    <n v="556.97"/>
    <x v="11"/>
    <x v="1"/>
  </r>
  <r>
    <d v="2022-12-19T00:00:00"/>
    <x v="144"/>
    <x v="2"/>
    <x v="0"/>
    <x v="12"/>
    <n v="434.35"/>
    <n v="3"/>
    <n v="43.44"/>
    <x v="11"/>
    <x v="1"/>
  </r>
  <r>
    <d v="2022-12-19T00:00:00"/>
    <x v="144"/>
    <x v="2"/>
    <x v="0"/>
    <x v="12"/>
    <n v="3.55"/>
    <n v="2"/>
    <n v="0.44"/>
    <x v="11"/>
    <x v="1"/>
  </r>
  <r>
    <d v="2022-12-19T00:00:00"/>
    <x v="144"/>
    <x v="2"/>
    <x v="0"/>
    <x v="12"/>
    <n v="88.83"/>
    <n v="4"/>
    <n v="7.77"/>
    <x v="11"/>
    <x v="1"/>
  </r>
  <r>
    <d v="2022-12-19T00:00:00"/>
    <x v="436"/>
    <x v="40"/>
    <x v="0"/>
    <x v="3"/>
    <n v="7.04"/>
    <n v="2"/>
    <n v="3.31"/>
    <x v="11"/>
    <x v="1"/>
  </r>
  <r>
    <d v="2022-12-19T00:00:00"/>
    <x v="436"/>
    <x v="40"/>
    <x v="0"/>
    <x v="7"/>
    <n v="5.04"/>
    <n v="4"/>
    <n v="0.2"/>
    <x v="11"/>
    <x v="1"/>
  </r>
  <r>
    <d v="2022-12-19T00:00:00"/>
    <x v="436"/>
    <x v="40"/>
    <x v="0"/>
    <x v="0"/>
    <n v="116.28"/>
    <n v="3"/>
    <n v="56.98"/>
    <x v="11"/>
    <x v="1"/>
  </r>
  <r>
    <d v="2022-12-19T00:00:00"/>
    <x v="378"/>
    <x v="1"/>
    <x v="2"/>
    <x v="6"/>
    <n v="158.38"/>
    <n v="3"/>
    <n v="13.86"/>
    <x v="11"/>
    <x v="1"/>
  </r>
  <r>
    <d v="2022-12-19T00:00:00"/>
    <x v="725"/>
    <x v="38"/>
    <x v="0"/>
    <x v="0"/>
    <n v="29.9"/>
    <n v="5"/>
    <n v="14.65"/>
    <x v="11"/>
    <x v="1"/>
  </r>
  <r>
    <d v="2022-12-19T00:00:00"/>
    <x v="725"/>
    <x v="38"/>
    <x v="2"/>
    <x v="9"/>
    <n v="2249.91"/>
    <n v="9"/>
    <n v="517.48"/>
    <x v="11"/>
    <x v="1"/>
  </r>
  <r>
    <d v="2022-12-19T00:00:00"/>
    <x v="725"/>
    <x v="38"/>
    <x v="1"/>
    <x v="13"/>
    <n v="1053.1600000000001"/>
    <n v="4"/>
    <n v="-105.32"/>
    <x v="11"/>
    <x v="1"/>
  </r>
  <r>
    <d v="2022-12-19T00:00:00"/>
    <x v="89"/>
    <x v="1"/>
    <x v="2"/>
    <x v="9"/>
    <n v="25.49"/>
    <n v="2"/>
    <n v="4.78"/>
    <x v="11"/>
    <x v="1"/>
  </r>
  <r>
    <d v="2022-12-19T00:00:00"/>
    <x v="316"/>
    <x v="2"/>
    <x v="0"/>
    <x v="1"/>
    <n v="6.91"/>
    <n v="3"/>
    <n v="2.5099999999999998"/>
    <x v="11"/>
    <x v="1"/>
  </r>
  <r>
    <d v="2022-12-20T00:00:00"/>
    <x v="330"/>
    <x v="0"/>
    <x v="0"/>
    <x v="2"/>
    <n v="88.8"/>
    <n v="4"/>
    <n v="-2.2200000000000002"/>
    <x v="11"/>
    <x v="1"/>
  </r>
  <r>
    <d v="2022-12-20T00:00:00"/>
    <x v="223"/>
    <x v="20"/>
    <x v="0"/>
    <x v="0"/>
    <n v="55.48"/>
    <n v="1"/>
    <n v="26.63"/>
    <x v="11"/>
    <x v="1"/>
  </r>
  <r>
    <d v="2022-12-20T00:00:00"/>
    <x v="375"/>
    <x v="1"/>
    <x v="2"/>
    <x v="6"/>
    <n v="159.97999999999999"/>
    <n v="2"/>
    <n v="12"/>
    <x v="11"/>
    <x v="1"/>
  </r>
  <r>
    <d v="2022-12-20T00:00:00"/>
    <x v="375"/>
    <x v="1"/>
    <x v="2"/>
    <x v="9"/>
    <n v="255.97"/>
    <n v="4"/>
    <n v="51.19"/>
    <x v="11"/>
    <x v="1"/>
  </r>
  <r>
    <d v="2022-12-20T00:00:00"/>
    <x v="375"/>
    <x v="1"/>
    <x v="1"/>
    <x v="11"/>
    <n v="359.06"/>
    <n v="3"/>
    <n v="-71.81"/>
    <x v="11"/>
    <x v="1"/>
  </r>
  <r>
    <d v="2022-12-20T00:00:00"/>
    <x v="333"/>
    <x v="12"/>
    <x v="0"/>
    <x v="10"/>
    <n v="7.92"/>
    <n v="1"/>
    <n v="2.77"/>
    <x v="11"/>
    <x v="1"/>
  </r>
  <r>
    <d v="2022-12-20T00:00:00"/>
    <x v="333"/>
    <x v="12"/>
    <x v="1"/>
    <x v="8"/>
    <n v="14.37"/>
    <n v="2"/>
    <n v="3.95"/>
    <x v="11"/>
    <x v="1"/>
  </r>
  <r>
    <d v="2022-12-20T00:00:00"/>
    <x v="726"/>
    <x v="16"/>
    <x v="0"/>
    <x v="1"/>
    <n v="11.7"/>
    <n v="2"/>
    <n v="3.95"/>
    <x v="11"/>
    <x v="1"/>
  </r>
  <r>
    <d v="2022-12-20T00:00:00"/>
    <x v="170"/>
    <x v="3"/>
    <x v="0"/>
    <x v="0"/>
    <n v="17.12"/>
    <n v="4"/>
    <n v="7.7"/>
    <x v="11"/>
    <x v="1"/>
  </r>
  <r>
    <d v="2022-12-20T00:00:00"/>
    <x v="522"/>
    <x v="6"/>
    <x v="0"/>
    <x v="12"/>
    <n v="36.270000000000003"/>
    <n v="3"/>
    <n v="10.88"/>
    <x v="11"/>
    <x v="1"/>
  </r>
  <r>
    <d v="2022-12-20T00:00:00"/>
    <x v="341"/>
    <x v="0"/>
    <x v="2"/>
    <x v="9"/>
    <n v="100.8"/>
    <n v="2"/>
    <n v="21.42"/>
    <x v="11"/>
    <x v="1"/>
  </r>
  <r>
    <d v="2022-12-21T00:00:00"/>
    <x v="143"/>
    <x v="22"/>
    <x v="1"/>
    <x v="13"/>
    <n v="1618.37"/>
    <n v="13"/>
    <n v="356.04"/>
    <x v="11"/>
    <x v="1"/>
  </r>
  <r>
    <d v="2022-12-21T00:00:00"/>
    <x v="143"/>
    <x v="22"/>
    <x v="2"/>
    <x v="9"/>
    <n v="99.6"/>
    <n v="1"/>
    <n v="36.85"/>
    <x v="11"/>
    <x v="1"/>
  </r>
  <r>
    <d v="2022-12-21T00:00:00"/>
    <x v="727"/>
    <x v="26"/>
    <x v="0"/>
    <x v="12"/>
    <n v="60.98"/>
    <n v="7"/>
    <n v="4.57"/>
    <x v="11"/>
    <x v="1"/>
  </r>
  <r>
    <d v="2022-12-21T00:00:00"/>
    <x v="462"/>
    <x v="25"/>
    <x v="2"/>
    <x v="6"/>
    <n v="47.98"/>
    <n v="3"/>
    <n v="4.8"/>
    <x v="11"/>
    <x v="1"/>
  </r>
  <r>
    <d v="2022-12-21T00:00:00"/>
    <x v="310"/>
    <x v="16"/>
    <x v="2"/>
    <x v="9"/>
    <n v="50.88"/>
    <n v="6"/>
    <n v="14.63"/>
    <x v="11"/>
    <x v="1"/>
  </r>
  <r>
    <d v="2022-12-21T00:00:00"/>
    <x v="310"/>
    <x v="16"/>
    <x v="0"/>
    <x v="10"/>
    <n v="27.31"/>
    <n v="2"/>
    <n v="9.2200000000000006"/>
    <x v="11"/>
    <x v="1"/>
  </r>
  <r>
    <d v="2022-12-21T00:00:00"/>
    <x v="512"/>
    <x v="10"/>
    <x v="0"/>
    <x v="4"/>
    <n v="3.01"/>
    <n v="2"/>
    <n v="0.34"/>
    <x v="11"/>
    <x v="1"/>
  </r>
  <r>
    <d v="2022-12-21T00:00:00"/>
    <x v="381"/>
    <x v="1"/>
    <x v="2"/>
    <x v="15"/>
    <n v="600.53"/>
    <n v="2"/>
    <n v="137.26"/>
    <x v="11"/>
    <x v="1"/>
  </r>
  <r>
    <d v="2022-12-21T00:00:00"/>
    <x v="381"/>
    <x v="1"/>
    <x v="0"/>
    <x v="4"/>
    <n v="59.9"/>
    <n v="2"/>
    <n v="14.23"/>
    <x v="11"/>
    <x v="1"/>
  </r>
  <r>
    <d v="2022-12-21T00:00:00"/>
    <x v="381"/>
    <x v="1"/>
    <x v="2"/>
    <x v="9"/>
    <n v="637.44000000000005"/>
    <n v="8"/>
    <n v="135.46"/>
    <x v="11"/>
    <x v="1"/>
  </r>
  <r>
    <d v="2022-12-21T00:00:00"/>
    <x v="381"/>
    <x v="1"/>
    <x v="1"/>
    <x v="8"/>
    <n v="51.76"/>
    <n v="3"/>
    <n v="-33.64"/>
    <x v="11"/>
    <x v="1"/>
  </r>
  <r>
    <d v="2022-12-22T00:00:00"/>
    <x v="165"/>
    <x v="21"/>
    <x v="0"/>
    <x v="4"/>
    <n v="17.12"/>
    <n v="4"/>
    <n v="4.96"/>
    <x v="11"/>
    <x v="1"/>
  </r>
  <r>
    <d v="2022-12-22T00:00:00"/>
    <x v="535"/>
    <x v="2"/>
    <x v="0"/>
    <x v="2"/>
    <n v="33.57"/>
    <n v="2"/>
    <n v="1.68"/>
    <x v="11"/>
    <x v="1"/>
  </r>
  <r>
    <d v="2022-12-22T00:00:00"/>
    <x v="535"/>
    <x v="2"/>
    <x v="1"/>
    <x v="5"/>
    <n v="422.63"/>
    <n v="7"/>
    <n v="0"/>
    <x v="11"/>
    <x v="1"/>
  </r>
  <r>
    <d v="2022-12-23T00:00:00"/>
    <x v="32"/>
    <x v="6"/>
    <x v="0"/>
    <x v="12"/>
    <n v="194.32"/>
    <n v="4"/>
    <n v="56.35"/>
    <x v="11"/>
    <x v="1"/>
  </r>
  <r>
    <d v="2022-12-24T00:00:00"/>
    <x v="557"/>
    <x v="10"/>
    <x v="0"/>
    <x v="7"/>
    <n v="5.58"/>
    <n v="2"/>
    <n v="1.81"/>
    <x v="11"/>
    <x v="1"/>
  </r>
  <r>
    <d v="2022-12-24T00:00:00"/>
    <x v="557"/>
    <x v="10"/>
    <x v="0"/>
    <x v="0"/>
    <n v="22.7"/>
    <n v="6"/>
    <n v="8.23"/>
    <x v="11"/>
    <x v="1"/>
  </r>
  <r>
    <d v="2022-12-24T00:00:00"/>
    <x v="557"/>
    <x v="10"/>
    <x v="0"/>
    <x v="3"/>
    <n v="19.78"/>
    <n v="4"/>
    <n v="-13.84"/>
    <x v="11"/>
    <x v="1"/>
  </r>
  <r>
    <d v="2022-12-24T00:00:00"/>
    <x v="557"/>
    <x v="10"/>
    <x v="1"/>
    <x v="8"/>
    <n v="72.7"/>
    <n v="4"/>
    <n v="19.079999999999998"/>
    <x v="11"/>
    <x v="1"/>
  </r>
  <r>
    <d v="2022-12-24T00:00:00"/>
    <x v="557"/>
    <x v="10"/>
    <x v="2"/>
    <x v="15"/>
    <n v="479.99"/>
    <n v="4"/>
    <n v="-383.99"/>
    <x v="11"/>
    <x v="1"/>
  </r>
  <r>
    <d v="2022-12-24T00:00:00"/>
    <x v="557"/>
    <x v="10"/>
    <x v="0"/>
    <x v="4"/>
    <n v="27.17"/>
    <n v="2"/>
    <n v="2.72"/>
    <x v="11"/>
    <x v="1"/>
  </r>
  <r>
    <d v="2022-12-24T00:00:00"/>
    <x v="639"/>
    <x v="20"/>
    <x v="0"/>
    <x v="0"/>
    <n v="132.79"/>
    <n v="7"/>
    <n v="63.74"/>
    <x v="11"/>
    <x v="1"/>
  </r>
  <r>
    <d v="2022-12-24T00:00:00"/>
    <x v="639"/>
    <x v="20"/>
    <x v="0"/>
    <x v="0"/>
    <n v="12.96"/>
    <n v="2"/>
    <n v="6.22"/>
    <x v="11"/>
    <x v="1"/>
  </r>
  <r>
    <d v="2022-12-24T00:00:00"/>
    <x v="639"/>
    <x v="20"/>
    <x v="0"/>
    <x v="1"/>
    <n v="21.56"/>
    <n v="7"/>
    <n v="10.35"/>
    <x v="11"/>
    <x v="1"/>
  </r>
  <r>
    <d v="2022-12-24T00:00:00"/>
    <x v="728"/>
    <x v="26"/>
    <x v="1"/>
    <x v="11"/>
    <n v="590.05999999999995"/>
    <n v="7"/>
    <n v="-786.74"/>
    <x v="11"/>
    <x v="1"/>
  </r>
  <r>
    <d v="2022-12-24T00:00:00"/>
    <x v="728"/>
    <x v="26"/>
    <x v="0"/>
    <x v="4"/>
    <n v="14.04"/>
    <n v="3"/>
    <n v="1.58"/>
    <x v="11"/>
    <x v="1"/>
  </r>
  <r>
    <d v="2022-12-24T00:00:00"/>
    <x v="389"/>
    <x v="12"/>
    <x v="0"/>
    <x v="0"/>
    <n v="106.23"/>
    <n v="7"/>
    <n v="37.18"/>
    <x v="11"/>
    <x v="1"/>
  </r>
  <r>
    <d v="2022-12-24T00:00:00"/>
    <x v="389"/>
    <x v="12"/>
    <x v="2"/>
    <x v="6"/>
    <n v="111.98"/>
    <n v="2"/>
    <n v="11.2"/>
    <x v="11"/>
    <x v="1"/>
  </r>
  <r>
    <d v="2022-12-24T00:00:00"/>
    <x v="389"/>
    <x v="12"/>
    <x v="1"/>
    <x v="8"/>
    <n v="7.71"/>
    <n v="2"/>
    <n v="1.74"/>
    <x v="11"/>
    <x v="1"/>
  </r>
  <r>
    <d v="2022-12-24T00:00:00"/>
    <x v="535"/>
    <x v="12"/>
    <x v="1"/>
    <x v="5"/>
    <n v="883.84"/>
    <n v="4"/>
    <n v="99.43"/>
    <x v="11"/>
    <x v="1"/>
  </r>
  <r>
    <d v="2022-12-24T00:00:00"/>
    <x v="388"/>
    <x v="3"/>
    <x v="0"/>
    <x v="3"/>
    <n v="19.940000000000001"/>
    <n v="4"/>
    <n v="7.23"/>
    <x v="11"/>
    <x v="1"/>
  </r>
  <r>
    <d v="2022-12-24T00:00:00"/>
    <x v="388"/>
    <x v="3"/>
    <x v="0"/>
    <x v="7"/>
    <n v="45.92"/>
    <n v="4"/>
    <n v="21.58"/>
    <x v="11"/>
    <x v="1"/>
  </r>
  <r>
    <d v="2022-12-24T00:00:00"/>
    <x v="312"/>
    <x v="24"/>
    <x v="1"/>
    <x v="8"/>
    <n v="9.68"/>
    <n v="2"/>
    <n v="3.78"/>
    <x v="11"/>
    <x v="1"/>
  </r>
  <r>
    <d v="2022-12-24T00:00:00"/>
    <x v="312"/>
    <x v="24"/>
    <x v="2"/>
    <x v="16"/>
    <n v="4899.93"/>
    <n v="7"/>
    <n v="2302.9699999999998"/>
    <x v="11"/>
    <x v="1"/>
  </r>
  <r>
    <d v="2022-12-25T00:00:00"/>
    <x v="514"/>
    <x v="2"/>
    <x v="1"/>
    <x v="8"/>
    <n v="547.14"/>
    <n v="4"/>
    <n v="-68.39"/>
    <x v="11"/>
    <x v="1"/>
  </r>
  <r>
    <d v="2022-12-25T00:00:00"/>
    <x v="337"/>
    <x v="15"/>
    <x v="0"/>
    <x v="1"/>
    <n v="9.2200000000000006"/>
    <n v="4"/>
    <n v="3.34"/>
    <x v="11"/>
    <x v="1"/>
  </r>
  <r>
    <d v="2022-12-25T00:00:00"/>
    <x v="337"/>
    <x v="15"/>
    <x v="0"/>
    <x v="0"/>
    <n v="10.37"/>
    <n v="2"/>
    <n v="3.63"/>
    <x v="11"/>
    <x v="1"/>
  </r>
  <r>
    <d v="2022-12-25T00:00:00"/>
    <x v="729"/>
    <x v="14"/>
    <x v="2"/>
    <x v="6"/>
    <n v="73.98"/>
    <n v="2"/>
    <n v="19.97"/>
    <x v="11"/>
    <x v="1"/>
  </r>
  <r>
    <d v="2022-12-25T00:00:00"/>
    <x v="729"/>
    <x v="14"/>
    <x v="1"/>
    <x v="11"/>
    <n v="160.97999999999999"/>
    <n v="1"/>
    <n v="20.93"/>
    <x v="11"/>
    <x v="1"/>
  </r>
  <r>
    <d v="2022-12-25T00:00:00"/>
    <x v="729"/>
    <x v="14"/>
    <x v="0"/>
    <x v="0"/>
    <n v="17.34"/>
    <n v="3"/>
    <n v="8.5"/>
    <x v="11"/>
    <x v="1"/>
  </r>
  <r>
    <d v="2022-12-25T00:00:00"/>
    <x v="729"/>
    <x v="14"/>
    <x v="0"/>
    <x v="4"/>
    <n v="3.28"/>
    <n v="1"/>
    <n v="0.95"/>
    <x v="11"/>
    <x v="1"/>
  </r>
  <r>
    <d v="2022-12-25T00:00:00"/>
    <x v="412"/>
    <x v="20"/>
    <x v="0"/>
    <x v="12"/>
    <n v="414.96"/>
    <n v="2"/>
    <n v="124.49"/>
    <x v="11"/>
    <x v="1"/>
  </r>
  <r>
    <d v="2022-12-25T00:00:00"/>
    <x v="565"/>
    <x v="3"/>
    <x v="2"/>
    <x v="16"/>
    <n v="1199.96"/>
    <n v="5"/>
    <n v="224.99"/>
    <x v="11"/>
    <x v="1"/>
  </r>
  <r>
    <d v="2022-12-25T00:00:00"/>
    <x v="565"/>
    <x v="3"/>
    <x v="0"/>
    <x v="0"/>
    <n v="12.6"/>
    <n v="3"/>
    <n v="6.17"/>
    <x v="11"/>
    <x v="1"/>
  </r>
  <r>
    <d v="2022-12-25T00:00:00"/>
    <x v="565"/>
    <x v="3"/>
    <x v="0"/>
    <x v="0"/>
    <n v="17.940000000000001"/>
    <n v="3"/>
    <n v="8.07"/>
    <x v="11"/>
    <x v="1"/>
  </r>
  <r>
    <d v="2022-12-25T00:00:00"/>
    <x v="352"/>
    <x v="4"/>
    <x v="1"/>
    <x v="8"/>
    <n v="275.88"/>
    <n v="6"/>
    <n v="46.9"/>
    <x v="11"/>
    <x v="1"/>
  </r>
  <r>
    <d v="2022-12-25T00:00:00"/>
    <x v="352"/>
    <x v="4"/>
    <x v="0"/>
    <x v="3"/>
    <n v="157.9"/>
    <n v="5"/>
    <n v="74.209999999999994"/>
    <x v="11"/>
    <x v="1"/>
  </r>
  <r>
    <d v="2022-12-25T00:00:00"/>
    <x v="232"/>
    <x v="20"/>
    <x v="2"/>
    <x v="9"/>
    <n v="843.9"/>
    <n v="2"/>
    <n v="371.32"/>
    <x v="11"/>
    <x v="1"/>
  </r>
  <r>
    <d v="2022-12-25T00:00:00"/>
    <x v="232"/>
    <x v="20"/>
    <x v="1"/>
    <x v="11"/>
    <n v="449.57"/>
    <n v="2"/>
    <n v="56.2"/>
    <x v="11"/>
    <x v="1"/>
  </r>
  <r>
    <d v="2022-12-25T00:00:00"/>
    <x v="88"/>
    <x v="3"/>
    <x v="0"/>
    <x v="0"/>
    <n v="9.9600000000000009"/>
    <n v="2"/>
    <n v="4.88"/>
    <x v="11"/>
    <x v="1"/>
  </r>
  <r>
    <d v="2022-12-26T00:00:00"/>
    <x v="12"/>
    <x v="32"/>
    <x v="0"/>
    <x v="7"/>
    <n v="22.2"/>
    <n v="5"/>
    <n v="10.43"/>
    <x v="11"/>
    <x v="1"/>
  </r>
  <r>
    <d v="2022-12-26T00:00:00"/>
    <x v="260"/>
    <x v="10"/>
    <x v="1"/>
    <x v="13"/>
    <n v="51.59"/>
    <n v="1"/>
    <n v="-15.48"/>
    <x v="11"/>
    <x v="1"/>
  </r>
  <r>
    <d v="2022-12-26T00:00:00"/>
    <x v="680"/>
    <x v="0"/>
    <x v="1"/>
    <x v="5"/>
    <n v="275.06"/>
    <n v="3"/>
    <n v="-90.38"/>
    <x v="11"/>
    <x v="1"/>
  </r>
  <r>
    <d v="2022-12-26T00:00:00"/>
    <x v="447"/>
    <x v="20"/>
    <x v="0"/>
    <x v="0"/>
    <n v="212.64"/>
    <n v="6"/>
    <n v="99.94"/>
    <x v="11"/>
    <x v="1"/>
  </r>
  <r>
    <d v="2022-12-27T00:00:00"/>
    <x v="188"/>
    <x v="0"/>
    <x v="0"/>
    <x v="10"/>
    <n v="113.33"/>
    <n v="9"/>
    <n v="35.42"/>
    <x v="11"/>
    <x v="1"/>
  </r>
  <r>
    <d v="2022-12-27T00:00:00"/>
    <x v="188"/>
    <x v="0"/>
    <x v="1"/>
    <x v="11"/>
    <n v="532.4"/>
    <n v="3"/>
    <n v="-46.98"/>
    <x v="11"/>
    <x v="1"/>
  </r>
  <r>
    <d v="2022-12-27T00:00:00"/>
    <x v="188"/>
    <x v="0"/>
    <x v="1"/>
    <x v="5"/>
    <n v="212.06"/>
    <n v="3"/>
    <n v="-15.15"/>
    <x v="11"/>
    <x v="1"/>
  </r>
  <r>
    <d v="2022-12-27T00:00:00"/>
    <x v="188"/>
    <x v="0"/>
    <x v="2"/>
    <x v="6"/>
    <n v="371.17"/>
    <n v="4"/>
    <n v="41.76"/>
    <x v="11"/>
    <x v="1"/>
  </r>
  <r>
    <d v="2022-12-27T00:00:00"/>
    <x v="496"/>
    <x v="13"/>
    <x v="0"/>
    <x v="10"/>
    <n v="105.42"/>
    <n v="2"/>
    <n v="51.66"/>
    <x v="11"/>
    <x v="1"/>
  </r>
  <r>
    <d v="2022-12-27T00:00:00"/>
    <x v="730"/>
    <x v="36"/>
    <x v="0"/>
    <x v="0"/>
    <n v="28.9"/>
    <n v="5"/>
    <n v="14.16"/>
    <x v="11"/>
    <x v="1"/>
  </r>
  <r>
    <d v="2022-12-27T00:00:00"/>
    <x v="730"/>
    <x v="36"/>
    <x v="0"/>
    <x v="12"/>
    <n v="355.96"/>
    <n v="2"/>
    <n v="103.23"/>
    <x v="11"/>
    <x v="1"/>
  </r>
  <r>
    <d v="2022-12-27T00:00:00"/>
    <x v="316"/>
    <x v="3"/>
    <x v="0"/>
    <x v="12"/>
    <n v="106.96"/>
    <n v="2"/>
    <n v="31.02"/>
    <x v="11"/>
    <x v="1"/>
  </r>
  <r>
    <d v="2022-12-27T00:00:00"/>
    <x v="316"/>
    <x v="3"/>
    <x v="0"/>
    <x v="1"/>
    <n v="21.56"/>
    <n v="7"/>
    <n v="10.35"/>
    <x v="11"/>
    <x v="1"/>
  </r>
  <r>
    <d v="2022-12-27T00:00:00"/>
    <x v="108"/>
    <x v="1"/>
    <x v="0"/>
    <x v="2"/>
    <n v="12.67"/>
    <n v="3"/>
    <n v="-3.17"/>
    <x v="11"/>
    <x v="1"/>
  </r>
  <r>
    <d v="2022-12-27T00:00:00"/>
    <x v="148"/>
    <x v="3"/>
    <x v="2"/>
    <x v="9"/>
    <n v="7.92"/>
    <n v="8"/>
    <n v="3.48"/>
    <x v="11"/>
    <x v="1"/>
  </r>
  <r>
    <d v="2022-12-27T00:00:00"/>
    <x v="238"/>
    <x v="21"/>
    <x v="0"/>
    <x v="0"/>
    <n v="195.64"/>
    <n v="4"/>
    <n v="91.95"/>
    <x v="11"/>
    <x v="1"/>
  </r>
  <r>
    <d v="2022-12-27T00:00:00"/>
    <x v="238"/>
    <x v="21"/>
    <x v="2"/>
    <x v="6"/>
    <n v="239.9"/>
    <n v="2"/>
    <n v="71.97"/>
    <x v="11"/>
    <x v="1"/>
  </r>
  <r>
    <d v="2022-12-27T00:00:00"/>
    <x v="639"/>
    <x v="10"/>
    <x v="1"/>
    <x v="13"/>
    <n v="1548.99"/>
    <n v="9"/>
    <n v="-464.7"/>
    <x v="11"/>
    <x v="1"/>
  </r>
  <r>
    <d v="2022-12-27T00:00:00"/>
    <x v="639"/>
    <x v="10"/>
    <x v="0"/>
    <x v="10"/>
    <n v="19.87"/>
    <n v="3"/>
    <n v="6.71"/>
    <x v="11"/>
    <x v="1"/>
  </r>
  <r>
    <d v="2022-12-27T00:00:00"/>
    <x v="569"/>
    <x v="15"/>
    <x v="2"/>
    <x v="9"/>
    <n v="4.7300000000000004"/>
    <n v="3"/>
    <n v="0.71"/>
    <x v="11"/>
    <x v="1"/>
  </r>
  <r>
    <d v="2022-12-27T00:00:00"/>
    <x v="569"/>
    <x v="15"/>
    <x v="1"/>
    <x v="8"/>
    <n v="53.35"/>
    <n v="3"/>
    <n v="16.010000000000002"/>
    <x v="11"/>
    <x v="1"/>
  </r>
  <r>
    <d v="2022-12-27T00:00:00"/>
    <x v="569"/>
    <x v="15"/>
    <x v="1"/>
    <x v="11"/>
    <n v="131.1"/>
    <n v="2"/>
    <n v="8.19"/>
    <x v="11"/>
    <x v="1"/>
  </r>
  <r>
    <d v="2022-12-27T00:00:00"/>
    <x v="569"/>
    <x v="15"/>
    <x v="0"/>
    <x v="2"/>
    <n v="22.51"/>
    <n v="3"/>
    <n v="2.25"/>
    <x v="11"/>
    <x v="1"/>
  </r>
  <r>
    <d v="2022-12-27T00:00:00"/>
    <x v="569"/>
    <x v="15"/>
    <x v="2"/>
    <x v="9"/>
    <n v="72.739999999999995"/>
    <n v="7"/>
    <n v="-12.73"/>
    <x v="11"/>
    <x v="1"/>
  </r>
  <r>
    <d v="2022-12-27T00:00:00"/>
    <x v="160"/>
    <x v="3"/>
    <x v="0"/>
    <x v="2"/>
    <n v="323.10000000000002"/>
    <n v="2"/>
    <n v="61.39"/>
    <x v="11"/>
    <x v="1"/>
  </r>
  <r>
    <d v="2022-12-27T00:00:00"/>
    <x v="160"/>
    <x v="3"/>
    <x v="2"/>
    <x v="6"/>
    <n v="668.16"/>
    <n v="9"/>
    <n v="75.17"/>
    <x v="11"/>
    <x v="1"/>
  </r>
  <r>
    <d v="2022-12-28T00:00:00"/>
    <x v="699"/>
    <x v="2"/>
    <x v="2"/>
    <x v="9"/>
    <n v="54.38"/>
    <n v="2"/>
    <n v="1.36"/>
    <x v="11"/>
    <x v="1"/>
  </r>
  <r>
    <d v="2022-12-28T00:00:00"/>
    <x v="681"/>
    <x v="1"/>
    <x v="0"/>
    <x v="2"/>
    <n v="24.82"/>
    <n v="2"/>
    <n v="1.55"/>
    <x v="11"/>
    <x v="1"/>
  </r>
  <r>
    <d v="2022-12-29T00:00:00"/>
    <x v="503"/>
    <x v="20"/>
    <x v="0"/>
    <x v="14"/>
    <n v="6.36"/>
    <n v="2"/>
    <n v="0.06"/>
    <x v="11"/>
    <x v="1"/>
  </r>
  <r>
    <d v="2022-12-30T00:00:00"/>
    <x v="68"/>
    <x v="3"/>
    <x v="0"/>
    <x v="0"/>
    <n v="68.52"/>
    <n v="3"/>
    <n v="31.52"/>
    <x v="11"/>
    <x v="1"/>
  </r>
  <r>
    <d v="2022-12-30T00:00:00"/>
    <x v="68"/>
    <x v="3"/>
    <x v="0"/>
    <x v="2"/>
    <n v="74.94"/>
    <n v="3"/>
    <n v="14.24"/>
    <x v="11"/>
    <x v="1"/>
  </r>
  <r>
    <d v="2022-12-30T00:00:00"/>
    <x v="68"/>
    <x v="3"/>
    <x v="2"/>
    <x v="15"/>
    <n v="2548.56"/>
    <n v="6"/>
    <n v="286.70999999999998"/>
    <x v="11"/>
    <x v="1"/>
  </r>
  <r>
    <d v="2022-12-30T00:00:00"/>
    <x v="68"/>
    <x v="3"/>
    <x v="0"/>
    <x v="10"/>
    <n v="271.44"/>
    <n v="3"/>
    <n v="122.15"/>
    <x v="11"/>
    <x v="1"/>
  </r>
  <r>
    <d v="2022-12-30T00:00:00"/>
    <x v="68"/>
    <x v="3"/>
    <x v="2"/>
    <x v="6"/>
    <n v="287.88"/>
    <n v="3"/>
    <n v="35.99"/>
    <x v="11"/>
    <x v="1"/>
  </r>
  <r>
    <d v="2022-12-31T00:00:00"/>
    <x v="117"/>
    <x v="35"/>
    <x v="0"/>
    <x v="3"/>
    <n v="487.98"/>
    <n v="2"/>
    <n v="152.5"/>
    <x v="11"/>
    <x v="1"/>
  </r>
  <r>
    <d v="2022-12-31T00:00:00"/>
    <x v="335"/>
    <x v="0"/>
    <x v="1"/>
    <x v="8"/>
    <n v="14.76"/>
    <n v="5"/>
    <n v="-11.44"/>
    <x v="11"/>
    <x v="1"/>
  </r>
  <r>
    <d v="2022-12-31T00:00:00"/>
    <x v="335"/>
    <x v="0"/>
    <x v="0"/>
    <x v="3"/>
    <n v="3.66"/>
    <n v="4"/>
    <n v="-5.85"/>
    <x v="11"/>
    <x v="1"/>
  </r>
  <r>
    <d v="2022-12-31T00:00:00"/>
    <x v="385"/>
    <x v="5"/>
    <x v="0"/>
    <x v="3"/>
    <n v="94.74"/>
    <n v="3"/>
    <n v="44.53"/>
    <x v="11"/>
    <x v="1"/>
  </r>
  <r>
    <d v="2022-12-31T00:00:00"/>
    <x v="385"/>
    <x v="5"/>
    <x v="0"/>
    <x v="3"/>
    <n v="60.64"/>
    <n v="4"/>
    <n v="27.89"/>
    <x v="11"/>
    <x v="1"/>
  </r>
  <r>
    <d v="2022-12-31T00:00:00"/>
    <x v="385"/>
    <x v="5"/>
    <x v="0"/>
    <x v="3"/>
    <n v="76.3"/>
    <n v="5"/>
    <n v="38.15"/>
    <x v="11"/>
    <x v="1"/>
  </r>
  <r>
    <d v="2022-12-31T00:00:00"/>
    <x v="385"/>
    <x v="5"/>
    <x v="0"/>
    <x v="3"/>
    <n v="364.8"/>
    <n v="12"/>
    <n v="167.81"/>
    <x v="11"/>
    <x v="1"/>
  </r>
  <r>
    <d v="2022-12-31T00:00:00"/>
    <x v="497"/>
    <x v="0"/>
    <x v="0"/>
    <x v="2"/>
    <n v="152.69"/>
    <n v="2"/>
    <n v="-26.72"/>
    <x v="11"/>
    <x v="1"/>
  </r>
  <r>
    <d v="2022-12-31T00:00:00"/>
    <x v="497"/>
    <x v="0"/>
    <x v="0"/>
    <x v="7"/>
    <n v="3.49"/>
    <n v="2"/>
    <n v="0.56999999999999995"/>
    <x v="11"/>
    <x v="1"/>
  </r>
  <r>
    <d v="2022-12-31T00:00:00"/>
    <x v="497"/>
    <x v="0"/>
    <x v="0"/>
    <x v="14"/>
    <n v="5.89"/>
    <n v="2"/>
    <n v="-1.32"/>
    <x v="11"/>
    <x v="1"/>
  </r>
  <r>
    <d v="2022-12-31T00:00:00"/>
    <x v="123"/>
    <x v="14"/>
    <x v="0"/>
    <x v="3"/>
    <n v="116.4"/>
    <n v="8"/>
    <n v="52.38"/>
    <x v="11"/>
    <x v="1"/>
  </r>
  <r>
    <d v="2023-01-02T00:00:00"/>
    <x v="688"/>
    <x v="36"/>
    <x v="1"/>
    <x v="11"/>
    <n v="173.94"/>
    <n v="3"/>
    <n v="38.270000000000003"/>
    <x v="0"/>
    <x v="2"/>
  </r>
  <r>
    <d v="2023-01-02T00:00:00"/>
    <x v="688"/>
    <x v="36"/>
    <x v="2"/>
    <x v="6"/>
    <n v="231.98"/>
    <n v="2"/>
    <n v="67.27"/>
    <x v="0"/>
    <x v="2"/>
  </r>
  <r>
    <d v="2023-01-03T00:00:00"/>
    <x v="336"/>
    <x v="3"/>
    <x v="0"/>
    <x v="2"/>
    <n v="114.46"/>
    <n v="2"/>
    <n v="28.62"/>
    <x v="0"/>
    <x v="2"/>
  </r>
  <r>
    <d v="2023-01-03T00:00:00"/>
    <x v="305"/>
    <x v="0"/>
    <x v="2"/>
    <x v="9"/>
    <n v="30.08"/>
    <n v="2"/>
    <n v="-5.26"/>
    <x v="0"/>
    <x v="2"/>
  </r>
  <r>
    <d v="2023-01-03T00:00:00"/>
    <x v="305"/>
    <x v="0"/>
    <x v="2"/>
    <x v="9"/>
    <n v="165.6"/>
    <n v="3"/>
    <n v="-6.21"/>
    <x v="0"/>
    <x v="2"/>
  </r>
  <r>
    <d v="2023-01-03T00:00:00"/>
    <x v="305"/>
    <x v="0"/>
    <x v="2"/>
    <x v="6"/>
    <n v="180.96"/>
    <n v="5"/>
    <n v="13.57"/>
    <x v="0"/>
    <x v="2"/>
  </r>
  <r>
    <d v="2023-01-03T00:00:00"/>
    <x v="731"/>
    <x v="39"/>
    <x v="1"/>
    <x v="13"/>
    <n v="1592.85"/>
    <n v="7"/>
    <n v="350.43"/>
    <x v="0"/>
    <x v="2"/>
  </r>
  <r>
    <d v="2023-01-03T00:00:00"/>
    <x v="731"/>
    <x v="39"/>
    <x v="0"/>
    <x v="3"/>
    <n v="11.88"/>
    <n v="2"/>
    <n v="5.35"/>
    <x v="0"/>
    <x v="2"/>
  </r>
  <r>
    <d v="2023-01-04T00:00:00"/>
    <x v="732"/>
    <x v="25"/>
    <x v="2"/>
    <x v="16"/>
    <n v="959.97"/>
    <n v="4"/>
    <n v="120"/>
    <x v="0"/>
    <x v="2"/>
  </r>
  <r>
    <d v="2023-01-04T00:00:00"/>
    <x v="624"/>
    <x v="2"/>
    <x v="0"/>
    <x v="4"/>
    <n v="4.67"/>
    <n v="1"/>
    <n v="0.57999999999999996"/>
    <x v="0"/>
    <x v="2"/>
  </r>
  <r>
    <d v="2023-01-04T00:00:00"/>
    <x v="624"/>
    <x v="2"/>
    <x v="0"/>
    <x v="3"/>
    <n v="104.58"/>
    <n v="6"/>
    <n v="-80.180000000000007"/>
    <x v="0"/>
    <x v="2"/>
  </r>
  <r>
    <d v="2023-01-05T00:00:00"/>
    <x v="202"/>
    <x v="16"/>
    <x v="2"/>
    <x v="9"/>
    <n v="191.47"/>
    <n v="6"/>
    <n v="40.69"/>
    <x v="0"/>
    <x v="2"/>
  </r>
  <r>
    <d v="2023-01-05T00:00:00"/>
    <x v="202"/>
    <x v="16"/>
    <x v="0"/>
    <x v="4"/>
    <n v="5.25"/>
    <n v="2"/>
    <n v="0.59"/>
    <x v="0"/>
    <x v="2"/>
  </r>
  <r>
    <d v="2023-01-05T00:00:00"/>
    <x v="202"/>
    <x v="16"/>
    <x v="2"/>
    <x v="6"/>
    <n v="59.18"/>
    <n v="2"/>
    <n v="5.18"/>
    <x v="0"/>
    <x v="2"/>
  </r>
  <r>
    <d v="2023-01-07T00:00:00"/>
    <x v="233"/>
    <x v="3"/>
    <x v="0"/>
    <x v="4"/>
    <n v="34.58"/>
    <n v="1"/>
    <n v="10.029999999999999"/>
    <x v="0"/>
    <x v="2"/>
  </r>
  <r>
    <d v="2023-01-07T00:00:00"/>
    <x v="685"/>
    <x v="0"/>
    <x v="1"/>
    <x v="8"/>
    <n v="23.08"/>
    <n v="3"/>
    <n v="-10.96"/>
    <x v="0"/>
    <x v="2"/>
  </r>
  <r>
    <d v="2023-01-07T00:00:00"/>
    <x v="685"/>
    <x v="0"/>
    <x v="0"/>
    <x v="0"/>
    <n v="25.92"/>
    <n v="5"/>
    <n v="9.07"/>
    <x v="0"/>
    <x v="2"/>
  </r>
  <r>
    <d v="2023-01-08T00:00:00"/>
    <x v="4"/>
    <x v="21"/>
    <x v="1"/>
    <x v="11"/>
    <n v="1565.88"/>
    <n v="6"/>
    <n v="407.13"/>
    <x v="0"/>
    <x v="2"/>
  </r>
  <r>
    <d v="2023-01-08T00:00:00"/>
    <x v="4"/>
    <x v="21"/>
    <x v="0"/>
    <x v="3"/>
    <n v="106.05"/>
    <n v="7"/>
    <n v="49.84"/>
    <x v="0"/>
    <x v="2"/>
  </r>
  <r>
    <d v="2023-01-08T00:00:00"/>
    <x v="6"/>
    <x v="25"/>
    <x v="0"/>
    <x v="3"/>
    <n v="30.83"/>
    <n v="7"/>
    <n v="-24.66"/>
    <x v="0"/>
    <x v="2"/>
  </r>
  <r>
    <d v="2023-01-08T00:00:00"/>
    <x v="6"/>
    <x v="25"/>
    <x v="0"/>
    <x v="4"/>
    <n v="47.62"/>
    <n v="3"/>
    <n v="5.95"/>
    <x v="0"/>
    <x v="2"/>
  </r>
  <r>
    <d v="2023-01-08T00:00:00"/>
    <x v="6"/>
    <x v="25"/>
    <x v="2"/>
    <x v="6"/>
    <n v="108.78"/>
    <n v="2"/>
    <n v="10.88"/>
    <x v="0"/>
    <x v="2"/>
  </r>
  <r>
    <d v="2023-01-09T00:00:00"/>
    <x v="174"/>
    <x v="3"/>
    <x v="2"/>
    <x v="9"/>
    <n v="349.95"/>
    <n v="5"/>
    <n v="118.98"/>
    <x v="0"/>
    <x v="2"/>
  </r>
  <r>
    <d v="2023-01-09T00:00:00"/>
    <x v="174"/>
    <x v="3"/>
    <x v="2"/>
    <x v="6"/>
    <n v="377.93"/>
    <n v="9"/>
    <n v="141.72"/>
    <x v="0"/>
    <x v="2"/>
  </r>
  <r>
    <d v="2023-01-09T00:00:00"/>
    <x v="591"/>
    <x v="10"/>
    <x v="1"/>
    <x v="8"/>
    <n v="15.17"/>
    <n v="2"/>
    <n v="3.79"/>
    <x v="0"/>
    <x v="2"/>
  </r>
  <r>
    <d v="2023-01-10T00:00:00"/>
    <x v="127"/>
    <x v="22"/>
    <x v="1"/>
    <x v="8"/>
    <n v="79.92"/>
    <n v="4"/>
    <n v="34.369999999999997"/>
    <x v="0"/>
    <x v="2"/>
  </r>
  <r>
    <d v="2023-01-10T00:00:00"/>
    <x v="127"/>
    <x v="22"/>
    <x v="2"/>
    <x v="9"/>
    <n v="69.98"/>
    <n v="2"/>
    <n v="13.3"/>
    <x v="0"/>
    <x v="2"/>
  </r>
  <r>
    <d v="2023-01-10T00:00:00"/>
    <x v="733"/>
    <x v="22"/>
    <x v="1"/>
    <x v="8"/>
    <n v="24.85"/>
    <n v="5"/>
    <n v="7.7"/>
    <x v="0"/>
    <x v="2"/>
  </r>
  <r>
    <d v="2023-01-11T00:00:00"/>
    <x v="354"/>
    <x v="10"/>
    <x v="0"/>
    <x v="0"/>
    <n v="15.55"/>
    <n v="3"/>
    <n v="5.44"/>
    <x v="0"/>
    <x v="2"/>
  </r>
  <r>
    <d v="2023-01-11T00:00:00"/>
    <x v="354"/>
    <x v="10"/>
    <x v="0"/>
    <x v="0"/>
    <n v="63.31"/>
    <n v="3"/>
    <n v="20.58"/>
    <x v="0"/>
    <x v="2"/>
  </r>
  <r>
    <d v="2023-01-11T00:00:00"/>
    <x v="354"/>
    <x v="10"/>
    <x v="2"/>
    <x v="6"/>
    <n v="15.59"/>
    <n v="2"/>
    <n v="-9.8699999999999992"/>
    <x v="0"/>
    <x v="2"/>
  </r>
  <r>
    <d v="2023-01-11T00:00:00"/>
    <x v="114"/>
    <x v="10"/>
    <x v="1"/>
    <x v="8"/>
    <n v="54.99"/>
    <n v="14"/>
    <n v="8.94"/>
    <x v="0"/>
    <x v="2"/>
  </r>
  <r>
    <d v="2023-01-14T00:00:00"/>
    <x v="643"/>
    <x v="25"/>
    <x v="0"/>
    <x v="0"/>
    <n v="89.57"/>
    <n v="2"/>
    <n v="32.47"/>
    <x v="0"/>
    <x v="2"/>
  </r>
  <r>
    <d v="2023-01-14T00:00:00"/>
    <x v="643"/>
    <x v="25"/>
    <x v="1"/>
    <x v="8"/>
    <n v="315.77999999999997"/>
    <n v="8"/>
    <n v="31.58"/>
    <x v="0"/>
    <x v="2"/>
  </r>
  <r>
    <d v="2023-01-15T00:00:00"/>
    <x v="222"/>
    <x v="23"/>
    <x v="0"/>
    <x v="10"/>
    <n v="52.34"/>
    <n v="2"/>
    <n v="24.6"/>
    <x v="0"/>
    <x v="2"/>
  </r>
  <r>
    <d v="2023-01-15T00:00:00"/>
    <x v="222"/>
    <x v="23"/>
    <x v="0"/>
    <x v="4"/>
    <n v="4.66"/>
    <n v="2"/>
    <n v="1.35"/>
    <x v="0"/>
    <x v="2"/>
  </r>
  <r>
    <d v="2023-01-15T00:00:00"/>
    <x v="222"/>
    <x v="23"/>
    <x v="2"/>
    <x v="9"/>
    <n v="254.97"/>
    <n v="3"/>
    <n v="91.79"/>
    <x v="0"/>
    <x v="2"/>
  </r>
  <r>
    <d v="2023-01-15T00:00:00"/>
    <x v="554"/>
    <x v="37"/>
    <x v="1"/>
    <x v="13"/>
    <n v="181.8"/>
    <n v="1"/>
    <n v="-15.58"/>
    <x v="0"/>
    <x v="2"/>
  </r>
  <r>
    <d v="2023-01-15T00:00:00"/>
    <x v="494"/>
    <x v="20"/>
    <x v="0"/>
    <x v="10"/>
    <n v="16.52"/>
    <n v="4"/>
    <n v="7.6"/>
    <x v="0"/>
    <x v="2"/>
  </r>
  <r>
    <d v="2023-01-15T00:00:00"/>
    <x v="494"/>
    <x v="20"/>
    <x v="0"/>
    <x v="0"/>
    <n v="60.12"/>
    <n v="9"/>
    <n v="28.86"/>
    <x v="0"/>
    <x v="2"/>
  </r>
  <r>
    <d v="2023-01-15T00:00:00"/>
    <x v="494"/>
    <x v="20"/>
    <x v="0"/>
    <x v="3"/>
    <n v="49.54"/>
    <n v="3"/>
    <n v="17.34"/>
    <x v="0"/>
    <x v="2"/>
  </r>
  <r>
    <d v="2023-01-15T00:00:00"/>
    <x v="734"/>
    <x v="20"/>
    <x v="0"/>
    <x v="0"/>
    <n v="81.98"/>
    <n v="2"/>
    <n v="40.17"/>
    <x v="0"/>
    <x v="2"/>
  </r>
  <r>
    <d v="2023-01-16T00:00:00"/>
    <x v="281"/>
    <x v="3"/>
    <x v="0"/>
    <x v="3"/>
    <n v="11.65"/>
    <n v="2"/>
    <n v="4.22"/>
    <x v="0"/>
    <x v="2"/>
  </r>
  <r>
    <d v="2023-01-16T00:00:00"/>
    <x v="281"/>
    <x v="3"/>
    <x v="2"/>
    <x v="9"/>
    <n v="90.57"/>
    <n v="3"/>
    <n v="11.77"/>
    <x v="0"/>
    <x v="2"/>
  </r>
  <r>
    <d v="2023-01-17T00:00:00"/>
    <x v="684"/>
    <x v="38"/>
    <x v="1"/>
    <x v="8"/>
    <n v="322.58999999999997"/>
    <n v="3"/>
    <n v="64.52"/>
    <x v="0"/>
    <x v="2"/>
  </r>
  <r>
    <d v="2023-01-17T00:00:00"/>
    <x v="684"/>
    <x v="38"/>
    <x v="2"/>
    <x v="9"/>
    <n v="29.99"/>
    <n v="1"/>
    <n v="13.2"/>
    <x v="0"/>
    <x v="2"/>
  </r>
  <r>
    <d v="2023-01-17T00:00:00"/>
    <x v="684"/>
    <x v="38"/>
    <x v="2"/>
    <x v="9"/>
    <n v="371.97"/>
    <n v="3"/>
    <n v="66.95"/>
    <x v="0"/>
    <x v="2"/>
  </r>
  <r>
    <d v="2023-01-17T00:00:00"/>
    <x v="729"/>
    <x v="4"/>
    <x v="2"/>
    <x v="9"/>
    <n v="316"/>
    <n v="4"/>
    <n v="31.6"/>
    <x v="0"/>
    <x v="2"/>
  </r>
  <r>
    <d v="2023-01-21T00:00:00"/>
    <x v="210"/>
    <x v="3"/>
    <x v="1"/>
    <x v="5"/>
    <n v="153.57"/>
    <n v="2"/>
    <n v="-5.76"/>
    <x v="0"/>
    <x v="2"/>
  </r>
  <r>
    <d v="2023-01-21T00:00:00"/>
    <x v="210"/>
    <x v="3"/>
    <x v="1"/>
    <x v="5"/>
    <n v="1013.49"/>
    <n v="7"/>
    <n v="76.010000000000005"/>
    <x v="0"/>
    <x v="2"/>
  </r>
  <r>
    <d v="2023-01-22T00:00:00"/>
    <x v="194"/>
    <x v="23"/>
    <x v="0"/>
    <x v="7"/>
    <n v="7.56"/>
    <n v="6"/>
    <n v="0.3"/>
    <x v="0"/>
    <x v="2"/>
  </r>
  <r>
    <d v="2023-01-22T00:00:00"/>
    <x v="695"/>
    <x v="25"/>
    <x v="1"/>
    <x v="8"/>
    <n v="14.27"/>
    <n v="8"/>
    <n v="4.28"/>
    <x v="0"/>
    <x v="2"/>
  </r>
  <r>
    <d v="2023-01-22T00:00:00"/>
    <x v="695"/>
    <x v="25"/>
    <x v="1"/>
    <x v="11"/>
    <n v="451.14"/>
    <n v="4"/>
    <n v="-67.67"/>
    <x v="0"/>
    <x v="2"/>
  </r>
  <r>
    <d v="2023-01-22T00:00:00"/>
    <x v="695"/>
    <x v="25"/>
    <x v="0"/>
    <x v="12"/>
    <n v="64.86"/>
    <n v="4"/>
    <n v="6.49"/>
    <x v="0"/>
    <x v="2"/>
  </r>
  <r>
    <d v="2023-01-22T00:00:00"/>
    <x v="202"/>
    <x v="22"/>
    <x v="1"/>
    <x v="8"/>
    <n v="109.9"/>
    <n v="5"/>
    <n v="37.369999999999997"/>
    <x v="0"/>
    <x v="2"/>
  </r>
  <r>
    <d v="2023-01-22T00:00:00"/>
    <x v="387"/>
    <x v="22"/>
    <x v="0"/>
    <x v="0"/>
    <n v="12.96"/>
    <n v="2"/>
    <n v="6.22"/>
    <x v="0"/>
    <x v="2"/>
  </r>
  <r>
    <d v="2023-01-22T00:00:00"/>
    <x v="558"/>
    <x v="3"/>
    <x v="0"/>
    <x v="1"/>
    <n v="44.4"/>
    <n v="3"/>
    <n v="22.2"/>
    <x v="0"/>
    <x v="2"/>
  </r>
  <r>
    <d v="2023-01-22T00:00:00"/>
    <x v="558"/>
    <x v="3"/>
    <x v="0"/>
    <x v="1"/>
    <n v="20.65"/>
    <n v="5"/>
    <n v="9.5"/>
    <x v="0"/>
    <x v="2"/>
  </r>
  <r>
    <d v="2023-01-22T00:00:00"/>
    <x v="214"/>
    <x v="10"/>
    <x v="2"/>
    <x v="6"/>
    <n v="110.38"/>
    <n v="4"/>
    <n v="-20.239999999999998"/>
    <x v="0"/>
    <x v="2"/>
  </r>
  <r>
    <d v="2023-01-22T00:00:00"/>
    <x v="214"/>
    <x v="10"/>
    <x v="2"/>
    <x v="9"/>
    <n v="55.18"/>
    <n v="3"/>
    <n v="15.86"/>
    <x v="0"/>
    <x v="2"/>
  </r>
  <r>
    <d v="2023-01-22T00:00:00"/>
    <x v="263"/>
    <x v="20"/>
    <x v="0"/>
    <x v="3"/>
    <n v="26.34"/>
    <n v="4"/>
    <n v="9.2200000000000006"/>
    <x v="0"/>
    <x v="2"/>
  </r>
  <r>
    <d v="2023-01-23T00:00:00"/>
    <x v="710"/>
    <x v="3"/>
    <x v="1"/>
    <x v="8"/>
    <n v="59.99"/>
    <n v="7"/>
    <n v="21.6"/>
    <x v="0"/>
    <x v="2"/>
  </r>
  <r>
    <d v="2023-01-23T00:00:00"/>
    <x v="595"/>
    <x v="45"/>
    <x v="2"/>
    <x v="9"/>
    <n v="99.98"/>
    <n v="2"/>
    <n v="42.99"/>
    <x v="0"/>
    <x v="2"/>
  </r>
  <r>
    <d v="2023-01-23T00:00:00"/>
    <x v="595"/>
    <x v="45"/>
    <x v="0"/>
    <x v="4"/>
    <n v="8.0399999999999991"/>
    <n v="6"/>
    <n v="2.73"/>
    <x v="0"/>
    <x v="2"/>
  </r>
  <r>
    <d v="2023-01-23T00:00:00"/>
    <x v="595"/>
    <x v="45"/>
    <x v="0"/>
    <x v="2"/>
    <n v="1564.29"/>
    <n v="13"/>
    <n v="406.72"/>
    <x v="0"/>
    <x v="2"/>
  </r>
  <r>
    <d v="2023-01-24T00:00:00"/>
    <x v="418"/>
    <x v="29"/>
    <x v="0"/>
    <x v="3"/>
    <n v="31.36"/>
    <n v="4"/>
    <n v="15.68"/>
    <x v="0"/>
    <x v="2"/>
  </r>
  <r>
    <d v="2023-01-25T00:00:00"/>
    <x v="735"/>
    <x v="23"/>
    <x v="0"/>
    <x v="4"/>
    <n v="9.2100000000000009"/>
    <n v="3"/>
    <n v="2.2999999999999998"/>
    <x v="0"/>
    <x v="2"/>
  </r>
  <r>
    <d v="2023-01-25T00:00:00"/>
    <x v="735"/>
    <x v="23"/>
    <x v="0"/>
    <x v="0"/>
    <n v="18"/>
    <n v="5"/>
    <n v="8.2799999999999994"/>
    <x v="0"/>
    <x v="2"/>
  </r>
  <r>
    <d v="2023-01-25T00:00:00"/>
    <x v="104"/>
    <x v="20"/>
    <x v="0"/>
    <x v="3"/>
    <n v="43.12"/>
    <n v="5"/>
    <n v="15.09"/>
    <x v="0"/>
    <x v="2"/>
  </r>
  <r>
    <d v="2023-01-25T00:00:00"/>
    <x v="104"/>
    <x v="20"/>
    <x v="1"/>
    <x v="13"/>
    <n v="313.72000000000003"/>
    <n v="3"/>
    <n v="-99.35"/>
    <x v="0"/>
    <x v="2"/>
  </r>
  <r>
    <d v="2023-01-25T00:00:00"/>
    <x v="104"/>
    <x v="20"/>
    <x v="1"/>
    <x v="8"/>
    <n v="45.98"/>
    <n v="1"/>
    <n v="7.82"/>
    <x v="0"/>
    <x v="2"/>
  </r>
  <r>
    <d v="2023-01-25T00:00:00"/>
    <x v="104"/>
    <x v="20"/>
    <x v="0"/>
    <x v="2"/>
    <n v="428.68"/>
    <n v="7"/>
    <n v="0"/>
    <x v="0"/>
    <x v="2"/>
  </r>
  <r>
    <d v="2023-01-28T00:00:00"/>
    <x v="418"/>
    <x v="3"/>
    <x v="0"/>
    <x v="4"/>
    <n v="39.68"/>
    <n v="2"/>
    <n v="10.32"/>
    <x v="0"/>
    <x v="2"/>
  </r>
  <r>
    <d v="2023-01-30T00:00:00"/>
    <x v="467"/>
    <x v="3"/>
    <x v="0"/>
    <x v="3"/>
    <n v="17.46"/>
    <n v="2"/>
    <n v="5.89"/>
    <x v="0"/>
    <x v="2"/>
  </r>
  <r>
    <d v="2023-01-30T00:00:00"/>
    <x v="236"/>
    <x v="3"/>
    <x v="0"/>
    <x v="2"/>
    <n v="305.01"/>
    <n v="9"/>
    <n v="76.25"/>
    <x v="0"/>
    <x v="2"/>
  </r>
  <r>
    <d v="2023-01-30T00:00:00"/>
    <x v="236"/>
    <x v="3"/>
    <x v="0"/>
    <x v="3"/>
    <n v="50.78"/>
    <n v="2"/>
    <n v="17.77"/>
    <x v="0"/>
    <x v="2"/>
  </r>
  <r>
    <d v="2023-01-30T00:00:00"/>
    <x v="236"/>
    <x v="3"/>
    <x v="0"/>
    <x v="1"/>
    <n v="26.01"/>
    <n v="9"/>
    <n v="12.22"/>
    <x v="0"/>
    <x v="2"/>
  </r>
  <r>
    <d v="2023-01-30T00:00:00"/>
    <x v="560"/>
    <x v="22"/>
    <x v="1"/>
    <x v="5"/>
    <n v="435.17"/>
    <n v="4"/>
    <n v="-59.84"/>
    <x v="0"/>
    <x v="2"/>
  </r>
  <r>
    <d v="2023-01-30T00:00:00"/>
    <x v="560"/>
    <x v="22"/>
    <x v="1"/>
    <x v="11"/>
    <n v="48.58"/>
    <n v="1"/>
    <n v="7.77"/>
    <x v="0"/>
    <x v="2"/>
  </r>
  <r>
    <d v="2023-01-30T00:00:00"/>
    <x v="736"/>
    <x v="1"/>
    <x v="0"/>
    <x v="0"/>
    <n v="156.51"/>
    <n v="4"/>
    <n v="52.82"/>
    <x v="0"/>
    <x v="2"/>
  </r>
  <r>
    <d v="2023-01-30T00:00:00"/>
    <x v="447"/>
    <x v="1"/>
    <x v="2"/>
    <x v="6"/>
    <n v="1439.97"/>
    <n v="4"/>
    <n v="144"/>
    <x v="0"/>
    <x v="2"/>
  </r>
  <r>
    <d v="2023-01-30T00:00:00"/>
    <x v="447"/>
    <x v="1"/>
    <x v="0"/>
    <x v="3"/>
    <n v="1.73"/>
    <n v="3"/>
    <n v="-2.68"/>
    <x v="0"/>
    <x v="2"/>
  </r>
  <r>
    <d v="2023-01-30T00:00:00"/>
    <x v="447"/>
    <x v="1"/>
    <x v="1"/>
    <x v="13"/>
    <n v="626.1"/>
    <n v="3"/>
    <n v="-538.45000000000005"/>
    <x v="0"/>
    <x v="2"/>
  </r>
  <r>
    <d v="2023-01-31T00:00:00"/>
    <x v="90"/>
    <x v="3"/>
    <x v="2"/>
    <x v="6"/>
    <n v="109.59"/>
    <n v="1"/>
    <n v="8.2200000000000006"/>
    <x v="0"/>
    <x v="2"/>
  </r>
  <r>
    <d v="2023-01-31T00:00:00"/>
    <x v="90"/>
    <x v="3"/>
    <x v="0"/>
    <x v="0"/>
    <n v="56.7"/>
    <n v="5"/>
    <n v="27.78"/>
    <x v="0"/>
    <x v="2"/>
  </r>
  <r>
    <d v="2023-01-31T00:00:00"/>
    <x v="69"/>
    <x v="0"/>
    <x v="0"/>
    <x v="0"/>
    <n v="15.55"/>
    <n v="3"/>
    <n v="5.44"/>
    <x v="0"/>
    <x v="2"/>
  </r>
  <r>
    <d v="2023-01-31T00:00:00"/>
    <x v="527"/>
    <x v="23"/>
    <x v="0"/>
    <x v="10"/>
    <n v="23.36"/>
    <n v="2"/>
    <n v="11.68"/>
    <x v="0"/>
    <x v="2"/>
  </r>
  <r>
    <d v="2023-01-31T00:00:00"/>
    <x v="151"/>
    <x v="4"/>
    <x v="0"/>
    <x v="3"/>
    <n v="1270.99"/>
    <n v="1"/>
    <n v="635.5"/>
    <x v="0"/>
    <x v="2"/>
  </r>
  <r>
    <d v="2023-01-31T00:00:00"/>
    <x v="151"/>
    <x v="4"/>
    <x v="0"/>
    <x v="10"/>
    <n v="125.36"/>
    <n v="8"/>
    <n v="58.92"/>
    <x v="0"/>
    <x v="2"/>
  </r>
  <r>
    <d v="2023-02-01T00:00:00"/>
    <x v="38"/>
    <x v="6"/>
    <x v="0"/>
    <x v="2"/>
    <n v="56.45"/>
    <n v="5"/>
    <n v="14.68"/>
    <x v="1"/>
    <x v="2"/>
  </r>
  <r>
    <d v="2023-02-01T00:00:00"/>
    <x v="436"/>
    <x v="3"/>
    <x v="0"/>
    <x v="0"/>
    <n v="105.52"/>
    <n v="4"/>
    <n v="48.54"/>
    <x v="1"/>
    <x v="2"/>
  </r>
  <r>
    <d v="2023-02-02T00:00:00"/>
    <x v="579"/>
    <x v="20"/>
    <x v="0"/>
    <x v="2"/>
    <n v="117.96"/>
    <n v="2"/>
    <n v="5.9"/>
    <x v="1"/>
    <x v="2"/>
  </r>
  <r>
    <d v="2023-02-02T00:00:00"/>
    <x v="145"/>
    <x v="6"/>
    <x v="2"/>
    <x v="15"/>
    <n v="8749.9500000000007"/>
    <n v="5"/>
    <n v="2799.98"/>
    <x v="1"/>
    <x v="2"/>
  </r>
  <r>
    <d v="2023-02-02T00:00:00"/>
    <x v="145"/>
    <x v="6"/>
    <x v="0"/>
    <x v="3"/>
    <n v="36.4"/>
    <n v="8"/>
    <n v="18.2"/>
    <x v="1"/>
    <x v="2"/>
  </r>
  <r>
    <d v="2023-02-02T00:00:00"/>
    <x v="145"/>
    <x v="6"/>
    <x v="1"/>
    <x v="8"/>
    <n v="18.690000000000001"/>
    <n v="7"/>
    <n v="7.1"/>
    <x v="1"/>
    <x v="2"/>
  </r>
  <r>
    <d v="2023-02-02T00:00:00"/>
    <x v="270"/>
    <x v="0"/>
    <x v="1"/>
    <x v="8"/>
    <n v="73.78"/>
    <n v="2"/>
    <n v="-77.47"/>
    <x v="1"/>
    <x v="2"/>
  </r>
  <r>
    <d v="2023-02-03T00:00:00"/>
    <x v="31"/>
    <x v="5"/>
    <x v="1"/>
    <x v="5"/>
    <n v="866.4"/>
    <n v="4"/>
    <n v="225.26"/>
    <x v="1"/>
    <x v="2"/>
  </r>
  <r>
    <d v="2023-02-04T00:00:00"/>
    <x v="463"/>
    <x v="12"/>
    <x v="1"/>
    <x v="8"/>
    <n v="14.37"/>
    <n v="2"/>
    <n v="3.95"/>
    <x v="1"/>
    <x v="2"/>
  </r>
  <r>
    <d v="2023-02-04T00:00:00"/>
    <x v="389"/>
    <x v="36"/>
    <x v="2"/>
    <x v="6"/>
    <n v="90.48"/>
    <n v="2"/>
    <n v="23.52"/>
    <x v="1"/>
    <x v="2"/>
  </r>
  <r>
    <d v="2023-02-04T00:00:00"/>
    <x v="403"/>
    <x v="3"/>
    <x v="0"/>
    <x v="2"/>
    <n v="93.02"/>
    <n v="2"/>
    <n v="3.72"/>
    <x v="1"/>
    <x v="2"/>
  </r>
  <r>
    <d v="2023-02-05T00:00:00"/>
    <x v="367"/>
    <x v="4"/>
    <x v="0"/>
    <x v="2"/>
    <n v="80.98"/>
    <n v="1"/>
    <n v="1.62"/>
    <x v="1"/>
    <x v="2"/>
  </r>
  <r>
    <d v="2023-02-05T00:00:00"/>
    <x v="367"/>
    <x v="4"/>
    <x v="0"/>
    <x v="0"/>
    <n v="348.84"/>
    <n v="9"/>
    <n v="170.93"/>
    <x v="1"/>
    <x v="2"/>
  </r>
  <r>
    <d v="2023-02-05T00:00:00"/>
    <x v="367"/>
    <x v="4"/>
    <x v="0"/>
    <x v="7"/>
    <n v="9.4499999999999993"/>
    <n v="5"/>
    <n v="0.19"/>
    <x v="1"/>
    <x v="2"/>
  </r>
  <r>
    <d v="2023-02-05T00:00:00"/>
    <x v="367"/>
    <x v="4"/>
    <x v="1"/>
    <x v="8"/>
    <n v="18.84"/>
    <n v="3"/>
    <n v="7.16"/>
    <x v="1"/>
    <x v="2"/>
  </r>
  <r>
    <d v="2023-02-05T00:00:00"/>
    <x v="367"/>
    <x v="4"/>
    <x v="1"/>
    <x v="11"/>
    <n v="239.98"/>
    <n v="2"/>
    <n v="52.8"/>
    <x v="1"/>
    <x v="2"/>
  </r>
  <r>
    <d v="2023-02-05T00:00:00"/>
    <x v="367"/>
    <x v="4"/>
    <x v="0"/>
    <x v="10"/>
    <n v="167.96"/>
    <n v="2"/>
    <n v="78.94"/>
    <x v="1"/>
    <x v="2"/>
  </r>
  <r>
    <d v="2023-02-05T00:00:00"/>
    <x v="367"/>
    <x v="4"/>
    <x v="2"/>
    <x v="6"/>
    <n v="104.85"/>
    <n v="3"/>
    <n v="28.31"/>
    <x v="1"/>
    <x v="2"/>
  </r>
  <r>
    <d v="2023-02-05T00:00:00"/>
    <x v="367"/>
    <x v="4"/>
    <x v="2"/>
    <x v="6"/>
    <n v="484.83"/>
    <n v="3"/>
    <n v="126.06"/>
    <x v="1"/>
    <x v="2"/>
  </r>
  <r>
    <d v="2023-02-05T00:00:00"/>
    <x v="367"/>
    <x v="4"/>
    <x v="0"/>
    <x v="0"/>
    <n v="122.97"/>
    <n v="3"/>
    <n v="60.26"/>
    <x v="1"/>
    <x v="2"/>
  </r>
  <r>
    <d v="2023-02-05T00:00:00"/>
    <x v="367"/>
    <x v="4"/>
    <x v="0"/>
    <x v="2"/>
    <n v="154.44"/>
    <n v="3"/>
    <n v="1.54"/>
    <x v="1"/>
    <x v="2"/>
  </r>
  <r>
    <d v="2023-02-05T00:00:00"/>
    <x v="367"/>
    <x v="4"/>
    <x v="0"/>
    <x v="0"/>
    <n v="342.37"/>
    <n v="7"/>
    <n v="160.91"/>
    <x v="1"/>
    <x v="2"/>
  </r>
  <r>
    <d v="2023-02-05T00:00:00"/>
    <x v="86"/>
    <x v="3"/>
    <x v="0"/>
    <x v="1"/>
    <n v="14.73"/>
    <n v="3"/>
    <n v="7.22"/>
    <x v="1"/>
    <x v="2"/>
  </r>
  <r>
    <d v="2023-02-05T00:00:00"/>
    <x v="86"/>
    <x v="3"/>
    <x v="0"/>
    <x v="2"/>
    <n v="186.54"/>
    <n v="3"/>
    <n v="50.37"/>
    <x v="1"/>
    <x v="2"/>
  </r>
  <r>
    <d v="2023-02-05T00:00:00"/>
    <x v="86"/>
    <x v="3"/>
    <x v="1"/>
    <x v="13"/>
    <n v="557.73"/>
    <n v="4"/>
    <n v="6.97"/>
    <x v="1"/>
    <x v="2"/>
  </r>
  <r>
    <d v="2023-02-05T00:00:00"/>
    <x v="86"/>
    <x v="3"/>
    <x v="2"/>
    <x v="6"/>
    <n v="159.97"/>
    <n v="4"/>
    <n v="-31.99"/>
    <x v="1"/>
    <x v="2"/>
  </r>
  <r>
    <d v="2023-02-06T00:00:00"/>
    <x v="119"/>
    <x v="15"/>
    <x v="1"/>
    <x v="8"/>
    <n v="132.22"/>
    <n v="4"/>
    <n v="-18.18"/>
    <x v="1"/>
    <x v="2"/>
  </r>
  <r>
    <d v="2023-02-07T00:00:00"/>
    <x v="103"/>
    <x v="6"/>
    <x v="2"/>
    <x v="9"/>
    <n v="100"/>
    <n v="4"/>
    <n v="21"/>
    <x v="1"/>
    <x v="2"/>
  </r>
  <r>
    <d v="2023-02-07T00:00:00"/>
    <x v="103"/>
    <x v="6"/>
    <x v="0"/>
    <x v="1"/>
    <n v="7.83"/>
    <n v="3"/>
    <n v="3.6"/>
    <x v="1"/>
    <x v="2"/>
  </r>
  <r>
    <d v="2023-02-07T00:00:00"/>
    <x v="737"/>
    <x v="10"/>
    <x v="0"/>
    <x v="0"/>
    <n v="30.35"/>
    <n v="2"/>
    <n v="10.62"/>
    <x v="1"/>
    <x v="2"/>
  </r>
  <r>
    <d v="2023-02-07T00:00:00"/>
    <x v="732"/>
    <x v="3"/>
    <x v="2"/>
    <x v="6"/>
    <n v="623.96"/>
    <n v="5"/>
    <n v="39"/>
    <x v="1"/>
    <x v="2"/>
  </r>
  <r>
    <d v="2023-02-08T00:00:00"/>
    <x v="662"/>
    <x v="25"/>
    <x v="2"/>
    <x v="6"/>
    <n v="1127.98"/>
    <n v="3"/>
    <n v="126.9"/>
    <x v="1"/>
    <x v="2"/>
  </r>
  <r>
    <d v="2023-02-08T00:00:00"/>
    <x v="36"/>
    <x v="0"/>
    <x v="1"/>
    <x v="5"/>
    <n v="241.5"/>
    <n v="4"/>
    <n v="0"/>
    <x v="1"/>
    <x v="2"/>
  </r>
  <r>
    <d v="2023-02-09T00:00:00"/>
    <x v="691"/>
    <x v="3"/>
    <x v="2"/>
    <x v="9"/>
    <n v="89.97"/>
    <n v="3"/>
    <n v="39.590000000000003"/>
    <x v="1"/>
    <x v="2"/>
  </r>
  <r>
    <d v="2023-02-09T00:00:00"/>
    <x v="691"/>
    <x v="3"/>
    <x v="2"/>
    <x v="9"/>
    <n v="31.86"/>
    <n v="2"/>
    <n v="11.15"/>
    <x v="1"/>
    <x v="2"/>
  </r>
  <r>
    <d v="2023-02-11T00:00:00"/>
    <x v="532"/>
    <x v="39"/>
    <x v="2"/>
    <x v="6"/>
    <n v="69.930000000000007"/>
    <n v="7"/>
    <n v="0.7"/>
    <x v="1"/>
    <x v="2"/>
  </r>
  <r>
    <d v="2023-02-12T00:00:00"/>
    <x v="143"/>
    <x v="4"/>
    <x v="0"/>
    <x v="2"/>
    <n v="1350.12"/>
    <n v="6"/>
    <n v="175.52"/>
    <x v="1"/>
    <x v="2"/>
  </r>
  <r>
    <d v="2023-02-12T00:00:00"/>
    <x v="143"/>
    <x v="4"/>
    <x v="0"/>
    <x v="3"/>
    <n v="15.92"/>
    <n v="4"/>
    <n v="7.48"/>
    <x v="1"/>
    <x v="2"/>
  </r>
  <r>
    <d v="2023-02-13T00:00:00"/>
    <x v="476"/>
    <x v="3"/>
    <x v="0"/>
    <x v="0"/>
    <n v="146.82"/>
    <n v="3"/>
    <n v="73.41"/>
    <x v="1"/>
    <x v="2"/>
  </r>
  <r>
    <d v="2023-02-14T00:00:00"/>
    <x v="610"/>
    <x v="36"/>
    <x v="0"/>
    <x v="0"/>
    <n v="4.7699999999999996"/>
    <n v="1"/>
    <n v="2.15"/>
    <x v="1"/>
    <x v="2"/>
  </r>
  <r>
    <d v="2023-02-14T00:00:00"/>
    <x v="610"/>
    <x v="36"/>
    <x v="0"/>
    <x v="4"/>
    <n v="7.98"/>
    <n v="3"/>
    <n v="2.0699999999999998"/>
    <x v="1"/>
    <x v="2"/>
  </r>
  <r>
    <d v="2023-02-14T00:00:00"/>
    <x v="610"/>
    <x v="36"/>
    <x v="1"/>
    <x v="13"/>
    <n v="550.42999999999995"/>
    <n v="3"/>
    <n v="-47.18"/>
    <x v="1"/>
    <x v="2"/>
  </r>
  <r>
    <d v="2023-02-14T00:00:00"/>
    <x v="610"/>
    <x v="36"/>
    <x v="1"/>
    <x v="8"/>
    <n v="10.56"/>
    <n v="6"/>
    <n v="4.6500000000000004"/>
    <x v="1"/>
    <x v="2"/>
  </r>
  <r>
    <d v="2023-02-14T00:00:00"/>
    <x v="667"/>
    <x v="29"/>
    <x v="0"/>
    <x v="4"/>
    <n v="264.18"/>
    <n v="7"/>
    <n v="68.69"/>
    <x v="1"/>
    <x v="2"/>
  </r>
  <r>
    <d v="2023-02-15T00:00:00"/>
    <x v="190"/>
    <x v="20"/>
    <x v="0"/>
    <x v="3"/>
    <n v="398.35"/>
    <n v="3"/>
    <n v="124.49"/>
    <x v="1"/>
    <x v="2"/>
  </r>
  <r>
    <d v="2023-02-15T00:00:00"/>
    <x v="190"/>
    <x v="20"/>
    <x v="0"/>
    <x v="7"/>
    <n v="8.7200000000000006"/>
    <n v="4"/>
    <n v="3.58"/>
    <x v="1"/>
    <x v="2"/>
  </r>
  <r>
    <d v="2023-02-16T00:00:00"/>
    <x v="400"/>
    <x v="1"/>
    <x v="0"/>
    <x v="12"/>
    <n v="92.06"/>
    <n v="6"/>
    <n v="-225.56"/>
    <x v="1"/>
    <x v="2"/>
  </r>
  <r>
    <d v="2023-02-16T00:00:00"/>
    <x v="400"/>
    <x v="1"/>
    <x v="0"/>
    <x v="7"/>
    <n v="6.98"/>
    <n v="4"/>
    <n v="1.83"/>
    <x v="1"/>
    <x v="2"/>
  </r>
  <r>
    <d v="2023-02-16T00:00:00"/>
    <x v="400"/>
    <x v="1"/>
    <x v="1"/>
    <x v="5"/>
    <n v="62.96"/>
    <n v="3"/>
    <n v="-2.7"/>
    <x v="1"/>
    <x v="2"/>
  </r>
  <r>
    <d v="2023-02-16T00:00:00"/>
    <x v="400"/>
    <x v="1"/>
    <x v="0"/>
    <x v="0"/>
    <n v="5.18"/>
    <n v="1"/>
    <n v="1.81"/>
    <x v="1"/>
    <x v="2"/>
  </r>
  <r>
    <d v="2023-02-16T00:00:00"/>
    <x v="628"/>
    <x v="23"/>
    <x v="1"/>
    <x v="5"/>
    <n v="227.96"/>
    <n v="2"/>
    <n v="36.47"/>
    <x v="1"/>
    <x v="2"/>
  </r>
  <r>
    <d v="2023-02-16T00:00:00"/>
    <x v="60"/>
    <x v="5"/>
    <x v="1"/>
    <x v="8"/>
    <n v="318.08"/>
    <n v="4"/>
    <n v="34.99"/>
    <x v="1"/>
    <x v="2"/>
  </r>
  <r>
    <d v="2023-02-16T00:00:00"/>
    <x v="60"/>
    <x v="5"/>
    <x v="0"/>
    <x v="3"/>
    <n v="5.8"/>
    <n v="1"/>
    <n v="2.61"/>
    <x v="1"/>
    <x v="2"/>
  </r>
  <r>
    <d v="2023-02-16T00:00:00"/>
    <x v="453"/>
    <x v="20"/>
    <x v="1"/>
    <x v="5"/>
    <n v="326.64999999999998"/>
    <n v="3"/>
    <n v="39.92"/>
    <x v="1"/>
    <x v="2"/>
  </r>
  <r>
    <d v="2023-02-16T00:00:00"/>
    <x v="453"/>
    <x v="20"/>
    <x v="2"/>
    <x v="9"/>
    <n v="89.97"/>
    <n v="3"/>
    <n v="39.590000000000003"/>
    <x v="1"/>
    <x v="2"/>
  </r>
  <r>
    <d v="2023-02-19T00:00:00"/>
    <x v="217"/>
    <x v="20"/>
    <x v="1"/>
    <x v="8"/>
    <n v="44.46"/>
    <n v="2"/>
    <n v="14.67"/>
    <x v="1"/>
    <x v="2"/>
  </r>
  <r>
    <d v="2023-02-19T00:00:00"/>
    <x v="217"/>
    <x v="20"/>
    <x v="0"/>
    <x v="2"/>
    <n v="242.94"/>
    <n v="3"/>
    <n v="9.7200000000000006"/>
    <x v="1"/>
    <x v="2"/>
  </r>
  <r>
    <d v="2023-02-19T00:00:00"/>
    <x v="38"/>
    <x v="20"/>
    <x v="0"/>
    <x v="1"/>
    <n v="8.67"/>
    <n v="3"/>
    <n v="4.07"/>
    <x v="1"/>
    <x v="2"/>
  </r>
  <r>
    <d v="2023-02-19T00:00:00"/>
    <x v="38"/>
    <x v="20"/>
    <x v="0"/>
    <x v="14"/>
    <n v="25.71"/>
    <n v="3"/>
    <n v="6.68"/>
    <x v="1"/>
    <x v="2"/>
  </r>
  <r>
    <d v="2023-02-19T00:00:00"/>
    <x v="217"/>
    <x v="3"/>
    <x v="0"/>
    <x v="0"/>
    <n v="70.88"/>
    <n v="2"/>
    <n v="33.31"/>
    <x v="1"/>
    <x v="2"/>
  </r>
  <r>
    <d v="2023-02-20T00:00:00"/>
    <x v="545"/>
    <x v="15"/>
    <x v="0"/>
    <x v="0"/>
    <n v="16.5"/>
    <n v="2"/>
    <n v="5.57"/>
    <x v="1"/>
    <x v="2"/>
  </r>
  <r>
    <d v="2023-02-21T00:00:00"/>
    <x v="543"/>
    <x v="3"/>
    <x v="2"/>
    <x v="9"/>
    <n v="12.99"/>
    <n v="1"/>
    <n v="0.78"/>
    <x v="1"/>
    <x v="2"/>
  </r>
  <r>
    <d v="2023-02-21T00:00:00"/>
    <x v="543"/>
    <x v="3"/>
    <x v="0"/>
    <x v="3"/>
    <n v="18.559999999999999"/>
    <n v="4"/>
    <n v="6.5"/>
    <x v="1"/>
    <x v="2"/>
  </r>
  <r>
    <d v="2023-02-21T00:00:00"/>
    <x v="543"/>
    <x v="3"/>
    <x v="0"/>
    <x v="2"/>
    <n v="449.15"/>
    <n v="5"/>
    <n v="8.98"/>
    <x v="1"/>
    <x v="2"/>
  </r>
  <r>
    <d v="2023-02-21T00:00:00"/>
    <x v="543"/>
    <x v="3"/>
    <x v="0"/>
    <x v="3"/>
    <n v="31.25"/>
    <n v="7"/>
    <n v="10.94"/>
    <x v="1"/>
    <x v="2"/>
  </r>
  <r>
    <d v="2023-02-21T00:00:00"/>
    <x v="625"/>
    <x v="20"/>
    <x v="1"/>
    <x v="8"/>
    <n v="68.95"/>
    <n v="5"/>
    <n v="28.96"/>
    <x v="1"/>
    <x v="2"/>
  </r>
  <r>
    <d v="2023-02-21T00:00:00"/>
    <x v="625"/>
    <x v="20"/>
    <x v="0"/>
    <x v="2"/>
    <n v="296.37"/>
    <n v="3"/>
    <n v="80.02"/>
    <x v="1"/>
    <x v="2"/>
  </r>
  <r>
    <d v="2023-02-21T00:00:00"/>
    <x v="625"/>
    <x v="20"/>
    <x v="2"/>
    <x v="6"/>
    <n v="39.979999999999997"/>
    <n v="2"/>
    <n v="2"/>
    <x v="1"/>
    <x v="2"/>
  </r>
  <r>
    <d v="2023-02-21T00:00:00"/>
    <x v="607"/>
    <x v="16"/>
    <x v="0"/>
    <x v="3"/>
    <n v="3.76"/>
    <n v="3"/>
    <n v="-2.76"/>
    <x v="1"/>
    <x v="2"/>
  </r>
  <r>
    <d v="2023-02-21T00:00:00"/>
    <x v="607"/>
    <x v="16"/>
    <x v="0"/>
    <x v="3"/>
    <n v="34.86"/>
    <n v="2"/>
    <n v="-26.73"/>
    <x v="1"/>
    <x v="2"/>
  </r>
  <r>
    <d v="2023-02-21T00:00:00"/>
    <x v="607"/>
    <x v="16"/>
    <x v="0"/>
    <x v="2"/>
    <n v="432.46"/>
    <n v="3"/>
    <n v="32.43"/>
    <x v="1"/>
    <x v="2"/>
  </r>
  <r>
    <d v="2023-02-21T00:00:00"/>
    <x v="400"/>
    <x v="20"/>
    <x v="1"/>
    <x v="8"/>
    <n v="135.80000000000001"/>
    <n v="7"/>
    <n v="66.540000000000006"/>
    <x v="1"/>
    <x v="2"/>
  </r>
  <r>
    <d v="2023-02-22T00:00:00"/>
    <x v="298"/>
    <x v="21"/>
    <x v="0"/>
    <x v="12"/>
    <n v="490.32"/>
    <n v="9"/>
    <n v="137.29"/>
    <x v="1"/>
    <x v="2"/>
  </r>
  <r>
    <d v="2023-02-22T00:00:00"/>
    <x v="501"/>
    <x v="3"/>
    <x v="2"/>
    <x v="6"/>
    <n v="445.96"/>
    <n v="5"/>
    <n v="55.75"/>
    <x v="1"/>
    <x v="2"/>
  </r>
  <r>
    <d v="2023-02-22T00:00:00"/>
    <x v="501"/>
    <x v="3"/>
    <x v="2"/>
    <x v="9"/>
    <n v="36.24"/>
    <n v="1"/>
    <n v="15.22"/>
    <x v="1"/>
    <x v="2"/>
  </r>
  <r>
    <d v="2023-02-22T00:00:00"/>
    <x v="501"/>
    <x v="3"/>
    <x v="0"/>
    <x v="7"/>
    <n v="10.65"/>
    <n v="3"/>
    <n v="5.01"/>
    <x v="1"/>
    <x v="2"/>
  </r>
  <r>
    <d v="2023-02-23T00:00:00"/>
    <x v="296"/>
    <x v="2"/>
    <x v="0"/>
    <x v="10"/>
    <n v="57.58"/>
    <n v="3"/>
    <n v="21.59"/>
    <x v="1"/>
    <x v="2"/>
  </r>
  <r>
    <d v="2023-02-25T00:00:00"/>
    <x v="664"/>
    <x v="10"/>
    <x v="0"/>
    <x v="10"/>
    <n v="46.72"/>
    <n v="5"/>
    <n v="17.52"/>
    <x v="1"/>
    <x v="2"/>
  </r>
  <r>
    <d v="2023-02-27T00:00:00"/>
    <x v="275"/>
    <x v="20"/>
    <x v="0"/>
    <x v="12"/>
    <n v="170.88"/>
    <n v="3"/>
    <n v="49.56"/>
    <x v="1"/>
    <x v="2"/>
  </r>
  <r>
    <d v="2023-02-27T00:00:00"/>
    <x v="34"/>
    <x v="21"/>
    <x v="0"/>
    <x v="3"/>
    <n v="56.82"/>
    <n v="3"/>
    <n v="28.41"/>
    <x v="1"/>
    <x v="2"/>
  </r>
  <r>
    <d v="2023-02-27T00:00:00"/>
    <x v="738"/>
    <x v="0"/>
    <x v="1"/>
    <x v="8"/>
    <n v="16.190000000000001"/>
    <n v="2"/>
    <n v="-6.88"/>
    <x v="1"/>
    <x v="2"/>
  </r>
  <r>
    <d v="2023-02-28T00:00:00"/>
    <x v="390"/>
    <x v="20"/>
    <x v="0"/>
    <x v="7"/>
    <n v="36.479999999999997"/>
    <n v="6"/>
    <n v="18.239999999999998"/>
    <x v="1"/>
    <x v="2"/>
  </r>
  <r>
    <d v="2023-03-01T00:00:00"/>
    <x v="502"/>
    <x v="20"/>
    <x v="1"/>
    <x v="13"/>
    <n v="836.59"/>
    <n v="8"/>
    <n v="-264.92"/>
    <x v="2"/>
    <x v="2"/>
  </r>
  <r>
    <d v="2023-03-01T00:00:00"/>
    <x v="502"/>
    <x v="20"/>
    <x v="0"/>
    <x v="0"/>
    <n v="26.38"/>
    <n v="1"/>
    <n v="12.13"/>
    <x v="2"/>
    <x v="2"/>
  </r>
  <r>
    <d v="2023-03-01T00:00:00"/>
    <x v="502"/>
    <x v="20"/>
    <x v="0"/>
    <x v="2"/>
    <n v="362.92"/>
    <n v="2"/>
    <n v="105.25"/>
    <x v="2"/>
    <x v="2"/>
  </r>
  <r>
    <d v="2023-03-01T00:00:00"/>
    <x v="502"/>
    <x v="20"/>
    <x v="2"/>
    <x v="15"/>
    <n v="4899.93"/>
    <n v="7"/>
    <n v="2400.9699999999998"/>
    <x v="2"/>
    <x v="2"/>
  </r>
  <r>
    <d v="2023-03-01T00:00:00"/>
    <x v="402"/>
    <x v="26"/>
    <x v="2"/>
    <x v="6"/>
    <n v="159.97999999999999"/>
    <n v="2"/>
    <n v="14"/>
    <x v="2"/>
    <x v="2"/>
  </r>
  <r>
    <d v="2023-03-03T00:00:00"/>
    <x v="248"/>
    <x v="7"/>
    <x v="0"/>
    <x v="3"/>
    <n v="447.86"/>
    <n v="7"/>
    <n v="219.45"/>
    <x v="2"/>
    <x v="2"/>
  </r>
  <r>
    <d v="2023-03-03T00:00:00"/>
    <x v="248"/>
    <x v="7"/>
    <x v="2"/>
    <x v="6"/>
    <n v="479.95"/>
    <n v="5"/>
    <n v="129.59"/>
    <x v="2"/>
    <x v="2"/>
  </r>
  <r>
    <d v="2023-03-03T00:00:00"/>
    <x v="248"/>
    <x v="7"/>
    <x v="0"/>
    <x v="0"/>
    <n v="166.44"/>
    <n v="3"/>
    <n v="79.89"/>
    <x v="2"/>
    <x v="2"/>
  </r>
  <r>
    <d v="2023-03-03T00:00:00"/>
    <x v="739"/>
    <x v="0"/>
    <x v="0"/>
    <x v="0"/>
    <n v="42.78"/>
    <n v="7"/>
    <n v="15.51"/>
    <x v="2"/>
    <x v="2"/>
  </r>
  <r>
    <d v="2023-03-03T00:00:00"/>
    <x v="739"/>
    <x v="0"/>
    <x v="1"/>
    <x v="5"/>
    <n v="563.42999999999995"/>
    <n v="5"/>
    <n v="-56.34"/>
    <x v="2"/>
    <x v="2"/>
  </r>
  <r>
    <d v="2023-03-03T00:00:00"/>
    <x v="583"/>
    <x v="18"/>
    <x v="2"/>
    <x v="6"/>
    <n v="134.85"/>
    <n v="3"/>
    <n v="37.76"/>
    <x v="2"/>
    <x v="2"/>
  </r>
  <r>
    <d v="2023-03-03T00:00:00"/>
    <x v="393"/>
    <x v="0"/>
    <x v="1"/>
    <x v="13"/>
    <n v="637.9"/>
    <n v="3"/>
    <n v="-127.58"/>
    <x v="2"/>
    <x v="2"/>
  </r>
  <r>
    <d v="2023-03-03T00:00:00"/>
    <x v="393"/>
    <x v="0"/>
    <x v="2"/>
    <x v="15"/>
    <n v="287.91000000000003"/>
    <n v="3"/>
    <n v="33.590000000000003"/>
    <x v="2"/>
    <x v="2"/>
  </r>
  <r>
    <d v="2023-03-03T00:00:00"/>
    <x v="393"/>
    <x v="0"/>
    <x v="0"/>
    <x v="10"/>
    <n v="36.6"/>
    <n v="3"/>
    <n v="11.9"/>
    <x v="2"/>
    <x v="2"/>
  </r>
  <r>
    <d v="2023-03-03T00:00:00"/>
    <x v="161"/>
    <x v="3"/>
    <x v="0"/>
    <x v="14"/>
    <n v="25.35"/>
    <n v="3"/>
    <n v="7.61"/>
    <x v="2"/>
    <x v="2"/>
  </r>
  <r>
    <d v="2023-03-03T00:00:00"/>
    <x v="161"/>
    <x v="3"/>
    <x v="1"/>
    <x v="8"/>
    <n v="35.28"/>
    <n v="3"/>
    <n v="12"/>
    <x v="2"/>
    <x v="2"/>
  </r>
  <r>
    <d v="2023-03-03T00:00:00"/>
    <x v="116"/>
    <x v="0"/>
    <x v="0"/>
    <x v="14"/>
    <n v="3930.07"/>
    <n v="3"/>
    <n v="-786.01"/>
    <x v="2"/>
    <x v="2"/>
  </r>
  <r>
    <d v="2023-03-03T00:00:00"/>
    <x v="116"/>
    <x v="0"/>
    <x v="0"/>
    <x v="7"/>
    <n v="2.2999999999999998"/>
    <n v="1"/>
    <n v="0.78"/>
    <x v="2"/>
    <x v="2"/>
  </r>
  <r>
    <d v="2023-03-03T00:00:00"/>
    <x v="116"/>
    <x v="0"/>
    <x v="2"/>
    <x v="6"/>
    <n v="431.98"/>
    <n v="3"/>
    <n v="32.4"/>
    <x v="2"/>
    <x v="2"/>
  </r>
  <r>
    <d v="2023-03-03T00:00:00"/>
    <x v="116"/>
    <x v="0"/>
    <x v="2"/>
    <x v="9"/>
    <n v="41.72"/>
    <n v="7"/>
    <n v="5.74"/>
    <x v="2"/>
    <x v="2"/>
  </r>
  <r>
    <d v="2023-03-04T00:00:00"/>
    <x v="588"/>
    <x v="3"/>
    <x v="0"/>
    <x v="4"/>
    <n v="16.989999999999998"/>
    <n v="1"/>
    <n v="4.93"/>
    <x v="2"/>
    <x v="2"/>
  </r>
  <r>
    <d v="2023-03-04T00:00:00"/>
    <x v="211"/>
    <x v="16"/>
    <x v="0"/>
    <x v="1"/>
    <n v="10.08"/>
    <n v="4"/>
    <n v="3.53"/>
    <x v="2"/>
    <x v="2"/>
  </r>
  <r>
    <d v="2023-03-04T00:00:00"/>
    <x v="247"/>
    <x v="18"/>
    <x v="0"/>
    <x v="3"/>
    <n v="128.4"/>
    <n v="3"/>
    <n v="64.2"/>
    <x v="2"/>
    <x v="2"/>
  </r>
  <r>
    <d v="2023-03-04T00:00:00"/>
    <x v="654"/>
    <x v="38"/>
    <x v="2"/>
    <x v="9"/>
    <n v="159.97999999999999"/>
    <n v="2"/>
    <n v="57.59"/>
    <x v="2"/>
    <x v="2"/>
  </r>
  <r>
    <d v="2023-03-05T00:00:00"/>
    <x v="274"/>
    <x v="0"/>
    <x v="0"/>
    <x v="10"/>
    <n v="149.35"/>
    <n v="3"/>
    <n v="50.41"/>
    <x v="2"/>
    <x v="2"/>
  </r>
  <r>
    <d v="2023-03-05T00:00:00"/>
    <x v="274"/>
    <x v="0"/>
    <x v="0"/>
    <x v="2"/>
    <n v="12.99"/>
    <n v="1"/>
    <n v="-0.81"/>
    <x v="2"/>
    <x v="2"/>
  </r>
  <r>
    <d v="2023-03-06T00:00:00"/>
    <x v="640"/>
    <x v="2"/>
    <x v="2"/>
    <x v="6"/>
    <n v="431.94"/>
    <n v="2"/>
    <n v="-71.989999999999995"/>
    <x v="2"/>
    <x v="2"/>
  </r>
  <r>
    <d v="2023-03-06T00:00:00"/>
    <x v="640"/>
    <x v="2"/>
    <x v="0"/>
    <x v="3"/>
    <n v="2.04"/>
    <n v="1"/>
    <n v="-1.5"/>
    <x v="2"/>
    <x v="2"/>
  </r>
  <r>
    <d v="2023-03-06T00:00:00"/>
    <x v="640"/>
    <x v="2"/>
    <x v="2"/>
    <x v="6"/>
    <n v="68.239999999999995"/>
    <n v="3"/>
    <n v="-12.51"/>
    <x v="2"/>
    <x v="2"/>
  </r>
  <r>
    <d v="2023-03-06T00:00:00"/>
    <x v="641"/>
    <x v="1"/>
    <x v="0"/>
    <x v="12"/>
    <n v="2.33"/>
    <n v="3"/>
    <n v="-6.3"/>
    <x v="2"/>
    <x v="2"/>
  </r>
  <r>
    <d v="2023-03-06T00:00:00"/>
    <x v="641"/>
    <x v="1"/>
    <x v="0"/>
    <x v="3"/>
    <n v="1.73"/>
    <n v="4"/>
    <n v="-2.76"/>
    <x v="2"/>
    <x v="2"/>
  </r>
  <r>
    <d v="2023-03-06T00:00:00"/>
    <x v="641"/>
    <x v="1"/>
    <x v="1"/>
    <x v="8"/>
    <n v="159.04"/>
    <n v="5"/>
    <n v="-194.82"/>
    <x v="2"/>
    <x v="2"/>
  </r>
  <r>
    <d v="2023-03-06T00:00:00"/>
    <x v="641"/>
    <x v="1"/>
    <x v="1"/>
    <x v="13"/>
    <n v="145.97999999999999"/>
    <n v="2"/>
    <n v="-99.27"/>
    <x v="2"/>
    <x v="2"/>
  </r>
  <r>
    <d v="2023-03-07T00:00:00"/>
    <x v="290"/>
    <x v="0"/>
    <x v="2"/>
    <x v="6"/>
    <n v="21.07"/>
    <n v="3"/>
    <n v="1.58"/>
    <x v="2"/>
    <x v="2"/>
  </r>
  <r>
    <d v="2023-03-08T00:00:00"/>
    <x v="456"/>
    <x v="16"/>
    <x v="2"/>
    <x v="6"/>
    <n v="1363.96"/>
    <n v="5"/>
    <n v="85.25"/>
    <x v="2"/>
    <x v="2"/>
  </r>
  <r>
    <d v="2023-03-08T00:00:00"/>
    <x v="456"/>
    <x v="16"/>
    <x v="1"/>
    <x v="8"/>
    <n v="102.36"/>
    <n v="3"/>
    <n v="-3.84"/>
    <x v="2"/>
    <x v="2"/>
  </r>
  <r>
    <d v="2023-03-08T00:00:00"/>
    <x v="190"/>
    <x v="12"/>
    <x v="0"/>
    <x v="3"/>
    <n v="9.6999999999999993"/>
    <n v="3"/>
    <n v="-7.11"/>
    <x v="2"/>
    <x v="2"/>
  </r>
  <r>
    <d v="2023-03-08T00:00:00"/>
    <x v="280"/>
    <x v="2"/>
    <x v="2"/>
    <x v="6"/>
    <n v="108.58"/>
    <n v="4"/>
    <n v="-25.33"/>
    <x v="2"/>
    <x v="2"/>
  </r>
  <r>
    <d v="2023-03-08T00:00:00"/>
    <x v="280"/>
    <x v="2"/>
    <x v="0"/>
    <x v="7"/>
    <n v="5.98"/>
    <n v="2"/>
    <n v="-1.35"/>
    <x v="2"/>
    <x v="2"/>
  </r>
  <r>
    <d v="2023-03-08T00:00:00"/>
    <x v="656"/>
    <x v="20"/>
    <x v="1"/>
    <x v="8"/>
    <n v="113.6"/>
    <n v="8"/>
    <n v="44.3"/>
    <x v="2"/>
    <x v="2"/>
  </r>
  <r>
    <d v="2023-03-08T00:00:00"/>
    <x v="656"/>
    <x v="20"/>
    <x v="0"/>
    <x v="0"/>
    <n v="12.96"/>
    <n v="2"/>
    <n v="6.35"/>
    <x v="2"/>
    <x v="2"/>
  </r>
  <r>
    <d v="2023-03-08T00:00:00"/>
    <x v="656"/>
    <x v="20"/>
    <x v="0"/>
    <x v="3"/>
    <n v="69.459999999999994"/>
    <n v="2"/>
    <n v="22.57"/>
    <x v="2"/>
    <x v="2"/>
  </r>
  <r>
    <d v="2023-03-08T00:00:00"/>
    <x v="694"/>
    <x v="0"/>
    <x v="0"/>
    <x v="3"/>
    <n v="8.86"/>
    <n v="9"/>
    <n v="-14.17"/>
    <x v="2"/>
    <x v="2"/>
  </r>
  <r>
    <d v="2023-03-08T00:00:00"/>
    <x v="694"/>
    <x v="0"/>
    <x v="2"/>
    <x v="9"/>
    <n v="27.96"/>
    <n v="5"/>
    <n v="8.39"/>
    <x v="2"/>
    <x v="2"/>
  </r>
  <r>
    <d v="2023-03-08T00:00:00"/>
    <x v="694"/>
    <x v="0"/>
    <x v="0"/>
    <x v="10"/>
    <n v="146.35"/>
    <n v="3"/>
    <n v="49.39"/>
    <x v="2"/>
    <x v="2"/>
  </r>
  <r>
    <d v="2023-03-08T00:00:00"/>
    <x v="153"/>
    <x v="14"/>
    <x v="0"/>
    <x v="12"/>
    <n v="207.14"/>
    <n v="3"/>
    <n v="48.33"/>
    <x v="2"/>
    <x v="2"/>
  </r>
  <r>
    <d v="2023-03-08T00:00:00"/>
    <x v="153"/>
    <x v="14"/>
    <x v="0"/>
    <x v="4"/>
    <n v="13.9"/>
    <n v="5"/>
    <n v="3.75"/>
    <x v="2"/>
    <x v="2"/>
  </r>
  <r>
    <d v="2023-03-09T00:00:00"/>
    <x v="81"/>
    <x v="37"/>
    <x v="2"/>
    <x v="9"/>
    <n v="199.75"/>
    <n v="5"/>
    <n v="87.89"/>
    <x v="2"/>
    <x v="2"/>
  </r>
  <r>
    <d v="2023-03-09T00:00:00"/>
    <x v="255"/>
    <x v="32"/>
    <x v="0"/>
    <x v="2"/>
    <n v="11.21"/>
    <n v="1"/>
    <n v="3.36"/>
    <x v="2"/>
    <x v="2"/>
  </r>
  <r>
    <d v="2023-03-09T00:00:00"/>
    <x v="255"/>
    <x v="32"/>
    <x v="1"/>
    <x v="5"/>
    <n v="354.9"/>
    <n v="5"/>
    <n v="88.73"/>
    <x v="2"/>
    <x v="2"/>
  </r>
  <r>
    <d v="2023-03-09T00:00:00"/>
    <x v="255"/>
    <x v="32"/>
    <x v="0"/>
    <x v="0"/>
    <n v="17.940000000000001"/>
    <n v="3"/>
    <n v="8.7899999999999991"/>
    <x v="2"/>
    <x v="2"/>
  </r>
  <r>
    <d v="2023-03-09T00:00:00"/>
    <x v="255"/>
    <x v="32"/>
    <x v="0"/>
    <x v="3"/>
    <n v="51.8"/>
    <n v="4"/>
    <n v="23.31"/>
    <x v="2"/>
    <x v="2"/>
  </r>
  <r>
    <d v="2023-03-10T00:00:00"/>
    <x v="740"/>
    <x v="20"/>
    <x v="1"/>
    <x v="11"/>
    <n v="176.78"/>
    <n v="1"/>
    <n v="-22.1"/>
    <x v="2"/>
    <x v="2"/>
  </r>
  <r>
    <d v="2023-03-10T00:00:00"/>
    <x v="741"/>
    <x v="2"/>
    <x v="2"/>
    <x v="9"/>
    <n v="39.99"/>
    <n v="1"/>
    <n v="7.5"/>
    <x v="2"/>
    <x v="2"/>
  </r>
  <r>
    <d v="2023-03-10T00:00:00"/>
    <x v="432"/>
    <x v="3"/>
    <x v="0"/>
    <x v="0"/>
    <n v="14.9"/>
    <n v="5"/>
    <n v="7.15"/>
    <x v="2"/>
    <x v="2"/>
  </r>
  <r>
    <d v="2023-03-10T00:00:00"/>
    <x v="432"/>
    <x v="3"/>
    <x v="2"/>
    <x v="6"/>
    <n v="4158.91"/>
    <n v="8"/>
    <n v="363.9"/>
    <x v="2"/>
    <x v="2"/>
  </r>
  <r>
    <d v="2023-03-10T00:00:00"/>
    <x v="511"/>
    <x v="3"/>
    <x v="2"/>
    <x v="9"/>
    <n v="26.85"/>
    <n v="3"/>
    <n v="5.0999999999999996"/>
    <x v="2"/>
    <x v="2"/>
  </r>
  <r>
    <d v="2023-03-10T00:00:00"/>
    <x v="511"/>
    <x v="3"/>
    <x v="2"/>
    <x v="15"/>
    <n v="3357.6"/>
    <n v="3"/>
    <n v="377.73"/>
    <x v="2"/>
    <x v="2"/>
  </r>
  <r>
    <d v="2023-03-10T00:00:00"/>
    <x v="223"/>
    <x v="12"/>
    <x v="0"/>
    <x v="2"/>
    <n v="104.7"/>
    <n v="1"/>
    <n v="6.54"/>
    <x v="2"/>
    <x v="2"/>
  </r>
  <r>
    <d v="2023-03-11T00:00:00"/>
    <x v="402"/>
    <x v="28"/>
    <x v="2"/>
    <x v="9"/>
    <n v="45.98"/>
    <n v="2"/>
    <n v="19.77"/>
    <x v="2"/>
    <x v="2"/>
  </r>
  <r>
    <d v="2023-03-11T00:00:00"/>
    <x v="402"/>
    <x v="28"/>
    <x v="0"/>
    <x v="3"/>
    <n v="17.46"/>
    <n v="2"/>
    <n v="8.2100000000000009"/>
    <x v="2"/>
    <x v="2"/>
  </r>
  <r>
    <d v="2023-03-11T00:00:00"/>
    <x v="2"/>
    <x v="23"/>
    <x v="1"/>
    <x v="13"/>
    <n v="244.01"/>
    <n v="2"/>
    <n v="-31.37"/>
    <x v="2"/>
    <x v="2"/>
  </r>
  <r>
    <d v="2023-03-11T00:00:00"/>
    <x v="425"/>
    <x v="4"/>
    <x v="1"/>
    <x v="8"/>
    <n v="76.92"/>
    <n v="4"/>
    <n v="31.54"/>
    <x v="2"/>
    <x v="2"/>
  </r>
  <r>
    <d v="2023-03-11T00:00:00"/>
    <x v="425"/>
    <x v="4"/>
    <x v="0"/>
    <x v="2"/>
    <n v="481.32"/>
    <n v="4"/>
    <n v="125.14"/>
    <x v="2"/>
    <x v="2"/>
  </r>
  <r>
    <d v="2023-03-11T00:00:00"/>
    <x v="730"/>
    <x v="2"/>
    <x v="1"/>
    <x v="8"/>
    <n v="30.34"/>
    <n v="4"/>
    <n v="9.48"/>
    <x v="2"/>
    <x v="2"/>
  </r>
  <r>
    <d v="2023-03-12T00:00:00"/>
    <x v="411"/>
    <x v="8"/>
    <x v="0"/>
    <x v="0"/>
    <n v="12.96"/>
    <n v="2"/>
    <n v="6.22"/>
    <x v="2"/>
    <x v="2"/>
  </r>
  <r>
    <d v="2023-03-12T00:00:00"/>
    <x v="584"/>
    <x v="20"/>
    <x v="0"/>
    <x v="10"/>
    <n v="29.34"/>
    <n v="3"/>
    <n v="13.5"/>
    <x v="2"/>
    <x v="2"/>
  </r>
  <r>
    <d v="2023-03-12T00:00:00"/>
    <x v="78"/>
    <x v="3"/>
    <x v="0"/>
    <x v="2"/>
    <n v="676.55"/>
    <n v="5"/>
    <n v="6.77"/>
    <x v="2"/>
    <x v="2"/>
  </r>
  <r>
    <d v="2023-03-12T00:00:00"/>
    <x v="78"/>
    <x v="3"/>
    <x v="0"/>
    <x v="12"/>
    <n v="154.9"/>
    <n v="5"/>
    <n v="40.270000000000003"/>
    <x v="2"/>
    <x v="2"/>
  </r>
  <r>
    <d v="2023-03-12T00:00:00"/>
    <x v="78"/>
    <x v="3"/>
    <x v="0"/>
    <x v="10"/>
    <n v="30.56"/>
    <n v="4"/>
    <n v="14.97"/>
    <x v="2"/>
    <x v="2"/>
  </r>
  <r>
    <d v="2023-03-12T00:00:00"/>
    <x v="78"/>
    <x v="3"/>
    <x v="1"/>
    <x v="5"/>
    <n v="770.35"/>
    <n v="3"/>
    <n v="77.040000000000006"/>
    <x v="2"/>
    <x v="2"/>
  </r>
  <r>
    <d v="2023-03-12T00:00:00"/>
    <x v="308"/>
    <x v="3"/>
    <x v="0"/>
    <x v="0"/>
    <n v="19.98"/>
    <n v="2"/>
    <n v="8.99"/>
    <x v="2"/>
    <x v="2"/>
  </r>
  <r>
    <d v="2023-03-13T00:00:00"/>
    <x v="581"/>
    <x v="12"/>
    <x v="0"/>
    <x v="12"/>
    <n v="157.91999999999999"/>
    <n v="5"/>
    <n v="17.77"/>
    <x v="2"/>
    <x v="2"/>
  </r>
  <r>
    <d v="2023-03-13T00:00:00"/>
    <x v="581"/>
    <x v="12"/>
    <x v="2"/>
    <x v="6"/>
    <n v="203.18"/>
    <n v="2"/>
    <n v="15.24"/>
    <x v="2"/>
    <x v="2"/>
  </r>
  <r>
    <d v="2023-03-13T00:00:00"/>
    <x v="235"/>
    <x v="0"/>
    <x v="0"/>
    <x v="0"/>
    <n v="70.08"/>
    <n v="5"/>
    <n v="24.53"/>
    <x v="2"/>
    <x v="2"/>
  </r>
  <r>
    <d v="2023-03-13T00:00:00"/>
    <x v="235"/>
    <x v="0"/>
    <x v="0"/>
    <x v="3"/>
    <n v="1.27"/>
    <n v="2"/>
    <n v="-2.16"/>
    <x v="2"/>
    <x v="2"/>
  </r>
  <r>
    <d v="2023-03-13T00:00:00"/>
    <x v="235"/>
    <x v="0"/>
    <x v="1"/>
    <x v="13"/>
    <n v="557.59"/>
    <n v="5"/>
    <n v="0"/>
    <x v="2"/>
    <x v="2"/>
  </r>
  <r>
    <d v="2023-03-13T00:00:00"/>
    <x v="692"/>
    <x v="6"/>
    <x v="1"/>
    <x v="8"/>
    <n v="127.88"/>
    <n v="2"/>
    <n v="40.92"/>
    <x v="2"/>
    <x v="2"/>
  </r>
  <r>
    <d v="2023-03-13T00:00:00"/>
    <x v="692"/>
    <x v="6"/>
    <x v="0"/>
    <x v="12"/>
    <n v="160.32"/>
    <n v="2"/>
    <n v="44.89"/>
    <x v="2"/>
    <x v="2"/>
  </r>
  <r>
    <d v="2023-03-13T00:00:00"/>
    <x v="692"/>
    <x v="6"/>
    <x v="0"/>
    <x v="3"/>
    <n v="46"/>
    <n v="4"/>
    <n v="20.7"/>
    <x v="2"/>
    <x v="2"/>
  </r>
  <r>
    <d v="2023-03-13T00:00:00"/>
    <x v="150"/>
    <x v="3"/>
    <x v="1"/>
    <x v="8"/>
    <n v="28.28"/>
    <n v="2"/>
    <n v="7.35"/>
    <x v="2"/>
    <x v="2"/>
  </r>
  <r>
    <d v="2023-03-13T00:00:00"/>
    <x v="150"/>
    <x v="3"/>
    <x v="0"/>
    <x v="14"/>
    <n v="4912.59"/>
    <n v="3"/>
    <n v="196.5"/>
    <x v="2"/>
    <x v="2"/>
  </r>
  <r>
    <d v="2023-03-13T00:00:00"/>
    <x v="660"/>
    <x v="2"/>
    <x v="1"/>
    <x v="5"/>
    <n v="386.68"/>
    <n v="2"/>
    <n v="-5.52"/>
    <x v="2"/>
    <x v="2"/>
  </r>
  <r>
    <d v="2023-03-13T00:00:00"/>
    <x v="660"/>
    <x v="2"/>
    <x v="2"/>
    <x v="9"/>
    <n v="379.96"/>
    <n v="5"/>
    <n v="47.5"/>
    <x v="2"/>
    <x v="2"/>
  </r>
  <r>
    <d v="2023-03-13T00:00:00"/>
    <x v="660"/>
    <x v="2"/>
    <x v="2"/>
    <x v="6"/>
    <n v="539.91"/>
    <n v="3"/>
    <n v="-116.98"/>
    <x v="2"/>
    <x v="2"/>
  </r>
  <r>
    <d v="2023-03-13T00:00:00"/>
    <x v="660"/>
    <x v="2"/>
    <x v="0"/>
    <x v="0"/>
    <n v="41.24"/>
    <n v="5"/>
    <n v="13.92"/>
    <x v="2"/>
    <x v="2"/>
  </r>
  <r>
    <d v="2023-03-13T00:00:00"/>
    <x v="660"/>
    <x v="2"/>
    <x v="0"/>
    <x v="3"/>
    <n v="51.9"/>
    <n v="1"/>
    <n v="-41.52"/>
    <x v="2"/>
    <x v="2"/>
  </r>
  <r>
    <d v="2023-03-13T00:00:00"/>
    <x v="660"/>
    <x v="2"/>
    <x v="0"/>
    <x v="2"/>
    <n v="552.55999999999995"/>
    <n v="5"/>
    <n v="-138.13999999999999"/>
    <x v="2"/>
    <x v="2"/>
  </r>
  <r>
    <d v="2023-03-13T00:00:00"/>
    <x v="660"/>
    <x v="2"/>
    <x v="0"/>
    <x v="3"/>
    <n v="23.16"/>
    <n v="5"/>
    <n v="-15.44"/>
    <x v="2"/>
    <x v="2"/>
  </r>
  <r>
    <d v="2023-03-13T00:00:00"/>
    <x v="660"/>
    <x v="2"/>
    <x v="0"/>
    <x v="2"/>
    <n v="126.08"/>
    <n v="2"/>
    <n v="-28.37"/>
    <x v="2"/>
    <x v="2"/>
  </r>
  <r>
    <d v="2023-03-13T00:00:00"/>
    <x v="660"/>
    <x v="2"/>
    <x v="2"/>
    <x v="15"/>
    <n v="449.1"/>
    <n v="3"/>
    <n v="-643.71"/>
    <x v="2"/>
    <x v="2"/>
  </r>
  <r>
    <d v="2023-03-13T00:00:00"/>
    <x v="524"/>
    <x v="3"/>
    <x v="0"/>
    <x v="3"/>
    <n v="51.18"/>
    <n v="7"/>
    <n v="19.190000000000001"/>
    <x v="2"/>
    <x v="2"/>
  </r>
  <r>
    <d v="2023-03-14T00:00:00"/>
    <x v="742"/>
    <x v="10"/>
    <x v="1"/>
    <x v="8"/>
    <n v="21.88"/>
    <n v="5"/>
    <n v="6.29"/>
    <x v="2"/>
    <x v="2"/>
  </r>
  <r>
    <d v="2023-03-14T00:00:00"/>
    <x v="143"/>
    <x v="0"/>
    <x v="1"/>
    <x v="11"/>
    <n v="241.33"/>
    <n v="5"/>
    <n v="-14.2"/>
    <x v="2"/>
    <x v="2"/>
  </r>
  <r>
    <d v="2023-03-14T00:00:00"/>
    <x v="143"/>
    <x v="0"/>
    <x v="0"/>
    <x v="0"/>
    <n v="5.18"/>
    <n v="1"/>
    <n v="1.88"/>
    <x v="2"/>
    <x v="2"/>
  </r>
  <r>
    <d v="2023-03-14T00:00:00"/>
    <x v="143"/>
    <x v="0"/>
    <x v="0"/>
    <x v="4"/>
    <n v="145.54"/>
    <n v="7"/>
    <n v="16.37"/>
    <x v="2"/>
    <x v="2"/>
  </r>
  <r>
    <d v="2023-03-14T00:00:00"/>
    <x v="22"/>
    <x v="22"/>
    <x v="1"/>
    <x v="5"/>
    <n v="196.78"/>
    <n v="2"/>
    <n v="-22.14"/>
    <x v="2"/>
    <x v="2"/>
  </r>
  <r>
    <d v="2023-03-14T00:00:00"/>
    <x v="153"/>
    <x v="3"/>
    <x v="0"/>
    <x v="3"/>
    <n v="41.9"/>
    <n v="6"/>
    <n v="14.14"/>
    <x v="2"/>
    <x v="2"/>
  </r>
  <r>
    <d v="2023-03-14T00:00:00"/>
    <x v="457"/>
    <x v="21"/>
    <x v="1"/>
    <x v="8"/>
    <n v="16.739999999999998"/>
    <n v="2"/>
    <n v="4.3499999999999996"/>
    <x v="2"/>
    <x v="2"/>
  </r>
  <r>
    <d v="2023-03-15T00:00:00"/>
    <x v="485"/>
    <x v="2"/>
    <x v="2"/>
    <x v="9"/>
    <n v="83.98"/>
    <n v="3"/>
    <n v="-13.65"/>
    <x v="2"/>
    <x v="2"/>
  </r>
  <r>
    <d v="2023-03-15T00:00:00"/>
    <x v="452"/>
    <x v="3"/>
    <x v="0"/>
    <x v="3"/>
    <n v="4.54"/>
    <n v="2"/>
    <n v="1.65"/>
    <x v="2"/>
    <x v="2"/>
  </r>
  <r>
    <d v="2023-03-15T00:00:00"/>
    <x v="452"/>
    <x v="3"/>
    <x v="1"/>
    <x v="5"/>
    <n v="1352.03"/>
    <n v="4"/>
    <n v="84.5"/>
    <x v="2"/>
    <x v="2"/>
  </r>
  <r>
    <d v="2023-03-15T00:00:00"/>
    <x v="694"/>
    <x v="29"/>
    <x v="0"/>
    <x v="0"/>
    <n v="319.76"/>
    <n v="14"/>
    <n v="147.09"/>
    <x v="2"/>
    <x v="2"/>
  </r>
  <r>
    <d v="2023-03-15T00:00:00"/>
    <x v="694"/>
    <x v="29"/>
    <x v="0"/>
    <x v="0"/>
    <n v="45.68"/>
    <n v="2"/>
    <n v="21.01"/>
    <x v="2"/>
    <x v="2"/>
  </r>
  <r>
    <d v="2023-03-15T00:00:00"/>
    <x v="168"/>
    <x v="0"/>
    <x v="1"/>
    <x v="5"/>
    <n v="528.42999999999995"/>
    <n v="5"/>
    <n v="-143.43"/>
    <x v="2"/>
    <x v="2"/>
  </r>
  <r>
    <d v="2023-03-15T00:00:00"/>
    <x v="168"/>
    <x v="0"/>
    <x v="0"/>
    <x v="3"/>
    <n v="22.39"/>
    <n v="7"/>
    <n v="-35.82"/>
    <x v="2"/>
    <x v="2"/>
  </r>
  <r>
    <d v="2023-03-17T00:00:00"/>
    <x v="349"/>
    <x v="32"/>
    <x v="0"/>
    <x v="4"/>
    <n v="39.68"/>
    <n v="2"/>
    <n v="10.32"/>
    <x v="2"/>
    <x v="2"/>
  </r>
  <r>
    <d v="2023-03-17T00:00:00"/>
    <x v="98"/>
    <x v="7"/>
    <x v="2"/>
    <x v="6"/>
    <n v="129.97999999999999"/>
    <n v="2"/>
    <n v="62.39"/>
    <x v="2"/>
    <x v="2"/>
  </r>
  <r>
    <d v="2023-03-17T00:00:00"/>
    <x v="98"/>
    <x v="7"/>
    <x v="0"/>
    <x v="3"/>
    <n v="32.54"/>
    <n v="2"/>
    <n v="15.94"/>
    <x v="2"/>
    <x v="2"/>
  </r>
  <r>
    <d v="2023-03-17T00:00:00"/>
    <x v="333"/>
    <x v="36"/>
    <x v="0"/>
    <x v="10"/>
    <n v="199.9"/>
    <n v="5"/>
    <n v="89.96"/>
    <x v="2"/>
    <x v="2"/>
  </r>
  <r>
    <d v="2023-03-17T00:00:00"/>
    <x v="333"/>
    <x v="36"/>
    <x v="0"/>
    <x v="12"/>
    <n v="901.95"/>
    <n v="3"/>
    <n v="297.64"/>
    <x v="2"/>
    <x v="2"/>
  </r>
  <r>
    <d v="2023-03-17T00:00:00"/>
    <x v="333"/>
    <x v="36"/>
    <x v="1"/>
    <x v="8"/>
    <n v="971.5"/>
    <n v="5"/>
    <n v="252.59"/>
    <x v="2"/>
    <x v="2"/>
  </r>
  <r>
    <d v="2023-03-17T00:00:00"/>
    <x v="461"/>
    <x v="3"/>
    <x v="2"/>
    <x v="6"/>
    <n v="84.78"/>
    <n v="2"/>
    <n v="-20.14"/>
    <x v="2"/>
    <x v="2"/>
  </r>
  <r>
    <d v="2023-03-18T00:00:00"/>
    <x v="644"/>
    <x v="15"/>
    <x v="1"/>
    <x v="13"/>
    <n v="189.88"/>
    <n v="3"/>
    <n v="-94.94"/>
    <x v="2"/>
    <x v="2"/>
  </r>
  <r>
    <d v="2023-03-18T00:00:00"/>
    <x v="56"/>
    <x v="15"/>
    <x v="0"/>
    <x v="12"/>
    <n v="871.8"/>
    <n v="3"/>
    <n v="87.18"/>
    <x v="2"/>
    <x v="2"/>
  </r>
  <r>
    <d v="2023-03-19T00:00:00"/>
    <x v="239"/>
    <x v="26"/>
    <x v="1"/>
    <x v="11"/>
    <n v="72.290000000000006"/>
    <n v="1"/>
    <n v="-98.8"/>
    <x v="2"/>
    <x v="2"/>
  </r>
  <r>
    <d v="2023-03-19T00:00:00"/>
    <x v="743"/>
    <x v="20"/>
    <x v="1"/>
    <x v="8"/>
    <n v="14.98"/>
    <n v="1"/>
    <n v="6.89"/>
    <x v="2"/>
    <x v="2"/>
  </r>
  <r>
    <d v="2023-03-19T00:00:00"/>
    <x v="743"/>
    <x v="20"/>
    <x v="1"/>
    <x v="8"/>
    <n v="20.32"/>
    <n v="4"/>
    <n v="6.91"/>
    <x v="2"/>
    <x v="2"/>
  </r>
  <r>
    <d v="2023-03-19T00:00:00"/>
    <x v="369"/>
    <x v="15"/>
    <x v="0"/>
    <x v="3"/>
    <n v="31.09"/>
    <n v="3"/>
    <n v="-20.72"/>
    <x v="2"/>
    <x v="2"/>
  </r>
  <r>
    <d v="2023-03-20T00:00:00"/>
    <x v="456"/>
    <x v="11"/>
    <x v="2"/>
    <x v="6"/>
    <n v="84.78"/>
    <n v="2"/>
    <n v="-20.14"/>
    <x v="2"/>
    <x v="2"/>
  </r>
  <r>
    <d v="2023-03-20T00:00:00"/>
    <x v="456"/>
    <x v="11"/>
    <x v="0"/>
    <x v="0"/>
    <n v="20.74"/>
    <n v="4"/>
    <n v="7.26"/>
    <x v="2"/>
    <x v="2"/>
  </r>
  <r>
    <d v="2023-03-20T00:00:00"/>
    <x v="456"/>
    <x v="11"/>
    <x v="0"/>
    <x v="3"/>
    <n v="16.82"/>
    <n v="3"/>
    <n v="-12.9"/>
    <x v="2"/>
    <x v="2"/>
  </r>
  <r>
    <d v="2023-03-20T00:00:00"/>
    <x v="456"/>
    <x v="11"/>
    <x v="0"/>
    <x v="0"/>
    <n v="10.37"/>
    <n v="2"/>
    <n v="3.63"/>
    <x v="2"/>
    <x v="2"/>
  </r>
  <r>
    <d v="2023-03-20T00:00:00"/>
    <x v="510"/>
    <x v="1"/>
    <x v="2"/>
    <x v="6"/>
    <n v="11.99"/>
    <n v="1"/>
    <n v="0.9"/>
    <x v="2"/>
    <x v="2"/>
  </r>
  <r>
    <d v="2023-03-20T00:00:00"/>
    <x v="629"/>
    <x v="24"/>
    <x v="1"/>
    <x v="13"/>
    <n v="697.16"/>
    <n v="4"/>
    <n v="146.4"/>
    <x v="2"/>
    <x v="2"/>
  </r>
  <r>
    <d v="2023-03-20T00:00:00"/>
    <x v="160"/>
    <x v="29"/>
    <x v="1"/>
    <x v="8"/>
    <n v="86.45"/>
    <n v="7"/>
    <n v="38.04"/>
    <x v="2"/>
    <x v="2"/>
  </r>
  <r>
    <d v="2023-03-21T00:00:00"/>
    <x v="388"/>
    <x v="1"/>
    <x v="0"/>
    <x v="3"/>
    <n v="3.17"/>
    <n v="2"/>
    <n v="-4.75"/>
    <x v="2"/>
    <x v="2"/>
  </r>
  <r>
    <d v="2023-03-21T00:00:00"/>
    <x v="388"/>
    <x v="1"/>
    <x v="1"/>
    <x v="5"/>
    <n v="528.42999999999995"/>
    <n v="5"/>
    <n v="0"/>
    <x v="2"/>
    <x v="2"/>
  </r>
  <r>
    <d v="2023-03-21T00:00:00"/>
    <x v="388"/>
    <x v="1"/>
    <x v="0"/>
    <x v="4"/>
    <n v="13.39"/>
    <n v="3"/>
    <n v="1.51"/>
    <x v="2"/>
    <x v="2"/>
  </r>
  <r>
    <d v="2023-03-21T00:00:00"/>
    <x v="441"/>
    <x v="0"/>
    <x v="1"/>
    <x v="13"/>
    <n v="99.37"/>
    <n v="2"/>
    <n v="-1.42"/>
    <x v="2"/>
    <x v="2"/>
  </r>
  <r>
    <d v="2023-03-21T00:00:00"/>
    <x v="441"/>
    <x v="0"/>
    <x v="0"/>
    <x v="4"/>
    <n v="1.34"/>
    <n v="1"/>
    <n v="0.5"/>
    <x v="2"/>
    <x v="2"/>
  </r>
  <r>
    <d v="2023-03-22T00:00:00"/>
    <x v="357"/>
    <x v="17"/>
    <x v="2"/>
    <x v="9"/>
    <n v="58.58"/>
    <n v="2"/>
    <n v="19.329999999999998"/>
    <x v="2"/>
    <x v="2"/>
  </r>
  <r>
    <d v="2023-03-22T00:00:00"/>
    <x v="387"/>
    <x v="22"/>
    <x v="1"/>
    <x v="5"/>
    <n v="167.89"/>
    <n v="7"/>
    <n v="14.69"/>
    <x v="2"/>
    <x v="2"/>
  </r>
  <r>
    <d v="2023-03-24T00:00:00"/>
    <x v="696"/>
    <x v="11"/>
    <x v="2"/>
    <x v="6"/>
    <n v="403.17"/>
    <n v="4"/>
    <n v="25.2"/>
    <x v="2"/>
    <x v="2"/>
  </r>
  <r>
    <d v="2023-03-24T00:00:00"/>
    <x v="422"/>
    <x v="18"/>
    <x v="0"/>
    <x v="0"/>
    <n v="22.48"/>
    <n v="1"/>
    <n v="10.34"/>
    <x v="2"/>
    <x v="2"/>
  </r>
  <r>
    <d v="2023-03-24T00:00:00"/>
    <x v="284"/>
    <x v="10"/>
    <x v="1"/>
    <x v="11"/>
    <n v="301.47000000000003"/>
    <n v="3"/>
    <n v="-241.18"/>
    <x v="2"/>
    <x v="2"/>
  </r>
  <r>
    <d v="2023-03-24T00:00:00"/>
    <x v="284"/>
    <x v="10"/>
    <x v="0"/>
    <x v="4"/>
    <n v="18.66"/>
    <n v="2"/>
    <n v="1.63"/>
    <x v="2"/>
    <x v="2"/>
  </r>
  <r>
    <d v="2023-03-25T00:00:00"/>
    <x v="263"/>
    <x v="39"/>
    <x v="2"/>
    <x v="9"/>
    <n v="1287.45"/>
    <n v="5"/>
    <n v="244.62"/>
    <x v="2"/>
    <x v="2"/>
  </r>
  <r>
    <d v="2023-03-25T00:00:00"/>
    <x v="105"/>
    <x v="20"/>
    <x v="0"/>
    <x v="4"/>
    <n v="59.52"/>
    <n v="3"/>
    <n v="17.86"/>
    <x v="2"/>
    <x v="2"/>
  </r>
  <r>
    <d v="2023-03-26T00:00:00"/>
    <x v="457"/>
    <x v="20"/>
    <x v="0"/>
    <x v="2"/>
    <n v="459.95"/>
    <n v="5"/>
    <n v="18.399999999999999"/>
    <x v="2"/>
    <x v="2"/>
  </r>
  <r>
    <d v="2023-03-26T00:00:00"/>
    <x v="622"/>
    <x v="25"/>
    <x v="0"/>
    <x v="2"/>
    <n v="67.64"/>
    <n v="5"/>
    <n v="5.92"/>
    <x v="2"/>
    <x v="2"/>
  </r>
  <r>
    <d v="2023-03-26T00:00:00"/>
    <x v="622"/>
    <x v="25"/>
    <x v="2"/>
    <x v="9"/>
    <n v="119.98"/>
    <n v="3"/>
    <n v="-18"/>
    <x v="2"/>
    <x v="2"/>
  </r>
  <r>
    <d v="2023-03-26T00:00:00"/>
    <x v="20"/>
    <x v="34"/>
    <x v="0"/>
    <x v="0"/>
    <n v="17.64"/>
    <n v="3"/>
    <n v="8.64"/>
    <x v="2"/>
    <x v="2"/>
  </r>
  <r>
    <d v="2023-03-26T00:00:00"/>
    <x v="20"/>
    <x v="34"/>
    <x v="0"/>
    <x v="3"/>
    <n v="17.04"/>
    <n v="3"/>
    <n v="5.54"/>
    <x v="2"/>
    <x v="2"/>
  </r>
  <r>
    <d v="2023-03-27T00:00:00"/>
    <x v="171"/>
    <x v="4"/>
    <x v="1"/>
    <x v="8"/>
    <n v="20.239999999999998"/>
    <n v="1"/>
    <n v="8.6999999999999993"/>
    <x v="2"/>
    <x v="2"/>
  </r>
  <r>
    <d v="2023-03-27T00:00:00"/>
    <x v="171"/>
    <x v="4"/>
    <x v="1"/>
    <x v="8"/>
    <n v="39.92"/>
    <n v="4"/>
    <n v="11.18"/>
    <x v="2"/>
    <x v="2"/>
  </r>
  <r>
    <d v="2023-03-27T00:00:00"/>
    <x v="171"/>
    <x v="4"/>
    <x v="0"/>
    <x v="3"/>
    <n v="32.54"/>
    <n v="2"/>
    <n v="15.94"/>
    <x v="2"/>
    <x v="2"/>
  </r>
  <r>
    <d v="2023-03-28T00:00:00"/>
    <x v="322"/>
    <x v="6"/>
    <x v="0"/>
    <x v="2"/>
    <n v="31.4"/>
    <n v="2"/>
    <n v="7.85"/>
    <x v="2"/>
    <x v="2"/>
  </r>
  <r>
    <d v="2023-03-28T00:00:00"/>
    <x v="393"/>
    <x v="3"/>
    <x v="0"/>
    <x v="2"/>
    <n v="87.92"/>
    <n v="4"/>
    <n v="0.88"/>
    <x v="2"/>
    <x v="2"/>
  </r>
  <r>
    <d v="2023-03-28T00:00:00"/>
    <x v="393"/>
    <x v="3"/>
    <x v="0"/>
    <x v="0"/>
    <n v="5.98"/>
    <n v="1"/>
    <n v="2.93"/>
    <x v="2"/>
    <x v="2"/>
  </r>
  <r>
    <d v="2023-03-29T00:00:00"/>
    <x v="5"/>
    <x v="1"/>
    <x v="0"/>
    <x v="0"/>
    <n v="45.53"/>
    <n v="3"/>
    <n v="15.93"/>
    <x v="2"/>
    <x v="2"/>
  </r>
  <r>
    <d v="2023-03-29T00:00:00"/>
    <x v="5"/>
    <x v="1"/>
    <x v="1"/>
    <x v="5"/>
    <n v="844.12"/>
    <n v="6"/>
    <n v="-36.18"/>
    <x v="2"/>
    <x v="2"/>
  </r>
  <r>
    <d v="2023-03-29T00:00:00"/>
    <x v="5"/>
    <x v="1"/>
    <x v="2"/>
    <x v="6"/>
    <n v="812.74"/>
    <n v="8"/>
    <n v="60.96"/>
    <x v="2"/>
    <x v="2"/>
  </r>
  <r>
    <d v="2023-03-29T00:00:00"/>
    <x v="744"/>
    <x v="20"/>
    <x v="0"/>
    <x v="0"/>
    <n v="13.48"/>
    <n v="2"/>
    <n v="6.74"/>
    <x v="2"/>
    <x v="2"/>
  </r>
  <r>
    <d v="2023-03-29T00:00:00"/>
    <x v="744"/>
    <x v="20"/>
    <x v="0"/>
    <x v="3"/>
    <n v="29.8"/>
    <n v="5"/>
    <n v="9.31"/>
    <x v="2"/>
    <x v="2"/>
  </r>
  <r>
    <d v="2023-03-29T00:00:00"/>
    <x v="744"/>
    <x v="20"/>
    <x v="1"/>
    <x v="8"/>
    <n v="414"/>
    <n v="8"/>
    <n v="124.2"/>
    <x v="2"/>
    <x v="2"/>
  </r>
  <r>
    <d v="2023-03-29T00:00:00"/>
    <x v="744"/>
    <x v="20"/>
    <x v="0"/>
    <x v="3"/>
    <n v="41.33"/>
    <n v="7"/>
    <n v="14.98"/>
    <x v="2"/>
    <x v="2"/>
  </r>
  <r>
    <d v="2023-03-29T00:00:00"/>
    <x v="47"/>
    <x v="10"/>
    <x v="1"/>
    <x v="11"/>
    <n v="299.98"/>
    <n v="5"/>
    <n v="-167.99"/>
    <x v="2"/>
    <x v="2"/>
  </r>
  <r>
    <d v="2023-03-29T00:00:00"/>
    <x v="47"/>
    <x v="10"/>
    <x v="2"/>
    <x v="6"/>
    <n v="158.38"/>
    <n v="4"/>
    <n v="-36.950000000000003"/>
    <x v="2"/>
    <x v="2"/>
  </r>
  <r>
    <d v="2023-03-30T00:00:00"/>
    <x v="552"/>
    <x v="37"/>
    <x v="0"/>
    <x v="0"/>
    <n v="11.34"/>
    <n v="1"/>
    <n v="5.56"/>
    <x v="2"/>
    <x v="2"/>
  </r>
  <r>
    <d v="2023-03-31T00:00:00"/>
    <x v="246"/>
    <x v="2"/>
    <x v="2"/>
    <x v="6"/>
    <n v="280.77999999999997"/>
    <n v="3"/>
    <n v="-60.84"/>
    <x v="2"/>
    <x v="2"/>
  </r>
  <r>
    <d v="2023-03-31T00:00:00"/>
    <x v="246"/>
    <x v="2"/>
    <x v="2"/>
    <x v="9"/>
    <n v="31.98"/>
    <n v="2"/>
    <n v="1.2"/>
    <x v="2"/>
    <x v="2"/>
  </r>
  <r>
    <d v="2023-03-31T00:00:00"/>
    <x v="15"/>
    <x v="20"/>
    <x v="1"/>
    <x v="5"/>
    <n v="328"/>
    <n v="6"/>
    <n v="54.67"/>
    <x v="2"/>
    <x v="2"/>
  </r>
  <r>
    <d v="2023-04-01T00:00:00"/>
    <x v="745"/>
    <x v="20"/>
    <x v="0"/>
    <x v="4"/>
    <n v="59.52"/>
    <n v="3"/>
    <n v="15.48"/>
    <x v="3"/>
    <x v="2"/>
  </r>
  <r>
    <d v="2023-04-01T00:00:00"/>
    <x v="745"/>
    <x v="20"/>
    <x v="0"/>
    <x v="2"/>
    <n v="161.94"/>
    <n v="3"/>
    <n v="9.7200000000000006"/>
    <x v="3"/>
    <x v="2"/>
  </r>
  <r>
    <d v="2023-04-01T00:00:00"/>
    <x v="745"/>
    <x v="20"/>
    <x v="0"/>
    <x v="4"/>
    <n v="263.88"/>
    <n v="6"/>
    <n v="71.25"/>
    <x v="3"/>
    <x v="2"/>
  </r>
  <r>
    <d v="2023-04-01T00:00:00"/>
    <x v="745"/>
    <x v="20"/>
    <x v="0"/>
    <x v="4"/>
    <n v="30.48"/>
    <n v="3"/>
    <n v="7.92"/>
    <x v="3"/>
    <x v="2"/>
  </r>
  <r>
    <d v="2023-04-01T00:00:00"/>
    <x v="745"/>
    <x v="20"/>
    <x v="0"/>
    <x v="4"/>
    <n v="9.84"/>
    <n v="3"/>
    <n v="2.85"/>
    <x v="3"/>
    <x v="2"/>
  </r>
  <r>
    <d v="2023-04-01T00:00:00"/>
    <x v="745"/>
    <x v="20"/>
    <x v="2"/>
    <x v="6"/>
    <n v="35.119999999999997"/>
    <n v="4"/>
    <n v="9.1300000000000008"/>
    <x v="3"/>
    <x v="2"/>
  </r>
  <r>
    <d v="2023-04-01T00:00:00"/>
    <x v="323"/>
    <x v="12"/>
    <x v="0"/>
    <x v="7"/>
    <n v="31.56"/>
    <n v="5"/>
    <n v="9.86"/>
    <x v="3"/>
    <x v="2"/>
  </r>
  <r>
    <d v="2023-04-01T00:00:00"/>
    <x v="323"/>
    <x v="12"/>
    <x v="0"/>
    <x v="12"/>
    <n v="30.14"/>
    <n v="2"/>
    <n v="3.01"/>
    <x v="3"/>
    <x v="2"/>
  </r>
  <r>
    <d v="2023-04-01T00:00:00"/>
    <x v="738"/>
    <x v="20"/>
    <x v="0"/>
    <x v="4"/>
    <n v="88.04"/>
    <n v="4"/>
    <n v="22.89"/>
    <x v="3"/>
    <x v="2"/>
  </r>
  <r>
    <d v="2023-04-01T00:00:00"/>
    <x v="559"/>
    <x v="20"/>
    <x v="0"/>
    <x v="1"/>
    <n v="20.7"/>
    <n v="2"/>
    <n v="9.94"/>
    <x v="3"/>
    <x v="2"/>
  </r>
  <r>
    <d v="2023-04-01T00:00:00"/>
    <x v="559"/>
    <x v="20"/>
    <x v="0"/>
    <x v="14"/>
    <n v="10.95"/>
    <n v="3"/>
    <n v="3.29"/>
    <x v="3"/>
    <x v="2"/>
  </r>
  <r>
    <d v="2023-04-01T00:00:00"/>
    <x v="559"/>
    <x v="20"/>
    <x v="0"/>
    <x v="3"/>
    <n v="14.35"/>
    <n v="3"/>
    <n v="4.66"/>
    <x v="3"/>
    <x v="2"/>
  </r>
  <r>
    <d v="2023-04-01T00:00:00"/>
    <x v="558"/>
    <x v="20"/>
    <x v="1"/>
    <x v="5"/>
    <n v="1317.49"/>
    <n v="6"/>
    <n v="292.77999999999997"/>
    <x v="3"/>
    <x v="2"/>
  </r>
  <r>
    <d v="2023-04-01T00:00:00"/>
    <x v="558"/>
    <x v="20"/>
    <x v="0"/>
    <x v="14"/>
    <n v="63.84"/>
    <n v="8"/>
    <n v="18.510000000000002"/>
    <x v="3"/>
    <x v="2"/>
  </r>
  <r>
    <d v="2023-04-01T00:00:00"/>
    <x v="558"/>
    <x v="20"/>
    <x v="0"/>
    <x v="3"/>
    <n v="3.59"/>
    <n v="1"/>
    <n v="1.1200000000000001"/>
    <x v="3"/>
    <x v="2"/>
  </r>
  <r>
    <d v="2023-04-01T00:00:00"/>
    <x v="474"/>
    <x v="4"/>
    <x v="1"/>
    <x v="8"/>
    <n v="7.04"/>
    <n v="4"/>
    <n v="3.1"/>
    <x v="3"/>
    <x v="2"/>
  </r>
  <r>
    <d v="2023-04-01T00:00:00"/>
    <x v="168"/>
    <x v="21"/>
    <x v="2"/>
    <x v="6"/>
    <n v="12.99"/>
    <n v="1"/>
    <n v="0.26"/>
    <x v="3"/>
    <x v="2"/>
  </r>
  <r>
    <d v="2023-04-02T00:00:00"/>
    <x v="561"/>
    <x v="21"/>
    <x v="1"/>
    <x v="5"/>
    <n v="1454.9"/>
    <n v="5"/>
    <n v="378.27"/>
    <x v="3"/>
    <x v="2"/>
  </r>
  <r>
    <d v="2023-04-03T00:00:00"/>
    <x v="246"/>
    <x v="2"/>
    <x v="0"/>
    <x v="3"/>
    <n v="99.85"/>
    <n v="9"/>
    <n v="-83.21"/>
    <x v="3"/>
    <x v="2"/>
  </r>
  <r>
    <d v="2023-04-03T00:00:00"/>
    <x v="368"/>
    <x v="18"/>
    <x v="1"/>
    <x v="8"/>
    <n v="71.12"/>
    <n v="4"/>
    <n v="22.05"/>
    <x v="3"/>
    <x v="2"/>
  </r>
  <r>
    <d v="2023-04-03T00:00:00"/>
    <x v="368"/>
    <x v="18"/>
    <x v="2"/>
    <x v="6"/>
    <n v="259.95999999999998"/>
    <n v="4"/>
    <n v="124.78"/>
    <x v="3"/>
    <x v="2"/>
  </r>
  <r>
    <d v="2023-04-03T00:00:00"/>
    <x v="50"/>
    <x v="0"/>
    <x v="0"/>
    <x v="0"/>
    <n v="10.27"/>
    <n v="3"/>
    <n v="3.21"/>
    <x v="3"/>
    <x v="2"/>
  </r>
  <r>
    <d v="2023-04-04T00:00:00"/>
    <x v="5"/>
    <x v="6"/>
    <x v="2"/>
    <x v="6"/>
    <n v="149.97"/>
    <n v="3"/>
    <n v="6"/>
    <x v="3"/>
    <x v="2"/>
  </r>
  <r>
    <d v="2023-04-04T00:00:00"/>
    <x v="5"/>
    <x v="6"/>
    <x v="0"/>
    <x v="0"/>
    <n v="27.81"/>
    <n v="3"/>
    <n v="13.07"/>
    <x v="3"/>
    <x v="2"/>
  </r>
  <r>
    <d v="2023-04-04T00:00:00"/>
    <x v="216"/>
    <x v="20"/>
    <x v="0"/>
    <x v="3"/>
    <n v="588.78"/>
    <n v="2"/>
    <n v="184"/>
    <x v="3"/>
    <x v="2"/>
  </r>
  <r>
    <d v="2023-04-04T00:00:00"/>
    <x v="288"/>
    <x v="20"/>
    <x v="1"/>
    <x v="8"/>
    <n v="82.64"/>
    <n v="2"/>
    <n v="7.44"/>
    <x v="3"/>
    <x v="2"/>
  </r>
  <r>
    <d v="2023-04-04T00:00:00"/>
    <x v="288"/>
    <x v="20"/>
    <x v="0"/>
    <x v="2"/>
    <n v="31.02"/>
    <n v="2"/>
    <n v="8.07"/>
    <x v="3"/>
    <x v="2"/>
  </r>
  <r>
    <d v="2023-04-04T00:00:00"/>
    <x v="288"/>
    <x v="20"/>
    <x v="2"/>
    <x v="9"/>
    <n v="89.97"/>
    <n v="3"/>
    <n v="37.79"/>
    <x v="3"/>
    <x v="2"/>
  </r>
  <r>
    <d v="2023-04-05T00:00:00"/>
    <x v="146"/>
    <x v="0"/>
    <x v="0"/>
    <x v="2"/>
    <n v="158.37"/>
    <n v="7"/>
    <n v="13.86"/>
    <x v="3"/>
    <x v="2"/>
  </r>
  <r>
    <d v="2023-04-05T00:00:00"/>
    <x v="645"/>
    <x v="2"/>
    <x v="2"/>
    <x v="6"/>
    <n v="118.78"/>
    <n v="3"/>
    <n v="-27.72"/>
    <x v="3"/>
    <x v="2"/>
  </r>
  <r>
    <d v="2023-04-05T00:00:00"/>
    <x v="645"/>
    <x v="2"/>
    <x v="0"/>
    <x v="14"/>
    <n v="769.18"/>
    <n v="4"/>
    <n v="-163.44999999999999"/>
    <x v="3"/>
    <x v="2"/>
  </r>
  <r>
    <d v="2023-04-06T00:00:00"/>
    <x v="139"/>
    <x v="45"/>
    <x v="2"/>
    <x v="6"/>
    <n v="1294.75"/>
    <n v="5"/>
    <n v="336.64"/>
    <x v="3"/>
    <x v="2"/>
  </r>
  <r>
    <d v="2023-04-07T00:00:00"/>
    <x v="515"/>
    <x v="3"/>
    <x v="2"/>
    <x v="16"/>
    <n v="1199.98"/>
    <n v="3"/>
    <n v="374.99"/>
    <x v="3"/>
    <x v="2"/>
  </r>
  <r>
    <d v="2023-04-07T00:00:00"/>
    <x v="112"/>
    <x v="20"/>
    <x v="1"/>
    <x v="5"/>
    <n v="658.75"/>
    <n v="3"/>
    <n v="146.38999999999999"/>
    <x v="3"/>
    <x v="2"/>
  </r>
  <r>
    <d v="2023-04-07T00:00:00"/>
    <x v="582"/>
    <x v="20"/>
    <x v="0"/>
    <x v="4"/>
    <n v="3.64"/>
    <n v="2"/>
    <n v="0.98"/>
    <x v="3"/>
    <x v="2"/>
  </r>
  <r>
    <d v="2023-04-07T00:00:00"/>
    <x v="442"/>
    <x v="23"/>
    <x v="0"/>
    <x v="0"/>
    <n v="37.94"/>
    <n v="2"/>
    <n v="18.21"/>
    <x v="3"/>
    <x v="2"/>
  </r>
  <r>
    <d v="2023-04-07T00:00:00"/>
    <x v="83"/>
    <x v="2"/>
    <x v="0"/>
    <x v="12"/>
    <n v="33.53"/>
    <n v="3"/>
    <n v="2.5099999999999998"/>
    <x v="3"/>
    <x v="2"/>
  </r>
  <r>
    <d v="2023-04-07T00:00:00"/>
    <x v="83"/>
    <x v="2"/>
    <x v="0"/>
    <x v="2"/>
    <n v="36.74"/>
    <n v="3"/>
    <n v="3.67"/>
    <x v="3"/>
    <x v="2"/>
  </r>
  <r>
    <d v="2023-04-08T00:00:00"/>
    <x v="506"/>
    <x v="20"/>
    <x v="1"/>
    <x v="11"/>
    <n v="388.7"/>
    <n v="6"/>
    <n v="-4.8600000000000003"/>
    <x v="3"/>
    <x v="2"/>
  </r>
  <r>
    <d v="2023-04-08T00:00:00"/>
    <x v="506"/>
    <x v="20"/>
    <x v="0"/>
    <x v="10"/>
    <n v="8.26"/>
    <n v="2"/>
    <n v="3.8"/>
    <x v="3"/>
    <x v="2"/>
  </r>
  <r>
    <d v="2023-04-08T00:00:00"/>
    <x v="506"/>
    <x v="20"/>
    <x v="0"/>
    <x v="4"/>
    <n v="17.04"/>
    <n v="4"/>
    <n v="6.99"/>
    <x v="3"/>
    <x v="2"/>
  </r>
  <r>
    <d v="2023-04-08T00:00:00"/>
    <x v="506"/>
    <x v="20"/>
    <x v="0"/>
    <x v="0"/>
    <n v="34.4"/>
    <n v="5"/>
    <n v="15.82"/>
    <x v="3"/>
    <x v="2"/>
  </r>
  <r>
    <d v="2023-04-08T00:00:00"/>
    <x v="391"/>
    <x v="3"/>
    <x v="0"/>
    <x v="0"/>
    <n v="20.04"/>
    <n v="3"/>
    <n v="9.6199999999999992"/>
    <x v="3"/>
    <x v="2"/>
  </r>
  <r>
    <d v="2023-04-08T00:00:00"/>
    <x v="391"/>
    <x v="3"/>
    <x v="0"/>
    <x v="2"/>
    <n v="64.959999999999994"/>
    <n v="2"/>
    <n v="2.6"/>
    <x v="3"/>
    <x v="2"/>
  </r>
  <r>
    <d v="2023-04-08T00:00:00"/>
    <x v="391"/>
    <x v="3"/>
    <x v="0"/>
    <x v="0"/>
    <n v="12.96"/>
    <n v="2"/>
    <n v="6.22"/>
    <x v="3"/>
    <x v="2"/>
  </r>
  <r>
    <d v="2023-04-08T00:00:00"/>
    <x v="456"/>
    <x v="0"/>
    <x v="2"/>
    <x v="9"/>
    <n v="431.93"/>
    <n v="9"/>
    <n v="64.790000000000006"/>
    <x v="3"/>
    <x v="2"/>
  </r>
  <r>
    <d v="2023-04-08T00:00:00"/>
    <x v="456"/>
    <x v="0"/>
    <x v="1"/>
    <x v="5"/>
    <n v="95.98"/>
    <n v="4"/>
    <n v="-4.1100000000000003"/>
    <x v="3"/>
    <x v="2"/>
  </r>
  <r>
    <d v="2023-04-08T00:00:00"/>
    <x v="456"/>
    <x v="0"/>
    <x v="0"/>
    <x v="3"/>
    <n v="1088.79"/>
    <n v="4"/>
    <n v="-1850.95"/>
    <x v="3"/>
    <x v="2"/>
  </r>
  <r>
    <d v="2023-04-08T00:00:00"/>
    <x v="469"/>
    <x v="10"/>
    <x v="0"/>
    <x v="10"/>
    <n v="8.8699999999999992"/>
    <n v="1"/>
    <n v="3.22"/>
    <x v="3"/>
    <x v="2"/>
  </r>
  <r>
    <d v="2023-04-08T00:00:00"/>
    <x v="469"/>
    <x v="10"/>
    <x v="0"/>
    <x v="3"/>
    <n v="121.1"/>
    <n v="6"/>
    <n v="-100.92"/>
    <x v="3"/>
    <x v="2"/>
  </r>
  <r>
    <d v="2023-04-08T00:00:00"/>
    <x v="584"/>
    <x v="3"/>
    <x v="1"/>
    <x v="8"/>
    <n v="24.7"/>
    <n v="5"/>
    <n v="10.37"/>
    <x v="3"/>
    <x v="2"/>
  </r>
  <r>
    <d v="2023-04-08T00:00:00"/>
    <x v="190"/>
    <x v="4"/>
    <x v="0"/>
    <x v="10"/>
    <n v="17.920000000000002"/>
    <n v="4"/>
    <n v="8.6"/>
    <x v="3"/>
    <x v="2"/>
  </r>
  <r>
    <d v="2023-04-08T00:00:00"/>
    <x v="195"/>
    <x v="4"/>
    <x v="1"/>
    <x v="11"/>
    <n v="354.9"/>
    <n v="5"/>
    <n v="88.73"/>
    <x v="3"/>
    <x v="2"/>
  </r>
  <r>
    <d v="2023-04-08T00:00:00"/>
    <x v="79"/>
    <x v="13"/>
    <x v="0"/>
    <x v="7"/>
    <n v="30"/>
    <n v="6"/>
    <n v="14.4"/>
    <x v="3"/>
    <x v="2"/>
  </r>
  <r>
    <d v="2023-04-08T00:00:00"/>
    <x v="79"/>
    <x v="13"/>
    <x v="0"/>
    <x v="0"/>
    <n v="25.92"/>
    <n v="4"/>
    <n v="12.7"/>
    <x v="3"/>
    <x v="2"/>
  </r>
  <r>
    <d v="2023-04-08T00:00:00"/>
    <x v="79"/>
    <x v="13"/>
    <x v="1"/>
    <x v="8"/>
    <n v="159.91999999999999"/>
    <n v="4"/>
    <n v="31.98"/>
    <x v="3"/>
    <x v="2"/>
  </r>
  <r>
    <d v="2023-04-09T00:00:00"/>
    <x v="615"/>
    <x v="22"/>
    <x v="0"/>
    <x v="3"/>
    <n v="35.35"/>
    <n v="9"/>
    <n v="12.82"/>
    <x v="3"/>
    <x v="2"/>
  </r>
  <r>
    <d v="2023-04-09T00:00:00"/>
    <x v="746"/>
    <x v="14"/>
    <x v="2"/>
    <x v="6"/>
    <n v="517.9"/>
    <n v="2"/>
    <n v="134.65"/>
    <x v="3"/>
    <x v="2"/>
  </r>
  <r>
    <d v="2023-04-09T00:00:00"/>
    <x v="746"/>
    <x v="14"/>
    <x v="0"/>
    <x v="3"/>
    <n v="5.28"/>
    <n v="2"/>
    <n v="2.4300000000000002"/>
    <x v="3"/>
    <x v="2"/>
  </r>
  <r>
    <d v="2023-04-09T00:00:00"/>
    <x v="221"/>
    <x v="3"/>
    <x v="1"/>
    <x v="11"/>
    <n v="556.66999999999996"/>
    <n v="5"/>
    <n v="6.55"/>
    <x v="3"/>
    <x v="2"/>
  </r>
  <r>
    <d v="2023-04-10T00:00:00"/>
    <x v="691"/>
    <x v="10"/>
    <x v="0"/>
    <x v="3"/>
    <n v="8.9"/>
    <n v="2"/>
    <n v="-6.53"/>
    <x v="3"/>
    <x v="2"/>
  </r>
  <r>
    <d v="2023-04-10T00:00:00"/>
    <x v="76"/>
    <x v="3"/>
    <x v="0"/>
    <x v="0"/>
    <n v="12.96"/>
    <n v="2"/>
    <n v="6.22"/>
    <x v="3"/>
    <x v="2"/>
  </r>
  <r>
    <d v="2023-04-10T00:00:00"/>
    <x v="76"/>
    <x v="3"/>
    <x v="0"/>
    <x v="3"/>
    <n v="23.2"/>
    <n v="5"/>
    <n v="8.1199999999999992"/>
    <x v="3"/>
    <x v="2"/>
  </r>
  <r>
    <d v="2023-04-10T00:00:00"/>
    <x v="542"/>
    <x v="3"/>
    <x v="0"/>
    <x v="12"/>
    <n v="113.76"/>
    <n v="3"/>
    <n v="44.37"/>
    <x v="3"/>
    <x v="2"/>
  </r>
  <r>
    <d v="2023-04-10T00:00:00"/>
    <x v="542"/>
    <x v="3"/>
    <x v="0"/>
    <x v="2"/>
    <n v="579.51"/>
    <n v="3"/>
    <n v="81.13"/>
    <x v="3"/>
    <x v="2"/>
  </r>
  <r>
    <d v="2023-04-10T00:00:00"/>
    <x v="542"/>
    <x v="3"/>
    <x v="0"/>
    <x v="2"/>
    <n v="150.66"/>
    <n v="9"/>
    <n v="6.03"/>
    <x v="3"/>
    <x v="2"/>
  </r>
  <r>
    <d v="2023-04-10T00:00:00"/>
    <x v="542"/>
    <x v="3"/>
    <x v="0"/>
    <x v="3"/>
    <n v="48.03"/>
    <n v="4"/>
    <n v="15.61"/>
    <x v="3"/>
    <x v="2"/>
  </r>
  <r>
    <d v="2023-04-10T00:00:00"/>
    <x v="87"/>
    <x v="1"/>
    <x v="0"/>
    <x v="4"/>
    <n v="13.57"/>
    <n v="4"/>
    <n v="3.22"/>
    <x v="3"/>
    <x v="2"/>
  </r>
  <r>
    <d v="2023-04-12T00:00:00"/>
    <x v="12"/>
    <x v="6"/>
    <x v="1"/>
    <x v="13"/>
    <n v="343.92"/>
    <n v="4"/>
    <n v="75.66"/>
    <x v="3"/>
    <x v="2"/>
  </r>
  <r>
    <d v="2023-04-12T00:00:00"/>
    <x v="12"/>
    <x v="6"/>
    <x v="0"/>
    <x v="0"/>
    <n v="40.99"/>
    <n v="1"/>
    <n v="20.09"/>
    <x v="3"/>
    <x v="2"/>
  </r>
  <r>
    <d v="2023-04-12T00:00:00"/>
    <x v="12"/>
    <x v="6"/>
    <x v="0"/>
    <x v="10"/>
    <n v="63.9"/>
    <n v="5"/>
    <n v="28.76"/>
    <x v="3"/>
    <x v="2"/>
  </r>
  <r>
    <d v="2023-04-12T00:00:00"/>
    <x v="443"/>
    <x v="3"/>
    <x v="1"/>
    <x v="5"/>
    <n v="638.29"/>
    <n v="7"/>
    <n v="-31.91"/>
    <x v="3"/>
    <x v="2"/>
  </r>
  <r>
    <d v="2023-04-12T00:00:00"/>
    <x v="443"/>
    <x v="3"/>
    <x v="0"/>
    <x v="3"/>
    <n v="13.21"/>
    <n v="1"/>
    <n v="4.62"/>
    <x v="3"/>
    <x v="2"/>
  </r>
  <r>
    <d v="2023-04-12T00:00:00"/>
    <x v="80"/>
    <x v="3"/>
    <x v="0"/>
    <x v="0"/>
    <n v="19.440000000000001"/>
    <n v="3"/>
    <n v="9.33"/>
    <x v="3"/>
    <x v="2"/>
  </r>
  <r>
    <d v="2023-04-12T00:00:00"/>
    <x v="80"/>
    <x v="3"/>
    <x v="1"/>
    <x v="5"/>
    <n v="194.35"/>
    <n v="3"/>
    <n v="-36.44"/>
    <x v="3"/>
    <x v="2"/>
  </r>
  <r>
    <d v="2023-04-12T00:00:00"/>
    <x v="80"/>
    <x v="3"/>
    <x v="0"/>
    <x v="3"/>
    <n v="36.619999999999997"/>
    <n v="3"/>
    <n v="13.73"/>
    <x v="3"/>
    <x v="2"/>
  </r>
  <r>
    <d v="2023-04-12T00:00:00"/>
    <x v="559"/>
    <x v="25"/>
    <x v="0"/>
    <x v="2"/>
    <n v="129.55000000000001"/>
    <n v="3"/>
    <n v="-22.67"/>
    <x v="3"/>
    <x v="2"/>
  </r>
  <r>
    <d v="2023-04-12T00:00:00"/>
    <x v="559"/>
    <x v="25"/>
    <x v="0"/>
    <x v="2"/>
    <n v="51.98"/>
    <n v="1"/>
    <n v="-5.2"/>
    <x v="3"/>
    <x v="2"/>
  </r>
  <r>
    <d v="2023-04-12T00:00:00"/>
    <x v="559"/>
    <x v="25"/>
    <x v="0"/>
    <x v="0"/>
    <n v="10.27"/>
    <n v="3"/>
    <n v="3.47"/>
    <x v="3"/>
    <x v="2"/>
  </r>
  <r>
    <d v="2023-04-13T00:00:00"/>
    <x v="530"/>
    <x v="3"/>
    <x v="0"/>
    <x v="10"/>
    <n v="6.12"/>
    <n v="3"/>
    <n v="2.88"/>
    <x v="3"/>
    <x v="2"/>
  </r>
  <r>
    <d v="2023-04-14T00:00:00"/>
    <x v="300"/>
    <x v="3"/>
    <x v="1"/>
    <x v="5"/>
    <n v="383.8"/>
    <n v="5"/>
    <n v="38.380000000000003"/>
    <x v="3"/>
    <x v="2"/>
  </r>
  <r>
    <d v="2023-04-14T00:00:00"/>
    <x v="388"/>
    <x v="12"/>
    <x v="1"/>
    <x v="5"/>
    <n v="933.54"/>
    <n v="4"/>
    <n v="105.02"/>
    <x v="3"/>
    <x v="2"/>
  </r>
  <r>
    <d v="2023-04-14T00:00:00"/>
    <x v="388"/>
    <x v="12"/>
    <x v="0"/>
    <x v="2"/>
    <n v="42.98"/>
    <n v="4"/>
    <n v="4.3"/>
    <x v="3"/>
    <x v="2"/>
  </r>
  <r>
    <d v="2023-04-14T00:00:00"/>
    <x v="23"/>
    <x v="6"/>
    <x v="0"/>
    <x v="2"/>
    <n v="81.2"/>
    <n v="5"/>
    <n v="12.18"/>
    <x v="3"/>
    <x v="2"/>
  </r>
  <r>
    <d v="2023-04-14T00:00:00"/>
    <x v="747"/>
    <x v="36"/>
    <x v="0"/>
    <x v="3"/>
    <n v="25.06"/>
    <n v="2"/>
    <n v="11.78"/>
    <x v="3"/>
    <x v="2"/>
  </r>
  <r>
    <d v="2023-04-15T00:00:00"/>
    <x v="237"/>
    <x v="25"/>
    <x v="0"/>
    <x v="3"/>
    <n v="189.59"/>
    <n v="2"/>
    <n v="-145.35"/>
    <x v="3"/>
    <x v="2"/>
  </r>
  <r>
    <d v="2023-04-15T00:00:00"/>
    <x v="237"/>
    <x v="25"/>
    <x v="2"/>
    <x v="9"/>
    <n v="408.74"/>
    <n v="7"/>
    <n v="76.64"/>
    <x v="3"/>
    <x v="2"/>
  </r>
  <r>
    <d v="2023-04-15T00:00:00"/>
    <x v="237"/>
    <x v="25"/>
    <x v="2"/>
    <x v="9"/>
    <n v="291.95999999999998"/>
    <n v="5"/>
    <n v="54.74"/>
    <x v="3"/>
    <x v="2"/>
  </r>
  <r>
    <d v="2023-04-15T00:00:00"/>
    <x v="237"/>
    <x v="25"/>
    <x v="0"/>
    <x v="2"/>
    <n v="4.7699999999999996"/>
    <n v="2"/>
    <n v="-0.77"/>
    <x v="3"/>
    <x v="2"/>
  </r>
  <r>
    <d v="2023-04-15T00:00:00"/>
    <x v="649"/>
    <x v="3"/>
    <x v="1"/>
    <x v="5"/>
    <n v="1121.57"/>
    <n v="2"/>
    <n v="0"/>
    <x v="3"/>
    <x v="2"/>
  </r>
  <r>
    <d v="2023-04-15T00:00:00"/>
    <x v="168"/>
    <x v="0"/>
    <x v="0"/>
    <x v="4"/>
    <n v="33.49"/>
    <n v="7"/>
    <n v="5.86"/>
    <x v="3"/>
    <x v="2"/>
  </r>
  <r>
    <d v="2023-04-15T00:00:00"/>
    <x v="168"/>
    <x v="0"/>
    <x v="0"/>
    <x v="7"/>
    <n v="8.0399999999999991"/>
    <n v="5"/>
    <n v="2.91"/>
    <x v="3"/>
    <x v="2"/>
  </r>
  <r>
    <d v="2023-04-15T00:00:00"/>
    <x v="488"/>
    <x v="3"/>
    <x v="0"/>
    <x v="0"/>
    <n v="143.69999999999999"/>
    <n v="3"/>
    <n v="68.98"/>
    <x v="3"/>
    <x v="2"/>
  </r>
  <r>
    <d v="2023-04-16T00:00:00"/>
    <x v="358"/>
    <x v="4"/>
    <x v="0"/>
    <x v="4"/>
    <n v="12.84"/>
    <n v="3"/>
    <n v="3.72"/>
    <x v="3"/>
    <x v="2"/>
  </r>
  <r>
    <d v="2023-04-16T00:00:00"/>
    <x v="183"/>
    <x v="23"/>
    <x v="2"/>
    <x v="15"/>
    <n v="9099.93"/>
    <n v="7"/>
    <n v="2365.98"/>
    <x v="3"/>
    <x v="2"/>
  </r>
  <r>
    <d v="2023-04-16T00:00:00"/>
    <x v="183"/>
    <x v="23"/>
    <x v="1"/>
    <x v="8"/>
    <n v="9.9600000000000009"/>
    <n v="2"/>
    <n v="3.29"/>
    <x v="3"/>
    <x v="2"/>
  </r>
  <r>
    <d v="2023-04-16T00:00:00"/>
    <x v="183"/>
    <x v="23"/>
    <x v="0"/>
    <x v="3"/>
    <n v="25.3"/>
    <n v="5"/>
    <n v="11.89"/>
    <x v="3"/>
    <x v="2"/>
  </r>
  <r>
    <d v="2023-04-16T00:00:00"/>
    <x v="240"/>
    <x v="22"/>
    <x v="0"/>
    <x v="14"/>
    <n v="28.8"/>
    <n v="3"/>
    <n v="0.86"/>
    <x v="3"/>
    <x v="2"/>
  </r>
  <r>
    <d v="2023-04-16T00:00:00"/>
    <x v="500"/>
    <x v="15"/>
    <x v="2"/>
    <x v="9"/>
    <n v="35.17"/>
    <n v="4"/>
    <n v="8.35"/>
    <x v="3"/>
    <x v="2"/>
  </r>
  <r>
    <d v="2023-04-16T00:00:00"/>
    <x v="500"/>
    <x v="15"/>
    <x v="0"/>
    <x v="0"/>
    <n v="123.09"/>
    <n v="7"/>
    <n v="40"/>
    <x v="3"/>
    <x v="2"/>
  </r>
  <r>
    <d v="2023-04-17T00:00:00"/>
    <x v="151"/>
    <x v="25"/>
    <x v="2"/>
    <x v="6"/>
    <n v="36.79"/>
    <n v="1"/>
    <n v="4.1399999999999997"/>
    <x v="3"/>
    <x v="2"/>
  </r>
  <r>
    <d v="2023-04-17T00:00:00"/>
    <x v="151"/>
    <x v="25"/>
    <x v="1"/>
    <x v="8"/>
    <n v="18.62"/>
    <n v="8"/>
    <n v="6.29"/>
    <x v="3"/>
    <x v="2"/>
  </r>
  <r>
    <d v="2023-04-17T00:00:00"/>
    <x v="746"/>
    <x v="40"/>
    <x v="0"/>
    <x v="7"/>
    <n v="29.05"/>
    <n v="5"/>
    <n v="9.01"/>
    <x v="3"/>
    <x v="2"/>
  </r>
  <r>
    <d v="2023-04-17T00:00:00"/>
    <x v="401"/>
    <x v="3"/>
    <x v="1"/>
    <x v="11"/>
    <n v="257.5"/>
    <n v="3"/>
    <n v="24.24"/>
    <x v="3"/>
    <x v="2"/>
  </r>
  <r>
    <d v="2023-04-17T00:00:00"/>
    <x v="345"/>
    <x v="15"/>
    <x v="1"/>
    <x v="8"/>
    <n v="79.12"/>
    <n v="5"/>
    <n v="13.85"/>
    <x v="3"/>
    <x v="2"/>
  </r>
  <r>
    <d v="2023-04-18T00:00:00"/>
    <x v="748"/>
    <x v="1"/>
    <x v="0"/>
    <x v="2"/>
    <n v="230.38"/>
    <n v="3"/>
    <n v="-48.95"/>
    <x v="3"/>
    <x v="2"/>
  </r>
  <r>
    <d v="2023-04-18T00:00:00"/>
    <x v="748"/>
    <x v="1"/>
    <x v="0"/>
    <x v="0"/>
    <n v="9.66"/>
    <n v="2"/>
    <n v="3.26"/>
    <x v="3"/>
    <x v="2"/>
  </r>
  <r>
    <d v="2023-04-18T00:00:00"/>
    <x v="503"/>
    <x v="6"/>
    <x v="0"/>
    <x v="12"/>
    <n v="203.92"/>
    <n v="4"/>
    <n v="55.06"/>
    <x v="3"/>
    <x v="2"/>
  </r>
  <r>
    <d v="2023-04-18T00:00:00"/>
    <x v="503"/>
    <x v="6"/>
    <x v="2"/>
    <x v="6"/>
    <n v="29.56"/>
    <n v="4"/>
    <n v="7.98"/>
    <x v="3"/>
    <x v="2"/>
  </r>
  <r>
    <d v="2023-04-18T00:00:00"/>
    <x v="424"/>
    <x v="0"/>
    <x v="1"/>
    <x v="5"/>
    <n v="344.37"/>
    <n v="4"/>
    <n v="-93.47"/>
    <x v="3"/>
    <x v="2"/>
  </r>
  <r>
    <d v="2023-04-18T00:00:00"/>
    <x v="424"/>
    <x v="0"/>
    <x v="0"/>
    <x v="2"/>
    <n v="1554.94"/>
    <n v="3"/>
    <n v="77.75"/>
    <x v="3"/>
    <x v="2"/>
  </r>
  <r>
    <d v="2023-04-18T00:00:00"/>
    <x v="424"/>
    <x v="0"/>
    <x v="1"/>
    <x v="8"/>
    <n v="127.88"/>
    <n v="5"/>
    <n v="-67.14"/>
    <x v="3"/>
    <x v="2"/>
  </r>
  <r>
    <d v="2023-04-18T00:00:00"/>
    <x v="599"/>
    <x v="20"/>
    <x v="0"/>
    <x v="4"/>
    <n v="6.99"/>
    <n v="3"/>
    <n v="2.0299999999999998"/>
    <x v="3"/>
    <x v="2"/>
  </r>
  <r>
    <d v="2023-04-18T00:00:00"/>
    <x v="599"/>
    <x v="20"/>
    <x v="0"/>
    <x v="14"/>
    <n v="6.84"/>
    <n v="1"/>
    <n v="1.85"/>
    <x v="3"/>
    <x v="2"/>
  </r>
  <r>
    <d v="2023-04-19T00:00:00"/>
    <x v="146"/>
    <x v="10"/>
    <x v="1"/>
    <x v="13"/>
    <n v="205.18"/>
    <n v="2"/>
    <n v="-58.13"/>
    <x v="3"/>
    <x v="2"/>
  </r>
  <r>
    <d v="2023-04-19T00:00:00"/>
    <x v="146"/>
    <x v="10"/>
    <x v="0"/>
    <x v="0"/>
    <n v="419.4"/>
    <n v="5"/>
    <n v="146.79"/>
    <x v="3"/>
    <x v="2"/>
  </r>
  <r>
    <d v="2023-04-19T00:00:00"/>
    <x v="117"/>
    <x v="3"/>
    <x v="2"/>
    <x v="6"/>
    <n v="39.96"/>
    <n v="5"/>
    <n v="12.99"/>
    <x v="3"/>
    <x v="2"/>
  </r>
  <r>
    <d v="2023-04-19T00:00:00"/>
    <x v="117"/>
    <x v="3"/>
    <x v="0"/>
    <x v="4"/>
    <n v="5.46"/>
    <n v="3"/>
    <n v="1.53"/>
    <x v="3"/>
    <x v="2"/>
  </r>
  <r>
    <d v="2023-04-19T00:00:00"/>
    <x v="117"/>
    <x v="3"/>
    <x v="0"/>
    <x v="4"/>
    <n v="73.2"/>
    <n v="5"/>
    <n v="21.23"/>
    <x v="3"/>
    <x v="2"/>
  </r>
  <r>
    <d v="2023-04-19T00:00:00"/>
    <x v="117"/>
    <x v="3"/>
    <x v="0"/>
    <x v="3"/>
    <n v="5.84"/>
    <n v="1"/>
    <n v="1.97"/>
    <x v="3"/>
    <x v="2"/>
  </r>
  <r>
    <d v="2023-04-19T00:00:00"/>
    <x v="117"/>
    <x v="3"/>
    <x v="0"/>
    <x v="0"/>
    <n v="22.72"/>
    <n v="4"/>
    <n v="10.220000000000001"/>
    <x v="3"/>
    <x v="2"/>
  </r>
  <r>
    <d v="2023-04-19T00:00:00"/>
    <x v="117"/>
    <x v="3"/>
    <x v="0"/>
    <x v="3"/>
    <n v="9.34"/>
    <n v="3"/>
    <n v="3.27"/>
    <x v="3"/>
    <x v="2"/>
  </r>
  <r>
    <d v="2023-04-19T00:00:00"/>
    <x v="111"/>
    <x v="20"/>
    <x v="2"/>
    <x v="6"/>
    <n v="25.98"/>
    <n v="2"/>
    <n v="0.78"/>
    <x v="3"/>
    <x v="2"/>
  </r>
  <r>
    <d v="2023-04-19T00:00:00"/>
    <x v="111"/>
    <x v="20"/>
    <x v="0"/>
    <x v="4"/>
    <n v="3.28"/>
    <n v="2"/>
    <n v="1.48"/>
    <x v="3"/>
    <x v="2"/>
  </r>
  <r>
    <d v="2023-04-19T00:00:00"/>
    <x v="111"/>
    <x v="20"/>
    <x v="0"/>
    <x v="2"/>
    <n v="459.88"/>
    <n v="4"/>
    <n v="13.8"/>
    <x v="3"/>
    <x v="2"/>
  </r>
  <r>
    <d v="2023-04-19T00:00:00"/>
    <x v="111"/>
    <x v="20"/>
    <x v="0"/>
    <x v="14"/>
    <n v="7.76"/>
    <n v="2"/>
    <n v="2.25"/>
    <x v="3"/>
    <x v="2"/>
  </r>
  <r>
    <d v="2023-04-19T00:00:00"/>
    <x v="111"/>
    <x v="20"/>
    <x v="0"/>
    <x v="4"/>
    <n v="71.959999999999994"/>
    <n v="2"/>
    <n v="17.989999999999998"/>
    <x v="3"/>
    <x v="2"/>
  </r>
  <r>
    <d v="2023-04-19T00:00:00"/>
    <x v="111"/>
    <x v="20"/>
    <x v="0"/>
    <x v="14"/>
    <n v="54.9"/>
    <n v="5"/>
    <n v="15.37"/>
    <x v="3"/>
    <x v="2"/>
  </r>
  <r>
    <d v="2023-04-19T00:00:00"/>
    <x v="111"/>
    <x v="20"/>
    <x v="0"/>
    <x v="3"/>
    <n v="9.2799999999999994"/>
    <n v="2"/>
    <n v="3.25"/>
    <x v="3"/>
    <x v="2"/>
  </r>
  <r>
    <d v="2023-04-21T00:00:00"/>
    <x v="457"/>
    <x v="1"/>
    <x v="0"/>
    <x v="2"/>
    <n v="102.34"/>
    <n v="4"/>
    <n v="-12.79"/>
    <x v="3"/>
    <x v="2"/>
  </r>
  <r>
    <d v="2023-04-21T00:00:00"/>
    <x v="457"/>
    <x v="1"/>
    <x v="0"/>
    <x v="12"/>
    <n v="48.79"/>
    <n v="3"/>
    <n v="-126.86"/>
    <x v="3"/>
    <x v="2"/>
  </r>
  <r>
    <d v="2023-04-21T00:00:00"/>
    <x v="457"/>
    <x v="1"/>
    <x v="0"/>
    <x v="3"/>
    <n v="44.85"/>
    <n v="8"/>
    <n v="-67.27"/>
    <x v="3"/>
    <x v="2"/>
  </r>
  <r>
    <d v="2023-04-21T00:00:00"/>
    <x v="416"/>
    <x v="22"/>
    <x v="0"/>
    <x v="3"/>
    <n v="8.32"/>
    <n v="5"/>
    <n v="2.81"/>
    <x v="3"/>
    <x v="2"/>
  </r>
  <r>
    <d v="2023-04-21T00:00:00"/>
    <x v="542"/>
    <x v="37"/>
    <x v="0"/>
    <x v="4"/>
    <n v="15.48"/>
    <n v="3"/>
    <n v="4.49"/>
    <x v="3"/>
    <x v="2"/>
  </r>
  <r>
    <d v="2023-04-21T00:00:00"/>
    <x v="542"/>
    <x v="37"/>
    <x v="0"/>
    <x v="0"/>
    <n v="51.84"/>
    <n v="8"/>
    <n v="24.88"/>
    <x v="3"/>
    <x v="2"/>
  </r>
  <r>
    <d v="2023-04-22T00:00:00"/>
    <x v="451"/>
    <x v="12"/>
    <x v="1"/>
    <x v="8"/>
    <n v="23.56"/>
    <n v="5"/>
    <n v="7.07"/>
    <x v="3"/>
    <x v="2"/>
  </r>
  <r>
    <d v="2023-04-22T00:00:00"/>
    <x v="451"/>
    <x v="12"/>
    <x v="1"/>
    <x v="13"/>
    <n v="1272.6300000000001"/>
    <n v="6"/>
    <n v="-814.48"/>
    <x v="3"/>
    <x v="2"/>
  </r>
  <r>
    <d v="2023-04-22T00:00:00"/>
    <x v="451"/>
    <x v="12"/>
    <x v="0"/>
    <x v="3"/>
    <n v="28.49"/>
    <n v="5"/>
    <n v="-20.89"/>
    <x v="3"/>
    <x v="2"/>
  </r>
  <r>
    <d v="2023-04-22T00:00:00"/>
    <x v="451"/>
    <x v="12"/>
    <x v="0"/>
    <x v="14"/>
    <n v="185.38"/>
    <n v="2"/>
    <n v="-34.76"/>
    <x v="3"/>
    <x v="2"/>
  </r>
  <r>
    <d v="2023-04-22T00:00:00"/>
    <x v="451"/>
    <x v="12"/>
    <x v="0"/>
    <x v="12"/>
    <n v="78.27"/>
    <n v="2"/>
    <n v="5.87"/>
    <x v="3"/>
    <x v="2"/>
  </r>
  <r>
    <d v="2023-04-22T00:00:00"/>
    <x v="749"/>
    <x v="24"/>
    <x v="1"/>
    <x v="8"/>
    <n v="86.62"/>
    <n v="2"/>
    <n v="8.66"/>
    <x v="3"/>
    <x v="2"/>
  </r>
  <r>
    <d v="2023-04-22T00:00:00"/>
    <x v="722"/>
    <x v="1"/>
    <x v="0"/>
    <x v="2"/>
    <n v="23.95"/>
    <n v="2"/>
    <n v="2.4"/>
    <x v="3"/>
    <x v="2"/>
  </r>
  <r>
    <d v="2023-04-22T00:00:00"/>
    <x v="194"/>
    <x v="3"/>
    <x v="1"/>
    <x v="8"/>
    <n v="31.56"/>
    <n v="3"/>
    <n v="10.41"/>
    <x v="3"/>
    <x v="2"/>
  </r>
  <r>
    <d v="2023-04-22T00:00:00"/>
    <x v="13"/>
    <x v="20"/>
    <x v="0"/>
    <x v="4"/>
    <n v="32.130000000000003"/>
    <n v="9"/>
    <n v="8.35"/>
    <x v="3"/>
    <x v="2"/>
  </r>
  <r>
    <d v="2023-04-22T00:00:00"/>
    <x v="13"/>
    <x v="20"/>
    <x v="0"/>
    <x v="4"/>
    <n v="2.88"/>
    <n v="1"/>
    <n v="0.81"/>
    <x v="3"/>
    <x v="2"/>
  </r>
  <r>
    <d v="2023-04-23T00:00:00"/>
    <x v="271"/>
    <x v="3"/>
    <x v="0"/>
    <x v="3"/>
    <n v="251.52"/>
    <n v="6"/>
    <n v="81.739999999999995"/>
    <x v="3"/>
    <x v="2"/>
  </r>
  <r>
    <d v="2023-04-23T00:00:00"/>
    <x v="271"/>
    <x v="3"/>
    <x v="2"/>
    <x v="9"/>
    <n v="99.99"/>
    <n v="1"/>
    <n v="35"/>
    <x v="3"/>
    <x v="2"/>
  </r>
  <r>
    <d v="2023-04-23T00:00:00"/>
    <x v="252"/>
    <x v="25"/>
    <x v="0"/>
    <x v="0"/>
    <n v="36.24"/>
    <n v="5"/>
    <n v="11.33"/>
    <x v="3"/>
    <x v="2"/>
  </r>
  <r>
    <d v="2023-04-23T00:00:00"/>
    <x v="655"/>
    <x v="10"/>
    <x v="0"/>
    <x v="0"/>
    <n v="108.34"/>
    <n v="6"/>
    <n v="37.92"/>
    <x v="3"/>
    <x v="2"/>
  </r>
  <r>
    <d v="2023-04-23T00:00:00"/>
    <x v="655"/>
    <x v="10"/>
    <x v="0"/>
    <x v="2"/>
    <n v="55.92"/>
    <n v="5"/>
    <n v="6.29"/>
    <x v="3"/>
    <x v="2"/>
  </r>
  <r>
    <d v="2023-04-23T00:00:00"/>
    <x v="655"/>
    <x v="10"/>
    <x v="0"/>
    <x v="0"/>
    <n v="78.3"/>
    <n v="2"/>
    <n v="29.36"/>
    <x v="3"/>
    <x v="2"/>
  </r>
  <r>
    <d v="2023-04-23T00:00:00"/>
    <x v="721"/>
    <x v="3"/>
    <x v="0"/>
    <x v="3"/>
    <n v="18.09"/>
    <n v="7"/>
    <n v="6.56"/>
    <x v="3"/>
    <x v="2"/>
  </r>
  <r>
    <d v="2023-04-23T00:00:00"/>
    <x v="721"/>
    <x v="3"/>
    <x v="0"/>
    <x v="10"/>
    <n v="71.97"/>
    <n v="3"/>
    <n v="35.99"/>
    <x v="3"/>
    <x v="2"/>
  </r>
  <r>
    <d v="2023-04-24T00:00:00"/>
    <x v="683"/>
    <x v="0"/>
    <x v="2"/>
    <x v="9"/>
    <n v="258.7"/>
    <n v="3"/>
    <n v="64.67"/>
    <x v="3"/>
    <x v="2"/>
  </r>
  <r>
    <d v="2023-04-24T00:00:00"/>
    <x v="304"/>
    <x v="3"/>
    <x v="0"/>
    <x v="3"/>
    <n v="3.98"/>
    <n v="1"/>
    <n v="1.39"/>
    <x v="3"/>
    <x v="2"/>
  </r>
  <r>
    <d v="2023-04-24T00:00:00"/>
    <x v="750"/>
    <x v="26"/>
    <x v="0"/>
    <x v="0"/>
    <n v="15.55"/>
    <n v="3"/>
    <n v="5.44"/>
    <x v="3"/>
    <x v="2"/>
  </r>
  <r>
    <d v="2023-04-24T00:00:00"/>
    <x v="750"/>
    <x v="26"/>
    <x v="1"/>
    <x v="5"/>
    <n v="1325.76"/>
    <n v="6"/>
    <n v="149.15"/>
    <x v="3"/>
    <x v="2"/>
  </r>
  <r>
    <d v="2023-04-24T00:00:00"/>
    <x v="750"/>
    <x v="26"/>
    <x v="0"/>
    <x v="3"/>
    <n v="3.11"/>
    <n v="2"/>
    <n v="-2.1800000000000002"/>
    <x v="3"/>
    <x v="2"/>
  </r>
  <r>
    <d v="2023-04-25T00:00:00"/>
    <x v="315"/>
    <x v="2"/>
    <x v="2"/>
    <x v="6"/>
    <n v="82.8"/>
    <n v="2"/>
    <n v="-20.7"/>
    <x v="3"/>
    <x v="2"/>
  </r>
  <r>
    <d v="2023-04-25T00:00:00"/>
    <x v="315"/>
    <x v="2"/>
    <x v="0"/>
    <x v="3"/>
    <n v="20.72"/>
    <n v="2"/>
    <n v="-13.82"/>
    <x v="3"/>
    <x v="2"/>
  </r>
  <r>
    <d v="2023-04-25T00:00:00"/>
    <x v="315"/>
    <x v="2"/>
    <x v="0"/>
    <x v="3"/>
    <n v="4.9000000000000004"/>
    <n v="3"/>
    <n v="-3.43"/>
    <x v="3"/>
    <x v="2"/>
  </r>
  <r>
    <d v="2023-04-26T00:00:00"/>
    <x v="524"/>
    <x v="20"/>
    <x v="1"/>
    <x v="5"/>
    <n v="434.65"/>
    <n v="3"/>
    <n v="62.78"/>
    <x v="3"/>
    <x v="2"/>
  </r>
  <r>
    <d v="2023-04-28T00:00:00"/>
    <x v="555"/>
    <x v="0"/>
    <x v="2"/>
    <x v="6"/>
    <n v="369.58"/>
    <n v="3"/>
    <n v="41.58"/>
    <x v="3"/>
    <x v="2"/>
  </r>
  <r>
    <d v="2023-04-28T00:00:00"/>
    <x v="555"/>
    <x v="0"/>
    <x v="0"/>
    <x v="1"/>
    <n v="15.71"/>
    <n v="4"/>
    <n v="5.7"/>
    <x v="3"/>
    <x v="2"/>
  </r>
  <r>
    <d v="2023-04-28T00:00:00"/>
    <x v="200"/>
    <x v="26"/>
    <x v="0"/>
    <x v="0"/>
    <n v="29.47"/>
    <n v="3"/>
    <n v="9.9499999999999993"/>
    <x v="3"/>
    <x v="2"/>
  </r>
  <r>
    <d v="2023-04-28T00:00:00"/>
    <x v="731"/>
    <x v="3"/>
    <x v="1"/>
    <x v="5"/>
    <n v="41.57"/>
    <n v="2"/>
    <n v="2.6"/>
    <x v="3"/>
    <x v="2"/>
  </r>
  <r>
    <d v="2023-04-28T00:00:00"/>
    <x v="751"/>
    <x v="1"/>
    <x v="1"/>
    <x v="8"/>
    <n v="30.34"/>
    <n v="2"/>
    <n v="-31.86"/>
    <x v="3"/>
    <x v="2"/>
  </r>
  <r>
    <d v="2023-04-30T00:00:00"/>
    <x v="154"/>
    <x v="20"/>
    <x v="0"/>
    <x v="3"/>
    <n v="7.71"/>
    <n v="2"/>
    <n v="2.8"/>
    <x v="3"/>
    <x v="2"/>
  </r>
  <r>
    <d v="2023-04-30T00:00:00"/>
    <x v="151"/>
    <x v="0"/>
    <x v="1"/>
    <x v="8"/>
    <n v="22.61"/>
    <n v="3"/>
    <n v="-10.17"/>
    <x v="3"/>
    <x v="2"/>
  </r>
  <r>
    <d v="2023-04-30T00:00:00"/>
    <x v="687"/>
    <x v="12"/>
    <x v="1"/>
    <x v="8"/>
    <n v="111.89"/>
    <n v="7"/>
    <n v="22.38"/>
    <x v="3"/>
    <x v="2"/>
  </r>
  <r>
    <d v="2023-05-01T00:00:00"/>
    <x v="221"/>
    <x v="15"/>
    <x v="0"/>
    <x v="1"/>
    <n v="3.98"/>
    <n v="1"/>
    <n v="1.29"/>
    <x v="4"/>
    <x v="2"/>
  </r>
  <r>
    <d v="2023-05-01T00:00:00"/>
    <x v="221"/>
    <x v="15"/>
    <x v="1"/>
    <x v="13"/>
    <n v="370.62"/>
    <n v="3"/>
    <n v="-142.07"/>
    <x v="4"/>
    <x v="2"/>
  </r>
  <r>
    <d v="2023-05-01T00:00:00"/>
    <x v="221"/>
    <x v="15"/>
    <x v="0"/>
    <x v="3"/>
    <n v="2.74"/>
    <n v="2"/>
    <n v="-2.0099999999999998"/>
    <x v="4"/>
    <x v="2"/>
  </r>
  <r>
    <d v="2023-05-01T00:00:00"/>
    <x v="752"/>
    <x v="13"/>
    <x v="0"/>
    <x v="0"/>
    <n v="109.92"/>
    <n v="2"/>
    <n v="53.86"/>
    <x v="4"/>
    <x v="2"/>
  </r>
  <r>
    <d v="2023-05-01T00:00:00"/>
    <x v="752"/>
    <x v="13"/>
    <x v="0"/>
    <x v="0"/>
    <n v="19.440000000000001"/>
    <n v="3"/>
    <n v="9.33"/>
    <x v="4"/>
    <x v="2"/>
  </r>
  <r>
    <d v="2023-05-01T00:00:00"/>
    <x v="752"/>
    <x v="13"/>
    <x v="0"/>
    <x v="4"/>
    <n v="11.16"/>
    <n v="2"/>
    <n v="4.3499999999999996"/>
    <x v="4"/>
    <x v="2"/>
  </r>
  <r>
    <d v="2023-05-02T00:00:00"/>
    <x v="741"/>
    <x v="0"/>
    <x v="0"/>
    <x v="4"/>
    <n v="86.35"/>
    <n v="3"/>
    <n v="5.4"/>
    <x v="4"/>
    <x v="2"/>
  </r>
  <r>
    <d v="2023-05-02T00:00:00"/>
    <x v="204"/>
    <x v="20"/>
    <x v="0"/>
    <x v="2"/>
    <n v="44.94"/>
    <n v="3"/>
    <n v="12.58"/>
    <x v="4"/>
    <x v="2"/>
  </r>
  <r>
    <d v="2023-05-02T00:00:00"/>
    <x v="204"/>
    <x v="20"/>
    <x v="0"/>
    <x v="3"/>
    <n v="45.58"/>
    <n v="3"/>
    <n v="15.95"/>
    <x v="4"/>
    <x v="2"/>
  </r>
  <r>
    <d v="2023-05-02T00:00:00"/>
    <x v="275"/>
    <x v="25"/>
    <x v="1"/>
    <x v="5"/>
    <n v="187.06"/>
    <n v="9"/>
    <n v="11.69"/>
    <x v="4"/>
    <x v="2"/>
  </r>
  <r>
    <d v="2023-05-02T00:00:00"/>
    <x v="423"/>
    <x v="0"/>
    <x v="0"/>
    <x v="2"/>
    <n v="18.940000000000001"/>
    <n v="3"/>
    <n v="-3.79"/>
    <x v="4"/>
    <x v="2"/>
  </r>
  <r>
    <d v="2023-05-02T00:00:00"/>
    <x v="423"/>
    <x v="0"/>
    <x v="0"/>
    <x v="2"/>
    <n v="12.67"/>
    <n v="3"/>
    <n v="-3.17"/>
    <x v="4"/>
    <x v="2"/>
  </r>
  <r>
    <d v="2023-05-02T00:00:00"/>
    <x v="423"/>
    <x v="0"/>
    <x v="0"/>
    <x v="1"/>
    <n v="5.04"/>
    <n v="2"/>
    <n v="1.76"/>
    <x v="4"/>
    <x v="2"/>
  </r>
  <r>
    <d v="2023-05-02T00:00:00"/>
    <x v="245"/>
    <x v="0"/>
    <x v="1"/>
    <x v="5"/>
    <n v="366.74"/>
    <n v="4"/>
    <n v="-110.02"/>
    <x v="4"/>
    <x v="2"/>
  </r>
  <r>
    <d v="2023-05-02T00:00:00"/>
    <x v="150"/>
    <x v="20"/>
    <x v="1"/>
    <x v="8"/>
    <n v="12.56"/>
    <n v="2"/>
    <n v="4.0199999999999996"/>
    <x v="4"/>
    <x v="2"/>
  </r>
  <r>
    <d v="2023-05-02T00:00:00"/>
    <x v="150"/>
    <x v="20"/>
    <x v="0"/>
    <x v="3"/>
    <n v="90.48"/>
    <n v="3"/>
    <n v="33.93"/>
    <x v="4"/>
    <x v="2"/>
  </r>
  <r>
    <d v="2023-05-02T00:00:00"/>
    <x v="150"/>
    <x v="20"/>
    <x v="0"/>
    <x v="0"/>
    <n v="13.08"/>
    <n v="2"/>
    <n v="6.02"/>
    <x v="4"/>
    <x v="2"/>
  </r>
  <r>
    <d v="2023-05-02T00:00:00"/>
    <x v="150"/>
    <x v="20"/>
    <x v="1"/>
    <x v="8"/>
    <n v="214.7"/>
    <n v="5"/>
    <n v="83.73"/>
    <x v="4"/>
    <x v="2"/>
  </r>
  <r>
    <d v="2023-05-03T00:00:00"/>
    <x v="710"/>
    <x v="1"/>
    <x v="0"/>
    <x v="3"/>
    <n v="2.1800000000000002"/>
    <n v="1"/>
    <n v="-3.6"/>
    <x v="4"/>
    <x v="2"/>
  </r>
  <r>
    <d v="2023-05-03T00:00:00"/>
    <x v="710"/>
    <x v="1"/>
    <x v="0"/>
    <x v="4"/>
    <n v="27.38"/>
    <n v="7"/>
    <n v="2.74"/>
    <x v="4"/>
    <x v="2"/>
  </r>
  <r>
    <d v="2023-05-03T00:00:00"/>
    <x v="710"/>
    <x v="1"/>
    <x v="0"/>
    <x v="12"/>
    <n v="26.41"/>
    <n v="3"/>
    <n v="-71.3"/>
    <x v="4"/>
    <x v="2"/>
  </r>
  <r>
    <d v="2023-05-03T00:00:00"/>
    <x v="753"/>
    <x v="10"/>
    <x v="2"/>
    <x v="9"/>
    <n v="132.52000000000001"/>
    <n v="5"/>
    <n v="34.79"/>
    <x v="4"/>
    <x v="2"/>
  </r>
  <r>
    <d v="2023-05-03T00:00:00"/>
    <x v="753"/>
    <x v="10"/>
    <x v="0"/>
    <x v="2"/>
    <n v="195.64"/>
    <n v="5"/>
    <n v="-44.02"/>
    <x v="4"/>
    <x v="2"/>
  </r>
  <r>
    <d v="2023-05-03T00:00:00"/>
    <x v="753"/>
    <x v="10"/>
    <x v="1"/>
    <x v="8"/>
    <n v="51.97"/>
    <n v="2"/>
    <n v="10.39"/>
    <x v="4"/>
    <x v="2"/>
  </r>
  <r>
    <d v="2023-05-03T00:00:00"/>
    <x v="753"/>
    <x v="10"/>
    <x v="2"/>
    <x v="9"/>
    <n v="431.98"/>
    <n v="3"/>
    <n v="-75.599999999999994"/>
    <x v="4"/>
    <x v="2"/>
  </r>
  <r>
    <d v="2023-05-03T00:00:00"/>
    <x v="753"/>
    <x v="10"/>
    <x v="2"/>
    <x v="15"/>
    <n v="224.94"/>
    <n v="3"/>
    <n v="-164.95"/>
    <x v="4"/>
    <x v="2"/>
  </r>
  <r>
    <d v="2023-05-03T00:00:00"/>
    <x v="753"/>
    <x v="10"/>
    <x v="0"/>
    <x v="1"/>
    <n v="6"/>
    <n v="2"/>
    <n v="2.1"/>
    <x v="4"/>
    <x v="2"/>
  </r>
  <r>
    <d v="2023-05-05T00:00:00"/>
    <x v="11"/>
    <x v="5"/>
    <x v="0"/>
    <x v="0"/>
    <n v="79.14"/>
    <n v="3"/>
    <n v="36.4"/>
    <x v="4"/>
    <x v="2"/>
  </r>
  <r>
    <d v="2023-05-05T00:00:00"/>
    <x v="225"/>
    <x v="15"/>
    <x v="0"/>
    <x v="0"/>
    <n v="14.35"/>
    <n v="3"/>
    <n v="5.2"/>
    <x v="4"/>
    <x v="2"/>
  </r>
  <r>
    <d v="2023-05-05T00:00:00"/>
    <x v="429"/>
    <x v="3"/>
    <x v="0"/>
    <x v="2"/>
    <n v="5.98"/>
    <n v="1"/>
    <n v="1.02"/>
    <x v="4"/>
    <x v="2"/>
  </r>
  <r>
    <d v="2023-05-05T00:00:00"/>
    <x v="429"/>
    <x v="3"/>
    <x v="2"/>
    <x v="6"/>
    <n v="246.17"/>
    <n v="3"/>
    <n v="21.54"/>
    <x v="4"/>
    <x v="2"/>
  </r>
  <r>
    <d v="2023-05-05T00:00:00"/>
    <x v="406"/>
    <x v="3"/>
    <x v="0"/>
    <x v="3"/>
    <n v="6.72"/>
    <n v="5"/>
    <n v="2.35"/>
    <x v="4"/>
    <x v="2"/>
  </r>
  <r>
    <d v="2023-05-05T00:00:00"/>
    <x v="406"/>
    <x v="3"/>
    <x v="1"/>
    <x v="13"/>
    <n v="298.77999999999997"/>
    <n v="3"/>
    <n v="7.47"/>
    <x v="4"/>
    <x v="2"/>
  </r>
  <r>
    <d v="2023-05-05T00:00:00"/>
    <x v="368"/>
    <x v="15"/>
    <x v="1"/>
    <x v="8"/>
    <n v="16.72"/>
    <n v="5"/>
    <n v="3.34"/>
    <x v="4"/>
    <x v="2"/>
  </r>
  <r>
    <d v="2023-05-05T00:00:00"/>
    <x v="596"/>
    <x v="3"/>
    <x v="1"/>
    <x v="13"/>
    <n v="71.09"/>
    <n v="2"/>
    <n v="-1.78"/>
    <x v="4"/>
    <x v="2"/>
  </r>
  <r>
    <d v="2023-05-05T00:00:00"/>
    <x v="754"/>
    <x v="17"/>
    <x v="1"/>
    <x v="13"/>
    <n v="1685.88"/>
    <n v="6"/>
    <n v="320.32"/>
    <x v="4"/>
    <x v="2"/>
  </r>
  <r>
    <d v="2023-05-05T00:00:00"/>
    <x v="754"/>
    <x v="17"/>
    <x v="0"/>
    <x v="3"/>
    <n v="5.73"/>
    <n v="2"/>
    <n v="2"/>
    <x v="4"/>
    <x v="2"/>
  </r>
  <r>
    <d v="2023-05-05T00:00:00"/>
    <x v="81"/>
    <x v="16"/>
    <x v="0"/>
    <x v="0"/>
    <n v="93.25"/>
    <n v="4"/>
    <n v="31.47"/>
    <x v="4"/>
    <x v="2"/>
  </r>
  <r>
    <d v="2023-05-05T00:00:00"/>
    <x v="81"/>
    <x v="16"/>
    <x v="2"/>
    <x v="6"/>
    <n v="177.48"/>
    <n v="3"/>
    <n v="19.97"/>
    <x v="4"/>
    <x v="2"/>
  </r>
  <r>
    <d v="2023-05-06T00:00:00"/>
    <x v="671"/>
    <x v="10"/>
    <x v="0"/>
    <x v="7"/>
    <n v="7.22"/>
    <n v="2"/>
    <n v="1.71"/>
    <x v="4"/>
    <x v="2"/>
  </r>
  <r>
    <d v="2023-05-06T00:00:00"/>
    <x v="671"/>
    <x v="10"/>
    <x v="0"/>
    <x v="0"/>
    <n v="49.57"/>
    <n v="2"/>
    <n v="15.49"/>
    <x v="4"/>
    <x v="2"/>
  </r>
  <r>
    <d v="2023-05-06T00:00:00"/>
    <x v="671"/>
    <x v="10"/>
    <x v="1"/>
    <x v="8"/>
    <n v="54.71"/>
    <n v="7"/>
    <n v="11.63"/>
    <x v="4"/>
    <x v="2"/>
  </r>
  <r>
    <d v="2023-05-06T00:00:00"/>
    <x v="721"/>
    <x v="1"/>
    <x v="0"/>
    <x v="3"/>
    <n v="3.21"/>
    <n v="2"/>
    <n v="-5.29"/>
    <x v="4"/>
    <x v="2"/>
  </r>
  <r>
    <d v="2023-05-06T00:00:00"/>
    <x v="721"/>
    <x v="1"/>
    <x v="2"/>
    <x v="9"/>
    <n v="26.18"/>
    <n v="2"/>
    <n v="-3.27"/>
    <x v="4"/>
    <x v="2"/>
  </r>
  <r>
    <d v="2023-05-06T00:00:00"/>
    <x v="671"/>
    <x v="24"/>
    <x v="0"/>
    <x v="12"/>
    <n v="54.48"/>
    <n v="1"/>
    <n v="15.25"/>
    <x v="4"/>
    <x v="2"/>
  </r>
  <r>
    <d v="2023-05-06T00:00:00"/>
    <x v="344"/>
    <x v="3"/>
    <x v="1"/>
    <x v="8"/>
    <n v="41.6"/>
    <n v="4"/>
    <n v="14.14"/>
    <x v="4"/>
    <x v="2"/>
  </r>
  <r>
    <d v="2023-05-07T00:00:00"/>
    <x v="740"/>
    <x v="20"/>
    <x v="0"/>
    <x v="3"/>
    <n v="85.23"/>
    <n v="7"/>
    <n v="30.9"/>
    <x v="4"/>
    <x v="2"/>
  </r>
  <r>
    <d v="2023-05-07T00:00:00"/>
    <x v="740"/>
    <x v="20"/>
    <x v="0"/>
    <x v="1"/>
    <n v="44.4"/>
    <n v="3"/>
    <n v="22.2"/>
    <x v="4"/>
    <x v="2"/>
  </r>
  <r>
    <d v="2023-05-07T00:00:00"/>
    <x v="740"/>
    <x v="20"/>
    <x v="1"/>
    <x v="5"/>
    <n v="442.76"/>
    <n v="4"/>
    <n v="59.04"/>
    <x v="4"/>
    <x v="2"/>
  </r>
  <r>
    <d v="2023-05-07T00:00:00"/>
    <x v="740"/>
    <x v="20"/>
    <x v="2"/>
    <x v="15"/>
    <n v="3999.95"/>
    <n v="5"/>
    <n v="1159.99"/>
    <x v="4"/>
    <x v="2"/>
  </r>
  <r>
    <d v="2023-05-07T00:00:00"/>
    <x v="740"/>
    <x v="20"/>
    <x v="2"/>
    <x v="9"/>
    <n v="199.95"/>
    <n v="5"/>
    <n v="21.99"/>
    <x v="4"/>
    <x v="2"/>
  </r>
  <r>
    <d v="2023-05-07T00:00:00"/>
    <x v="740"/>
    <x v="20"/>
    <x v="1"/>
    <x v="8"/>
    <n v="63.68"/>
    <n v="8"/>
    <n v="28.02"/>
    <x v="4"/>
    <x v="2"/>
  </r>
  <r>
    <d v="2023-05-08T00:00:00"/>
    <x v="169"/>
    <x v="7"/>
    <x v="1"/>
    <x v="8"/>
    <n v="211.96"/>
    <n v="2"/>
    <n v="42.39"/>
    <x v="4"/>
    <x v="2"/>
  </r>
  <r>
    <d v="2023-05-08T00:00:00"/>
    <x v="68"/>
    <x v="10"/>
    <x v="0"/>
    <x v="2"/>
    <n v="1006.06"/>
    <n v="3"/>
    <n v="88.03"/>
    <x v="4"/>
    <x v="2"/>
  </r>
  <r>
    <d v="2023-05-08T00:00:00"/>
    <x v="68"/>
    <x v="10"/>
    <x v="0"/>
    <x v="0"/>
    <n v="10.69"/>
    <n v="2"/>
    <n v="3.74"/>
    <x v="4"/>
    <x v="2"/>
  </r>
  <r>
    <d v="2023-05-08T00:00:00"/>
    <x v="68"/>
    <x v="10"/>
    <x v="0"/>
    <x v="0"/>
    <n v="10.37"/>
    <n v="2"/>
    <n v="3.63"/>
    <x v="4"/>
    <x v="2"/>
  </r>
  <r>
    <d v="2023-05-08T00:00:00"/>
    <x v="68"/>
    <x v="10"/>
    <x v="0"/>
    <x v="2"/>
    <n v="25.12"/>
    <n v="2"/>
    <n v="1.57"/>
    <x v="4"/>
    <x v="2"/>
  </r>
  <r>
    <d v="2023-05-08T00:00:00"/>
    <x v="68"/>
    <x v="10"/>
    <x v="2"/>
    <x v="9"/>
    <n v="58.11"/>
    <n v="2"/>
    <n v="7.26"/>
    <x v="4"/>
    <x v="2"/>
  </r>
  <r>
    <d v="2023-05-08T00:00:00"/>
    <x v="335"/>
    <x v="3"/>
    <x v="0"/>
    <x v="0"/>
    <n v="17.940000000000001"/>
    <n v="3"/>
    <n v="8.07"/>
    <x v="4"/>
    <x v="2"/>
  </r>
  <r>
    <d v="2023-05-09T00:00:00"/>
    <x v="331"/>
    <x v="22"/>
    <x v="2"/>
    <x v="9"/>
    <n v="93.98"/>
    <n v="2"/>
    <n v="13.16"/>
    <x v="4"/>
    <x v="2"/>
  </r>
  <r>
    <d v="2023-05-09T00:00:00"/>
    <x v="621"/>
    <x v="2"/>
    <x v="0"/>
    <x v="10"/>
    <n v="9.34"/>
    <n v="1"/>
    <n v="3.5"/>
    <x v="4"/>
    <x v="2"/>
  </r>
  <r>
    <d v="2023-05-09T00:00:00"/>
    <x v="621"/>
    <x v="2"/>
    <x v="0"/>
    <x v="4"/>
    <n v="79.36"/>
    <n v="5"/>
    <n v="9.92"/>
    <x v="4"/>
    <x v="2"/>
  </r>
  <r>
    <d v="2023-05-09T00:00:00"/>
    <x v="152"/>
    <x v="20"/>
    <x v="0"/>
    <x v="4"/>
    <n v="8"/>
    <n v="5"/>
    <n v="3.44"/>
    <x v="4"/>
    <x v="2"/>
  </r>
  <r>
    <d v="2023-05-09T00:00:00"/>
    <x v="332"/>
    <x v="3"/>
    <x v="0"/>
    <x v="0"/>
    <n v="32.04"/>
    <n v="4"/>
    <n v="14.42"/>
    <x v="4"/>
    <x v="2"/>
  </r>
  <r>
    <d v="2023-05-09T00:00:00"/>
    <x v="2"/>
    <x v="0"/>
    <x v="2"/>
    <x v="6"/>
    <n v="19.14"/>
    <n v="2"/>
    <n v="1.91"/>
    <x v="4"/>
    <x v="2"/>
  </r>
  <r>
    <d v="2023-05-09T00:00:00"/>
    <x v="433"/>
    <x v="6"/>
    <x v="0"/>
    <x v="4"/>
    <n v="27.86"/>
    <n v="7"/>
    <n v="9.19"/>
    <x v="4"/>
    <x v="2"/>
  </r>
  <r>
    <d v="2023-05-09T00:00:00"/>
    <x v="755"/>
    <x v="0"/>
    <x v="0"/>
    <x v="2"/>
    <n v="856.66"/>
    <n v="6"/>
    <n v="107.08"/>
    <x v="4"/>
    <x v="2"/>
  </r>
  <r>
    <d v="2023-05-09T00:00:00"/>
    <x v="755"/>
    <x v="0"/>
    <x v="0"/>
    <x v="3"/>
    <n v="13.18"/>
    <n v="4"/>
    <n v="-20.440000000000001"/>
    <x v="4"/>
    <x v="2"/>
  </r>
  <r>
    <d v="2023-05-09T00:00:00"/>
    <x v="755"/>
    <x v="0"/>
    <x v="0"/>
    <x v="12"/>
    <n v="48.78"/>
    <n v="4"/>
    <n v="-131.72"/>
    <x v="4"/>
    <x v="2"/>
  </r>
  <r>
    <d v="2023-05-09T00:00:00"/>
    <x v="755"/>
    <x v="0"/>
    <x v="0"/>
    <x v="0"/>
    <n v="76.64"/>
    <n v="2"/>
    <n v="26.82"/>
    <x v="4"/>
    <x v="2"/>
  </r>
  <r>
    <d v="2023-05-09T00:00:00"/>
    <x v="755"/>
    <x v="0"/>
    <x v="0"/>
    <x v="3"/>
    <n v="18.53"/>
    <n v="6"/>
    <n v="-27.79"/>
    <x v="4"/>
    <x v="2"/>
  </r>
  <r>
    <d v="2023-05-10T00:00:00"/>
    <x v="310"/>
    <x v="22"/>
    <x v="0"/>
    <x v="0"/>
    <n v="11.96"/>
    <n v="2"/>
    <n v="5.86"/>
    <x v="4"/>
    <x v="2"/>
  </r>
  <r>
    <d v="2023-05-10T00:00:00"/>
    <x v="431"/>
    <x v="2"/>
    <x v="2"/>
    <x v="6"/>
    <n v="743.99"/>
    <n v="2"/>
    <n v="-124"/>
    <x v="4"/>
    <x v="2"/>
  </r>
  <r>
    <d v="2023-05-10T00:00:00"/>
    <x v="344"/>
    <x v="1"/>
    <x v="0"/>
    <x v="10"/>
    <n v="7.07"/>
    <n v="2"/>
    <n v="2.39"/>
    <x v="4"/>
    <x v="2"/>
  </r>
  <r>
    <d v="2023-05-11T00:00:00"/>
    <x v="207"/>
    <x v="3"/>
    <x v="0"/>
    <x v="0"/>
    <n v="5.98"/>
    <n v="1"/>
    <n v="2.69"/>
    <x v="4"/>
    <x v="2"/>
  </r>
  <r>
    <d v="2023-05-12T00:00:00"/>
    <x v="422"/>
    <x v="6"/>
    <x v="0"/>
    <x v="4"/>
    <n v="10.96"/>
    <n v="4"/>
    <n v="2.96"/>
    <x v="4"/>
    <x v="2"/>
  </r>
  <r>
    <d v="2023-05-12T00:00:00"/>
    <x v="76"/>
    <x v="2"/>
    <x v="0"/>
    <x v="2"/>
    <n v="82.37"/>
    <n v="2"/>
    <n v="-19.559999999999999"/>
    <x v="4"/>
    <x v="2"/>
  </r>
  <r>
    <d v="2023-05-12T00:00:00"/>
    <x v="747"/>
    <x v="22"/>
    <x v="0"/>
    <x v="10"/>
    <n v="54.9"/>
    <n v="5"/>
    <n v="26.9"/>
    <x v="4"/>
    <x v="2"/>
  </r>
  <r>
    <d v="2023-05-12T00:00:00"/>
    <x v="312"/>
    <x v="20"/>
    <x v="1"/>
    <x v="8"/>
    <n v="10.02"/>
    <n v="3"/>
    <n v="4.41"/>
    <x v="4"/>
    <x v="2"/>
  </r>
  <r>
    <d v="2023-05-12T00:00:00"/>
    <x v="312"/>
    <x v="20"/>
    <x v="2"/>
    <x v="6"/>
    <n v="631.96"/>
    <n v="4"/>
    <n v="303.33999999999997"/>
    <x v="4"/>
    <x v="2"/>
  </r>
  <r>
    <d v="2023-05-12T00:00:00"/>
    <x v="98"/>
    <x v="3"/>
    <x v="2"/>
    <x v="9"/>
    <n v="120"/>
    <n v="6"/>
    <n v="46.8"/>
    <x v="4"/>
    <x v="2"/>
  </r>
  <r>
    <d v="2023-05-12T00:00:00"/>
    <x v="98"/>
    <x v="3"/>
    <x v="0"/>
    <x v="12"/>
    <n v="8.67"/>
    <n v="1"/>
    <n v="2.34"/>
    <x v="4"/>
    <x v="2"/>
  </r>
  <r>
    <d v="2023-05-14T00:00:00"/>
    <x v="564"/>
    <x v="10"/>
    <x v="1"/>
    <x v="8"/>
    <n v="79.38"/>
    <n v="1"/>
    <n v="29.77"/>
    <x v="4"/>
    <x v="2"/>
  </r>
  <r>
    <d v="2023-05-14T00:00:00"/>
    <x v="521"/>
    <x v="16"/>
    <x v="0"/>
    <x v="3"/>
    <n v="57.58"/>
    <n v="3"/>
    <n v="-44.15"/>
    <x v="4"/>
    <x v="2"/>
  </r>
  <r>
    <d v="2023-05-14T00:00:00"/>
    <x v="521"/>
    <x v="16"/>
    <x v="0"/>
    <x v="0"/>
    <n v="31.1"/>
    <n v="6"/>
    <n v="10.89"/>
    <x v="4"/>
    <x v="2"/>
  </r>
  <r>
    <d v="2023-05-14T00:00:00"/>
    <x v="521"/>
    <x v="16"/>
    <x v="1"/>
    <x v="8"/>
    <n v="30.19"/>
    <n v="3"/>
    <n v="8.3000000000000007"/>
    <x v="4"/>
    <x v="2"/>
  </r>
  <r>
    <d v="2023-05-14T00:00:00"/>
    <x v="521"/>
    <x v="16"/>
    <x v="2"/>
    <x v="6"/>
    <n v="43.6"/>
    <n v="5"/>
    <n v="4.3600000000000003"/>
    <x v="4"/>
    <x v="2"/>
  </r>
  <r>
    <d v="2023-05-14T00:00:00"/>
    <x v="521"/>
    <x v="16"/>
    <x v="0"/>
    <x v="4"/>
    <n v="4.7699999999999996"/>
    <n v="2"/>
    <n v="0.42"/>
    <x v="4"/>
    <x v="2"/>
  </r>
  <r>
    <d v="2023-05-14T00:00:00"/>
    <x v="521"/>
    <x v="16"/>
    <x v="0"/>
    <x v="3"/>
    <n v="10.38"/>
    <n v="2"/>
    <n v="-7.61"/>
    <x v="4"/>
    <x v="2"/>
  </r>
  <r>
    <d v="2023-05-14T00:00:00"/>
    <x v="521"/>
    <x v="16"/>
    <x v="0"/>
    <x v="3"/>
    <n v="13.39"/>
    <n v="8"/>
    <n v="-9.82"/>
    <x v="4"/>
    <x v="2"/>
  </r>
  <r>
    <d v="2023-05-14T00:00:00"/>
    <x v="495"/>
    <x v="12"/>
    <x v="2"/>
    <x v="9"/>
    <n v="185.53"/>
    <n v="7"/>
    <n v="48.7"/>
    <x v="4"/>
    <x v="2"/>
  </r>
  <r>
    <d v="2023-05-15T00:00:00"/>
    <x v="188"/>
    <x v="29"/>
    <x v="0"/>
    <x v="3"/>
    <n v="511.84"/>
    <n v="8"/>
    <n v="240.56"/>
    <x v="4"/>
    <x v="2"/>
  </r>
  <r>
    <d v="2023-05-15T00:00:00"/>
    <x v="188"/>
    <x v="29"/>
    <x v="0"/>
    <x v="4"/>
    <n v="91.96"/>
    <n v="4"/>
    <n v="25.75"/>
    <x v="4"/>
    <x v="2"/>
  </r>
  <r>
    <d v="2023-05-15T00:00:00"/>
    <x v="188"/>
    <x v="29"/>
    <x v="0"/>
    <x v="4"/>
    <n v="8.34"/>
    <n v="3"/>
    <n v="2.17"/>
    <x v="4"/>
    <x v="2"/>
  </r>
  <r>
    <d v="2023-05-15T00:00:00"/>
    <x v="426"/>
    <x v="20"/>
    <x v="0"/>
    <x v="3"/>
    <n v="13.78"/>
    <n v="3"/>
    <n v="4.4800000000000004"/>
    <x v="4"/>
    <x v="2"/>
  </r>
  <r>
    <d v="2023-05-15T00:00:00"/>
    <x v="0"/>
    <x v="16"/>
    <x v="0"/>
    <x v="3"/>
    <n v="7.76"/>
    <n v="4"/>
    <n v="-5.18"/>
    <x v="4"/>
    <x v="2"/>
  </r>
  <r>
    <d v="2023-05-15T00:00:00"/>
    <x v="46"/>
    <x v="10"/>
    <x v="0"/>
    <x v="0"/>
    <n v="15.23"/>
    <n v="4"/>
    <n v="5.52"/>
    <x v="4"/>
    <x v="2"/>
  </r>
  <r>
    <d v="2023-05-16T00:00:00"/>
    <x v="728"/>
    <x v="37"/>
    <x v="0"/>
    <x v="2"/>
    <n v="552.55999999999995"/>
    <n v="4"/>
    <n v="0"/>
    <x v="4"/>
    <x v="2"/>
  </r>
  <r>
    <d v="2023-05-16T00:00:00"/>
    <x v="445"/>
    <x v="3"/>
    <x v="0"/>
    <x v="0"/>
    <n v="17.34"/>
    <n v="3"/>
    <n v="8.5"/>
    <x v="4"/>
    <x v="2"/>
  </r>
  <r>
    <d v="2023-05-16T00:00:00"/>
    <x v="42"/>
    <x v="3"/>
    <x v="1"/>
    <x v="8"/>
    <n v="282.83999999999997"/>
    <n v="4"/>
    <n v="19.8"/>
    <x v="4"/>
    <x v="2"/>
  </r>
  <r>
    <d v="2023-05-16T00:00:00"/>
    <x v="42"/>
    <x v="3"/>
    <x v="0"/>
    <x v="1"/>
    <n v="27.72"/>
    <n v="9"/>
    <n v="13.31"/>
    <x v="4"/>
    <x v="2"/>
  </r>
  <r>
    <d v="2023-05-17T00:00:00"/>
    <x v="132"/>
    <x v="16"/>
    <x v="0"/>
    <x v="3"/>
    <n v="2.95"/>
    <n v="2"/>
    <n v="-2.16"/>
    <x v="4"/>
    <x v="2"/>
  </r>
  <r>
    <d v="2023-05-17T00:00:00"/>
    <x v="132"/>
    <x v="16"/>
    <x v="0"/>
    <x v="3"/>
    <n v="27.02"/>
    <n v="6"/>
    <n v="-21.61"/>
    <x v="4"/>
    <x v="2"/>
  </r>
  <r>
    <d v="2023-05-17T00:00:00"/>
    <x v="316"/>
    <x v="37"/>
    <x v="0"/>
    <x v="14"/>
    <n v="65.17"/>
    <n v="7"/>
    <n v="18.899999999999999"/>
    <x v="4"/>
    <x v="2"/>
  </r>
  <r>
    <d v="2023-05-17T00:00:00"/>
    <x v="316"/>
    <x v="37"/>
    <x v="0"/>
    <x v="1"/>
    <n v="14.62"/>
    <n v="2"/>
    <n v="6.87"/>
    <x v="4"/>
    <x v="2"/>
  </r>
  <r>
    <d v="2023-05-17T00:00:00"/>
    <x v="316"/>
    <x v="37"/>
    <x v="1"/>
    <x v="8"/>
    <n v="173.24"/>
    <n v="4"/>
    <n v="17.32"/>
    <x v="4"/>
    <x v="2"/>
  </r>
  <r>
    <d v="2023-05-17T00:00:00"/>
    <x v="399"/>
    <x v="1"/>
    <x v="0"/>
    <x v="3"/>
    <n v="2.89"/>
    <n v="1"/>
    <n v="-4.7699999999999996"/>
    <x v="4"/>
    <x v="2"/>
  </r>
  <r>
    <d v="2023-05-17T00:00:00"/>
    <x v="399"/>
    <x v="1"/>
    <x v="0"/>
    <x v="7"/>
    <n v="7.9"/>
    <n v="3"/>
    <n v="2.4700000000000002"/>
    <x v="4"/>
    <x v="2"/>
  </r>
  <r>
    <d v="2023-05-17T00:00:00"/>
    <x v="399"/>
    <x v="1"/>
    <x v="1"/>
    <x v="8"/>
    <n v="22.61"/>
    <n v="3"/>
    <n v="-10.17"/>
    <x v="4"/>
    <x v="2"/>
  </r>
  <r>
    <d v="2023-05-17T00:00:00"/>
    <x v="399"/>
    <x v="1"/>
    <x v="0"/>
    <x v="0"/>
    <n v="30.53"/>
    <n v="8"/>
    <n v="9.5399999999999991"/>
    <x v="4"/>
    <x v="2"/>
  </r>
  <r>
    <d v="2023-05-18T00:00:00"/>
    <x v="34"/>
    <x v="3"/>
    <x v="0"/>
    <x v="2"/>
    <n v="104.28"/>
    <n v="3"/>
    <n v="26.07"/>
    <x v="4"/>
    <x v="2"/>
  </r>
  <r>
    <d v="2023-05-18T00:00:00"/>
    <x v="34"/>
    <x v="3"/>
    <x v="0"/>
    <x v="0"/>
    <n v="17.940000000000001"/>
    <n v="3"/>
    <n v="8.7899999999999991"/>
    <x v="4"/>
    <x v="2"/>
  </r>
  <r>
    <d v="2023-05-19T00:00:00"/>
    <x v="224"/>
    <x v="6"/>
    <x v="1"/>
    <x v="5"/>
    <n v="641.96"/>
    <n v="2"/>
    <n v="179.75"/>
    <x v="4"/>
    <x v="2"/>
  </r>
  <r>
    <d v="2023-05-19T00:00:00"/>
    <x v="84"/>
    <x v="20"/>
    <x v="0"/>
    <x v="12"/>
    <n v="242.9"/>
    <n v="5"/>
    <n v="70.44"/>
    <x v="4"/>
    <x v="2"/>
  </r>
  <r>
    <d v="2023-05-19T00:00:00"/>
    <x v="84"/>
    <x v="20"/>
    <x v="0"/>
    <x v="2"/>
    <n v="454.9"/>
    <n v="5"/>
    <n v="0"/>
    <x v="4"/>
    <x v="2"/>
  </r>
  <r>
    <d v="2023-05-19T00:00:00"/>
    <x v="84"/>
    <x v="20"/>
    <x v="1"/>
    <x v="8"/>
    <n v="35.92"/>
    <n v="4"/>
    <n v="15.09"/>
    <x v="4"/>
    <x v="2"/>
  </r>
  <r>
    <d v="2023-05-19T00:00:00"/>
    <x v="84"/>
    <x v="20"/>
    <x v="1"/>
    <x v="8"/>
    <n v="39.76"/>
    <n v="8"/>
    <n v="12.33"/>
    <x v="4"/>
    <x v="2"/>
  </r>
  <r>
    <d v="2023-05-19T00:00:00"/>
    <x v="84"/>
    <x v="20"/>
    <x v="0"/>
    <x v="3"/>
    <n v="47.74"/>
    <n v="4"/>
    <n v="14.92"/>
    <x v="4"/>
    <x v="2"/>
  </r>
  <r>
    <d v="2023-05-19T00:00:00"/>
    <x v="478"/>
    <x v="3"/>
    <x v="0"/>
    <x v="3"/>
    <n v="9.58"/>
    <n v="1"/>
    <n v="3.35"/>
    <x v="4"/>
    <x v="2"/>
  </r>
  <r>
    <d v="2023-05-19T00:00:00"/>
    <x v="132"/>
    <x v="18"/>
    <x v="0"/>
    <x v="4"/>
    <n v="21.4"/>
    <n v="5"/>
    <n v="6.21"/>
    <x v="4"/>
    <x v="2"/>
  </r>
  <r>
    <d v="2023-05-19T00:00:00"/>
    <x v="123"/>
    <x v="3"/>
    <x v="0"/>
    <x v="12"/>
    <n v="87.84"/>
    <n v="8"/>
    <n v="23.72"/>
    <x v="4"/>
    <x v="2"/>
  </r>
  <r>
    <d v="2023-05-20T00:00:00"/>
    <x v="81"/>
    <x v="3"/>
    <x v="1"/>
    <x v="8"/>
    <n v="1049.2"/>
    <n v="5"/>
    <n v="272.79000000000002"/>
    <x v="4"/>
    <x v="2"/>
  </r>
  <r>
    <d v="2023-05-20T00:00:00"/>
    <x v="81"/>
    <x v="3"/>
    <x v="0"/>
    <x v="3"/>
    <n v="15.42"/>
    <n v="4"/>
    <n v="5.01"/>
    <x v="4"/>
    <x v="2"/>
  </r>
  <r>
    <d v="2023-05-20T00:00:00"/>
    <x v="519"/>
    <x v="25"/>
    <x v="2"/>
    <x v="6"/>
    <n v="1363.96"/>
    <n v="5"/>
    <n v="85.25"/>
    <x v="4"/>
    <x v="2"/>
  </r>
  <r>
    <d v="2023-05-20T00:00:00"/>
    <x v="622"/>
    <x v="16"/>
    <x v="0"/>
    <x v="3"/>
    <n v="2.69"/>
    <n v="2"/>
    <n v="-2.25"/>
    <x v="4"/>
    <x v="2"/>
  </r>
  <r>
    <d v="2023-05-20T00:00:00"/>
    <x v="469"/>
    <x v="26"/>
    <x v="0"/>
    <x v="3"/>
    <n v="40.64"/>
    <n v="7"/>
    <n v="-32.51"/>
    <x v="4"/>
    <x v="2"/>
  </r>
  <r>
    <d v="2023-05-21T00:00:00"/>
    <x v="564"/>
    <x v="3"/>
    <x v="2"/>
    <x v="6"/>
    <n v="55.18"/>
    <n v="3"/>
    <n v="-12.41"/>
    <x v="4"/>
    <x v="2"/>
  </r>
  <r>
    <d v="2023-05-21T00:00:00"/>
    <x v="564"/>
    <x v="3"/>
    <x v="2"/>
    <x v="9"/>
    <n v="66.260000000000005"/>
    <n v="2"/>
    <n v="27.17"/>
    <x v="4"/>
    <x v="2"/>
  </r>
  <r>
    <d v="2023-05-21T00:00:00"/>
    <x v="49"/>
    <x v="17"/>
    <x v="2"/>
    <x v="15"/>
    <n v="2396.4"/>
    <n v="10"/>
    <n v="179.73"/>
    <x v="4"/>
    <x v="2"/>
  </r>
  <r>
    <d v="2023-05-21T00:00:00"/>
    <x v="85"/>
    <x v="43"/>
    <x v="0"/>
    <x v="0"/>
    <n v="111.96"/>
    <n v="2"/>
    <n v="54.86"/>
    <x v="4"/>
    <x v="2"/>
  </r>
  <r>
    <d v="2023-05-21T00:00:00"/>
    <x v="756"/>
    <x v="0"/>
    <x v="0"/>
    <x v="3"/>
    <n v="1.96"/>
    <n v="2"/>
    <n v="-3.24"/>
    <x v="4"/>
    <x v="2"/>
  </r>
  <r>
    <d v="2023-05-21T00:00:00"/>
    <x v="756"/>
    <x v="0"/>
    <x v="0"/>
    <x v="0"/>
    <n v="82.66"/>
    <n v="9"/>
    <n v="31"/>
    <x v="4"/>
    <x v="2"/>
  </r>
  <r>
    <d v="2023-05-21T00:00:00"/>
    <x v="562"/>
    <x v="1"/>
    <x v="0"/>
    <x v="3"/>
    <n v="3.8"/>
    <n v="3"/>
    <n v="-5.89"/>
    <x v="4"/>
    <x v="2"/>
  </r>
  <r>
    <d v="2023-05-22T00:00:00"/>
    <x v="721"/>
    <x v="23"/>
    <x v="2"/>
    <x v="6"/>
    <n v="345"/>
    <n v="5"/>
    <n v="86.25"/>
    <x v="4"/>
    <x v="2"/>
  </r>
  <r>
    <d v="2023-05-22T00:00:00"/>
    <x v="721"/>
    <x v="23"/>
    <x v="1"/>
    <x v="13"/>
    <n v="174.29"/>
    <n v="2"/>
    <n v="-19.920000000000002"/>
    <x v="4"/>
    <x v="2"/>
  </r>
  <r>
    <d v="2023-05-22T00:00:00"/>
    <x v="721"/>
    <x v="23"/>
    <x v="0"/>
    <x v="12"/>
    <n v="662.84"/>
    <n v="4"/>
    <n v="172.34"/>
    <x v="4"/>
    <x v="2"/>
  </r>
  <r>
    <d v="2023-05-22T00:00:00"/>
    <x v="721"/>
    <x v="23"/>
    <x v="2"/>
    <x v="9"/>
    <n v="95.1"/>
    <n v="5"/>
    <n v="30.43"/>
    <x v="4"/>
    <x v="2"/>
  </r>
  <r>
    <d v="2023-05-22T00:00:00"/>
    <x v="721"/>
    <x v="23"/>
    <x v="0"/>
    <x v="10"/>
    <n v="26.88"/>
    <n v="6"/>
    <n v="12.9"/>
    <x v="4"/>
    <x v="2"/>
  </r>
  <r>
    <d v="2023-05-22T00:00:00"/>
    <x v="721"/>
    <x v="23"/>
    <x v="2"/>
    <x v="6"/>
    <n v="257.98"/>
    <n v="2"/>
    <n v="74.81"/>
    <x v="4"/>
    <x v="2"/>
  </r>
  <r>
    <d v="2023-05-22T00:00:00"/>
    <x v="467"/>
    <x v="4"/>
    <x v="0"/>
    <x v="1"/>
    <n v="14.73"/>
    <n v="3"/>
    <n v="7.22"/>
    <x v="4"/>
    <x v="2"/>
  </r>
  <r>
    <d v="2023-05-22T00:00:00"/>
    <x v="458"/>
    <x v="3"/>
    <x v="2"/>
    <x v="6"/>
    <n v="222.38"/>
    <n v="2"/>
    <n v="22.24"/>
    <x v="4"/>
    <x v="2"/>
  </r>
  <r>
    <d v="2023-05-23T00:00:00"/>
    <x v="437"/>
    <x v="3"/>
    <x v="1"/>
    <x v="8"/>
    <n v="37.049999999999997"/>
    <n v="3"/>
    <n v="16.3"/>
    <x v="4"/>
    <x v="2"/>
  </r>
  <r>
    <d v="2023-05-23T00:00:00"/>
    <x v="318"/>
    <x v="1"/>
    <x v="2"/>
    <x v="6"/>
    <n v="1979.93"/>
    <n v="9"/>
    <n v="148.49"/>
    <x v="4"/>
    <x v="2"/>
  </r>
  <r>
    <d v="2023-05-23T00:00:00"/>
    <x v="64"/>
    <x v="33"/>
    <x v="0"/>
    <x v="0"/>
    <n v="4.9800000000000004"/>
    <n v="1"/>
    <n v="2.44"/>
    <x v="4"/>
    <x v="2"/>
  </r>
  <r>
    <d v="2023-05-23T00:00:00"/>
    <x v="757"/>
    <x v="2"/>
    <x v="2"/>
    <x v="16"/>
    <n v="8399.98"/>
    <n v="4"/>
    <n v="1120"/>
    <x v="4"/>
    <x v="2"/>
  </r>
  <r>
    <d v="2023-05-23T00:00:00"/>
    <x v="757"/>
    <x v="2"/>
    <x v="0"/>
    <x v="3"/>
    <n v="6.29"/>
    <n v="1"/>
    <n v="-4.2"/>
    <x v="4"/>
    <x v="2"/>
  </r>
  <r>
    <d v="2023-05-23T00:00:00"/>
    <x v="757"/>
    <x v="2"/>
    <x v="0"/>
    <x v="0"/>
    <n v="10.37"/>
    <n v="2"/>
    <n v="3.63"/>
    <x v="4"/>
    <x v="2"/>
  </r>
  <r>
    <d v="2023-05-23T00:00:00"/>
    <x v="757"/>
    <x v="2"/>
    <x v="2"/>
    <x v="6"/>
    <n v="122.38"/>
    <n v="3"/>
    <n v="-24.48"/>
    <x v="4"/>
    <x v="2"/>
  </r>
  <r>
    <d v="2023-05-24T00:00:00"/>
    <x v="469"/>
    <x v="6"/>
    <x v="0"/>
    <x v="14"/>
    <n v="69.5"/>
    <n v="5"/>
    <n v="20.16"/>
    <x v="4"/>
    <x v="2"/>
  </r>
  <r>
    <d v="2023-05-24T00:00:00"/>
    <x v="469"/>
    <x v="6"/>
    <x v="0"/>
    <x v="0"/>
    <n v="191.6"/>
    <n v="4"/>
    <n v="91.97"/>
    <x v="4"/>
    <x v="2"/>
  </r>
  <r>
    <d v="2023-05-24T00:00:00"/>
    <x v="285"/>
    <x v="2"/>
    <x v="0"/>
    <x v="4"/>
    <n v="16.66"/>
    <n v="3"/>
    <n v="3.33"/>
    <x v="4"/>
    <x v="2"/>
  </r>
  <r>
    <d v="2023-05-25T00:00:00"/>
    <x v="640"/>
    <x v="4"/>
    <x v="1"/>
    <x v="8"/>
    <n v="24.96"/>
    <n v="4"/>
    <n v="6.24"/>
    <x v="4"/>
    <x v="2"/>
  </r>
  <r>
    <d v="2023-05-25T00:00:00"/>
    <x v="640"/>
    <x v="4"/>
    <x v="0"/>
    <x v="0"/>
    <n v="19.36"/>
    <n v="2"/>
    <n v="9.2899999999999991"/>
    <x v="4"/>
    <x v="2"/>
  </r>
  <r>
    <d v="2023-05-25T00:00:00"/>
    <x v="640"/>
    <x v="4"/>
    <x v="0"/>
    <x v="2"/>
    <n v="1267.6500000000001"/>
    <n v="9"/>
    <n v="152.12"/>
    <x v="4"/>
    <x v="2"/>
  </r>
  <r>
    <d v="2023-05-26T00:00:00"/>
    <x v="102"/>
    <x v="0"/>
    <x v="0"/>
    <x v="0"/>
    <n v="10.37"/>
    <n v="2"/>
    <n v="3.63"/>
    <x v="4"/>
    <x v="2"/>
  </r>
  <r>
    <d v="2023-05-26T00:00:00"/>
    <x v="102"/>
    <x v="0"/>
    <x v="1"/>
    <x v="5"/>
    <n v="388.43"/>
    <n v="5"/>
    <n v="-88.78"/>
    <x v="4"/>
    <x v="2"/>
  </r>
  <r>
    <d v="2023-05-26T00:00:00"/>
    <x v="102"/>
    <x v="0"/>
    <x v="0"/>
    <x v="0"/>
    <n v="14.35"/>
    <n v="3"/>
    <n v="5.2"/>
    <x v="4"/>
    <x v="2"/>
  </r>
  <r>
    <d v="2023-05-26T00:00:00"/>
    <x v="102"/>
    <x v="0"/>
    <x v="2"/>
    <x v="9"/>
    <n v="63.99"/>
    <n v="1"/>
    <n v="-7.2"/>
    <x v="4"/>
    <x v="2"/>
  </r>
  <r>
    <d v="2023-05-26T00:00:00"/>
    <x v="263"/>
    <x v="44"/>
    <x v="0"/>
    <x v="0"/>
    <n v="19.440000000000001"/>
    <n v="3"/>
    <n v="9.33"/>
    <x v="4"/>
    <x v="2"/>
  </r>
  <r>
    <d v="2023-05-26T00:00:00"/>
    <x v="263"/>
    <x v="44"/>
    <x v="0"/>
    <x v="3"/>
    <n v="9.64"/>
    <n v="2"/>
    <n v="4.43"/>
    <x v="4"/>
    <x v="2"/>
  </r>
  <r>
    <d v="2023-05-26T00:00:00"/>
    <x v="263"/>
    <x v="44"/>
    <x v="0"/>
    <x v="0"/>
    <n v="12.7"/>
    <n v="2"/>
    <n v="5.84"/>
    <x v="4"/>
    <x v="2"/>
  </r>
  <r>
    <d v="2023-05-26T00:00:00"/>
    <x v="263"/>
    <x v="44"/>
    <x v="1"/>
    <x v="8"/>
    <n v="41.37"/>
    <n v="3"/>
    <n v="17.38"/>
    <x v="4"/>
    <x v="2"/>
  </r>
  <r>
    <d v="2023-05-26T00:00:00"/>
    <x v="495"/>
    <x v="2"/>
    <x v="0"/>
    <x v="4"/>
    <n v="1.5"/>
    <n v="1"/>
    <n v="0.17"/>
    <x v="4"/>
    <x v="2"/>
  </r>
  <r>
    <d v="2023-05-26T00:00:00"/>
    <x v="495"/>
    <x v="2"/>
    <x v="0"/>
    <x v="12"/>
    <n v="34.85"/>
    <n v="2"/>
    <n v="6.53"/>
    <x v="4"/>
    <x v="2"/>
  </r>
  <r>
    <d v="2023-05-26T00:00:00"/>
    <x v="149"/>
    <x v="3"/>
    <x v="0"/>
    <x v="7"/>
    <n v="5.94"/>
    <n v="3"/>
    <n v="0"/>
    <x v="4"/>
    <x v="2"/>
  </r>
  <r>
    <d v="2023-05-26T00:00:00"/>
    <x v="149"/>
    <x v="3"/>
    <x v="0"/>
    <x v="0"/>
    <n v="45.36"/>
    <n v="7"/>
    <n v="21.77"/>
    <x v="4"/>
    <x v="2"/>
  </r>
  <r>
    <d v="2023-05-26T00:00:00"/>
    <x v="149"/>
    <x v="3"/>
    <x v="2"/>
    <x v="6"/>
    <n v="211.17"/>
    <n v="4"/>
    <n v="23.76"/>
    <x v="4"/>
    <x v="2"/>
  </r>
  <r>
    <d v="2023-05-26T00:00:00"/>
    <x v="149"/>
    <x v="3"/>
    <x v="1"/>
    <x v="5"/>
    <n v="484.7"/>
    <n v="6"/>
    <n v="-84.82"/>
    <x v="4"/>
    <x v="2"/>
  </r>
  <r>
    <d v="2023-05-26T00:00:00"/>
    <x v="149"/>
    <x v="3"/>
    <x v="2"/>
    <x v="15"/>
    <n v="371.98"/>
    <n v="3"/>
    <n v="116.24"/>
    <x v="4"/>
    <x v="2"/>
  </r>
  <r>
    <d v="2023-05-26T00:00:00"/>
    <x v="552"/>
    <x v="16"/>
    <x v="0"/>
    <x v="2"/>
    <n v="184.7"/>
    <n v="6"/>
    <n v="13.85"/>
    <x v="4"/>
    <x v="2"/>
  </r>
  <r>
    <d v="2023-05-26T00:00:00"/>
    <x v="552"/>
    <x v="16"/>
    <x v="2"/>
    <x v="9"/>
    <n v="47.92"/>
    <n v="2"/>
    <n v="11.98"/>
    <x v="4"/>
    <x v="2"/>
  </r>
  <r>
    <d v="2023-05-26T00:00:00"/>
    <x v="752"/>
    <x v="21"/>
    <x v="1"/>
    <x v="8"/>
    <n v="26.94"/>
    <n v="3"/>
    <n v="11.31"/>
    <x v="4"/>
    <x v="2"/>
  </r>
  <r>
    <d v="2023-05-27T00:00:00"/>
    <x v="174"/>
    <x v="14"/>
    <x v="1"/>
    <x v="5"/>
    <n v="3504.9"/>
    <n v="5"/>
    <n v="700.98"/>
    <x v="4"/>
    <x v="2"/>
  </r>
  <r>
    <d v="2023-05-27T00:00:00"/>
    <x v="174"/>
    <x v="14"/>
    <x v="0"/>
    <x v="0"/>
    <n v="144.12"/>
    <n v="3"/>
    <n v="69.180000000000007"/>
    <x v="4"/>
    <x v="2"/>
  </r>
  <r>
    <d v="2023-05-27T00:00:00"/>
    <x v="174"/>
    <x v="14"/>
    <x v="0"/>
    <x v="0"/>
    <n v="314.55"/>
    <n v="3"/>
    <n v="150.97999999999999"/>
    <x v="4"/>
    <x v="2"/>
  </r>
  <r>
    <d v="2023-05-27T00:00:00"/>
    <x v="267"/>
    <x v="1"/>
    <x v="1"/>
    <x v="8"/>
    <n v="25.18"/>
    <n v="3"/>
    <n v="-33.36"/>
    <x v="4"/>
    <x v="2"/>
  </r>
  <r>
    <d v="2023-05-27T00:00:00"/>
    <x v="267"/>
    <x v="1"/>
    <x v="1"/>
    <x v="8"/>
    <n v="5.58"/>
    <n v="2"/>
    <n v="-1.68"/>
    <x v="4"/>
    <x v="2"/>
  </r>
  <r>
    <d v="2023-05-27T00:00:00"/>
    <x v="267"/>
    <x v="1"/>
    <x v="0"/>
    <x v="2"/>
    <n v="1297.3699999999999"/>
    <n v="9"/>
    <n v="97.3"/>
    <x v="4"/>
    <x v="2"/>
  </r>
  <r>
    <d v="2023-05-27T00:00:00"/>
    <x v="462"/>
    <x v="3"/>
    <x v="0"/>
    <x v="0"/>
    <n v="13.38"/>
    <n v="2"/>
    <n v="6.15"/>
    <x v="4"/>
    <x v="2"/>
  </r>
  <r>
    <d v="2023-05-28T00:00:00"/>
    <x v="329"/>
    <x v="29"/>
    <x v="0"/>
    <x v="4"/>
    <n v="185.88"/>
    <n v="6"/>
    <n v="50.19"/>
    <x v="4"/>
    <x v="2"/>
  </r>
  <r>
    <d v="2023-05-28T00:00:00"/>
    <x v="566"/>
    <x v="16"/>
    <x v="1"/>
    <x v="5"/>
    <n v="390.27"/>
    <n v="8"/>
    <n v="-24.39"/>
    <x v="4"/>
    <x v="2"/>
  </r>
  <r>
    <d v="2023-05-28T00:00:00"/>
    <x v="566"/>
    <x v="16"/>
    <x v="0"/>
    <x v="0"/>
    <n v="62.19"/>
    <n v="13"/>
    <n v="19.440000000000001"/>
    <x v="4"/>
    <x v="2"/>
  </r>
  <r>
    <d v="2023-05-28T00:00:00"/>
    <x v="68"/>
    <x v="3"/>
    <x v="0"/>
    <x v="12"/>
    <n v="262.24"/>
    <n v="2"/>
    <n v="78.67"/>
    <x v="4"/>
    <x v="2"/>
  </r>
  <r>
    <d v="2023-05-28T00:00:00"/>
    <x v="68"/>
    <x v="3"/>
    <x v="0"/>
    <x v="0"/>
    <n v="182.72"/>
    <n v="8"/>
    <n v="84.05"/>
    <x v="4"/>
    <x v="2"/>
  </r>
  <r>
    <d v="2023-05-28T00:00:00"/>
    <x v="68"/>
    <x v="3"/>
    <x v="2"/>
    <x v="9"/>
    <n v="131.6"/>
    <n v="7"/>
    <n v="7.9"/>
    <x v="4"/>
    <x v="2"/>
  </r>
  <r>
    <d v="2023-05-28T00:00:00"/>
    <x v="68"/>
    <x v="3"/>
    <x v="0"/>
    <x v="3"/>
    <n v="22.72"/>
    <n v="4"/>
    <n v="7.38"/>
    <x v="4"/>
    <x v="2"/>
  </r>
  <r>
    <d v="2023-05-28T00:00:00"/>
    <x v="68"/>
    <x v="3"/>
    <x v="2"/>
    <x v="15"/>
    <n v="558.4"/>
    <n v="2"/>
    <n v="41.88"/>
    <x v="4"/>
    <x v="2"/>
  </r>
  <r>
    <d v="2023-05-28T00:00:00"/>
    <x v="150"/>
    <x v="20"/>
    <x v="0"/>
    <x v="14"/>
    <n v="54.9"/>
    <n v="5"/>
    <n v="15.37"/>
    <x v="4"/>
    <x v="2"/>
  </r>
  <r>
    <d v="2023-05-28T00:00:00"/>
    <x v="451"/>
    <x v="1"/>
    <x v="2"/>
    <x v="6"/>
    <n v="286.39999999999998"/>
    <n v="1"/>
    <n v="25.06"/>
    <x v="4"/>
    <x v="2"/>
  </r>
  <r>
    <d v="2023-05-29T00:00:00"/>
    <x v="556"/>
    <x v="33"/>
    <x v="2"/>
    <x v="6"/>
    <n v="979.95"/>
    <n v="5"/>
    <n v="274.39"/>
    <x v="4"/>
    <x v="2"/>
  </r>
  <r>
    <d v="2023-05-29T00:00:00"/>
    <x v="556"/>
    <x v="33"/>
    <x v="0"/>
    <x v="3"/>
    <n v="22.75"/>
    <n v="5"/>
    <n v="11.38"/>
    <x v="4"/>
    <x v="2"/>
  </r>
  <r>
    <d v="2023-05-29T00:00:00"/>
    <x v="745"/>
    <x v="15"/>
    <x v="0"/>
    <x v="3"/>
    <n v="11.28"/>
    <n v="3"/>
    <n v="-8.65"/>
    <x v="4"/>
    <x v="2"/>
  </r>
  <r>
    <d v="2023-05-29T00:00:00"/>
    <x v="745"/>
    <x v="15"/>
    <x v="0"/>
    <x v="4"/>
    <n v="4.45"/>
    <n v="2"/>
    <n v="0.33"/>
    <x v="4"/>
    <x v="2"/>
  </r>
  <r>
    <d v="2023-05-29T00:00:00"/>
    <x v="745"/>
    <x v="15"/>
    <x v="1"/>
    <x v="8"/>
    <n v="44.76"/>
    <n v="3"/>
    <n v="14.55"/>
    <x v="4"/>
    <x v="2"/>
  </r>
  <r>
    <d v="2023-05-30T00:00:00"/>
    <x v="706"/>
    <x v="26"/>
    <x v="0"/>
    <x v="3"/>
    <n v="22.62"/>
    <n v="2"/>
    <n v="-15.08"/>
    <x v="4"/>
    <x v="2"/>
  </r>
  <r>
    <d v="2023-05-30T00:00:00"/>
    <x v="706"/>
    <x v="26"/>
    <x v="0"/>
    <x v="3"/>
    <n v="14.95"/>
    <n v="2"/>
    <n v="-11.96"/>
    <x v="4"/>
    <x v="2"/>
  </r>
  <r>
    <d v="2023-05-30T00:00:00"/>
    <x v="706"/>
    <x v="26"/>
    <x v="1"/>
    <x v="5"/>
    <n v="801.57"/>
    <n v="2"/>
    <n v="50.1"/>
    <x v="4"/>
    <x v="2"/>
  </r>
  <r>
    <d v="2023-05-30T00:00:00"/>
    <x v="706"/>
    <x v="26"/>
    <x v="0"/>
    <x v="3"/>
    <n v="2.38"/>
    <n v="3"/>
    <n v="-1.9"/>
    <x v="4"/>
    <x v="2"/>
  </r>
  <r>
    <d v="2023-05-30T00:00:00"/>
    <x v="706"/>
    <x v="26"/>
    <x v="0"/>
    <x v="0"/>
    <n v="32.79"/>
    <n v="1"/>
    <n v="11.89"/>
    <x v="4"/>
    <x v="2"/>
  </r>
  <r>
    <d v="2023-05-30T00:00:00"/>
    <x v="758"/>
    <x v="25"/>
    <x v="0"/>
    <x v="3"/>
    <n v="3.28"/>
    <n v="2"/>
    <n v="-2.63"/>
    <x v="4"/>
    <x v="2"/>
  </r>
  <r>
    <d v="2023-05-30T00:00:00"/>
    <x v="196"/>
    <x v="10"/>
    <x v="2"/>
    <x v="16"/>
    <n v="839.99"/>
    <n v="2"/>
    <n v="70"/>
    <x v="4"/>
    <x v="2"/>
  </r>
  <r>
    <d v="2023-05-30T00:00:00"/>
    <x v="123"/>
    <x v="6"/>
    <x v="1"/>
    <x v="13"/>
    <n v="2275.5"/>
    <n v="10"/>
    <n v="386.84"/>
    <x v="4"/>
    <x v="2"/>
  </r>
  <r>
    <d v="2023-05-30T00:00:00"/>
    <x v="123"/>
    <x v="6"/>
    <x v="2"/>
    <x v="9"/>
    <n v="1979.7"/>
    <n v="6"/>
    <n v="653.29999999999995"/>
    <x v="4"/>
    <x v="2"/>
  </r>
  <r>
    <d v="2023-05-30T00:00:00"/>
    <x v="123"/>
    <x v="6"/>
    <x v="0"/>
    <x v="1"/>
    <n v="62.1"/>
    <n v="6"/>
    <n v="29.81"/>
    <x v="4"/>
    <x v="2"/>
  </r>
  <r>
    <d v="2023-05-30T00:00:00"/>
    <x v="176"/>
    <x v="10"/>
    <x v="0"/>
    <x v="12"/>
    <n v="123.92"/>
    <n v="5"/>
    <n v="9.2899999999999991"/>
    <x v="4"/>
    <x v="2"/>
  </r>
  <r>
    <d v="2023-05-30T00:00:00"/>
    <x v="483"/>
    <x v="3"/>
    <x v="0"/>
    <x v="0"/>
    <n v="38.880000000000003"/>
    <n v="6"/>
    <n v="18.66"/>
    <x v="4"/>
    <x v="2"/>
  </r>
  <r>
    <d v="2023-05-30T00:00:00"/>
    <x v="306"/>
    <x v="21"/>
    <x v="0"/>
    <x v="12"/>
    <n v="364.74"/>
    <n v="3"/>
    <n v="109.42"/>
    <x v="4"/>
    <x v="2"/>
  </r>
  <r>
    <d v="2023-05-30T00:00:00"/>
    <x v="306"/>
    <x v="21"/>
    <x v="1"/>
    <x v="8"/>
    <n v="47.4"/>
    <n v="5"/>
    <n v="21.33"/>
    <x v="4"/>
    <x v="2"/>
  </r>
  <r>
    <d v="2023-05-30T00:00:00"/>
    <x v="306"/>
    <x v="21"/>
    <x v="0"/>
    <x v="2"/>
    <n v="49.76"/>
    <n v="4"/>
    <n v="13.93"/>
    <x v="4"/>
    <x v="2"/>
  </r>
  <r>
    <d v="2023-05-30T00:00:00"/>
    <x v="306"/>
    <x v="21"/>
    <x v="0"/>
    <x v="4"/>
    <n v="5.56"/>
    <n v="2"/>
    <n v="1.45"/>
    <x v="4"/>
    <x v="2"/>
  </r>
  <r>
    <d v="2023-05-30T00:00:00"/>
    <x v="306"/>
    <x v="21"/>
    <x v="0"/>
    <x v="0"/>
    <n v="629.1"/>
    <n v="6"/>
    <n v="301.97000000000003"/>
    <x v="4"/>
    <x v="2"/>
  </r>
  <r>
    <d v="2023-05-30T00:00:00"/>
    <x v="306"/>
    <x v="21"/>
    <x v="0"/>
    <x v="4"/>
    <n v="14.7"/>
    <n v="5"/>
    <n v="3.97"/>
    <x v="4"/>
    <x v="2"/>
  </r>
  <r>
    <d v="2023-05-30T00:00:00"/>
    <x v="306"/>
    <x v="21"/>
    <x v="0"/>
    <x v="0"/>
    <n v="45.36"/>
    <n v="7"/>
    <n v="21.77"/>
    <x v="4"/>
    <x v="2"/>
  </r>
  <r>
    <d v="2023-05-30T00:00:00"/>
    <x v="306"/>
    <x v="21"/>
    <x v="2"/>
    <x v="6"/>
    <n v="125.99"/>
    <n v="1"/>
    <n v="35.28"/>
    <x v="4"/>
    <x v="2"/>
  </r>
  <r>
    <d v="2023-05-30T00:00:00"/>
    <x v="739"/>
    <x v="3"/>
    <x v="1"/>
    <x v="8"/>
    <n v="167.84"/>
    <n v="8"/>
    <n v="11.75"/>
    <x v="4"/>
    <x v="2"/>
  </r>
  <r>
    <d v="2023-05-30T00:00:00"/>
    <x v="615"/>
    <x v="6"/>
    <x v="0"/>
    <x v="10"/>
    <n v="26.55"/>
    <n v="9"/>
    <n v="12.74"/>
    <x v="4"/>
    <x v="2"/>
  </r>
  <r>
    <d v="2023-05-30T00:00:00"/>
    <x v="615"/>
    <x v="6"/>
    <x v="2"/>
    <x v="9"/>
    <n v="111.98"/>
    <n v="2"/>
    <n v="26.88"/>
    <x v="4"/>
    <x v="2"/>
  </r>
  <r>
    <d v="2023-05-30T00:00:00"/>
    <x v="372"/>
    <x v="0"/>
    <x v="2"/>
    <x v="6"/>
    <n v="79.959999999999994"/>
    <n v="5"/>
    <n v="8"/>
    <x v="4"/>
    <x v="2"/>
  </r>
  <r>
    <d v="2023-05-30T00:00:00"/>
    <x v="372"/>
    <x v="0"/>
    <x v="2"/>
    <x v="9"/>
    <n v="223.96"/>
    <n v="5"/>
    <n v="11.2"/>
    <x v="4"/>
    <x v="2"/>
  </r>
  <r>
    <d v="2023-05-31T00:00:00"/>
    <x v="443"/>
    <x v="1"/>
    <x v="1"/>
    <x v="8"/>
    <n v="32.06"/>
    <n v="3"/>
    <n v="-12.83"/>
    <x v="4"/>
    <x v="2"/>
  </r>
  <r>
    <d v="2023-05-31T00:00:00"/>
    <x v="443"/>
    <x v="1"/>
    <x v="0"/>
    <x v="0"/>
    <n v="18.5"/>
    <n v="4"/>
    <n v="6.7"/>
    <x v="4"/>
    <x v="2"/>
  </r>
  <r>
    <d v="2023-05-31T00:00:00"/>
    <x v="443"/>
    <x v="1"/>
    <x v="1"/>
    <x v="5"/>
    <n v="191.08"/>
    <n v="3"/>
    <n v="-38.22"/>
    <x v="4"/>
    <x v="2"/>
  </r>
  <r>
    <d v="2023-05-31T00:00:00"/>
    <x v="443"/>
    <x v="1"/>
    <x v="0"/>
    <x v="0"/>
    <n v="10.37"/>
    <n v="2"/>
    <n v="3.63"/>
    <x v="4"/>
    <x v="2"/>
  </r>
  <r>
    <d v="2023-05-31T00:00:00"/>
    <x v="685"/>
    <x v="20"/>
    <x v="0"/>
    <x v="3"/>
    <n v="7.15"/>
    <n v="3"/>
    <n v="2.3199999999999998"/>
    <x v="4"/>
    <x v="2"/>
  </r>
  <r>
    <d v="2023-05-31T00:00:00"/>
    <x v="685"/>
    <x v="20"/>
    <x v="2"/>
    <x v="6"/>
    <n v="179.7"/>
    <n v="6"/>
    <n v="88.05"/>
    <x v="4"/>
    <x v="2"/>
  </r>
  <r>
    <d v="2023-06-02T00:00:00"/>
    <x v="385"/>
    <x v="2"/>
    <x v="0"/>
    <x v="2"/>
    <n v="64.78"/>
    <n v="1"/>
    <n v="-12.96"/>
    <x v="5"/>
    <x v="2"/>
  </r>
  <r>
    <d v="2023-06-02T00:00:00"/>
    <x v="150"/>
    <x v="22"/>
    <x v="0"/>
    <x v="0"/>
    <n v="30.18"/>
    <n v="3"/>
    <n v="13.88"/>
    <x v="5"/>
    <x v="2"/>
  </r>
  <r>
    <d v="2023-06-02T00:00:00"/>
    <x v="150"/>
    <x v="22"/>
    <x v="0"/>
    <x v="3"/>
    <n v="51.65"/>
    <n v="12"/>
    <n v="18.72"/>
    <x v="5"/>
    <x v="2"/>
  </r>
  <r>
    <d v="2023-06-02T00:00:00"/>
    <x v="150"/>
    <x v="22"/>
    <x v="0"/>
    <x v="3"/>
    <n v="11.23"/>
    <n v="3"/>
    <n v="3.93"/>
    <x v="5"/>
    <x v="2"/>
  </r>
  <r>
    <d v="2023-06-03T00:00:00"/>
    <x v="85"/>
    <x v="3"/>
    <x v="1"/>
    <x v="13"/>
    <n v="71.09"/>
    <n v="2"/>
    <n v="-1.78"/>
    <x v="5"/>
    <x v="2"/>
  </r>
  <r>
    <d v="2023-06-04T00:00:00"/>
    <x v="502"/>
    <x v="6"/>
    <x v="0"/>
    <x v="0"/>
    <n v="75.88"/>
    <n v="2"/>
    <n v="35.659999999999997"/>
    <x v="5"/>
    <x v="2"/>
  </r>
  <r>
    <d v="2023-06-04T00:00:00"/>
    <x v="318"/>
    <x v="1"/>
    <x v="0"/>
    <x v="0"/>
    <n v="25.92"/>
    <n v="5"/>
    <n v="9.4"/>
    <x v="5"/>
    <x v="2"/>
  </r>
  <r>
    <d v="2023-06-04T00:00:00"/>
    <x v="318"/>
    <x v="1"/>
    <x v="1"/>
    <x v="8"/>
    <n v="419.68"/>
    <n v="5"/>
    <n v="-356.73"/>
    <x v="5"/>
    <x v="2"/>
  </r>
  <r>
    <d v="2023-06-04T00:00:00"/>
    <x v="318"/>
    <x v="1"/>
    <x v="1"/>
    <x v="8"/>
    <n v="11.69"/>
    <n v="3"/>
    <n v="-4.68"/>
    <x v="5"/>
    <x v="2"/>
  </r>
  <r>
    <d v="2023-06-04T00:00:00"/>
    <x v="318"/>
    <x v="1"/>
    <x v="2"/>
    <x v="6"/>
    <n v="31.98"/>
    <n v="2"/>
    <n v="11.19"/>
    <x v="5"/>
    <x v="2"/>
  </r>
  <r>
    <d v="2023-06-04T00:00:00"/>
    <x v="318"/>
    <x v="1"/>
    <x v="1"/>
    <x v="13"/>
    <n v="177.23"/>
    <n v="5"/>
    <n v="-120.51"/>
    <x v="5"/>
    <x v="2"/>
  </r>
  <r>
    <d v="2023-06-04T00:00:00"/>
    <x v="318"/>
    <x v="1"/>
    <x v="1"/>
    <x v="8"/>
    <n v="4.04"/>
    <n v="3"/>
    <n v="-2.83"/>
    <x v="5"/>
    <x v="2"/>
  </r>
  <r>
    <d v="2023-06-04T00:00:00"/>
    <x v="318"/>
    <x v="1"/>
    <x v="0"/>
    <x v="4"/>
    <n v="7.41"/>
    <n v="2"/>
    <n v="1.2"/>
    <x v="5"/>
    <x v="2"/>
  </r>
  <r>
    <d v="2023-06-04T00:00:00"/>
    <x v="647"/>
    <x v="20"/>
    <x v="0"/>
    <x v="0"/>
    <n v="14.94"/>
    <n v="3"/>
    <n v="7.02"/>
    <x v="5"/>
    <x v="2"/>
  </r>
  <r>
    <d v="2023-06-04T00:00:00"/>
    <x v="647"/>
    <x v="20"/>
    <x v="2"/>
    <x v="15"/>
    <n v="1349.85"/>
    <n v="3"/>
    <n v="364.46"/>
    <x v="5"/>
    <x v="2"/>
  </r>
  <r>
    <d v="2023-06-04T00:00:00"/>
    <x v="647"/>
    <x v="20"/>
    <x v="1"/>
    <x v="11"/>
    <n v="136.78"/>
    <n v="1"/>
    <n v="5.13"/>
    <x v="5"/>
    <x v="2"/>
  </r>
  <r>
    <d v="2023-06-04T00:00:00"/>
    <x v="647"/>
    <x v="20"/>
    <x v="1"/>
    <x v="8"/>
    <n v="61.12"/>
    <n v="4"/>
    <n v="20.78"/>
    <x v="5"/>
    <x v="2"/>
  </r>
  <r>
    <d v="2023-06-05T00:00:00"/>
    <x v="179"/>
    <x v="2"/>
    <x v="0"/>
    <x v="2"/>
    <n v="124.61"/>
    <n v="4"/>
    <n v="-23.36"/>
    <x v="5"/>
    <x v="2"/>
  </r>
  <r>
    <d v="2023-06-05T00:00:00"/>
    <x v="179"/>
    <x v="2"/>
    <x v="0"/>
    <x v="1"/>
    <n v="7.56"/>
    <n v="3"/>
    <n v="2.65"/>
    <x v="5"/>
    <x v="2"/>
  </r>
  <r>
    <d v="2023-06-05T00:00:00"/>
    <x v="219"/>
    <x v="7"/>
    <x v="0"/>
    <x v="2"/>
    <n v="360.38"/>
    <n v="2"/>
    <n v="93.7"/>
    <x v="5"/>
    <x v="2"/>
  </r>
  <r>
    <d v="2023-06-05T00:00:00"/>
    <x v="219"/>
    <x v="7"/>
    <x v="0"/>
    <x v="4"/>
    <n v="11.16"/>
    <n v="2"/>
    <n v="2.79"/>
    <x v="5"/>
    <x v="2"/>
  </r>
  <r>
    <d v="2023-06-05T00:00:00"/>
    <x v="219"/>
    <x v="7"/>
    <x v="0"/>
    <x v="1"/>
    <n v="14.94"/>
    <n v="3"/>
    <n v="6.87"/>
    <x v="5"/>
    <x v="2"/>
  </r>
  <r>
    <d v="2023-06-05T00:00:00"/>
    <x v="74"/>
    <x v="3"/>
    <x v="0"/>
    <x v="3"/>
    <n v="21.55"/>
    <n v="6"/>
    <n v="7"/>
    <x v="5"/>
    <x v="2"/>
  </r>
  <r>
    <d v="2023-06-05T00:00:00"/>
    <x v="74"/>
    <x v="3"/>
    <x v="0"/>
    <x v="12"/>
    <n v="58.24"/>
    <n v="4"/>
    <n v="15.72"/>
    <x v="5"/>
    <x v="2"/>
  </r>
  <r>
    <d v="2023-06-05T00:00:00"/>
    <x v="590"/>
    <x v="22"/>
    <x v="0"/>
    <x v="14"/>
    <n v="61.38"/>
    <n v="6"/>
    <n v="15.96"/>
    <x v="5"/>
    <x v="2"/>
  </r>
  <r>
    <d v="2023-06-06T00:00:00"/>
    <x v="554"/>
    <x v="1"/>
    <x v="2"/>
    <x v="6"/>
    <n v="328.22"/>
    <n v="4"/>
    <n v="28.72"/>
    <x v="5"/>
    <x v="2"/>
  </r>
  <r>
    <d v="2023-06-06T00:00:00"/>
    <x v="56"/>
    <x v="32"/>
    <x v="0"/>
    <x v="2"/>
    <n v="714.3"/>
    <n v="5"/>
    <n v="207.15"/>
    <x v="5"/>
    <x v="2"/>
  </r>
  <r>
    <d v="2023-06-06T00:00:00"/>
    <x v="759"/>
    <x v="32"/>
    <x v="0"/>
    <x v="0"/>
    <n v="105.52"/>
    <n v="4"/>
    <n v="48.54"/>
    <x v="5"/>
    <x v="2"/>
  </r>
  <r>
    <d v="2023-06-06T00:00:00"/>
    <x v="584"/>
    <x v="13"/>
    <x v="2"/>
    <x v="9"/>
    <n v="179.94"/>
    <n v="6"/>
    <n v="75.569999999999993"/>
    <x v="5"/>
    <x v="2"/>
  </r>
  <r>
    <d v="2023-06-06T00:00:00"/>
    <x v="584"/>
    <x v="13"/>
    <x v="2"/>
    <x v="9"/>
    <n v="26.85"/>
    <n v="3"/>
    <n v="5.0999999999999996"/>
    <x v="5"/>
    <x v="2"/>
  </r>
  <r>
    <d v="2023-06-06T00:00:00"/>
    <x v="584"/>
    <x v="13"/>
    <x v="2"/>
    <x v="9"/>
    <n v="323.37"/>
    <n v="3"/>
    <n v="129.35"/>
    <x v="5"/>
    <x v="2"/>
  </r>
  <r>
    <d v="2023-06-06T00:00:00"/>
    <x v="584"/>
    <x v="13"/>
    <x v="0"/>
    <x v="0"/>
    <n v="59.94"/>
    <n v="3"/>
    <n v="28.17"/>
    <x v="5"/>
    <x v="2"/>
  </r>
  <r>
    <d v="2023-06-06T00:00:00"/>
    <x v="584"/>
    <x v="13"/>
    <x v="0"/>
    <x v="3"/>
    <n v="64.14"/>
    <n v="3"/>
    <n v="30.79"/>
    <x v="5"/>
    <x v="2"/>
  </r>
  <r>
    <d v="2023-06-06T00:00:00"/>
    <x v="584"/>
    <x v="13"/>
    <x v="0"/>
    <x v="3"/>
    <n v="11.67"/>
    <n v="3"/>
    <n v="5.6"/>
    <x v="5"/>
    <x v="2"/>
  </r>
  <r>
    <d v="2023-06-06T00:00:00"/>
    <x v="584"/>
    <x v="13"/>
    <x v="0"/>
    <x v="0"/>
    <n v="12.96"/>
    <n v="2"/>
    <n v="6.22"/>
    <x v="5"/>
    <x v="2"/>
  </r>
  <r>
    <d v="2023-06-06T00:00:00"/>
    <x v="237"/>
    <x v="3"/>
    <x v="0"/>
    <x v="1"/>
    <n v="22.05"/>
    <n v="7"/>
    <n v="10.58"/>
    <x v="5"/>
    <x v="2"/>
  </r>
  <r>
    <d v="2023-06-06T00:00:00"/>
    <x v="237"/>
    <x v="3"/>
    <x v="0"/>
    <x v="0"/>
    <n v="99.9"/>
    <n v="5"/>
    <n v="46.95"/>
    <x v="5"/>
    <x v="2"/>
  </r>
  <r>
    <d v="2023-06-06T00:00:00"/>
    <x v="5"/>
    <x v="3"/>
    <x v="2"/>
    <x v="6"/>
    <n v="3023.93"/>
    <n v="9"/>
    <n v="226.79"/>
    <x v="5"/>
    <x v="2"/>
  </r>
  <r>
    <d v="2023-06-06T00:00:00"/>
    <x v="5"/>
    <x v="3"/>
    <x v="2"/>
    <x v="9"/>
    <n v="26.96"/>
    <n v="2"/>
    <n v="3.77"/>
    <x v="5"/>
    <x v="2"/>
  </r>
  <r>
    <d v="2023-06-06T00:00:00"/>
    <x v="5"/>
    <x v="3"/>
    <x v="2"/>
    <x v="6"/>
    <n v="477.6"/>
    <n v="3"/>
    <n v="161.19"/>
    <x v="5"/>
    <x v="2"/>
  </r>
  <r>
    <d v="2023-06-06T00:00:00"/>
    <x v="760"/>
    <x v="10"/>
    <x v="1"/>
    <x v="8"/>
    <n v="466.32"/>
    <n v="3"/>
    <n v="34.97"/>
    <x v="5"/>
    <x v="2"/>
  </r>
  <r>
    <d v="2023-06-06T00:00:00"/>
    <x v="760"/>
    <x v="10"/>
    <x v="1"/>
    <x v="8"/>
    <n v="82.64"/>
    <n v="2"/>
    <n v="0"/>
    <x v="5"/>
    <x v="2"/>
  </r>
  <r>
    <d v="2023-06-07T00:00:00"/>
    <x v="476"/>
    <x v="20"/>
    <x v="0"/>
    <x v="0"/>
    <n v="32.4"/>
    <n v="5"/>
    <n v="15.55"/>
    <x v="5"/>
    <x v="2"/>
  </r>
  <r>
    <d v="2023-06-07T00:00:00"/>
    <x v="365"/>
    <x v="3"/>
    <x v="0"/>
    <x v="3"/>
    <n v="4.78"/>
    <n v="1"/>
    <n v="1.55"/>
    <x v="5"/>
    <x v="2"/>
  </r>
  <r>
    <d v="2023-06-07T00:00:00"/>
    <x v="365"/>
    <x v="3"/>
    <x v="0"/>
    <x v="0"/>
    <n v="4.7300000000000004"/>
    <n v="1"/>
    <n v="2.3199999999999998"/>
    <x v="5"/>
    <x v="2"/>
  </r>
  <r>
    <d v="2023-06-07T00:00:00"/>
    <x v="761"/>
    <x v="2"/>
    <x v="0"/>
    <x v="7"/>
    <n v="9.65"/>
    <n v="6"/>
    <n v="3.5"/>
    <x v="5"/>
    <x v="2"/>
  </r>
  <r>
    <d v="2023-06-09T00:00:00"/>
    <x v="193"/>
    <x v="3"/>
    <x v="2"/>
    <x v="6"/>
    <n v="177.48"/>
    <n v="3"/>
    <n v="19.97"/>
    <x v="5"/>
    <x v="2"/>
  </r>
  <r>
    <d v="2023-06-09T00:00:00"/>
    <x v="460"/>
    <x v="16"/>
    <x v="2"/>
    <x v="15"/>
    <n v="695.7"/>
    <n v="2"/>
    <n v="-27.83"/>
    <x v="5"/>
    <x v="2"/>
  </r>
  <r>
    <d v="2023-06-09T00:00:00"/>
    <x v="622"/>
    <x v="3"/>
    <x v="1"/>
    <x v="5"/>
    <n v="122.35"/>
    <n v="3"/>
    <n v="13.76"/>
    <x v="5"/>
    <x v="2"/>
  </r>
  <r>
    <d v="2023-06-09T00:00:00"/>
    <x v="499"/>
    <x v="28"/>
    <x v="1"/>
    <x v="13"/>
    <n v="692.94"/>
    <n v="3"/>
    <n v="173.24"/>
    <x v="5"/>
    <x v="2"/>
  </r>
  <r>
    <d v="2023-06-10T00:00:00"/>
    <x v="635"/>
    <x v="3"/>
    <x v="0"/>
    <x v="1"/>
    <n v="20.7"/>
    <n v="2"/>
    <n v="9.94"/>
    <x v="5"/>
    <x v="2"/>
  </r>
  <r>
    <d v="2023-06-10T00:00:00"/>
    <x v="635"/>
    <x v="3"/>
    <x v="1"/>
    <x v="13"/>
    <n v="1335.68"/>
    <n v="4"/>
    <n v="-217.05"/>
    <x v="5"/>
    <x v="2"/>
  </r>
  <r>
    <d v="2023-06-10T00:00:00"/>
    <x v="635"/>
    <x v="3"/>
    <x v="0"/>
    <x v="0"/>
    <n v="32.4"/>
    <n v="5"/>
    <n v="15.55"/>
    <x v="5"/>
    <x v="2"/>
  </r>
  <r>
    <d v="2023-06-10T00:00:00"/>
    <x v="733"/>
    <x v="2"/>
    <x v="0"/>
    <x v="1"/>
    <n v="23.62"/>
    <n v="8"/>
    <n v="7.97"/>
    <x v="5"/>
    <x v="2"/>
  </r>
  <r>
    <d v="2023-06-11T00:00:00"/>
    <x v="126"/>
    <x v="0"/>
    <x v="0"/>
    <x v="3"/>
    <n v="1.34"/>
    <n v="4"/>
    <n v="-2.15"/>
    <x v="5"/>
    <x v="2"/>
  </r>
  <r>
    <d v="2023-06-11T00:00:00"/>
    <x v="126"/>
    <x v="0"/>
    <x v="0"/>
    <x v="3"/>
    <n v="8.27"/>
    <n v="4"/>
    <n v="-13.65"/>
    <x v="5"/>
    <x v="2"/>
  </r>
  <r>
    <d v="2023-06-11T00:00:00"/>
    <x v="126"/>
    <x v="0"/>
    <x v="1"/>
    <x v="8"/>
    <n v="12.54"/>
    <n v="7"/>
    <n v="-9.09"/>
    <x v="5"/>
    <x v="2"/>
  </r>
  <r>
    <d v="2023-06-11T00:00:00"/>
    <x v="414"/>
    <x v="20"/>
    <x v="2"/>
    <x v="9"/>
    <n v="239.97"/>
    <n v="3"/>
    <n v="71.989999999999995"/>
    <x v="5"/>
    <x v="2"/>
  </r>
  <r>
    <d v="2023-06-11T00:00:00"/>
    <x v="145"/>
    <x v="22"/>
    <x v="0"/>
    <x v="1"/>
    <n v="14.62"/>
    <n v="2"/>
    <n v="6.87"/>
    <x v="5"/>
    <x v="2"/>
  </r>
  <r>
    <d v="2023-06-11T00:00:00"/>
    <x v="145"/>
    <x v="22"/>
    <x v="0"/>
    <x v="3"/>
    <n v="53.98"/>
    <n v="14"/>
    <n v="17.54"/>
    <x v="5"/>
    <x v="2"/>
  </r>
  <r>
    <d v="2023-06-11T00:00:00"/>
    <x v="145"/>
    <x v="22"/>
    <x v="2"/>
    <x v="9"/>
    <n v="389.97"/>
    <n v="3"/>
    <n v="132.59"/>
    <x v="5"/>
    <x v="2"/>
  </r>
  <r>
    <d v="2023-06-11T00:00:00"/>
    <x v="9"/>
    <x v="3"/>
    <x v="1"/>
    <x v="13"/>
    <n v="902.71"/>
    <n v="3"/>
    <n v="33.85"/>
    <x v="5"/>
    <x v="2"/>
  </r>
  <r>
    <d v="2023-06-12T00:00:00"/>
    <x v="762"/>
    <x v="3"/>
    <x v="0"/>
    <x v="1"/>
    <n v="14.62"/>
    <n v="2"/>
    <n v="6.87"/>
    <x v="5"/>
    <x v="2"/>
  </r>
  <r>
    <d v="2023-06-12T00:00:00"/>
    <x v="660"/>
    <x v="33"/>
    <x v="0"/>
    <x v="12"/>
    <n v="208.16"/>
    <n v="1"/>
    <n v="56.2"/>
    <x v="5"/>
    <x v="2"/>
  </r>
  <r>
    <d v="2023-06-12T00:00:00"/>
    <x v="660"/>
    <x v="33"/>
    <x v="0"/>
    <x v="3"/>
    <n v="16.739999999999998"/>
    <n v="3"/>
    <n v="8.0399999999999991"/>
    <x v="5"/>
    <x v="2"/>
  </r>
  <r>
    <d v="2023-06-12T00:00:00"/>
    <x v="236"/>
    <x v="7"/>
    <x v="1"/>
    <x v="8"/>
    <n v="47.04"/>
    <n v="3"/>
    <n v="18.350000000000001"/>
    <x v="5"/>
    <x v="2"/>
  </r>
  <r>
    <d v="2023-06-12T00:00:00"/>
    <x v="236"/>
    <x v="7"/>
    <x v="0"/>
    <x v="3"/>
    <n v="30.84"/>
    <n v="4"/>
    <n v="13.88"/>
    <x v="5"/>
    <x v="2"/>
  </r>
  <r>
    <d v="2023-06-12T00:00:00"/>
    <x v="236"/>
    <x v="7"/>
    <x v="0"/>
    <x v="2"/>
    <n v="226.56"/>
    <n v="6"/>
    <n v="63.44"/>
    <x v="5"/>
    <x v="2"/>
  </r>
  <r>
    <d v="2023-06-12T00:00:00"/>
    <x v="236"/>
    <x v="7"/>
    <x v="0"/>
    <x v="10"/>
    <n v="115.02"/>
    <n v="9"/>
    <n v="51.76"/>
    <x v="5"/>
    <x v="2"/>
  </r>
  <r>
    <d v="2023-06-12T00:00:00"/>
    <x v="236"/>
    <x v="7"/>
    <x v="2"/>
    <x v="6"/>
    <n v="68.040000000000006"/>
    <n v="7"/>
    <n v="19.73"/>
    <x v="5"/>
    <x v="2"/>
  </r>
  <r>
    <d v="2023-06-12T00:00:00"/>
    <x v="675"/>
    <x v="1"/>
    <x v="2"/>
    <x v="15"/>
    <n v="1007.98"/>
    <n v="3"/>
    <n v="43.2"/>
    <x v="5"/>
    <x v="2"/>
  </r>
  <r>
    <d v="2023-06-12T00:00:00"/>
    <x v="675"/>
    <x v="1"/>
    <x v="0"/>
    <x v="0"/>
    <n v="313.49"/>
    <n v="7"/>
    <n v="113.64"/>
    <x v="5"/>
    <x v="2"/>
  </r>
  <r>
    <d v="2023-06-12T00:00:00"/>
    <x v="353"/>
    <x v="1"/>
    <x v="0"/>
    <x v="0"/>
    <n v="23.12"/>
    <n v="5"/>
    <n v="8.3800000000000008"/>
    <x v="5"/>
    <x v="2"/>
  </r>
  <r>
    <d v="2023-06-12T00:00:00"/>
    <x v="710"/>
    <x v="20"/>
    <x v="0"/>
    <x v="0"/>
    <n v="92.94"/>
    <n v="3"/>
    <n v="41.82"/>
    <x v="5"/>
    <x v="2"/>
  </r>
  <r>
    <d v="2023-06-12T00:00:00"/>
    <x v="710"/>
    <x v="20"/>
    <x v="0"/>
    <x v="12"/>
    <n v="52.56"/>
    <n v="3"/>
    <n v="18.399999999999999"/>
    <x v="5"/>
    <x v="2"/>
  </r>
  <r>
    <d v="2023-06-12T00:00:00"/>
    <x v="400"/>
    <x v="3"/>
    <x v="0"/>
    <x v="0"/>
    <n v="185.88"/>
    <n v="6"/>
    <n v="83.65"/>
    <x v="5"/>
    <x v="2"/>
  </r>
  <r>
    <d v="2023-06-12T00:00:00"/>
    <x v="400"/>
    <x v="3"/>
    <x v="0"/>
    <x v="0"/>
    <n v="12.96"/>
    <n v="2"/>
    <n v="6.22"/>
    <x v="5"/>
    <x v="2"/>
  </r>
  <r>
    <d v="2023-06-12T00:00:00"/>
    <x v="299"/>
    <x v="0"/>
    <x v="0"/>
    <x v="12"/>
    <n v="64.38"/>
    <n v="4"/>
    <n v="-160.96"/>
    <x v="5"/>
    <x v="2"/>
  </r>
  <r>
    <d v="2023-06-12T00:00:00"/>
    <x v="299"/>
    <x v="0"/>
    <x v="1"/>
    <x v="8"/>
    <n v="6.98"/>
    <n v="2"/>
    <n v="-4.54"/>
    <x v="5"/>
    <x v="2"/>
  </r>
  <r>
    <d v="2023-06-12T00:00:00"/>
    <x v="299"/>
    <x v="0"/>
    <x v="0"/>
    <x v="4"/>
    <n v="11.26"/>
    <n v="8"/>
    <n v="3.94"/>
    <x v="5"/>
    <x v="2"/>
  </r>
  <r>
    <d v="2023-06-12T00:00:00"/>
    <x v="299"/>
    <x v="0"/>
    <x v="0"/>
    <x v="0"/>
    <n v="15.55"/>
    <n v="3"/>
    <n v="5.64"/>
    <x v="5"/>
    <x v="2"/>
  </r>
  <r>
    <d v="2023-06-12T00:00:00"/>
    <x v="299"/>
    <x v="0"/>
    <x v="1"/>
    <x v="5"/>
    <n v="379.37"/>
    <n v="2"/>
    <n v="-119.23"/>
    <x v="5"/>
    <x v="2"/>
  </r>
  <r>
    <d v="2023-06-12T00:00:00"/>
    <x v="299"/>
    <x v="0"/>
    <x v="0"/>
    <x v="2"/>
    <n v="67.540000000000006"/>
    <n v="9"/>
    <n v="6.75"/>
    <x v="5"/>
    <x v="2"/>
  </r>
  <r>
    <d v="2023-06-12T00:00:00"/>
    <x v="299"/>
    <x v="0"/>
    <x v="0"/>
    <x v="3"/>
    <n v="1.52"/>
    <n v="2"/>
    <n v="-2.67"/>
    <x v="5"/>
    <x v="2"/>
  </r>
  <r>
    <d v="2023-06-13T00:00:00"/>
    <x v="90"/>
    <x v="14"/>
    <x v="2"/>
    <x v="6"/>
    <n v="377.97"/>
    <n v="3"/>
    <n v="94.49"/>
    <x v="5"/>
    <x v="2"/>
  </r>
  <r>
    <d v="2023-06-13T00:00:00"/>
    <x v="331"/>
    <x v="42"/>
    <x v="0"/>
    <x v="1"/>
    <n v="18.899999999999999"/>
    <n v="3"/>
    <n v="8.69"/>
    <x v="5"/>
    <x v="2"/>
  </r>
  <r>
    <d v="2023-06-13T00:00:00"/>
    <x v="217"/>
    <x v="20"/>
    <x v="0"/>
    <x v="3"/>
    <n v="33.57"/>
    <n v="2"/>
    <n v="11.75"/>
    <x v="5"/>
    <x v="2"/>
  </r>
  <r>
    <d v="2023-06-14T00:00:00"/>
    <x v="298"/>
    <x v="3"/>
    <x v="0"/>
    <x v="4"/>
    <n v="7.04"/>
    <n v="4"/>
    <n v="2.04"/>
    <x v="5"/>
    <x v="2"/>
  </r>
  <r>
    <d v="2023-06-14T00:00:00"/>
    <x v="298"/>
    <x v="3"/>
    <x v="1"/>
    <x v="8"/>
    <n v="8.73"/>
    <n v="3"/>
    <n v="4.0999999999999996"/>
    <x v="5"/>
    <x v="2"/>
  </r>
  <r>
    <d v="2023-06-14T00:00:00"/>
    <x v="298"/>
    <x v="3"/>
    <x v="2"/>
    <x v="9"/>
    <n v="29.29"/>
    <n v="1"/>
    <n v="9.67"/>
    <x v="5"/>
    <x v="2"/>
  </r>
  <r>
    <d v="2023-06-14T00:00:00"/>
    <x v="298"/>
    <x v="3"/>
    <x v="0"/>
    <x v="4"/>
    <n v="8.64"/>
    <n v="3"/>
    <n v="2.5099999999999998"/>
    <x v="5"/>
    <x v="2"/>
  </r>
  <r>
    <d v="2023-06-14T00:00:00"/>
    <x v="167"/>
    <x v="3"/>
    <x v="1"/>
    <x v="11"/>
    <n v="599.16999999999996"/>
    <n v="5"/>
    <n v="35.25"/>
    <x v="5"/>
    <x v="2"/>
  </r>
  <r>
    <d v="2023-06-14T00:00:00"/>
    <x v="290"/>
    <x v="3"/>
    <x v="1"/>
    <x v="13"/>
    <n v="1293.49"/>
    <n v="7"/>
    <n v="80.84"/>
    <x v="5"/>
    <x v="2"/>
  </r>
  <r>
    <d v="2023-06-14T00:00:00"/>
    <x v="763"/>
    <x v="2"/>
    <x v="1"/>
    <x v="13"/>
    <n v="337.18"/>
    <n v="2"/>
    <n v="-118.01"/>
    <x v="5"/>
    <x v="2"/>
  </r>
  <r>
    <d v="2023-06-14T00:00:00"/>
    <x v="98"/>
    <x v="16"/>
    <x v="0"/>
    <x v="3"/>
    <n v="39.94"/>
    <n v="4"/>
    <n v="-26.62"/>
    <x v="5"/>
    <x v="2"/>
  </r>
  <r>
    <d v="2023-06-14T00:00:00"/>
    <x v="98"/>
    <x v="16"/>
    <x v="2"/>
    <x v="9"/>
    <n v="18.46"/>
    <n v="2"/>
    <n v="2.31"/>
    <x v="5"/>
    <x v="2"/>
  </r>
  <r>
    <d v="2023-06-14T00:00:00"/>
    <x v="278"/>
    <x v="22"/>
    <x v="1"/>
    <x v="13"/>
    <n v="1115.17"/>
    <n v="7"/>
    <n v="334.55"/>
    <x v="5"/>
    <x v="2"/>
  </r>
  <r>
    <d v="2023-06-15T00:00:00"/>
    <x v="462"/>
    <x v="0"/>
    <x v="0"/>
    <x v="0"/>
    <n v="173.49"/>
    <n v="7"/>
    <n v="54.22"/>
    <x v="5"/>
    <x v="2"/>
  </r>
  <r>
    <d v="2023-06-16T00:00:00"/>
    <x v="649"/>
    <x v="3"/>
    <x v="0"/>
    <x v="0"/>
    <n v="46.35"/>
    <n v="5"/>
    <n v="21.78"/>
    <x v="5"/>
    <x v="2"/>
  </r>
  <r>
    <d v="2023-06-16T00:00:00"/>
    <x v="594"/>
    <x v="15"/>
    <x v="2"/>
    <x v="15"/>
    <n v="91.48"/>
    <n v="1"/>
    <n v="-1.83"/>
    <x v="5"/>
    <x v="2"/>
  </r>
  <r>
    <d v="2023-06-16T00:00:00"/>
    <x v="612"/>
    <x v="7"/>
    <x v="0"/>
    <x v="1"/>
    <n v="9.4499999999999993"/>
    <n v="3"/>
    <n v="4.54"/>
    <x v="5"/>
    <x v="2"/>
  </r>
  <r>
    <d v="2023-06-17T00:00:00"/>
    <x v="764"/>
    <x v="20"/>
    <x v="0"/>
    <x v="2"/>
    <n v="208.56"/>
    <n v="6"/>
    <n v="52.14"/>
    <x v="5"/>
    <x v="2"/>
  </r>
  <r>
    <d v="2023-06-17T00:00:00"/>
    <x v="764"/>
    <x v="20"/>
    <x v="0"/>
    <x v="0"/>
    <n v="32.4"/>
    <n v="5"/>
    <n v="15.55"/>
    <x v="5"/>
    <x v="2"/>
  </r>
  <r>
    <d v="2023-06-17T00:00:00"/>
    <x v="764"/>
    <x v="20"/>
    <x v="1"/>
    <x v="5"/>
    <n v="319.41000000000003"/>
    <n v="5"/>
    <n v="7.1"/>
    <x v="5"/>
    <x v="2"/>
  </r>
  <r>
    <d v="2023-06-17T00:00:00"/>
    <x v="764"/>
    <x v="20"/>
    <x v="0"/>
    <x v="0"/>
    <n v="14.56"/>
    <n v="2"/>
    <n v="6.99"/>
    <x v="5"/>
    <x v="2"/>
  </r>
  <r>
    <d v="2023-06-17T00:00:00"/>
    <x v="764"/>
    <x v="20"/>
    <x v="2"/>
    <x v="9"/>
    <n v="30"/>
    <n v="2"/>
    <n v="3.3"/>
    <x v="5"/>
    <x v="2"/>
  </r>
  <r>
    <d v="2023-06-17T00:00:00"/>
    <x v="764"/>
    <x v="20"/>
    <x v="0"/>
    <x v="3"/>
    <n v="48.48"/>
    <n v="4"/>
    <n v="16.36"/>
    <x v="5"/>
    <x v="2"/>
  </r>
  <r>
    <d v="2023-06-17T00:00:00"/>
    <x v="764"/>
    <x v="20"/>
    <x v="0"/>
    <x v="4"/>
    <n v="1.68"/>
    <n v="1"/>
    <n v="0.84"/>
    <x v="5"/>
    <x v="2"/>
  </r>
  <r>
    <d v="2023-06-17T00:00:00"/>
    <x v="466"/>
    <x v="3"/>
    <x v="0"/>
    <x v="0"/>
    <n v="111.96"/>
    <n v="2"/>
    <n v="54.86"/>
    <x v="5"/>
    <x v="2"/>
  </r>
  <r>
    <d v="2023-06-17T00:00:00"/>
    <x v="667"/>
    <x v="20"/>
    <x v="0"/>
    <x v="2"/>
    <n v="40.74"/>
    <n v="3"/>
    <n v="0.41"/>
    <x v="5"/>
    <x v="2"/>
  </r>
  <r>
    <d v="2023-06-17T00:00:00"/>
    <x v="30"/>
    <x v="3"/>
    <x v="1"/>
    <x v="11"/>
    <n v="239.67"/>
    <n v="2"/>
    <n v="14.1"/>
    <x v="5"/>
    <x v="2"/>
  </r>
  <r>
    <d v="2023-06-17T00:00:00"/>
    <x v="30"/>
    <x v="3"/>
    <x v="0"/>
    <x v="1"/>
    <n v="22.5"/>
    <n v="6"/>
    <n v="10.8"/>
    <x v="5"/>
    <x v="2"/>
  </r>
  <r>
    <d v="2023-06-17T00:00:00"/>
    <x v="30"/>
    <x v="3"/>
    <x v="0"/>
    <x v="0"/>
    <n v="219.84"/>
    <n v="4"/>
    <n v="107.72"/>
    <x v="5"/>
    <x v="2"/>
  </r>
  <r>
    <d v="2023-06-17T00:00:00"/>
    <x v="164"/>
    <x v="26"/>
    <x v="1"/>
    <x v="8"/>
    <n v="266.35000000000002"/>
    <n v="3"/>
    <n v="-13.32"/>
    <x v="5"/>
    <x v="2"/>
  </r>
  <r>
    <d v="2023-06-17T00:00:00"/>
    <x v="164"/>
    <x v="26"/>
    <x v="1"/>
    <x v="5"/>
    <n v="483.14"/>
    <n v="4"/>
    <n v="54.35"/>
    <x v="5"/>
    <x v="2"/>
  </r>
  <r>
    <d v="2023-06-17T00:00:00"/>
    <x v="85"/>
    <x v="37"/>
    <x v="0"/>
    <x v="3"/>
    <n v="7.96"/>
    <n v="2"/>
    <n v="3.74"/>
    <x v="5"/>
    <x v="2"/>
  </r>
  <r>
    <d v="2023-06-17T00:00:00"/>
    <x v="85"/>
    <x v="37"/>
    <x v="2"/>
    <x v="6"/>
    <n v="566.97"/>
    <n v="3"/>
    <n v="153.08000000000001"/>
    <x v="5"/>
    <x v="2"/>
  </r>
  <r>
    <d v="2023-06-17T00:00:00"/>
    <x v="85"/>
    <x v="37"/>
    <x v="0"/>
    <x v="4"/>
    <n v="9.84"/>
    <n v="3"/>
    <n v="2.85"/>
    <x v="5"/>
    <x v="2"/>
  </r>
  <r>
    <d v="2023-06-17T00:00:00"/>
    <x v="491"/>
    <x v="20"/>
    <x v="1"/>
    <x v="13"/>
    <n v="376.87"/>
    <n v="3"/>
    <n v="-213.56"/>
    <x v="5"/>
    <x v="2"/>
  </r>
  <r>
    <d v="2023-06-18T00:00:00"/>
    <x v="239"/>
    <x v="1"/>
    <x v="0"/>
    <x v="0"/>
    <n v="76.86"/>
    <n v="2"/>
    <n v="26.9"/>
    <x v="5"/>
    <x v="2"/>
  </r>
  <r>
    <d v="2023-06-18T00:00:00"/>
    <x v="660"/>
    <x v="2"/>
    <x v="0"/>
    <x v="0"/>
    <n v="6.85"/>
    <n v="2"/>
    <n v="2.14"/>
    <x v="5"/>
    <x v="2"/>
  </r>
  <r>
    <d v="2023-06-18T00:00:00"/>
    <x v="660"/>
    <x v="2"/>
    <x v="0"/>
    <x v="3"/>
    <n v="4.63"/>
    <n v="2"/>
    <n v="-3.86"/>
    <x v="5"/>
    <x v="2"/>
  </r>
  <r>
    <d v="2023-06-18T00:00:00"/>
    <x v="660"/>
    <x v="2"/>
    <x v="0"/>
    <x v="12"/>
    <n v="453.6"/>
    <n v="3"/>
    <n v="90.72"/>
    <x v="5"/>
    <x v="2"/>
  </r>
  <r>
    <d v="2023-06-19T00:00:00"/>
    <x v="385"/>
    <x v="3"/>
    <x v="0"/>
    <x v="0"/>
    <n v="17.12"/>
    <n v="2"/>
    <n v="8.0500000000000007"/>
    <x v="5"/>
    <x v="2"/>
  </r>
  <r>
    <d v="2023-06-20T00:00:00"/>
    <x v="352"/>
    <x v="7"/>
    <x v="2"/>
    <x v="9"/>
    <n v="45"/>
    <n v="3"/>
    <n v="4.95"/>
    <x v="5"/>
    <x v="2"/>
  </r>
  <r>
    <d v="2023-06-20T00:00:00"/>
    <x v="352"/>
    <x v="7"/>
    <x v="2"/>
    <x v="6"/>
    <n v="21.8"/>
    <n v="2"/>
    <n v="6.1"/>
    <x v="5"/>
    <x v="2"/>
  </r>
  <r>
    <d v="2023-06-20T00:00:00"/>
    <x v="679"/>
    <x v="3"/>
    <x v="0"/>
    <x v="4"/>
    <n v="5.16"/>
    <n v="2"/>
    <n v="1.34"/>
    <x v="5"/>
    <x v="2"/>
  </r>
  <r>
    <d v="2023-06-20T00:00:00"/>
    <x v="679"/>
    <x v="3"/>
    <x v="0"/>
    <x v="0"/>
    <n v="38.880000000000003"/>
    <n v="6"/>
    <n v="18.66"/>
    <x v="5"/>
    <x v="2"/>
  </r>
  <r>
    <d v="2023-06-20T00:00:00"/>
    <x v="651"/>
    <x v="2"/>
    <x v="0"/>
    <x v="0"/>
    <n v="45.06"/>
    <n v="8"/>
    <n v="15.21"/>
    <x v="5"/>
    <x v="2"/>
  </r>
  <r>
    <d v="2023-06-20T00:00:00"/>
    <x v="651"/>
    <x v="2"/>
    <x v="0"/>
    <x v="3"/>
    <n v="29.72"/>
    <n v="6"/>
    <n v="-21.79"/>
    <x v="5"/>
    <x v="2"/>
  </r>
  <r>
    <d v="2023-06-20T00:00:00"/>
    <x v="651"/>
    <x v="2"/>
    <x v="0"/>
    <x v="0"/>
    <n v="15.55"/>
    <n v="3"/>
    <n v="5.44"/>
    <x v="5"/>
    <x v="2"/>
  </r>
  <r>
    <d v="2023-06-20T00:00:00"/>
    <x v="651"/>
    <x v="2"/>
    <x v="0"/>
    <x v="12"/>
    <n v="447.7"/>
    <n v="2"/>
    <n v="33.58"/>
    <x v="5"/>
    <x v="2"/>
  </r>
  <r>
    <d v="2023-06-20T00:00:00"/>
    <x v="554"/>
    <x v="3"/>
    <x v="0"/>
    <x v="0"/>
    <n v="46.76"/>
    <n v="7"/>
    <n v="22.44"/>
    <x v="5"/>
    <x v="2"/>
  </r>
  <r>
    <d v="2023-06-20T00:00:00"/>
    <x v="554"/>
    <x v="3"/>
    <x v="0"/>
    <x v="3"/>
    <n v="17.71"/>
    <n v="3"/>
    <n v="6.42"/>
    <x v="5"/>
    <x v="2"/>
  </r>
  <r>
    <d v="2023-06-20T00:00:00"/>
    <x v="554"/>
    <x v="3"/>
    <x v="0"/>
    <x v="12"/>
    <n v="21.78"/>
    <n v="2"/>
    <n v="5.66"/>
    <x v="5"/>
    <x v="2"/>
  </r>
  <r>
    <d v="2023-06-20T00:00:00"/>
    <x v="554"/>
    <x v="3"/>
    <x v="0"/>
    <x v="2"/>
    <n v="161.94"/>
    <n v="3"/>
    <n v="9.7200000000000006"/>
    <x v="5"/>
    <x v="2"/>
  </r>
  <r>
    <d v="2023-06-20T00:00:00"/>
    <x v="554"/>
    <x v="3"/>
    <x v="1"/>
    <x v="5"/>
    <n v="161.57"/>
    <n v="2"/>
    <n v="-8.08"/>
    <x v="5"/>
    <x v="2"/>
  </r>
  <r>
    <d v="2023-06-20T00:00:00"/>
    <x v="400"/>
    <x v="0"/>
    <x v="2"/>
    <x v="9"/>
    <n v="95.97"/>
    <n v="4"/>
    <n v="26.39"/>
    <x v="5"/>
    <x v="2"/>
  </r>
  <r>
    <d v="2023-06-20T00:00:00"/>
    <x v="400"/>
    <x v="0"/>
    <x v="0"/>
    <x v="0"/>
    <n v="10.37"/>
    <n v="2"/>
    <n v="3.63"/>
    <x v="5"/>
    <x v="2"/>
  </r>
  <r>
    <d v="2023-06-20T00:00:00"/>
    <x v="183"/>
    <x v="39"/>
    <x v="2"/>
    <x v="9"/>
    <n v="6.9"/>
    <n v="1"/>
    <n v="0.55000000000000004"/>
    <x v="5"/>
    <x v="2"/>
  </r>
  <r>
    <d v="2023-06-20T00:00:00"/>
    <x v="183"/>
    <x v="39"/>
    <x v="1"/>
    <x v="8"/>
    <n v="57.69"/>
    <n v="3"/>
    <n v="23.65"/>
    <x v="5"/>
    <x v="2"/>
  </r>
  <r>
    <d v="2023-06-21T00:00:00"/>
    <x v="423"/>
    <x v="20"/>
    <x v="0"/>
    <x v="3"/>
    <n v="36.56"/>
    <n v="5"/>
    <n v="12.8"/>
    <x v="5"/>
    <x v="2"/>
  </r>
  <r>
    <d v="2023-06-21T00:00:00"/>
    <x v="423"/>
    <x v="20"/>
    <x v="0"/>
    <x v="3"/>
    <n v="186.14"/>
    <n v="6"/>
    <n v="60.5"/>
    <x v="5"/>
    <x v="2"/>
  </r>
  <r>
    <d v="2023-06-21T00:00:00"/>
    <x v="423"/>
    <x v="20"/>
    <x v="1"/>
    <x v="11"/>
    <n v="353.57"/>
    <n v="2"/>
    <n v="-44.2"/>
    <x v="5"/>
    <x v="2"/>
  </r>
  <r>
    <d v="2023-06-21T00:00:00"/>
    <x v="590"/>
    <x v="1"/>
    <x v="0"/>
    <x v="3"/>
    <n v="0.84"/>
    <n v="1"/>
    <n v="-1.34"/>
    <x v="5"/>
    <x v="2"/>
  </r>
  <r>
    <d v="2023-06-23T00:00:00"/>
    <x v="576"/>
    <x v="20"/>
    <x v="0"/>
    <x v="1"/>
    <n v="122.12"/>
    <n v="4"/>
    <n v="56.18"/>
    <x v="5"/>
    <x v="2"/>
  </r>
  <r>
    <d v="2023-06-23T00:00:00"/>
    <x v="576"/>
    <x v="20"/>
    <x v="0"/>
    <x v="1"/>
    <n v="18.45"/>
    <n v="5"/>
    <n v="8.67"/>
    <x v="5"/>
    <x v="2"/>
  </r>
  <r>
    <d v="2023-06-23T00:00:00"/>
    <x v="576"/>
    <x v="20"/>
    <x v="0"/>
    <x v="2"/>
    <n v="324.89999999999998"/>
    <n v="5"/>
    <n v="38.99"/>
    <x v="5"/>
    <x v="2"/>
  </r>
  <r>
    <d v="2023-06-23T00:00:00"/>
    <x v="576"/>
    <x v="20"/>
    <x v="0"/>
    <x v="0"/>
    <n v="146.72999999999999"/>
    <n v="3"/>
    <n v="68.959999999999994"/>
    <x v="5"/>
    <x v="2"/>
  </r>
  <r>
    <d v="2023-06-23T00:00:00"/>
    <x v="576"/>
    <x v="20"/>
    <x v="0"/>
    <x v="7"/>
    <n v="3.96"/>
    <n v="2"/>
    <n v="1.47"/>
    <x v="5"/>
    <x v="2"/>
  </r>
  <r>
    <d v="2023-06-23T00:00:00"/>
    <x v="585"/>
    <x v="20"/>
    <x v="0"/>
    <x v="14"/>
    <n v="835.17"/>
    <n v="7"/>
    <n v="16.7"/>
    <x v="5"/>
    <x v="2"/>
  </r>
  <r>
    <d v="2023-06-23T00:00:00"/>
    <x v="131"/>
    <x v="3"/>
    <x v="0"/>
    <x v="2"/>
    <n v="93.68"/>
    <n v="4"/>
    <n v="25.29"/>
    <x v="5"/>
    <x v="2"/>
  </r>
  <r>
    <d v="2023-06-23T00:00:00"/>
    <x v="131"/>
    <x v="3"/>
    <x v="0"/>
    <x v="1"/>
    <n v="21.93"/>
    <n v="3"/>
    <n v="10.31"/>
    <x v="5"/>
    <x v="2"/>
  </r>
  <r>
    <d v="2023-06-23T00:00:00"/>
    <x v="131"/>
    <x v="3"/>
    <x v="2"/>
    <x v="6"/>
    <n v="862.34"/>
    <n v="7"/>
    <n v="97.01"/>
    <x v="5"/>
    <x v="2"/>
  </r>
  <r>
    <d v="2023-06-23T00:00:00"/>
    <x v="131"/>
    <x v="3"/>
    <x v="0"/>
    <x v="0"/>
    <n v="19.98"/>
    <n v="1"/>
    <n v="9.39"/>
    <x v="5"/>
    <x v="2"/>
  </r>
  <r>
    <d v="2023-06-23T00:00:00"/>
    <x v="533"/>
    <x v="20"/>
    <x v="0"/>
    <x v="1"/>
    <n v="25.83"/>
    <n v="7"/>
    <n v="12.14"/>
    <x v="5"/>
    <x v="2"/>
  </r>
  <r>
    <d v="2023-06-24T00:00:00"/>
    <x v="649"/>
    <x v="3"/>
    <x v="2"/>
    <x v="6"/>
    <n v="38.24"/>
    <n v="4"/>
    <n v="-9.56"/>
    <x v="5"/>
    <x v="2"/>
  </r>
  <r>
    <d v="2023-06-24T00:00:00"/>
    <x v="19"/>
    <x v="18"/>
    <x v="2"/>
    <x v="6"/>
    <n v="440.91"/>
    <n v="9"/>
    <n v="123.45"/>
    <x v="5"/>
    <x v="2"/>
  </r>
  <r>
    <d v="2023-06-24T00:00:00"/>
    <x v="526"/>
    <x v="0"/>
    <x v="0"/>
    <x v="12"/>
    <n v="8.7100000000000009"/>
    <n v="2"/>
    <n v="-19.600000000000001"/>
    <x v="5"/>
    <x v="2"/>
  </r>
  <r>
    <d v="2023-06-24T00:00:00"/>
    <x v="655"/>
    <x v="3"/>
    <x v="2"/>
    <x v="15"/>
    <n v="4476.8"/>
    <n v="4"/>
    <n v="503.64"/>
    <x v="5"/>
    <x v="2"/>
  </r>
  <r>
    <d v="2023-06-24T00:00:00"/>
    <x v="655"/>
    <x v="3"/>
    <x v="0"/>
    <x v="0"/>
    <n v="104.85"/>
    <n v="1"/>
    <n v="50.33"/>
    <x v="5"/>
    <x v="2"/>
  </r>
  <r>
    <d v="2023-06-24T00:00:00"/>
    <x v="655"/>
    <x v="3"/>
    <x v="0"/>
    <x v="12"/>
    <n v="241.44"/>
    <n v="3"/>
    <n v="72.430000000000007"/>
    <x v="5"/>
    <x v="2"/>
  </r>
  <r>
    <d v="2023-06-25T00:00:00"/>
    <x v="161"/>
    <x v="2"/>
    <x v="1"/>
    <x v="5"/>
    <n v="422.06"/>
    <n v="3"/>
    <n v="-18.09"/>
    <x v="5"/>
    <x v="2"/>
  </r>
  <r>
    <d v="2023-06-25T00:00:00"/>
    <x v="161"/>
    <x v="2"/>
    <x v="0"/>
    <x v="3"/>
    <n v="38.090000000000003"/>
    <n v="4"/>
    <n v="-27.93"/>
    <x v="5"/>
    <x v="2"/>
  </r>
  <r>
    <d v="2023-06-25T00:00:00"/>
    <x v="161"/>
    <x v="2"/>
    <x v="0"/>
    <x v="2"/>
    <n v="254.35"/>
    <n v="6"/>
    <n v="-50.87"/>
    <x v="5"/>
    <x v="2"/>
  </r>
  <r>
    <d v="2023-06-25T00:00:00"/>
    <x v="83"/>
    <x v="3"/>
    <x v="0"/>
    <x v="12"/>
    <n v="60.81"/>
    <n v="3"/>
    <n v="17.03"/>
    <x v="5"/>
    <x v="2"/>
  </r>
  <r>
    <d v="2023-06-25T00:00:00"/>
    <x v="391"/>
    <x v="0"/>
    <x v="1"/>
    <x v="5"/>
    <n v="85.25"/>
    <n v="2"/>
    <n v="-6.09"/>
    <x v="5"/>
    <x v="2"/>
  </r>
  <r>
    <d v="2023-06-25T00:00:00"/>
    <x v="391"/>
    <x v="0"/>
    <x v="1"/>
    <x v="8"/>
    <n v="32.71"/>
    <n v="2"/>
    <n v="-26.17"/>
    <x v="5"/>
    <x v="2"/>
  </r>
  <r>
    <d v="2023-06-26T00:00:00"/>
    <x v="130"/>
    <x v="20"/>
    <x v="0"/>
    <x v="4"/>
    <n v="14.7"/>
    <n v="5"/>
    <n v="6.62"/>
    <x v="5"/>
    <x v="2"/>
  </r>
  <r>
    <d v="2023-06-26T00:00:00"/>
    <x v="130"/>
    <x v="20"/>
    <x v="0"/>
    <x v="2"/>
    <n v="704.25"/>
    <n v="5"/>
    <n v="84.51"/>
    <x v="5"/>
    <x v="2"/>
  </r>
  <r>
    <d v="2023-06-26T00:00:00"/>
    <x v="344"/>
    <x v="43"/>
    <x v="0"/>
    <x v="2"/>
    <n v="14.9"/>
    <n v="5"/>
    <n v="1.04"/>
    <x v="5"/>
    <x v="2"/>
  </r>
  <r>
    <d v="2023-06-26T00:00:00"/>
    <x v="314"/>
    <x v="0"/>
    <x v="2"/>
    <x v="9"/>
    <n v="13.62"/>
    <n v="2"/>
    <n v="3.57"/>
    <x v="5"/>
    <x v="2"/>
  </r>
  <r>
    <d v="2023-06-26T00:00:00"/>
    <x v="416"/>
    <x v="3"/>
    <x v="1"/>
    <x v="8"/>
    <n v="22.14"/>
    <n v="3"/>
    <n v="6.42"/>
    <x v="5"/>
    <x v="2"/>
  </r>
  <r>
    <d v="2023-06-26T00:00:00"/>
    <x v="765"/>
    <x v="1"/>
    <x v="0"/>
    <x v="4"/>
    <n v="5.3"/>
    <n v="3"/>
    <n v="0.46"/>
    <x v="5"/>
    <x v="2"/>
  </r>
  <r>
    <d v="2023-06-26T00:00:00"/>
    <x v="659"/>
    <x v="14"/>
    <x v="0"/>
    <x v="0"/>
    <n v="368.91"/>
    <n v="9"/>
    <n v="180.77"/>
    <x v="5"/>
    <x v="2"/>
  </r>
  <r>
    <d v="2023-06-26T00:00:00"/>
    <x v="659"/>
    <x v="14"/>
    <x v="0"/>
    <x v="3"/>
    <n v="8.02"/>
    <n v="1"/>
    <n v="3.77"/>
    <x v="5"/>
    <x v="2"/>
  </r>
  <r>
    <d v="2023-06-26T00:00:00"/>
    <x v="659"/>
    <x v="14"/>
    <x v="0"/>
    <x v="2"/>
    <n v="171.04"/>
    <n v="4"/>
    <n v="44.47"/>
    <x v="5"/>
    <x v="2"/>
  </r>
  <r>
    <d v="2023-06-26T00:00:00"/>
    <x v="512"/>
    <x v="3"/>
    <x v="0"/>
    <x v="14"/>
    <n v="231.72"/>
    <n v="2"/>
    <n v="11.59"/>
    <x v="5"/>
    <x v="2"/>
  </r>
  <r>
    <d v="2023-06-26T00:00:00"/>
    <x v="512"/>
    <x v="3"/>
    <x v="0"/>
    <x v="7"/>
    <n v="17.899999999999999"/>
    <n v="5"/>
    <n v="8.9499999999999993"/>
    <x v="5"/>
    <x v="2"/>
  </r>
  <r>
    <d v="2023-06-26T00:00:00"/>
    <x v="512"/>
    <x v="3"/>
    <x v="0"/>
    <x v="0"/>
    <n v="12.48"/>
    <n v="2"/>
    <n v="5.62"/>
    <x v="5"/>
    <x v="2"/>
  </r>
  <r>
    <d v="2023-06-26T00:00:00"/>
    <x v="379"/>
    <x v="20"/>
    <x v="2"/>
    <x v="9"/>
    <n v="20.97"/>
    <n v="3"/>
    <n v="9.02"/>
    <x v="5"/>
    <x v="2"/>
  </r>
  <r>
    <d v="2023-06-26T00:00:00"/>
    <x v="379"/>
    <x v="20"/>
    <x v="2"/>
    <x v="9"/>
    <n v="139.96"/>
    <n v="4"/>
    <n v="9.8000000000000007"/>
    <x v="5"/>
    <x v="2"/>
  </r>
  <r>
    <d v="2023-06-26T00:00:00"/>
    <x v="379"/>
    <x v="20"/>
    <x v="1"/>
    <x v="8"/>
    <n v="37.74"/>
    <n v="3"/>
    <n v="12.83"/>
    <x v="5"/>
    <x v="2"/>
  </r>
  <r>
    <d v="2023-06-26T00:00:00"/>
    <x v="766"/>
    <x v="4"/>
    <x v="2"/>
    <x v="6"/>
    <n v="135.94999999999999"/>
    <n v="1"/>
    <n v="39.43"/>
    <x v="5"/>
    <x v="2"/>
  </r>
  <r>
    <d v="2023-06-27T00:00:00"/>
    <x v="121"/>
    <x v="1"/>
    <x v="0"/>
    <x v="0"/>
    <n v="37.46"/>
    <n v="7"/>
    <n v="12.18"/>
    <x v="5"/>
    <x v="2"/>
  </r>
  <r>
    <d v="2023-06-27T00:00:00"/>
    <x v="121"/>
    <x v="1"/>
    <x v="1"/>
    <x v="5"/>
    <n v="539.66"/>
    <n v="3"/>
    <n v="-7.71"/>
    <x v="5"/>
    <x v="2"/>
  </r>
  <r>
    <d v="2023-06-27T00:00:00"/>
    <x v="461"/>
    <x v="3"/>
    <x v="2"/>
    <x v="6"/>
    <n v="201.58"/>
    <n v="2"/>
    <n v="12.6"/>
    <x v="5"/>
    <x v="2"/>
  </r>
  <r>
    <d v="2023-06-28T00:00:00"/>
    <x v="334"/>
    <x v="1"/>
    <x v="2"/>
    <x v="6"/>
    <n v="359.98"/>
    <n v="3"/>
    <n v="36"/>
    <x v="5"/>
    <x v="2"/>
  </r>
  <r>
    <d v="2023-06-28T00:00:00"/>
    <x v="10"/>
    <x v="3"/>
    <x v="0"/>
    <x v="3"/>
    <n v="7.75"/>
    <n v="3"/>
    <n v="2.81"/>
    <x v="5"/>
    <x v="2"/>
  </r>
  <r>
    <d v="2023-06-28T00:00:00"/>
    <x v="10"/>
    <x v="3"/>
    <x v="0"/>
    <x v="3"/>
    <n v="33.57"/>
    <n v="2"/>
    <n v="11.75"/>
    <x v="5"/>
    <x v="2"/>
  </r>
  <r>
    <d v="2023-06-28T00:00:00"/>
    <x v="652"/>
    <x v="23"/>
    <x v="1"/>
    <x v="5"/>
    <n v="121.96"/>
    <n v="2"/>
    <n v="20.73"/>
    <x v="5"/>
    <x v="2"/>
  </r>
  <r>
    <d v="2023-06-28T00:00:00"/>
    <x v="652"/>
    <x v="23"/>
    <x v="0"/>
    <x v="12"/>
    <n v="8.74"/>
    <n v="2"/>
    <n v="2.27"/>
    <x v="5"/>
    <x v="2"/>
  </r>
  <r>
    <d v="2023-06-28T00:00:00"/>
    <x v="652"/>
    <x v="23"/>
    <x v="0"/>
    <x v="0"/>
    <n v="61.96"/>
    <n v="2"/>
    <n v="27.88"/>
    <x v="5"/>
    <x v="2"/>
  </r>
  <r>
    <d v="2023-06-28T00:00:00"/>
    <x v="652"/>
    <x v="23"/>
    <x v="0"/>
    <x v="3"/>
    <n v="7.96"/>
    <n v="2"/>
    <n v="3.74"/>
    <x v="5"/>
    <x v="2"/>
  </r>
  <r>
    <d v="2023-06-28T00:00:00"/>
    <x v="652"/>
    <x v="23"/>
    <x v="0"/>
    <x v="12"/>
    <n v="275.24"/>
    <n v="4"/>
    <n v="121.11"/>
    <x v="5"/>
    <x v="2"/>
  </r>
  <r>
    <d v="2023-06-29T00:00:00"/>
    <x v="261"/>
    <x v="9"/>
    <x v="0"/>
    <x v="2"/>
    <n v="191.88"/>
    <n v="6"/>
    <n v="19.190000000000001"/>
    <x v="5"/>
    <x v="2"/>
  </r>
  <r>
    <d v="2023-06-30T00:00:00"/>
    <x v="413"/>
    <x v="4"/>
    <x v="0"/>
    <x v="4"/>
    <n v="35.97"/>
    <n v="3"/>
    <n v="9.7100000000000009"/>
    <x v="5"/>
    <x v="2"/>
  </r>
  <r>
    <d v="2023-06-30T00:00:00"/>
    <x v="413"/>
    <x v="4"/>
    <x v="1"/>
    <x v="11"/>
    <n v="1266.8599999999999"/>
    <n v="7"/>
    <n v="291.38"/>
    <x v="5"/>
    <x v="2"/>
  </r>
  <r>
    <d v="2023-06-30T00:00:00"/>
    <x v="303"/>
    <x v="1"/>
    <x v="2"/>
    <x v="9"/>
    <n v="50.12"/>
    <n v="7"/>
    <n v="-0.63"/>
    <x v="5"/>
    <x v="2"/>
  </r>
  <r>
    <d v="2023-07-01T00:00:00"/>
    <x v="705"/>
    <x v="9"/>
    <x v="0"/>
    <x v="3"/>
    <n v="14.2"/>
    <n v="2"/>
    <n v="6.53"/>
    <x v="6"/>
    <x v="2"/>
  </r>
  <r>
    <d v="2023-07-01T00:00:00"/>
    <x v="705"/>
    <x v="9"/>
    <x v="0"/>
    <x v="0"/>
    <n v="12.96"/>
    <n v="2"/>
    <n v="6.22"/>
    <x v="6"/>
    <x v="2"/>
  </r>
  <r>
    <d v="2023-07-01T00:00:00"/>
    <x v="705"/>
    <x v="9"/>
    <x v="0"/>
    <x v="3"/>
    <n v="58.34"/>
    <n v="2"/>
    <n v="28"/>
    <x v="6"/>
    <x v="2"/>
  </r>
  <r>
    <d v="2023-07-01T00:00:00"/>
    <x v="306"/>
    <x v="27"/>
    <x v="2"/>
    <x v="16"/>
    <n v="1499.95"/>
    <n v="5"/>
    <n v="449.99"/>
    <x v="6"/>
    <x v="2"/>
  </r>
  <r>
    <d v="2023-07-01T00:00:00"/>
    <x v="720"/>
    <x v="20"/>
    <x v="0"/>
    <x v="1"/>
    <n v="30.53"/>
    <n v="1"/>
    <n v="14.04"/>
    <x v="6"/>
    <x v="2"/>
  </r>
  <r>
    <d v="2023-07-01T00:00:00"/>
    <x v="720"/>
    <x v="20"/>
    <x v="2"/>
    <x v="9"/>
    <n v="30.84"/>
    <n v="3"/>
    <n v="6.17"/>
    <x v="6"/>
    <x v="2"/>
  </r>
  <r>
    <d v="2023-07-01T00:00:00"/>
    <x v="720"/>
    <x v="20"/>
    <x v="0"/>
    <x v="0"/>
    <n v="75.06"/>
    <n v="9"/>
    <n v="33.78"/>
    <x v="6"/>
    <x v="2"/>
  </r>
  <r>
    <d v="2023-07-01T00:00:00"/>
    <x v="327"/>
    <x v="22"/>
    <x v="0"/>
    <x v="3"/>
    <n v="2.5"/>
    <n v="1"/>
    <n v="0.9"/>
    <x v="6"/>
    <x v="2"/>
  </r>
  <r>
    <d v="2023-07-02T00:00:00"/>
    <x v="169"/>
    <x v="3"/>
    <x v="1"/>
    <x v="5"/>
    <n v="195.18"/>
    <n v="1"/>
    <n v="19.52"/>
    <x v="6"/>
    <x v="2"/>
  </r>
  <r>
    <d v="2023-07-02T00:00:00"/>
    <x v="175"/>
    <x v="6"/>
    <x v="0"/>
    <x v="4"/>
    <n v="7.7"/>
    <n v="2"/>
    <n v="3.16"/>
    <x v="6"/>
    <x v="2"/>
  </r>
  <r>
    <d v="2023-07-02T00:00:00"/>
    <x v="400"/>
    <x v="0"/>
    <x v="1"/>
    <x v="5"/>
    <n v="528.42999999999995"/>
    <n v="5"/>
    <n v="0"/>
    <x v="6"/>
    <x v="2"/>
  </r>
  <r>
    <d v="2023-07-02T00:00:00"/>
    <x v="400"/>
    <x v="0"/>
    <x v="0"/>
    <x v="0"/>
    <n v="41.47"/>
    <n v="8"/>
    <n v="14.52"/>
    <x v="6"/>
    <x v="2"/>
  </r>
  <r>
    <d v="2023-07-03T00:00:00"/>
    <x v="606"/>
    <x v="3"/>
    <x v="0"/>
    <x v="0"/>
    <n v="12.96"/>
    <n v="2"/>
    <n v="6.22"/>
    <x v="6"/>
    <x v="2"/>
  </r>
  <r>
    <d v="2023-07-03T00:00:00"/>
    <x v="606"/>
    <x v="3"/>
    <x v="0"/>
    <x v="7"/>
    <n v="3.96"/>
    <n v="2"/>
    <n v="0.08"/>
    <x v="6"/>
    <x v="2"/>
  </r>
  <r>
    <d v="2023-07-03T00:00:00"/>
    <x v="78"/>
    <x v="20"/>
    <x v="0"/>
    <x v="12"/>
    <n v="706.86"/>
    <n v="7"/>
    <n v="197.92"/>
    <x v="6"/>
    <x v="2"/>
  </r>
  <r>
    <d v="2023-07-03T00:00:00"/>
    <x v="76"/>
    <x v="2"/>
    <x v="0"/>
    <x v="0"/>
    <n v="123.92"/>
    <n v="5"/>
    <n v="38.729999999999997"/>
    <x v="6"/>
    <x v="2"/>
  </r>
  <r>
    <d v="2023-07-04T00:00:00"/>
    <x v="266"/>
    <x v="3"/>
    <x v="1"/>
    <x v="8"/>
    <n v="25.4"/>
    <n v="5"/>
    <n v="8.64"/>
    <x v="6"/>
    <x v="2"/>
  </r>
  <r>
    <d v="2023-07-04T00:00:00"/>
    <x v="266"/>
    <x v="3"/>
    <x v="0"/>
    <x v="10"/>
    <n v="43.96"/>
    <n v="2"/>
    <n v="20.66"/>
    <x v="6"/>
    <x v="2"/>
  </r>
  <r>
    <d v="2023-07-04T00:00:00"/>
    <x v="266"/>
    <x v="3"/>
    <x v="1"/>
    <x v="11"/>
    <n v="1279.17"/>
    <n v="5"/>
    <n v="225.74"/>
    <x v="6"/>
    <x v="2"/>
  </r>
  <r>
    <d v="2023-07-04T00:00:00"/>
    <x v="266"/>
    <x v="3"/>
    <x v="0"/>
    <x v="2"/>
    <n v="27.92"/>
    <n v="4"/>
    <n v="0.56000000000000005"/>
    <x v="6"/>
    <x v="2"/>
  </r>
  <r>
    <d v="2023-07-04T00:00:00"/>
    <x v="81"/>
    <x v="22"/>
    <x v="1"/>
    <x v="8"/>
    <n v="25.4"/>
    <n v="5"/>
    <n v="8.64"/>
    <x v="6"/>
    <x v="2"/>
  </r>
  <r>
    <d v="2023-07-04T00:00:00"/>
    <x v="81"/>
    <x v="22"/>
    <x v="2"/>
    <x v="6"/>
    <n v="177.48"/>
    <n v="3"/>
    <n v="19.97"/>
    <x v="6"/>
    <x v="2"/>
  </r>
  <r>
    <d v="2023-07-04T00:00:00"/>
    <x v="81"/>
    <x v="22"/>
    <x v="2"/>
    <x v="6"/>
    <n v="71.98"/>
    <n v="3"/>
    <n v="9"/>
    <x v="6"/>
    <x v="2"/>
  </r>
  <r>
    <d v="2023-07-07T00:00:00"/>
    <x v="571"/>
    <x v="16"/>
    <x v="0"/>
    <x v="14"/>
    <n v="45.58"/>
    <n v="7"/>
    <n v="5.13"/>
    <x v="6"/>
    <x v="2"/>
  </r>
  <r>
    <d v="2023-07-07T00:00:00"/>
    <x v="195"/>
    <x v="3"/>
    <x v="1"/>
    <x v="8"/>
    <n v="215.65"/>
    <n v="5"/>
    <n v="73.319999999999993"/>
    <x v="6"/>
    <x v="2"/>
  </r>
  <r>
    <d v="2023-07-07T00:00:00"/>
    <x v="45"/>
    <x v="1"/>
    <x v="1"/>
    <x v="8"/>
    <n v="60.29"/>
    <n v="8"/>
    <n v="-27.13"/>
    <x v="6"/>
    <x v="2"/>
  </r>
  <r>
    <d v="2023-07-07T00:00:00"/>
    <x v="45"/>
    <x v="1"/>
    <x v="0"/>
    <x v="7"/>
    <n v="2.63"/>
    <n v="1"/>
    <n v="0.82"/>
    <x v="6"/>
    <x v="2"/>
  </r>
  <r>
    <d v="2023-07-07T00:00:00"/>
    <x v="45"/>
    <x v="1"/>
    <x v="0"/>
    <x v="0"/>
    <n v="23.69"/>
    <n v="9"/>
    <n v="7.7"/>
    <x v="6"/>
    <x v="2"/>
  </r>
  <r>
    <d v="2023-07-07T00:00:00"/>
    <x v="45"/>
    <x v="1"/>
    <x v="1"/>
    <x v="5"/>
    <n v="253.37"/>
    <n v="2"/>
    <n v="-14.48"/>
    <x v="6"/>
    <x v="2"/>
  </r>
  <r>
    <d v="2023-07-07T00:00:00"/>
    <x v="757"/>
    <x v="3"/>
    <x v="1"/>
    <x v="5"/>
    <n v="287.97000000000003"/>
    <n v="4"/>
    <n v="-3.6"/>
    <x v="6"/>
    <x v="2"/>
  </r>
  <r>
    <d v="2023-07-07T00:00:00"/>
    <x v="757"/>
    <x v="3"/>
    <x v="2"/>
    <x v="16"/>
    <n v="2799.96"/>
    <n v="5"/>
    <n v="944.99"/>
    <x v="6"/>
    <x v="2"/>
  </r>
  <r>
    <d v="2023-07-07T00:00:00"/>
    <x v="757"/>
    <x v="3"/>
    <x v="0"/>
    <x v="0"/>
    <n v="48.94"/>
    <n v="1"/>
    <n v="24.47"/>
    <x v="6"/>
    <x v="2"/>
  </r>
  <r>
    <d v="2023-07-07T00:00:00"/>
    <x v="570"/>
    <x v="2"/>
    <x v="0"/>
    <x v="1"/>
    <n v="10.08"/>
    <n v="2"/>
    <n v="3.28"/>
    <x v="6"/>
    <x v="2"/>
  </r>
  <r>
    <d v="2023-07-07T00:00:00"/>
    <x v="570"/>
    <x v="2"/>
    <x v="2"/>
    <x v="6"/>
    <n v="59.99"/>
    <n v="1"/>
    <n v="-13"/>
    <x v="6"/>
    <x v="2"/>
  </r>
  <r>
    <d v="2023-07-07T00:00:00"/>
    <x v="570"/>
    <x v="2"/>
    <x v="0"/>
    <x v="3"/>
    <n v="5.72"/>
    <n v="5"/>
    <n v="-4.76"/>
    <x v="6"/>
    <x v="2"/>
  </r>
  <r>
    <d v="2023-07-07T00:00:00"/>
    <x v="570"/>
    <x v="2"/>
    <x v="0"/>
    <x v="3"/>
    <n v="9.42"/>
    <n v="5"/>
    <n v="-7.85"/>
    <x v="6"/>
    <x v="2"/>
  </r>
  <r>
    <d v="2023-07-07T00:00:00"/>
    <x v="655"/>
    <x v="27"/>
    <x v="0"/>
    <x v="0"/>
    <n v="12.96"/>
    <n v="2"/>
    <n v="6.22"/>
    <x v="6"/>
    <x v="2"/>
  </r>
  <r>
    <d v="2023-07-07T00:00:00"/>
    <x v="655"/>
    <x v="27"/>
    <x v="0"/>
    <x v="4"/>
    <n v="45.98"/>
    <n v="2"/>
    <n v="12.87"/>
    <x v="6"/>
    <x v="2"/>
  </r>
  <r>
    <d v="2023-07-08T00:00:00"/>
    <x v="759"/>
    <x v="0"/>
    <x v="2"/>
    <x v="6"/>
    <n v="863.64"/>
    <n v="9"/>
    <n v="107.96"/>
    <x v="6"/>
    <x v="2"/>
  </r>
  <r>
    <d v="2023-07-08T00:00:00"/>
    <x v="759"/>
    <x v="0"/>
    <x v="0"/>
    <x v="4"/>
    <n v="47.62"/>
    <n v="3"/>
    <n v="3.57"/>
    <x v="6"/>
    <x v="2"/>
  </r>
  <r>
    <d v="2023-07-08T00:00:00"/>
    <x v="364"/>
    <x v="26"/>
    <x v="0"/>
    <x v="3"/>
    <n v="19.97"/>
    <n v="2"/>
    <n v="-13.31"/>
    <x v="6"/>
    <x v="2"/>
  </r>
  <r>
    <d v="2023-07-08T00:00:00"/>
    <x v="364"/>
    <x v="26"/>
    <x v="0"/>
    <x v="2"/>
    <n v="33.49"/>
    <n v="7"/>
    <n v="-1.26"/>
    <x v="6"/>
    <x v="2"/>
  </r>
  <r>
    <d v="2023-07-08T00:00:00"/>
    <x v="364"/>
    <x v="26"/>
    <x v="0"/>
    <x v="3"/>
    <n v="8.74"/>
    <n v="4"/>
    <n v="-6.12"/>
    <x v="6"/>
    <x v="2"/>
  </r>
  <r>
    <d v="2023-07-08T00:00:00"/>
    <x v="364"/>
    <x v="26"/>
    <x v="1"/>
    <x v="5"/>
    <n v="662.88"/>
    <n v="3"/>
    <n v="74.569999999999993"/>
    <x v="6"/>
    <x v="2"/>
  </r>
  <r>
    <d v="2023-07-08T00:00:00"/>
    <x v="393"/>
    <x v="22"/>
    <x v="2"/>
    <x v="6"/>
    <n v="107.98"/>
    <n v="1"/>
    <n v="9.4499999999999993"/>
    <x v="6"/>
    <x v="2"/>
  </r>
  <r>
    <d v="2023-07-08T00:00:00"/>
    <x v="393"/>
    <x v="22"/>
    <x v="0"/>
    <x v="3"/>
    <n v="19.3"/>
    <n v="3"/>
    <n v="6.03"/>
    <x v="6"/>
    <x v="2"/>
  </r>
  <r>
    <d v="2023-07-08T00:00:00"/>
    <x v="368"/>
    <x v="16"/>
    <x v="2"/>
    <x v="6"/>
    <n v="823.96"/>
    <n v="5"/>
    <n v="51.5"/>
    <x v="6"/>
    <x v="2"/>
  </r>
  <r>
    <d v="2023-07-08T00:00:00"/>
    <x v="368"/>
    <x v="16"/>
    <x v="0"/>
    <x v="0"/>
    <n v="15.98"/>
    <n v="2"/>
    <n v="5"/>
    <x v="6"/>
    <x v="2"/>
  </r>
  <r>
    <d v="2023-07-08T00:00:00"/>
    <x v="424"/>
    <x v="43"/>
    <x v="0"/>
    <x v="0"/>
    <n v="12.96"/>
    <n v="2"/>
    <n v="6.22"/>
    <x v="6"/>
    <x v="2"/>
  </r>
  <r>
    <d v="2023-07-09T00:00:00"/>
    <x v="104"/>
    <x v="20"/>
    <x v="1"/>
    <x v="5"/>
    <n v="408.01"/>
    <n v="2"/>
    <n v="72.53"/>
    <x v="6"/>
    <x v="2"/>
  </r>
  <r>
    <d v="2023-07-09T00:00:00"/>
    <x v="104"/>
    <x v="20"/>
    <x v="1"/>
    <x v="8"/>
    <n v="165.28"/>
    <n v="4"/>
    <n v="14.88"/>
    <x v="6"/>
    <x v="2"/>
  </r>
  <r>
    <d v="2023-07-10T00:00:00"/>
    <x v="158"/>
    <x v="12"/>
    <x v="0"/>
    <x v="2"/>
    <n v="16.77"/>
    <n v="2"/>
    <n v="1.47"/>
    <x v="6"/>
    <x v="2"/>
  </r>
  <r>
    <d v="2023-07-10T00:00:00"/>
    <x v="564"/>
    <x v="0"/>
    <x v="0"/>
    <x v="2"/>
    <n v="338.04"/>
    <n v="3"/>
    <n v="-33.799999999999997"/>
    <x v="6"/>
    <x v="2"/>
  </r>
  <r>
    <d v="2023-07-10T00:00:00"/>
    <x v="564"/>
    <x v="0"/>
    <x v="0"/>
    <x v="4"/>
    <n v="154.24"/>
    <n v="4"/>
    <n v="17.350000000000001"/>
    <x v="6"/>
    <x v="2"/>
  </r>
  <r>
    <d v="2023-07-10T00:00:00"/>
    <x v="327"/>
    <x v="12"/>
    <x v="0"/>
    <x v="3"/>
    <n v="44.86"/>
    <n v="6"/>
    <n v="-35.880000000000003"/>
    <x v="6"/>
    <x v="2"/>
  </r>
  <r>
    <d v="2023-07-10T00:00:00"/>
    <x v="400"/>
    <x v="2"/>
    <x v="2"/>
    <x v="15"/>
    <n v="341.99"/>
    <n v="3"/>
    <n v="-319.19"/>
    <x v="6"/>
    <x v="2"/>
  </r>
  <r>
    <d v="2023-07-12T00:00:00"/>
    <x v="94"/>
    <x v="3"/>
    <x v="2"/>
    <x v="6"/>
    <n v="95.76"/>
    <n v="6"/>
    <n v="7.18"/>
    <x v="6"/>
    <x v="2"/>
  </r>
  <r>
    <d v="2023-07-14T00:00:00"/>
    <x v="442"/>
    <x v="12"/>
    <x v="2"/>
    <x v="6"/>
    <n v="380.86"/>
    <n v="8"/>
    <n v="38.090000000000003"/>
    <x v="6"/>
    <x v="2"/>
  </r>
  <r>
    <d v="2023-07-14T00:00:00"/>
    <x v="633"/>
    <x v="2"/>
    <x v="0"/>
    <x v="14"/>
    <n v="11.63"/>
    <n v="2"/>
    <n v="1.02"/>
    <x v="6"/>
    <x v="2"/>
  </r>
  <r>
    <d v="2023-07-14T00:00:00"/>
    <x v="490"/>
    <x v="20"/>
    <x v="0"/>
    <x v="2"/>
    <n v="11.21"/>
    <n v="1"/>
    <n v="3.36"/>
    <x v="6"/>
    <x v="2"/>
  </r>
  <r>
    <d v="2023-07-14T00:00:00"/>
    <x v="490"/>
    <x v="20"/>
    <x v="0"/>
    <x v="3"/>
    <n v="9.14"/>
    <n v="3"/>
    <n v="3.2"/>
    <x v="6"/>
    <x v="2"/>
  </r>
  <r>
    <d v="2023-07-14T00:00:00"/>
    <x v="490"/>
    <x v="20"/>
    <x v="0"/>
    <x v="7"/>
    <n v="14.07"/>
    <n v="7"/>
    <n v="6.89"/>
    <x v="6"/>
    <x v="2"/>
  </r>
  <r>
    <d v="2023-07-14T00:00:00"/>
    <x v="490"/>
    <x v="20"/>
    <x v="0"/>
    <x v="4"/>
    <n v="41.86"/>
    <n v="7"/>
    <n v="10.47"/>
    <x v="6"/>
    <x v="2"/>
  </r>
  <r>
    <d v="2023-07-14T00:00:00"/>
    <x v="490"/>
    <x v="20"/>
    <x v="0"/>
    <x v="3"/>
    <n v="8.5399999999999991"/>
    <n v="2"/>
    <n v="2.88"/>
    <x v="6"/>
    <x v="2"/>
  </r>
  <r>
    <d v="2023-07-14T00:00:00"/>
    <x v="490"/>
    <x v="20"/>
    <x v="1"/>
    <x v="11"/>
    <n v="579.14"/>
    <n v="4"/>
    <n v="21.72"/>
    <x v="6"/>
    <x v="2"/>
  </r>
  <r>
    <d v="2023-07-14T00:00:00"/>
    <x v="240"/>
    <x v="0"/>
    <x v="2"/>
    <x v="6"/>
    <n v="419.94"/>
    <n v="7"/>
    <n v="52.49"/>
    <x v="6"/>
    <x v="2"/>
  </r>
  <r>
    <d v="2023-07-14T00:00:00"/>
    <x v="696"/>
    <x v="20"/>
    <x v="0"/>
    <x v="3"/>
    <n v="14.16"/>
    <n v="2"/>
    <n v="5.13"/>
    <x v="6"/>
    <x v="2"/>
  </r>
  <r>
    <d v="2023-07-14T00:00:00"/>
    <x v="663"/>
    <x v="33"/>
    <x v="2"/>
    <x v="9"/>
    <n v="29"/>
    <n v="2"/>
    <n v="7.25"/>
    <x v="6"/>
    <x v="2"/>
  </r>
  <r>
    <d v="2023-07-14T00:00:00"/>
    <x v="238"/>
    <x v="20"/>
    <x v="0"/>
    <x v="7"/>
    <n v="29.61"/>
    <n v="9"/>
    <n v="13.32"/>
    <x v="6"/>
    <x v="2"/>
  </r>
  <r>
    <d v="2023-07-14T00:00:00"/>
    <x v="143"/>
    <x v="0"/>
    <x v="0"/>
    <x v="0"/>
    <n v="219.84"/>
    <n v="5"/>
    <n v="79.69"/>
    <x v="6"/>
    <x v="2"/>
  </r>
  <r>
    <d v="2023-07-14T00:00:00"/>
    <x v="767"/>
    <x v="4"/>
    <x v="0"/>
    <x v="3"/>
    <n v="36.4"/>
    <n v="5"/>
    <n v="17.11"/>
    <x v="6"/>
    <x v="2"/>
  </r>
  <r>
    <d v="2023-07-14T00:00:00"/>
    <x v="767"/>
    <x v="4"/>
    <x v="1"/>
    <x v="8"/>
    <n v="51.75"/>
    <n v="1"/>
    <n v="15.53"/>
    <x v="6"/>
    <x v="2"/>
  </r>
  <r>
    <d v="2023-07-14T00:00:00"/>
    <x v="745"/>
    <x v="3"/>
    <x v="2"/>
    <x v="6"/>
    <n v="110.38"/>
    <n v="3"/>
    <n v="12.42"/>
    <x v="6"/>
    <x v="2"/>
  </r>
  <r>
    <d v="2023-07-14T00:00:00"/>
    <x v="745"/>
    <x v="3"/>
    <x v="0"/>
    <x v="12"/>
    <n v="151.62"/>
    <n v="7"/>
    <n v="50.03"/>
    <x v="6"/>
    <x v="2"/>
  </r>
  <r>
    <d v="2023-07-14T00:00:00"/>
    <x v="745"/>
    <x v="3"/>
    <x v="1"/>
    <x v="8"/>
    <n v="30.8"/>
    <n v="4"/>
    <n v="10.16"/>
    <x v="6"/>
    <x v="2"/>
  </r>
  <r>
    <d v="2023-07-15T00:00:00"/>
    <x v="511"/>
    <x v="27"/>
    <x v="0"/>
    <x v="14"/>
    <n v="44.4"/>
    <n v="5"/>
    <n v="12.43"/>
    <x v="6"/>
    <x v="2"/>
  </r>
  <r>
    <d v="2023-07-15T00:00:00"/>
    <x v="231"/>
    <x v="11"/>
    <x v="1"/>
    <x v="5"/>
    <n v="230.28"/>
    <n v="3"/>
    <n v="23.03"/>
    <x v="6"/>
    <x v="2"/>
  </r>
  <r>
    <d v="2023-07-15T00:00:00"/>
    <x v="231"/>
    <x v="11"/>
    <x v="0"/>
    <x v="0"/>
    <n v="105.52"/>
    <n v="5"/>
    <n v="34.29"/>
    <x v="6"/>
    <x v="2"/>
  </r>
  <r>
    <d v="2023-07-16T00:00:00"/>
    <x v="450"/>
    <x v="0"/>
    <x v="0"/>
    <x v="2"/>
    <n v="37.22"/>
    <n v="3"/>
    <n v="3.72"/>
    <x v="6"/>
    <x v="2"/>
  </r>
  <r>
    <d v="2023-07-16T00:00:00"/>
    <x v="450"/>
    <x v="0"/>
    <x v="0"/>
    <x v="0"/>
    <n v="20.02"/>
    <n v="3"/>
    <n v="6.26"/>
    <x v="6"/>
    <x v="2"/>
  </r>
  <r>
    <d v="2023-07-16T00:00:00"/>
    <x v="74"/>
    <x v="2"/>
    <x v="2"/>
    <x v="6"/>
    <n v="143.97999999999999"/>
    <n v="3"/>
    <n v="-28.8"/>
    <x v="6"/>
    <x v="2"/>
  </r>
  <r>
    <d v="2023-07-16T00:00:00"/>
    <x v="74"/>
    <x v="2"/>
    <x v="2"/>
    <x v="6"/>
    <n v="494.38"/>
    <n v="4"/>
    <n v="-115.35"/>
    <x v="6"/>
    <x v="2"/>
  </r>
  <r>
    <d v="2023-07-16T00:00:00"/>
    <x v="74"/>
    <x v="2"/>
    <x v="0"/>
    <x v="14"/>
    <n v="5.84"/>
    <n v="2"/>
    <n v="0.73"/>
    <x v="6"/>
    <x v="2"/>
  </r>
  <r>
    <d v="2023-07-16T00:00:00"/>
    <x v="231"/>
    <x v="0"/>
    <x v="1"/>
    <x v="8"/>
    <n v="9.5500000000000007"/>
    <n v="3"/>
    <n v="-3.82"/>
    <x v="6"/>
    <x v="2"/>
  </r>
  <r>
    <d v="2023-07-16T00:00:00"/>
    <x v="104"/>
    <x v="9"/>
    <x v="0"/>
    <x v="10"/>
    <n v="10.199999999999999"/>
    <n v="5"/>
    <n v="4.79"/>
    <x v="6"/>
    <x v="2"/>
  </r>
  <r>
    <d v="2023-07-16T00:00:00"/>
    <x v="104"/>
    <x v="9"/>
    <x v="0"/>
    <x v="4"/>
    <n v="22.32"/>
    <n v="3"/>
    <n v="5.58"/>
    <x v="6"/>
    <x v="2"/>
  </r>
  <r>
    <d v="2023-07-16T00:00:00"/>
    <x v="104"/>
    <x v="9"/>
    <x v="0"/>
    <x v="3"/>
    <n v="24.1"/>
    <n v="5"/>
    <n v="11.09"/>
    <x v="6"/>
    <x v="2"/>
  </r>
  <r>
    <d v="2023-07-16T00:00:00"/>
    <x v="104"/>
    <x v="9"/>
    <x v="2"/>
    <x v="9"/>
    <n v="75.98"/>
    <n v="2"/>
    <n v="18.239999999999998"/>
    <x v="6"/>
    <x v="2"/>
  </r>
  <r>
    <d v="2023-07-16T00:00:00"/>
    <x v="104"/>
    <x v="9"/>
    <x v="0"/>
    <x v="3"/>
    <n v="6.46"/>
    <n v="2"/>
    <n v="3.17"/>
    <x v="6"/>
    <x v="2"/>
  </r>
  <r>
    <d v="2023-07-16T00:00:00"/>
    <x v="104"/>
    <x v="9"/>
    <x v="0"/>
    <x v="0"/>
    <n v="60.12"/>
    <n v="9"/>
    <n v="28.86"/>
    <x v="6"/>
    <x v="2"/>
  </r>
  <r>
    <d v="2023-07-17T00:00:00"/>
    <x v="141"/>
    <x v="3"/>
    <x v="0"/>
    <x v="2"/>
    <n v="77.88"/>
    <n v="2"/>
    <n v="3.89"/>
    <x v="6"/>
    <x v="2"/>
  </r>
  <r>
    <d v="2023-07-17T00:00:00"/>
    <x v="212"/>
    <x v="23"/>
    <x v="0"/>
    <x v="12"/>
    <n v="162.63999999999999"/>
    <n v="2"/>
    <n v="45.54"/>
    <x v="6"/>
    <x v="2"/>
  </r>
  <r>
    <d v="2023-07-17T00:00:00"/>
    <x v="212"/>
    <x v="23"/>
    <x v="2"/>
    <x v="6"/>
    <n v="597"/>
    <n v="3"/>
    <n v="280.58999999999997"/>
    <x v="6"/>
    <x v="2"/>
  </r>
  <r>
    <d v="2023-07-17T00:00:00"/>
    <x v="212"/>
    <x v="23"/>
    <x v="0"/>
    <x v="0"/>
    <n v="55.48"/>
    <n v="1"/>
    <n v="26.63"/>
    <x v="6"/>
    <x v="2"/>
  </r>
  <r>
    <d v="2023-07-17T00:00:00"/>
    <x v="182"/>
    <x v="24"/>
    <x v="0"/>
    <x v="0"/>
    <n v="21.93"/>
    <n v="3"/>
    <n v="10.09"/>
    <x v="6"/>
    <x v="2"/>
  </r>
  <r>
    <d v="2023-07-17T00:00:00"/>
    <x v="182"/>
    <x v="24"/>
    <x v="0"/>
    <x v="2"/>
    <n v="242.94"/>
    <n v="3"/>
    <n v="4.8600000000000003"/>
    <x v="6"/>
    <x v="2"/>
  </r>
  <r>
    <d v="2023-07-17T00:00:00"/>
    <x v="182"/>
    <x v="24"/>
    <x v="0"/>
    <x v="0"/>
    <n v="7.64"/>
    <n v="1"/>
    <n v="3.74"/>
    <x v="6"/>
    <x v="2"/>
  </r>
  <r>
    <d v="2023-07-17T00:00:00"/>
    <x v="182"/>
    <x v="24"/>
    <x v="0"/>
    <x v="0"/>
    <n v="51.84"/>
    <n v="8"/>
    <n v="25.4"/>
    <x v="6"/>
    <x v="2"/>
  </r>
  <r>
    <d v="2023-07-17T00:00:00"/>
    <x v="182"/>
    <x v="24"/>
    <x v="0"/>
    <x v="2"/>
    <n v="265.17"/>
    <n v="1"/>
    <n v="47.73"/>
    <x v="6"/>
    <x v="2"/>
  </r>
  <r>
    <d v="2023-07-17T00:00:00"/>
    <x v="380"/>
    <x v="22"/>
    <x v="1"/>
    <x v="8"/>
    <n v="12.42"/>
    <n v="3"/>
    <n v="4.47"/>
    <x v="6"/>
    <x v="2"/>
  </r>
  <r>
    <d v="2023-07-17T00:00:00"/>
    <x v="380"/>
    <x v="22"/>
    <x v="2"/>
    <x v="9"/>
    <n v="428.4"/>
    <n v="3"/>
    <n v="89.96"/>
    <x v="6"/>
    <x v="2"/>
  </r>
  <r>
    <d v="2023-07-17T00:00:00"/>
    <x v="380"/>
    <x v="22"/>
    <x v="1"/>
    <x v="8"/>
    <n v="24.75"/>
    <n v="5"/>
    <n v="10.89"/>
    <x v="6"/>
    <x v="2"/>
  </r>
  <r>
    <d v="2023-07-17T00:00:00"/>
    <x v="380"/>
    <x v="22"/>
    <x v="0"/>
    <x v="1"/>
    <n v="87.71"/>
    <n v="7"/>
    <n v="41.22"/>
    <x v="6"/>
    <x v="2"/>
  </r>
  <r>
    <d v="2023-07-17T00:00:00"/>
    <x v="380"/>
    <x v="22"/>
    <x v="0"/>
    <x v="2"/>
    <n v="69.52"/>
    <n v="2"/>
    <n v="17.38"/>
    <x v="6"/>
    <x v="2"/>
  </r>
  <r>
    <d v="2023-07-17T00:00:00"/>
    <x v="380"/>
    <x v="22"/>
    <x v="2"/>
    <x v="6"/>
    <n v="20.78"/>
    <n v="2"/>
    <n v="-4.68"/>
    <x v="6"/>
    <x v="2"/>
  </r>
  <r>
    <d v="2023-07-17T00:00:00"/>
    <x v="380"/>
    <x v="22"/>
    <x v="0"/>
    <x v="3"/>
    <n v="12.82"/>
    <n v="3"/>
    <n v="4.17"/>
    <x v="6"/>
    <x v="2"/>
  </r>
  <r>
    <d v="2023-07-17T00:00:00"/>
    <x v="372"/>
    <x v="20"/>
    <x v="0"/>
    <x v="12"/>
    <n v="45.96"/>
    <n v="2"/>
    <n v="13.79"/>
    <x v="6"/>
    <x v="2"/>
  </r>
  <r>
    <d v="2023-07-18T00:00:00"/>
    <x v="637"/>
    <x v="26"/>
    <x v="1"/>
    <x v="5"/>
    <n v="544.01"/>
    <n v="3"/>
    <n v="40.799999999999997"/>
    <x v="6"/>
    <x v="2"/>
  </r>
  <r>
    <d v="2023-07-18T00:00:00"/>
    <x v="637"/>
    <x v="26"/>
    <x v="0"/>
    <x v="3"/>
    <n v="1.87"/>
    <n v="3"/>
    <n v="-1.44"/>
    <x v="6"/>
    <x v="2"/>
  </r>
  <r>
    <d v="2023-07-18T00:00:00"/>
    <x v="637"/>
    <x v="26"/>
    <x v="1"/>
    <x v="5"/>
    <n v="854.35"/>
    <n v="3"/>
    <n v="10.68"/>
    <x v="6"/>
    <x v="2"/>
  </r>
  <r>
    <d v="2023-07-18T00:00:00"/>
    <x v="637"/>
    <x v="26"/>
    <x v="0"/>
    <x v="2"/>
    <n v="593.57000000000005"/>
    <n v="2"/>
    <n v="0"/>
    <x v="6"/>
    <x v="2"/>
  </r>
  <r>
    <d v="2023-07-18T00:00:00"/>
    <x v="637"/>
    <x v="26"/>
    <x v="0"/>
    <x v="2"/>
    <n v="338.04"/>
    <n v="3"/>
    <n v="-33.799999999999997"/>
    <x v="6"/>
    <x v="2"/>
  </r>
  <r>
    <d v="2023-07-18T00:00:00"/>
    <x v="121"/>
    <x v="5"/>
    <x v="1"/>
    <x v="5"/>
    <n v="140.81"/>
    <n v="1"/>
    <n v="39.43"/>
    <x v="6"/>
    <x v="2"/>
  </r>
  <r>
    <d v="2023-07-18T00:00:00"/>
    <x v="359"/>
    <x v="12"/>
    <x v="0"/>
    <x v="14"/>
    <n v="33.799999999999997"/>
    <n v="5"/>
    <n v="4.2300000000000004"/>
    <x v="6"/>
    <x v="2"/>
  </r>
  <r>
    <d v="2023-07-18T00:00:00"/>
    <x v="743"/>
    <x v="0"/>
    <x v="2"/>
    <x v="9"/>
    <n v="15.58"/>
    <n v="3"/>
    <n v="3.31"/>
    <x v="6"/>
    <x v="2"/>
  </r>
  <r>
    <d v="2023-07-18T00:00:00"/>
    <x v="608"/>
    <x v="12"/>
    <x v="2"/>
    <x v="6"/>
    <n v="55.99"/>
    <n v="1"/>
    <n v="3.5"/>
    <x v="6"/>
    <x v="2"/>
  </r>
  <r>
    <d v="2023-07-18T00:00:00"/>
    <x v="646"/>
    <x v="2"/>
    <x v="0"/>
    <x v="4"/>
    <n v="11.26"/>
    <n v="8"/>
    <n v="1.27"/>
    <x v="6"/>
    <x v="2"/>
  </r>
  <r>
    <d v="2023-07-18T00:00:00"/>
    <x v="646"/>
    <x v="2"/>
    <x v="0"/>
    <x v="2"/>
    <n v="284.08"/>
    <n v="10"/>
    <n v="24.86"/>
    <x v="6"/>
    <x v="2"/>
  </r>
  <r>
    <d v="2023-07-18T00:00:00"/>
    <x v="646"/>
    <x v="2"/>
    <x v="0"/>
    <x v="0"/>
    <n v="18.5"/>
    <n v="4"/>
    <n v="6.7"/>
    <x v="6"/>
    <x v="2"/>
  </r>
  <r>
    <d v="2023-07-19T00:00:00"/>
    <x v="55"/>
    <x v="29"/>
    <x v="1"/>
    <x v="8"/>
    <n v="185.58"/>
    <n v="6"/>
    <n v="76.09"/>
    <x v="6"/>
    <x v="2"/>
  </r>
  <r>
    <d v="2023-07-19T00:00:00"/>
    <x v="55"/>
    <x v="29"/>
    <x v="0"/>
    <x v="3"/>
    <n v="77.56"/>
    <n v="2"/>
    <n v="35.68"/>
    <x v="6"/>
    <x v="2"/>
  </r>
  <r>
    <d v="2023-07-19T00:00:00"/>
    <x v="55"/>
    <x v="29"/>
    <x v="0"/>
    <x v="2"/>
    <n v="87.92"/>
    <n v="4"/>
    <n v="0.88"/>
    <x v="6"/>
    <x v="2"/>
  </r>
  <r>
    <d v="2023-07-19T00:00:00"/>
    <x v="55"/>
    <x v="29"/>
    <x v="0"/>
    <x v="0"/>
    <n v="245.94"/>
    <n v="6"/>
    <n v="120.51"/>
    <x v="6"/>
    <x v="2"/>
  </r>
  <r>
    <d v="2023-07-19T00:00:00"/>
    <x v="55"/>
    <x v="29"/>
    <x v="0"/>
    <x v="3"/>
    <n v="8.6"/>
    <n v="1"/>
    <n v="4.04"/>
    <x v="6"/>
    <x v="2"/>
  </r>
  <r>
    <d v="2023-07-19T00:00:00"/>
    <x v="55"/>
    <x v="29"/>
    <x v="1"/>
    <x v="11"/>
    <n v="504.9"/>
    <n v="5"/>
    <n v="126.23"/>
    <x v="6"/>
    <x v="2"/>
  </r>
  <r>
    <d v="2023-07-19T00:00:00"/>
    <x v="492"/>
    <x v="3"/>
    <x v="2"/>
    <x v="6"/>
    <n v="35.979999999999997"/>
    <n v="2"/>
    <n v="4.5"/>
    <x v="6"/>
    <x v="2"/>
  </r>
  <r>
    <d v="2023-07-19T00:00:00"/>
    <x v="492"/>
    <x v="3"/>
    <x v="2"/>
    <x v="9"/>
    <n v="389.97"/>
    <n v="3"/>
    <n v="132.59"/>
    <x v="6"/>
    <x v="2"/>
  </r>
  <r>
    <d v="2023-07-20T00:00:00"/>
    <x v="137"/>
    <x v="20"/>
    <x v="2"/>
    <x v="6"/>
    <n v="89.95"/>
    <n v="5"/>
    <n v="43.18"/>
    <x v="6"/>
    <x v="2"/>
  </r>
  <r>
    <d v="2023-07-21T00:00:00"/>
    <x v="369"/>
    <x v="2"/>
    <x v="0"/>
    <x v="3"/>
    <n v="1.94"/>
    <n v="1"/>
    <n v="-1.29"/>
    <x v="6"/>
    <x v="2"/>
  </r>
  <r>
    <d v="2023-07-21T00:00:00"/>
    <x v="739"/>
    <x v="10"/>
    <x v="0"/>
    <x v="4"/>
    <n v="18.66"/>
    <n v="2"/>
    <n v="1.4"/>
    <x v="6"/>
    <x v="2"/>
  </r>
  <r>
    <d v="2023-07-21T00:00:00"/>
    <x v="739"/>
    <x v="10"/>
    <x v="0"/>
    <x v="3"/>
    <n v="11.09"/>
    <n v="7"/>
    <n v="-8.1300000000000008"/>
    <x v="6"/>
    <x v="2"/>
  </r>
  <r>
    <d v="2023-07-21T00:00:00"/>
    <x v="739"/>
    <x v="10"/>
    <x v="0"/>
    <x v="2"/>
    <n v="66.69"/>
    <n v="1"/>
    <n v="4.17"/>
    <x v="6"/>
    <x v="2"/>
  </r>
  <r>
    <d v="2023-07-21T00:00:00"/>
    <x v="739"/>
    <x v="10"/>
    <x v="0"/>
    <x v="2"/>
    <n v="99.49"/>
    <n v="2"/>
    <n v="8.7100000000000009"/>
    <x v="6"/>
    <x v="2"/>
  </r>
  <r>
    <d v="2023-07-21T00:00:00"/>
    <x v="443"/>
    <x v="25"/>
    <x v="0"/>
    <x v="1"/>
    <n v="6.26"/>
    <n v="3"/>
    <n v="2.04"/>
    <x v="6"/>
    <x v="2"/>
  </r>
  <r>
    <d v="2023-07-21T00:00:00"/>
    <x v="443"/>
    <x v="25"/>
    <x v="1"/>
    <x v="5"/>
    <n v="363.92"/>
    <n v="5"/>
    <n v="0"/>
    <x v="6"/>
    <x v="2"/>
  </r>
  <r>
    <d v="2023-07-21T00:00:00"/>
    <x v="105"/>
    <x v="3"/>
    <x v="0"/>
    <x v="10"/>
    <n v="419.9"/>
    <n v="5"/>
    <n v="197.35"/>
    <x v="6"/>
    <x v="2"/>
  </r>
  <r>
    <d v="2023-07-21T00:00:00"/>
    <x v="105"/>
    <x v="3"/>
    <x v="0"/>
    <x v="1"/>
    <n v="3.15"/>
    <n v="1"/>
    <n v="1.51"/>
    <x v="6"/>
    <x v="2"/>
  </r>
  <r>
    <d v="2023-07-22T00:00:00"/>
    <x v="729"/>
    <x v="3"/>
    <x v="0"/>
    <x v="1"/>
    <n v="6.3"/>
    <n v="2"/>
    <n v="3.02"/>
    <x v="6"/>
    <x v="2"/>
  </r>
  <r>
    <d v="2023-07-22T00:00:00"/>
    <x v="740"/>
    <x v="2"/>
    <x v="0"/>
    <x v="4"/>
    <n v="4.16"/>
    <n v="2"/>
    <n v="0.36"/>
    <x v="6"/>
    <x v="2"/>
  </r>
  <r>
    <d v="2023-07-22T00:00:00"/>
    <x v="740"/>
    <x v="2"/>
    <x v="1"/>
    <x v="8"/>
    <n v="11.65"/>
    <n v="2"/>
    <n v="3.35"/>
    <x v="6"/>
    <x v="2"/>
  </r>
  <r>
    <d v="2023-07-22T00:00:00"/>
    <x v="380"/>
    <x v="14"/>
    <x v="2"/>
    <x v="9"/>
    <n v="109.95"/>
    <n v="1"/>
    <n v="36.28"/>
    <x v="6"/>
    <x v="2"/>
  </r>
  <r>
    <d v="2023-07-22T00:00:00"/>
    <x v="380"/>
    <x v="14"/>
    <x v="0"/>
    <x v="2"/>
    <n v="965.85"/>
    <n v="5"/>
    <n v="135.22"/>
    <x v="6"/>
    <x v="2"/>
  </r>
  <r>
    <d v="2023-07-22T00:00:00"/>
    <x v="380"/>
    <x v="14"/>
    <x v="0"/>
    <x v="4"/>
    <n v="29.2"/>
    <n v="5"/>
    <n v="10.51"/>
    <x v="6"/>
    <x v="2"/>
  </r>
  <r>
    <d v="2023-07-22T00:00:00"/>
    <x v="380"/>
    <x v="14"/>
    <x v="0"/>
    <x v="0"/>
    <n v="32.4"/>
    <n v="5"/>
    <n v="15.55"/>
    <x v="6"/>
    <x v="2"/>
  </r>
  <r>
    <d v="2023-07-22T00:00:00"/>
    <x v="61"/>
    <x v="17"/>
    <x v="0"/>
    <x v="14"/>
    <n v="86.2"/>
    <n v="5"/>
    <n v="25"/>
    <x v="6"/>
    <x v="2"/>
  </r>
  <r>
    <d v="2023-07-22T00:00:00"/>
    <x v="591"/>
    <x v="36"/>
    <x v="0"/>
    <x v="12"/>
    <n v="37.68"/>
    <n v="2"/>
    <n v="10.55"/>
    <x v="6"/>
    <x v="2"/>
  </r>
  <r>
    <d v="2023-07-22T00:00:00"/>
    <x v="591"/>
    <x v="36"/>
    <x v="0"/>
    <x v="0"/>
    <n v="51.84"/>
    <n v="8"/>
    <n v="24.88"/>
    <x v="6"/>
    <x v="2"/>
  </r>
  <r>
    <d v="2023-07-22T00:00:00"/>
    <x v="591"/>
    <x v="36"/>
    <x v="1"/>
    <x v="8"/>
    <n v="27.42"/>
    <n v="3"/>
    <n v="9.32"/>
    <x v="6"/>
    <x v="2"/>
  </r>
  <r>
    <d v="2023-07-22T00:00:00"/>
    <x v="591"/>
    <x v="36"/>
    <x v="0"/>
    <x v="3"/>
    <n v="5.4"/>
    <n v="3"/>
    <n v="2.59"/>
    <x v="6"/>
    <x v="2"/>
  </r>
  <r>
    <d v="2023-07-23T00:00:00"/>
    <x v="403"/>
    <x v="16"/>
    <x v="0"/>
    <x v="4"/>
    <n v="35.22"/>
    <n v="2"/>
    <n v="2.64"/>
    <x v="6"/>
    <x v="2"/>
  </r>
  <r>
    <d v="2023-07-23T00:00:00"/>
    <x v="403"/>
    <x v="16"/>
    <x v="0"/>
    <x v="12"/>
    <n v="23.7"/>
    <n v="2"/>
    <n v="6.52"/>
    <x v="6"/>
    <x v="2"/>
  </r>
  <r>
    <d v="2023-07-23T00:00:00"/>
    <x v="403"/>
    <x v="16"/>
    <x v="2"/>
    <x v="15"/>
    <n v="265.48"/>
    <n v="1"/>
    <n v="-111.5"/>
    <x v="6"/>
    <x v="2"/>
  </r>
  <r>
    <d v="2023-07-23T00:00:00"/>
    <x v="82"/>
    <x v="1"/>
    <x v="0"/>
    <x v="3"/>
    <n v="11.42"/>
    <n v="4"/>
    <n v="-18.84"/>
    <x v="6"/>
    <x v="2"/>
  </r>
  <r>
    <d v="2023-07-23T00:00:00"/>
    <x v="74"/>
    <x v="0"/>
    <x v="0"/>
    <x v="4"/>
    <n v="4.45"/>
    <n v="2"/>
    <n v="0.33"/>
    <x v="6"/>
    <x v="2"/>
  </r>
  <r>
    <d v="2023-07-23T00:00:00"/>
    <x v="74"/>
    <x v="0"/>
    <x v="0"/>
    <x v="0"/>
    <n v="5.18"/>
    <n v="1"/>
    <n v="1.81"/>
    <x v="6"/>
    <x v="2"/>
  </r>
  <r>
    <d v="2023-07-23T00:00:00"/>
    <x v="74"/>
    <x v="0"/>
    <x v="0"/>
    <x v="4"/>
    <n v="175.92"/>
    <n v="5"/>
    <n v="15.39"/>
    <x v="6"/>
    <x v="2"/>
  </r>
  <r>
    <d v="2023-07-23T00:00:00"/>
    <x v="74"/>
    <x v="0"/>
    <x v="0"/>
    <x v="3"/>
    <n v="4.75"/>
    <n v="4"/>
    <n v="-8.32"/>
    <x v="6"/>
    <x v="2"/>
  </r>
  <r>
    <d v="2023-07-23T00:00:00"/>
    <x v="74"/>
    <x v="0"/>
    <x v="0"/>
    <x v="14"/>
    <n v="13.34"/>
    <n v="2"/>
    <n v="1"/>
    <x v="6"/>
    <x v="2"/>
  </r>
  <r>
    <d v="2023-07-23T00:00:00"/>
    <x v="325"/>
    <x v="0"/>
    <x v="2"/>
    <x v="6"/>
    <n v="115.14"/>
    <n v="8"/>
    <n v="11.51"/>
    <x v="6"/>
    <x v="2"/>
  </r>
  <r>
    <d v="2023-07-24T00:00:00"/>
    <x v="504"/>
    <x v="20"/>
    <x v="1"/>
    <x v="5"/>
    <n v="253.76"/>
    <n v="2"/>
    <n v="31.02"/>
    <x v="6"/>
    <x v="2"/>
  </r>
  <r>
    <d v="2023-07-24T00:00:00"/>
    <x v="229"/>
    <x v="8"/>
    <x v="0"/>
    <x v="4"/>
    <n v="73.2"/>
    <n v="5"/>
    <n v="21.23"/>
    <x v="6"/>
    <x v="2"/>
  </r>
  <r>
    <d v="2023-07-25T00:00:00"/>
    <x v="42"/>
    <x v="3"/>
    <x v="0"/>
    <x v="3"/>
    <n v="119.62"/>
    <n v="8"/>
    <n v="40.369999999999997"/>
    <x v="6"/>
    <x v="2"/>
  </r>
  <r>
    <d v="2023-07-25T00:00:00"/>
    <x v="42"/>
    <x v="3"/>
    <x v="1"/>
    <x v="8"/>
    <n v="255.76"/>
    <n v="4"/>
    <n v="81.84"/>
    <x v="6"/>
    <x v="2"/>
  </r>
  <r>
    <d v="2023-07-25T00:00:00"/>
    <x v="42"/>
    <x v="3"/>
    <x v="1"/>
    <x v="5"/>
    <n v="241.57"/>
    <n v="2"/>
    <n v="18.12"/>
    <x v="6"/>
    <x v="2"/>
  </r>
  <r>
    <d v="2023-07-25T00:00:00"/>
    <x v="42"/>
    <x v="3"/>
    <x v="1"/>
    <x v="8"/>
    <n v="69.3"/>
    <n v="9"/>
    <n v="22.87"/>
    <x v="6"/>
    <x v="2"/>
  </r>
  <r>
    <d v="2023-07-25T00:00:00"/>
    <x v="710"/>
    <x v="10"/>
    <x v="2"/>
    <x v="16"/>
    <n v="1439.98"/>
    <n v="4"/>
    <n v="192"/>
    <x v="6"/>
    <x v="2"/>
  </r>
  <r>
    <d v="2023-07-25T00:00:00"/>
    <x v="768"/>
    <x v="3"/>
    <x v="0"/>
    <x v="7"/>
    <n v="21.48"/>
    <n v="6"/>
    <n v="10.74"/>
    <x v="6"/>
    <x v="2"/>
  </r>
  <r>
    <d v="2023-07-25T00:00:00"/>
    <x v="390"/>
    <x v="10"/>
    <x v="0"/>
    <x v="12"/>
    <n v="243.88"/>
    <n v="5"/>
    <n v="27.44"/>
    <x v="6"/>
    <x v="2"/>
  </r>
  <r>
    <d v="2023-07-25T00:00:00"/>
    <x v="484"/>
    <x v="0"/>
    <x v="0"/>
    <x v="1"/>
    <n v="15.71"/>
    <n v="4"/>
    <n v="5.7"/>
    <x v="6"/>
    <x v="2"/>
  </r>
  <r>
    <d v="2023-07-25T00:00:00"/>
    <x v="711"/>
    <x v="29"/>
    <x v="0"/>
    <x v="2"/>
    <n v="7.89"/>
    <n v="1"/>
    <n v="0.32"/>
    <x v="6"/>
    <x v="2"/>
  </r>
  <r>
    <d v="2023-07-25T00:00:00"/>
    <x v="711"/>
    <x v="29"/>
    <x v="0"/>
    <x v="0"/>
    <n v="65.5"/>
    <n v="5"/>
    <n v="32.1"/>
    <x v="6"/>
    <x v="2"/>
  </r>
  <r>
    <d v="2023-07-25T00:00:00"/>
    <x v="711"/>
    <x v="29"/>
    <x v="1"/>
    <x v="13"/>
    <n v="2430.08"/>
    <n v="8"/>
    <n v="388.81"/>
    <x v="6"/>
    <x v="2"/>
  </r>
  <r>
    <d v="2023-07-25T00:00:00"/>
    <x v="307"/>
    <x v="6"/>
    <x v="0"/>
    <x v="3"/>
    <n v="10.44"/>
    <n v="1"/>
    <n v="4.8"/>
    <x v="6"/>
    <x v="2"/>
  </r>
  <r>
    <d v="2023-07-25T00:00:00"/>
    <x v="734"/>
    <x v="0"/>
    <x v="0"/>
    <x v="10"/>
    <n v="20.94"/>
    <n v="1"/>
    <n v="7.07"/>
    <x v="6"/>
    <x v="2"/>
  </r>
  <r>
    <d v="2023-07-25T00:00:00"/>
    <x v="288"/>
    <x v="3"/>
    <x v="0"/>
    <x v="4"/>
    <n v="37.17"/>
    <n v="9"/>
    <n v="11.15"/>
    <x v="6"/>
    <x v="2"/>
  </r>
  <r>
    <d v="2023-07-25T00:00:00"/>
    <x v="562"/>
    <x v="21"/>
    <x v="0"/>
    <x v="0"/>
    <n v="20.62"/>
    <n v="2"/>
    <n v="9.69"/>
    <x v="6"/>
    <x v="2"/>
  </r>
  <r>
    <d v="2023-07-25T00:00:00"/>
    <x v="562"/>
    <x v="21"/>
    <x v="2"/>
    <x v="9"/>
    <n v="124.25"/>
    <n v="7"/>
    <n v="48.46"/>
    <x v="6"/>
    <x v="2"/>
  </r>
  <r>
    <d v="2023-07-25T00:00:00"/>
    <x v="562"/>
    <x v="21"/>
    <x v="2"/>
    <x v="6"/>
    <n v="297.55"/>
    <n v="5"/>
    <n v="83.31"/>
    <x v="6"/>
    <x v="2"/>
  </r>
  <r>
    <d v="2023-07-25T00:00:00"/>
    <x v="562"/>
    <x v="21"/>
    <x v="1"/>
    <x v="5"/>
    <n v="403.56"/>
    <n v="4"/>
    <n v="96.85"/>
    <x v="6"/>
    <x v="2"/>
  </r>
  <r>
    <d v="2023-07-25T00:00:00"/>
    <x v="562"/>
    <x v="21"/>
    <x v="1"/>
    <x v="8"/>
    <n v="95.2"/>
    <n v="5"/>
    <n v="27.61"/>
    <x v="6"/>
    <x v="2"/>
  </r>
  <r>
    <d v="2023-07-28T00:00:00"/>
    <x v="528"/>
    <x v="14"/>
    <x v="0"/>
    <x v="7"/>
    <n v="20.440000000000001"/>
    <n v="7"/>
    <n v="9.1999999999999993"/>
    <x v="6"/>
    <x v="2"/>
  </r>
  <r>
    <d v="2023-07-28T00:00:00"/>
    <x v="528"/>
    <x v="14"/>
    <x v="0"/>
    <x v="0"/>
    <n v="109.92"/>
    <n v="2"/>
    <n v="53.86"/>
    <x v="6"/>
    <x v="2"/>
  </r>
  <r>
    <d v="2023-07-28T00:00:00"/>
    <x v="580"/>
    <x v="3"/>
    <x v="0"/>
    <x v="1"/>
    <n v="18.899999999999999"/>
    <n v="3"/>
    <n v="8.69"/>
    <x v="6"/>
    <x v="2"/>
  </r>
  <r>
    <d v="2023-07-28T00:00:00"/>
    <x v="635"/>
    <x v="2"/>
    <x v="1"/>
    <x v="11"/>
    <n v="177.45"/>
    <n v="5"/>
    <n v="-78.08"/>
    <x v="6"/>
    <x v="2"/>
  </r>
  <r>
    <d v="2023-07-28T00:00:00"/>
    <x v="635"/>
    <x v="2"/>
    <x v="0"/>
    <x v="3"/>
    <n v="1369.76"/>
    <n v="6"/>
    <n v="-913.18"/>
    <x v="6"/>
    <x v="2"/>
  </r>
  <r>
    <d v="2023-07-28T00:00:00"/>
    <x v="635"/>
    <x v="2"/>
    <x v="0"/>
    <x v="12"/>
    <n v="9.48"/>
    <n v="3"/>
    <n v="0.71"/>
    <x v="6"/>
    <x v="2"/>
  </r>
  <r>
    <d v="2023-07-28T00:00:00"/>
    <x v="429"/>
    <x v="0"/>
    <x v="1"/>
    <x v="8"/>
    <n v="24.7"/>
    <n v="5"/>
    <n v="-9.8800000000000008"/>
    <x v="6"/>
    <x v="2"/>
  </r>
  <r>
    <d v="2023-07-28T00:00:00"/>
    <x v="429"/>
    <x v="0"/>
    <x v="1"/>
    <x v="8"/>
    <n v="302.72000000000003"/>
    <n v="5"/>
    <n v="-378.4"/>
    <x v="6"/>
    <x v="2"/>
  </r>
  <r>
    <d v="2023-07-29T00:00:00"/>
    <x v="4"/>
    <x v="2"/>
    <x v="0"/>
    <x v="2"/>
    <n v="84.78"/>
    <n v="2"/>
    <n v="-16.96"/>
    <x v="6"/>
    <x v="2"/>
  </r>
  <r>
    <d v="2023-07-29T00:00:00"/>
    <x v="517"/>
    <x v="16"/>
    <x v="0"/>
    <x v="3"/>
    <n v="2.21"/>
    <n v="3"/>
    <n v="-1.48"/>
    <x v="6"/>
    <x v="2"/>
  </r>
  <r>
    <d v="2023-07-29T00:00:00"/>
    <x v="718"/>
    <x v="25"/>
    <x v="0"/>
    <x v="2"/>
    <n v="704.76"/>
    <n v="5"/>
    <n v="26.43"/>
    <x v="6"/>
    <x v="2"/>
  </r>
  <r>
    <d v="2023-07-29T00:00:00"/>
    <x v="718"/>
    <x v="25"/>
    <x v="0"/>
    <x v="3"/>
    <n v="27.4"/>
    <n v="3"/>
    <n v="-20.09"/>
    <x v="6"/>
    <x v="2"/>
  </r>
  <r>
    <d v="2023-07-30T00:00:00"/>
    <x v="471"/>
    <x v="0"/>
    <x v="0"/>
    <x v="3"/>
    <n v="9.26"/>
    <n v="3"/>
    <n v="-13.9"/>
    <x v="6"/>
    <x v="2"/>
  </r>
  <r>
    <d v="2023-07-30T00:00:00"/>
    <x v="175"/>
    <x v="1"/>
    <x v="0"/>
    <x v="1"/>
    <n v="9.25"/>
    <n v="4"/>
    <n v="3.12"/>
    <x v="6"/>
    <x v="2"/>
  </r>
  <r>
    <d v="2023-07-30T00:00:00"/>
    <x v="175"/>
    <x v="1"/>
    <x v="0"/>
    <x v="2"/>
    <n v="1036.6199999999999"/>
    <n v="2"/>
    <n v="51.83"/>
    <x v="6"/>
    <x v="2"/>
  </r>
  <r>
    <d v="2023-07-30T00:00:00"/>
    <x v="274"/>
    <x v="3"/>
    <x v="0"/>
    <x v="12"/>
    <n v="715.64"/>
    <n v="2"/>
    <n v="178.91"/>
    <x v="6"/>
    <x v="2"/>
  </r>
  <r>
    <d v="2023-07-31T00:00:00"/>
    <x v="318"/>
    <x v="14"/>
    <x v="0"/>
    <x v="12"/>
    <n v="283.14"/>
    <n v="4"/>
    <n v="72.36"/>
    <x v="6"/>
    <x v="2"/>
  </r>
  <r>
    <d v="2023-07-31T00:00:00"/>
    <x v="318"/>
    <x v="14"/>
    <x v="2"/>
    <x v="6"/>
    <n v="635.96"/>
    <n v="4"/>
    <n v="165.35"/>
    <x v="6"/>
    <x v="2"/>
  </r>
  <r>
    <d v="2023-07-31T00:00:00"/>
    <x v="318"/>
    <x v="14"/>
    <x v="2"/>
    <x v="6"/>
    <n v="118.99"/>
    <n v="1"/>
    <n v="33.32"/>
    <x v="6"/>
    <x v="2"/>
  </r>
  <r>
    <d v="2023-07-31T00:00:00"/>
    <x v="318"/>
    <x v="14"/>
    <x v="1"/>
    <x v="8"/>
    <n v="272.94"/>
    <n v="3"/>
    <n v="30.02"/>
    <x v="6"/>
    <x v="2"/>
  </r>
  <r>
    <d v="2023-07-31T00:00:00"/>
    <x v="123"/>
    <x v="3"/>
    <x v="1"/>
    <x v="13"/>
    <n v="863.13"/>
    <n v="7"/>
    <n v="-32.369999999999997"/>
    <x v="6"/>
    <x v="2"/>
  </r>
  <r>
    <d v="2023-08-01T00:00:00"/>
    <x v="113"/>
    <x v="0"/>
    <x v="0"/>
    <x v="0"/>
    <n v="19.649999999999999"/>
    <n v="2"/>
    <n v="6.63"/>
    <x v="7"/>
    <x v="2"/>
  </r>
  <r>
    <d v="2023-08-01T00:00:00"/>
    <x v="93"/>
    <x v="3"/>
    <x v="2"/>
    <x v="6"/>
    <n v="1039.73"/>
    <n v="2"/>
    <n v="90.98"/>
    <x v="7"/>
    <x v="2"/>
  </r>
  <r>
    <d v="2023-08-01T00:00:00"/>
    <x v="93"/>
    <x v="3"/>
    <x v="0"/>
    <x v="12"/>
    <n v="45.96"/>
    <n v="2"/>
    <n v="13.79"/>
    <x v="7"/>
    <x v="2"/>
  </r>
  <r>
    <d v="2023-08-01T00:00:00"/>
    <x v="580"/>
    <x v="2"/>
    <x v="1"/>
    <x v="8"/>
    <n v="19.309999999999999"/>
    <n v="2"/>
    <n v="3.14"/>
    <x v="7"/>
    <x v="2"/>
  </r>
  <r>
    <d v="2023-08-02T00:00:00"/>
    <x v="45"/>
    <x v="3"/>
    <x v="1"/>
    <x v="13"/>
    <n v="136.46"/>
    <n v="2"/>
    <n v="15.35"/>
    <x v="7"/>
    <x v="2"/>
  </r>
  <r>
    <d v="2023-08-02T00:00:00"/>
    <x v="45"/>
    <x v="3"/>
    <x v="2"/>
    <x v="6"/>
    <n v="333.58"/>
    <n v="3"/>
    <n v="33.36"/>
    <x v="7"/>
    <x v="2"/>
  </r>
  <r>
    <d v="2023-08-02T00:00:00"/>
    <x v="45"/>
    <x v="3"/>
    <x v="0"/>
    <x v="3"/>
    <n v="12.54"/>
    <n v="2"/>
    <n v="4.7"/>
    <x v="7"/>
    <x v="2"/>
  </r>
  <r>
    <d v="2023-08-03T00:00:00"/>
    <x v="769"/>
    <x v="39"/>
    <x v="0"/>
    <x v="10"/>
    <n v="81.540000000000006"/>
    <n v="3"/>
    <n v="38.32"/>
    <x v="7"/>
    <x v="2"/>
  </r>
  <r>
    <d v="2023-08-03T00:00:00"/>
    <x v="769"/>
    <x v="39"/>
    <x v="2"/>
    <x v="9"/>
    <n v="167.28"/>
    <n v="12"/>
    <n v="23.42"/>
    <x v="7"/>
    <x v="2"/>
  </r>
  <r>
    <d v="2023-08-04T00:00:00"/>
    <x v="770"/>
    <x v="6"/>
    <x v="0"/>
    <x v="14"/>
    <n v="35.06"/>
    <n v="2"/>
    <n v="10.52"/>
    <x v="7"/>
    <x v="2"/>
  </r>
  <r>
    <d v="2023-08-04T00:00:00"/>
    <x v="770"/>
    <x v="6"/>
    <x v="0"/>
    <x v="1"/>
    <n v="4.13"/>
    <n v="1"/>
    <n v="1.9"/>
    <x v="7"/>
    <x v="2"/>
  </r>
  <r>
    <d v="2023-08-04T00:00:00"/>
    <x v="770"/>
    <x v="6"/>
    <x v="1"/>
    <x v="8"/>
    <n v="109.8"/>
    <n v="9"/>
    <n v="46.12"/>
    <x v="7"/>
    <x v="2"/>
  </r>
  <r>
    <d v="2023-08-04T00:00:00"/>
    <x v="770"/>
    <x v="6"/>
    <x v="0"/>
    <x v="1"/>
    <n v="9.82"/>
    <n v="2"/>
    <n v="4.8099999999999996"/>
    <x v="7"/>
    <x v="2"/>
  </r>
  <r>
    <d v="2023-08-04T00:00:00"/>
    <x v="565"/>
    <x v="1"/>
    <x v="0"/>
    <x v="3"/>
    <n v="3.98"/>
    <n v="5"/>
    <n v="-6.57"/>
    <x v="7"/>
    <x v="2"/>
  </r>
  <r>
    <d v="2023-08-04T00:00:00"/>
    <x v="49"/>
    <x v="3"/>
    <x v="2"/>
    <x v="6"/>
    <n v="302.38"/>
    <n v="2"/>
    <n v="30.24"/>
    <x v="7"/>
    <x v="2"/>
  </r>
  <r>
    <d v="2023-08-04T00:00:00"/>
    <x v="49"/>
    <x v="3"/>
    <x v="0"/>
    <x v="3"/>
    <n v="20.95"/>
    <n v="3"/>
    <n v="7.07"/>
    <x v="7"/>
    <x v="2"/>
  </r>
  <r>
    <d v="2023-08-04T00:00:00"/>
    <x v="49"/>
    <x v="3"/>
    <x v="0"/>
    <x v="3"/>
    <n v="11.78"/>
    <n v="3"/>
    <n v="3.98"/>
    <x v="7"/>
    <x v="2"/>
  </r>
  <r>
    <d v="2023-08-05T00:00:00"/>
    <x v="591"/>
    <x v="33"/>
    <x v="0"/>
    <x v="4"/>
    <n v="197.05"/>
    <n v="7"/>
    <n v="59.12"/>
    <x v="7"/>
    <x v="2"/>
  </r>
  <r>
    <d v="2023-08-06T00:00:00"/>
    <x v="123"/>
    <x v="20"/>
    <x v="0"/>
    <x v="0"/>
    <n v="70.88"/>
    <n v="2"/>
    <n v="33.31"/>
    <x v="7"/>
    <x v="2"/>
  </r>
  <r>
    <d v="2023-08-06T00:00:00"/>
    <x v="339"/>
    <x v="3"/>
    <x v="2"/>
    <x v="6"/>
    <n v="211.17"/>
    <n v="4"/>
    <n v="18.48"/>
    <x v="7"/>
    <x v="2"/>
  </r>
  <r>
    <d v="2023-08-06T00:00:00"/>
    <x v="272"/>
    <x v="20"/>
    <x v="0"/>
    <x v="4"/>
    <n v="38.340000000000003"/>
    <n v="9"/>
    <n v="15.72"/>
    <x v="7"/>
    <x v="2"/>
  </r>
  <r>
    <d v="2023-08-07T00:00:00"/>
    <x v="360"/>
    <x v="22"/>
    <x v="2"/>
    <x v="9"/>
    <n v="179.97"/>
    <n v="3"/>
    <n v="86.39"/>
    <x v="7"/>
    <x v="2"/>
  </r>
  <r>
    <d v="2023-08-08T00:00:00"/>
    <x v="453"/>
    <x v="0"/>
    <x v="0"/>
    <x v="7"/>
    <n v="11.17"/>
    <n v="4"/>
    <n v="3.63"/>
    <x v="7"/>
    <x v="2"/>
  </r>
  <r>
    <d v="2023-08-08T00:00:00"/>
    <x v="453"/>
    <x v="0"/>
    <x v="0"/>
    <x v="0"/>
    <n v="53.95"/>
    <n v="3"/>
    <n v="17.53"/>
    <x v="7"/>
    <x v="2"/>
  </r>
  <r>
    <d v="2023-08-08T00:00:00"/>
    <x v="619"/>
    <x v="29"/>
    <x v="0"/>
    <x v="7"/>
    <n v="23.34"/>
    <n v="3"/>
    <n v="0.23"/>
    <x v="7"/>
    <x v="2"/>
  </r>
  <r>
    <d v="2023-08-08T00:00:00"/>
    <x v="683"/>
    <x v="3"/>
    <x v="1"/>
    <x v="13"/>
    <n v="513.02"/>
    <n v="2"/>
    <n v="12.83"/>
    <x v="7"/>
    <x v="2"/>
  </r>
  <r>
    <d v="2023-08-08T00:00:00"/>
    <x v="683"/>
    <x v="3"/>
    <x v="0"/>
    <x v="12"/>
    <n v="487.92"/>
    <n v="6"/>
    <n v="136.62"/>
    <x v="7"/>
    <x v="2"/>
  </r>
  <r>
    <d v="2023-08-08T00:00:00"/>
    <x v="683"/>
    <x v="3"/>
    <x v="0"/>
    <x v="3"/>
    <n v="15.24"/>
    <n v="5"/>
    <n v="5.33"/>
    <x v="7"/>
    <x v="2"/>
  </r>
  <r>
    <d v="2023-08-08T00:00:00"/>
    <x v="309"/>
    <x v="39"/>
    <x v="0"/>
    <x v="0"/>
    <n v="10.56"/>
    <n v="2"/>
    <n v="4.75"/>
    <x v="7"/>
    <x v="2"/>
  </r>
  <r>
    <d v="2023-08-09T00:00:00"/>
    <x v="454"/>
    <x v="25"/>
    <x v="0"/>
    <x v="0"/>
    <n v="30.82"/>
    <n v="9"/>
    <n v="9.6300000000000008"/>
    <x v="7"/>
    <x v="2"/>
  </r>
  <r>
    <d v="2023-08-09T00:00:00"/>
    <x v="454"/>
    <x v="25"/>
    <x v="2"/>
    <x v="6"/>
    <n v="44.78"/>
    <n v="2"/>
    <n v="4.4800000000000004"/>
    <x v="7"/>
    <x v="2"/>
  </r>
  <r>
    <d v="2023-08-09T00:00:00"/>
    <x v="454"/>
    <x v="25"/>
    <x v="0"/>
    <x v="12"/>
    <n v="569.54"/>
    <n v="4"/>
    <n v="64.069999999999993"/>
    <x v="7"/>
    <x v="2"/>
  </r>
  <r>
    <d v="2023-08-09T00:00:00"/>
    <x v="292"/>
    <x v="15"/>
    <x v="0"/>
    <x v="3"/>
    <n v="4.34"/>
    <n v="3"/>
    <n v="-3.04"/>
    <x v="7"/>
    <x v="2"/>
  </r>
  <r>
    <d v="2023-08-09T00:00:00"/>
    <x v="292"/>
    <x v="15"/>
    <x v="0"/>
    <x v="3"/>
    <n v="11.88"/>
    <n v="5"/>
    <n v="-7.92"/>
    <x v="7"/>
    <x v="2"/>
  </r>
  <r>
    <d v="2023-08-11T00:00:00"/>
    <x v="428"/>
    <x v="39"/>
    <x v="0"/>
    <x v="0"/>
    <n v="32.4"/>
    <n v="5"/>
    <n v="15.55"/>
    <x v="7"/>
    <x v="2"/>
  </r>
  <r>
    <d v="2023-08-11T00:00:00"/>
    <x v="428"/>
    <x v="39"/>
    <x v="0"/>
    <x v="3"/>
    <n v="41.86"/>
    <n v="7"/>
    <n v="19.260000000000002"/>
    <x v="7"/>
    <x v="2"/>
  </r>
  <r>
    <d v="2023-08-11T00:00:00"/>
    <x v="428"/>
    <x v="39"/>
    <x v="0"/>
    <x v="3"/>
    <n v="77.56"/>
    <n v="2"/>
    <n v="35.68"/>
    <x v="7"/>
    <x v="2"/>
  </r>
  <r>
    <d v="2023-08-12T00:00:00"/>
    <x v="641"/>
    <x v="30"/>
    <x v="0"/>
    <x v="0"/>
    <n v="6.48"/>
    <n v="1"/>
    <n v="3.11"/>
    <x v="7"/>
    <x v="2"/>
  </r>
  <r>
    <d v="2023-08-12T00:00:00"/>
    <x v="752"/>
    <x v="0"/>
    <x v="2"/>
    <x v="9"/>
    <n v="1399.94"/>
    <n v="7"/>
    <n v="52.5"/>
    <x v="7"/>
    <x v="2"/>
  </r>
  <r>
    <d v="2023-08-12T00:00:00"/>
    <x v="288"/>
    <x v="20"/>
    <x v="1"/>
    <x v="5"/>
    <n v="145.76"/>
    <n v="2"/>
    <n v="-8.1"/>
    <x v="7"/>
    <x v="2"/>
  </r>
  <r>
    <d v="2023-08-12T00:00:00"/>
    <x v="599"/>
    <x v="16"/>
    <x v="1"/>
    <x v="13"/>
    <n v="562.29"/>
    <n v="7"/>
    <n v="-255.59"/>
    <x v="7"/>
    <x v="2"/>
  </r>
  <r>
    <d v="2023-08-12T00:00:00"/>
    <x v="377"/>
    <x v="20"/>
    <x v="1"/>
    <x v="13"/>
    <n v="209.15"/>
    <n v="2"/>
    <n v="-66.23"/>
    <x v="7"/>
    <x v="2"/>
  </r>
  <r>
    <d v="2023-08-12T00:00:00"/>
    <x v="377"/>
    <x v="20"/>
    <x v="0"/>
    <x v="2"/>
    <n v="1591.02"/>
    <n v="6"/>
    <n v="286.38"/>
    <x v="7"/>
    <x v="2"/>
  </r>
  <r>
    <d v="2023-08-12T00:00:00"/>
    <x v="35"/>
    <x v="2"/>
    <x v="0"/>
    <x v="4"/>
    <n v="37.31"/>
    <n v="4"/>
    <n v="2.8"/>
    <x v="7"/>
    <x v="2"/>
  </r>
  <r>
    <d v="2023-08-13T00:00:00"/>
    <x v="313"/>
    <x v="25"/>
    <x v="0"/>
    <x v="3"/>
    <n v="11.23"/>
    <n v="8"/>
    <n v="-8.24"/>
    <x v="7"/>
    <x v="2"/>
  </r>
  <r>
    <d v="2023-08-13T00:00:00"/>
    <x v="313"/>
    <x v="25"/>
    <x v="0"/>
    <x v="0"/>
    <n v="10.27"/>
    <n v="3"/>
    <n v="3.21"/>
    <x v="7"/>
    <x v="2"/>
  </r>
  <r>
    <d v="2023-08-13T00:00:00"/>
    <x v="161"/>
    <x v="21"/>
    <x v="1"/>
    <x v="11"/>
    <n v="241.96"/>
    <n v="2"/>
    <n v="24.2"/>
    <x v="7"/>
    <x v="2"/>
  </r>
  <r>
    <d v="2023-08-13T00:00:00"/>
    <x v="161"/>
    <x v="21"/>
    <x v="0"/>
    <x v="3"/>
    <n v="8.52"/>
    <n v="3"/>
    <n v="4.17"/>
    <x v="7"/>
    <x v="2"/>
  </r>
  <r>
    <d v="2023-08-13T00:00:00"/>
    <x v="459"/>
    <x v="8"/>
    <x v="0"/>
    <x v="12"/>
    <n v="17.34"/>
    <n v="2"/>
    <n v="4.68"/>
    <x v="7"/>
    <x v="2"/>
  </r>
  <r>
    <d v="2023-08-13T00:00:00"/>
    <x v="459"/>
    <x v="8"/>
    <x v="2"/>
    <x v="9"/>
    <n v="71.98"/>
    <n v="2"/>
    <n v="15.12"/>
    <x v="7"/>
    <x v="2"/>
  </r>
  <r>
    <d v="2023-08-13T00:00:00"/>
    <x v="503"/>
    <x v="6"/>
    <x v="0"/>
    <x v="3"/>
    <n v="22.32"/>
    <n v="4"/>
    <n v="10.71"/>
    <x v="7"/>
    <x v="2"/>
  </r>
  <r>
    <d v="2023-08-13T00:00:00"/>
    <x v="503"/>
    <x v="6"/>
    <x v="0"/>
    <x v="1"/>
    <n v="103.6"/>
    <n v="7"/>
    <n v="51.8"/>
    <x v="7"/>
    <x v="2"/>
  </r>
  <r>
    <d v="2023-08-13T00:00:00"/>
    <x v="189"/>
    <x v="0"/>
    <x v="0"/>
    <x v="14"/>
    <n v="185.38"/>
    <n v="2"/>
    <n v="-34.76"/>
    <x v="7"/>
    <x v="2"/>
  </r>
  <r>
    <d v="2023-08-13T00:00:00"/>
    <x v="189"/>
    <x v="0"/>
    <x v="0"/>
    <x v="12"/>
    <n v="58.92"/>
    <n v="1"/>
    <n v="-153.19999999999999"/>
    <x v="7"/>
    <x v="2"/>
  </r>
  <r>
    <d v="2023-08-14T00:00:00"/>
    <x v="747"/>
    <x v="3"/>
    <x v="0"/>
    <x v="0"/>
    <n v="15.54"/>
    <n v="3"/>
    <n v="7.61"/>
    <x v="7"/>
    <x v="2"/>
  </r>
  <r>
    <d v="2023-08-14T00:00:00"/>
    <x v="747"/>
    <x v="3"/>
    <x v="2"/>
    <x v="15"/>
    <n v="105.55"/>
    <n v="6"/>
    <n v="35.619999999999997"/>
    <x v="7"/>
    <x v="2"/>
  </r>
  <r>
    <d v="2023-08-14T00:00:00"/>
    <x v="546"/>
    <x v="15"/>
    <x v="0"/>
    <x v="0"/>
    <n v="15.55"/>
    <n v="3"/>
    <n v="5.44"/>
    <x v="7"/>
    <x v="2"/>
  </r>
  <r>
    <d v="2023-08-14T00:00:00"/>
    <x v="153"/>
    <x v="10"/>
    <x v="2"/>
    <x v="6"/>
    <n v="259.89999999999998"/>
    <n v="2"/>
    <n v="-56.31"/>
    <x v="7"/>
    <x v="2"/>
  </r>
  <r>
    <d v="2023-08-14T00:00:00"/>
    <x v="153"/>
    <x v="10"/>
    <x v="2"/>
    <x v="6"/>
    <n v="247.19"/>
    <n v="2"/>
    <n v="-49.44"/>
    <x v="7"/>
    <x v="2"/>
  </r>
  <r>
    <d v="2023-08-14T00:00:00"/>
    <x v="153"/>
    <x v="10"/>
    <x v="2"/>
    <x v="9"/>
    <n v="279.95999999999998"/>
    <n v="5"/>
    <n v="48.99"/>
    <x v="7"/>
    <x v="2"/>
  </r>
  <r>
    <d v="2023-08-15T00:00:00"/>
    <x v="297"/>
    <x v="26"/>
    <x v="0"/>
    <x v="3"/>
    <n v="18.88"/>
    <n v="3"/>
    <n v="-13.85"/>
    <x v="7"/>
    <x v="2"/>
  </r>
  <r>
    <d v="2023-08-15T00:00:00"/>
    <x v="297"/>
    <x v="26"/>
    <x v="0"/>
    <x v="12"/>
    <n v="122.33"/>
    <n v="3"/>
    <n v="12.23"/>
    <x v="7"/>
    <x v="2"/>
  </r>
  <r>
    <d v="2023-08-15T00:00:00"/>
    <x v="563"/>
    <x v="3"/>
    <x v="2"/>
    <x v="6"/>
    <n v="71.98"/>
    <n v="3"/>
    <n v="7.2"/>
    <x v="7"/>
    <x v="2"/>
  </r>
  <r>
    <d v="2023-08-15T00:00:00"/>
    <x v="563"/>
    <x v="3"/>
    <x v="0"/>
    <x v="1"/>
    <n v="3.15"/>
    <n v="1"/>
    <n v="1.51"/>
    <x v="7"/>
    <x v="2"/>
  </r>
  <r>
    <d v="2023-08-15T00:00:00"/>
    <x v="405"/>
    <x v="16"/>
    <x v="2"/>
    <x v="6"/>
    <n v="705.54"/>
    <n v="7"/>
    <n v="70.55"/>
    <x v="7"/>
    <x v="2"/>
  </r>
  <r>
    <d v="2023-08-15T00:00:00"/>
    <x v="757"/>
    <x v="25"/>
    <x v="1"/>
    <x v="5"/>
    <n v="225.3"/>
    <n v="2"/>
    <n v="22.53"/>
    <x v="7"/>
    <x v="2"/>
  </r>
  <r>
    <d v="2023-08-15T00:00:00"/>
    <x v="649"/>
    <x v="3"/>
    <x v="1"/>
    <x v="8"/>
    <n v="312.02999999999997"/>
    <n v="3"/>
    <n v="43.68"/>
    <x v="7"/>
    <x v="2"/>
  </r>
  <r>
    <d v="2023-08-15T00:00:00"/>
    <x v="649"/>
    <x v="3"/>
    <x v="0"/>
    <x v="2"/>
    <n v="17.940000000000001"/>
    <n v="3"/>
    <n v="3.05"/>
    <x v="7"/>
    <x v="2"/>
  </r>
  <r>
    <d v="2023-08-15T00:00:00"/>
    <x v="649"/>
    <x v="3"/>
    <x v="2"/>
    <x v="6"/>
    <n v="165.6"/>
    <n v="3"/>
    <n v="10.35"/>
    <x v="7"/>
    <x v="2"/>
  </r>
  <r>
    <d v="2023-08-15T00:00:00"/>
    <x v="649"/>
    <x v="3"/>
    <x v="0"/>
    <x v="0"/>
    <n v="37.520000000000003"/>
    <n v="4"/>
    <n v="18.010000000000002"/>
    <x v="7"/>
    <x v="2"/>
  </r>
  <r>
    <d v="2023-08-16T00:00:00"/>
    <x v="500"/>
    <x v="3"/>
    <x v="0"/>
    <x v="10"/>
    <n v="10.86"/>
    <n v="3"/>
    <n v="5.0999999999999996"/>
    <x v="7"/>
    <x v="2"/>
  </r>
  <r>
    <d v="2023-08-16T00:00:00"/>
    <x v="771"/>
    <x v="3"/>
    <x v="1"/>
    <x v="13"/>
    <n v="161.28"/>
    <n v="2"/>
    <n v="12.1"/>
    <x v="7"/>
    <x v="2"/>
  </r>
  <r>
    <d v="2023-08-16T00:00:00"/>
    <x v="355"/>
    <x v="3"/>
    <x v="0"/>
    <x v="0"/>
    <n v="32.4"/>
    <n v="5"/>
    <n v="15.55"/>
    <x v="7"/>
    <x v="2"/>
  </r>
  <r>
    <d v="2023-08-17T00:00:00"/>
    <x v="685"/>
    <x v="22"/>
    <x v="0"/>
    <x v="3"/>
    <n v="15.71"/>
    <n v="4"/>
    <n v="5.7"/>
    <x v="7"/>
    <x v="2"/>
  </r>
  <r>
    <d v="2023-08-18T00:00:00"/>
    <x v="698"/>
    <x v="20"/>
    <x v="0"/>
    <x v="12"/>
    <n v="355.32"/>
    <n v="9"/>
    <n v="99.49"/>
    <x v="7"/>
    <x v="2"/>
  </r>
  <r>
    <d v="2023-08-18T00:00:00"/>
    <x v="480"/>
    <x v="20"/>
    <x v="2"/>
    <x v="6"/>
    <n v="39.99"/>
    <n v="1"/>
    <n v="11.6"/>
    <x v="7"/>
    <x v="2"/>
  </r>
  <r>
    <d v="2023-08-18T00:00:00"/>
    <x v="40"/>
    <x v="0"/>
    <x v="0"/>
    <x v="3"/>
    <n v="2.0699999999999998"/>
    <n v="1"/>
    <n v="-3.41"/>
    <x v="7"/>
    <x v="2"/>
  </r>
  <r>
    <d v="2023-08-18T00:00:00"/>
    <x v="40"/>
    <x v="0"/>
    <x v="0"/>
    <x v="0"/>
    <n v="83.84"/>
    <n v="8"/>
    <n v="30.39"/>
    <x v="7"/>
    <x v="2"/>
  </r>
  <r>
    <d v="2023-08-18T00:00:00"/>
    <x v="338"/>
    <x v="0"/>
    <x v="1"/>
    <x v="8"/>
    <n v="9.5500000000000007"/>
    <n v="3"/>
    <n v="-3.82"/>
    <x v="7"/>
    <x v="2"/>
  </r>
  <r>
    <d v="2023-08-18T00:00:00"/>
    <x v="338"/>
    <x v="0"/>
    <x v="1"/>
    <x v="8"/>
    <n v="5.34"/>
    <n v="4"/>
    <n v="-2.14"/>
    <x v="7"/>
    <x v="2"/>
  </r>
  <r>
    <d v="2023-08-19T00:00:00"/>
    <x v="218"/>
    <x v="20"/>
    <x v="0"/>
    <x v="3"/>
    <n v="146.69"/>
    <n v="6"/>
    <n v="55.01"/>
    <x v="7"/>
    <x v="2"/>
  </r>
  <r>
    <d v="2023-08-19T00:00:00"/>
    <x v="218"/>
    <x v="20"/>
    <x v="0"/>
    <x v="3"/>
    <n v="276.77999999999997"/>
    <n v="2"/>
    <n v="89.95"/>
    <x v="7"/>
    <x v="2"/>
  </r>
  <r>
    <d v="2023-08-19T00:00:00"/>
    <x v="218"/>
    <x v="20"/>
    <x v="0"/>
    <x v="3"/>
    <n v="25.32"/>
    <n v="5"/>
    <n v="9.18"/>
    <x v="7"/>
    <x v="2"/>
  </r>
  <r>
    <d v="2023-08-20T00:00:00"/>
    <x v="233"/>
    <x v="14"/>
    <x v="2"/>
    <x v="6"/>
    <n v="14.78"/>
    <n v="2"/>
    <n v="3.99"/>
    <x v="7"/>
    <x v="2"/>
  </r>
  <r>
    <d v="2023-08-21T00:00:00"/>
    <x v="720"/>
    <x v="25"/>
    <x v="0"/>
    <x v="1"/>
    <n v="9.2200000000000006"/>
    <n v="4"/>
    <n v="3.34"/>
    <x v="7"/>
    <x v="2"/>
  </r>
  <r>
    <d v="2023-08-21T00:00:00"/>
    <x v="720"/>
    <x v="25"/>
    <x v="0"/>
    <x v="14"/>
    <n v="28.05"/>
    <n v="2"/>
    <n v="3.51"/>
    <x v="7"/>
    <x v="2"/>
  </r>
  <r>
    <d v="2023-08-21T00:00:00"/>
    <x v="81"/>
    <x v="2"/>
    <x v="1"/>
    <x v="13"/>
    <n v="815.29"/>
    <n v="9"/>
    <n v="-339.71"/>
    <x v="7"/>
    <x v="2"/>
  </r>
  <r>
    <d v="2023-08-21T00:00:00"/>
    <x v="759"/>
    <x v="3"/>
    <x v="0"/>
    <x v="3"/>
    <n v="12.67"/>
    <n v="2"/>
    <n v="4.75"/>
    <x v="7"/>
    <x v="2"/>
  </r>
  <r>
    <d v="2023-08-21T00:00:00"/>
    <x v="759"/>
    <x v="3"/>
    <x v="2"/>
    <x v="6"/>
    <n v="91.96"/>
    <n v="5"/>
    <n v="-20.69"/>
    <x v="7"/>
    <x v="2"/>
  </r>
  <r>
    <d v="2023-08-21T00:00:00"/>
    <x v="759"/>
    <x v="3"/>
    <x v="2"/>
    <x v="9"/>
    <n v="254.97"/>
    <n v="3"/>
    <n v="91.79"/>
    <x v="7"/>
    <x v="2"/>
  </r>
  <r>
    <d v="2023-08-21T00:00:00"/>
    <x v="759"/>
    <x v="3"/>
    <x v="2"/>
    <x v="6"/>
    <n v="31.98"/>
    <n v="2"/>
    <n v="-8"/>
    <x v="7"/>
    <x v="2"/>
  </r>
  <r>
    <d v="2023-08-21T00:00:00"/>
    <x v="759"/>
    <x v="3"/>
    <x v="1"/>
    <x v="13"/>
    <n v="2887.06"/>
    <n v="9"/>
    <n v="180.44"/>
    <x v="7"/>
    <x v="2"/>
  </r>
  <r>
    <d v="2023-08-21T00:00:00"/>
    <x v="759"/>
    <x v="3"/>
    <x v="0"/>
    <x v="0"/>
    <n v="12.96"/>
    <n v="2"/>
    <n v="6.22"/>
    <x v="7"/>
    <x v="2"/>
  </r>
  <r>
    <d v="2023-08-21T00:00:00"/>
    <x v="759"/>
    <x v="3"/>
    <x v="0"/>
    <x v="0"/>
    <n v="47.52"/>
    <n v="9"/>
    <n v="21.38"/>
    <x v="7"/>
    <x v="2"/>
  </r>
  <r>
    <d v="2023-08-21T00:00:00"/>
    <x v="468"/>
    <x v="22"/>
    <x v="0"/>
    <x v="3"/>
    <n v="33.44"/>
    <n v="10"/>
    <n v="11.7"/>
    <x v="7"/>
    <x v="2"/>
  </r>
  <r>
    <d v="2023-08-21T00:00:00"/>
    <x v="144"/>
    <x v="20"/>
    <x v="1"/>
    <x v="5"/>
    <n v="573.16999999999996"/>
    <n v="7"/>
    <n v="63.69"/>
    <x v="7"/>
    <x v="2"/>
  </r>
  <r>
    <d v="2023-08-22T00:00:00"/>
    <x v="353"/>
    <x v="10"/>
    <x v="0"/>
    <x v="12"/>
    <n v="113.55"/>
    <n v="2"/>
    <n v="8.52"/>
    <x v="7"/>
    <x v="2"/>
  </r>
  <r>
    <d v="2023-08-22T00:00:00"/>
    <x v="353"/>
    <x v="10"/>
    <x v="0"/>
    <x v="3"/>
    <n v="3.32"/>
    <n v="2"/>
    <n v="-2.65"/>
    <x v="7"/>
    <x v="2"/>
  </r>
  <r>
    <d v="2023-08-22T00:00:00"/>
    <x v="353"/>
    <x v="10"/>
    <x v="0"/>
    <x v="10"/>
    <n v="134.29"/>
    <n v="2"/>
    <n v="45.32"/>
    <x v="7"/>
    <x v="2"/>
  </r>
  <r>
    <d v="2023-08-22T00:00:00"/>
    <x v="118"/>
    <x v="0"/>
    <x v="0"/>
    <x v="3"/>
    <n v="4.3099999999999996"/>
    <n v="2"/>
    <n v="-6.9"/>
    <x v="7"/>
    <x v="2"/>
  </r>
  <r>
    <d v="2023-08-22T00:00:00"/>
    <x v="320"/>
    <x v="11"/>
    <x v="0"/>
    <x v="3"/>
    <n v="26.35"/>
    <n v="8"/>
    <n v="-18.45"/>
    <x v="7"/>
    <x v="2"/>
  </r>
  <r>
    <d v="2023-08-22T00:00:00"/>
    <x v="486"/>
    <x v="22"/>
    <x v="0"/>
    <x v="0"/>
    <n v="19.440000000000001"/>
    <n v="3"/>
    <n v="9.33"/>
    <x v="7"/>
    <x v="2"/>
  </r>
  <r>
    <d v="2023-08-22T00:00:00"/>
    <x v="529"/>
    <x v="26"/>
    <x v="1"/>
    <x v="8"/>
    <n v="98.33"/>
    <n v="3"/>
    <n v="9.83"/>
    <x v="7"/>
    <x v="2"/>
  </r>
  <r>
    <d v="2023-08-22T00:00:00"/>
    <x v="203"/>
    <x v="3"/>
    <x v="0"/>
    <x v="4"/>
    <n v="5.76"/>
    <n v="2"/>
    <n v="1.67"/>
    <x v="7"/>
    <x v="2"/>
  </r>
  <r>
    <d v="2023-08-23T00:00:00"/>
    <x v="772"/>
    <x v="0"/>
    <x v="0"/>
    <x v="2"/>
    <n v="727.3"/>
    <n v="8"/>
    <n v="-172.73"/>
    <x v="7"/>
    <x v="2"/>
  </r>
  <r>
    <d v="2023-08-23T00:00:00"/>
    <x v="772"/>
    <x v="0"/>
    <x v="1"/>
    <x v="8"/>
    <n v="22.61"/>
    <n v="3"/>
    <n v="-10.17"/>
    <x v="7"/>
    <x v="2"/>
  </r>
  <r>
    <d v="2023-08-23T00:00:00"/>
    <x v="772"/>
    <x v="0"/>
    <x v="2"/>
    <x v="9"/>
    <n v="666.4"/>
    <n v="7"/>
    <n v="-33.32"/>
    <x v="7"/>
    <x v="2"/>
  </r>
  <r>
    <d v="2023-08-23T00:00:00"/>
    <x v="282"/>
    <x v="22"/>
    <x v="2"/>
    <x v="15"/>
    <n v="837.6"/>
    <n v="3"/>
    <n v="62.82"/>
    <x v="7"/>
    <x v="2"/>
  </r>
  <r>
    <d v="2023-08-23T00:00:00"/>
    <x v="282"/>
    <x v="22"/>
    <x v="0"/>
    <x v="10"/>
    <n v="135.9"/>
    <n v="5"/>
    <n v="63.87"/>
    <x v="7"/>
    <x v="2"/>
  </r>
  <r>
    <d v="2023-08-23T00:00:00"/>
    <x v="282"/>
    <x v="22"/>
    <x v="0"/>
    <x v="0"/>
    <n v="34.68"/>
    <n v="6"/>
    <n v="16.989999999999998"/>
    <x v="7"/>
    <x v="2"/>
  </r>
  <r>
    <d v="2023-08-23T00:00:00"/>
    <x v="282"/>
    <x v="22"/>
    <x v="1"/>
    <x v="5"/>
    <n v="532.70000000000005"/>
    <n v="6"/>
    <n v="-39.950000000000003"/>
    <x v="7"/>
    <x v="2"/>
  </r>
  <r>
    <d v="2023-08-23T00:00:00"/>
    <x v="282"/>
    <x v="22"/>
    <x v="0"/>
    <x v="12"/>
    <n v="43.1"/>
    <n v="5"/>
    <n v="11.21"/>
    <x v="7"/>
    <x v="2"/>
  </r>
  <r>
    <d v="2023-08-23T00:00:00"/>
    <x v="282"/>
    <x v="22"/>
    <x v="0"/>
    <x v="14"/>
    <n v="15.88"/>
    <n v="4"/>
    <n v="0.16"/>
    <x v="7"/>
    <x v="2"/>
  </r>
  <r>
    <d v="2023-08-23T00:00:00"/>
    <x v="359"/>
    <x v="20"/>
    <x v="0"/>
    <x v="4"/>
    <n v="21.3"/>
    <n v="5"/>
    <n v="8.73"/>
    <x v="7"/>
    <x v="2"/>
  </r>
  <r>
    <d v="2023-08-23T00:00:00"/>
    <x v="359"/>
    <x v="20"/>
    <x v="0"/>
    <x v="12"/>
    <n v="1040.8"/>
    <n v="5"/>
    <n v="281.02"/>
    <x v="7"/>
    <x v="2"/>
  </r>
  <r>
    <d v="2023-08-23T00:00:00"/>
    <x v="359"/>
    <x v="20"/>
    <x v="0"/>
    <x v="4"/>
    <n v="29.34"/>
    <n v="6"/>
    <n v="7.92"/>
    <x v="7"/>
    <x v="2"/>
  </r>
  <r>
    <d v="2023-08-23T00:00:00"/>
    <x v="338"/>
    <x v="21"/>
    <x v="0"/>
    <x v="1"/>
    <n v="25.2"/>
    <n v="4"/>
    <n v="11.59"/>
    <x v="7"/>
    <x v="2"/>
  </r>
  <r>
    <d v="2023-08-23T00:00:00"/>
    <x v="338"/>
    <x v="21"/>
    <x v="0"/>
    <x v="1"/>
    <n v="37.590000000000003"/>
    <n v="3"/>
    <n v="17.670000000000002"/>
    <x v="7"/>
    <x v="2"/>
  </r>
  <r>
    <d v="2023-08-23T00:00:00"/>
    <x v="338"/>
    <x v="21"/>
    <x v="0"/>
    <x v="2"/>
    <n v="14.97"/>
    <n v="1"/>
    <n v="4.1900000000000004"/>
    <x v="7"/>
    <x v="2"/>
  </r>
  <r>
    <d v="2023-08-23T00:00:00"/>
    <x v="338"/>
    <x v="21"/>
    <x v="2"/>
    <x v="9"/>
    <n v="1.98"/>
    <n v="2"/>
    <n v="0.89"/>
    <x v="7"/>
    <x v="2"/>
  </r>
  <r>
    <d v="2023-08-26T00:00:00"/>
    <x v="334"/>
    <x v="3"/>
    <x v="0"/>
    <x v="7"/>
    <n v="10.23"/>
    <n v="3"/>
    <n v="4.91"/>
    <x v="7"/>
    <x v="2"/>
  </r>
  <r>
    <d v="2023-08-26T00:00:00"/>
    <x v="334"/>
    <x v="3"/>
    <x v="0"/>
    <x v="0"/>
    <n v="154.9"/>
    <n v="5"/>
    <n v="69.709999999999994"/>
    <x v="7"/>
    <x v="2"/>
  </r>
  <r>
    <d v="2023-08-26T00:00:00"/>
    <x v="49"/>
    <x v="0"/>
    <x v="2"/>
    <x v="9"/>
    <n v="159.97999999999999"/>
    <n v="2"/>
    <n v="44"/>
    <x v="7"/>
    <x v="2"/>
  </r>
  <r>
    <d v="2023-08-26T00:00:00"/>
    <x v="49"/>
    <x v="0"/>
    <x v="1"/>
    <x v="5"/>
    <n v="1024.72"/>
    <n v="6"/>
    <n v="-29.28"/>
    <x v="7"/>
    <x v="2"/>
  </r>
  <r>
    <d v="2023-08-26T00:00:00"/>
    <x v="309"/>
    <x v="22"/>
    <x v="0"/>
    <x v="0"/>
    <n v="6.48"/>
    <n v="1"/>
    <n v="3.11"/>
    <x v="7"/>
    <x v="2"/>
  </r>
  <r>
    <d v="2023-08-26T00:00:00"/>
    <x v="351"/>
    <x v="3"/>
    <x v="1"/>
    <x v="5"/>
    <n v="1603.14"/>
    <n v="4"/>
    <n v="100.2"/>
    <x v="7"/>
    <x v="2"/>
  </r>
  <r>
    <d v="2023-08-26T00:00:00"/>
    <x v="422"/>
    <x v="2"/>
    <x v="0"/>
    <x v="4"/>
    <n v="5.47"/>
    <n v="3"/>
    <n v="1.64"/>
    <x v="7"/>
    <x v="2"/>
  </r>
  <r>
    <d v="2023-08-26T00:00:00"/>
    <x v="422"/>
    <x v="2"/>
    <x v="2"/>
    <x v="9"/>
    <n v="47.98"/>
    <n v="2"/>
    <n v="13.2"/>
    <x v="7"/>
    <x v="2"/>
  </r>
  <r>
    <d v="2023-08-26T00:00:00"/>
    <x v="324"/>
    <x v="3"/>
    <x v="0"/>
    <x v="4"/>
    <n v="8.26"/>
    <n v="2"/>
    <n v="3.8"/>
    <x v="7"/>
    <x v="2"/>
  </r>
  <r>
    <d v="2023-08-26T00:00:00"/>
    <x v="696"/>
    <x v="20"/>
    <x v="2"/>
    <x v="6"/>
    <n v="33"/>
    <n v="6"/>
    <n v="8.25"/>
    <x v="7"/>
    <x v="2"/>
  </r>
  <r>
    <d v="2023-08-26T00:00:00"/>
    <x v="696"/>
    <x v="20"/>
    <x v="2"/>
    <x v="9"/>
    <n v="249.95"/>
    <n v="5"/>
    <n v="87.48"/>
    <x v="7"/>
    <x v="2"/>
  </r>
  <r>
    <d v="2023-08-26T00:00:00"/>
    <x v="301"/>
    <x v="21"/>
    <x v="2"/>
    <x v="9"/>
    <n v="47.97"/>
    <n v="3"/>
    <n v="14.87"/>
    <x v="7"/>
    <x v="2"/>
  </r>
  <r>
    <d v="2023-08-26T00:00:00"/>
    <x v="182"/>
    <x v="14"/>
    <x v="0"/>
    <x v="0"/>
    <n v="11.56"/>
    <n v="2"/>
    <n v="5.66"/>
    <x v="7"/>
    <x v="2"/>
  </r>
  <r>
    <d v="2023-08-26T00:00:00"/>
    <x v="182"/>
    <x v="14"/>
    <x v="2"/>
    <x v="6"/>
    <n v="209.97"/>
    <n v="3"/>
    <n v="58.79"/>
    <x v="7"/>
    <x v="2"/>
  </r>
  <r>
    <d v="2023-08-26T00:00:00"/>
    <x v="182"/>
    <x v="14"/>
    <x v="1"/>
    <x v="13"/>
    <n v="447.84"/>
    <n v="4"/>
    <n v="98.52"/>
    <x v="7"/>
    <x v="2"/>
  </r>
  <r>
    <d v="2023-08-26T00:00:00"/>
    <x v="182"/>
    <x v="14"/>
    <x v="2"/>
    <x v="9"/>
    <n v="479.97"/>
    <n v="3"/>
    <n v="163.19"/>
    <x v="7"/>
    <x v="2"/>
  </r>
  <r>
    <d v="2023-08-26T00:00:00"/>
    <x v="182"/>
    <x v="14"/>
    <x v="0"/>
    <x v="4"/>
    <n v="8.64"/>
    <n v="3"/>
    <n v="2.5099999999999998"/>
    <x v="7"/>
    <x v="2"/>
  </r>
  <r>
    <d v="2023-08-26T00:00:00"/>
    <x v="21"/>
    <x v="4"/>
    <x v="1"/>
    <x v="8"/>
    <n v="186.54"/>
    <n v="3"/>
    <n v="41.04"/>
    <x v="7"/>
    <x v="2"/>
  </r>
  <r>
    <d v="2023-08-26T00:00:00"/>
    <x v="687"/>
    <x v="20"/>
    <x v="0"/>
    <x v="3"/>
    <n v="146.69"/>
    <n v="8"/>
    <n v="45.84"/>
    <x v="7"/>
    <x v="2"/>
  </r>
  <r>
    <d v="2023-08-26T00:00:00"/>
    <x v="642"/>
    <x v="16"/>
    <x v="0"/>
    <x v="0"/>
    <n v="31.01"/>
    <n v="1"/>
    <n v="11.24"/>
    <x v="7"/>
    <x v="2"/>
  </r>
  <r>
    <d v="2023-08-27T00:00:00"/>
    <x v="567"/>
    <x v="0"/>
    <x v="0"/>
    <x v="14"/>
    <n v="51.52"/>
    <n v="5"/>
    <n v="-10.95"/>
    <x v="7"/>
    <x v="2"/>
  </r>
  <r>
    <d v="2023-08-27T00:00:00"/>
    <x v="567"/>
    <x v="0"/>
    <x v="0"/>
    <x v="0"/>
    <n v="3.53"/>
    <n v="1"/>
    <n v="1.1499999999999999"/>
    <x v="7"/>
    <x v="2"/>
  </r>
  <r>
    <d v="2023-08-27T00:00:00"/>
    <x v="567"/>
    <x v="0"/>
    <x v="0"/>
    <x v="0"/>
    <n v="4.62"/>
    <n v="1"/>
    <n v="1.68"/>
    <x v="7"/>
    <x v="2"/>
  </r>
  <r>
    <d v="2023-08-27T00:00:00"/>
    <x v="567"/>
    <x v="0"/>
    <x v="0"/>
    <x v="14"/>
    <n v="55.17"/>
    <n v="4"/>
    <n v="6.21"/>
    <x v="7"/>
    <x v="2"/>
  </r>
  <r>
    <d v="2023-08-27T00:00:00"/>
    <x v="764"/>
    <x v="32"/>
    <x v="0"/>
    <x v="0"/>
    <n v="122.97"/>
    <n v="3"/>
    <n v="60.26"/>
    <x v="7"/>
    <x v="2"/>
  </r>
  <r>
    <d v="2023-08-27T00:00:00"/>
    <x v="764"/>
    <x v="32"/>
    <x v="1"/>
    <x v="13"/>
    <n v="244.62"/>
    <n v="1"/>
    <n v="20.97"/>
    <x v="7"/>
    <x v="2"/>
  </r>
  <r>
    <d v="2023-08-27T00:00:00"/>
    <x v="764"/>
    <x v="32"/>
    <x v="2"/>
    <x v="6"/>
    <n v="59.97"/>
    <n v="3"/>
    <n v="28.79"/>
    <x v="7"/>
    <x v="2"/>
  </r>
  <r>
    <d v="2023-08-27T00:00:00"/>
    <x v="764"/>
    <x v="32"/>
    <x v="0"/>
    <x v="0"/>
    <n v="81.540000000000006"/>
    <n v="9"/>
    <n v="36.69"/>
    <x v="7"/>
    <x v="2"/>
  </r>
  <r>
    <d v="2023-08-27T00:00:00"/>
    <x v="764"/>
    <x v="32"/>
    <x v="0"/>
    <x v="7"/>
    <n v="11.68"/>
    <n v="4"/>
    <n v="5.26"/>
    <x v="7"/>
    <x v="2"/>
  </r>
  <r>
    <d v="2023-08-27T00:00:00"/>
    <x v="764"/>
    <x v="32"/>
    <x v="0"/>
    <x v="3"/>
    <n v="29"/>
    <n v="5"/>
    <n v="13.92"/>
    <x v="7"/>
    <x v="2"/>
  </r>
  <r>
    <d v="2023-08-27T00:00:00"/>
    <x v="735"/>
    <x v="0"/>
    <x v="0"/>
    <x v="2"/>
    <n v="14.16"/>
    <n v="1"/>
    <n v="1.06"/>
    <x v="7"/>
    <x v="2"/>
  </r>
  <r>
    <d v="2023-08-27T00:00:00"/>
    <x v="735"/>
    <x v="0"/>
    <x v="0"/>
    <x v="0"/>
    <n v="79.92"/>
    <n v="5"/>
    <n v="27.97"/>
    <x v="7"/>
    <x v="2"/>
  </r>
  <r>
    <d v="2023-08-27T00:00:00"/>
    <x v="551"/>
    <x v="16"/>
    <x v="0"/>
    <x v="1"/>
    <n v="9.2200000000000006"/>
    <n v="4"/>
    <n v="3.34"/>
    <x v="7"/>
    <x v="2"/>
  </r>
  <r>
    <d v="2023-08-28T00:00:00"/>
    <x v="330"/>
    <x v="26"/>
    <x v="0"/>
    <x v="0"/>
    <n v="15.48"/>
    <n v="3"/>
    <n v="5.61"/>
    <x v="7"/>
    <x v="2"/>
  </r>
  <r>
    <d v="2023-08-28T00:00:00"/>
    <x v="330"/>
    <x v="26"/>
    <x v="2"/>
    <x v="6"/>
    <n v="108.58"/>
    <n v="3"/>
    <n v="8.14"/>
    <x v="7"/>
    <x v="2"/>
  </r>
  <r>
    <d v="2023-08-28T00:00:00"/>
    <x v="717"/>
    <x v="0"/>
    <x v="0"/>
    <x v="3"/>
    <n v="13.14"/>
    <n v="9"/>
    <n v="-21.68"/>
    <x v="7"/>
    <x v="2"/>
  </r>
  <r>
    <d v="2023-08-28T00:00:00"/>
    <x v="717"/>
    <x v="0"/>
    <x v="0"/>
    <x v="3"/>
    <n v="10.02"/>
    <n v="4"/>
    <n v="-16.54"/>
    <x v="7"/>
    <x v="2"/>
  </r>
  <r>
    <d v="2023-08-28T00:00:00"/>
    <x v="717"/>
    <x v="0"/>
    <x v="1"/>
    <x v="11"/>
    <n v="156.37"/>
    <n v="2"/>
    <n v="-52.89"/>
    <x v="7"/>
    <x v="2"/>
  </r>
  <r>
    <d v="2023-08-28T00:00:00"/>
    <x v="615"/>
    <x v="10"/>
    <x v="0"/>
    <x v="3"/>
    <n v="18.43"/>
    <n v="8"/>
    <n v="-12.29"/>
    <x v="7"/>
    <x v="2"/>
  </r>
  <r>
    <d v="2023-08-29T00:00:00"/>
    <x v="81"/>
    <x v="1"/>
    <x v="0"/>
    <x v="0"/>
    <n v="64.62"/>
    <n v="7"/>
    <n v="22.62"/>
    <x v="7"/>
    <x v="2"/>
  </r>
  <r>
    <d v="2023-08-29T00:00:00"/>
    <x v="81"/>
    <x v="1"/>
    <x v="2"/>
    <x v="9"/>
    <n v="95.98"/>
    <n v="3"/>
    <n v="-10.8"/>
    <x v="7"/>
    <x v="2"/>
  </r>
  <r>
    <d v="2023-08-29T00:00:00"/>
    <x v="81"/>
    <x v="1"/>
    <x v="0"/>
    <x v="3"/>
    <n v="1.79"/>
    <n v="3"/>
    <n v="-3.04"/>
    <x v="7"/>
    <x v="2"/>
  </r>
  <r>
    <d v="2023-08-29T00:00:00"/>
    <x v="692"/>
    <x v="38"/>
    <x v="0"/>
    <x v="14"/>
    <n v="27.93"/>
    <n v="3"/>
    <n v="8.1"/>
    <x v="7"/>
    <x v="2"/>
  </r>
  <r>
    <d v="2023-08-29T00:00:00"/>
    <x v="690"/>
    <x v="20"/>
    <x v="2"/>
    <x v="6"/>
    <n v="22"/>
    <n v="4"/>
    <n v="5.5"/>
    <x v="7"/>
    <x v="2"/>
  </r>
  <r>
    <d v="2023-08-29T00:00:00"/>
    <x v="169"/>
    <x v="2"/>
    <x v="1"/>
    <x v="13"/>
    <n v="241.92"/>
    <n v="4"/>
    <n v="-56.45"/>
    <x v="7"/>
    <x v="2"/>
  </r>
  <r>
    <d v="2023-08-29T00:00:00"/>
    <x v="169"/>
    <x v="2"/>
    <x v="1"/>
    <x v="11"/>
    <n v="163.88"/>
    <n v="4"/>
    <n v="-81.94"/>
    <x v="7"/>
    <x v="2"/>
  </r>
  <r>
    <d v="2023-08-29T00:00:00"/>
    <x v="169"/>
    <x v="2"/>
    <x v="0"/>
    <x v="3"/>
    <n v="3.49"/>
    <n v="2"/>
    <n v="-2.79"/>
    <x v="7"/>
    <x v="2"/>
  </r>
  <r>
    <d v="2023-08-29T00:00:00"/>
    <x v="169"/>
    <x v="2"/>
    <x v="0"/>
    <x v="7"/>
    <n v="10.58"/>
    <n v="7"/>
    <n v="-2.38"/>
    <x v="7"/>
    <x v="2"/>
  </r>
  <r>
    <d v="2023-08-30T00:00:00"/>
    <x v="487"/>
    <x v="2"/>
    <x v="2"/>
    <x v="6"/>
    <n v="290.89999999999998"/>
    <n v="3"/>
    <n v="-67.88"/>
    <x v="7"/>
    <x v="2"/>
  </r>
  <r>
    <d v="2023-08-30T00:00:00"/>
    <x v="487"/>
    <x v="2"/>
    <x v="0"/>
    <x v="2"/>
    <n v="54.22"/>
    <n v="2"/>
    <n v="3.39"/>
    <x v="7"/>
    <x v="2"/>
  </r>
  <r>
    <d v="2023-08-30T00:00:00"/>
    <x v="487"/>
    <x v="2"/>
    <x v="1"/>
    <x v="5"/>
    <n v="786.74"/>
    <n v="4"/>
    <n v="-258.5"/>
    <x v="7"/>
    <x v="2"/>
  </r>
  <r>
    <d v="2023-08-30T00:00:00"/>
    <x v="487"/>
    <x v="2"/>
    <x v="0"/>
    <x v="1"/>
    <n v="100.24"/>
    <n v="10"/>
    <n v="33.83"/>
    <x v="7"/>
    <x v="2"/>
  </r>
  <r>
    <d v="2023-08-30T00:00:00"/>
    <x v="487"/>
    <x v="2"/>
    <x v="0"/>
    <x v="3"/>
    <n v="37.76"/>
    <n v="6"/>
    <n v="-27.69"/>
    <x v="7"/>
    <x v="2"/>
  </r>
  <r>
    <d v="2023-08-30T00:00:00"/>
    <x v="100"/>
    <x v="3"/>
    <x v="1"/>
    <x v="8"/>
    <n v="47.04"/>
    <n v="4"/>
    <n v="15.99"/>
    <x v="7"/>
    <x v="2"/>
  </r>
  <r>
    <d v="2023-08-30T00:00:00"/>
    <x v="100"/>
    <x v="3"/>
    <x v="2"/>
    <x v="6"/>
    <n v="339.96"/>
    <n v="5"/>
    <n v="42.5"/>
    <x v="7"/>
    <x v="2"/>
  </r>
  <r>
    <d v="2023-08-31T00:00:00"/>
    <x v="633"/>
    <x v="0"/>
    <x v="0"/>
    <x v="2"/>
    <n v="23.97"/>
    <n v="2"/>
    <n v="2.4"/>
    <x v="7"/>
    <x v="2"/>
  </r>
  <r>
    <d v="2023-09-01T00:00:00"/>
    <x v="692"/>
    <x v="20"/>
    <x v="2"/>
    <x v="9"/>
    <n v="6.79"/>
    <n v="1"/>
    <n v="2.31"/>
    <x v="8"/>
    <x v="2"/>
  </r>
  <r>
    <d v="2023-09-01T00:00:00"/>
    <x v="692"/>
    <x v="20"/>
    <x v="0"/>
    <x v="0"/>
    <n v="24.56"/>
    <n v="2"/>
    <n v="11.54"/>
    <x v="8"/>
    <x v="2"/>
  </r>
  <r>
    <d v="2023-09-01T00:00:00"/>
    <x v="692"/>
    <x v="20"/>
    <x v="0"/>
    <x v="3"/>
    <n v="3.05"/>
    <n v="1"/>
    <n v="1.07"/>
    <x v="8"/>
    <x v="2"/>
  </r>
  <r>
    <d v="2023-09-01T00:00:00"/>
    <x v="692"/>
    <x v="20"/>
    <x v="0"/>
    <x v="0"/>
    <n v="49.12"/>
    <n v="4"/>
    <n v="23.09"/>
    <x v="8"/>
    <x v="2"/>
  </r>
  <r>
    <d v="2023-09-01T00:00:00"/>
    <x v="692"/>
    <x v="20"/>
    <x v="0"/>
    <x v="3"/>
    <n v="4355.17"/>
    <n v="4"/>
    <n v="1415.43"/>
    <x v="8"/>
    <x v="2"/>
  </r>
  <r>
    <d v="2023-09-01T00:00:00"/>
    <x v="755"/>
    <x v="3"/>
    <x v="0"/>
    <x v="10"/>
    <n v="21.88"/>
    <n v="2"/>
    <n v="10.94"/>
    <x v="8"/>
    <x v="2"/>
  </r>
  <r>
    <d v="2023-09-01T00:00:00"/>
    <x v="78"/>
    <x v="2"/>
    <x v="0"/>
    <x v="0"/>
    <n v="30.48"/>
    <n v="6"/>
    <n v="9.91"/>
    <x v="8"/>
    <x v="2"/>
  </r>
  <r>
    <d v="2023-09-01T00:00:00"/>
    <x v="78"/>
    <x v="2"/>
    <x v="2"/>
    <x v="6"/>
    <n v="23.99"/>
    <n v="2"/>
    <n v="-4.8"/>
    <x v="8"/>
    <x v="2"/>
  </r>
  <r>
    <d v="2023-09-01T00:00:00"/>
    <x v="78"/>
    <x v="2"/>
    <x v="0"/>
    <x v="7"/>
    <n v="16.690000000000001"/>
    <n v="7"/>
    <n v="5.42"/>
    <x v="8"/>
    <x v="2"/>
  </r>
  <r>
    <d v="2023-09-01T00:00:00"/>
    <x v="190"/>
    <x v="20"/>
    <x v="2"/>
    <x v="9"/>
    <n v="468.9"/>
    <n v="6"/>
    <n v="206.32"/>
    <x v="8"/>
    <x v="2"/>
  </r>
  <r>
    <d v="2023-09-01T00:00:00"/>
    <x v="190"/>
    <x v="20"/>
    <x v="2"/>
    <x v="9"/>
    <n v="72.48"/>
    <n v="2"/>
    <n v="30.44"/>
    <x v="8"/>
    <x v="2"/>
  </r>
  <r>
    <d v="2023-09-01T00:00:00"/>
    <x v="190"/>
    <x v="20"/>
    <x v="0"/>
    <x v="14"/>
    <n v="10.95"/>
    <n v="3"/>
    <n v="3.29"/>
    <x v="8"/>
    <x v="2"/>
  </r>
  <r>
    <d v="2023-09-01T00:00:00"/>
    <x v="190"/>
    <x v="20"/>
    <x v="1"/>
    <x v="8"/>
    <n v="191.82"/>
    <n v="3"/>
    <n v="61.38"/>
    <x v="8"/>
    <x v="2"/>
  </r>
  <r>
    <d v="2023-09-01T00:00:00"/>
    <x v="409"/>
    <x v="14"/>
    <x v="0"/>
    <x v="3"/>
    <n v="24.1"/>
    <n v="5"/>
    <n v="11.09"/>
    <x v="8"/>
    <x v="2"/>
  </r>
  <r>
    <d v="2023-09-01T00:00:00"/>
    <x v="409"/>
    <x v="14"/>
    <x v="2"/>
    <x v="6"/>
    <n v="8.7799999999999994"/>
    <n v="1"/>
    <n v="2.2799999999999998"/>
    <x v="8"/>
    <x v="2"/>
  </r>
  <r>
    <d v="2023-09-01T00:00:00"/>
    <x v="409"/>
    <x v="14"/>
    <x v="0"/>
    <x v="12"/>
    <n v="376.74"/>
    <n v="4"/>
    <n v="71.16"/>
    <x v="8"/>
    <x v="2"/>
  </r>
  <r>
    <d v="2023-09-01T00:00:00"/>
    <x v="409"/>
    <x v="14"/>
    <x v="0"/>
    <x v="3"/>
    <n v="29.52"/>
    <n v="4"/>
    <n v="14.46"/>
    <x v="8"/>
    <x v="2"/>
  </r>
  <r>
    <d v="2023-09-01T00:00:00"/>
    <x v="409"/>
    <x v="14"/>
    <x v="0"/>
    <x v="4"/>
    <n v="11.96"/>
    <n v="2"/>
    <n v="2.99"/>
    <x v="8"/>
    <x v="2"/>
  </r>
  <r>
    <d v="2023-09-01T00:00:00"/>
    <x v="409"/>
    <x v="14"/>
    <x v="0"/>
    <x v="3"/>
    <n v="26.4"/>
    <n v="5"/>
    <n v="12.67"/>
    <x v="8"/>
    <x v="2"/>
  </r>
  <r>
    <d v="2023-09-01T00:00:00"/>
    <x v="162"/>
    <x v="3"/>
    <x v="0"/>
    <x v="10"/>
    <n v="12.78"/>
    <n v="1"/>
    <n v="5.75"/>
    <x v="8"/>
    <x v="2"/>
  </r>
  <r>
    <d v="2023-09-02T00:00:00"/>
    <x v="502"/>
    <x v="20"/>
    <x v="0"/>
    <x v="4"/>
    <n v="75.48"/>
    <n v="2"/>
    <n v="19.62"/>
    <x v="8"/>
    <x v="2"/>
  </r>
  <r>
    <d v="2023-09-02T00:00:00"/>
    <x v="502"/>
    <x v="20"/>
    <x v="1"/>
    <x v="8"/>
    <n v="39.979999999999997"/>
    <n v="2"/>
    <n v="10"/>
    <x v="8"/>
    <x v="2"/>
  </r>
  <r>
    <d v="2023-09-02T00:00:00"/>
    <x v="331"/>
    <x v="21"/>
    <x v="0"/>
    <x v="7"/>
    <n v="1.81"/>
    <n v="1"/>
    <n v="0.65"/>
    <x v="8"/>
    <x v="2"/>
  </r>
  <r>
    <d v="2023-09-02T00:00:00"/>
    <x v="331"/>
    <x v="21"/>
    <x v="0"/>
    <x v="3"/>
    <n v="8.26"/>
    <n v="2"/>
    <n v="3.88"/>
    <x v="8"/>
    <x v="2"/>
  </r>
  <r>
    <d v="2023-09-02T00:00:00"/>
    <x v="381"/>
    <x v="3"/>
    <x v="0"/>
    <x v="2"/>
    <n v="46.53"/>
    <n v="3"/>
    <n v="12.1"/>
    <x v="8"/>
    <x v="2"/>
  </r>
  <r>
    <d v="2023-09-02T00:00:00"/>
    <x v="556"/>
    <x v="1"/>
    <x v="0"/>
    <x v="1"/>
    <n v="29.24"/>
    <n v="5"/>
    <n v="9.8699999999999992"/>
    <x v="8"/>
    <x v="2"/>
  </r>
  <r>
    <d v="2023-09-02T00:00:00"/>
    <x v="556"/>
    <x v="1"/>
    <x v="0"/>
    <x v="2"/>
    <n v="35.17"/>
    <n v="2"/>
    <n v="-8.35"/>
    <x v="8"/>
    <x v="2"/>
  </r>
  <r>
    <d v="2023-09-02T00:00:00"/>
    <x v="556"/>
    <x v="1"/>
    <x v="2"/>
    <x v="15"/>
    <n v="1362.9"/>
    <n v="3"/>
    <n v="-19.47"/>
    <x v="8"/>
    <x v="2"/>
  </r>
  <r>
    <d v="2023-09-02T00:00:00"/>
    <x v="398"/>
    <x v="1"/>
    <x v="1"/>
    <x v="8"/>
    <n v="84.27"/>
    <n v="2"/>
    <n v="-75.84"/>
    <x v="8"/>
    <x v="2"/>
  </r>
  <r>
    <d v="2023-09-02T00:00:00"/>
    <x v="364"/>
    <x v="25"/>
    <x v="0"/>
    <x v="3"/>
    <n v="22.91"/>
    <n v="7"/>
    <n v="-17.57"/>
    <x v="8"/>
    <x v="2"/>
  </r>
  <r>
    <d v="2023-09-02T00:00:00"/>
    <x v="364"/>
    <x v="25"/>
    <x v="0"/>
    <x v="12"/>
    <n v="309.45999999999998"/>
    <n v="9"/>
    <n v="34.81"/>
    <x v="8"/>
    <x v="2"/>
  </r>
  <r>
    <d v="2023-09-02T00:00:00"/>
    <x v="364"/>
    <x v="25"/>
    <x v="0"/>
    <x v="4"/>
    <n v="19.46"/>
    <n v="4"/>
    <n v="3.4"/>
    <x v="8"/>
    <x v="2"/>
  </r>
  <r>
    <d v="2023-09-02T00:00:00"/>
    <x v="364"/>
    <x v="25"/>
    <x v="1"/>
    <x v="13"/>
    <n v="472.52"/>
    <n v="3"/>
    <n v="-149.63"/>
    <x v="8"/>
    <x v="2"/>
  </r>
  <r>
    <d v="2023-09-02T00:00:00"/>
    <x v="364"/>
    <x v="25"/>
    <x v="2"/>
    <x v="9"/>
    <n v="1012.68"/>
    <n v="3"/>
    <n v="303.8"/>
    <x v="8"/>
    <x v="2"/>
  </r>
  <r>
    <d v="2023-09-02T00:00:00"/>
    <x v="364"/>
    <x v="25"/>
    <x v="0"/>
    <x v="3"/>
    <n v="17.22"/>
    <n v="5"/>
    <n v="-12.63"/>
    <x v="8"/>
    <x v="2"/>
  </r>
  <r>
    <d v="2023-09-02T00:00:00"/>
    <x v="614"/>
    <x v="22"/>
    <x v="2"/>
    <x v="16"/>
    <n v="999.98"/>
    <n v="2"/>
    <n v="449.99"/>
    <x v="8"/>
    <x v="2"/>
  </r>
  <r>
    <d v="2023-09-02T00:00:00"/>
    <x v="476"/>
    <x v="0"/>
    <x v="0"/>
    <x v="3"/>
    <n v="8.61"/>
    <n v="8"/>
    <n v="-13.34"/>
    <x v="8"/>
    <x v="2"/>
  </r>
  <r>
    <d v="2023-09-02T00:00:00"/>
    <x v="476"/>
    <x v="0"/>
    <x v="2"/>
    <x v="9"/>
    <n v="159.56"/>
    <n v="5"/>
    <n v="33.909999999999997"/>
    <x v="8"/>
    <x v="2"/>
  </r>
  <r>
    <d v="2023-09-02T00:00:00"/>
    <x v="383"/>
    <x v="22"/>
    <x v="1"/>
    <x v="5"/>
    <n v="215.98"/>
    <n v="3"/>
    <n v="-2.7"/>
    <x v="8"/>
    <x v="2"/>
  </r>
  <r>
    <d v="2023-09-02T00:00:00"/>
    <x v="383"/>
    <x v="22"/>
    <x v="0"/>
    <x v="10"/>
    <n v="65.94"/>
    <n v="3"/>
    <n v="30.99"/>
    <x v="8"/>
    <x v="2"/>
  </r>
  <r>
    <d v="2023-09-02T00:00:00"/>
    <x v="336"/>
    <x v="3"/>
    <x v="1"/>
    <x v="8"/>
    <n v="94.68"/>
    <n v="9"/>
    <n v="31.24"/>
    <x v="8"/>
    <x v="2"/>
  </r>
  <r>
    <d v="2023-09-02T00:00:00"/>
    <x v="336"/>
    <x v="3"/>
    <x v="0"/>
    <x v="2"/>
    <n v="23.67"/>
    <n v="3"/>
    <n v="0.95"/>
    <x v="8"/>
    <x v="2"/>
  </r>
  <r>
    <d v="2023-09-02T00:00:00"/>
    <x v="336"/>
    <x v="3"/>
    <x v="2"/>
    <x v="6"/>
    <n v="1091.17"/>
    <n v="4"/>
    <n v="68.2"/>
    <x v="8"/>
    <x v="2"/>
  </r>
  <r>
    <d v="2023-09-02T00:00:00"/>
    <x v="336"/>
    <x v="3"/>
    <x v="0"/>
    <x v="4"/>
    <n v="18.690000000000001"/>
    <n v="7"/>
    <n v="5.23"/>
    <x v="8"/>
    <x v="2"/>
  </r>
  <r>
    <d v="2023-09-02T00:00:00"/>
    <x v="336"/>
    <x v="3"/>
    <x v="1"/>
    <x v="13"/>
    <n v="568.73"/>
    <n v="3"/>
    <n v="28.44"/>
    <x v="8"/>
    <x v="2"/>
  </r>
  <r>
    <d v="2023-09-02T00:00:00"/>
    <x v="336"/>
    <x v="3"/>
    <x v="0"/>
    <x v="3"/>
    <n v="7.31"/>
    <n v="1"/>
    <n v="2.56"/>
    <x v="8"/>
    <x v="2"/>
  </r>
  <r>
    <d v="2023-09-03T00:00:00"/>
    <x v="125"/>
    <x v="2"/>
    <x v="0"/>
    <x v="3"/>
    <n v="1141.47"/>
    <n v="5"/>
    <n v="-760.98"/>
    <x v="8"/>
    <x v="2"/>
  </r>
  <r>
    <d v="2023-09-03T00:00:00"/>
    <x v="125"/>
    <x v="2"/>
    <x v="2"/>
    <x v="6"/>
    <n v="280.77999999999997"/>
    <n v="3"/>
    <n v="-46.8"/>
    <x v="8"/>
    <x v="2"/>
  </r>
  <r>
    <d v="2023-09-03T00:00:00"/>
    <x v="488"/>
    <x v="1"/>
    <x v="1"/>
    <x v="8"/>
    <n v="83.95"/>
    <n v="3"/>
    <n v="-90.25"/>
    <x v="8"/>
    <x v="2"/>
  </r>
  <r>
    <d v="2023-09-03T00:00:00"/>
    <x v="246"/>
    <x v="1"/>
    <x v="0"/>
    <x v="3"/>
    <n v="8.81"/>
    <n v="3"/>
    <n v="-14.97"/>
    <x v="8"/>
    <x v="2"/>
  </r>
  <r>
    <d v="2023-09-03T00:00:00"/>
    <x v="76"/>
    <x v="37"/>
    <x v="0"/>
    <x v="0"/>
    <n v="48.16"/>
    <n v="7"/>
    <n v="22.15"/>
    <x v="8"/>
    <x v="2"/>
  </r>
  <r>
    <d v="2023-09-03T00:00:00"/>
    <x v="612"/>
    <x v="21"/>
    <x v="0"/>
    <x v="2"/>
    <n v="54.5"/>
    <n v="5"/>
    <n v="14.17"/>
    <x v="8"/>
    <x v="2"/>
  </r>
  <r>
    <d v="2023-09-03T00:00:00"/>
    <x v="563"/>
    <x v="8"/>
    <x v="0"/>
    <x v="3"/>
    <n v="87.28"/>
    <n v="8"/>
    <n v="41.02"/>
    <x v="8"/>
    <x v="2"/>
  </r>
  <r>
    <d v="2023-09-03T00:00:00"/>
    <x v="221"/>
    <x v="36"/>
    <x v="1"/>
    <x v="11"/>
    <n v="344.94"/>
    <n v="3"/>
    <n v="31.04"/>
    <x v="8"/>
    <x v="2"/>
  </r>
  <r>
    <d v="2023-09-03T00:00:00"/>
    <x v="221"/>
    <x v="36"/>
    <x v="1"/>
    <x v="8"/>
    <n v="14.76"/>
    <n v="2"/>
    <n v="4.28"/>
    <x v="8"/>
    <x v="2"/>
  </r>
  <r>
    <d v="2023-09-03T00:00:00"/>
    <x v="221"/>
    <x v="36"/>
    <x v="0"/>
    <x v="3"/>
    <n v="12.76"/>
    <n v="2"/>
    <n v="5.87"/>
    <x v="8"/>
    <x v="2"/>
  </r>
  <r>
    <d v="2023-09-03T00:00:00"/>
    <x v="221"/>
    <x v="36"/>
    <x v="0"/>
    <x v="1"/>
    <n v="58.48"/>
    <n v="8"/>
    <n v="27.49"/>
    <x v="8"/>
    <x v="2"/>
  </r>
  <r>
    <d v="2023-09-03T00:00:00"/>
    <x v="751"/>
    <x v="1"/>
    <x v="1"/>
    <x v="11"/>
    <n v="198.74"/>
    <n v="4"/>
    <n v="0"/>
    <x v="8"/>
    <x v="2"/>
  </r>
  <r>
    <d v="2023-09-03T00:00:00"/>
    <x v="719"/>
    <x v="10"/>
    <x v="0"/>
    <x v="0"/>
    <n v="30.96"/>
    <n v="6"/>
    <n v="11.22"/>
    <x v="8"/>
    <x v="2"/>
  </r>
  <r>
    <d v="2023-09-04T00:00:00"/>
    <x v="325"/>
    <x v="0"/>
    <x v="0"/>
    <x v="4"/>
    <n v="3.91"/>
    <n v="1"/>
    <n v="1.03"/>
    <x v="8"/>
    <x v="2"/>
  </r>
  <r>
    <d v="2023-09-04T00:00:00"/>
    <x v="325"/>
    <x v="0"/>
    <x v="0"/>
    <x v="4"/>
    <n v="62.38"/>
    <n v="3"/>
    <n v="7.02"/>
    <x v="8"/>
    <x v="2"/>
  </r>
  <r>
    <d v="2023-09-04T00:00:00"/>
    <x v="107"/>
    <x v="20"/>
    <x v="1"/>
    <x v="8"/>
    <n v="63.94"/>
    <n v="1"/>
    <n v="24.94"/>
    <x v="8"/>
    <x v="2"/>
  </r>
  <r>
    <d v="2023-09-04T00:00:00"/>
    <x v="107"/>
    <x v="20"/>
    <x v="0"/>
    <x v="3"/>
    <n v="60.6"/>
    <n v="5"/>
    <n v="20.45"/>
    <x v="8"/>
    <x v="2"/>
  </r>
  <r>
    <d v="2023-09-04T00:00:00"/>
    <x v="107"/>
    <x v="20"/>
    <x v="0"/>
    <x v="14"/>
    <n v="22.72"/>
    <n v="4"/>
    <n v="6.59"/>
    <x v="8"/>
    <x v="2"/>
  </r>
  <r>
    <d v="2023-09-04T00:00:00"/>
    <x v="16"/>
    <x v="15"/>
    <x v="0"/>
    <x v="0"/>
    <n v="12.19"/>
    <n v="3"/>
    <n v="4.1100000000000003"/>
    <x v="8"/>
    <x v="2"/>
  </r>
  <r>
    <d v="2023-09-04T00:00:00"/>
    <x v="16"/>
    <x v="15"/>
    <x v="0"/>
    <x v="12"/>
    <n v="87.17"/>
    <n v="2"/>
    <n v="8.7200000000000006"/>
    <x v="8"/>
    <x v="2"/>
  </r>
  <r>
    <d v="2023-09-04T00:00:00"/>
    <x v="16"/>
    <x v="15"/>
    <x v="0"/>
    <x v="4"/>
    <n v="31.74"/>
    <n v="2"/>
    <n v="8.33"/>
    <x v="8"/>
    <x v="2"/>
  </r>
  <r>
    <d v="2023-09-04T00:00:00"/>
    <x v="266"/>
    <x v="5"/>
    <x v="1"/>
    <x v="8"/>
    <n v="42.6"/>
    <n v="3"/>
    <n v="16.61"/>
    <x v="8"/>
    <x v="2"/>
  </r>
  <r>
    <d v="2023-09-04T00:00:00"/>
    <x v="266"/>
    <x v="5"/>
    <x v="0"/>
    <x v="3"/>
    <n v="113.94"/>
    <n v="6"/>
    <n v="54.69"/>
    <x v="8"/>
    <x v="2"/>
  </r>
  <r>
    <d v="2023-09-04T00:00:00"/>
    <x v="266"/>
    <x v="5"/>
    <x v="0"/>
    <x v="2"/>
    <n v="129.91999999999999"/>
    <n v="4"/>
    <n v="5.2"/>
    <x v="8"/>
    <x v="2"/>
  </r>
  <r>
    <d v="2023-09-04T00:00:00"/>
    <x v="266"/>
    <x v="5"/>
    <x v="0"/>
    <x v="4"/>
    <n v="5.28"/>
    <n v="3"/>
    <n v="2.5299999999999998"/>
    <x v="8"/>
    <x v="2"/>
  </r>
  <r>
    <d v="2023-09-04T00:00:00"/>
    <x v="132"/>
    <x v="28"/>
    <x v="0"/>
    <x v="2"/>
    <n v="535.41"/>
    <n v="3"/>
    <n v="160.62"/>
    <x v="8"/>
    <x v="2"/>
  </r>
  <r>
    <d v="2023-09-04T00:00:00"/>
    <x v="2"/>
    <x v="24"/>
    <x v="0"/>
    <x v="10"/>
    <n v="16.559999999999999"/>
    <n v="2"/>
    <n v="7.78"/>
    <x v="8"/>
    <x v="2"/>
  </r>
  <r>
    <d v="2023-09-04T00:00:00"/>
    <x v="2"/>
    <x v="24"/>
    <x v="2"/>
    <x v="9"/>
    <n v="279.95"/>
    <n v="5"/>
    <n v="67.19"/>
    <x v="8"/>
    <x v="2"/>
  </r>
  <r>
    <d v="2023-09-04T00:00:00"/>
    <x v="355"/>
    <x v="13"/>
    <x v="0"/>
    <x v="0"/>
    <n v="239.5"/>
    <n v="5"/>
    <n v="114.96"/>
    <x v="8"/>
    <x v="2"/>
  </r>
  <r>
    <d v="2023-09-04T00:00:00"/>
    <x v="24"/>
    <x v="3"/>
    <x v="1"/>
    <x v="8"/>
    <n v="24.27"/>
    <n v="3"/>
    <n v="8.74"/>
    <x v="8"/>
    <x v="2"/>
  </r>
  <r>
    <d v="2023-09-04T00:00:00"/>
    <x v="24"/>
    <x v="3"/>
    <x v="2"/>
    <x v="16"/>
    <n v="2799.96"/>
    <n v="5"/>
    <n v="944.99"/>
    <x v="8"/>
    <x v="2"/>
  </r>
  <r>
    <d v="2023-09-05T00:00:00"/>
    <x v="104"/>
    <x v="2"/>
    <x v="1"/>
    <x v="8"/>
    <n v="82.8"/>
    <n v="2"/>
    <n v="10.35"/>
    <x v="8"/>
    <x v="2"/>
  </r>
  <r>
    <d v="2023-09-05T00:00:00"/>
    <x v="500"/>
    <x v="14"/>
    <x v="1"/>
    <x v="8"/>
    <n v="12.22"/>
    <n v="1"/>
    <n v="3.67"/>
    <x v="8"/>
    <x v="2"/>
  </r>
  <r>
    <d v="2023-09-05T00:00:00"/>
    <x v="500"/>
    <x v="14"/>
    <x v="0"/>
    <x v="2"/>
    <n v="194.94"/>
    <n v="3"/>
    <n v="23.39"/>
    <x v="8"/>
    <x v="2"/>
  </r>
  <r>
    <d v="2023-09-05T00:00:00"/>
    <x v="500"/>
    <x v="14"/>
    <x v="0"/>
    <x v="2"/>
    <n v="70.95"/>
    <n v="3"/>
    <n v="20.58"/>
    <x v="8"/>
    <x v="2"/>
  </r>
  <r>
    <d v="2023-09-05T00:00:00"/>
    <x v="500"/>
    <x v="14"/>
    <x v="0"/>
    <x v="0"/>
    <n v="91.36"/>
    <n v="4"/>
    <n v="42.03"/>
    <x v="8"/>
    <x v="2"/>
  </r>
  <r>
    <d v="2023-09-05T00:00:00"/>
    <x v="500"/>
    <x v="14"/>
    <x v="1"/>
    <x v="5"/>
    <n v="242.94"/>
    <n v="3"/>
    <n v="29.15"/>
    <x v="8"/>
    <x v="2"/>
  </r>
  <r>
    <d v="2023-09-05T00:00:00"/>
    <x v="500"/>
    <x v="14"/>
    <x v="0"/>
    <x v="1"/>
    <n v="22.05"/>
    <n v="7"/>
    <n v="10.58"/>
    <x v="8"/>
    <x v="2"/>
  </r>
  <r>
    <d v="2023-09-05T00:00:00"/>
    <x v="546"/>
    <x v="30"/>
    <x v="2"/>
    <x v="6"/>
    <n v="278.39999999999998"/>
    <n v="3"/>
    <n v="80.739999999999995"/>
    <x v="8"/>
    <x v="2"/>
  </r>
  <r>
    <d v="2023-09-05T00:00:00"/>
    <x v="671"/>
    <x v="42"/>
    <x v="0"/>
    <x v="4"/>
    <n v="107.94"/>
    <n v="3"/>
    <n v="26.99"/>
    <x v="8"/>
    <x v="2"/>
  </r>
  <r>
    <d v="2023-09-05T00:00:00"/>
    <x v="278"/>
    <x v="0"/>
    <x v="1"/>
    <x v="5"/>
    <n v="347.8"/>
    <n v="7"/>
    <n v="-24.84"/>
    <x v="8"/>
    <x v="2"/>
  </r>
  <r>
    <d v="2023-09-05T00:00:00"/>
    <x v="44"/>
    <x v="3"/>
    <x v="2"/>
    <x v="9"/>
    <n v="116"/>
    <n v="8"/>
    <n v="29"/>
    <x v="8"/>
    <x v="2"/>
  </r>
  <r>
    <d v="2023-09-05T00:00:00"/>
    <x v="29"/>
    <x v="2"/>
    <x v="0"/>
    <x v="3"/>
    <n v="9.56"/>
    <n v="5"/>
    <n v="-7.33"/>
    <x v="8"/>
    <x v="2"/>
  </r>
  <r>
    <d v="2023-09-05T00:00:00"/>
    <x v="406"/>
    <x v="15"/>
    <x v="0"/>
    <x v="10"/>
    <n v="23.47"/>
    <n v="3"/>
    <n v="7.63"/>
    <x v="8"/>
    <x v="2"/>
  </r>
  <r>
    <d v="2023-09-05T00:00:00"/>
    <x v="406"/>
    <x v="15"/>
    <x v="0"/>
    <x v="3"/>
    <n v="86.06"/>
    <n v="7"/>
    <n v="-63.11"/>
    <x v="8"/>
    <x v="2"/>
  </r>
  <r>
    <d v="2023-09-05T00:00:00"/>
    <x v="406"/>
    <x v="15"/>
    <x v="2"/>
    <x v="6"/>
    <n v="108.78"/>
    <n v="2"/>
    <n v="6.8"/>
    <x v="8"/>
    <x v="2"/>
  </r>
  <r>
    <d v="2023-09-05T00:00:00"/>
    <x v="406"/>
    <x v="15"/>
    <x v="0"/>
    <x v="0"/>
    <n v="10.27"/>
    <n v="3"/>
    <n v="3.21"/>
    <x v="8"/>
    <x v="2"/>
  </r>
  <r>
    <d v="2023-09-05T00:00:00"/>
    <x v="292"/>
    <x v="0"/>
    <x v="0"/>
    <x v="12"/>
    <n v="62.79"/>
    <n v="3"/>
    <n v="-166.39"/>
    <x v="8"/>
    <x v="2"/>
  </r>
  <r>
    <d v="2023-09-05T00:00:00"/>
    <x v="292"/>
    <x v="0"/>
    <x v="0"/>
    <x v="7"/>
    <n v="28.44"/>
    <n v="9"/>
    <n v="4.2699999999999996"/>
    <x v="8"/>
    <x v="2"/>
  </r>
  <r>
    <d v="2023-09-05T00:00:00"/>
    <x v="343"/>
    <x v="3"/>
    <x v="0"/>
    <x v="0"/>
    <n v="96.08"/>
    <n v="2"/>
    <n v="46.12"/>
    <x v="8"/>
    <x v="2"/>
  </r>
  <r>
    <d v="2023-09-05T00:00:00"/>
    <x v="343"/>
    <x v="3"/>
    <x v="0"/>
    <x v="3"/>
    <n v="11.68"/>
    <n v="2"/>
    <n v="3.94"/>
    <x v="8"/>
    <x v="2"/>
  </r>
  <r>
    <d v="2023-09-05T00:00:00"/>
    <x v="343"/>
    <x v="3"/>
    <x v="0"/>
    <x v="7"/>
    <n v="4.3600000000000003"/>
    <n v="2"/>
    <n v="1.79"/>
    <x v="8"/>
    <x v="2"/>
  </r>
  <r>
    <d v="2023-09-05T00:00:00"/>
    <x v="286"/>
    <x v="0"/>
    <x v="0"/>
    <x v="0"/>
    <n v="25.92"/>
    <n v="5"/>
    <n v="9.07"/>
    <x v="8"/>
    <x v="2"/>
  </r>
  <r>
    <d v="2023-09-05T00:00:00"/>
    <x v="286"/>
    <x v="0"/>
    <x v="0"/>
    <x v="7"/>
    <n v="15.81"/>
    <n v="8"/>
    <n v="5.34"/>
    <x v="8"/>
    <x v="2"/>
  </r>
  <r>
    <d v="2023-09-05T00:00:00"/>
    <x v="286"/>
    <x v="0"/>
    <x v="0"/>
    <x v="0"/>
    <n v="10.37"/>
    <n v="2"/>
    <n v="3.76"/>
    <x v="8"/>
    <x v="2"/>
  </r>
  <r>
    <d v="2023-09-05T00:00:00"/>
    <x v="20"/>
    <x v="20"/>
    <x v="0"/>
    <x v="0"/>
    <n v="192.16"/>
    <n v="4"/>
    <n v="92.24"/>
    <x v="8"/>
    <x v="2"/>
  </r>
  <r>
    <d v="2023-09-05T00:00:00"/>
    <x v="397"/>
    <x v="0"/>
    <x v="0"/>
    <x v="2"/>
    <n v="93.46"/>
    <n v="3"/>
    <n v="-17.52"/>
    <x v="8"/>
    <x v="2"/>
  </r>
  <r>
    <d v="2023-09-05T00:00:00"/>
    <x v="13"/>
    <x v="6"/>
    <x v="0"/>
    <x v="1"/>
    <n v="25.06"/>
    <n v="2"/>
    <n v="11.78"/>
    <x v="8"/>
    <x v="2"/>
  </r>
  <r>
    <d v="2023-09-05T00:00:00"/>
    <x v="13"/>
    <x v="6"/>
    <x v="1"/>
    <x v="13"/>
    <n v="1652.94"/>
    <n v="3"/>
    <n v="314.06"/>
    <x v="8"/>
    <x v="2"/>
  </r>
  <r>
    <d v="2023-09-05T00:00:00"/>
    <x v="720"/>
    <x v="1"/>
    <x v="0"/>
    <x v="0"/>
    <n v="9.25"/>
    <n v="2"/>
    <n v="3.35"/>
    <x v="8"/>
    <x v="2"/>
  </r>
  <r>
    <d v="2023-09-05T00:00:00"/>
    <x v="496"/>
    <x v="10"/>
    <x v="0"/>
    <x v="3"/>
    <n v="8.9499999999999993"/>
    <n v="2"/>
    <n v="-7.46"/>
    <x v="8"/>
    <x v="2"/>
  </r>
  <r>
    <d v="2023-09-05T00:00:00"/>
    <x v="496"/>
    <x v="10"/>
    <x v="0"/>
    <x v="3"/>
    <n v="8.86"/>
    <n v="6"/>
    <n v="-6.49"/>
    <x v="8"/>
    <x v="2"/>
  </r>
  <r>
    <d v="2023-09-05T00:00:00"/>
    <x v="496"/>
    <x v="10"/>
    <x v="1"/>
    <x v="5"/>
    <n v="85.25"/>
    <n v="2"/>
    <n v="-1.22"/>
    <x v="8"/>
    <x v="2"/>
  </r>
  <r>
    <d v="2023-09-05T00:00:00"/>
    <x v="551"/>
    <x v="0"/>
    <x v="1"/>
    <x v="8"/>
    <n v="21.2"/>
    <n v="3"/>
    <n v="-11.66"/>
    <x v="8"/>
    <x v="2"/>
  </r>
  <r>
    <d v="2023-09-05T00:00:00"/>
    <x v="622"/>
    <x v="2"/>
    <x v="1"/>
    <x v="8"/>
    <n v="58.25"/>
    <n v="9"/>
    <n v="11.65"/>
    <x v="8"/>
    <x v="2"/>
  </r>
  <r>
    <d v="2023-09-05T00:00:00"/>
    <x v="622"/>
    <x v="2"/>
    <x v="1"/>
    <x v="5"/>
    <n v="71.25"/>
    <n v="2"/>
    <n v="-19.34"/>
    <x v="8"/>
    <x v="2"/>
  </r>
  <r>
    <d v="2023-09-05T00:00:00"/>
    <x v="622"/>
    <x v="2"/>
    <x v="0"/>
    <x v="4"/>
    <n v="7.87"/>
    <n v="3"/>
    <n v="0.59"/>
    <x v="8"/>
    <x v="2"/>
  </r>
  <r>
    <d v="2023-09-05T00:00:00"/>
    <x v="622"/>
    <x v="2"/>
    <x v="1"/>
    <x v="5"/>
    <n v="887.27"/>
    <n v="3"/>
    <n v="-63.38"/>
    <x v="8"/>
    <x v="2"/>
  </r>
  <r>
    <d v="2023-09-05T00:00:00"/>
    <x v="623"/>
    <x v="20"/>
    <x v="2"/>
    <x v="6"/>
    <n v="43.6"/>
    <n v="4"/>
    <n v="12.21"/>
    <x v="8"/>
    <x v="2"/>
  </r>
  <r>
    <d v="2023-09-06T00:00:00"/>
    <x v="727"/>
    <x v="28"/>
    <x v="0"/>
    <x v="12"/>
    <n v="77.88"/>
    <n v="6"/>
    <n v="22.59"/>
    <x v="8"/>
    <x v="2"/>
  </r>
  <r>
    <d v="2023-09-06T00:00:00"/>
    <x v="541"/>
    <x v="20"/>
    <x v="2"/>
    <x v="9"/>
    <n v="31.86"/>
    <n v="2"/>
    <n v="11.15"/>
    <x v="8"/>
    <x v="2"/>
  </r>
  <r>
    <d v="2023-09-06T00:00:00"/>
    <x v="541"/>
    <x v="20"/>
    <x v="1"/>
    <x v="11"/>
    <n v="722.35"/>
    <n v="3"/>
    <n v="90.29"/>
    <x v="8"/>
    <x v="2"/>
  </r>
  <r>
    <d v="2023-09-06T00:00:00"/>
    <x v="366"/>
    <x v="25"/>
    <x v="0"/>
    <x v="10"/>
    <n v="95.95"/>
    <n v="3"/>
    <n v="29.99"/>
    <x v="8"/>
    <x v="2"/>
  </r>
  <r>
    <d v="2023-09-06T00:00:00"/>
    <x v="366"/>
    <x v="25"/>
    <x v="0"/>
    <x v="3"/>
    <n v="3.2"/>
    <n v="2"/>
    <n v="-2.46"/>
    <x v="8"/>
    <x v="2"/>
  </r>
  <r>
    <d v="2023-09-06T00:00:00"/>
    <x v="100"/>
    <x v="0"/>
    <x v="0"/>
    <x v="2"/>
    <n v="10.78"/>
    <n v="1"/>
    <n v="0.81"/>
    <x v="8"/>
    <x v="2"/>
  </r>
  <r>
    <d v="2023-09-06T00:00:00"/>
    <x v="515"/>
    <x v="0"/>
    <x v="0"/>
    <x v="0"/>
    <n v="41.92"/>
    <n v="4"/>
    <n v="15.2"/>
    <x v="8"/>
    <x v="2"/>
  </r>
  <r>
    <d v="2023-09-06T00:00:00"/>
    <x v="515"/>
    <x v="0"/>
    <x v="2"/>
    <x v="6"/>
    <n v="329.58"/>
    <n v="2"/>
    <n v="37.08"/>
    <x v="8"/>
    <x v="2"/>
  </r>
  <r>
    <d v="2023-09-08T00:00:00"/>
    <x v="643"/>
    <x v="0"/>
    <x v="0"/>
    <x v="2"/>
    <n v="35.950000000000003"/>
    <n v="3"/>
    <n v="3.6"/>
    <x v="8"/>
    <x v="2"/>
  </r>
  <r>
    <d v="2023-09-08T00:00:00"/>
    <x v="643"/>
    <x v="0"/>
    <x v="1"/>
    <x v="11"/>
    <n v="2396.27"/>
    <n v="4"/>
    <n v="-317.14999999999998"/>
    <x v="8"/>
    <x v="2"/>
  </r>
  <r>
    <d v="2023-09-08T00:00:00"/>
    <x v="643"/>
    <x v="0"/>
    <x v="0"/>
    <x v="2"/>
    <n v="131.13999999999999"/>
    <n v="4"/>
    <n v="-32.78"/>
    <x v="8"/>
    <x v="2"/>
  </r>
  <r>
    <d v="2023-09-08T00:00:00"/>
    <x v="643"/>
    <x v="0"/>
    <x v="2"/>
    <x v="9"/>
    <n v="57.58"/>
    <n v="2"/>
    <n v="0.72"/>
    <x v="8"/>
    <x v="2"/>
  </r>
  <r>
    <d v="2023-09-08T00:00:00"/>
    <x v="139"/>
    <x v="3"/>
    <x v="0"/>
    <x v="3"/>
    <n v="33.020000000000003"/>
    <n v="2"/>
    <n v="11.56"/>
    <x v="8"/>
    <x v="2"/>
  </r>
  <r>
    <d v="2023-09-08T00:00:00"/>
    <x v="139"/>
    <x v="3"/>
    <x v="0"/>
    <x v="3"/>
    <n v="67.14"/>
    <n v="4"/>
    <n v="23.5"/>
    <x v="8"/>
    <x v="2"/>
  </r>
  <r>
    <d v="2023-09-08T00:00:00"/>
    <x v="64"/>
    <x v="32"/>
    <x v="1"/>
    <x v="11"/>
    <n v="173.94"/>
    <n v="3"/>
    <n v="13.92"/>
    <x v="8"/>
    <x v="2"/>
  </r>
  <r>
    <d v="2023-09-08T00:00:00"/>
    <x v="64"/>
    <x v="32"/>
    <x v="0"/>
    <x v="1"/>
    <n v="14.76"/>
    <n v="4"/>
    <n v="6.94"/>
    <x v="8"/>
    <x v="2"/>
  </r>
  <r>
    <d v="2023-09-08T00:00:00"/>
    <x v="145"/>
    <x v="1"/>
    <x v="1"/>
    <x v="8"/>
    <n v="14.14"/>
    <n v="2"/>
    <n v="-7.77"/>
    <x v="8"/>
    <x v="2"/>
  </r>
  <r>
    <d v="2023-09-08T00:00:00"/>
    <x v="145"/>
    <x v="1"/>
    <x v="1"/>
    <x v="13"/>
    <n v="601.47"/>
    <n v="3"/>
    <n v="-300.74"/>
    <x v="8"/>
    <x v="2"/>
  </r>
  <r>
    <d v="2023-09-08T00:00:00"/>
    <x v="53"/>
    <x v="20"/>
    <x v="0"/>
    <x v="12"/>
    <n v="207.48"/>
    <n v="1"/>
    <n v="62.24"/>
    <x v="8"/>
    <x v="2"/>
  </r>
  <r>
    <d v="2023-09-08T00:00:00"/>
    <x v="127"/>
    <x v="0"/>
    <x v="0"/>
    <x v="4"/>
    <n v="70.37"/>
    <n v="2"/>
    <n v="6.16"/>
    <x v="8"/>
    <x v="2"/>
  </r>
  <r>
    <d v="2023-09-08T00:00:00"/>
    <x v="127"/>
    <x v="0"/>
    <x v="2"/>
    <x v="6"/>
    <n v="59.96"/>
    <n v="5"/>
    <n v="21.74"/>
    <x v="8"/>
    <x v="2"/>
  </r>
  <r>
    <d v="2023-09-08T00:00:00"/>
    <x v="747"/>
    <x v="25"/>
    <x v="2"/>
    <x v="9"/>
    <n v="35.17"/>
    <n v="4"/>
    <n v="8.35"/>
    <x v="8"/>
    <x v="2"/>
  </r>
  <r>
    <d v="2023-09-08T00:00:00"/>
    <x v="747"/>
    <x v="25"/>
    <x v="0"/>
    <x v="0"/>
    <n v="64.7"/>
    <n v="3"/>
    <n v="23.46"/>
    <x v="8"/>
    <x v="2"/>
  </r>
  <r>
    <d v="2023-09-08T00:00:00"/>
    <x v="137"/>
    <x v="3"/>
    <x v="1"/>
    <x v="13"/>
    <n v="146.04"/>
    <n v="1"/>
    <n v="-12.78"/>
    <x v="8"/>
    <x v="2"/>
  </r>
  <r>
    <d v="2023-09-08T00:00:00"/>
    <x v="546"/>
    <x v="22"/>
    <x v="1"/>
    <x v="8"/>
    <n v="43.13"/>
    <n v="1"/>
    <n v="14.66"/>
    <x v="8"/>
    <x v="2"/>
  </r>
  <r>
    <d v="2023-09-08T00:00:00"/>
    <x v="546"/>
    <x v="22"/>
    <x v="0"/>
    <x v="0"/>
    <n v="30.87"/>
    <n v="7"/>
    <n v="14.2"/>
    <x v="8"/>
    <x v="2"/>
  </r>
  <r>
    <d v="2023-09-08T00:00:00"/>
    <x v="760"/>
    <x v="3"/>
    <x v="0"/>
    <x v="4"/>
    <n v="14.88"/>
    <n v="2"/>
    <n v="3.72"/>
    <x v="8"/>
    <x v="2"/>
  </r>
  <r>
    <d v="2023-09-08T00:00:00"/>
    <x v="760"/>
    <x v="3"/>
    <x v="0"/>
    <x v="0"/>
    <n v="34.24"/>
    <n v="8"/>
    <n v="15.41"/>
    <x v="8"/>
    <x v="2"/>
  </r>
  <r>
    <d v="2023-09-08T00:00:00"/>
    <x v="760"/>
    <x v="3"/>
    <x v="0"/>
    <x v="2"/>
    <n v="261.74"/>
    <n v="2"/>
    <n v="65.44"/>
    <x v="8"/>
    <x v="2"/>
  </r>
  <r>
    <d v="2023-09-09T00:00:00"/>
    <x v="350"/>
    <x v="20"/>
    <x v="0"/>
    <x v="3"/>
    <n v="14.62"/>
    <n v="2"/>
    <n v="5.48"/>
    <x v="8"/>
    <x v="2"/>
  </r>
  <r>
    <d v="2023-09-09T00:00:00"/>
    <x v="372"/>
    <x v="3"/>
    <x v="0"/>
    <x v="3"/>
    <n v="55.36"/>
    <n v="4"/>
    <n v="18.68"/>
    <x v="8"/>
    <x v="2"/>
  </r>
  <r>
    <d v="2023-09-09T00:00:00"/>
    <x v="474"/>
    <x v="0"/>
    <x v="1"/>
    <x v="8"/>
    <n v="15.01"/>
    <n v="4"/>
    <n v="-12.01"/>
    <x v="8"/>
    <x v="2"/>
  </r>
  <r>
    <d v="2023-09-10T00:00:00"/>
    <x v="672"/>
    <x v="20"/>
    <x v="0"/>
    <x v="2"/>
    <n v="59.48"/>
    <n v="2"/>
    <n v="8.92"/>
    <x v="8"/>
    <x v="2"/>
  </r>
  <r>
    <d v="2023-09-10T00:00:00"/>
    <x v="672"/>
    <x v="20"/>
    <x v="0"/>
    <x v="0"/>
    <n v="6.69"/>
    <n v="1"/>
    <n v="3.08"/>
    <x v="8"/>
    <x v="2"/>
  </r>
  <r>
    <d v="2023-09-10T00:00:00"/>
    <x v="651"/>
    <x v="15"/>
    <x v="0"/>
    <x v="4"/>
    <n v="67.56"/>
    <n v="3"/>
    <n v="8.4499999999999993"/>
    <x v="8"/>
    <x v="2"/>
  </r>
  <r>
    <d v="2023-09-10T00:00:00"/>
    <x v="73"/>
    <x v="0"/>
    <x v="1"/>
    <x v="13"/>
    <n v="300.93"/>
    <n v="5"/>
    <n v="-34.39"/>
    <x v="8"/>
    <x v="2"/>
  </r>
  <r>
    <d v="2023-09-10T00:00:00"/>
    <x v="73"/>
    <x v="0"/>
    <x v="2"/>
    <x v="6"/>
    <n v="719.96"/>
    <n v="5"/>
    <n v="54"/>
    <x v="8"/>
    <x v="2"/>
  </r>
  <r>
    <d v="2023-09-10T00:00:00"/>
    <x v="571"/>
    <x v="16"/>
    <x v="2"/>
    <x v="6"/>
    <n v="519.67999999999995"/>
    <n v="7"/>
    <n v="58.46"/>
    <x v="8"/>
    <x v="2"/>
  </r>
  <r>
    <d v="2023-09-10T00:00:00"/>
    <x v="741"/>
    <x v="22"/>
    <x v="0"/>
    <x v="1"/>
    <n v="7.38"/>
    <n v="2"/>
    <n v="3.47"/>
    <x v="8"/>
    <x v="2"/>
  </r>
  <r>
    <d v="2023-09-10T00:00:00"/>
    <x v="741"/>
    <x v="22"/>
    <x v="0"/>
    <x v="3"/>
    <n v="14.26"/>
    <n v="3"/>
    <n v="4.46"/>
    <x v="8"/>
    <x v="2"/>
  </r>
  <r>
    <d v="2023-09-10T00:00:00"/>
    <x v="741"/>
    <x v="22"/>
    <x v="0"/>
    <x v="0"/>
    <n v="81.98"/>
    <n v="2"/>
    <n v="40.17"/>
    <x v="8"/>
    <x v="2"/>
  </r>
  <r>
    <d v="2023-09-10T00:00:00"/>
    <x v="741"/>
    <x v="22"/>
    <x v="0"/>
    <x v="3"/>
    <n v="39.619999999999997"/>
    <n v="3"/>
    <n v="13.87"/>
    <x v="8"/>
    <x v="2"/>
  </r>
  <r>
    <d v="2023-09-10T00:00:00"/>
    <x v="265"/>
    <x v="3"/>
    <x v="0"/>
    <x v="3"/>
    <n v="276.77999999999997"/>
    <n v="2"/>
    <n v="89.95"/>
    <x v="8"/>
    <x v="2"/>
  </r>
  <r>
    <d v="2023-09-11T00:00:00"/>
    <x v="708"/>
    <x v="3"/>
    <x v="0"/>
    <x v="0"/>
    <n v="7.61"/>
    <n v="1"/>
    <n v="3.58"/>
    <x v="8"/>
    <x v="2"/>
  </r>
  <r>
    <d v="2023-09-11T00:00:00"/>
    <x v="708"/>
    <x v="3"/>
    <x v="2"/>
    <x v="9"/>
    <n v="3347.37"/>
    <n v="13"/>
    <n v="636"/>
    <x v="8"/>
    <x v="2"/>
  </r>
  <r>
    <d v="2023-09-11T00:00:00"/>
    <x v="186"/>
    <x v="2"/>
    <x v="0"/>
    <x v="0"/>
    <n v="8.4499999999999993"/>
    <n v="2"/>
    <n v="2.64"/>
    <x v="8"/>
    <x v="2"/>
  </r>
  <r>
    <d v="2023-09-11T00:00:00"/>
    <x v="186"/>
    <x v="2"/>
    <x v="2"/>
    <x v="6"/>
    <n v="728.95"/>
    <n v="9"/>
    <n v="-157.94"/>
    <x v="8"/>
    <x v="2"/>
  </r>
  <r>
    <d v="2023-09-11T00:00:00"/>
    <x v="327"/>
    <x v="10"/>
    <x v="0"/>
    <x v="3"/>
    <n v="22.43"/>
    <n v="3"/>
    <n v="-17.940000000000001"/>
    <x v="8"/>
    <x v="2"/>
  </r>
  <r>
    <d v="2023-09-11T00:00:00"/>
    <x v="327"/>
    <x v="10"/>
    <x v="0"/>
    <x v="2"/>
    <n v="37.520000000000003"/>
    <n v="5"/>
    <n v="3.75"/>
    <x v="8"/>
    <x v="2"/>
  </r>
  <r>
    <d v="2023-09-11T00:00:00"/>
    <x v="453"/>
    <x v="6"/>
    <x v="2"/>
    <x v="16"/>
    <n v="1599.92"/>
    <n v="8"/>
    <n v="751.96"/>
    <x v="8"/>
    <x v="2"/>
  </r>
  <r>
    <d v="2023-09-11T00:00:00"/>
    <x v="453"/>
    <x v="6"/>
    <x v="0"/>
    <x v="10"/>
    <n v="11.09"/>
    <n v="1"/>
    <n v="5.43"/>
    <x v="8"/>
    <x v="2"/>
  </r>
  <r>
    <d v="2023-09-11T00:00:00"/>
    <x v="632"/>
    <x v="3"/>
    <x v="0"/>
    <x v="2"/>
    <n v="332.94"/>
    <n v="3"/>
    <n v="6.66"/>
    <x v="8"/>
    <x v="2"/>
  </r>
  <r>
    <d v="2023-09-11T00:00:00"/>
    <x v="632"/>
    <x v="3"/>
    <x v="0"/>
    <x v="3"/>
    <n v="39.869999999999997"/>
    <n v="2"/>
    <n v="12.96"/>
    <x v="8"/>
    <x v="2"/>
  </r>
  <r>
    <d v="2023-09-11T00:00:00"/>
    <x v="335"/>
    <x v="42"/>
    <x v="2"/>
    <x v="6"/>
    <n v="224.75"/>
    <n v="5"/>
    <n v="62.93"/>
    <x v="8"/>
    <x v="2"/>
  </r>
  <r>
    <d v="2023-09-11T00:00:00"/>
    <x v="423"/>
    <x v="1"/>
    <x v="0"/>
    <x v="1"/>
    <n v="6"/>
    <n v="2"/>
    <n v="2.1"/>
    <x v="8"/>
    <x v="2"/>
  </r>
  <r>
    <d v="2023-09-11T00:00:00"/>
    <x v="423"/>
    <x v="1"/>
    <x v="0"/>
    <x v="3"/>
    <n v="1.91"/>
    <n v="3"/>
    <n v="-3.24"/>
    <x v="8"/>
    <x v="2"/>
  </r>
  <r>
    <d v="2023-09-11T00:00:00"/>
    <x v="49"/>
    <x v="12"/>
    <x v="0"/>
    <x v="4"/>
    <n v="2.91"/>
    <n v="2"/>
    <n v="0.91"/>
    <x v="8"/>
    <x v="2"/>
  </r>
  <r>
    <d v="2023-09-11T00:00:00"/>
    <x v="49"/>
    <x v="12"/>
    <x v="0"/>
    <x v="0"/>
    <n v="20.74"/>
    <n v="4"/>
    <n v="7.26"/>
    <x v="8"/>
    <x v="2"/>
  </r>
  <r>
    <d v="2023-09-11T00:00:00"/>
    <x v="49"/>
    <x v="12"/>
    <x v="0"/>
    <x v="0"/>
    <n v="9.57"/>
    <n v="2"/>
    <n v="2.99"/>
    <x v="8"/>
    <x v="2"/>
  </r>
  <r>
    <d v="2023-09-11T00:00:00"/>
    <x v="361"/>
    <x v="0"/>
    <x v="0"/>
    <x v="10"/>
    <n v="99.57"/>
    <n v="2"/>
    <n v="33.6"/>
    <x v="8"/>
    <x v="2"/>
  </r>
  <r>
    <d v="2023-09-12T00:00:00"/>
    <x v="624"/>
    <x v="26"/>
    <x v="1"/>
    <x v="8"/>
    <n v="15.14"/>
    <n v="4"/>
    <n v="3.59"/>
    <x v="8"/>
    <x v="2"/>
  </r>
  <r>
    <d v="2023-09-12T00:00:00"/>
    <x v="624"/>
    <x v="26"/>
    <x v="1"/>
    <x v="5"/>
    <n v="466.77"/>
    <n v="2"/>
    <n v="52.51"/>
    <x v="8"/>
    <x v="2"/>
  </r>
  <r>
    <d v="2023-09-12T00:00:00"/>
    <x v="624"/>
    <x v="26"/>
    <x v="1"/>
    <x v="8"/>
    <n v="15.23"/>
    <n v="1"/>
    <n v="1.71"/>
    <x v="8"/>
    <x v="2"/>
  </r>
  <r>
    <d v="2023-09-12T00:00:00"/>
    <x v="624"/>
    <x v="26"/>
    <x v="0"/>
    <x v="1"/>
    <n v="6.26"/>
    <n v="3"/>
    <n v="2.04"/>
    <x v="8"/>
    <x v="2"/>
  </r>
  <r>
    <d v="2023-09-12T00:00:00"/>
    <x v="582"/>
    <x v="22"/>
    <x v="0"/>
    <x v="7"/>
    <n v="10.47"/>
    <n v="3"/>
    <n v="4.82"/>
    <x v="8"/>
    <x v="2"/>
  </r>
  <r>
    <d v="2023-09-12T00:00:00"/>
    <x v="582"/>
    <x v="22"/>
    <x v="0"/>
    <x v="1"/>
    <n v="11.07"/>
    <n v="3"/>
    <n v="5.2"/>
    <x v="8"/>
    <x v="2"/>
  </r>
  <r>
    <d v="2023-09-12T00:00:00"/>
    <x v="582"/>
    <x v="22"/>
    <x v="0"/>
    <x v="3"/>
    <n v="20.7"/>
    <n v="4"/>
    <n v="7.76"/>
    <x v="8"/>
    <x v="2"/>
  </r>
  <r>
    <d v="2023-09-12T00:00:00"/>
    <x v="202"/>
    <x v="6"/>
    <x v="2"/>
    <x v="9"/>
    <n v="20.7"/>
    <n v="3"/>
    <n v="1.66"/>
    <x v="8"/>
    <x v="2"/>
  </r>
  <r>
    <d v="2023-09-12T00:00:00"/>
    <x v="202"/>
    <x v="6"/>
    <x v="0"/>
    <x v="7"/>
    <n v="11.34"/>
    <n v="3"/>
    <n v="5.22"/>
    <x v="8"/>
    <x v="2"/>
  </r>
  <r>
    <d v="2023-09-12T00:00:00"/>
    <x v="202"/>
    <x v="6"/>
    <x v="0"/>
    <x v="2"/>
    <n v="67.900000000000006"/>
    <n v="5"/>
    <n v="0.68"/>
    <x v="8"/>
    <x v="2"/>
  </r>
  <r>
    <d v="2023-09-12T00:00:00"/>
    <x v="202"/>
    <x v="6"/>
    <x v="1"/>
    <x v="5"/>
    <n v="1059.1199999999999"/>
    <n v="4"/>
    <n v="307.14"/>
    <x v="8"/>
    <x v="2"/>
  </r>
  <r>
    <d v="2023-09-12T00:00:00"/>
    <x v="571"/>
    <x v="14"/>
    <x v="0"/>
    <x v="0"/>
    <n v="68.52"/>
    <n v="3"/>
    <n v="31.52"/>
    <x v="8"/>
    <x v="2"/>
  </r>
  <r>
    <d v="2023-09-12T00:00:00"/>
    <x v="675"/>
    <x v="26"/>
    <x v="2"/>
    <x v="6"/>
    <n v="146.94999999999999"/>
    <n v="3"/>
    <n v="9.18"/>
    <x v="8"/>
    <x v="2"/>
  </r>
  <r>
    <d v="2023-09-12T00:00:00"/>
    <x v="675"/>
    <x v="26"/>
    <x v="1"/>
    <x v="5"/>
    <n v="83.14"/>
    <n v="4"/>
    <n v="5.2"/>
    <x v="8"/>
    <x v="2"/>
  </r>
  <r>
    <d v="2023-09-12T00:00:00"/>
    <x v="212"/>
    <x v="20"/>
    <x v="1"/>
    <x v="8"/>
    <n v="40.479999999999997"/>
    <n v="2"/>
    <n v="14.57"/>
    <x v="8"/>
    <x v="2"/>
  </r>
  <r>
    <d v="2023-09-13T00:00:00"/>
    <x v="199"/>
    <x v="40"/>
    <x v="0"/>
    <x v="2"/>
    <n v="40.74"/>
    <n v="3"/>
    <n v="0.41"/>
    <x v="8"/>
    <x v="2"/>
  </r>
  <r>
    <d v="2023-09-13T00:00:00"/>
    <x v="199"/>
    <x v="40"/>
    <x v="0"/>
    <x v="1"/>
    <n v="14.4"/>
    <n v="5"/>
    <n v="7.06"/>
    <x v="8"/>
    <x v="2"/>
  </r>
  <r>
    <d v="2023-09-13T00:00:00"/>
    <x v="199"/>
    <x v="40"/>
    <x v="2"/>
    <x v="6"/>
    <n v="149.94999999999999"/>
    <n v="5"/>
    <n v="41.99"/>
    <x v="8"/>
    <x v="2"/>
  </r>
  <r>
    <d v="2023-09-13T00:00:00"/>
    <x v="199"/>
    <x v="40"/>
    <x v="0"/>
    <x v="14"/>
    <n v="16.899999999999999"/>
    <n v="2"/>
    <n v="5.07"/>
    <x v="8"/>
    <x v="2"/>
  </r>
  <r>
    <d v="2023-09-13T00:00:00"/>
    <x v="199"/>
    <x v="40"/>
    <x v="0"/>
    <x v="0"/>
    <n v="17.61"/>
    <n v="3"/>
    <n v="8.4499999999999993"/>
    <x v="8"/>
    <x v="2"/>
  </r>
  <r>
    <d v="2023-09-13T00:00:00"/>
    <x v="199"/>
    <x v="40"/>
    <x v="0"/>
    <x v="12"/>
    <n v="378"/>
    <n v="2"/>
    <n v="136.08000000000001"/>
    <x v="8"/>
    <x v="2"/>
  </r>
  <r>
    <d v="2023-09-13T00:00:00"/>
    <x v="199"/>
    <x v="40"/>
    <x v="0"/>
    <x v="0"/>
    <n v="17.64"/>
    <n v="3"/>
    <n v="8.64"/>
    <x v="8"/>
    <x v="2"/>
  </r>
  <r>
    <d v="2023-09-13T00:00:00"/>
    <x v="199"/>
    <x v="40"/>
    <x v="0"/>
    <x v="2"/>
    <n v="373.08"/>
    <n v="6"/>
    <n v="100.73"/>
    <x v="8"/>
    <x v="2"/>
  </r>
  <r>
    <d v="2023-09-13T00:00:00"/>
    <x v="199"/>
    <x v="40"/>
    <x v="1"/>
    <x v="8"/>
    <n v="1336.44"/>
    <n v="14"/>
    <n v="387.57"/>
    <x v="8"/>
    <x v="2"/>
  </r>
  <r>
    <d v="2023-09-13T00:00:00"/>
    <x v="199"/>
    <x v="40"/>
    <x v="2"/>
    <x v="6"/>
    <n v="29.97"/>
    <n v="3"/>
    <n v="0.3"/>
    <x v="8"/>
    <x v="2"/>
  </r>
  <r>
    <d v="2023-09-14T00:00:00"/>
    <x v="672"/>
    <x v="9"/>
    <x v="0"/>
    <x v="0"/>
    <n v="25.92"/>
    <n v="4"/>
    <n v="12.44"/>
    <x v="8"/>
    <x v="2"/>
  </r>
  <r>
    <d v="2023-09-14T00:00:00"/>
    <x v="68"/>
    <x v="20"/>
    <x v="2"/>
    <x v="6"/>
    <n v="437.85"/>
    <n v="3"/>
    <n v="131.36000000000001"/>
    <x v="8"/>
    <x v="2"/>
  </r>
  <r>
    <d v="2023-09-14T00:00:00"/>
    <x v="68"/>
    <x v="20"/>
    <x v="0"/>
    <x v="3"/>
    <n v="673.57"/>
    <n v="2"/>
    <n v="252.59"/>
    <x v="8"/>
    <x v="2"/>
  </r>
  <r>
    <d v="2023-09-15T00:00:00"/>
    <x v="622"/>
    <x v="2"/>
    <x v="0"/>
    <x v="0"/>
    <n v="5.34"/>
    <n v="1"/>
    <n v="1.87"/>
    <x v="8"/>
    <x v="2"/>
  </r>
  <r>
    <d v="2023-09-15T00:00:00"/>
    <x v="512"/>
    <x v="20"/>
    <x v="0"/>
    <x v="3"/>
    <n v="841.57"/>
    <n v="2"/>
    <n v="294.55"/>
    <x v="8"/>
    <x v="2"/>
  </r>
  <r>
    <d v="2023-09-15T00:00:00"/>
    <x v="751"/>
    <x v="22"/>
    <x v="0"/>
    <x v="0"/>
    <n v="21.4"/>
    <n v="5"/>
    <n v="10.06"/>
    <x v="8"/>
    <x v="2"/>
  </r>
  <r>
    <d v="2023-09-15T00:00:00"/>
    <x v="751"/>
    <x v="22"/>
    <x v="0"/>
    <x v="3"/>
    <n v="48.66"/>
    <n v="7"/>
    <n v="15.82"/>
    <x v="8"/>
    <x v="2"/>
  </r>
  <r>
    <d v="2023-09-15T00:00:00"/>
    <x v="514"/>
    <x v="34"/>
    <x v="0"/>
    <x v="3"/>
    <n v="20.420000000000002"/>
    <n v="4"/>
    <n v="6.64"/>
    <x v="8"/>
    <x v="2"/>
  </r>
  <r>
    <d v="2023-09-15T00:00:00"/>
    <x v="514"/>
    <x v="34"/>
    <x v="1"/>
    <x v="13"/>
    <n v="1128.3900000000001"/>
    <n v="3"/>
    <n v="259.52999999999997"/>
    <x v="8"/>
    <x v="2"/>
  </r>
  <r>
    <d v="2023-09-15T00:00:00"/>
    <x v="475"/>
    <x v="22"/>
    <x v="0"/>
    <x v="4"/>
    <n v="35.4"/>
    <n v="5"/>
    <n v="13.45"/>
    <x v="8"/>
    <x v="2"/>
  </r>
  <r>
    <d v="2023-09-16T00:00:00"/>
    <x v="288"/>
    <x v="3"/>
    <x v="0"/>
    <x v="0"/>
    <n v="12.96"/>
    <n v="2"/>
    <n v="6.35"/>
    <x v="8"/>
    <x v="2"/>
  </r>
  <r>
    <d v="2023-09-16T00:00:00"/>
    <x v="435"/>
    <x v="3"/>
    <x v="1"/>
    <x v="11"/>
    <n v="273.67"/>
    <n v="2"/>
    <n v="-12.88"/>
    <x v="8"/>
    <x v="2"/>
  </r>
  <r>
    <d v="2023-09-16T00:00:00"/>
    <x v="435"/>
    <x v="3"/>
    <x v="0"/>
    <x v="12"/>
    <n v="17.48"/>
    <n v="4"/>
    <n v="4.54"/>
    <x v="8"/>
    <x v="2"/>
  </r>
  <r>
    <d v="2023-09-16T00:00:00"/>
    <x v="234"/>
    <x v="4"/>
    <x v="1"/>
    <x v="5"/>
    <n v="121.78"/>
    <n v="2"/>
    <n v="30.45"/>
    <x v="8"/>
    <x v="2"/>
  </r>
  <r>
    <d v="2023-09-17T00:00:00"/>
    <x v="763"/>
    <x v="3"/>
    <x v="0"/>
    <x v="4"/>
    <n v="20.100000000000001"/>
    <n v="3"/>
    <n v="6.63"/>
    <x v="8"/>
    <x v="2"/>
  </r>
  <r>
    <d v="2023-09-17T00:00:00"/>
    <x v="763"/>
    <x v="3"/>
    <x v="2"/>
    <x v="6"/>
    <n v="73.58"/>
    <n v="2"/>
    <n v="8.2799999999999994"/>
    <x v="8"/>
    <x v="2"/>
  </r>
  <r>
    <d v="2023-09-17T00:00:00"/>
    <x v="763"/>
    <x v="3"/>
    <x v="0"/>
    <x v="0"/>
    <n v="6.48"/>
    <n v="1"/>
    <n v="3.11"/>
    <x v="8"/>
    <x v="2"/>
  </r>
  <r>
    <d v="2023-09-17T00:00:00"/>
    <x v="106"/>
    <x v="4"/>
    <x v="2"/>
    <x v="15"/>
    <n v="396"/>
    <n v="4"/>
    <n v="190.08"/>
    <x v="8"/>
    <x v="2"/>
  </r>
  <r>
    <d v="2023-09-17T00:00:00"/>
    <x v="174"/>
    <x v="41"/>
    <x v="2"/>
    <x v="6"/>
    <n v="437.85"/>
    <n v="3"/>
    <n v="131.36000000000001"/>
    <x v="8"/>
    <x v="2"/>
  </r>
  <r>
    <d v="2023-09-17T00:00:00"/>
    <x v="174"/>
    <x v="41"/>
    <x v="1"/>
    <x v="8"/>
    <n v="109.48"/>
    <n v="2"/>
    <n v="33.94"/>
    <x v="8"/>
    <x v="2"/>
  </r>
  <r>
    <d v="2023-09-17T00:00:00"/>
    <x v="694"/>
    <x v="22"/>
    <x v="1"/>
    <x v="5"/>
    <n v="113.89"/>
    <n v="2"/>
    <n v="9.9700000000000006"/>
    <x v="8"/>
    <x v="2"/>
  </r>
  <r>
    <d v="2023-09-17T00:00:00"/>
    <x v="694"/>
    <x v="22"/>
    <x v="2"/>
    <x v="6"/>
    <n v="105.58"/>
    <n v="2"/>
    <n v="7.92"/>
    <x v="8"/>
    <x v="2"/>
  </r>
  <r>
    <d v="2023-09-17T00:00:00"/>
    <x v="399"/>
    <x v="20"/>
    <x v="0"/>
    <x v="3"/>
    <n v="232.4"/>
    <n v="5"/>
    <n v="78.44"/>
    <x v="8"/>
    <x v="2"/>
  </r>
  <r>
    <d v="2023-09-17T00:00:00"/>
    <x v="14"/>
    <x v="18"/>
    <x v="0"/>
    <x v="4"/>
    <n v="33.4"/>
    <n v="5"/>
    <n v="12.36"/>
    <x v="8"/>
    <x v="2"/>
  </r>
  <r>
    <d v="2023-09-17T00:00:00"/>
    <x v="99"/>
    <x v="32"/>
    <x v="1"/>
    <x v="8"/>
    <n v="14.82"/>
    <n v="3"/>
    <n v="6.22"/>
    <x v="8"/>
    <x v="2"/>
  </r>
  <r>
    <d v="2023-09-17T00:00:00"/>
    <x v="99"/>
    <x v="32"/>
    <x v="1"/>
    <x v="8"/>
    <n v="191.82"/>
    <n v="3"/>
    <n v="61.38"/>
    <x v="8"/>
    <x v="2"/>
  </r>
  <r>
    <d v="2023-09-17T00:00:00"/>
    <x v="350"/>
    <x v="10"/>
    <x v="0"/>
    <x v="2"/>
    <n v="295.39999999999998"/>
    <n v="5"/>
    <n v="-62.77"/>
    <x v="8"/>
    <x v="2"/>
  </r>
  <r>
    <d v="2023-09-17T00:00:00"/>
    <x v="684"/>
    <x v="22"/>
    <x v="0"/>
    <x v="1"/>
    <n v="12.32"/>
    <n v="4"/>
    <n v="5.91"/>
    <x v="8"/>
    <x v="2"/>
  </r>
  <r>
    <d v="2023-09-18T00:00:00"/>
    <x v="700"/>
    <x v="20"/>
    <x v="0"/>
    <x v="3"/>
    <n v="4.62"/>
    <n v="1"/>
    <n v="1.73"/>
    <x v="8"/>
    <x v="2"/>
  </r>
  <r>
    <d v="2023-09-18T00:00:00"/>
    <x v="555"/>
    <x v="16"/>
    <x v="1"/>
    <x v="13"/>
    <n v="383.44"/>
    <n v="4"/>
    <n v="-167.32"/>
    <x v="8"/>
    <x v="2"/>
  </r>
  <r>
    <d v="2023-09-18T00:00:00"/>
    <x v="481"/>
    <x v="33"/>
    <x v="1"/>
    <x v="5"/>
    <n v="350.98"/>
    <n v="1"/>
    <n v="84.24"/>
    <x v="8"/>
    <x v="2"/>
  </r>
  <r>
    <d v="2023-09-18T00:00:00"/>
    <x v="481"/>
    <x v="33"/>
    <x v="0"/>
    <x v="0"/>
    <n v="13.08"/>
    <n v="2"/>
    <n v="6.02"/>
    <x v="8"/>
    <x v="2"/>
  </r>
  <r>
    <d v="2023-09-18T00:00:00"/>
    <x v="481"/>
    <x v="33"/>
    <x v="0"/>
    <x v="2"/>
    <n v="900.08"/>
    <n v="4"/>
    <n v="117.01"/>
    <x v="8"/>
    <x v="2"/>
  </r>
  <r>
    <d v="2023-09-18T00:00:00"/>
    <x v="9"/>
    <x v="10"/>
    <x v="1"/>
    <x v="8"/>
    <n v="5.35"/>
    <n v="3"/>
    <n v="1.61"/>
    <x v="8"/>
    <x v="2"/>
  </r>
  <r>
    <d v="2023-09-18T00:00:00"/>
    <x v="9"/>
    <x v="10"/>
    <x v="1"/>
    <x v="5"/>
    <n v="99.37"/>
    <n v="2"/>
    <n v="-7.1"/>
    <x v="8"/>
    <x v="2"/>
  </r>
  <r>
    <d v="2023-09-18T00:00:00"/>
    <x v="9"/>
    <x v="10"/>
    <x v="0"/>
    <x v="4"/>
    <n v="2.67"/>
    <n v="1"/>
    <n v="0.37"/>
    <x v="8"/>
    <x v="2"/>
  </r>
  <r>
    <d v="2023-09-18T00:00:00"/>
    <x v="226"/>
    <x v="20"/>
    <x v="1"/>
    <x v="5"/>
    <n v="631.78"/>
    <n v="2"/>
    <n v="140.4"/>
    <x v="8"/>
    <x v="2"/>
  </r>
  <r>
    <d v="2023-09-18T00:00:00"/>
    <x v="226"/>
    <x v="20"/>
    <x v="1"/>
    <x v="8"/>
    <n v="60.72"/>
    <n v="3"/>
    <n v="26.11"/>
    <x v="8"/>
    <x v="2"/>
  </r>
  <r>
    <d v="2023-09-18T00:00:00"/>
    <x v="487"/>
    <x v="16"/>
    <x v="0"/>
    <x v="1"/>
    <n v="3"/>
    <n v="1"/>
    <n v="1.05"/>
    <x v="8"/>
    <x v="2"/>
  </r>
  <r>
    <d v="2023-09-18T00:00:00"/>
    <x v="638"/>
    <x v="3"/>
    <x v="1"/>
    <x v="5"/>
    <n v="801.57"/>
    <n v="2"/>
    <n v="50.1"/>
    <x v="8"/>
    <x v="2"/>
  </r>
  <r>
    <d v="2023-09-18T00:00:00"/>
    <x v="638"/>
    <x v="3"/>
    <x v="0"/>
    <x v="0"/>
    <n v="368.91"/>
    <n v="9"/>
    <n v="180.77"/>
    <x v="8"/>
    <x v="2"/>
  </r>
  <r>
    <d v="2023-09-18T00:00:00"/>
    <x v="638"/>
    <x v="3"/>
    <x v="1"/>
    <x v="5"/>
    <n v="885.53"/>
    <n v="9"/>
    <n v="-99.62"/>
    <x v="8"/>
    <x v="2"/>
  </r>
  <r>
    <d v="2023-09-18T00:00:00"/>
    <x v="649"/>
    <x v="3"/>
    <x v="2"/>
    <x v="6"/>
    <n v="239.98"/>
    <n v="2"/>
    <n v="24"/>
    <x v="8"/>
    <x v="2"/>
  </r>
  <r>
    <d v="2023-09-19T00:00:00"/>
    <x v="469"/>
    <x v="1"/>
    <x v="1"/>
    <x v="5"/>
    <n v="701.37"/>
    <n v="2"/>
    <n v="-50.1"/>
    <x v="8"/>
    <x v="2"/>
  </r>
  <r>
    <d v="2023-09-19T00:00:00"/>
    <x v="469"/>
    <x v="1"/>
    <x v="0"/>
    <x v="3"/>
    <n v="2.31"/>
    <n v="2"/>
    <n v="-3.46"/>
    <x v="8"/>
    <x v="2"/>
  </r>
  <r>
    <d v="2023-09-19T00:00:00"/>
    <x v="511"/>
    <x v="43"/>
    <x v="0"/>
    <x v="2"/>
    <n v="1606.23"/>
    <n v="9"/>
    <n v="481.87"/>
    <x v="8"/>
    <x v="2"/>
  </r>
  <r>
    <d v="2023-09-19T00:00:00"/>
    <x v="511"/>
    <x v="43"/>
    <x v="0"/>
    <x v="0"/>
    <n v="17.04"/>
    <n v="3"/>
    <n v="7.67"/>
    <x v="8"/>
    <x v="2"/>
  </r>
  <r>
    <d v="2023-09-19T00:00:00"/>
    <x v="511"/>
    <x v="43"/>
    <x v="0"/>
    <x v="3"/>
    <n v="49.53"/>
    <n v="3"/>
    <n v="23.77"/>
    <x v="8"/>
    <x v="2"/>
  </r>
  <r>
    <d v="2023-09-19T00:00:00"/>
    <x v="511"/>
    <x v="43"/>
    <x v="1"/>
    <x v="5"/>
    <n v="872.32"/>
    <n v="4"/>
    <n v="244.25"/>
    <x v="8"/>
    <x v="2"/>
  </r>
  <r>
    <d v="2023-09-19T00:00:00"/>
    <x v="308"/>
    <x v="3"/>
    <x v="0"/>
    <x v="0"/>
    <n v="159.88"/>
    <n v="7"/>
    <n v="73.540000000000006"/>
    <x v="8"/>
    <x v="2"/>
  </r>
  <r>
    <d v="2023-09-19T00:00:00"/>
    <x v="26"/>
    <x v="23"/>
    <x v="0"/>
    <x v="3"/>
    <n v="25.44"/>
    <n v="6"/>
    <n v="12.72"/>
    <x v="8"/>
    <x v="2"/>
  </r>
  <r>
    <d v="2023-09-19T00:00:00"/>
    <x v="26"/>
    <x v="23"/>
    <x v="0"/>
    <x v="14"/>
    <n v="27.93"/>
    <n v="3"/>
    <n v="8.1"/>
    <x v="8"/>
    <x v="2"/>
  </r>
  <r>
    <d v="2023-09-19T00:00:00"/>
    <x v="633"/>
    <x v="4"/>
    <x v="0"/>
    <x v="14"/>
    <n v="5.04"/>
    <n v="2"/>
    <n v="0.15"/>
    <x v="8"/>
    <x v="2"/>
  </r>
  <r>
    <d v="2023-09-19T00:00:00"/>
    <x v="633"/>
    <x v="4"/>
    <x v="2"/>
    <x v="9"/>
    <n v="249.95"/>
    <n v="5"/>
    <n v="107.48"/>
    <x v="8"/>
    <x v="2"/>
  </r>
  <r>
    <d v="2023-09-19T00:00:00"/>
    <x v="64"/>
    <x v="2"/>
    <x v="1"/>
    <x v="8"/>
    <n v="25.63"/>
    <n v="3"/>
    <n v="3.84"/>
    <x v="8"/>
    <x v="2"/>
  </r>
  <r>
    <d v="2023-09-19T00:00:00"/>
    <x v="684"/>
    <x v="3"/>
    <x v="0"/>
    <x v="3"/>
    <n v="11.95"/>
    <n v="3"/>
    <n v="4.18"/>
    <x v="8"/>
    <x v="2"/>
  </r>
  <r>
    <d v="2023-09-19T00:00:00"/>
    <x v="684"/>
    <x v="3"/>
    <x v="0"/>
    <x v="14"/>
    <n v="6.24"/>
    <n v="3"/>
    <n v="1.87"/>
    <x v="8"/>
    <x v="2"/>
  </r>
  <r>
    <d v="2023-09-19T00:00:00"/>
    <x v="584"/>
    <x v="43"/>
    <x v="0"/>
    <x v="2"/>
    <n v="69.52"/>
    <n v="2"/>
    <n v="17.38"/>
    <x v="8"/>
    <x v="2"/>
  </r>
  <r>
    <d v="2023-09-19T00:00:00"/>
    <x v="136"/>
    <x v="3"/>
    <x v="0"/>
    <x v="3"/>
    <n v="8.93"/>
    <n v="2"/>
    <n v="3.12"/>
    <x v="8"/>
    <x v="2"/>
  </r>
  <r>
    <d v="2023-09-20T00:00:00"/>
    <x v="129"/>
    <x v="3"/>
    <x v="0"/>
    <x v="0"/>
    <n v="65.790000000000006"/>
    <n v="9"/>
    <n v="30.26"/>
    <x v="8"/>
    <x v="2"/>
  </r>
  <r>
    <d v="2023-09-20T00:00:00"/>
    <x v="129"/>
    <x v="3"/>
    <x v="0"/>
    <x v="3"/>
    <n v="271.98"/>
    <n v="2"/>
    <n v="88.39"/>
    <x v="8"/>
    <x v="2"/>
  </r>
  <r>
    <d v="2023-09-20T00:00:00"/>
    <x v="129"/>
    <x v="3"/>
    <x v="0"/>
    <x v="4"/>
    <n v="11.76"/>
    <n v="4"/>
    <n v="3.18"/>
    <x v="8"/>
    <x v="2"/>
  </r>
  <r>
    <d v="2023-09-20T00:00:00"/>
    <x v="129"/>
    <x v="3"/>
    <x v="0"/>
    <x v="0"/>
    <n v="77.52"/>
    <n v="2"/>
    <n v="37.979999999999997"/>
    <x v="8"/>
    <x v="2"/>
  </r>
  <r>
    <d v="2023-09-20T00:00:00"/>
    <x v="129"/>
    <x v="3"/>
    <x v="0"/>
    <x v="3"/>
    <n v="48.64"/>
    <n v="2"/>
    <n v="15.81"/>
    <x v="8"/>
    <x v="2"/>
  </r>
  <r>
    <d v="2023-09-20T00:00:00"/>
    <x v="76"/>
    <x v="25"/>
    <x v="1"/>
    <x v="8"/>
    <n v="17.09"/>
    <n v="2"/>
    <n v="1.07"/>
    <x v="8"/>
    <x v="2"/>
  </r>
  <r>
    <d v="2023-09-20T00:00:00"/>
    <x v="76"/>
    <x v="25"/>
    <x v="1"/>
    <x v="5"/>
    <n v="98.39"/>
    <n v="1"/>
    <n v="-11.07"/>
    <x v="8"/>
    <x v="2"/>
  </r>
  <r>
    <d v="2023-09-20T00:00:00"/>
    <x v="276"/>
    <x v="20"/>
    <x v="0"/>
    <x v="12"/>
    <n v="393.25"/>
    <n v="5"/>
    <n v="129.77000000000001"/>
    <x v="8"/>
    <x v="2"/>
  </r>
  <r>
    <d v="2023-09-20T00:00:00"/>
    <x v="647"/>
    <x v="14"/>
    <x v="0"/>
    <x v="3"/>
    <n v="83.7"/>
    <n v="5"/>
    <n v="41.01"/>
    <x v="8"/>
    <x v="2"/>
  </r>
  <r>
    <d v="2023-09-20T00:00:00"/>
    <x v="631"/>
    <x v="22"/>
    <x v="1"/>
    <x v="11"/>
    <n v="163.88"/>
    <n v="2"/>
    <n v="40.97"/>
    <x v="8"/>
    <x v="2"/>
  </r>
  <r>
    <d v="2023-09-22T00:00:00"/>
    <x v="562"/>
    <x v="15"/>
    <x v="0"/>
    <x v="4"/>
    <n v="40.78"/>
    <n v="3"/>
    <n v="4.59"/>
    <x v="8"/>
    <x v="2"/>
  </r>
  <r>
    <d v="2023-09-22T00:00:00"/>
    <x v="562"/>
    <x v="15"/>
    <x v="2"/>
    <x v="6"/>
    <n v="63.94"/>
    <n v="8"/>
    <n v="5.59"/>
    <x v="8"/>
    <x v="2"/>
  </r>
  <r>
    <d v="2023-09-22T00:00:00"/>
    <x v="517"/>
    <x v="2"/>
    <x v="0"/>
    <x v="4"/>
    <n v="7.87"/>
    <n v="3"/>
    <n v="0.89"/>
    <x v="8"/>
    <x v="2"/>
  </r>
  <r>
    <d v="2023-09-22T00:00:00"/>
    <x v="482"/>
    <x v="16"/>
    <x v="0"/>
    <x v="3"/>
    <n v="7.51"/>
    <n v="9"/>
    <n v="-6"/>
    <x v="8"/>
    <x v="2"/>
  </r>
  <r>
    <d v="2023-09-22T00:00:00"/>
    <x v="482"/>
    <x v="16"/>
    <x v="0"/>
    <x v="1"/>
    <n v="16.559999999999999"/>
    <n v="2"/>
    <n v="5.8"/>
    <x v="8"/>
    <x v="2"/>
  </r>
  <r>
    <d v="2023-09-22T00:00:00"/>
    <x v="326"/>
    <x v="5"/>
    <x v="1"/>
    <x v="8"/>
    <n v="13.28"/>
    <n v="2"/>
    <n v="6.37"/>
    <x v="8"/>
    <x v="2"/>
  </r>
  <r>
    <d v="2023-09-22T00:00:00"/>
    <x v="629"/>
    <x v="2"/>
    <x v="0"/>
    <x v="1"/>
    <n v="16.52"/>
    <n v="5"/>
    <n v="5.37"/>
    <x v="8"/>
    <x v="2"/>
  </r>
  <r>
    <d v="2023-09-22T00:00:00"/>
    <x v="381"/>
    <x v="20"/>
    <x v="0"/>
    <x v="2"/>
    <n v="128.34"/>
    <n v="6"/>
    <n v="37.22"/>
    <x v="8"/>
    <x v="2"/>
  </r>
  <r>
    <d v="2023-09-22T00:00:00"/>
    <x v="461"/>
    <x v="18"/>
    <x v="0"/>
    <x v="0"/>
    <n v="35.880000000000003"/>
    <n v="6"/>
    <n v="16.149999999999999"/>
    <x v="8"/>
    <x v="2"/>
  </r>
  <r>
    <d v="2023-09-22T00:00:00"/>
    <x v="436"/>
    <x v="26"/>
    <x v="1"/>
    <x v="8"/>
    <n v="68.430000000000007"/>
    <n v="7"/>
    <n v="8.5500000000000007"/>
    <x v="8"/>
    <x v="2"/>
  </r>
  <r>
    <d v="2023-09-22T00:00:00"/>
    <x v="10"/>
    <x v="21"/>
    <x v="1"/>
    <x v="8"/>
    <n v="18.96"/>
    <n v="2"/>
    <n v="7.58"/>
    <x v="8"/>
    <x v="2"/>
  </r>
  <r>
    <d v="2023-09-22T00:00:00"/>
    <x v="70"/>
    <x v="10"/>
    <x v="0"/>
    <x v="10"/>
    <n v="63.97"/>
    <n v="2"/>
    <n v="19.989999999999998"/>
    <x v="8"/>
    <x v="2"/>
  </r>
  <r>
    <d v="2023-09-22T00:00:00"/>
    <x v="361"/>
    <x v="14"/>
    <x v="0"/>
    <x v="0"/>
    <n v="35.56"/>
    <n v="7"/>
    <n v="16.71"/>
    <x v="8"/>
    <x v="2"/>
  </r>
  <r>
    <d v="2023-09-22T00:00:00"/>
    <x v="361"/>
    <x v="14"/>
    <x v="2"/>
    <x v="6"/>
    <n v="97.98"/>
    <n v="2"/>
    <n v="27.43"/>
    <x v="8"/>
    <x v="2"/>
  </r>
  <r>
    <d v="2023-09-23T00:00:00"/>
    <x v="254"/>
    <x v="10"/>
    <x v="1"/>
    <x v="8"/>
    <n v="532.70000000000005"/>
    <n v="6"/>
    <n v="-26.64"/>
    <x v="8"/>
    <x v="2"/>
  </r>
  <r>
    <d v="2023-09-23T00:00:00"/>
    <x v="254"/>
    <x v="10"/>
    <x v="0"/>
    <x v="4"/>
    <n v="4.91"/>
    <n v="2"/>
    <n v="0.31"/>
    <x v="8"/>
    <x v="2"/>
  </r>
  <r>
    <d v="2023-09-23T00:00:00"/>
    <x v="277"/>
    <x v="4"/>
    <x v="0"/>
    <x v="2"/>
    <n v="118.25"/>
    <n v="5"/>
    <n v="34.29"/>
    <x v="8"/>
    <x v="2"/>
  </r>
  <r>
    <d v="2023-09-23T00:00:00"/>
    <x v="277"/>
    <x v="4"/>
    <x v="1"/>
    <x v="5"/>
    <n v="368.97"/>
    <n v="3"/>
    <n v="81.17"/>
    <x v="8"/>
    <x v="2"/>
  </r>
  <r>
    <d v="2023-09-23T00:00:00"/>
    <x v="507"/>
    <x v="22"/>
    <x v="0"/>
    <x v="14"/>
    <n v="13.68"/>
    <n v="2"/>
    <n v="3.69"/>
    <x v="8"/>
    <x v="2"/>
  </r>
  <r>
    <d v="2023-09-23T00:00:00"/>
    <x v="762"/>
    <x v="3"/>
    <x v="0"/>
    <x v="10"/>
    <n v="4.08"/>
    <n v="2"/>
    <n v="1.92"/>
    <x v="8"/>
    <x v="2"/>
  </r>
  <r>
    <d v="2023-09-23T00:00:00"/>
    <x v="762"/>
    <x v="3"/>
    <x v="0"/>
    <x v="1"/>
    <n v="18.899999999999999"/>
    <n v="3"/>
    <n v="8.69"/>
    <x v="8"/>
    <x v="2"/>
  </r>
  <r>
    <d v="2023-09-23T00:00:00"/>
    <x v="748"/>
    <x v="20"/>
    <x v="0"/>
    <x v="3"/>
    <n v="10.53"/>
    <n v="7"/>
    <n v="3.68"/>
    <x v="8"/>
    <x v="2"/>
  </r>
  <r>
    <d v="2023-09-23T00:00:00"/>
    <x v="179"/>
    <x v="10"/>
    <x v="0"/>
    <x v="0"/>
    <n v="11.95"/>
    <n v="3"/>
    <n v="4.03"/>
    <x v="8"/>
    <x v="2"/>
  </r>
  <r>
    <d v="2023-09-23T00:00:00"/>
    <x v="179"/>
    <x v="10"/>
    <x v="1"/>
    <x v="8"/>
    <n v="28"/>
    <n v="4"/>
    <n v="7.7"/>
    <x v="8"/>
    <x v="2"/>
  </r>
  <r>
    <d v="2023-09-23T00:00:00"/>
    <x v="179"/>
    <x v="10"/>
    <x v="0"/>
    <x v="3"/>
    <n v="12.2"/>
    <n v="7"/>
    <n v="-9.76"/>
    <x v="8"/>
    <x v="2"/>
  </r>
  <r>
    <d v="2023-09-23T00:00:00"/>
    <x v="679"/>
    <x v="22"/>
    <x v="0"/>
    <x v="3"/>
    <n v="13.22"/>
    <n v="4"/>
    <n v="4.46"/>
    <x v="8"/>
    <x v="2"/>
  </r>
  <r>
    <d v="2023-09-23T00:00:00"/>
    <x v="679"/>
    <x v="22"/>
    <x v="1"/>
    <x v="5"/>
    <n v="184.75"/>
    <n v="3"/>
    <n v="-20.78"/>
    <x v="8"/>
    <x v="2"/>
  </r>
  <r>
    <d v="2023-09-24T00:00:00"/>
    <x v="500"/>
    <x v="10"/>
    <x v="1"/>
    <x v="5"/>
    <n v="155.37"/>
    <n v="2"/>
    <n v="-13.32"/>
    <x v="8"/>
    <x v="2"/>
  </r>
  <r>
    <d v="2023-09-24T00:00:00"/>
    <x v="174"/>
    <x v="3"/>
    <x v="0"/>
    <x v="2"/>
    <n v="41.96"/>
    <n v="2"/>
    <n v="2.94"/>
    <x v="8"/>
    <x v="2"/>
  </r>
  <r>
    <d v="2023-09-24T00:00:00"/>
    <x v="174"/>
    <x v="3"/>
    <x v="0"/>
    <x v="0"/>
    <n v="41.7"/>
    <n v="5"/>
    <n v="20.85"/>
    <x v="8"/>
    <x v="2"/>
  </r>
  <r>
    <d v="2023-09-24T00:00:00"/>
    <x v="615"/>
    <x v="3"/>
    <x v="1"/>
    <x v="8"/>
    <n v="63.2"/>
    <n v="5"/>
    <n v="23.38"/>
    <x v="8"/>
    <x v="2"/>
  </r>
  <r>
    <d v="2023-09-24T00:00:00"/>
    <x v="750"/>
    <x v="26"/>
    <x v="1"/>
    <x v="8"/>
    <n v="21.44"/>
    <n v="2"/>
    <n v="7.5"/>
    <x v="8"/>
    <x v="2"/>
  </r>
  <r>
    <d v="2023-09-24T00:00:00"/>
    <x v="750"/>
    <x v="26"/>
    <x v="0"/>
    <x v="2"/>
    <n v="511.06"/>
    <n v="9"/>
    <n v="-95.82"/>
    <x v="8"/>
    <x v="2"/>
  </r>
  <r>
    <d v="2023-09-24T00:00:00"/>
    <x v="157"/>
    <x v="39"/>
    <x v="0"/>
    <x v="3"/>
    <n v="6.38"/>
    <n v="1"/>
    <n v="2.93"/>
    <x v="8"/>
    <x v="2"/>
  </r>
  <r>
    <d v="2023-09-24T00:00:00"/>
    <x v="157"/>
    <x v="39"/>
    <x v="0"/>
    <x v="0"/>
    <n v="6.48"/>
    <n v="1"/>
    <n v="3.11"/>
    <x v="8"/>
    <x v="2"/>
  </r>
  <r>
    <d v="2023-09-24T00:00:00"/>
    <x v="131"/>
    <x v="18"/>
    <x v="1"/>
    <x v="8"/>
    <n v="127.95"/>
    <n v="3"/>
    <n v="21.75"/>
    <x v="8"/>
    <x v="2"/>
  </r>
  <r>
    <d v="2023-09-24T00:00:00"/>
    <x v="521"/>
    <x v="1"/>
    <x v="0"/>
    <x v="3"/>
    <n v="442.37"/>
    <n v="7"/>
    <n v="-729.91"/>
    <x v="8"/>
    <x v="2"/>
  </r>
  <r>
    <d v="2023-09-24T00:00:00"/>
    <x v="150"/>
    <x v="3"/>
    <x v="0"/>
    <x v="10"/>
    <n v="304.89999999999998"/>
    <n v="5"/>
    <n v="143.30000000000001"/>
    <x v="8"/>
    <x v="2"/>
  </r>
  <r>
    <d v="2023-09-24T00:00:00"/>
    <x v="150"/>
    <x v="3"/>
    <x v="1"/>
    <x v="5"/>
    <n v="563.24"/>
    <n v="5"/>
    <n v="56.32"/>
    <x v="8"/>
    <x v="2"/>
  </r>
  <r>
    <d v="2023-09-25T00:00:00"/>
    <x v="579"/>
    <x v="12"/>
    <x v="1"/>
    <x v="13"/>
    <n v="393.17"/>
    <n v="3"/>
    <n v="-204.45"/>
    <x v="8"/>
    <x v="2"/>
  </r>
  <r>
    <d v="2023-09-25T00:00:00"/>
    <x v="62"/>
    <x v="0"/>
    <x v="0"/>
    <x v="1"/>
    <n v="15.94"/>
    <n v="4"/>
    <n v="5.18"/>
    <x v="8"/>
    <x v="2"/>
  </r>
  <r>
    <d v="2023-09-25T00:00:00"/>
    <x v="124"/>
    <x v="11"/>
    <x v="0"/>
    <x v="0"/>
    <n v="60.05"/>
    <n v="9"/>
    <n v="22.52"/>
    <x v="8"/>
    <x v="2"/>
  </r>
  <r>
    <d v="2023-09-25T00:00:00"/>
    <x v="124"/>
    <x v="11"/>
    <x v="0"/>
    <x v="3"/>
    <n v="5.0199999999999996"/>
    <n v="1"/>
    <n v="-3.52"/>
    <x v="8"/>
    <x v="2"/>
  </r>
  <r>
    <d v="2023-09-25T00:00:00"/>
    <x v="621"/>
    <x v="3"/>
    <x v="0"/>
    <x v="4"/>
    <n v="16.559999999999999"/>
    <n v="4"/>
    <n v="6.96"/>
    <x v="8"/>
    <x v="2"/>
  </r>
  <r>
    <d v="2023-09-25T00:00:00"/>
    <x v="571"/>
    <x v="21"/>
    <x v="2"/>
    <x v="9"/>
    <n v="499.95"/>
    <n v="5"/>
    <n v="174.98"/>
    <x v="8"/>
    <x v="2"/>
  </r>
  <r>
    <d v="2023-09-25T00:00:00"/>
    <x v="571"/>
    <x v="21"/>
    <x v="0"/>
    <x v="4"/>
    <n v="3.04"/>
    <n v="1"/>
    <n v="1.03"/>
    <x v="8"/>
    <x v="2"/>
  </r>
  <r>
    <d v="2023-09-25T00:00:00"/>
    <x v="571"/>
    <x v="21"/>
    <x v="1"/>
    <x v="5"/>
    <n v="201.96"/>
    <n v="2"/>
    <n v="50.49"/>
    <x v="8"/>
    <x v="2"/>
  </r>
  <r>
    <d v="2023-09-25T00:00:00"/>
    <x v="571"/>
    <x v="21"/>
    <x v="1"/>
    <x v="8"/>
    <n v="68.64"/>
    <n v="11"/>
    <n v="17.16"/>
    <x v="8"/>
    <x v="2"/>
  </r>
  <r>
    <d v="2023-09-25T00:00:00"/>
    <x v="578"/>
    <x v="10"/>
    <x v="0"/>
    <x v="12"/>
    <n v="286.26"/>
    <n v="1"/>
    <n v="17.89"/>
    <x v="8"/>
    <x v="2"/>
  </r>
  <r>
    <d v="2023-09-25T00:00:00"/>
    <x v="578"/>
    <x v="10"/>
    <x v="0"/>
    <x v="2"/>
    <n v="24.22"/>
    <n v="2"/>
    <n v="-4.84"/>
    <x v="8"/>
    <x v="2"/>
  </r>
  <r>
    <d v="2023-09-25T00:00:00"/>
    <x v="578"/>
    <x v="10"/>
    <x v="0"/>
    <x v="2"/>
    <n v="331.54"/>
    <n v="3"/>
    <n v="-82.88"/>
    <x v="8"/>
    <x v="2"/>
  </r>
  <r>
    <d v="2023-09-25T00:00:00"/>
    <x v="322"/>
    <x v="3"/>
    <x v="1"/>
    <x v="11"/>
    <n v="477.67"/>
    <n v="2"/>
    <n v="84.29"/>
    <x v="8"/>
    <x v="2"/>
  </r>
  <r>
    <d v="2023-09-25T00:00:00"/>
    <x v="275"/>
    <x v="3"/>
    <x v="0"/>
    <x v="0"/>
    <n v="10.9"/>
    <n v="5"/>
    <n v="5.12"/>
    <x v="8"/>
    <x v="2"/>
  </r>
  <r>
    <d v="2023-09-25T00:00:00"/>
    <x v="275"/>
    <x v="3"/>
    <x v="0"/>
    <x v="1"/>
    <n v="29.6"/>
    <n v="2"/>
    <n v="14.8"/>
    <x v="8"/>
    <x v="2"/>
  </r>
  <r>
    <d v="2023-09-25T00:00:00"/>
    <x v="275"/>
    <x v="3"/>
    <x v="0"/>
    <x v="1"/>
    <n v="4.9800000000000004"/>
    <n v="1"/>
    <n v="2.29"/>
    <x v="8"/>
    <x v="2"/>
  </r>
  <r>
    <d v="2023-09-25T00:00:00"/>
    <x v="275"/>
    <x v="3"/>
    <x v="2"/>
    <x v="16"/>
    <n v="479.98"/>
    <n v="3"/>
    <n v="161.99"/>
    <x v="8"/>
    <x v="2"/>
  </r>
  <r>
    <d v="2023-09-25T00:00:00"/>
    <x v="275"/>
    <x v="3"/>
    <x v="2"/>
    <x v="6"/>
    <n v="44.74"/>
    <n v="8"/>
    <n v="4.47"/>
    <x v="8"/>
    <x v="2"/>
  </r>
  <r>
    <d v="2023-09-25T00:00:00"/>
    <x v="275"/>
    <x v="3"/>
    <x v="0"/>
    <x v="4"/>
    <n v="5.76"/>
    <n v="2"/>
    <n v="1.67"/>
    <x v="8"/>
    <x v="2"/>
  </r>
  <r>
    <d v="2023-09-25T00:00:00"/>
    <x v="275"/>
    <x v="3"/>
    <x v="1"/>
    <x v="5"/>
    <n v="483.14"/>
    <n v="4"/>
    <n v="60.39"/>
    <x v="8"/>
    <x v="2"/>
  </r>
  <r>
    <d v="2023-09-26T00:00:00"/>
    <x v="40"/>
    <x v="1"/>
    <x v="1"/>
    <x v="5"/>
    <n v="747.56"/>
    <n v="3"/>
    <n v="-96.11"/>
    <x v="8"/>
    <x v="2"/>
  </r>
  <r>
    <d v="2023-09-26T00:00:00"/>
    <x v="40"/>
    <x v="1"/>
    <x v="0"/>
    <x v="10"/>
    <n v="8.93"/>
    <n v="2"/>
    <n v="3.35"/>
    <x v="8"/>
    <x v="2"/>
  </r>
  <r>
    <d v="2023-09-26T00:00:00"/>
    <x v="562"/>
    <x v="3"/>
    <x v="1"/>
    <x v="11"/>
    <n v="424.96"/>
    <n v="5"/>
    <n v="20"/>
    <x v="8"/>
    <x v="2"/>
  </r>
  <r>
    <d v="2023-09-26T00:00:00"/>
    <x v="188"/>
    <x v="22"/>
    <x v="0"/>
    <x v="12"/>
    <n v="236.88"/>
    <n v="6"/>
    <n v="66.33"/>
    <x v="8"/>
    <x v="2"/>
  </r>
  <r>
    <d v="2023-09-26T00:00:00"/>
    <x v="188"/>
    <x v="22"/>
    <x v="0"/>
    <x v="0"/>
    <n v="29.9"/>
    <n v="5"/>
    <n v="14.65"/>
    <x v="8"/>
    <x v="2"/>
  </r>
  <r>
    <d v="2023-09-26T00:00:00"/>
    <x v="188"/>
    <x v="22"/>
    <x v="2"/>
    <x v="9"/>
    <n v="100"/>
    <n v="4"/>
    <n v="21"/>
    <x v="8"/>
    <x v="2"/>
  </r>
  <r>
    <d v="2023-09-26T00:00:00"/>
    <x v="345"/>
    <x v="30"/>
    <x v="0"/>
    <x v="0"/>
    <n v="9.99"/>
    <n v="1"/>
    <n v="4.5"/>
    <x v="8"/>
    <x v="2"/>
  </r>
  <r>
    <d v="2023-09-26T00:00:00"/>
    <x v="250"/>
    <x v="3"/>
    <x v="0"/>
    <x v="2"/>
    <n v="51.45"/>
    <n v="3"/>
    <n v="13.89"/>
    <x v="8"/>
    <x v="2"/>
  </r>
  <r>
    <d v="2023-09-26T00:00:00"/>
    <x v="250"/>
    <x v="3"/>
    <x v="0"/>
    <x v="1"/>
    <n v="7.83"/>
    <n v="3"/>
    <n v="3.6"/>
    <x v="8"/>
    <x v="2"/>
  </r>
  <r>
    <d v="2023-09-26T00:00:00"/>
    <x v="250"/>
    <x v="3"/>
    <x v="0"/>
    <x v="4"/>
    <n v="35.4"/>
    <n v="5"/>
    <n v="13.45"/>
    <x v="8"/>
    <x v="2"/>
  </r>
  <r>
    <d v="2023-09-26T00:00:00"/>
    <x v="250"/>
    <x v="3"/>
    <x v="0"/>
    <x v="0"/>
    <n v="29.9"/>
    <n v="5"/>
    <n v="13.46"/>
    <x v="8"/>
    <x v="2"/>
  </r>
  <r>
    <d v="2023-09-26T00:00:00"/>
    <x v="360"/>
    <x v="3"/>
    <x v="0"/>
    <x v="0"/>
    <n v="12.96"/>
    <n v="2"/>
    <n v="6.22"/>
    <x v="8"/>
    <x v="2"/>
  </r>
  <r>
    <d v="2023-09-26T00:00:00"/>
    <x v="451"/>
    <x v="16"/>
    <x v="2"/>
    <x v="9"/>
    <n v="431.98"/>
    <n v="3"/>
    <n v="-75.599999999999994"/>
    <x v="8"/>
    <x v="2"/>
  </r>
  <r>
    <d v="2023-09-26T00:00:00"/>
    <x v="59"/>
    <x v="0"/>
    <x v="0"/>
    <x v="3"/>
    <n v="15.62"/>
    <n v="2"/>
    <n v="-25"/>
    <x v="8"/>
    <x v="2"/>
  </r>
  <r>
    <d v="2023-09-26T00:00:00"/>
    <x v="382"/>
    <x v="0"/>
    <x v="0"/>
    <x v="12"/>
    <n v="93.03"/>
    <n v="2"/>
    <n v="-251.19"/>
    <x v="8"/>
    <x v="2"/>
  </r>
  <r>
    <d v="2023-09-26T00:00:00"/>
    <x v="382"/>
    <x v="0"/>
    <x v="1"/>
    <x v="5"/>
    <n v="454.97"/>
    <n v="5"/>
    <n v="-136.49"/>
    <x v="8"/>
    <x v="2"/>
  </r>
  <r>
    <d v="2023-09-26T00:00:00"/>
    <x v="719"/>
    <x v="0"/>
    <x v="0"/>
    <x v="3"/>
    <n v="6.82"/>
    <n v="2"/>
    <n v="-11.59"/>
    <x v="8"/>
    <x v="2"/>
  </r>
  <r>
    <d v="2023-09-27T00:00:00"/>
    <x v="312"/>
    <x v="0"/>
    <x v="1"/>
    <x v="11"/>
    <n v="956.66"/>
    <n v="7"/>
    <n v="-225.1"/>
    <x v="8"/>
    <x v="2"/>
  </r>
  <r>
    <d v="2023-09-27T00:00:00"/>
    <x v="291"/>
    <x v="10"/>
    <x v="0"/>
    <x v="3"/>
    <n v="2.91"/>
    <n v="3"/>
    <n v="-2.0299999999999998"/>
    <x v="8"/>
    <x v="2"/>
  </r>
  <r>
    <d v="2023-09-27T00:00:00"/>
    <x v="661"/>
    <x v="22"/>
    <x v="2"/>
    <x v="6"/>
    <n v="1001.58"/>
    <n v="2"/>
    <n v="125.2"/>
    <x v="8"/>
    <x v="2"/>
  </r>
  <r>
    <d v="2023-09-27T00:00:00"/>
    <x v="229"/>
    <x v="4"/>
    <x v="0"/>
    <x v="0"/>
    <n v="17.940000000000001"/>
    <n v="3"/>
    <n v="8.7899999999999991"/>
    <x v="8"/>
    <x v="2"/>
  </r>
  <r>
    <d v="2023-09-27T00:00:00"/>
    <x v="229"/>
    <x v="4"/>
    <x v="0"/>
    <x v="4"/>
    <n v="13.89"/>
    <n v="3"/>
    <n v="4.58"/>
    <x v="8"/>
    <x v="2"/>
  </r>
  <r>
    <d v="2023-09-28T00:00:00"/>
    <x v="22"/>
    <x v="1"/>
    <x v="0"/>
    <x v="0"/>
    <n v="99.14"/>
    <n v="4"/>
    <n v="30.98"/>
    <x v="8"/>
    <x v="2"/>
  </r>
  <r>
    <d v="2023-09-29T00:00:00"/>
    <x v="637"/>
    <x v="2"/>
    <x v="0"/>
    <x v="1"/>
    <n v="15.94"/>
    <n v="4"/>
    <n v="5.18"/>
    <x v="8"/>
    <x v="2"/>
  </r>
  <r>
    <d v="2023-09-29T00:00:00"/>
    <x v="570"/>
    <x v="18"/>
    <x v="0"/>
    <x v="4"/>
    <n v="40.880000000000003"/>
    <n v="7"/>
    <n v="10.63"/>
    <x v="8"/>
    <x v="2"/>
  </r>
  <r>
    <d v="2023-09-29T00:00:00"/>
    <x v="255"/>
    <x v="3"/>
    <x v="0"/>
    <x v="0"/>
    <n v="18.97"/>
    <n v="1"/>
    <n v="9.11"/>
    <x v="8"/>
    <x v="2"/>
  </r>
  <r>
    <d v="2023-09-29T00:00:00"/>
    <x v="519"/>
    <x v="33"/>
    <x v="2"/>
    <x v="9"/>
    <n v="209.97"/>
    <n v="3"/>
    <n v="71.39"/>
    <x v="8"/>
    <x v="2"/>
  </r>
  <r>
    <d v="2023-09-29T00:00:00"/>
    <x v="519"/>
    <x v="33"/>
    <x v="0"/>
    <x v="3"/>
    <n v="62.94"/>
    <n v="3"/>
    <n v="30.21"/>
    <x v="8"/>
    <x v="2"/>
  </r>
  <r>
    <d v="2023-09-29T00:00:00"/>
    <x v="519"/>
    <x v="33"/>
    <x v="0"/>
    <x v="4"/>
    <n v="25.92"/>
    <n v="9"/>
    <n v="7.78"/>
    <x v="8"/>
    <x v="2"/>
  </r>
  <r>
    <d v="2023-09-29T00:00:00"/>
    <x v="539"/>
    <x v="3"/>
    <x v="0"/>
    <x v="3"/>
    <n v="27.24"/>
    <n v="5"/>
    <n v="9.5299999999999994"/>
    <x v="8"/>
    <x v="2"/>
  </r>
  <r>
    <d v="2023-09-29T00:00:00"/>
    <x v="441"/>
    <x v="12"/>
    <x v="0"/>
    <x v="4"/>
    <n v="10.5"/>
    <n v="4"/>
    <n v="1.18"/>
    <x v="8"/>
    <x v="2"/>
  </r>
  <r>
    <d v="2023-09-29T00:00:00"/>
    <x v="442"/>
    <x v="11"/>
    <x v="2"/>
    <x v="6"/>
    <n v="859.2"/>
    <n v="3"/>
    <n v="75.180000000000007"/>
    <x v="8"/>
    <x v="2"/>
  </r>
  <r>
    <d v="2023-09-29T00:00:00"/>
    <x v="505"/>
    <x v="3"/>
    <x v="2"/>
    <x v="9"/>
    <n v="36.24"/>
    <n v="1"/>
    <n v="15.22"/>
    <x v="8"/>
    <x v="2"/>
  </r>
  <r>
    <d v="2023-09-30T00:00:00"/>
    <x v="605"/>
    <x v="1"/>
    <x v="0"/>
    <x v="3"/>
    <n v="1.96"/>
    <n v="2"/>
    <n v="-3.24"/>
    <x v="8"/>
    <x v="2"/>
  </r>
  <r>
    <d v="2023-09-30T00:00:00"/>
    <x v="193"/>
    <x v="20"/>
    <x v="1"/>
    <x v="11"/>
    <n v="523.91999999999996"/>
    <n v="5"/>
    <n v="-26.2"/>
    <x v="8"/>
    <x v="2"/>
  </r>
  <r>
    <d v="2023-10-01T00:00:00"/>
    <x v="280"/>
    <x v="3"/>
    <x v="1"/>
    <x v="5"/>
    <n v="194.85"/>
    <n v="4"/>
    <n v="12.18"/>
    <x v="9"/>
    <x v="2"/>
  </r>
  <r>
    <d v="2023-10-01T00:00:00"/>
    <x v="393"/>
    <x v="18"/>
    <x v="2"/>
    <x v="6"/>
    <n v="69.900000000000006"/>
    <n v="2"/>
    <n v="18.87"/>
    <x v="9"/>
    <x v="2"/>
  </r>
  <r>
    <d v="2023-10-01T00:00:00"/>
    <x v="393"/>
    <x v="18"/>
    <x v="1"/>
    <x v="8"/>
    <n v="41.85"/>
    <n v="5"/>
    <n v="10.88"/>
    <x v="9"/>
    <x v="2"/>
  </r>
  <r>
    <d v="2023-10-01T00:00:00"/>
    <x v="193"/>
    <x v="20"/>
    <x v="1"/>
    <x v="13"/>
    <n v="330.59"/>
    <n v="1"/>
    <n v="-115.71"/>
    <x v="9"/>
    <x v="2"/>
  </r>
  <r>
    <d v="2023-10-01T00:00:00"/>
    <x v="459"/>
    <x v="0"/>
    <x v="2"/>
    <x v="9"/>
    <n v="79.510000000000005"/>
    <n v="3"/>
    <n v="20.87"/>
    <x v="9"/>
    <x v="2"/>
  </r>
  <r>
    <d v="2023-10-01T00:00:00"/>
    <x v="459"/>
    <x v="0"/>
    <x v="0"/>
    <x v="0"/>
    <n v="28.35"/>
    <n v="1"/>
    <n v="9.57"/>
    <x v="9"/>
    <x v="2"/>
  </r>
  <r>
    <d v="2023-10-01T00:00:00"/>
    <x v="295"/>
    <x v="16"/>
    <x v="0"/>
    <x v="3"/>
    <n v="5.39"/>
    <n v="4"/>
    <n v="-4.49"/>
    <x v="9"/>
    <x v="2"/>
  </r>
  <r>
    <d v="2023-10-01T00:00:00"/>
    <x v="295"/>
    <x v="16"/>
    <x v="0"/>
    <x v="4"/>
    <n v="30.98"/>
    <n v="8"/>
    <n v="5.03"/>
    <x v="9"/>
    <x v="2"/>
  </r>
  <r>
    <d v="2023-10-02T00:00:00"/>
    <x v="676"/>
    <x v="20"/>
    <x v="0"/>
    <x v="12"/>
    <n v="61.44"/>
    <n v="3"/>
    <n v="16.59"/>
    <x v="9"/>
    <x v="2"/>
  </r>
  <r>
    <d v="2023-10-02T00:00:00"/>
    <x v="760"/>
    <x v="12"/>
    <x v="0"/>
    <x v="3"/>
    <n v="54.79"/>
    <n v="6"/>
    <n v="-40.18"/>
    <x v="9"/>
    <x v="2"/>
  </r>
  <r>
    <d v="2023-10-02T00:00:00"/>
    <x v="498"/>
    <x v="18"/>
    <x v="0"/>
    <x v="2"/>
    <n v="32.479999999999997"/>
    <n v="2"/>
    <n v="4.87"/>
    <x v="9"/>
    <x v="2"/>
  </r>
  <r>
    <d v="2023-10-02T00:00:00"/>
    <x v="498"/>
    <x v="18"/>
    <x v="2"/>
    <x v="16"/>
    <n v="17499.95"/>
    <n v="5"/>
    <n v="8399.98"/>
    <x v="9"/>
    <x v="2"/>
  </r>
  <r>
    <d v="2023-10-02T00:00:00"/>
    <x v="498"/>
    <x v="18"/>
    <x v="0"/>
    <x v="3"/>
    <n v="735.98"/>
    <n v="2"/>
    <n v="331.19"/>
    <x v="9"/>
    <x v="2"/>
  </r>
  <r>
    <d v="2023-10-02T00:00:00"/>
    <x v="498"/>
    <x v="18"/>
    <x v="0"/>
    <x v="3"/>
    <n v="34.369999999999997"/>
    <n v="7"/>
    <n v="16.84"/>
    <x v="9"/>
    <x v="2"/>
  </r>
  <r>
    <d v="2023-10-02T00:00:00"/>
    <x v="498"/>
    <x v="18"/>
    <x v="0"/>
    <x v="4"/>
    <n v="33.96"/>
    <n v="2"/>
    <n v="9.51"/>
    <x v="9"/>
    <x v="2"/>
  </r>
  <r>
    <d v="2023-10-03T00:00:00"/>
    <x v="19"/>
    <x v="0"/>
    <x v="0"/>
    <x v="10"/>
    <n v="15.65"/>
    <n v="2"/>
    <n v="5.09"/>
    <x v="9"/>
    <x v="2"/>
  </r>
  <r>
    <d v="2023-10-03T00:00:00"/>
    <x v="185"/>
    <x v="20"/>
    <x v="1"/>
    <x v="5"/>
    <n v="599.29"/>
    <n v="6"/>
    <n v="93.22"/>
    <x v="9"/>
    <x v="2"/>
  </r>
  <r>
    <d v="2023-10-03T00:00:00"/>
    <x v="609"/>
    <x v="0"/>
    <x v="1"/>
    <x v="8"/>
    <n v="38.08"/>
    <n v="5"/>
    <n v="-29.51"/>
    <x v="9"/>
    <x v="2"/>
  </r>
  <r>
    <d v="2023-10-03T00:00:00"/>
    <x v="474"/>
    <x v="3"/>
    <x v="0"/>
    <x v="1"/>
    <n v="6.16"/>
    <n v="2"/>
    <n v="2.96"/>
    <x v="9"/>
    <x v="2"/>
  </r>
  <r>
    <d v="2023-10-03T00:00:00"/>
    <x v="474"/>
    <x v="3"/>
    <x v="1"/>
    <x v="5"/>
    <n v="915.14"/>
    <n v="4"/>
    <n v="102.95"/>
    <x v="9"/>
    <x v="2"/>
  </r>
  <r>
    <d v="2023-10-03T00:00:00"/>
    <x v="474"/>
    <x v="3"/>
    <x v="0"/>
    <x v="0"/>
    <n v="8.56"/>
    <n v="2"/>
    <n v="3.85"/>
    <x v="9"/>
    <x v="2"/>
  </r>
  <r>
    <d v="2023-10-03T00:00:00"/>
    <x v="474"/>
    <x v="3"/>
    <x v="0"/>
    <x v="0"/>
    <n v="97.82"/>
    <n v="2"/>
    <n v="45.98"/>
    <x v="9"/>
    <x v="2"/>
  </r>
  <r>
    <d v="2023-10-04T00:00:00"/>
    <x v="541"/>
    <x v="0"/>
    <x v="0"/>
    <x v="10"/>
    <n v="59.75"/>
    <n v="7"/>
    <n v="19.420000000000002"/>
    <x v="9"/>
    <x v="2"/>
  </r>
  <r>
    <d v="2023-10-04T00:00:00"/>
    <x v="108"/>
    <x v="43"/>
    <x v="0"/>
    <x v="3"/>
    <n v="30.4"/>
    <n v="1"/>
    <n v="13.98"/>
    <x v="9"/>
    <x v="2"/>
  </r>
  <r>
    <d v="2023-10-04T00:00:00"/>
    <x v="108"/>
    <x v="43"/>
    <x v="2"/>
    <x v="16"/>
    <n v="5399.91"/>
    <n v="9"/>
    <n v="2591.96"/>
    <x v="9"/>
    <x v="2"/>
  </r>
  <r>
    <d v="2023-10-04T00:00:00"/>
    <x v="108"/>
    <x v="43"/>
    <x v="0"/>
    <x v="2"/>
    <n v="119.1"/>
    <n v="3"/>
    <n v="34.54"/>
    <x v="9"/>
    <x v="2"/>
  </r>
  <r>
    <d v="2023-10-04T00:00:00"/>
    <x v="7"/>
    <x v="36"/>
    <x v="1"/>
    <x v="13"/>
    <n v="239.37"/>
    <n v="2"/>
    <n v="-23.94"/>
    <x v="9"/>
    <x v="2"/>
  </r>
  <r>
    <d v="2023-10-04T00:00:00"/>
    <x v="123"/>
    <x v="16"/>
    <x v="2"/>
    <x v="6"/>
    <n v="52.68"/>
    <n v="3"/>
    <n v="19.760000000000002"/>
    <x v="9"/>
    <x v="2"/>
  </r>
  <r>
    <d v="2023-10-04T00:00:00"/>
    <x v="123"/>
    <x v="16"/>
    <x v="1"/>
    <x v="8"/>
    <n v="11.57"/>
    <n v="3"/>
    <n v="2.6"/>
    <x v="9"/>
    <x v="2"/>
  </r>
  <r>
    <d v="2023-10-06T00:00:00"/>
    <x v="657"/>
    <x v="39"/>
    <x v="0"/>
    <x v="3"/>
    <n v="28.85"/>
    <n v="5"/>
    <n v="14.43"/>
    <x v="9"/>
    <x v="2"/>
  </r>
  <r>
    <d v="2023-10-06T00:00:00"/>
    <x v="162"/>
    <x v="26"/>
    <x v="2"/>
    <x v="15"/>
    <n v="703.71"/>
    <n v="6"/>
    <n v="-938.28"/>
    <x v="9"/>
    <x v="2"/>
  </r>
  <r>
    <d v="2023-10-06T00:00:00"/>
    <x v="162"/>
    <x v="26"/>
    <x v="0"/>
    <x v="3"/>
    <n v="17.899999999999999"/>
    <n v="4"/>
    <n v="-14.92"/>
    <x v="9"/>
    <x v="2"/>
  </r>
  <r>
    <d v="2023-10-06T00:00:00"/>
    <x v="162"/>
    <x v="26"/>
    <x v="0"/>
    <x v="3"/>
    <n v="11.98"/>
    <n v="4"/>
    <n v="-9.18"/>
    <x v="9"/>
    <x v="2"/>
  </r>
  <r>
    <d v="2023-10-06T00:00:00"/>
    <x v="162"/>
    <x v="26"/>
    <x v="2"/>
    <x v="9"/>
    <n v="67.959999999999994"/>
    <n v="5"/>
    <n v="0.85"/>
    <x v="9"/>
    <x v="2"/>
  </r>
  <r>
    <d v="2023-10-07T00:00:00"/>
    <x v="560"/>
    <x v="3"/>
    <x v="0"/>
    <x v="3"/>
    <n v="27.26"/>
    <n v="2"/>
    <n v="8.86"/>
    <x v="9"/>
    <x v="2"/>
  </r>
  <r>
    <d v="2023-10-07T00:00:00"/>
    <x v="729"/>
    <x v="22"/>
    <x v="2"/>
    <x v="15"/>
    <n v="837.6"/>
    <n v="3"/>
    <n v="62.82"/>
    <x v="9"/>
    <x v="2"/>
  </r>
  <r>
    <d v="2023-10-07T00:00:00"/>
    <x v="204"/>
    <x v="3"/>
    <x v="0"/>
    <x v="0"/>
    <n v="10.56"/>
    <n v="2"/>
    <n v="5.07"/>
    <x v="9"/>
    <x v="2"/>
  </r>
  <r>
    <d v="2023-10-07T00:00:00"/>
    <x v="299"/>
    <x v="2"/>
    <x v="0"/>
    <x v="1"/>
    <n v="4.93"/>
    <n v="2"/>
    <n v="1.72"/>
    <x v="9"/>
    <x v="2"/>
  </r>
  <r>
    <d v="2023-10-07T00:00:00"/>
    <x v="260"/>
    <x v="22"/>
    <x v="0"/>
    <x v="7"/>
    <n v="93.36"/>
    <n v="12"/>
    <n v="0.93"/>
    <x v="9"/>
    <x v="2"/>
  </r>
  <r>
    <d v="2023-10-08T00:00:00"/>
    <x v="620"/>
    <x v="0"/>
    <x v="1"/>
    <x v="8"/>
    <n v="51.71"/>
    <n v="8"/>
    <n v="-32.32"/>
    <x v="9"/>
    <x v="2"/>
  </r>
  <r>
    <d v="2023-10-08T00:00:00"/>
    <x v="264"/>
    <x v="3"/>
    <x v="0"/>
    <x v="0"/>
    <n v="61.96"/>
    <n v="2"/>
    <n v="27.88"/>
    <x v="9"/>
    <x v="2"/>
  </r>
  <r>
    <d v="2023-10-08T00:00:00"/>
    <x v="725"/>
    <x v="0"/>
    <x v="0"/>
    <x v="1"/>
    <n v="60.14"/>
    <n v="6"/>
    <n v="20.3"/>
    <x v="9"/>
    <x v="2"/>
  </r>
  <r>
    <d v="2023-10-08T00:00:00"/>
    <x v="440"/>
    <x v="25"/>
    <x v="0"/>
    <x v="2"/>
    <n v="387.72"/>
    <n v="5"/>
    <n v="-67.849999999999994"/>
    <x v="9"/>
    <x v="2"/>
  </r>
  <r>
    <d v="2023-10-09T00:00:00"/>
    <x v="634"/>
    <x v="10"/>
    <x v="2"/>
    <x v="6"/>
    <n v="23.98"/>
    <n v="4"/>
    <n v="-15.58"/>
    <x v="9"/>
    <x v="2"/>
  </r>
  <r>
    <d v="2023-10-09T00:00:00"/>
    <x v="457"/>
    <x v="2"/>
    <x v="0"/>
    <x v="0"/>
    <n v="19.14"/>
    <n v="4"/>
    <n v="5.98"/>
    <x v="9"/>
    <x v="2"/>
  </r>
  <r>
    <d v="2023-10-09T00:00:00"/>
    <x v="457"/>
    <x v="2"/>
    <x v="1"/>
    <x v="8"/>
    <n v="332.83"/>
    <n v="4"/>
    <n v="-24.96"/>
    <x v="9"/>
    <x v="2"/>
  </r>
  <r>
    <d v="2023-10-09T00:00:00"/>
    <x v="713"/>
    <x v="12"/>
    <x v="0"/>
    <x v="4"/>
    <n v="1.41"/>
    <n v="1"/>
    <n v="0.16"/>
    <x v="9"/>
    <x v="2"/>
  </r>
  <r>
    <d v="2023-10-09T00:00:00"/>
    <x v="713"/>
    <x v="12"/>
    <x v="1"/>
    <x v="8"/>
    <n v="169.57"/>
    <n v="2"/>
    <n v="0"/>
    <x v="9"/>
    <x v="2"/>
  </r>
  <r>
    <d v="2023-10-10T00:00:00"/>
    <x v="732"/>
    <x v="25"/>
    <x v="0"/>
    <x v="14"/>
    <n v="20.61"/>
    <n v="2"/>
    <n v="-4.38"/>
    <x v="9"/>
    <x v="2"/>
  </r>
  <r>
    <d v="2023-10-10T00:00:00"/>
    <x v="732"/>
    <x v="25"/>
    <x v="0"/>
    <x v="3"/>
    <n v="4.0999999999999996"/>
    <n v="3"/>
    <n v="-2.73"/>
    <x v="9"/>
    <x v="2"/>
  </r>
  <r>
    <d v="2023-10-10T00:00:00"/>
    <x v="369"/>
    <x v="26"/>
    <x v="1"/>
    <x v="11"/>
    <n v="90.88"/>
    <n v="3"/>
    <n v="-190.85"/>
    <x v="9"/>
    <x v="2"/>
  </r>
  <r>
    <d v="2023-10-10T00:00:00"/>
    <x v="369"/>
    <x v="26"/>
    <x v="2"/>
    <x v="6"/>
    <n v="15.99"/>
    <n v="1"/>
    <n v="-3"/>
    <x v="9"/>
    <x v="2"/>
  </r>
  <r>
    <d v="2023-10-10T00:00:00"/>
    <x v="369"/>
    <x v="26"/>
    <x v="1"/>
    <x v="5"/>
    <n v="120.78"/>
    <n v="1"/>
    <n v="13.59"/>
    <x v="9"/>
    <x v="2"/>
  </r>
  <r>
    <d v="2023-10-10T00:00:00"/>
    <x v="494"/>
    <x v="0"/>
    <x v="1"/>
    <x v="8"/>
    <n v="14"/>
    <n v="4"/>
    <n v="-6.3"/>
    <x v="9"/>
    <x v="2"/>
  </r>
  <r>
    <d v="2023-10-10T00:00:00"/>
    <x v="494"/>
    <x v="0"/>
    <x v="0"/>
    <x v="3"/>
    <n v="16.39"/>
    <n v="2"/>
    <n v="-26.23"/>
    <x v="9"/>
    <x v="2"/>
  </r>
  <r>
    <d v="2023-10-11T00:00:00"/>
    <x v="287"/>
    <x v="1"/>
    <x v="0"/>
    <x v="4"/>
    <n v="5.34"/>
    <n v="2"/>
    <n v="0.67"/>
    <x v="9"/>
    <x v="2"/>
  </r>
  <r>
    <d v="2023-10-11T00:00:00"/>
    <x v="287"/>
    <x v="1"/>
    <x v="0"/>
    <x v="4"/>
    <n v="27.72"/>
    <n v="3"/>
    <n v="3.47"/>
    <x v="9"/>
    <x v="2"/>
  </r>
  <r>
    <d v="2023-10-13T00:00:00"/>
    <x v="164"/>
    <x v="3"/>
    <x v="0"/>
    <x v="0"/>
    <n v="20.04"/>
    <n v="3"/>
    <n v="9.6199999999999992"/>
    <x v="9"/>
    <x v="2"/>
  </r>
  <r>
    <d v="2023-10-13T00:00:00"/>
    <x v="164"/>
    <x v="3"/>
    <x v="0"/>
    <x v="0"/>
    <n v="35.44"/>
    <n v="1"/>
    <n v="16.66"/>
    <x v="9"/>
    <x v="2"/>
  </r>
  <r>
    <d v="2023-10-13T00:00:00"/>
    <x v="164"/>
    <x v="3"/>
    <x v="0"/>
    <x v="4"/>
    <n v="11.52"/>
    <n v="4"/>
    <n v="3.46"/>
    <x v="9"/>
    <x v="2"/>
  </r>
  <r>
    <d v="2023-10-13T00:00:00"/>
    <x v="164"/>
    <x v="3"/>
    <x v="0"/>
    <x v="7"/>
    <n v="4.0199999999999996"/>
    <n v="2"/>
    <n v="1.97"/>
    <x v="9"/>
    <x v="2"/>
  </r>
  <r>
    <d v="2023-10-13T00:00:00"/>
    <x v="164"/>
    <x v="3"/>
    <x v="0"/>
    <x v="3"/>
    <n v="76.180000000000007"/>
    <n v="3"/>
    <n v="26.66"/>
    <x v="9"/>
    <x v="2"/>
  </r>
  <r>
    <d v="2023-10-13T00:00:00"/>
    <x v="164"/>
    <x v="3"/>
    <x v="0"/>
    <x v="14"/>
    <n v="65.88"/>
    <n v="6"/>
    <n v="18.45"/>
    <x v="9"/>
    <x v="2"/>
  </r>
  <r>
    <d v="2023-10-13T00:00:00"/>
    <x v="164"/>
    <x v="3"/>
    <x v="1"/>
    <x v="8"/>
    <n v="43.12"/>
    <n v="14"/>
    <n v="20.7"/>
    <x v="9"/>
    <x v="2"/>
  </r>
  <r>
    <d v="2023-10-13T00:00:00"/>
    <x v="479"/>
    <x v="26"/>
    <x v="1"/>
    <x v="13"/>
    <n v="727.45"/>
    <n v="5"/>
    <n v="-465.57"/>
    <x v="9"/>
    <x v="2"/>
  </r>
  <r>
    <d v="2023-10-13T00:00:00"/>
    <x v="479"/>
    <x v="26"/>
    <x v="1"/>
    <x v="8"/>
    <n v="24.96"/>
    <n v="3"/>
    <n v="4.37"/>
    <x v="9"/>
    <x v="2"/>
  </r>
  <r>
    <d v="2023-10-13T00:00:00"/>
    <x v="454"/>
    <x v="0"/>
    <x v="2"/>
    <x v="9"/>
    <n v="191.98"/>
    <n v="3"/>
    <n v="24"/>
    <x v="9"/>
    <x v="2"/>
  </r>
  <r>
    <d v="2023-10-13T00:00:00"/>
    <x v="454"/>
    <x v="0"/>
    <x v="0"/>
    <x v="0"/>
    <n v="8.2899999999999991"/>
    <n v="2"/>
    <n v="3"/>
    <x v="9"/>
    <x v="2"/>
  </r>
  <r>
    <d v="2023-10-13T00:00:00"/>
    <x v="454"/>
    <x v="0"/>
    <x v="1"/>
    <x v="8"/>
    <n v="139.91999999999999"/>
    <n v="5"/>
    <n v="-150.41"/>
    <x v="9"/>
    <x v="2"/>
  </r>
  <r>
    <d v="2023-10-13T00:00:00"/>
    <x v="454"/>
    <x v="0"/>
    <x v="0"/>
    <x v="4"/>
    <n v="15.87"/>
    <n v="1"/>
    <n v="1.19"/>
    <x v="9"/>
    <x v="2"/>
  </r>
  <r>
    <d v="2023-10-13T00:00:00"/>
    <x v="454"/>
    <x v="0"/>
    <x v="0"/>
    <x v="3"/>
    <n v="6.29"/>
    <n v="7"/>
    <n v="-11"/>
    <x v="9"/>
    <x v="2"/>
  </r>
  <r>
    <d v="2023-10-13T00:00:00"/>
    <x v="620"/>
    <x v="20"/>
    <x v="0"/>
    <x v="4"/>
    <n v="34.700000000000003"/>
    <n v="5"/>
    <n v="12.49"/>
    <x v="9"/>
    <x v="2"/>
  </r>
  <r>
    <d v="2023-10-13T00:00:00"/>
    <x v="620"/>
    <x v="20"/>
    <x v="0"/>
    <x v="2"/>
    <n v="99.87"/>
    <n v="3"/>
    <n v="23.97"/>
    <x v="9"/>
    <x v="2"/>
  </r>
  <r>
    <d v="2023-10-13T00:00:00"/>
    <x v="620"/>
    <x v="20"/>
    <x v="0"/>
    <x v="0"/>
    <n v="37.94"/>
    <n v="2"/>
    <n v="18.21"/>
    <x v="9"/>
    <x v="2"/>
  </r>
  <r>
    <d v="2023-10-13T00:00:00"/>
    <x v="620"/>
    <x v="20"/>
    <x v="0"/>
    <x v="1"/>
    <n v="24.9"/>
    <n v="5"/>
    <n v="11.45"/>
    <x v="9"/>
    <x v="2"/>
  </r>
  <r>
    <d v="2023-10-13T00:00:00"/>
    <x v="620"/>
    <x v="20"/>
    <x v="1"/>
    <x v="8"/>
    <n v="82.26"/>
    <n v="3"/>
    <n v="33.729999999999997"/>
    <x v="9"/>
    <x v="2"/>
  </r>
  <r>
    <d v="2023-10-14T00:00:00"/>
    <x v="85"/>
    <x v="22"/>
    <x v="2"/>
    <x v="9"/>
    <n v="177"/>
    <n v="3"/>
    <n v="30.09"/>
    <x v="9"/>
    <x v="2"/>
  </r>
  <r>
    <d v="2023-10-14T00:00:00"/>
    <x v="180"/>
    <x v="25"/>
    <x v="1"/>
    <x v="5"/>
    <n v="102.59"/>
    <n v="1"/>
    <n v="10.26"/>
    <x v="9"/>
    <x v="2"/>
  </r>
  <r>
    <d v="2023-10-14T00:00:00"/>
    <x v="180"/>
    <x v="25"/>
    <x v="2"/>
    <x v="9"/>
    <n v="22.7"/>
    <n v="1"/>
    <n v="5.96"/>
    <x v="9"/>
    <x v="2"/>
  </r>
  <r>
    <d v="2023-10-14T00:00:00"/>
    <x v="180"/>
    <x v="25"/>
    <x v="0"/>
    <x v="0"/>
    <n v="93.02"/>
    <n v="3"/>
    <n v="33.72"/>
    <x v="9"/>
    <x v="2"/>
  </r>
  <r>
    <d v="2023-10-14T00:00:00"/>
    <x v="180"/>
    <x v="25"/>
    <x v="0"/>
    <x v="14"/>
    <n v="12.77"/>
    <n v="2"/>
    <n v="1.44"/>
    <x v="9"/>
    <x v="2"/>
  </r>
  <r>
    <d v="2023-10-14T00:00:00"/>
    <x v="180"/>
    <x v="25"/>
    <x v="0"/>
    <x v="10"/>
    <n v="35.01"/>
    <n v="4"/>
    <n v="13.13"/>
    <x v="9"/>
    <x v="2"/>
  </r>
  <r>
    <d v="2023-10-14T00:00:00"/>
    <x v="180"/>
    <x v="25"/>
    <x v="0"/>
    <x v="0"/>
    <n v="39.15"/>
    <n v="1"/>
    <n v="14.68"/>
    <x v="9"/>
    <x v="2"/>
  </r>
  <r>
    <d v="2023-10-14T00:00:00"/>
    <x v="203"/>
    <x v="20"/>
    <x v="2"/>
    <x v="6"/>
    <n v="1091.93"/>
    <n v="7"/>
    <n v="272.98"/>
    <x v="9"/>
    <x v="2"/>
  </r>
  <r>
    <d v="2023-10-14T00:00:00"/>
    <x v="203"/>
    <x v="20"/>
    <x v="0"/>
    <x v="0"/>
    <n v="111.96"/>
    <n v="2"/>
    <n v="54.86"/>
    <x v="9"/>
    <x v="2"/>
  </r>
  <r>
    <d v="2023-10-14T00:00:00"/>
    <x v="737"/>
    <x v="21"/>
    <x v="2"/>
    <x v="9"/>
    <n v="1649.75"/>
    <n v="5"/>
    <n v="544.41999999999996"/>
    <x v="9"/>
    <x v="2"/>
  </r>
  <r>
    <d v="2023-10-15T00:00:00"/>
    <x v="715"/>
    <x v="27"/>
    <x v="0"/>
    <x v="0"/>
    <n v="45.68"/>
    <n v="2"/>
    <n v="21.01"/>
    <x v="9"/>
    <x v="2"/>
  </r>
  <r>
    <d v="2023-10-15T00:00:00"/>
    <x v="715"/>
    <x v="27"/>
    <x v="0"/>
    <x v="0"/>
    <n v="60.12"/>
    <n v="9"/>
    <n v="28.86"/>
    <x v="9"/>
    <x v="2"/>
  </r>
  <r>
    <d v="2023-10-15T00:00:00"/>
    <x v="715"/>
    <x v="27"/>
    <x v="0"/>
    <x v="3"/>
    <n v="41.72"/>
    <n v="5"/>
    <n v="13.04"/>
    <x v="9"/>
    <x v="2"/>
  </r>
  <r>
    <d v="2023-10-15T00:00:00"/>
    <x v="715"/>
    <x v="27"/>
    <x v="0"/>
    <x v="0"/>
    <n v="71.599999999999994"/>
    <n v="8"/>
    <n v="32.94"/>
    <x v="9"/>
    <x v="2"/>
  </r>
  <r>
    <d v="2023-10-15T00:00:00"/>
    <x v="33"/>
    <x v="39"/>
    <x v="0"/>
    <x v="1"/>
    <n v="20.16"/>
    <n v="7"/>
    <n v="9.8800000000000008"/>
    <x v="9"/>
    <x v="2"/>
  </r>
  <r>
    <d v="2023-10-15T00:00:00"/>
    <x v="33"/>
    <x v="39"/>
    <x v="0"/>
    <x v="1"/>
    <n v="29.46"/>
    <n v="6"/>
    <n v="14.44"/>
    <x v="9"/>
    <x v="2"/>
  </r>
  <r>
    <d v="2023-10-15T00:00:00"/>
    <x v="33"/>
    <x v="39"/>
    <x v="0"/>
    <x v="12"/>
    <n v="868.59"/>
    <n v="3"/>
    <n v="251.89"/>
    <x v="9"/>
    <x v="2"/>
  </r>
  <r>
    <d v="2023-10-15T00:00:00"/>
    <x v="33"/>
    <x v="39"/>
    <x v="0"/>
    <x v="0"/>
    <n v="12.96"/>
    <n v="2"/>
    <n v="6.22"/>
    <x v="9"/>
    <x v="2"/>
  </r>
  <r>
    <d v="2023-10-15T00:00:00"/>
    <x v="33"/>
    <x v="39"/>
    <x v="2"/>
    <x v="6"/>
    <n v="5.5"/>
    <n v="1"/>
    <n v="1.38"/>
    <x v="9"/>
    <x v="2"/>
  </r>
  <r>
    <d v="2023-10-15T00:00:00"/>
    <x v="33"/>
    <x v="39"/>
    <x v="0"/>
    <x v="3"/>
    <n v="121.6"/>
    <n v="4"/>
    <n v="55.94"/>
    <x v="9"/>
    <x v="2"/>
  </r>
  <r>
    <d v="2023-10-15T00:00:00"/>
    <x v="87"/>
    <x v="6"/>
    <x v="0"/>
    <x v="3"/>
    <n v="232.96"/>
    <n v="7"/>
    <n v="116.48"/>
    <x v="9"/>
    <x v="2"/>
  </r>
  <r>
    <d v="2023-10-15T00:00:00"/>
    <x v="87"/>
    <x v="6"/>
    <x v="0"/>
    <x v="10"/>
    <n v="66.540000000000006"/>
    <n v="6"/>
    <n v="32.6"/>
    <x v="9"/>
    <x v="2"/>
  </r>
  <r>
    <d v="2023-10-15T00:00:00"/>
    <x v="87"/>
    <x v="6"/>
    <x v="0"/>
    <x v="12"/>
    <n v="43.26"/>
    <n v="3"/>
    <n v="14.28"/>
    <x v="9"/>
    <x v="2"/>
  </r>
  <r>
    <d v="2023-10-16T00:00:00"/>
    <x v="555"/>
    <x v="20"/>
    <x v="1"/>
    <x v="13"/>
    <n v="142.18"/>
    <n v="1"/>
    <n v="-37.92"/>
    <x v="9"/>
    <x v="2"/>
  </r>
  <r>
    <d v="2023-10-17T00:00:00"/>
    <x v="646"/>
    <x v="3"/>
    <x v="0"/>
    <x v="3"/>
    <n v="18.16"/>
    <n v="5"/>
    <n v="6.58"/>
    <x v="9"/>
    <x v="2"/>
  </r>
  <r>
    <d v="2023-10-17T00:00:00"/>
    <x v="588"/>
    <x v="3"/>
    <x v="1"/>
    <x v="11"/>
    <n v="120.67"/>
    <n v="2"/>
    <n v="21.29"/>
    <x v="9"/>
    <x v="2"/>
  </r>
  <r>
    <d v="2023-10-17T00:00:00"/>
    <x v="658"/>
    <x v="24"/>
    <x v="2"/>
    <x v="6"/>
    <n v="449.97"/>
    <n v="3"/>
    <n v="220.49"/>
    <x v="9"/>
    <x v="2"/>
  </r>
  <r>
    <d v="2023-10-17T00:00:00"/>
    <x v="658"/>
    <x v="24"/>
    <x v="0"/>
    <x v="12"/>
    <n v="1927.59"/>
    <n v="7"/>
    <n v="751.76"/>
    <x v="9"/>
    <x v="2"/>
  </r>
  <r>
    <d v="2023-10-17T00:00:00"/>
    <x v="245"/>
    <x v="23"/>
    <x v="1"/>
    <x v="11"/>
    <n v="120.98"/>
    <n v="1"/>
    <n v="12.1"/>
    <x v="9"/>
    <x v="2"/>
  </r>
  <r>
    <d v="2023-10-17T00:00:00"/>
    <x v="245"/>
    <x v="23"/>
    <x v="0"/>
    <x v="3"/>
    <n v="315.98"/>
    <n v="1"/>
    <n v="148.51"/>
    <x v="9"/>
    <x v="2"/>
  </r>
  <r>
    <d v="2023-10-18T00:00:00"/>
    <x v="287"/>
    <x v="12"/>
    <x v="1"/>
    <x v="5"/>
    <n v="307.92"/>
    <n v="5"/>
    <n v="-34.64"/>
    <x v="9"/>
    <x v="2"/>
  </r>
  <r>
    <d v="2023-10-20T00:00:00"/>
    <x v="321"/>
    <x v="10"/>
    <x v="0"/>
    <x v="4"/>
    <n v="7.15"/>
    <n v="3"/>
    <n v="0.72"/>
    <x v="9"/>
    <x v="2"/>
  </r>
  <r>
    <d v="2023-10-20T00:00:00"/>
    <x v="250"/>
    <x v="0"/>
    <x v="0"/>
    <x v="0"/>
    <n v="51.02"/>
    <n v="7"/>
    <n v="15.94"/>
    <x v="9"/>
    <x v="2"/>
  </r>
  <r>
    <d v="2023-10-20T00:00:00"/>
    <x v="250"/>
    <x v="0"/>
    <x v="0"/>
    <x v="7"/>
    <n v="25.25"/>
    <n v="4"/>
    <n v="7.89"/>
    <x v="9"/>
    <x v="2"/>
  </r>
  <r>
    <d v="2023-10-20T00:00:00"/>
    <x v="250"/>
    <x v="0"/>
    <x v="1"/>
    <x v="5"/>
    <n v="56.69"/>
    <n v="1"/>
    <n v="-14.58"/>
    <x v="9"/>
    <x v="2"/>
  </r>
  <r>
    <d v="2023-10-20T00:00:00"/>
    <x v="55"/>
    <x v="14"/>
    <x v="2"/>
    <x v="6"/>
    <n v="125.7"/>
    <n v="6"/>
    <n v="35.200000000000003"/>
    <x v="9"/>
    <x v="2"/>
  </r>
  <r>
    <d v="2023-10-20T00:00:00"/>
    <x v="55"/>
    <x v="14"/>
    <x v="2"/>
    <x v="6"/>
    <n v="191.98"/>
    <n v="2"/>
    <n v="51.83"/>
    <x v="9"/>
    <x v="2"/>
  </r>
  <r>
    <d v="2023-10-20T00:00:00"/>
    <x v="55"/>
    <x v="14"/>
    <x v="0"/>
    <x v="2"/>
    <n v="20.86"/>
    <n v="7"/>
    <n v="1.46"/>
    <x v="9"/>
    <x v="2"/>
  </r>
  <r>
    <d v="2023-10-20T00:00:00"/>
    <x v="597"/>
    <x v="3"/>
    <x v="0"/>
    <x v="3"/>
    <n v="19.3"/>
    <n v="3"/>
    <n v="6.03"/>
    <x v="9"/>
    <x v="2"/>
  </r>
  <r>
    <d v="2023-10-20T00:00:00"/>
    <x v="607"/>
    <x v="6"/>
    <x v="1"/>
    <x v="8"/>
    <n v="61.1"/>
    <n v="5"/>
    <n v="18.329999999999998"/>
    <x v="9"/>
    <x v="2"/>
  </r>
  <r>
    <d v="2023-10-20T00:00:00"/>
    <x v="168"/>
    <x v="3"/>
    <x v="1"/>
    <x v="5"/>
    <n v="387.14"/>
    <n v="4"/>
    <n v="4.84"/>
    <x v="9"/>
    <x v="2"/>
  </r>
  <r>
    <d v="2023-10-21T00:00:00"/>
    <x v="521"/>
    <x v="37"/>
    <x v="0"/>
    <x v="3"/>
    <n v="23.2"/>
    <n v="4"/>
    <n v="10.44"/>
    <x v="9"/>
    <x v="2"/>
  </r>
  <r>
    <d v="2023-10-21T00:00:00"/>
    <x v="521"/>
    <x v="37"/>
    <x v="0"/>
    <x v="14"/>
    <n v="7.36"/>
    <n v="2"/>
    <n v="0.15"/>
    <x v="9"/>
    <x v="2"/>
  </r>
  <r>
    <d v="2023-10-21T00:00:00"/>
    <x v="521"/>
    <x v="37"/>
    <x v="0"/>
    <x v="2"/>
    <n v="104.79"/>
    <n v="7"/>
    <n v="29.34"/>
    <x v="9"/>
    <x v="2"/>
  </r>
  <r>
    <d v="2023-10-21T00:00:00"/>
    <x v="521"/>
    <x v="37"/>
    <x v="1"/>
    <x v="11"/>
    <n v="1043.92"/>
    <n v="4"/>
    <n v="271.42"/>
    <x v="9"/>
    <x v="2"/>
  </r>
  <r>
    <d v="2023-10-21T00:00:00"/>
    <x v="685"/>
    <x v="3"/>
    <x v="0"/>
    <x v="0"/>
    <n v="22.92"/>
    <n v="3"/>
    <n v="11.23"/>
    <x v="9"/>
    <x v="2"/>
  </r>
  <r>
    <d v="2023-10-21T00:00:00"/>
    <x v="264"/>
    <x v="3"/>
    <x v="0"/>
    <x v="2"/>
    <n v="154.44"/>
    <n v="3"/>
    <n v="1.54"/>
    <x v="9"/>
    <x v="2"/>
  </r>
  <r>
    <d v="2023-10-21T00:00:00"/>
    <x v="168"/>
    <x v="7"/>
    <x v="0"/>
    <x v="3"/>
    <n v="7.92"/>
    <n v="4"/>
    <n v="3.56"/>
    <x v="9"/>
    <x v="2"/>
  </r>
  <r>
    <d v="2023-10-21T00:00:00"/>
    <x v="773"/>
    <x v="36"/>
    <x v="2"/>
    <x v="9"/>
    <n v="98.16"/>
    <n v="6"/>
    <n v="9.82"/>
    <x v="9"/>
    <x v="2"/>
  </r>
  <r>
    <d v="2023-10-21T00:00:00"/>
    <x v="743"/>
    <x v="10"/>
    <x v="2"/>
    <x v="6"/>
    <n v="235.15"/>
    <n v="8"/>
    <n v="-47.03"/>
    <x v="9"/>
    <x v="2"/>
  </r>
  <r>
    <d v="2023-10-21T00:00:00"/>
    <x v="197"/>
    <x v="10"/>
    <x v="1"/>
    <x v="13"/>
    <n v="661.18"/>
    <n v="2"/>
    <n v="-231.41"/>
    <x v="9"/>
    <x v="2"/>
  </r>
  <r>
    <d v="2023-10-21T00:00:00"/>
    <x v="285"/>
    <x v="17"/>
    <x v="0"/>
    <x v="4"/>
    <n v="113.22"/>
    <n v="3"/>
    <n v="29.44"/>
    <x v="9"/>
    <x v="2"/>
  </r>
  <r>
    <d v="2023-10-21T00:00:00"/>
    <x v="285"/>
    <x v="17"/>
    <x v="0"/>
    <x v="0"/>
    <n v="35.880000000000003"/>
    <n v="6"/>
    <n v="17.579999999999998"/>
    <x v="9"/>
    <x v="2"/>
  </r>
  <r>
    <d v="2023-10-21T00:00:00"/>
    <x v="285"/>
    <x v="17"/>
    <x v="0"/>
    <x v="3"/>
    <n v="4535.9799999999996"/>
    <n v="3"/>
    <n v="1644.29"/>
    <x v="9"/>
    <x v="2"/>
  </r>
  <r>
    <d v="2023-10-21T00:00:00"/>
    <x v="60"/>
    <x v="15"/>
    <x v="0"/>
    <x v="2"/>
    <n v="111.67"/>
    <n v="9"/>
    <n v="6.98"/>
    <x v="9"/>
    <x v="2"/>
  </r>
  <r>
    <d v="2023-10-21T00:00:00"/>
    <x v="453"/>
    <x v="0"/>
    <x v="2"/>
    <x v="9"/>
    <n v="106.08"/>
    <n v="6"/>
    <n v="-9.2799999999999994"/>
    <x v="9"/>
    <x v="2"/>
  </r>
  <r>
    <d v="2023-10-21T00:00:00"/>
    <x v="246"/>
    <x v="3"/>
    <x v="1"/>
    <x v="5"/>
    <n v="242.14"/>
    <n v="3"/>
    <n v="12.11"/>
    <x v="9"/>
    <x v="2"/>
  </r>
  <r>
    <d v="2023-10-21T00:00:00"/>
    <x v="246"/>
    <x v="3"/>
    <x v="0"/>
    <x v="4"/>
    <n v="12.39"/>
    <n v="3"/>
    <n v="5.7"/>
    <x v="9"/>
    <x v="2"/>
  </r>
  <r>
    <d v="2023-10-21T00:00:00"/>
    <x v="246"/>
    <x v="3"/>
    <x v="1"/>
    <x v="8"/>
    <n v="19.96"/>
    <n v="2"/>
    <n v="5.59"/>
    <x v="9"/>
    <x v="2"/>
  </r>
  <r>
    <d v="2023-10-21T00:00:00"/>
    <x v="246"/>
    <x v="3"/>
    <x v="0"/>
    <x v="2"/>
    <n v="340.92"/>
    <n v="3"/>
    <n v="3.41"/>
    <x v="9"/>
    <x v="2"/>
  </r>
  <r>
    <d v="2023-10-21T00:00:00"/>
    <x v="64"/>
    <x v="16"/>
    <x v="1"/>
    <x v="8"/>
    <n v="45.57"/>
    <n v="2"/>
    <n v="9.68"/>
    <x v="9"/>
    <x v="2"/>
  </r>
  <r>
    <d v="2023-10-21T00:00:00"/>
    <x v="64"/>
    <x v="16"/>
    <x v="0"/>
    <x v="3"/>
    <n v="28.75"/>
    <n v="8"/>
    <n v="-21.08"/>
    <x v="9"/>
    <x v="2"/>
  </r>
  <r>
    <d v="2023-10-22T00:00:00"/>
    <x v="725"/>
    <x v="14"/>
    <x v="1"/>
    <x v="8"/>
    <n v="31.4"/>
    <n v="5"/>
    <n v="10.050000000000001"/>
    <x v="9"/>
    <x v="2"/>
  </r>
  <r>
    <d v="2023-10-22T00:00:00"/>
    <x v="34"/>
    <x v="6"/>
    <x v="1"/>
    <x v="8"/>
    <n v="39.92"/>
    <n v="4"/>
    <n v="11.18"/>
    <x v="9"/>
    <x v="2"/>
  </r>
  <r>
    <d v="2023-10-22T00:00:00"/>
    <x v="493"/>
    <x v="22"/>
    <x v="0"/>
    <x v="0"/>
    <n v="6.68"/>
    <n v="1"/>
    <n v="3.21"/>
    <x v="9"/>
    <x v="2"/>
  </r>
  <r>
    <d v="2023-10-22T00:00:00"/>
    <x v="493"/>
    <x v="22"/>
    <x v="0"/>
    <x v="4"/>
    <n v="8.34"/>
    <n v="3"/>
    <n v="2.25"/>
    <x v="9"/>
    <x v="2"/>
  </r>
  <r>
    <d v="2023-10-22T00:00:00"/>
    <x v="493"/>
    <x v="22"/>
    <x v="1"/>
    <x v="8"/>
    <n v="101.94"/>
    <n v="3"/>
    <n v="30.58"/>
    <x v="9"/>
    <x v="2"/>
  </r>
  <r>
    <d v="2023-10-23T00:00:00"/>
    <x v="50"/>
    <x v="20"/>
    <x v="0"/>
    <x v="0"/>
    <n v="379.4"/>
    <n v="10"/>
    <n v="178.32"/>
    <x v="9"/>
    <x v="2"/>
  </r>
  <r>
    <d v="2023-10-23T00:00:00"/>
    <x v="252"/>
    <x v="1"/>
    <x v="1"/>
    <x v="8"/>
    <n v="16.16"/>
    <n v="7"/>
    <n v="-12.12"/>
    <x v="9"/>
    <x v="2"/>
  </r>
  <r>
    <d v="2023-10-23T00:00:00"/>
    <x v="252"/>
    <x v="1"/>
    <x v="0"/>
    <x v="0"/>
    <n v="54.82"/>
    <n v="3"/>
    <n v="17.82"/>
    <x v="9"/>
    <x v="2"/>
  </r>
  <r>
    <d v="2023-10-23T00:00:00"/>
    <x v="314"/>
    <x v="22"/>
    <x v="0"/>
    <x v="7"/>
    <n v="17.05"/>
    <n v="5"/>
    <n v="8.18"/>
    <x v="9"/>
    <x v="2"/>
  </r>
  <r>
    <d v="2023-10-24T00:00:00"/>
    <x v="197"/>
    <x v="3"/>
    <x v="2"/>
    <x v="9"/>
    <n v="100"/>
    <n v="4"/>
    <n v="21"/>
    <x v="9"/>
    <x v="2"/>
  </r>
  <r>
    <d v="2023-10-24T00:00:00"/>
    <x v="197"/>
    <x v="3"/>
    <x v="2"/>
    <x v="9"/>
    <n v="359.98"/>
    <n v="2"/>
    <n v="21.6"/>
    <x v="9"/>
    <x v="2"/>
  </r>
  <r>
    <d v="2023-10-24T00:00:00"/>
    <x v="651"/>
    <x v="15"/>
    <x v="2"/>
    <x v="6"/>
    <n v="239.98"/>
    <n v="3"/>
    <n v="18"/>
    <x v="9"/>
    <x v="2"/>
  </r>
  <r>
    <d v="2023-10-24T00:00:00"/>
    <x v="331"/>
    <x v="3"/>
    <x v="2"/>
    <x v="9"/>
    <n v="199.99"/>
    <n v="1"/>
    <n v="86"/>
    <x v="9"/>
    <x v="2"/>
  </r>
  <r>
    <d v="2023-10-24T00:00:00"/>
    <x v="359"/>
    <x v="0"/>
    <x v="0"/>
    <x v="0"/>
    <n v="15.55"/>
    <n v="3"/>
    <n v="5.44"/>
    <x v="9"/>
    <x v="2"/>
  </r>
  <r>
    <d v="2023-10-24T00:00:00"/>
    <x v="341"/>
    <x v="3"/>
    <x v="2"/>
    <x v="9"/>
    <n v="450"/>
    <n v="5"/>
    <n v="162"/>
    <x v="9"/>
    <x v="2"/>
  </r>
  <r>
    <d v="2023-10-25T00:00:00"/>
    <x v="65"/>
    <x v="16"/>
    <x v="2"/>
    <x v="6"/>
    <n v="783.96"/>
    <n v="5"/>
    <n v="78.400000000000006"/>
    <x v="9"/>
    <x v="2"/>
  </r>
  <r>
    <d v="2023-10-27T00:00:00"/>
    <x v="617"/>
    <x v="20"/>
    <x v="1"/>
    <x v="8"/>
    <n v="40.200000000000003"/>
    <n v="3"/>
    <n v="19.3"/>
    <x v="9"/>
    <x v="2"/>
  </r>
  <r>
    <d v="2023-10-27T00:00:00"/>
    <x v="244"/>
    <x v="3"/>
    <x v="0"/>
    <x v="12"/>
    <n v="43.92"/>
    <n v="4"/>
    <n v="11.86"/>
    <x v="9"/>
    <x v="2"/>
  </r>
  <r>
    <d v="2023-10-27T00:00:00"/>
    <x v="244"/>
    <x v="3"/>
    <x v="0"/>
    <x v="3"/>
    <n v="25.03"/>
    <n v="3"/>
    <n v="7.82"/>
    <x v="9"/>
    <x v="2"/>
  </r>
  <r>
    <d v="2023-10-27T00:00:00"/>
    <x v="346"/>
    <x v="6"/>
    <x v="1"/>
    <x v="5"/>
    <n v="290.98"/>
    <n v="1"/>
    <n v="75.650000000000006"/>
    <x v="9"/>
    <x v="2"/>
  </r>
  <r>
    <d v="2023-10-27T00:00:00"/>
    <x v="205"/>
    <x v="3"/>
    <x v="0"/>
    <x v="3"/>
    <n v="67.14"/>
    <n v="4"/>
    <n v="25.18"/>
    <x v="9"/>
    <x v="2"/>
  </r>
  <r>
    <d v="2023-10-27T00:00:00"/>
    <x v="346"/>
    <x v="20"/>
    <x v="1"/>
    <x v="5"/>
    <n v="427.64"/>
    <n v="14"/>
    <n v="80.78"/>
    <x v="9"/>
    <x v="2"/>
  </r>
  <r>
    <d v="2023-10-27T00:00:00"/>
    <x v="346"/>
    <x v="20"/>
    <x v="0"/>
    <x v="7"/>
    <n v="40.67"/>
    <n v="7"/>
    <n v="12.61"/>
    <x v="9"/>
    <x v="2"/>
  </r>
  <r>
    <d v="2023-10-27T00:00:00"/>
    <x v="346"/>
    <x v="20"/>
    <x v="0"/>
    <x v="2"/>
    <n v="33.479999999999997"/>
    <n v="2"/>
    <n v="1.34"/>
    <x v="9"/>
    <x v="2"/>
  </r>
  <r>
    <d v="2023-10-27T00:00:00"/>
    <x v="346"/>
    <x v="20"/>
    <x v="0"/>
    <x v="3"/>
    <n v="9.73"/>
    <n v="2"/>
    <n v="3.28"/>
    <x v="9"/>
    <x v="2"/>
  </r>
  <r>
    <d v="2023-10-28T00:00:00"/>
    <x v="657"/>
    <x v="3"/>
    <x v="0"/>
    <x v="2"/>
    <n v="93.06"/>
    <n v="6"/>
    <n v="26.06"/>
    <x v="9"/>
    <x v="2"/>
  </r>
  <r>
    <d v="2023-10-28T00:00:00"/>
    <x v="657"/>
    <x v="3"/>
    <x v="2"/>
    <x v="6"/>
    <n v="302.38"/>
    <n v="3"/>
    <n v="22.68"/>
    <x v="9"/>
    <x v="2"/>
  </r>
  <r>
    <d v="2023-10-28T00:00:00"/>
    <x v="104"/>
    <x v="23"/>
    <x v="0"/>
    <x v="0"/>
    <n v="32.4"/>
    <n v="5"/>
    <n v="15.55"/>
    <x v="9"/>
    <x v="2"/>
  </r>
  <r>
    <d v="2023-10-28T00:00:00"/>
    <x v="104"/>
    <x v="23"/>
    <x v="0"/>
    <x v="2"/>
    <n v="1082.48"/>
    <n v="8"/>
    <n v="10.82"/>
    <x v="9"/>
    <x v="2"/>
  </r>
  <r>
    <d v="2023-10-28T00:00:00"/>
    <x v="104"/>
    <x v="23"/>
    <x v="0"/>
    <x v="0"/>
    <n v="56.91"/>
    <n v="3"/>
    <n v="27.32"/>
    <x v="9"/>
    <x v="2"/>
  </r>
  <r>
    <d v="2023-10-28T00:00:00"/>
    <x v="104"/>
    <x v="23"/>
    <x v="1"/>
    <x v="8"/>
    <n v="77.599999999999994"/>
    <n v="4"/>
    <n v="38.020000000000003"/>
    <x v="9"/>
    <x v="2"/>
  </r>
  <r>
    <d v="2023-10-28T00:00:00"/>
    <x v="104"/>
    <x v="23"/>
    <x v="0"/>
    <x v="3"/>
    <n v="14.28"/>
    <n v="1"/>
    <n v="6.57"/>
    <x v="9"/>
    <x v="2"/>
  </r>
  <r>
    <d v="2023-10-28T00:00:00"/>
    <x v="756"/>
    <x v="3"/>
    <x v="0"/>
    <x v="0"/>
    <n v="50.96"/>
    <n v="7"/>
    <n v="25.48"/>
    <x v="9"/>
    <x v="2"/>
  </r>
  <r>
    <d v="2023-10-28T00:00:00"/>
    <x v="756"/>
    <x v="3"/>
    <x v="0"/>
    <x v="3"/>
    <n v="49.54"/>
    <n v="3"/>
    <n v="17.34"/>
    <x v="9"/>
    <x v="2"/>
  </r>
  <r>
    <d v="2023-10-28T00:00:00"/>
    <x v="190"/>
    <x v="16"/>
    <x v="1"/>
    <x v="8"/>
    <n v="47.95"/>
    <n v="3"/>
    <n v="13.79"/>
    <x v="9"/>
    <x v="2"/>
  </r>
  <r>
    <d v="2023-10-28T00:00:00"/>
    <x v="190"/>
    <x v="16"/>
    <x v="0"/>
    <x v="3"/>
    <n v="37.43"/>
    <n v="5"/>
    <n v="-29.94"/>
    <x v="9"/>
    <x v="2"/>
  </r>
  <r>
    <d v="2023-10-28T00:00:00"/>
    <x v="190"/>
    <x v="16"/>
    <x v="1"/>
    <x v="8"/>
    <n v="63.97"/>
    <n v="2"/>
    <n v="0"/>
    <x v="9"/>
    <x v="2"/>
  </r>
  <r>
    <d v="2023-10-28T00:00:00"/>
    <x v="190"/>
    <x v="16"/>
    <x v="1"/>
    <x v="8"/>
    <n v="165.05"/>
    <n v="3"/>
    <n v="41.26"/>
    <x v="9"/>
    <x v="2"/>
  </r>
  <r>
    <d v="2023-10-28T00:00:00"/>
    <x v="436"/>
    <x v="25"/>
    <x v="0"/>
    <x v="3"/>
    <n v="17.62"/>
    <n v="4"/>
    <n v="-14.09"/>
    <x v="9"/>
    <x v="2"/>
  </r>
  <r>
    <d v="2023-10-28T00:00:00"/>
    <x v="287"/>
    <x v="16"/>
    <x v="0"/>
    <x v="3"/>
    <n v="38.19"/>
    <n v="5"/>
    <n v="-26.73"/>
    <x v="9"/>
    <x v="2"/>
  </r>
  <r>
    <d v="2023-10-28T00:00:00"/>
    <x v="268"/>
    <x v="20"/>
    <x v="0"/>
    <x v="4"/>
    <n v="12.42"/>
    <n v="3"/>
    <n v="5.22"/>
    <x v="9"/>
    <x v="2"/>
  </r>
  <r>
    <d v="2023-10-28T00:00:00"/>
    <x v="668"/>
    <x v="20"/>
    <x v="1"/>
    <x v="8"/>
    <n v="756.8"/>
    <n v="5"/>
    <n v="75.680000000000007"/>
    <x v="9"/>
    <x v="2"/>
  </r>
  <r>
    <d v="2023-10-29T00:00:00"/>
    <x v="140"/>
    <x v="23"/>
    <x v="0"/>
    <x v="2"/>
    <n v="40.74"/>
    <n v="3"/>
    <n v="0.41"/>
    <x v="9"/>
    <x v="2"/>
  </r>
  <r>
    <d v="2023-10-29T00:00:00"/>
    <x v="140"/>
    <x v="23"/>
    <x v="0"/>
    <x v="12"/>
    <n v="11.67"/>
    <n v="3"/>
    <n v="3.03"/>
    <x v="9"/>
    <x v="2"/>
  </r>
  <r>
    <d v="2023-10-29T00:00:00"/>
    <x v="682"/>
    <x v="14"/>
    <x v="1"/>
    <x v="8"/>
    <n v="67"/>
    <n v="5"/>
    <n v="32.159999999999997"/>
    <x v="9"/>
    <x v="2"/>
  </r>
  <r>
    <d v="2023-10-29T00:00:00"/>
    <x v="564"/>
    <x v="3"/>
    <x v="0"/>
    <x v="3"/>
    <n v="11.74"/>
    <n v="1"/>
    <n v="3.82"/>
    <x v="9"/>
    <x v="2"/>
  </r>
  <r>
    <d v="2023-10-30T00:00:00"/>
    <x v="80"/>
    <x v="14"/>
    <x v="0"/>
    <x v="4"/>
    <n v="11.68"/>
    <n v="2"/>
    <n v="3.5"/>
    <x v="9"/>
    <x v="2"/>
  </r>
  <r>
    <d v="2023-10-30T00:00:00"/>
    <x v="150"/>
    <x v="20"/>
    <x v="0"/>
    <x v="3"/>
    <n v="28.75"/>
    <n v="3"/>
    <n v="10.06"/>
    <x v="9"/>
    <x v="2"/>
  </r>
  <r>
    <d v="2023-10-30T00:00:00"/>
    <x v="150"/>
    <x v="20"/>
    <x v="0"/>
    <x v="4"/>
    <n v="114.95"/>
    <n v="5"/>
    <n v="32.19"/>
    <x v="9"/>
    <x v="2"/>
  </r>
  <r>
    <d v="2023-10-30T00:00:00"/>
    <x v="530"/>
    <x v="3"/>
    <x v="0"/>
    <x v="7"/>
    <n v="3.62"/>
    <n v="2"/>
    <n v="1.19"/>
    <x v="9"/>
    <x v="2"/>
  </r>
  <r>
    <d v="2023-10-31T00:00:00"/>
    <x v="649"/>
    <x v="2"/>
    <x v="1"/>
    <x v="5"/>
    <n v="492.84"/>
    <n v="5"/>
    <n v="-14.08"/>
    <x v="9"/>
    <x v="2"/>
  </r>
  <r>
    <d v="2023-10-31T00:00:00"/>
    <x v="104"/>
    <x v="3"/>
    <x v="0"/>
    <x v="2"/>
    <n v="1085.42"/>
    <n v="7"/>
    <n v="282.20999999999998"/>
    <x v="9"/>
    <x v="2"/>
  </r>
  <r>
    <d v="2023-10-31T00:00:00"/>
    <x v="251"/>
    <x v="16"/>
    <x v="0"/>
    <x v="0"/>
    <n v="32.06"/>
    <n v="6"/>
    <n v="11.22"/>
    <x v="9"/>
    <x v="2"/>
  </r>
  <r>
    <d v="2023-10-31T00:00:00"/>
    <x v="698"/>
    <x v="39"/>
    <x v="0"/>
    <x v="14"/>
    <n v="21.96"/>
    <n v="2"/>
    <n v="6.15"/>
    <x v="9"/>
    <x v="2"/>
  </r>
  <r>
    <d v="2023-10-31T00:00:00"/>
    <x v="698"/>
    <x v="39"/>
    <x v="1"/>
    <x v="5"/>
    <n v="368.97"/>
    <n v="3"/>
    <n v="81.17"/>
    <x v="9"/>
    <x v="2"/>
  </r>
  <r>
    <d v="2023-10-31T00:00:00"/>
    <x v="698"/>
    <x v="39"/>
    <x v="0"/>
    <x v="4"/>
    <n v="12.39"/>
    <n v="3"/>
    <n v="3.47"/>
    <x v="9"/>
    <x v="2"/>
  </r>
  <r>
    <d v="2023-10-31T00:00:00"/>
    <x v="698"/>
    <x v="39"/>
    <x v="0"/>
    <x v="2"/>
    <n v="332.94"/>
    <n v="3"/>
    <n v="9.99"/>
    <x v="9"/>
    <x v="2"/>
  </r>
  <r>
    <d v="2023-10-31T00:00:00"/>
    <x v="472"/>
    <x v="3"/>
    <x v="1"/>
    <x v="5"/>
    <n v="1403.92"/>
    <n v="5"/>
    <n v="70.2"/>
    <x v="9"/>
    <x v="2"/>
  </r>
  <r>
    <d v="2023-11-01T00:00:00"/>
    <x v="307"/>
    <x v="6"/>
    <x v="2"/>
    <x v="6"/>
    <n v="21.8"/>
    <n v="2"/>
    <n v="6.1"/>
    <x v="10"/>
    <x v="2"/>
  </r>
  <r>
    <d v="2023-11-01T00:00:00"/>
    <x v="307"/>
    <x v="6"/>
    <x v="0"/>
    <x v="10"/>
    <n v="251.79"/>
    <n v="3"/>
    <n v="118.34"/>
    <x v="10"/>
    <x v="2"/>
  </r>
  <r>
    <d v="2023-11-01T00:00:00"/>
    <x v="599"/>
    <x v="0"/>
    <x v="0"/>
    <x v="2"/>
    <n v="111.67"/>
    <n v="9"/>
    <n v="6.98"/>
    <x v="10"/>
    <x v="2"/>
  </r>
  <r>
    <d v="2023-11-01T00:00:00"/>
    <x v="21"/>
    <x v="1"/>
    <x v="2"/>
    <x v="9"/>
    <n v="68.11"/>
    <n v="3"/>
    <n v="17.88"/>
    <x v="10"/>
    <x v="2"/>
  </r>
  <r>
    <d v="2023-11-03T00:00:00"/>
    <x v="68"/>
    <x v="30"/>
    <x v="0"/>
    <x v="4"/>
    <n v="75.959999999999994"/>
    <n v="2"/>
    <n v="22.79"/>
    <x v="10"/>
    <x v="2"/>
  </r>
  <r>
    <d v="2023-11-03T00:00:00"/>
    <x v="68"/>
    <x v="30"/>
    <x v="0"/>
    <x v="3"/>
    <n v="27.24"/>
    <n v="6"/>
    <n v="13.35"/>
    <x v="10"/>
    <x v="2"/>
  </r>
  <r>
    <d v="2023-11-03T00:00:00"/>
    <x v="582"/>
    <x v="22"/>
    <x v="0"/>
    <x v="4"/>
    <n v="8.82"/>
    <n v="3"/>
    <n v="2.38"/>
    <x v="10"/>
    <x v="2"/>
  </r>
  <r>
    <d v="2023-11-03T00:00:00"/>
    <x v="766"/>
    <x v="3"/>
    <x v="1"/>
    <x v="5"/>
    <n v="217.58"/>
    <n v="2"/>
    <n v="-29.92"/>
    <x v="10"/>
    <x v="2"/>
  </r>
  <r>
    <d v="2023-11-03T00:00:00"/>
    <x v="766"/>
    <x v="3"/>
    <x v="2"/>
    <x v="9"/>
    <n v="82.95"/>
    <n v="5"/>
    <n v="29.03"/>
    <x v="10"/>
    <x v="2"/>
  </r>
  <r>
    <d v="2023-11-03T00:00:00"/>
    <x v="766"/>
    <x v="3"/>
    <x v="0"/>
    <x v="1"/>
    <n v="87.71"/>
    <n v="7"/>
    <n v="41.22"/>
    <x v="10"/>
    <x v="2"/>
  </r>
  <r>
    <d v="2023-11-03T00:00:00"/>
    <x v="766"/>
    <x v="3"/>
    <x v="0"/>
    <x v="12"/>
    <n v="1101.48"/>
    <n v="4"/>
    <n v="429.58"/>
    <x v="10"/>
    <x v="2"/>
  </r>
  <r>
    <d v="2023-11-03T00:00:00"/>
    <x v="358"/>
    <x v="5"/>
    <x v="0"/>
    <x v="7"/>
    <n v="20"/>
    <n v="4"/>
    <n v="9.6"/>
    <x v="10"/>
    <x v="2"/>
  </r>
  <r>
    <d v="2023-11-03T00:00:00"/>
    <x v="358"/>
    <x v="5"/>
    <x v="0"/>
    <x v="4"/>
    <n v="7.98"/>
    <n v="3"/>
    <n v="2.0699999999999998"/>
    <x v="10"/>
    <x v="2"/>
  </r>
  <r>
    <d v="2023-11-03T00:00:00"/>
    <x v="358"/>
    <x v="5"/>
    <x v="1"/>
    <x v="8"/>
    <n v="24.1"/>
    <n v="5"/>
    <n v="9.16"/>
    <x v="10"/>
    <x v="2"/>
  </r>
  <r>
    <d v="2023-11-03T00:00:00"/>
    <x v="358"/>
    <x v="5"/>
    <x v="0"/>
    <x v="4"/>
    <n v="8.75"/>
    <n v="1"/>
    <n v="2.63"/>
    <x v="10"/>
    <x v="2"/>
  </r>
  <r>
    <d v="2023-11-03T00:00:00"/>
    <x v="358"/>
    <x v="5"/>
    <x v="1"/>
    <x v="13"/>
    <n v="842.94"/>
    <n v="3"/>
    <n v="160.16"/>
    <x v="10"/>
    <x v="2"/>
  </r>
  <r>
    <d v="2023-11-03T00:00:00"/>
    <x v="21"/>
    <x v="3"/>
    <x v="0"/>
    <x v="7"/>
    <n v="15.26"/>
    <n v="7"/>
    <n v="5.04"/>
    <x v="10"/>
    <x v="2"/>
  </r>
  <r>
    <d v="2023-11-03T00:00:00"/>
    <x v="21"/>
    <x v="3"/>
    <x v="0"/>
    <x v="12"/>
    <n v="43.32"/>
    <n v="2"/>
    <n v="14.3"/>
    <x v="10"/>
    <x v="2"/>
  </r>
  <r>
    <d v="2023-11-03T00:00:00"/>
    <x v="21"/>
    <x v="3"/>
    <x v="0"/>
    <x v="3"/>
    <n v="43.58"/>
    <n v="12"/>
    <n v="15.8"/>
    <x v="10"/>
    <x v="2"/>
  </r>
  <r>
    <d v="2023-11-03T00:00:00"/>
    <x v="21"/>
    <x v="3"/>
    <x v="0"/>
    <x v="0"/>
    <n v="116.28"/>
    <n v="3"/>
    <n v="56.98"/>
    <x v="10"/>
    <x v="2"/>
  </r>
  <r>
    <d v="2023-11-03T00:00:00"/>
    <x v="21"/>
    <x v="3"/>
    <x v="0"/>
    <x v="3"/>
    <n v="9.3000000000000007"/>
    <n v="2"/>
    <n v="3.02"/>
    <x v="10"/>
    <x v="2"/>
  </r>
  <r>
    <d v="2023-11-03T00:00:00"/>
    <x v="21"/>
    <x v="3"/>
    <x v="0"/>
    <x v="0"/>
    <n v="19.440000000000001"/>
    <n v="3"/>
    <n v="9.33"/>
    <x v="10"/>
    <x v="2"/>
  </r>
  <r>
    <d v="2023-11-03T00:00:00"/>
    <x v="21"/>
    <x v="3"/>
    <x v="0"/>
    <x v="0"/>
    <n v="314.55"/>
    <n v="3"/>
    <n v="150.97999999999999"/>
    <x v="10"/>
    <x v="2"/>
  </r>
  <r>
    <d v="2023-11-03T00:00:00"/>
    <x v="225"/>
    <x v="0"/>
    <x v="0"/>
    <x v="0"/>
    <n v="9.25"/>
    <n v="2"/>
    <n v="3.35"/>
    <x v="10"/>
    <x v="2"/>
  </r>
  <r>
    <d v="2023-11-03T00:00:00"/>
    <x v="262"/>
    <x v="11"/>
    <x v="0"/>
    <x v="3"/>
    <n v="4.16"/>
    <n v="7"/>
    <n v="-3.47"/>
    <x v="10"/>
    <x v="2"/>
  </r>
  <r>
    <d v="2023-11-03T00:00:00"/>
    <x v="262"/>
    <x v="11"/>
    <x v="2"/>
    <x v="15"/>
    <n v="179.99"/>
    <n v="3"/>
    <n v="-251.99"/>
    <x v="10"/>
    <x v="2"/>
  </r>
  <r>
    <d v="2023-11-03T00:00:00"/>
    <x v="425"/>
    <x v="2"/>
    <x v="2"/>
    <x v="9"/>
    <n v="72"/>
    <n v="1"/>
    <n v="14.4"/>
    <x v="10"/>
    <x v="2"/>
  </r>
  <r>
    <d v="2023-11-03T00:00:00"/>
    <x v="425"/>
    <x v="2"/>
    <x v="1"/>
    <x v="5"/>
    <n v="470.16"/>
    <n v="7"/>
    <n v="-13.43"/>
    <x v="10"/>
    <x v="2"/>
  </r>
  <r>
    <d v="2023-11-04T00:00:00"/>
    <x v="554"/>
    <x v="5"/>
    <x v="0"/>
    <x v="7"/>
    <n v="10.74"/>
    <n v="3"/>
    <n v="5.26"/>
    <x v="10"/>
    <x v="2"/>
  </r>
  <r>
    <d v="2023-11-04T00:00:00"/>
    <x v="756"/>
    <x v="22"/>
    <x v="1"/>
    <x v="8"/>
    <n v="209.88"/>
    <n v="3"/>
    <n v="35.68"/>
    <x v="10"/>
    <x v="2"/>
  </r>
  <r>
    <d v="2023-11-04T00:00:00"/>
    <x v="384"/>
    <x v="3"/>
    <x v="1"/>
    <x v="8"/>
    <n v="38.29"/>
    <n v="7"/>
    <n v="16.46"/>
    <x v="10"/>
    <x v="2"/>
  </r>
  <r>
    <d v="2023-11-04T00:00:00"/>
    <x v="426"/>
    <x v="3"/>
    <x v="0"/>
    <x v="4"/>
    <n v="192.8"/>
    <n v="4"/>
    <n v="55.91"/>
    <x v="10"/>
    <x v="2"/>
  </r>
  <r>
    <d v="2023-11-04T00:00:00"/>
    <x v="609"/>
    <x v="11"/>
    <x v="0"/>
    <x v="14"/>
    <n v="17.579999999999998"/>
    <n v="7"/>
    <n v="-4.18"/>
    <x v="10"/>
    <x v="2"/>
  </r>
  <r>
    <d v="2023-11-04T00:00:00"/>
    <x v="609"/>
    <x v="11"/>
    <x v="1"/>
    <x v="5"/>
    <n v="104.78"/>
    <n v="1"/>
    <n v="-14.41"/>
    <x v="10"/>
    <x v="2"/>
  </r>
  <r>
    <d v="2023-11-04T00:00:00"/>
    <x v="609"/>
    <x v="11"/>
    <x v="0"/>
    <x v="0"/>
    <n v="47.95"/>
    <n v="3"/>
    <n v="16.78"/>
    <x v="10"/>
    <x v="2"/>
  </r>
  <r>
    <d v="2023-11-04T00:00:00"/>
    <x v="609"/>
    <x v="11"/>
    <x v="1"/>
    <x v="5"/>
    <n v="650.35"/>
    <n v="3"/>
    <n v="-97.55"/>
    <x v="10"/>
    <x v="2"/>
  </r>
  <r>
    <d v="2023-11-04T00:00:00"/>
    <x v="609"/>
    <x v="11"/>
    <x v="0"/>
    <x v="1"/>
    <n v="629.17999999999995"/>
    <n v="8"/>
    <n v="228.08"/>
    <x v="10"/>
    <x v="2"/>
  </r>
  <r>
    <d v="2023-11-04T00:00:00"/>
    <x v="609"/>
    <x v="11"/>
    <x v="0"/>
    <x v="0"/>
    <n v="15.18"/>
    <n v="1"/>
    <n v="5.31"/>
    <x v="10"/>
    <x v="2"/>
  </r>
  <r>
    <d v="2023-11-04T00:00:00"/>
    <x v="591"/>
    <x v="16"/>
    <x v="1"/>
    <x v="8"/>
    <n v="50.5"/>
    <n v="6"/>
    <n v="8.2100000000000009"/>
    <x v="10"/>
    <x v="2"/>
  </r>
  <r>
    <d v="2023-11-04T00:00:00"/>
    <x v="249"/>
    <x v="3"/>
    <x v="0"/>
    <x v="3"/>
    <n v="7.71"/>
    <n v="2"/>
    <n v="2.8"/>
    <x v="10"/>
    <x v="2"/>
  </r>
  <r>
    <d v="2023-11-04T00:00:00"/>
    <x v="249"/>
    <x v="3"/>
    <x v="0"/>
    <x v="3"/>
    <n v="4.18"/>
    <n v="1"/>
    <n v="1.31"/>
    <x v="10"/>
    <x v="2"/>
  </r>
  <r>
    <d v="2023-11-04T00:00:00"/>
    <x v="249"/>
    <x v="3"/>
    <x v="0"/>
    <x v="0"/>
    <n v="38.880000000000003"/>
    <n v="6"/>
    <n v="18.66"/>
    <x v="10"/>
    <x v="2"/>
  </r>
  <r>
    <d v="2023-11-04T00:00:00"/>
    <x v="727"/>
    <x v="25"/>
    <x v="0"/>
    <x v="2"/>
    <n v="45.25"/>
    <n v="2"/>
    <n v="3.96"/>
    <x v="10"/>
    <x v="2"/>
  </r>
  <r>
    <d v="2023-11-04T00:00:00"/>
    <x v="727"/>
    <x v="25"/>
    <x v="1"/>
    <x v="13"/>
    <n v="876.3"/>
    <n v="10"/>
    <n v="-292.10000000000002"/>
    <x v="10"/>
    <x v="2"/>
  </r>
  <r>
    <d v="2023-11-04T00:00:00"/>
    <x v="727"/>
    <x v="25"/>
    <x v="0"/>
    <x v="14"/>
    <n v="185.38"/>
    <n v="2"/>
    <n v="-34.76"/>
    <x v="10"/>
    <x v="2"/>
  </r>
  <r>
    <d v="2023-11-04T00:00:00"/>
    <x v="204"/>
    <x v="3"/>
    <x v="2"/>
    <x v="15"/>
    <n v="686.4"/>
    <n v="2"/>
    <n v="77.22"/>
    <x v="10"/>
    <x v="2"/>
  </r>
  <r>
    <d v="2023-11-04T00:00:00"/>
    <x v="533"/>
    <x v="0"/>
    <x v="1"/>
    <x v="8"/>
    <n v="11.38"/>
    <n v="3"/>
    <n v="-5.69"/>
    <x v="10"/>
    <x v="2"/>
  </r>
  <r>
    <d v="2023-11-04T00:00:00"/>
    <x v="533"/>
    <x v="0"/>
    <x v="1"/>
    <x v="8"/>
    <n v="66.11"/>
    <n v="4"/>
    <n v="-84.29"/>
    <x v="10"/>
    <x v="2"/>
  </r>
  <r>
    <d v="2023-11-05T00:00:00"/>
    <x v="431"/>
    <x v="3"/>
    <x v="0"/>
    <x v="3"/>
    <n v="29.12"/>
    <n v="5"/>
    <n v="9.83"/>
    <x v="10"/>
    <x v="2"/>
  </r>
  <r>
    <d v="2023-11-05T00:00:00"/>
    <x v="756"/>
    <x v="2"/>
    <x v="2"/>
    <x v="6"/>
    <n v="23.99"/>
    <n v="2"/>
    <n v="-15.99"/>
    <x v="10"/>
    <x v="2"/>
  </r>
  <r>
    <d v="2023-11-05T00:00:00"/>
    <x v="287"/>
    <x v="0"/>
    <x v="1"/>
    <x v="13"/>
    <n v="863.13"/>
    <n v="8"/>
    <n v="-160.30000000000001"/>
    <x v="10"/>
    <x v="2"/>
  </r>
  <r>
    <d v="2023-11-05T00:00:00"/>
    <x v="287"/>
    <x v="0"/>
    <x v="0"/>
    <x v="3"/>
    <n v="3.56"/>
    <n v="3"/>
    <n v="-6.24"/>
    <x v="10"/>
    <x v="2"/>
  </r>
  <r>
    <d v="2023-11-05T00:00:00"/>
    <x v="287"/>
    <x v="0"/>
    <x v="1"/>
    <x v="11"/>
    <n v="956.66"/>
    <n v="7"/>
    <n v="-225.1"/>
    <x v="10"/>
    <x v="2"/>
  </r>
  <r>
    <d v="2023-11-05T00:00:00"/>
    <x v="287"/>
    <x v="0"/>
    <x v="0"/>
    <x v="3"/>
    <n v="12.59"/>
    <n v="3"/>
    <n v="-20.14"/>
    <x v="10"/>
    <x v="2"/>
  </r>
  <r>
    <d v="2023-11-05T00:00:00"/>
    <x v="287"/>
    <x v="0"/>
    <x v="2"/>
    <x v="9"/>
    <n v="171.96"/>
    <n v="5"/>
    <n v="45.14"/>
    <x v="10"/>
    <x v="2"/>
  </r>
  <r>
    <d v="2023-11-05T00:00:00"/>
    <x v="415"/>
    <x v="18"/>
    <x v="0"/>
    <x v="3"/>
    <n v="104.9"/>
    <n v="5"/>
    <n v="50.35"/>
    <x v="10"/>
    <x v="2"/>
  </r>
  <r>
    <d v="2023-11-05T00:00:00"/>
    <x v="415"/>
    <x v="18"/>
    <x v="0"/>
    <x v="4"/>
    <n v="39.68"/>
    <n v="2"/>
    <n v="16.27"/>
    <x v="10"/>
    <x v="2"/>
  </r>
  <r>
    <d v="2023-11-05T00:00:00"/>
    <x v="415"/>
    <x v="18"/>
    <x v="0"/>
    <x v="1"/>
    <n v="51.75"/>
    <n v="5"/>
    <n v="24.84"/>
    <x v="10"/>
    <x v="2"/>
  </r>
  <r>
    <d v="2023-11-05T00:00:00"/>
    <x v="343"/>
    <x v="3"/>
    <x v="0"/>
    <x v="3"/>
    <n v="53.25"/>
    <n v="2"/>
    <n v="19.97"/>
    <x v="10"/>
    <x v="2"/>
  </r>
  <r>
    <d v="2023-11-05T00:00:00"/>
    <x v="438"/>
    <x v="0"/>
    <x v="0"/>
    <x v="1"/>
    <n v="11.84"/>
    <n v="1"/>
    <n v="4.4400000000000004"/>
    <x v="10"/>
    <x v="2"/>
  </r>
  <r>
    <d v="2023-11-05T00:00:00"/>
    <x v="377"/>
    <x v="22"/>
    <x v="2"/>
    <x v="9"/>
    <n v="479.72"/>
    <n v="4"/>
    <n v="52.77"/>
    <x v="10"/>
    <x v="2"/>
  </r>
  <r>
    <d v="2023-11-05T00:00:00"/>
    <x v="564"/>
    <x v="3"/>
    <x v="2"/>
    <x v="9"/>
    <n v="72"/>
    <n v="4"/>
    <n v="12.96"/>
    <x v="10"/>
    <x v="2"/>
  </r>
  <r>
    <d v="2023-11-05T00:00:00"/>
    <x v="564"/>
    <x v="3"/>
    <x v="1"/>
    <x v="5"/>
    <n v="113.89"/>
    <n v="2"/>
    <n v="9.9700000000000006"/>
    <x v="10"/>
    <x v="2"/>
  </r>
  <r>
    <d v="2023-11-05T00:00:00"/>
    <x v="564"/>
    <x v="3"/>
    <x v="0"/>
    <x v="10"/>
    <n v="158.13"/>
    <n v="3"/>
    <n v="77.48"/>
    <x v="10"/>
    <x v="2"/>
  </r>
  <r>
    <d v="2023-11-05T00:00:00"/>
    <x v="395"/>
    <x v="6"/>
    <x v="1"/>
    <x v="8"/>
    <n v="273.95999999999998"/>
    <n v="2"/>
    <n v="71.23"/>
    <x v="10"/>
    <x v="2"/>
  </r>
  <r>
    <d v="2023-11-05T00:00:00"/>
    <x v="395"/>
    <x v="6"/>
    <x v="2"/>
    <x v="9"/>
    <n v="89.97"/>
    <n v="3"/>
    <n v="18.89"/>
    <x v="10"/>
    <x v="2"/>
  </r>
  <r>
    <d v="2023-11-05T00:00:00"/>
    <x v="395"/>
    <x v="6"/>
    <x v="1"/>
    <x v="8"/>
    <n v="756.8"/>
    <n v="5"/>
    <n v="75.680000000000007"/>
    <x v="10"/>
    <x v="2"/>
  </r>
  <r>
    <d v="2023-11-06T00:00:00"/>
    <x v="471"/>
    <x v="3"/>
    <x v="1"/>
    <x v="5"/>
    <n v="81.42"/>
    <n v="2"/>
    <n v="-9.16"/>
    <x v="10"/>
    <x v="2"/>
  </r>
  <r>
    <d v="2023-11-06T00:00:00"/>
    <x v="471"/>
    <x v="3"/>
    <x v="1"/>
    <x v="8"/>
    <n v="238.56"/>
    <n v="3"/>
    <n v="26.24"/>
    <x v="10"/>
    <x v="2"/>
  </r>
  <r>
    <d v="2023-11-06T00:00:00"/>
    <x v="254"/>
    <x v="16"/>
    <x v="1"/>
    <x v="5"/>
    <n v="207.98"/>
    <n v="2"/>
    <n v="-28.6"/>
    <x v="10"/>
    <x v="2"/>
  </r>
  <r>
    <d v="2023-11-06T00:00:00"/>
    <x v="254"/>
    <x v="16"/>
    <x v="0"/>
    <x v="0"/>
    <n v="36.11"/>
    <n v="2"/>
    <n v="12.64"/>
    <x v="10"/>
    <x v="2"/>
  </r>
  <r>
    <d v="2023-11-06T00:00:00"/>
    <x v="254"/>
    <x v="16"/>
    <x v="1"/>
    <x v="8"/>
    <n v="35.57"/>
    <n v="2"/>
    <n v="5.78"/>
    <x v="10"/>
    <x v="2"/>
  </r>
  <r>
    <d v="2023-11-06T00:00:00"/>
    <x v="254"/>
    <x v="16"/>
    <x v="0"/>
    <x v="0"/>
    <n v="88.77"/>
    <n v="2"/>
    <n v="31.07"/>
    <x v="10"/>
    <x v="2"/>
  </r>
  <r>
    <d v="2023-11-06T00:00:00"/>
    <x v="576"/>
    <x v="3"/>
    <x v="0"/>
    <x v="2"/>
    <n v="84.84"/>
    <n v="3"/>
    <n v="22.91"/>
    <x v="10"/>
    <x v="2"/>
  </r>
  <r>
    <d v="2023-11-07T00:00:00"/>
    <x v="655"/>
    <x v="22"/>
    <x v="0"/>
    <x v="3"/>
    <n v="27.68"/>
    <n v="2"/>
    <n v="9.69"/>
    <x v="10"/>
    <x v="2"/>
  </r>
  <r>
    <d v="2023-11-07T00:00:00"/>
    <x v="673"/>
    <x v="3"/>
    <x v="0"/>
    <x v="3"/>
    <n v="37.44"/>
    <n v="4"/>
    <n v="11.7"/>
    <x v="10"/>
    <x v="2"/>
  </r>
  <r>
    <d v="2023-11-07T00:00:00"/>
    <x v="673"/>
    <x v="3"/>
    <x v="0"/>
    <x v="3"/>
    <n v="26.98"/>
    <n v="4"/>
    <n v="8.77"/>
    <x v="10"/>
    <x v="2"/>
  </r>
  <r>
    <d v="2023-11-07T00:00:00"/>
    <x v="673"/>
    <x v="3"/>
    <x v="0"/>
    <x v="14"/>
    <n v="11.36"/>
    <n v="2"/>
    <n v="3.29"/>
    <x v="10"/>
    <x v="2"/>
  </r>
  <r>
    <d v="2023-11-07T00:00:00"/>
    <x v="673"/>
    <x v="3"/>
    <x v="0"/>
    <x v="1"/>
    <n v="14.62"/>
    <n v="2"/>
    <n v="6.87"/>
    <x v="10"/>
    <x v="2"/>
  </r>
  <r>
    <d v="2023-11-07T00:00:00"/>
    <x v="595"/>
    <x v="3"/>
    <x v="1"/>
    <x v="8"/>
    <n v="14.82"/>
    <n v="3"/>
    <n v="6.22"/>
    <x v="10"/>
    <x v="2"/>
  </r>
  <r>
    <d v="2023-11-07T00:00:00"/>
    <x v="491"/>
    <x v="10"/>
    <x v="2"/>
    <x v="9"/>
    <n v="119.98"/>
    <n v="3"/>
    <n v="22.5"/>
    <x v="10"/>
    <x v="2"/>
  </r>
  <r>
    <d v="2023-11-07T00:00:00"/>
    <x v="204"/>
    <x v="23"/>
    <x v="0"/>
    <x v="7"/>
    <n v="14.96"/>
    <n v="4"/>
    <n v="0.3"/>
    <x v="10"/>
    <x v="2"/>
  </r>
  <r>
    <d v="2023-11-07T00:00:00"/>
    <x v="577"/>
    <x v="3"/>
    <x v="0"/>
    <x v="0"/>
    <n v="12.9"/>
    <n v="2"/>
    <n v="6.32"/>
    <x v="10"/>
    <x v="2"/>
  </r>
  <r>
    <d v="2023-11-07T00:00:00"/>
    <x v="415"/>
    <x v="46"/>
    <x v="1"/>
    <x v="5"/>
    <n v="1603.14"/>
    <n v="4"/>
    <n v="100.2"/>
    <x v="10"/>
    <x v="2"/>
  </r>
  <r>
    <d v="2023-11-07T00:00:00"/>
    <x v="399"/>
    <x v="20"/>
    <x v="2"/>
    <x v="6"/>
    <n v="263.95999999999998"/>
    <n v="4"/>
    <n v="71.27"/>
    <x v="10"/>
    <x v="2"/>
  </r>
  <r>
    <d v="2023-11-07T00:00:00"/>
    <x v="399"/>
    <x v="20"/>
    <x v="2"/>
    <x v="6"/>
    <n v="359.97"/>
    <n v="3"/>
    <n v="100.79"/>
    <x v="10"/>
    <x v="2"/>
  </r>
  <r>
    <d v="2023-11-07T00:00:00"/>
    <x v="399"/>
    <x v="20"/>
    <x v="0"/>
    <x v="0"/>
    <n v="12.96"/>
    <n v="2"/>
    <n v="6.22"/>
    <x v="10"/>
    <x v="2"/>
  </r>
  <r>
    <d v="2023-11-07T00:00:00"/>
    <x v="399"/>
    <x v="20"/>
    <x v="0"/>
    <x v="2"/>
    <n v="116.82"/>
    <n v="3"/>
    <n v="5.84"/>
    <x v="10"/>
    <x v="2"/>
  </r>
  <r>
    <d v="2023-11-07T00:00:00"/>
    <x v="399"/>
    <x v="20"/>
    <x v="0"/>
    <x v="3"/>
    <n v="276.77999999999997"/>
    <n v="2"/>
    <n v="89.95"/>
    <x v="10"/>
    <x v="2"/>
  </r>
  <r>
    <d v="2023-11-07T00:00:00"/>
    <x v="283"/>
    <x v="0"/>
    <x v="1"/>
    <x v="8"/>
    <n v="44.46"/>
    <n v="5"/>
    <n v="-17.78"/>
    <x v="10"/>
    <x v="2"/>
  </r>
  <r>
    <d v="2023-11-07T00:00:00"/>
    <x v="283"/>
    <x v="0"/>
    <x v="0"/>
    <x v="2"/>
    <n v="314.08999999999997"/>
    <n v="3"/>
    <n v="19.63"/>
    <x v="10"/>
    <x v="2"/>
  </r>
  <r>
    <d v="2023-11-07T00:00:00"/>
    <x v="44"/>
    <x v="3"/>
    <x v="2"/>
    <x v="9"/>
    <n v="479.97"/>
    <n v="3"/>
    <n v="163.19"/>
    <x v="10"/>
    <x v="2"/>
  </r>
  <r>
    <d v="2023-11-07T00:00:00"/>
    <x v="437"/>
    <x v="3"/>
    <x v="0"/>
    <x v="3"/>
    <n v="57.58"/>
    <n v="2"/>
    <n v="20.149999999999999"/>
    <x v="10"/>
    <x v="2"/>
  </r>
  <r>
    <d v="2023-11-08T00:00:00"/>
    <x v="704"/>
    <x v="5"/>
    <x v="1"/>
    <x v="11"/>
    <n v="261.95999999999998"/>
    <n v="2"/>
    <n v="41.91"/>
    <x v="10"/>
    <x v="2"/>
  </r>
  <r>
    <d v="2023-11-08T00:00:00"/>
    <x v="704"/>
    <x v="5"/>
    <x v="1"/>
    <x v="5"/>
    <n v="731.94"/>
    <n v="3"/>
    <n v="219.58"/>
    <x v="10"/>
    <x v="2"/>
  </r>
  <r>
    <d v="2023-11-09T00:00:00"/>
    <x v="413"/>
    <x v="3"/>
    <x v="2"/>
    <x v="9"/>
    <n v="479.97"/>
    <n v="3"/>
    <n v="177.59"/>
    <x v="10"/>
    <x v="2"/>
  </r>
  <r>
    <d v="2023-11-10T00:00:00"/>
    <x v="593"/>
    <x v="3"/>
    <x v="0"/>
    <x v="2"/>
    <n v="155.82"/>
    <n v="7"/>
    <n v="42.07"/>
    <x v="10"/>
    <x v="2"/>
  </r>
  <r>
    <d v="2023-11-10T00:00:00"/>
    <x v="593"/>
    <x v="3"/>
    <x v="0"/>
    <x v="3"/>
    <n v="70.010000000000005"/>
    <n v="3"/>
    <n v="24.5"/>
    <x v="10"/>
    <x v="2"/>
  </r>
  <r>
    <d v="2023-11-10T00:00:00"/>
    <x v="684"/>
    <x v="3"/>
    <x v="0"/>
    <x v="3"/>
    <n v="13.22"/>
    <n v="4"/>
    <n v="4.46"/>
    <x v="10"/>
    <x v="2"/>
  </r>
  <r>
    <d v="2023-11-10T00:00:00"/>
    <x v="684"/>
    <x v="3"/>
    <x v="0"/>
    <x v="0"/>
    <n v="32.4"/>
    <n v="5"/>
    <n v="15.55"/>
    <x v="10"/>
    <x v="2"/>
  </r>
  <r>
    <d v="2023-11-10T00:00:00"/>
    <x v="587"/>
    <x v="4"/>
    <x v="0"/>
    <x v="4"/>
    <n v="41.86"/>
    <n v="7"/>
    <n v="10.47"/>
    <x v="10"/>
    <x v="2"/>
  </r>
  <r>
    <d v="2023-11-10T00:00:00"/>
    <x v="192"/>
    <x v="10"/>
    <x v="0"/>
    <x v="14"/>
    <n v="14.72"/>
    <n v="5"/>
    <n v="-3.31"/>
    <x v="10"/>
    <x v="2"/>
  </r>
  <r>
    <d v="2023-11-10T00:00:00"/>
    <x v="192"/>
    <x v="10"/>
    <x v="0"/>
    <x v="2"/>
    <n v="38.979999999999997"/>
    <n v="3"/>
    <n v="-2.44"/>
    <x v="10"/>
    <x v="2"/>
  </r>
  <r>
    <d v="2023-11-10T00:00:00"/>
    <x v="367"/>
    <x v="10"/>
    <x v="0"/>
    <x v="1"/>
    <n v="9.2200000000000006"/>
    <n v="4"/>
    <n v="3.34"/>
    <x v="10"/>
    <x v="2"/>
  </r>
  <r>
    <d v="2023-11-10T00:00:00"/>
    <x v="367"/>
    <x v="10"/>
    <x v="2"/>
    <x v="6"/>
    <n v="41.96"/>
    <n v="7"/>
    <n v="-9.7899999999999991"/>
    <x v="10"/>
    <x v="2"/>
  </r>
  <r>
    <d v="2023-11-10T00:00:00"/>
    <x v="367"/>
    <x v="10"/>
    <x v="0"/>
    <x v="0"/>
    <n v="89.57"/>
    <n v="2"/>
    <n v="32.47"/>
    <x v="10"/>
    <x v="2"/>
  </r>
  <r>
    <d v="2023-11-10T00:00:00"/>
    <x v="367"/>
    <x v="10"/>
    <x v="0"/>
    <x v="0"/>
    <n v="22.25"/>
    <n v="3"/>
    <n v="7.51"/>
    <x v="10"/>
    <x v="2"/>
  </r>
  <r>
    <d v="2023-11-10T00:00:00"/>
    <x v="367"/>
    <x v="10"/>
    <x v="0"/>
    <x v="12"/>
    <n v="334.88"/>
    <n v="4"/>
    <n v="29.3"/>
    <x v="10"/>
    <x v="2"/>
  </r>
  <r>
    <d v="2023-11-10T00:00:00"/>
    <x v="367"/>
    <x v="10"/>
    <x v="1"/>
    <x v="8"/>
    <n v="148.29"/>
    <n v="7"/>
    <n v="29.66"/>
    <x v="10"/>
    <x v="2"/>
  </r>
  <r>
    <d v="2023-11-10T00:00:00"/>
    <x v="367"/>
    <x v="10"/>
    <x v="0"/>
    <x v="0"/>
    <n v="4.62"/>
    <n v="1"/>
    <n v="1.68"/>
    <x v="10"/>
    <x v="2"/>
  </r>
  <r>
    <d v="2023-11-10T00:00:00"/>
    <x v="367"/>
    <x v="10"/>
    <x v="2"/>
    <x v="9"/>
    <n v="178.92"/>
    <n v="7"/>
    <n v="-29.07"/>
    <x v="10"/>
    <x v="2"/>
  </r>
  <r>
    <d v="2023-11-10T00:00:00"/>
    <x v="367"/>
    <x v="10"/>
    <x v="0"/>
    <x v="3"/>
    <n v="69.89"/>
    <n v="7"/>
    <n v="-46.59"/>
    <x v="10"/>
    <x v="2"/>
  </r>
  <r>
    <d v="2023-11-10T00:00:00"/>
    <x v="282"/>
    <x v="0"/>
    <x v="2"/>
    <x v="9"/>
    <n v="279.94"/>
    <n v="7"/>
    <n v="48.99"/>
    <x v="10"/>
    <x v="2"/>
  </r>
  <r>
    <d v="2023-11-10T00:00:00"/>
    <x v="666"/>
    <x v="24"/>
    <x v="1"/>
    <x v="8"/>
    <n v="37.299999999999997"/>
    <n v="2"/>
    <n v="17.16"/>
    <x v="10"/>
    <x v="2"/>
  </r>
  <r>
    <d v="2023-11-10T00:00:00"/>
    <x v="666"/>
    <x v="24"/>
    <x v="0"/>
    <x v="3"/>
    <n v="81.96"/>
    <n v="2"/>
    <n v="39.340000000000003"/>
    <x v="10"/>
    <x v="2"/>
  </r>
  <r>
    <d v="2023-11-10T00:00:00"/>
    <x v="562"/>
    <x v="20"/>
    <x v="0"/>
    <x v="3"/>
    <n v="20.37"/>
    <n v="1"/>
    <n v="7.38"/>
    <x v="10"/>
    <x v="2"/>
  </r>
  <r>
    <d v="2023-11-10T00:00:00"/>
    <x v="562"/>
    <x v="20"/>
    <x v="0"/>
    <x v="3"/>
    <n v="49.85"/>
    <n v="3"/>
    <n v="16.82"/>
    <x v="10"/>
    <x v="2"/>
  </r>
  <r>
    <d v="2023-11-10T00:00:00"/>
    <x v="170"/>
    <x v="3"/>
    <x v="0"/>
    <x v="0"/>
    <n v="67.709999999999994"/>
    <n v="3"/>
    <n v="32.5"/>
    <x v="10"/>
    <x v="2"/>
  </r>
  <r>
    <d v="2023-11-10T00:00:00"/>
    <x v="170"/>
    <x v="3"/>
    <x v="0"/>
    <x v="12"/>
    <n v="129.91999999999999"/>
    <n v="4"/>
    <n v="38.979999999999997"/>
    <x v="10"/>
    <x v="2"/>
  </r>
  <r>
    <d v="2023-11-10T00:00:00"/>
    <x v="170"/>
    <x v="3"/>
    <x v="1"/>
    <x v="8"/>
    <n v="467.46"/>
    <n v="9"/>
    <n v="191.66"/>
    <x v="10"/>
    <x v="2"/>
  </r>
  <r>
    <d v="2023-11-10T00:00:00"/>
    <x v="170"/>
    <x v="3"/>
    <x v="0"/>
    <x v="0"/>
    <n v="61.4"/>
    <n v="5"/>
    <n v="28.86"/>
    <x v="10"/>
    <x v="2"/>
  </r>
  <r>
    <d v="2023-11-10T00:00:00"/>
    <x v="170"/>
    <x v="3"/>
    <x v="0"/>
    <x v="2"/>
    <n v="720.76"/>
    <n v="4"/>
    <n v="187.4"/>
    <x v="10"/>
    <x v="2"/>
  </r>
  <r>
    <d v="2023-11-10T00:00:00"/>
    <x v="170"/>
    <x v="3"/>
    <x v="0"/>
    <x v="3"/>
    <n v="5.18"/>
    <n v="3"/>
    <n v="1.81"/>
    <x v="10"/>
    <x v="2"/>
  </r>
  <r>
    <d v="2023-11-10T00:00:00"/>
    <x v="170"/>
    <x v="3"/>
    <x v="0"/>
    <x v="4"/>
    <n v="14.7"/>
    <n v="5"/>
    <n v="3.97"/>
    <x v="10"/>
    <x v="2"/>
  </r>
  <r>
    <d v="2023-11-10T00:00:00"/>
    <x v="151"/>
    <x v="3"/>
    <x v="1"/>
    <x v="8"/>
    <n v="9.98"/>
    <n v="1"/>
    <n v="2.79"/>
    <x v="10"/>
    <x v="2"/>
  </r>
  <r>
    <d v="2023-11-10T00:00:00"/>
    <x v="644"/>
    <x v="3"/>
    <x v="0"/>
    <x v="2"/>
    <n v="29.74"/>
    <n v="1"/>
    <n v="4.46"/>
    <x v="10"/>
    <x v="2"/>
  </r>
  <r>
    <d v="2023-11-10T00:00:00"/>
    <x v="9"/>
    <x v="10"/>
    <x v="0"/>
    <x v="0"/>
    <n v="31.1"/>
    <n v="6"/>
    <n v="10.89"/>
    <x v="10"/>
    <x v="2"/>
  </r>
  <r>
    <d v="2023-11-10T00:00:00"/>
    <x v="48"/>
    <x v="39"/>
    <x v="2"/>
    <x v="6"/>
    <n v="221.98"/>
    <n v="2"/>
    <n v="62.15"/>
    <x v="10"/>
    <x v="2"/>
  </r>
  <r>
    <d v="2023-11-10T00:00:00"/>
    <x v="48"/>
    <x v="39"/>
    <x v="1"/>
    <x v="11"/>
    <n v="341.96"/>
    <n v="2"/>
    <n v="54.71"/>
    <x v="10"/>
    <x v="2"/>
  </r>
  <r>
    <d v="2023-11-10T00:00:00"/>
    <x v="72"/>
    <x v="20"/>
    <x v="0"/>
    <x v="3"/>
    <n v="3.64"/>
    <n v="1"/>
    <n v="1.37"/>
    <x v="10"/>
    <x v="2"/>
  </r>
  <r>
    <d v="2023-11-10T00:00:00"/>
    <x v="72"/>
    <x v="20"/>
    <x v="2"/>
    <x v="6"/>
    <n v="881.93"/>
    <n v="7"/>
    <n v="220.48"/>
    <x v="10"/>
    <x v="2"/>
  </r>
  <r>
    <d v="2023-11-11T00:00:00"/>
    <x v="741"/>
    <x v="20"/>
    <x v="2"/>
    <x v="9"/>
    <n v="59.97"/>
    <n v="3"/>
    <n v="14.99"/>
    <x v="10"/>
    <x v="2"/>
  </r>
  <r>
    <d v="2023-11-11T00:00:00"/>
    <x v="741"/>
    <x v="20"/>
    <x v="0"/>
    <x v="2"/>
    <n v="83.36"/>
    <n v="1"/>
    <n v="20.84"/>
    <x v="10"/>
    <x v="2"/>
  </r>
  <r>
    <d v="2023-11-11T00:00:00"/>
    <x v="653"/>
    <x v="1"/>
    <x v="2"/>
    <x v="9"/>
    <n v="95.97"/>
    <n v="4"/>
    <n v="1.2"/>
    <x v="10"/>
    <x v="2"/>
  </r>
  <r>
    <d v="2023-11-11T00:00:00"/>
    <x v="653"/>
    <x v="1"/>
    <x v="1"/>
    <x v="5"/>
    <n v="47.99"/>
    <n v="2"/>
    <n v="-2.06"/>
    <x v="10"/>
    <x v="2"/>
  </r>
  <r>
    <d v="2023-11-11T00:00:00"/>
    <x v="437"/>
    <x v="14"/>
    <x v="2"/>
    <x v="6"/>
    <n v="257.98"/>
    <n v="2"/>
    <n v="74.81"/>
    <x v="10"/>
    <x v="2"/>
  </r>
  <r>
    <d v="2023-11-11T00:00:00"/>
    <x v="328"/>
    <x v="3"/>
    <x v="1"/>
    <x v="8"/>
    <n v="6.96"/>
    <n v="4"/>
    <n v="2.23"/>
    <x v="10"/>
    <x v="2"/>
  </r>
  <r>
    <d v="2023-11-11T00:00:00"/>
    <x v="162"/>
    <x v="16"/>
    <x v="0"/>
    <x v="3"/>
    <n v="9.89"/>
    <n v="2"/>
    <n v="-6.92"/>
    <x v="10"/>
    <x v="2"/>
  </r>
  <r>
    <d v="2023-11-11T00:00:00"/>
    <x v="162"/>
    <x v="16"/>
    <x v="0"/>
    <x v="12"/>
    <n v="671.54"/>
    <n v="3"/>
    <n v="50.37"/>
    <x v="10"/>
    <x v="2"/>
  </r>
  <r>
    <d v="2023-11-11T00:00:00"/>
    <x v="615"/>
    <x v="20"/>
    <x v="0"/>
    <x v="2"/>
    <n v="28.14"/>
    <n v="3"/>
    <n v="7.88"/>
    <x v="10"/>
    <x v="2"/>
  </r>
  <r>
    <d v="2023-11-11T00:00:00"/>
    <x v="615"/>
    <x v="20"/>
    <x v="2"/>
    <x v="9"/>
    <n v="36"/>
    <n v="2"/>
    <n v="6.48"/>
    <x v="10"/>
    <x v="2"/>
  </r>
  <r>
    <d v="2023-11-11T00:00:00"/>
    <x v="615"/>
    <x v="20"/>
    <x v="0"/>
    <x v="4"/>
    <n v="92.94"/>
    <n v="3"/>
    <n v="25.09"/>
    <x v="10"/>
    <x v="2"/>
  </r>
  <r>
    <d v="2023-11-11T00:00:00"/>
    <x v="615"/>
    <x v="20"/>
    <x v="1"/>
    <x v="5"/>
    <n v="245.65"/>
    <n v="3"/>
    <n v="8.19"/>
    <x v="10"/>
    <x v="2"/>
  </r>
  <r>
    <d v="2023-11-11T00:00:00"/>
    <x v="615"/>
    <x v="20"/>
    <x v="0"/>
    <x v="3"/>
    <n v="55.01"/>
    <n v="3"/>
    <n v="17.190000000000001"/>
    <x v="10"/>
    <x v="2"/>
  </r>
  <r>
    <d v="2023-11-11T00:00:00"/>
    <x v="615"/>
    <x v="20"/>
    <x v="0"/>
    <x v="3"/>
    <n v="35.229999999999997"/>
    <n v="3"/>
    <n v="11.45"/>
    <x v="10"/>
    <x v="2"/>
  </r>
  <r>
    <d v="2023-11-11T00:00:00"/>
    <x v="269"/>
    <x v="3"/>
    <x v="1"/>
    <x v="8"/>
    <n v="41.96"/>
    <n v="2"/>
    <n v="10.91"/>
    <x v="10"/>
    <x v="2"/>
  </r>
  <r>
    <d v="2023-11-11T00:00:00"/>
    <x v="269"/>
    <x v="3"/>
    <x v="1"/>
    <x v="5"/>
    <n v="451.15"/>
    <n v="3"/>
    <n v="0"/>
    <x v="10"/>
    <x v="2"/>
  </r>
  <r>
    <d v="2023-11-11T00:00:00"/>
    <x v="269"/>
    <x v="3"/>
    <x v="0"/>
    <x v="3"/>
    <n v="31.5"/>
    <n v="11"/>
    <n v="11.03"/>
    <x v="10"/>
    <x v="2"/>
  </r>
  <r>
    <d v="2023-11-11T00:00:00"/>
    <x v="756"/>
    <x v="18"/>
    <x v="1"/>
    <x v="13"/>
    <n v="2678.94"/>
    <n v="6"/>
    <n v="241.1"/>
    <x v="10"/>
    <x v="2"/>
  </r>
  <r>
    <d v="2023-11-11T00:00:00"/>
    <x v="774"/>
    <x v="1"/>
    <x v="0"/>
    <x v="4"/>
    <n v="14.11"/>
    <n v="6"/>
    <n v="1.23"/>
    <x v="10"/>
    <x v="2"/>
  </r>
  <r>
    <d v="2023-11-12T00:00:00"/>
    <x v="102"/>
    <x v="12"/>
    <x v="0"/>
    <x v="3"/>
    <n v="6.27"/>
    <n v="5"/>
    <n v="-4.5999999999999996"/>
    <x v="10"/>
    <x v="2"/>
  </r>
  <r>
    <d v="2023-11-12T00:00:00"/>
    <x v="102"/>
    <x v="12"/>
    <x v="0"/>
    <x v="3"/>
    <n v="4.37"/>
    <n v="7"/>
    <n v="-3.35"/>
    <x v="10"/>
    <x v="2"/>
  </r>
  <r>
    <d v="2023-11-12T00:00:00"/>
    <x v="102"/>
    <x v="12"/>
    <x v="2"/>
    <x v="9"/>
    <n v="31.98"/>
    <n v="2"/>
    <n v="2"/>
    <x v="10"/>
    <x v="2"/>
  </r>
  <r>
    <d v="2023-11-12T00:00:00"/>
    <x v="136"/>
    <x v="18"/>
    <x v="0"/>
    <x v="10"/>
    <n v="287.52"/>
    <n v="8"/>
    <n v="129.38"/>
    <x v="10"/>
    <x v="2"/>
  </r>
  <r>
    <d v="2023-11-12T00:00:00"/>
    <x v="136"/>
    <x v="18"/>
    <x v="0"/>
    <x v="12"/>
    <n v="37.68"/>
    <n v="2"/>
    <n v="10.55"/>
    <x v="10"/>
    <x v="2"/>
  </r>
  <r>
    <d v="2023-11-12T00:00:00"/>
    <x v="136"/>
    <x v="18"/>
    <x v="0"/>
    <x v="0"/>
    <n v="19.98"/>
    <n v="2"/>
    <n v="8.99"/>
    <x v="10"/>
    <x v="2"/>
  </r>
  <r>
    <d v="2023-11-12T00:00:00"/>
    <x v="136"/>
    <x v="18"/>
    <x v="0"/>
    <x v="4"/>
    <n v="20.58"/>
    <n v="7"/>
    <n v="5.56"/>
    <x v="10"/>
    <x v="2"/>
  </r>
  <r>
    <d v="2023-11-12T00:00:00"/>
    <x v="136"/>
    <x v="18"/>
    <x v="0"/>
    <x v="3"/>
    <n v="17.38"/>
    <n v="2"/>
    <n v="8.69"/>
    <x v="10"/>
    <x v="2"/>
  </r>
  <r>
    <d v="2023-11-12T00:00:00"/>
    <x v="530"/>
    <x v="10"/>
    <x v="1"/>
    <x v="5"/>
    <n v="1474.8"/>
    <n v="7"/>
    <n v="-21.07"/>
    <x v="10"/>
    <x v="2"/>
  </r>
  <r>
    <d v="2023-11-12T00:00:00"/>
    <x v="530"/>
    <x v="10"/>
    <x v="0"/>
    <x v="12"/>
    <n v="110.1"/>
    <n v="2"/>
    <n v="33.03"/>
    <x v="10"/>
    <x v="2"/>
  </r>
  <r>
    <d v="2023-11-12T00:00:00"/>
    <x v="530"/>
    <x v="10"/>
    <x v="0"/>
    <x v="7"/>
    <n v="16.75"/>
    <n v="6"/>
    <n v="5.44"/>
    <x v="10"/>
    <x v="2"/>
  </r>
  <r>
    <d v="2023-11-12T00:00:00"/>
    <x v="530"/>
    <x v="10"/>
    <x v="1"/>
    <x v="5"/>
    <n v="1537.07"/>
    <n v="9"/>
    <n v="0"/>
    <x v="10"/>
    <x v="2"/>
  </r>
  <r>
    <d v="2023-11-12T00:00:00"/>
    <x v="530"/>
    <x v="10"/>
    <x v="1"/>
    <x v="5"/>
    <n v="449.37"/>
    <n v="2"/>
    <n v="-12.84"/>
    <x v="10"/>
    <x v="2"/>
  </r>
  <r>
    <d v="2023-11-12T00:00:00"/>
    <x v="233"/>
    <x v="3"/>
    <x v="2"/>
    <x v="6"/>
    <n v="203.98"/>
    <n v="3"/>
    <n v="25.5"/>
    <x v="10"/>
    <x v="2"/>
  </r>
  <r>
    <d v="2023-11-12T00:00:00"/>
    <x v="233"/>
    <x v="3"/>
    <x v="1"/>
    <x v="13"/>
    <n v="674.35"/>
    <n v="3"/>
    <n v="-8.43"/>
    <x v="10"/>
    <x v="2"/>
  </r>
  <r>
    <d v="2023-11-12T00:00:00"/>
    <x v="153"/>
    <x v="1"/>
    <x v="1"/>
    <x v="8"/>
    <n v="22.75"/>
    <n v="6"/>
    <n v="-8.5299999999999994"/>
    <x v="10"/>
    <x v="2"/>
  </r>
  <r>
    <d v="2023-11-13T00:00:00"/>
    <x v="365"/>
    <x v="22"/>
    <x v="0"/>
    <x v="4"/>
    <n v="44.02"/>
    <n v="2"/>
    <n v="11.45"/>
    <x v="10"/>
    <x v="2"/>
  </r>
  <r>
    <d v="2023-11-13T00:00:00"/>
    <x v="106"/>
    <x v="25"/>
    <x v="0"/>
    <x v="14"/>
    <n v="52.14"/>
    <n v="7"/>
    <n v="5.87"/>
    <x v="10"/>
    <x v="2"/>
  </r>
  <r>
    <d v="2023-11-13T00:00:00"/>
    <x v="775"/>
    <x v="22"/>
    <x v="1"/>
    <x v="8"/>
    <n v="4.18"/>
    <n v="1"/>
    <n v="1.5"/>
    <x v="10"/>
    <x v="2"/>
  </r>
  <r>
    <d v="2023-11-13T00:00:00"/>
    <x v="684"/>
    <x v="2"/>
    <x v="0"/>
    <x v="0"/>
    <n v="217.06"/>
    <n v="7"/>
    <n v="78.680000000000007"/>
    <x v="10"/>
    <x v="2"/>
  </r>
  <r>
    <d v="2023-11-13T00:00:00"/>
    <x v="162"/>
    <x v="1"/>
    <x v="0"/>
    <x v="3"/>
    <n v="3.14"/>
    <n v="2"/>
    <n v="-4.7"/>
    <x v="10"/>
    <x v="2"/>
  </r>
  <r>
    <d v="2023-11-13T00:00:00"/>
    <x v="38"/>
    <x v="20"/>
    <x v="0"/>
    <x v="2"/>
    <n v="77.55"/>
    <n v="5"/>
    <n v="20.16"/>
    <x v="10"/>
    <x v="2"/>
  </r>
  <r>
    <d v="2023-11-13T00:00:00"/>
    <x v="38"/>
    <x v="20"/>
    <x v="0"/>
    <x v="2"/>
    <n v="24.88"/>
    <n v="2"/>
    <n v="6.97"/>
    <x v="10"/>
    <x v="2"/>
  </r>
  <r>
    <d v="2023-11-13T00:00:00"/>
    <x v="38"/>
    <x v="20"/>
    <x v="0"/>
    <x v="4"/>
    <n v="140.75"/>
    <n v="5"/>
    <n v="39.409999999999997"/>
    <x v="10"/>
    <x v="2"/>
  </r>
  <r>
    <d v="2023-11-13T00:00:00"/>
    <x v="38"/>
    <x v="20"/>
    <x v="0"/>
    <x v="2"/>
    <n v="36.630000000000003"/>
    <n v="3"/>
    <n v="9.89"/>
    <x v="10"/>
    <x v="2"/>
  </r>
  <r>
    <d v="2023-11-13T00:00:00"/>
    <x v="324"/>
    <x v="39"/>
    <x v="1"/>
    <x v="8"/>
    <n v="30.36"/>
    <n v="4"/>
    <n v="13.05"/>
    <x v="10"/>
    <x v="2"/>
  </r>
  <r>
    <d v="2023-11-13T00:00:00"/>
    <x v="619"/>
    <x v="20"/>
    <x v="2"/>
    <x v="6"/>
    <n v="2279.96"/>
    <n v="4"/>
    <n v="592.79"/>
    <x v="10"/>
    <x v="2"/>
  </r>
  <r>
    <d v="2023-11-13T00:00:00"/>
    <x v="619"/>
    <x v="20"/>
    <x v="0"/>
    <x v="1"/>
    <n v="14.94"/>
    <n v="3"/>
    <n v="6.87"/>
    <x v="10"/>
    <x v="2"/>
  </r>
  <r>
    <d v="2023-11-13T00:00:00"/>
    <x v="675"/>
    <x v="22"/>
    <x v="1"/>
    <x v="8"/>
    <n v="19.54"/>
    <n v="2"/>
    <n v="7.23"/>
    <x v="10"/>
    <x v="2"/>
  </r>
  <r>
    <d v="2023-11-14T00:00:00"/>
    <x v="158"/>
    <x v="4"/>
    <x v="2"/>
    <x v="9"/>
    <n v="499.98"/>
    <n v="2"/>
    <n v="115"/>
    <x v="10"/>
    <x v="2"/>
  </r>
  <r>
    <d v="2023-11-14T00:00:00"/>
    <x v="158"/>
    <x v="4"/>
    <x v="0"/>
    <x v="0"/>
    <n v="5.28"/>
    <n v="1"/>
    <n v="2.38"/>
    <x v="10"/>
    <x v="2"/>
  </r>
  <r>
    <d v="2023-11-14T00:00:00"/>
    <x v="158"/>
    <x v="4"/>
    <x v="0"/>
    <x v="3"/>
    <n v="8.26"/>
    <n v="2"/>
    <n v="3.88"/>
    <x v="10"/>
    <x v="2"/>
  </r>
  <r>
    <d v="2023-11-14T00:00:00"/>
    <x v="776"/>
    <x v="3"/>
    <x v="0"/>
    <x v="1"/>
    <n v="7.38"/>
    <n v="2"/>
    <n v="3.47"/>
    <x v="10"/>
    <x v="2"/>
  </r>
  <r>
    <d v="2023-11-14T00:00:00"/>
    <x v="708"/>
    <x v="0"/>
    <x v="0"/>
    <x v="3"/>
    <n v="2.2999999999999998"/>
    <n v="2"/>
    <n v="-3.9"/>
    <x v="10"/>
    <x v="2"/>
  </r>
  <r>
    <d v="2023-11-14T00:00:00"/>
    <x v="337"/>
    <x v="20"/>
    <x v="1"/>
    <x v="5"/>
    <n v="408.01"/>
    <n v="2"/>
    <n v="72.53"/>
    <x v="10"/>
    <x v="2"/>
  </r>
  <r>
    <d v="2023-11-14T00:00:00"/>
    <x v="337"/>
    <x v="20"/>
    <x v="0"/>
    <x v="2"/>
    <n v="40.44"/>
    <n v="3"/>
    <n v="10.51"/>
    <x v="10"/>
    <x v="2"/>
  </r>
  <r>
    <d v="2023-11-14T00:00:00"/>
    <x v="632"/>
    <x v="2"/>
    <x v="1"/>
    <x v="5"/>
    <n v="380.06"/>
    <n v="3"/>
    <n v="-21.72"/>
    <x v="10"/>
    <x v="2"/>
  </r>
  <r>
    <d v="2023-11-14T00:00:00"/>
    <x v="632"/>
    <x v="2"/>
    <x v="2"/>
    <x v="16"/>
    <n v="1199.98"/>
    <n v="4"/>
    <n v="180"/>
    <x v="10"/>
    <x v="2"/>
  </r>
  <r>
    <d v="2023-11-14T00:00:00"/>
    <x v="632"/>
    <x v="2"/>
    <x v="1"/>
    <x v="8"/>
    <n v="48.58"/>
    <n v="3"/>
    <n v="9.7200000000000006"/>
    <x v="10"/>
    <x v="2"/>
  </r>
  <r>
    <d v="2023-11-14T00:00:00"/>
    <x v="560"/>
    <x v="3"/>
    <x v="0"/>
    <x v="4"/>
    <n v="9.84"/>
    <n v="3"/>
    <n v="2.85"/>
    <x v="10"/>
    <x v="2"/>
  </r>
  <r>
    <d v="2023-11-14T00:00:00"/>
    <x v="176"/>
    <x v="7"/>
    <x v="0"/>
    <x v="0"/>
    <n v="16.45"/>
    <n v="5"/>
    <n v="7.57"/>
    <x v="10"/>
    <x v="2"/>
  </r>
  <r>
    <d v="2023-11-14T00:00:00"/>
    <x v="176"/>
    <x v="7"/>
    <x v="1"/>
    <x v="8"/>
    <n v="19.920000000000002"/>
    <n v="4"/>
    <n v="6.57"/>
    <x v="10"/>
    <x v="2"/>
  </r>
  <r>
    <d v="2023-11-14T00:00:00"/>
    <x v="361"/>
    <x v="36"/>
    <x v="2"/>
    <x v="6"/>
    <n v="89.97"/>
    <n v="3"/>
    <n v="25.19"/>
    <x v="10"/>
    <x v="2"/>
  </r>
  <r>
    <d v="2023-11-14T00:00:00"/>
    <x v="0"/>
    <x v="20"/>
    <x v="2"/>
    <x v="6"/>
    <n v="13.98"/>
    <n v="2"/>
    <n v="3.91"/>
    <x v="10"/>
    <x v="2"/>
  </r>
  <r>
    <d v="2023-11-14T00:00:00"/>
    <x v="0"/>
    <x v="20"/>
    <x v="0"/>
    <x v="4"/>
    <n v="23.65"/>
    <n v="1"/>
    <n v="6.15"/>
    <x v="10"/>
    <x v="2"/>
  </r>
  <r>
    <d v="2023-11-15T00:00:00"/>
    <x v="660"/>
    <x v="3"/>
    <x v="2"/>
    <x v="9"/>
    <n v="99.39"/>
    <n v="3"/>
    <n v="40.75"/>
    <x v="10"/>
    <x v="2"/>
  </r>
  <r>
    <d v="2023-11-15T00:00:00"/>
    <x v="614"/>
    <x v="3"/>
    <x v="0"/>
    <x v="3"/>
    <n v="1016.79"/>
    <n v="1"/>
    <n v="381.3"/>
    <x v="10"/>
    <x v="2"/>
  </r>
  <r>
    <d v="2023-11-15T00:00:00"/>
    <x v="614"/>
    <x v="3"/>
    <x v="0"/>
    <x v="3"/>
    <n v="38.14"/>
    <n v="7"/>
    <n v="13.35"/>
    <x v="10"/>
    <x v="2"/>
  </r>
  <r>
    <d v="2023-11-15T00:00:00"/>
    <x v="123"/>
    <x v="3"/>
    <x v="2"/>
    <x v="6"/>
    <n v="361.38"/>
    <n v="2"/>
    <n v="27.1"/>
    <x v="10"/>
    <x v="2"/>
  </r>
  <r>
    <d v="2023-11-15T00:00:00"/>
    <x v="402"/>
    <x v="25"/>
    <x v="1"/>
    <x v="13"/>
    <n v="630.02"/>
    <n v="4"/>
    <n v="-199.51"/>
    <x v="10"/>
    <x v="2"/>
  </r>
  <r>
    <d v="2023-11-16T00:00:00"/>
    <x v="131"/>
    <x v="31"/>
    <x v="0"/>
    <x v="10"/>
    <n v="28.4"/>
    <n v="5"/>
    <n v="13.35"/>
    <x v="10"/>
    <x v="2"/>
  </r>
  <r>
    <d v="2023-11-16T00:00:00"/>
    <x v="24"/>
    <x v="3"/>
    <x v="0"/>
    <x v="3"/>
    <n v="8.32"/>
    <n v="5"/>
    <n v="2.81"/>
    <x v="10"/>
    <x v="2"/>
  </r>
  <r>
    <d v="2023-11-17T00:00:00"/>
    <x v="389"/>
    <x v="31"/>
    <x v="0"/>
    <x v="3"/>
    <n v="10.78"/>
    <n v="3"/>
    <n v="3.37"/>
    <x v="10"/>
    <x v="2"/>
  </r>
  <r>
    <d v="2023-11-17T00:00:00"/>
    <x v="497"/>
    <x v="0"/>
    <x v="2"/>
    <x v="6"/>
    <n v="67.180000000000007"/>
    <n v="3"/>
    <n v="6.72"/>
    <x v="10"/>
    <x v="2"/>
  </r>
  <r>
    <d v="2023-11-17T00:00:00"/>
    <x v="497"/>
    <x v="0"/>
    <x v="0"/>
    <x v="0"/>
    <n v="15.23"/>
    <n v="4"/>
    <n v="5.52"/>
    <x v="10"/>
    <x v="2"/>
  </r>
  <r>
    <d v="2023-11-17T00:00:00"/>
    <x v="631"/>
    <x v="3"/>
    <x v="0"/>
    <x v="14"/>
    <n v="49.5"/>
    <n v="5"/>
    <n v="13.37"/>
    <x v="10"/>
    <x v="2"/>
  </r>
  <r>
    <d v="2023-11-18T00:00:00"/>
    <x v="299"/>
    <x v="39"/>
    <x v="0"/>
    <x v="2"/>
    <n v="1117.92"/>
    <n v="4"/>
    <n v="55.9"/>
    <x v="10"/>
    <x v="2"/>
  </r>
  <r>
    <d v="2023-11-18T00:00:00"/>
    <x v="188"/>
    <x v="0"/>
    <x v="0"/>
    <x v="4"/>
    <n v="6.37"/>
    <n v="2"/>
    <n v="1.03"/>
    <x v="10"/>
    <x v="2"/>
  </r>
  <r>
    <d v="2023-11-18T00:00:00"/>
    <x v="188"/>
    <x v="0"/>
    <x v="0"/>
    <x v="1"/>
    <n v="48.85"/>
    <n v="2"/>
    <n v="15.88"/>
    <x v="10"/>
    <x v="2"/>
  </r>
  <r>
    <d v="2023-11-18T00:00:00"/>
    <x v="188"/>
    <x v="0"/>
    <x v="0"/>
    <x v="0"/>
    <n v="19.649999999999999"/>
    <n v="2"/>
    <n v="6.63"/>
    <x v="10"/>
    <x v="2"/>
  </r>
  <r>
    <d v="2023-11-18T00:00:00"/>
    <x v="188"/>
    <x v="0"/>
    <x v="1"/>
    <x v="5"/>
    <n v="255.11"/>
    <n v="6"/>
    <n v="-18.22"/>
    <x v="10"/>
    <x v="2"/>
  </r>
  <r>
    <d v="2023-11-18T00:00:00"/>
    <x v="191"/>
    <x v="10"/>
    <x v="0"/>
    <x v="12"/>
    <n v="103.97"/>
    <n v="6"/>
    <n v="16.89"/>
    <x v="10"/>
    <x v="2"/>
  </r>
  <r>
    <d v="2023-11-18T00:00:00"/>
    <x v="492"/>
    <x v="3"/>
    <x v="2"/>
    <x v="6"/>
    <n v="61.19"/>
    <n v="1"/>
    <n v="6.12"/>
    <x v="10"/>
    <x v="2"/>
  </r>
  <r>
    <d v="2023-11-18T00:00:00"/>
    <x v="492"/>
    <x v="3"/>
    <x v="0"/>
    <x v="12"/>
    <n v="67.84"/>
    <n v="1"/>
    <n v="18.32"/>
    <x v="10"/>
    <x v="2"/>
  </r>
  <r>
    <d v="2023-11-18T00:00:00"/>
    <x v="63"/>
    <x v="14"/>
    <x v="1"/>
    <x v="5"/>
    <n v="301.95999999999998"/>
    <n v="2"/>
    <n v="33.22"/>
    <x v="10"/>
    <x v="2"/>
  </r>
  <r>
    <d v="2023-11-18T00:00:00"/>
    <x v="385"/>
    <x v="33"/>
    <x v="2"/>
    <x v="9"/>
    <n v="1319.96"/>
    <n v="4"/>
    <n v="527.98"/>
    <x v="10"/>
    <x v="2"/>
  </r>
  <r>
    <d v="2023-11-18T00:00:00"/>
    <x v="190"/>
    <x v="3"/>
    <x v="2"/>
    <x v="9"/>
    <n v="595"/>
    <n v="5"/>
    <n v="95.2"/>
    <x v="10"/>
    <x v="2"/>
  </r>
  <r>
    <d v="2023-11-18T00:00:00"/>
    <x v="737"/>
    <x v="3"/>
    <x v="0"/>
    <x v="3"/>
    <n v="61.12"/>
    <n v="5"/>
    <n v="22.16"/>
    <x v="10"/>
    <x v="2"/>
  </r>
  <r>
    <d v="2023-11-19T00:00:00"/>
    <x v="724"/>
    <x v="20"/>
    <x v="0"/>
    <x v="3"/>
    <n v="14.35"/>
    <n v="3"/>
    <n v="4.66"/>
    <x v="10"/>
    <x v="2"/>
  </r>
  <r>
    <d v="2023-11-19T00:00:00"/>
    <x v="724"/>
    <x v="20"/>
    <x v="0"/>
    <x v="2"/>
    <n v="64.959999999999994"/>
    <n v="2"/>
    <n v="2.6"/>
    <x v="10"/>
    <x v="2"/>
  </r>
  <r>
    <d v="2023-11-19T00:00:00"/>
    <x v="724"/>
    <x v="20"/>
    <x v="0"/>
    <x v="2"/>
    <n v="68.599999999999994"/>
    <n v="4"/>
    <n v="18.52"/>
    <x v="10"/>
    <x v="2"/>
  </r>
  <r>
    <d v="2023-11-19T00:00:00"/>
    <x v="281"/>
    <x v="0"/>
    <x v="0"/>
    <x v="2"/>
    <n v="100.7"/>
    <n v="6"/>
    <n v="-16.36"/>
    <x v="10"/>
    <x v="2"/>
  </r>
  <r>
    <d v="2023-11-19T00:00:00"/>
    <x v="281"/>
    <x v="0"/>
    <x v="1"/>
    <x v="8"/>
    <n v="2.33"/>
    <n v="2"/>
    <n v="-0.76"/>
    <x v="10"/>
    <x v="2"/>
  </r>
  <r>
    <d v="2023-11-19T00:00:00"/>
    <x v="281"/>
    <x v="0"/>
    <x v="0"/>
    <x v="3"/>
    <n v="10.78"/>
    <n v="5"/>
    <n v="-17.25"/>
    <x v="10"/>
    <x v="2"/>
  </r>
  <r>
    <d v="2023-11-19T00:00:00"/>
    <x v="281"/>
    <x v="0"/>
    <x v="0"/>
    <x v="7"/>
    <n v="58.37"/>
    <n v="12"/>
    <n v="21.89"/>
    <x v="10"/>
    <x v="2"/>
  </r>
  <r>
    <d v="2023-11-19T00:00:00"/>
    <x v="281"/>
    <x v="0"/>
    <x v="0"/>
    <x v="10"/>
    <n v="40.97"/>
    <n v="3"/>
    <n v="13.83"/>
    <x v="10"/>
    <x v="2"/>
  </r>
  <r>
    <d v="2023-11-19T00:00:00"/>
    <x v="281"/>
    <x v="0"/>
    <x v="2"/>
    <x v="6"/>
    <n v="71.959999999999994"/>
    <n v="5"/>
    <n v="25.19"/>
    <x v="10"/>
    <x v="2"/>
  </r>
  <r>
    <d v="2023-11-19T00:00:00"/>
    <x v="281"/>
    <x v="0"/>
    <x v="0"/>
    <x v="0"/>
    <n v="10.37"/>
    <n v="2"/>
    <n v="3.63"/>
    <x v="10"/>
    <x v="2"/>
  </r>
  <r>
    <d v="2023-11-19T00:00:00"/>
    <x v="281"/>
    <x v="0"/>
    <x v="0"/>
    <x v="3"/>
    <n v="1.19"/>
    <n v="2"/>
    <n v="-2.0299999999999998"/>
    <x v="10"/>
    <x v="2"/>
  </r>
  <r>
    <d v="2023-11-19T00:00:00"/>
    <x v="70"/>
    <x v="20"/>
    <x v="0"/>
    <x v="4"/>
    <n v="17.28"/>
    <n v="6"/>
    <n v="5.01"/>
    <x v="10"/>
    <x v="2"/>
  </r>
  <r>
    <d v="2023-11-19T00:00:00"/>
    <x v="70"/>
    <x v="20"/>
    <x v="0"/>
    <x v="3"/>
    <n v="17.71"/>
    <n v="3"/>
    <n v="6.42"/>
    <x v="10"/>
    <x v="2"/>
  </r>
  <r>
    <d v="2023-11-19T00:00:00"/>
    <x v="676"/>
    <x v="18"/>
    <x v="0"/>
    <x v="12"/>
    <n v="54.96"/>
    <n v="3"/>
    <n v="15.94"/>
    <x v="10"/>
    <x v="2"/>
  </r>
  <r>
    <d v="2023-11-19T00:00:00"/>
    <x v="235"/>
    <x v="25"/>
    <x v="0"/>
    <x v="4"/>
    <n v="18.48"/>
    <n v="2"/>
    <n v="6.01"/>
    <x v="10"/>
    <x v="2"/>
  </r>
  <r>
    <d v="2023-11-19T00:00:00"/>
    <x v="11"/>
    <x v="20"/>
    <x v="0"/>
    <x v="12"/>
    <n v="8.74"/>
    <n v="2"/>
    <n v="2.27"/>
    <x v="10"/>
    <x v="2"/>
  </r>
  <r>
    <d v="2023-11-19T00:00:00"/>
    <x v="11"/>
    <x v="20"/>
    <x v="0"/>
    <x v="0"/>
    <n v="44.75"/>
    <n v="5"/>
    <n v="20.59"/>
    <x v="10"/>
    <x v="2"/>
  </r>
  <r>
    <d v="2023-11-19T00:00:00"/>
    <x v="362"/>
    <x v="22"/>
    <x v="1"/>
    <x v="8"/>
    <n v="31.96"/>
    <n v="2"/>
    <n v="1.6"/>
    <x v="10"/>
    <x v="2"/>
  </r>
  <r>
    <d v="2023-11-20T00:00:00"/>
    <x v="608"/>
    <x v="39"/>
    <x v="0"/>
    <x v="1"/>
    <n v="14.62"/>
    <n v="2"/>
    <n v="6.87"/>
    <x v="10"/>
    <x v="2"/>
  </r>
  <r>
    <d v="2023-11-20T00:00:00"/>
    <x v="608"/>
    <x v="39"/>
    <x v="2"/>
    <x v="6"/>
    <n v="944.93"/>
    <n v="7"/>
    <n v="236.23"/>
    <x v="10"/>
    <x v="2"/>
  </r>
  <r>
    <d v="2023-11-20T00:00:00"/>
    <x v="327"/>
    <x v="10"/>
    <x v="0"/>
    <x v="7"/>
    <n v="19.100000000000001"/>
    <n v="7"/>
    <n v="6.68"/>
    <x v="10"/>
    <x v="2"/>
  </r>
  <r>
    <d v="2023-11-20T00:00:00"/>
    <x v="327"/>
    <x v="10"/>
    <x v="0"/>
    <x v="1"/>
    <n v="18.5"/>
    <n v="8"/>
    <n v="6.24"/>
    <x v="10"/>
    <x v="2"/>
  </r>
  <r>
    <d v="2023-11-20T00:00:00"/>
    <x v="327"/>
    <x v="10"/>
    <x v="2"/>
    <x v="9"/>
    <n v="255.98"/>
    <n v="2"/>
    <n v="54.4"/>
    <x v="10"/>
    <x v="2"/>
  </r>
  <r>
    <d v="2023-11-20T00:00:00"/>
    <x v="327"/>
    <x v="10"/>
    <x v="1"/>
    <x v="11"/>
    <n v="86.97"/>
    <n v="3"/>
    <n v="-48.7"/>
    <x v="10"/>
    <x v="2"/>
  </r>
  <r>
    <d v="2023-11-20T00:00:00"/>
    <x v="156"/>
    <x v="10"/>
    <x v="0"/>
    <x v="0"/>
    <n v="15.7"/>
    <n v="3"/>
    <n v="5.0999999999999996"/>
    <x v="10"/>
    <x v="2"/>
  </r>
  <r>
    <d v="2023-11-20T00:00:00"/>
    <x v="156"/>
    <x v="10"/>
    <x v="0"/>
    <x v="3"/>
    <n v="2.63"/>
    <n v="2"/>
    <n v="-1.93"/>
    <x v="10"/>
    <x v="2"/>
  </r>
  <r>
    <d v="2023-11-20T00:00:00"/>
    <x v="156"/>
    <x v="10"/>
    <x v="0"/>
    <x v="3"/>
    <n v="14.43"/>
    <n v="3"/>
    <n v="-10.58"/>
    <x v="10"/>
    <x v="2"/>
  </r>
  <r>
    <d v="2023-11-20T00:00:00"/>
    <x v="17"/>
    <x v="0"/>
    <x v="1"/>
    <x v="5"/>
    <n v="318.43"/>
    <n v="5"/>
    <n v="-77.33"/>
    <x v="10"/>
    <x v="2"/>
  </r>
  <r>
    <d v="2023-11-20T00:00:00"/>
    <x v="17"/>
    <x v="0"/>
    <x v="2"/>
    <x v="6"/>
    <n v="122.92"/>
    <n v="7"/>
    <n v="46.1"/>
    <x v="10"/>
    <x v="2"/>
  </r>
  <r>
    <d v="2023-11-20T00:00:00"/>
    <x v="17"/>
    <x v="0"/>
    <x v="1"/>
    <x v="8"/>
    <n v="7.07"/>
    <n v="3"/>
    <n v="-2.83"/>
    <x v="10"/>
    <x v="2"/>
  </r>
  <r>
    <d v="2023-11-20T00:00:00"/>
    <x v="302"/>
    <x v="18"/>
    <x v="0"/>
    <x v="0"/>
    <n v="9.08"/>
    <n v="2"/>
    <n v="4.09"/>
    <x v="10"/>
    <x v="2"/>
  </r>
  <r>
    <d v="2023-11-20T00:00:00"/>
    <x v="302"/>
    <x v="18"/>
    <x v="0"/>
    <x v="0"/>
    <n v="314.55"/>
    <n v="3"/>
    <n v="150.97999999999999"/>
    <x v="10"/>
    <x v="2"/>
  </r>
  <r>
    <d v="2023-11-20T00:00:00"/>
    <x v="302"/>
    <x v="18"/>
    <x v="0"/>
    <x v="3"/>
    <n v="4.91"/>
    <n v="1"/>
    <n v="2.31"/>
    <x v="10"/>
    <x v="2"/>
  </r>
  <r>
    <d v="2023-11-20T00:00:00"/>
    <x v="15"/>
    <x v="0"/>
    <x v="2"/>
    <x v="6"/>
    <n v="151.19"/>
    <n v="1"/>
    <n v="13.23"/>
    <x v="10"/>
    <x v="2"/>
  </r>
  <r>
    <d v="2023-11-20T00:00:00"/>
    <x v="91"/>
    <x v="3"/>
    <x v="0"/>
    <x v="12"/>
    <n v="39"/>
    <n v="12"/>
    <n v="11.31"/>
    <x v="10"/>
    <x v="2"/>
  </r>
  <r>
    <d v="2023-11-20T00:00:00"/>
    <x v="373"/>
    <x v="7"/>
    <x v="0"/>
    <x v="3"/>
    <n v="128.4"/>
    <n v="3"/>
    <n v="62.92"/>
    <x v="10"/>
    <x v="2"/>
  </r>
  <r>
    <d v="2023-11-20T00:00:00"/>
    <x v="410"/>
    <x v="16"/>
    <x v="1"/>
    <x v="11"/>
    <n v="289.57"/>
    <n v="2"/>
    <n v="10.86"/>
    <x v="10"/>
    <x v="2"/>
  </r>
  <r>
    <d v="2023-11-20T00:00:00"/>
    <x v="410"/>
    <x v="16"/>
    <x v="0"/>
    <x v="2"/>
    <n v="39.72"/>
    <n v="5"/>
    <n v="4.47"/>
    <x v="10"/>
    <x v="2"/>
  </r>
  <r>
    <d v="2023-11-20T00:00:00"/>
    <x v="410"/>
    <x v="16"/>
    <x v="2"/>
    <x v="6"/>
    <n v="244.77"/>
    <n v="4"/>
    <n v="24.48"/>
    <x v="10"/>
    <x v="2"/>
  </r>
  <r>
    <d v="2023-11-20T00:00:00"/>
    <x v="688"/>
    <x v="3"/>
    <x v="2"/>
    <x v="9"/>
    <n v="27.88"/>
    <n v="2"/>
    <n v="3.9"/>
    <x v="10"/>
    <x v="2"/>
  </r>
  <r>
    <d v="2023-11-21T00:00:00"/>
    <x v="645"/>
    <x v="11"/>
    <x v="1"/>
    <x v="5"/>
    <n v="195.14"/>
    <n v="4"/>
    <n v="-12.2"/>
    <x v="10"/>
    <x v="2"/>
  </r>
  <r>
    <d v="2023-11-21T00:00:00"/>
    <x v="491"/>
    <x v="30"/>
    <x v="0"/>
    <x v="0"/>
    <n v="40.46"/>
    <n v="7"/>
    <n v="19.829999999999998"/>
    <x v="10"/>
    <x v="2"/>
  </r>
  <r>
    <d v="2023-11-21T00:00:00"/>
    <x v="491"/>
    <x v="30"/>
    <x v="2"/>
    <x v="6"/>
    <n v="404.94"/>
    <n v="3"/>
    <n v="109.33"/>
    <x v="10"/>
    <x v="2"/>
  </r>
  <r>
    <d v="2023-11-21T00:00:00"/>
    <x v="74"/>
    <x v="10"/>
    <x v="2"/>
    <x v="15"/>
    <n v="30.35"/>
    <n v="7"/>
    <n v="-24.28"/>
    <x v="10"/>
    <x v="2"/>
  </r>
  <r>
    <d v="2023-11-21T00:00:00"/>
    <x v="74"/>
    <x v="10"/>
    <x v="1"/>
    <x v="5"/>
    <n v="127.55"/>
    <n v="3"/>
    <n v="-9.11"/>
    <x v="10"/>
    <x v="2"/>
  </r>
  <r>
    <d v="2023-11-21T00:00:00"/>
    <x v="74"/>
    <x v="10"/>
    <x v="1"/>
    <x v="8"/>
    <n v="77.95"/>
    <n v="3"/>
    <n v="15.59"/>
    <x v="10"/>
    <x v="2"/>
  </r>
  <r>
    <d v="2023-11-21T00:00:00"/>
    <x v="310"/>
    <x v="1"/>
    <x v="0"/>
    <x v="0"/>
    <n v="38.43"/>
    <n v="1"/>
    <n v="13.45"/>
    <x v="10"/>
    <x v="2"/>
  </r>
  <r>
    <d v="2023-11-21T00:00:00"/>
    <x v="310"/>
    <x v="1"/>
    <x v="0"/>
    <x v="2"/>
    <n v="21.57"/>
    <n v="2"/>
    <n v="1.62"/>
    <x v="10"/>
    <x v="2"/>
  </r>
  <r>
    <d v="2023-11-21T00:00:00"/>
    <x v="310"/>
    <x v="1"/>
    <x v="2"/>
    <x v="9"/>
    <n v="81.58"/>
    <n v="3"/>
    <n v="2.04"/>
    <x v="10"/>
    <x v="2"/>
  </r>
  <r>
    <d v="2023-11-21T00:00:00"/>
    <x v="30"/>
    <x v="20"/>
    <x v="0"/>
    <x v="0"/>
    <n v="12.96"/>
    <n v="2"/>
    <n v="6.35"/>
    <x v="10"/>
    <x v="2"/>
  </r>
  <r>
    <d v="2023-11-21T00:00:00"/>
    <x v="488"/>
    <x v="20"/>
    <x v="1"/>
    <x v="11"/>
    <n v="113.57"/>
    <n v="2"/>
    <n v="12.78"/>
    <x v="10"/>
    <x v="2"/>
  </r>
  <r>
    <d v="2023-11-21T00:00:00"/>
    <x v="495"/>
    <x v="3"/>
    <x v="0"/>
    <x v="0"/>
    <n v="32.4"/>
    <n v="5"/>
    <n v="15.55"/>
    <x v="10"/>
    <x v="2"/>
  </r>
  <r>
    <d v="2023-11-22T00:00:00"/>
    <x v="735"/>
    <x v="20"/>
    <x v="1"/>
    <x v="8"/>
    <n v="39.880000000000003"/>
    <n v="2"/>
    <n v="11.17"/>
    <x v="10"/>
    <x v="2"/>
  </r>
  <r>
    <d v="2023-11-22T00:00:00"/>
    <x v="735"/>
    <x v="20"/>
    <x v="0"/>
    <x v="3"/>
    <n v="12.19"/>
    <n v="4"/>
    <n v="4.1100000000000003"/>
    <x v="10"/>
    <x v="2"/>
  </r>
  <r>
    <d v="2023-11-22T00:00:00"/>
    <x v="735"/>
    <x v="20"/>
    <x v="0"/>
    <x v="4"/>
    <n v="20.82"/>
    <n v="3"/>
    <n v="7.5"/>
    <x v="10"/>
    <x v="2"/>
  </r>
  <r>
    <d v="2023-11-22T00:00:00"/>
    <x v="122"/>
    <x v="14"/>
    <x v="0"/>
    <x v="3"/>
    <n v="49.44"/>
    <n v="3"/>
    <n v="24.23"/>
    <x v="10"/>
    <x v="2"/>
  </r>
  <r>
    <d v="2023-11-22T00:00:00"/>
    <x v="617"/>
    <x v="0"/>
    <x v="0"/>
    <x v="3"/>
    <n v="6.22"/>
    <n v="6"/>
    <n v="-9.6300000000000008"/>
    <x v="10"/>
    <x v="2"/>
  </r>
  <r>
    <d v="2023-11-22T00:00:00"/>
    <x v="617"/>
    <x v="0"/>
    <x v="0"/>
    <x v="4"/>
    <n v="23.62"/>
    <n v="9"/>
    <n v="2.66"/>
    <x v="10"/>
    <x v="2"/>
  </r>
  <r>
    <d v="2023-11-22T00:00:00"/>
    <x v="617"/>
    <x v="0"/>
    <x v="2"/>
    <x v="9"/>
    <n v="24.03"/>
    <n v="2"/>
    <n v="-0.6"/>
    <x v="10"/>
    <x v="2"/>
  </r>
  <r>
    <d v="2023-11-22T00:00:00"/>
    <x v="617"/>
    <x v="0"/>
    <x v="0"/>
    <x v="1"/>
    <n v="2.09"/>
    <n v="1"/>
    <n v="0.68"/>
    <x v="10"/>
    <x v="2"/>
  </r>
  <r>
    <d v="2023-11-22T00:00:00"/>
    <x v="617"/>
    <x v="0"/>
    <x v="0"/>
    <x v="3"/>
    <n v="4.49"/>
    <n v="6"/>
    <n v="-6.73"/>
    <x v="10"/>
    <x v="2"/>
  </r>
  <r>
    <d v="2023-11-22T00:00:00"/>
    <x v="683"/>
    <x v="20"/>
    <x v="0"/>
    <x v="3"/>
    <n v="134.27000000000001"/>
    <n v="8"/>
    <n v="47"/>
    <x v="10"/>
    <x v="2"/>
  </r>
  <r>
    <d v="2023-11-23T00:00:00"/>
    <x v="465"/>
    <x v="2"/>
    <x v="0"/>
    <x v="7"/>
    <n v="15.8"/>
    <n v="5"/>
    <n v="2.37"/>
    <x v="10"/>
    <x v="2"/>
  </r>
  <r>
    <d v="2023-11-23T00:00:00"/>
    <x v="465"/>
    <x v="2"/>
    <x v="1"/>
    <x v="8"/>
    <n v="14.37"/>
    <n v="2"/>
    <n v="3.95"/>
    <x v="10"/>
    <x v="2"/>
  </r>
  <r>
    <d v="2023-11-23T00:00:00"/>
    <x v="465"/>
    <x v="2"/>
    <x v="1"/>
    <x v="8"/>
    <n v="70.45"/>
    <n v="7"/>
    <n v="12.33"/>
    <x v="10"/>
    <x v="2"/>
  </r>
  <r>
    <d v="2023-11-24T00:00:00"/>
    <x v="342"/>
    <x v="2"/>
    <x v="0"/>
    <x v="7"/>
    <n v="4.42"/>
    <n v="3"/>
    <n v="1.6"/>
    <x v="10"/>
    <x v="2"/>
  </r>
  <r>
    <d v="2023-11-24T00:00:00"/>
    <x v="115"/>
    <x v="20"/>
    <x v="0"/>
    <x v="3"/>
    <n v="17.22"/>
    <n v="4"/>
    <n v="6.03"/>
    <x v="10"/>
    <x v="2"/>
  </r>
  <r>
    <d v="2023-11-24T00:00:00"/>
    <x v="115"/>
    <x v="20"/>
    <x v="0"/>
    <x v="0"/>
    <n v="11.56"/>
    <n v="2"/>
    <n v="5.66"/>
    <x v="10"/>
    <x v="2"/>
  </r>
  <r>
    <d v="2023-11-24T00:00:00"/>
    <x v="115"/>
    <x v="20"/>
    <x v="2"/>
    <x v="9"/>
    <n v="88.4"/>
    <n v="4"/>
    <n v="11.49"/>
    <x v="10"/>
    <x v="2"/>
  </r>
  <r>
    <d v="2023-11-24T00:00:00"/>
    <x v="115"/>
    <x v="20"/>
    <x v="0"/>
    <x v="0"/>
    <n v="6.48"/>
    <n v="1"/>
    <n v="3.11"/>
    <x v="10"/>
    <x v="2"/>
  </r>
  <r>
    <d v="2023-11-24T00:00:00"/>
    <x v="538"/>
    <x v="3"/>
    <x v="2"/>
    <x v="6"/>
    <n v="33.520000000000003"/>
    <n v="2"/>
    <n v="3.35"/>
    <x v="10"/>
    <x v="2"/>
  </r>
  <r>
    <d v="2023-11-24T00:00:00"/>
    <x v="538"/>
    <x v="3"/>
    <x v="1"/>
    <x v="8"/>
    <n v="9.94"/>
    <n v="2"/>
    <n v="3.08"/>
    <x v="10"/>
    <x v="2"/>
  </r>
  <r>
    <d v="2023-11-24T00:00:00"/>
    <x v="777"/>
    <x v="0"/>
    <x v="0"/>
    <x v="2"/>
    <n v="41.92"/>
    <n v="5"/>
    <n v="3.67"/>
    <x v="10"/>
    <x v="2"/>
  </r>
  <r>
    <d v="2023-11-24T00:00:00"/>
    <x v="777"/>
    <x v="0"/>
    <x v="2"/>
    <x v="9"/>
    <n v="297.58"/>
    <n v="3"/>
    <n v="-7.44"/>
    <x v="10"/>
    <x v="2"/>
  </r>
  <r>
    <d v="2023-11-24T00:00:00"/>
    <x v="777"/>
    <x v="0"/>
    <x v="0"/>
    <x v="7"/>
    <n v="4.34"/>
    <n v="3"/>
    <n v="0.87"/>
    <x v="10"/>
    <x v="2"/>
  </r>
  <r>
    <d v="2023-11-24T00:00:00"/>
    <x v="777"/>
    <x v="0"/>
    <x v="2"/>
    <x v="9"/>
    <n v="94.99"/>
    <n v="2"/>
    <n v="-2.37"/>
    <x v="10"/>
    <x v="2"/>
  </r>
  <r>
    <d v="2023-11-24T00:00:00"/>
    <x v="777"/>
    <x v="0"/>
    <x v="0"/>
    <x v="0"/>
    <n v="74.349999999999994"/>
    <n v="3"/>
    <n v="23.24"/>
    <x v="10"/>
    <x v="2"/>
  </r>
  <r>
    <d v="2023-11-24T00:00:00"/>
    <x v="777"/>
    <x v="0"/>
    <x v="0"/>
    <x v="4"/>
    <n v="14.04"/>
    <n v="3"/>
    <n v="1.58"/>
    <x v="10"/>
    <x v="2"/>
  </r>
  <r>
    <d v="2023-11-24T00:00:00"/>
    <x v="778"/>
    <x v="11"/>
    <x v="0"/>
    <x v="0"/>
    <n v="24.78"/>
    <n v="1"/>
    <n v="7.75"/>
    <x v="10"/>
    <x v="2"/>
  </r>
  <r>
    <d v="2023-11-24T00:00:00"/>
    <x v="208"/>
    <x v="0"/>
    <x v="2"/>
    <x v="6"/>
    <n v="657.55"/>
    <n v="6"/>
    <n v="49.32"/>
    <x v="10"/>
    <x v="2"/>
  </r>
  <r>
    <d v="2023-11-24T00:00:00"/>
    <x v="569"/>
    <x v="3"/>
    <x v="2"/>
    <x v="9"/>
    <n v="659.9"/>
    <n v="2"/>
    <n v="217.77"/>
    <x v="10"/>
    <x v="2"/>
  </r>
  <r>
    <d v="2023-11-24T00:00:00"/>
    <x v="569"/>
    <x v="3"/>
    <x v="1"/>
    <x v="5"/>
    <n v="1684.75"/>
    <n v="6"/>
    <n v="210.59"/>
    <x v="10"/>
    <x v="2"/>
  </r>
  <r>
    <d v="2023-11-24T00:00:00"/>
    <x v="569"/>
    <x v="3"/>
    <x v="2"/>
    <x v="9"/>
    <n v="559.91999999999996"/>
    <n v="8"/>
    <n v="190.37"/>
    <x v="10"/>
    <x v="2"/>
  </r>
  <r>
    <d v="2023-11-24T00:00:00"/>
    <x v="482"/>
    <x v="22"/>
    <x v="0"/>
    <x v="3"/>
    <n v="1219.96"/>
    <n v="5"/>
    <n v="381.24"/>
    <x v="10"/>
    <x v="2"/>
  </r>
  <r>
    <d v="2023-11-24T00:00:00"/>
    <x v="174"/>
    <x v="36"/>
    <x v="1"/>
    <x v="8"/>
    <n v="207.76"/>
    <n v="4"/>
    <n v="85.18"/>
    <x v="10"/>
    <x v="2"/>
  </r>
  <r>
    <d v="2023-11-24T00:00:00"/>
    <x v="683"/>
    <x v="10"/>
    <x v="0"/>
    <x v="10"/>
    <n v="40.75"/>
    <n v="3"/>
    <n v="15.28"/>
    <x v="10"/>
    <x v="2"/>
  </r>
  <r>
    <d v="2023-11-24T00:00:00"/>
    <x v="683"/>
    <x v="10"/>
    <x v="2"/>
    <x v="9"/>
    <n v="139.96"/>
    <n v="5"/>
    <n v="-22.74"/>
    <x v="10"/>
    <x v="2"/>
  </r>
  <r>
    <d v="2023-11-24T00:00:00"/>
    <x v="748"/>
    <x v="22"/>
    <x v="0"/>
    <x v="14"/>
    <n v="25.35"/>
    <n v="3"/>
    <n v="7.61"/>
    <x v="10"/>
    <x v="2"/>
  </r>
  <r>
    <d v="2023-11-24T00:00:00"/>
    <x v="528"/>
    <x v="22"/>
    <x v="1"/>
    <x v="8"/>
    <n v="82.26"/>
    <n v="3"/>
    <n v="33.729999999999997"/>
    <x v="10"/>
    <x v="2"/>
  </r>
  <r>
    <d v="2023-11-24T00:00:00"/>
    <x v="90"/>
    <x v="16"/>
    <x v="1"/>
    <x v="11"/>
    <n v="339.92"/>
    <n v="5"/>
    <n v="8.5"/>
    <x v="10"/>
    <x v="2"/>
  </r>
  <r>
    <d v="2023-11-24T00:00:00"/>
    <x v="90"/>
    <x v="16"/>
    <x v="0"/>
    <x v="0"/>
    <n v="10.53"/>
    <n v="4"/>
    <n v="3.42"/>
    <x v="10"/>
    <x v="2"/>
  </r>
  <r>
    <d v="2023-11-24T00:00:00"/>
    <x v="90"/>
    <x v="16"/>
    <x v="0"/>
    <x v="12"/>
    <n v="42.38"/>
    <n v="2"/>
    <n v="4.24"/>
    <x v="10"/>
    <x v="2"/>
  </r>
  <r>
    <d v="2023-11-25T00:00:00"/>
    <x v="631"/>
    <x v="16"/>
    <x v="0"/>
    <x v="0"/>
    <n v="5.08"/>
    <n v="1"/>
    <n v="1.65"/>
    <x v="10"/>
    <x v="2"/>
  </r>
  <r>
    <d v="2023-11-25T00:00:00"/>
    <x v="455"/>
    <x v="23"/>
    <x v="0"/>
    <x v="2"/>
    <n v="563.4"/>
    <n v="4"/>
    <n v="67.61"/>
    <x v="10"/>
    <x v="2"/>
  </r>
  <r>
    <d v="2023-11-25T00:00:00"/>
    <x v="455"/>
    <x v="23"/>
    <x v="2"/>
    <x v="15"/>
    <n v="319.92"/>
    <n v="8"/>
    <n v="118.37"/>
    <x v="10"/>
    <x v="2"/>
  </r>
  <r>
    <d v="2023-11-25T00:00:00"/>
    <x v="287"/>
    <x v="13"/>
    <x v="2"/>
    <x v="6"/>
    <n v="59.98"/>
    <n v="2"/>
    <n v="17.989999999999998"/>
    <x v="10"/>
    <x v="2"/>
  </r>
  <r>
    <d v="2023-11-25T00:00:00"/>
    <x v="653"/>
    <x v="14"/>
    <x v="1"/>
    <x v="13"/>
    <n v="1568.61"/>
    <n v="9"/>
    <n v="329.41"/>
    <x v="10"/>
    <x v="2"/>
  </r>
  <r>
    <d v="2023-11-25T00:00:00"/>
    <x v="653"/>
    <x v="14"/>
    <x v="0"/>
    <x v="3"/>
    <n v="17.3"/>
    <n v="1"/>
    <n v="8.3000000000000007"/>
    <x v="10"/>
    <x v="2"/>
  </r>
  <r>
    <d v="2023-11-25T00:00:00"/>
    <x v="653"/>
    <x v="14"/>
    <x v="2"/>
    <x v="9"/>
    <n v="160"/>
    <n v="8"/>
    <n v="62.4"/>
    <x v="10"/>
    <x v="2"/>
  </r>
  <r>
    <d v="2023-11-25T00:00:00"/>
    <x v="106"/>
    <x v="10"/>
    <x v="0"/>
    <x v="3"/>
    <n v="456.59"/>
    <n v="2"/>
    <n v="-304.39"/>
    <x v="10"/>
    <x v="2"/>
  </r>
  <r>
    <d v="2023-11-25T00:00:00"/>
    <x v="106"/>
    <x v="10"/>
    <x v="2"/>
    <x v="15"/>
    <n v="4499.99"/>
    <n v="5"/>
    <n v="-6599.98"/>
    <x v="10"/>
    <x v="2"/>
  </r>
  <r>
    <d v="2023-11-25T00:00:00"/>
    <x v="106"/>
    <x v="10"/>
    <x v="2"/>
    <x v="9"/>
    <n v="59.98"/>
    <n v="3"/>
    <n v="12"/>
    <x v="10"/>
    <x v="2"/>
  </r>
  <r>
    <d v="2023-11-25T00:00:00"/>
    <x v="144"/>
    <x v="33"/>
    <x v="0"/>
    <x v="2"/>
    <n v="73.36"/>
    <n v="7"/>
    <n v="19.809999999999999"/>
    <x v="10"/>
    <x v="2"/>
  </r>
  <r>
    <d v="2023-11-25T00:00:00"/>
    <x v="294"/>
    <x v="3"/>
    <x v="1"/>
    <x v="5"/>
    <n v="194.35"/>
    <n v="3"/>
    <n v="19.440000000000001"/>
    <x v="10"/>
    <x v="2"/>
  </r>
  <r>
    <d v="2023-11-26T00:00:00"/>
    <x v="231"/>
    <x v="33"/>
    <x v="0"/>
    <x v="0"/>
    <n v="70.98"/>
    <n v="7"/>
    <n v="34.78"/>
    <x v="10"/>
    <x v="2"/>
  </r>
  <r>
    <d v="2023-11-26T00:00:00"/>
    <x v="231"/>
    <x v="33"/>
    <x v="0"/>
    <x v="3"/>
    <n v="91.68"/>
    <n v="3"/>
    <n v="45.84"/>
    <x v="10"/>
    <x v="2"/>
  </r>
  <r>
    <d v="2023-11-26T00:00:00"/>
    <x v="231"/>
    <x v="33"/>
    <x v="0"/>
    <x v="3"/>
    <n v="33.75"/>
    <n v="5"/>
    <n v="16.88"/>
    <x v="10"/>
    <x v="2"/>
  </r>
  <r>
    <d v="2023-11-26T00:00:00"/>
    <x v="231"/>
    <x v="33"/>
    <x v="2"/>
    <x v="15"/>
    <n v="3040"/>
    <n v="8"/>
    <n v="1459.2"/>
    <x v="10"/>
    <x v="2"/>
  </r>
  <r>
    <d v="2023-11-26T00:00:00"/>
    <x v="498"/>
    <x v="22"/>
    <x v="0"/>
    <x v="3"/>
    <n v="7.31"/>
    <n v="2"/>
    <n v="2.56"/>
    <x v="10"/>
    <x v="2"/>
  </r>
  <r>
    <d v="2023-11-26T00:00:00"/>
    <x v="189"/>
    <x v="2"/>
    <x v="2"/>
    <x v="6"/>
    <n v="494.98"/>
    <n v="3"/>
    <n v="-115.5"/>
    <x v="10"/>
    <x v="2"/>
  </r>
  <r>
    <d v="2023-11-26T00:00:00"/>
    <x v="205"/>
    <x v="16"/>
    <x v="0"/>
    <x v="3"/>
    <n v="3.74"/>
    <n v="4"/>
    <n v="-2.62"/>
    <x v="10"/>
    <x v="2"/>
  </r>
  <r>
    <d v="2023-11-26T00:00:00"/>
    <x v="78"/>
    <x v="20"/>
    <x v="1"/>
    <x v="13"/>
    <n v="313.18"/>
    <n v="2"/>
    <n v="-120.05"/>
    <x v="10"/>
    <x v="2"/>
  </r>
  <r>
    <d v="2023-11-26T00:00:00"/>
    <x v="208"/>
    <x v="0"/>
    <x v="0"/>
    <x v="4"/>
    <n v="17.86"/>
    <n v="4"/>
    <n v="4.24"/>
    <x v="10"/>
    <x v="2"/>
  </r>
  <r>
    <d v="2023-11-26T00:00:00"/>
    <x v="33"/>
    <x v="37"/>
    <x v="2"/>
    <x v="9"/>
    <n v="59.97"/>
    <n v="3"/>
    <n v="14.99"/>
    <x v="10"/>
    <x v="2"/>
  </r>
  <r>
    <d v="2023-11-26T00:00:00"/>
    <x v="33"/>
    <x v="37"/>
    <x v="0"/>
    <x v="0"/>
    <n v="13.36"/>
    <n v="2"/>
    <n v="6.41"/>
    <x v="10"/>
    <x v="2"/>
  </r>
  <r>
    <d v="2023-11-26T00:00:00"/>
    <x v="281"/>
    <x v="2"/>
    <x v="0"/>
    <x v="3"/>
    <n v="78.760000000000005"/>
    <n v="9"/>
    <n v="-57.76"/>
    <x v="10"/>
    <x v="2"/>
  </r>
  <r>
    <d v="2023-11-26T00:00:00"/>
    <x v="389"/>
    <x v="3"/>
    <x v="1"/>
    <x v="11"/>
    <n v="3406.66"/>
    <n v="8"/>
    <n v="160.31"/>
    <x v="10"/>
    <x v="2"/>
  </r>
  <r>
    <d v="2023-11-26T00:00:00"/>
    <x v="389"/>
    <x v="3"/>
    <x v="0"/>
    <x v="4"/>
    <n v="37.17"/>
    <n v="9"/>
    <n v="10.41"/>
    <x v="10"/>
    <x v="2"/>
  </r>
  <r>
    <d v="2023-11-26T00:00:00"/>
    <x v="389"/>
    <x v="3"/>
    <x v="0"/>
    <x v="12"/>
    <n v="64.959999999999994"/>
    <n v="2"/>
    <n v="19.489999999999998"/>
    <x v="10"/>
    <x v="2"/>
  </r>
  <r>
    <d v="2023-11-26T00:00:00"/>
    <x v="389"/>
    <x v="3"/>
    <x v="1"/>
    <x v="8"/>
    <n v="595.38"/>
    <n v="6"/>
    <n v="297.69"/>
    <x v="10"/>
    <x v="2"/>
  </r>
  <r>
    <d v="2023-11-27T00:00:00"/>
    <x v="480"/>
    <x v="1"/>
    <x v="0"/>
    <x v="2"/>
    <n v="97.98"/>
    <n v="2"/>
    <n v="-24.5"/>
    <x v="10"/>
    <x v="2"/>
  </r>
  <r>
    <d v="2023-11-27T00:00:00"/>
    <x v="480"/>
    <x v="1"/>
    <x v="2"/>
    <x v="9"/>
    <n v="62.4"/>
    <n v="6"/>
    <n v="19.5"/>
    <x v="10"/>
    <x v="2"/>
  </r>
  <r>
    <d v="2023-11-27T00:00:00"/>
    <x v="583"/>
    <x v="12"/>
    <x v="2"/>
    <x v="6"/>
    <n v="271.99"/>
    <n v="1"/>
    <n v="23.8"/>
    <x v="10"/>
    <x v="2"/>
  </r>
  <r>
    <d v="2023-11-27T00:00:00"/>
    <x v="668"/>
    <x v="14"/>
    <x v="0"/>
    <x v="12"/>
    <n v="167.29"/>
    <n v="6"/>
    <n v="29.74"/>
    <x v="10"/>
    <x v="2"/>
  </r>
  <r>
    <d v="2023-11-27T00:00:00"/>
    <x v="274"/>
    <x v="42"/>
    <x v="2"/>
    <x v="9"/>
    <n v="34.950000000000003"/>
    <n v="5"/>
    <n v="15.38"/>
    <x v="10"/>
    <x v="2"/>
  </r>
  <r>
    <d v="2023-11-27T00:00:00"/>
    <x v="274"/>
    <x v="42"/>
    <x v="0"/>
    <x v="3"/>
    <n v="152"/>
    <n v="5"/>
    <n v="69.92"/>
    <x v="10"/>
    <x v="2"/>
  </r>
  <r>
    <d v="2023-11-27T00:00:00"/>
    <x v="593"/>
    <x v="23"/>
    <x v="1"/>
    <x v="8"/>
    <n v="31.56"/>
    <n v="3"/>
    <n v="10.41"/>
    <x v="10"/>
    <x v="2"/>
  </r>
  <r>
    <d v="2023-11-27T00:00:00"/>
    <x v="221"/>
    <x v="16"/>
    <x v="2"/>
    <x v="6"/>
    <n v="116.76"/>
    <n v="1"/>
    <n v="14.6"/>
    <x v="10"/>
    <x v="2"/>
  </r>
  <r>
    <d v="2023-11-27T00:00:00"/>
    <x v="221"/>
    <x v="16"/>
    <x v="1"/>
    <x v="13"/>
    <n v="331.02"/>
    <n v="7"/>
    <n v="-114.35"/>
    <x v="10"/>
    <x v="2"/>
  </r>
  <r>
    <d v="2023-11-27T00:00:00"/>
    <x v="752"/>
    <x v="12"/>
    <x v="0"/>
    <x v="2"/>
    <n v="39.81"/>
    <n v="4"/>
    <n v="3.98"/>
    <x v="10"/>
    <x v="2"/>
  </r>
  <r>
    <d v="2023-11-27T00:00:00"/>
    <x v="92"/>
    <x v="23"/>
    <x v="0"/>
    <x v="0"/>
    <n v="25.92"/>
    <n v="4"/>
    <n v="12.44"/>
    <x v="10"/>
    <x v="2"/>
  </r>
  <r>
    <d v="2023-11-27T00:00:00"/>
    <x v="92"/>
    <x v="23"/>
    <x v="0"/>
    <x v="4"/>
    <n v="34.65"/>
    <n v="3"/>
    <n v="9.6999999999999993"/>
    <x v="10"/>
    <x v="2"/>
  </r>
  <r>
    <d v="2023-11-27T00:00:00"/>
    <x v="92"/>
    <x v="23"/>
    <x v="0"/>
    <x v="0"/>
    <n v="204.95"/>
    <n v="5"/>
    <n v="100.43"/>
    <x v="10"/>
    <x v="2"/>
  </r>
  <r>
    <d v="2023-11-27T00:00:00"/>
    <x v="92"/>
    <x v="23"/>
    <x v="0"/>
    <x v="3"/>
    <n v="79.95"/>
    <n v="5"/>
    <n v="38.380000000000003"/>
    <x v="10"/>
    <x v="2"/>
  </r>
  <r>
    <d v="2023-11-28T00:00:00"/>
    <x v="779"/>
    <x v="37"/>
    <x v="0"/>
    <x v="3"/>
    <n v="7.16"/>
    <n v="2"/>
    <n v="3.44"/>
    <x v="10"/>
    <x v="2"/>
  </r>
  <r>
    <d v="2023-11-28T00:00:00"/>
    <x v="8"/>
    <x v="16"/>
    <x v="0"/>
    <x v="3"/>
    <n v="7.43"/>
    <n v="6"/>
    <n v="-5.7"/>
    <x v="10"/>
    <x v="2"/>
  </r>
  <r>
    <d v="2023-11-28T00:00:00"/>
    <x v="211"/>
    <x v="4"/>
    <x v="1"/>
    <x v="5"/>
    <n v="182.67"/>
    <n v="3"/>
    <n v="52.97"/>
    <x v="10"/>
    <x v="2"/>
  </r>
  <r>
    <d v="2023-11-28T00:00:00"/>
    <x v="211"/>
    <x v="4"/>
    <x v="2"/>
    <x v="9"/>
    <n v="101.7"/>
    <n v="6"/>
    <n v="6.1"/>
    <x v="10"/>
    <x v="2"/>
  </r>
  <r>
    <d v="2023-11-28T00:00:00"/>
    <x v="211"/>
    <x v="4"/>
    <x v="0"/>
    <x v="2"/>
    <n v="1126.02"/>
    <n v="3"/>
    <n v="56.3"/>
    <x v="10"/>
    <x v="2"/>
  </r>
  <r>
    <d v="2023-11-28T00:00:00"/>
    <x v="211"/>
    <x v="4"/>
    <x v="0"/>
    <x v="2"/>
    <n v="1263.3"/>
    <n v="6"/>
    <n v="315.83"/>
    <x v="10"/>
    <x v="2"/>
  </r>
  <r>
    <d v="2023-11-28T00:00:00"/>
    <x v="171"/>
    <x v="2"/>
    <x v="2"/>
    <x v="6"/>
    <n v="340.18"/>
    <n v="3"/>
    <n v="-73.709999999999994"/>
    <x v="10"/>
    <x v="2"/>
  </r>
  <r>
    <d v="2023-11-28T00:00:00"/>
    <x v="171"/>
    <x v="2"/>
    <x v="0"/>
    <x v="7"/>
    <n v="12.67"/>
    <n v="8"/>
    <n v="2.69"/>
    <x v="10"/>
    <x v="2"/>
  </r>
  <r>
    <d v="2023-11-28T00:00:00"/>
    <x v="171"/>
    <x v="2"/>
    <x v="0"/>
    <x v="3"/>
    <n v="6.89"/>
    <n v="2"/>
    <n v="-5.05"/>
    <x v="10"/>
    <x v="2"/>
  </r>
  <r>
    <d v="2023-11-28T00:00:00"/>
    <x v="171"/>
    <x v="2"/>
    <x v="0"/>
    <x v="2"/>
    <n v="32.54"/>
    <n v="2"/>
    <n v="-7.73"/>
    <x v="10"/>
    <x v="2"/>
  </r>
  <r>
    <d v="2023-11-28T00:00:00"/>
    <x v="171"/>
    <x v="2"/>
    <x v="1"/>
    <x v="5"/>
    <n v="347.8"/>
    <n v="7"/>
    <n v="-24.84"/>
    <x v="10"/>
    <x v="2"/>
  </r>
  <r>
    <d v="2023-11-29T00:00:00"/>
    <x v="317"/>
    <x v="0"/>
    <x v="2"/>
    <x v="9"/>
    <n v="58.42"/>
    <n v="2"/>
    <n v="16.79"/>
    <x v="10"/>
    <x v="2"/>
  </r>
  <r>
    <d v="2023-11-29T00:00:00"/>
    <x v="108"/>
    <x v="1"/>
    <x v="1"/>
    <x v="8"/>
    <n v="242.18"/>
    <n v="4"/>
    <n v="-302.72000000000003"/>
    <x v="10"/>
    <x v="2"/>
  </r>
  <r>
    <d v="2023-11-30T00:00:00"/>
    <x v="622"/>
    <x v="25"/>
    <x v="2"/>
    <x v="6"/>
    <n v="36.19"/>
    <n v="1"/>
    <n v="2.71"/>
    <x v="10"/>
    <x v="2"/>
  </r>
  <r>
    <d v="2023-11-30T00:00:00"/>
    <x v="206"/>
    <x v="14"/>
    <x v="0"/>
    <x v="0"/>
    <n v="33.36"/>
    <n v="4"/>
    <n v="16.68"/>
    <x v="10"/>
    <x v="2"/>
  </r>
  <r>
    <d v="2023-11-30T00:00:00"/>
    <x v="206"/>
    <x v="14"/>
    <x v="0"/>
    <x v="0"/>
    <n v="13.76"/>
    <n v="2"/>
    <n v="6.33"/>
    <x v="10"/>
    <x v="2"/>
  </r>
  <r>
    <d v="2023-11-30T00:00:00"/>
    <x v="206"/>
    <x v="14"/>
    <x v="0"/>
    <x v="2"/>
    <n v="496.86"/>
    <n v="7"/>
    <n v="24.84"/>
    <x v="10"/>
    <x v="2"/>
  </r>
  <r>
    <d v="2023-11-30T00:00:00"/>
    <x v="206"/>
    <x v="14"/>
    <x v="1"/>
    <x v="5"/>
    <n v="389.97"/>
    <n v="3"/>
    <n v="35.1"/>
    <x v="10"/>
    <x v="2"/>
  </r>
  <r>
    <d v="2023-12-01T00:00:00"/>
    <x v="333"/>
    <x v="28"/>
    <x v="0"/>
    <x v="0"/>
    <n v="23.92"/>
    <n v="4"/>
    <n v="11.72"/>
    <x v="11"/>
    <x v="2"/>
  </r>
  <r>
    <d v="2023-12-01T00:00:00"/>
    <x v="264"/>
    <x v="36"/>
    <x v="1"/>
    <x v="5"/>
    <n v="172.5"/>
    <n v="2"/>
    <n v="51.75"/>
    <x v="11"/>
    <x v="2"/>
  </r>
  <r>
    <d v="2023-12-01T00:00:00"/>
    <x v="264"/>
    <x v="36"/>
    <x v="2"/>
    <x v="6"/>
    <n v="179.97"/>
    <n v="3"/>
    <n v="44.99"/>
    <x v="11"/>
    <x v="2"/>
  </r>
  <r>
    <d v="2023-12-01T00:00:00"/>
    <x v="247"/>
    <x v="18"/>
    <x v="1"/>
    <x v="8"/>
    <n v="17.309999999999999"/>
    <n v="3"/>
    <n v="5.19"/>
    <x v="11"/>
    <x v="2"/>
  </r>
  <r>
    <d v="2023-12-01T00:00:00"/>
    <x v="156"/>
    <x v="15"/>
    <x v="0"/>
    <x v="4"/>
    <n v="4.7"/>
    <n v="2"/>
    <n v="0.41"/>
    <x v="11"/>
    <x v="2"/>
  </r>
  <r>
    <d v="2023-12-01T00:00:00"/>
    <x v="319"/>
    <x v="3"/>
    <x v="1"/>
    <x v="8"/>
    <n v="16.739999999999998"/>
    <n v="2"/>
    <n v="4.3499999999999996"/>
    <x v="11"/>
    <x v="2"/>
  </r>
  <r>
    <d v="2023-12-01T00:00:00"/>
    <x v="373"/>
    <x v="37"/>
    <x v="0"/>
    <x v="3"/>
    <n v="88.08"/>
    <n v="6"/>
    <n v="40.520000000000003"/>
    <x v="11"/>
    <x v="2"/>
  </r>
  <r>
    <d v="2023-12-01T00:00:00"/>
    <x v="373"/>
    <x v="37"/>
    <x v="1"/>
    <x v="5"/>
    <n v="751.92"/>
    <n v="4"/>
    <n v="150.38"/>
    <x v="11"/>
    <x v="2"/>
  </r>
  <r>
    <d v="2023-12-01T00:00:00"/>
    <x v="30"/>
    <x v="25"/>
    <x v="2"/>
    <x v="6"/>
    <n v="863.93"/>
    <n v="9"/>
    <n v="86.39"/>
    <x v="11"/>
    <x v="2"/>
  </r>
  <r>
    <d v="2023-12-01T00:00:00"/>
    <x v="522"/>
    <x v="0"/>
    <x v="1"/>
    <x v="5"/>
    <n v="248.43"/>
    <n v="5"/>
    <n v="-17.75"/>
    <x v="11"/>
    <x v="2"/>
  </r>
  <r>
    <d v="2023-12-01T00:00:00"/>
    <x v="522"/>
    <x v="0"/>
    <x v="0"/>
    <x v="12"/>
    <n v="11.65"/>
    <n v="4"/>
    <n v="-30.87"/>
    <x v="11"/>
    <x v="2"/>
  </r>
  <r>
    <d v="2023-12-01T00:00:00"/>
    <x v="522"/>
    <x v="0"/>
    <x v="1"/>
    <x v="5"/>
    <n v="85.25"/>
    <n v="2"/>
    <n v="-1.22"/>
    <x v="11"/>
    <x v="2"/>
  </r>
  <r>
    <d v="2023-12-01T00:00:00"/>
    <x v="67"/>
    <x v="32"/>
    <x v="2"/>
    <x v="6"/>
    <n v="137.94"/>
    <n v="3"/>
    <n v="35.86"/>
    <x v="11"/>
    <x v="2"/>
  </r>
  <r>
    <d v="2023-12-01T00:00:00"/>
    <x v="67"/>
    <x v="32"/>
    <x v="1"/>
    <x v="8"/>
    <n v="111.15"/>
    <n v="5"/>
    <n v="48.91"/>
    <x v="11"/>
    <x v="2"/>
  </r>
  <r>
    <d v="2023-12-01T00:00:00"/>
    <x v="67"/>
    <x v="32"/>
    <x v="0"/>
    <x v="12"/>
    <n v="901.95"/>
    <n v="3"/>
    <n v="297.64"/>
    <x v="11"/>
    <x v="2"/>
  </r>
  <r>
    <d v="2023-12-01T00:00:00"/>
    <x v="67"/>
    <x v="32"/>
    <x v="1"/>
    <x v="13"/>
    <n v="366.01"/>
    <n v="3"/>
    <n v="-47.06"/>
    <x v="11"/>
    <x v="2"/>
  </r>
  <r>
    <d v="2023-12-01T00:00:00"/>
    <x v="104"/>
    <x v="6"/>
    <x v="0"/>
    <x v="12"/>
    <n v="2104.5500000000002"/>
    <n v="7"/>
    <n v="694.5"/>
    <x v="11"/>
    <x v="2"/>
  </r>
  <r>
    <d v="2023-12-01T00:00:00"/>
    <x v="104"/>
    <x v="6"/>
    <x v="0"/>
    <x v="14"/>
    <n v="40.700000000000003"/>
    <n v="5"/>
    <n v="11.8"/>
    <x v="11"/>
    <x v="2"/>
  </r>
  <r>
    <d v="2023-12-01T00:00:00"/>
    <x v="162"/>
    <x v="3"/>
    <x v="1"/>
    <x v="8"/>
    <n v="31.96"/>
    <n v="2"/>
    <n v="1.6"/>
    <x v="11"/>
    <x v="2"/>
  </r>
  <r>
    <d v="2023-12-01T00:00:00"/>
    <x v="162"/>
    <x v="3"/>
    <x v="0"/>
    <x v="0"/>
    <n v="47.9"/>
    <n v="1"/>
    <n v="22.99"/>
    <x v="11"/>
    <x v="2"/>
  </r>
  <r>
    <d v="2023-12-01T00:00:00"/>
    <x v="162"/>
    <x v="3"/>
    <x v="0"/>
    <x v="2"/>
    <n v="1112.94"/>
    <n v="3"/>
    <n v="222.59"/>
    <x v="11"/>
    <x v="2"/>
  </r>
  <r>
    <d v="2023-12-01T00:00:00"/>
    <x v="162"/>
    <x v="3"/>
    <x v="0"/>
    <x v="10"/>
    <n v="22.92"/>
    <n v="3"/>
    <n v="11.23"/>
    <x v="11"/>
    <x v="2"/>
  </r>
  <r>
    <d v="2023-12-01T00:00:00"/>
    <x v="470"/>
    <x v="3"/>
    <x v="0"/>
    <x v="4"/>
    <n v="23.04"/>
    <n v="8"/>
    <n v="6.91"/>
    <x v="11"/>
    <x v="2"/>
  </r>
  <r>
    <d v="2023-12-02T00:00:00"/>
    <x v="575"/>
    <x v="3"/>
    <x v="0"/>
    <x v="0"/>
    <n v="25.92"/>
    <n v="4"/>
    <n v="12.44"/>
    <x v="11"/>
    <x v="2"/>
  </r>
  <r>
    <d v="2023-12-02T00:00:00"/>
    <x v="575"/>
    <x v="3"/>
    <x v="0"/>
    <x v="0"/>
    <n v="40.46"/>
    <n v="7"/>
    <n v="19.829999999999998"/>
    <x v="11"/>
    <x v="2"/>
  </r>
  <r>
    <d v="2023-12-02T00:00:00"/>
    <x v="575"/>
    <x v="3"/>
    <x v="0"/>
    <x v="2"/>
    <n v="33.869999999999997"/>
    <n v="3"/>
    <n v="8.81"/>
    <x v="11"/>
    <x v="2"/>
  </r>
  <r>
    <d v="2023-12-02T00:00:00"/>
    <x v="435"/>
    <x v="3"/>
    <x v="0"/>
    <x v="3"/>
    <n v="24.7"/>
    <n v="2"/>
    <n v="9.26"/>
    <x v="11"/>
    <x v="2"/>
  </r>
  <r>
    <d v="2023-12-02T00:00:00"/>
    <x v="435"/>
    <x v="3"/>
    <x v="0"/>
    <x v="12"/>
    <n v="59.7"/>
    <n v="3"/>
    <n v="26.87"/>
    <x v="11"/>
    <x v="2"/>
  </r>
  <r>
    <d v="2023-12-02T00:00:00"/>
    <x v="435"/>
    <x v="3"/>
    <x v="1"/>
    <x v="8"/>
    <n v="14.52"/>
    <n v="3"/>
    <n v="5.66"/>
    <x v="11"/>
    <x v="2"/>
  </r>
  <r>
    <d v="2023-12-02T00:00:00"/>
    <x v="435"/>
    <x v="3"/>
    <x v="0"/>
    <x v="3"/>
    <n v="104.18"/>
    <n v="3"/>
    <n v="33.86"/>
    <x v="11"/>
    <x v="2"/>
  </r>
  <r>
    <d v="2023-12-02T00:00:00"/>
    <x v="35"/>
    <x v="43"/>
    <x v="0"/>
    <x v="2"/>
    <n v="2079.4"/>
    <n v="5"/>
    <n v="582.23"/>
    <x v="11"/>
    <x v="2"/>
  </r>
  <r>
    <d v="2023-12-02T00:00:00"/>
    <x v="35"/>
    <x v="43"/>
    <x v="2"/>
    <x v="6"/>
    <n v="629.95000000000005"/>
    <n v="5"/>
    <n v="176.39"/>
    <x v="11"/>
    <x v="2"/>
  </r>
  <r>
    <d v="2023-12-02T00:00:00"/>
    <x v="35"/>
    <x v="43"/>
    <x v="1"/>
    <x v="8"/>
    <n v="72.42"/>
    <n v="6"/>
    <n v="23.9"/>
    <x v="11"/>
    <x v="2"/>
  </r>
  <r>
    <d v="2023-12-02T00:00:00"/>
    <x v="509"/>
    <x v="20"/>
    <x v="0"/>
    <x v="3"/>
    <n v="415.18"/>
    <n v="3"/>
    <n v="134.93"/>
    <x v="11"/>
    <x v="2"/>
  </r>
  <r>
    <d v="2023-12-02T00:00:00"/>
    <x v="509"/>
    <x v="20"/>
    <x v="0"/>
    <x v="3"/>
    <n v="35.229999999999997"/>
    <n v="3"/>
    <n v="11.45"/>
    <x v="11"/>
    <x v="2"/>
  </r>
  <r>
    <d v="2023-12-02T00:00:00"/>
    <x v="509"/>
    <x v="20"/>
    <x v="0"/>
    <x v="0"/>
    <n v="54.96"/>
    <n v="1"/>
    <n v="26.93"/>
    <x v="11"/>
    <x v="2"/>
  </r>
  <r>
    <d v="2023-12-02T00:00:00"/>
    <x v="464"/>
    <x v="26"/>
    <x v="2"/>
    <x v="9"/>
    <n v="165.6"/>
    <n v="3"/>
    <n v="-6.21"/>
    <x v="11"/>
    <x v="2"/>
  </r>
  <r>
    <d v="2023-12-02T00:00:00"/>
    <x v="203"/>
    <x v="30"/>
    <x v="0"/>
    <x v="3"/>
    <n v="115.84"/>
    <n v="8"/>
    <n v="54.44"/>
    <x v="11"/>
    <x v="2"/>
  </r>
  <r>
    <d v="2023-12-02T00:00:00"/>
    <x v="168"/>
    <x v="0"/>
    <x v="1"/>
    <x v="11"/>
    <n v="781.86"/>
    <n v="10"/>
    <n v="-137.97999999999999"/>
    <x v="11"/>
    <x v="2"/>
  </r>
  <r>
    <d v="2023-12-02T00:00:00"/>
    <x v="168"/>
    <x v="0"/>
    <x v="0"/>
    <x v="0"/>
    <n v="30.82"/>
    <n v="9"/>
    <n v="9.6300000000000008"/>
    <x v="11"/>
    <x v="2"/>
  </r>
  <r>
    <d v="2023-12-03T00:00:00"/>
    <x v="709"/>
    <x v="20"/>
    <x v="0"/>
    <x v="0"/>
    <n v="182.72"/>
    <n v="8"/>
    <n v="84.05"/>
    <x v="11"/>
    <x v="2"/>
  </r>
  <r>
    <d v="2023-12-03T00:00:00"/>
    <x v="709"/>
    <x v="20"/>
    <x v="1"/>
    <x v="13"/>
    <n v="400.03"/>
    <n v="2"/>
    <n v="-153.35"/>
    <x v="11"/>
    <x v="2"/>
  </r>
  <r>
    <d v="2023-12-03T00:00:00"/>
    <x v="709"/>
    <x v="20"/>
    <x v="0"/>
    <x v="2"/>
    <n v="33.630000000000003"/>
    <n v="3"/>
    <n v="10.09"/>
    <x v="11"/>
    <x v="2"/>
  </r>
  <r>
    <d v="2023-12-03T00:00:00"/>
    <x v="709"/>
    <x v="20"/>
    <x v="1"/>
    <x v="5"/>
    <n v="542.65"/>
    <n v="3"/>
    <n v="102.5"/>
    <x v="11"/>
    <x v="2"/>
  </r>
  <r>
    <d v="2023-12-03T00:00:00"/>
    <x v="709"/>
    <x v="20"/>
    <x v="0"/>
    <x v="1"/>
    <n v="6.3"/>
    <n v="2"/>
    <n v="3.02"/>
    <x v="11"/>
    <x v="2"/>
  </r>
  <r>
    <d v="2023-12-03T00:00:00"/>
    <x v="740"/>
    <x v="2"/>
    <x v="0"/>
    <x v="12"/>
    <n v="394.82"/>
    <n v="4"/>
    <n v="93.77"/>
    <x v="11"/>
    <x v="2"/>
  </r>
  <r>
    <d v="2023-12-03T00:00:00"/>
    <x v="740"/>
    <x v="2"/>
    <x v="0"/>
    <x v="3"/>
    <n v="18.190000000000001"/>
    <n v="4"/>
    <n v="-14.55"/>
    <x v="11"/>
    <x v="2"/>
  </r>
  <r>
    <d v="2023-12-03T00:00:00"/>
    <x v="685"/>
    <x v="3"/>
    <x v="2"/>
    <x v="9"/>
    <n v="1649.95"/>
    <n v="5"/>
    <n v="659.98"/>
    <x v="11"/>
    <x v="2"/>
  </r>
  <r>
    <d v="2023-12-03T00:00:00"/>
    <x v="685"/>
    <x v="3"/>
    <x v="1"/>
    <x v="8"/>
    <n v="111.9"/>
    <n v="6"/>
    <n v="51.47"/>
    <x v="11"/>
    <x v="2"/>
  </r>
  <r>
    <d v="2023-12-03T00:00:00"/>
    <x v="13"/>
    <x v="18"/>
    <x v="1"/>
    <x v="13"/>
    <n v="581.96"/>
    <n v="2"/>
    <n v="104.75"/>
    <x v="11"/>
    <x v="2"/>
  </r>
  <r>
    <d v="2023-12-03T00:00:00"/>
    <x v="13"/>
    <x v="18"/>
    <x v="1"/>
    <x v="5"/>
    <n v="29.98"/>
    <n v="1"/>
    <n v="8.09"/>
    <x v="11"/>
    <x v="2"/>
  </r>
  <r>
    <d v="2023-12-03T00:00:00"/>
    <x v="95"/>
    <x v="3"/>
    <x v="0"/>
    <x v="2"/>
    <n v="772.68"/>
    <n v="4"/>
    <n v="108.18"/>
    <x v="11"/>
    <x v="2"/>
  </r>
  <r>
    <d v="2023-12-03T00:00:00"/>
    <x v="310"/>
    <x v="3"/>
    <x v="1"/>
    <x v="13"/>
    <n v="268.7"/>
    <n v="3"/>
    <n v="6.72"/>
    <x v="11"/>
    <x v="2"/>
  </r>
  <r>
    <d v="2023-12-03T00:00:00"/>
    <x v="310"/>
    <x v="3"/>
    <x v="0"/>
    <x v="4"/>
    <n v="21.92"/>
    <n v="8"/>
    <n v="5.92"/>
    <x v="11"/>
    <x v="2"/>
  </r>
  <r>
    <d v="2023-12-03T00:00:00"/>
    <x v="310"/>
    <x v="3"/>
    <x v="0"/>
    <x v="2"/>
    <n v="48.72"/>
    <n v="3"/>
    <n v="7.31"/>
    <x v="11"/>
    <x v="2"/>
  </r>
  <r>
    <d v="2023-12-03T00:00:00"/>
    <x v="310"/>
    <x v="3"/>
    <x v="1"/>
    <x v="11"/>
    <n v="205.67"/>
    <n v="2"/>
    <n v="-12.1"/>
    <x v="11"/>
    <x v="2"/>
  </r>
  <r>
    <d v="2023-12-04T00:00:00"/>
    <x v="383"/>
    <x v="20"/>
    <x v="1"/>
    <x v="8"/>
    <n v="113.79"/>
    <n v="3"/>
    <n v="20.48"/>
    <x v="11"/>
    <x v="2"/>
  </r>
  <r>
    <d v="2023-12-04T00:00:00"/>
    <x v="383"/>
    <x v="20"/>
    <x v="2"/>
    <x v="9"/>
    <n v="78.150000000000006"/>
    <n v="1"/>
    <n v="34.39"/>
    <x v="11"/>
    <x v="2"/>
  </r>
  <r>
    <d v="2023-12-04T00:00:00"/>
    <x v="383"/>
    <x v="20"/>
    <x v="0"/>
    <x v="3"/>
    <n v="1.73"/>
    <n v="1"/>
    <n v="0.6"/>
    <x v="11"/>
    <x v="2"/>
  </r>
  <r>
    <d v="2023-12-04T00:00:00"/>
    <x v="383"/>
    <x v="20"/>
    <x v="0"/>
    <x v="0"/>
    <n v="40.56"/>
    <n v="4"/>
    <n v="19.87"/>
    <x v="11"/>
    <x v="2"/>
  </r>
  <r>
    <d v="2023-12-04T00:00:00"/>
    <x v="383"/>
    <x v="20"/>
    <x v="0"/>
    <x v="2"/>
    <n v="182.94"/>
    <n v="3"/>
    <n v="3.66"/>
    <x v="11"/>
    <x v="2"/>
  </r>
  <r>
    <d v="2023-12-04T00:00:00"/>
    <x v="383"/>
    <x v="20"/>
    <x v="0"/>
    <x v="2"/>
    <n v="193.86"/>
    <n v="2"/>
    <n v="11.63"/>
    <x v="11"/>
    <x v="2"/>
  </r>
  <r>
    <d v="2023-12-04T00:00:00"/>
    <x v="227"/>
    <x v="20"/>
    <x v="0"/>
    <x v="2"/>
    <n v="212.88"/>
    <n v="6"/>
    <n v="0"/>
    <x v="11"/>
    <x v="2"/>
  </r>
  <r>
    <d v="2023-12-04T00:00:00"/>
    <x v="272"/>
    <x v="20"/>
    <x v="0"/>
    <x v="3"/>
    <n v="15.53"/>
    <n v="3"/>
    <n v="5.82"/>
    <x v="11"/>
    <x v="2"/>
  </r>
  <r>
    <d v="2023-12-04T00:00:00"/>
    <x v="388"/>
    <x v="3"/>
    <x v="0"/>
    <x v="0"/>
    <n v="104.85"/>
    <n v="1"/>
    <n v="50.33"/>
    <x v="11"/>
    <x v="2"/>
  </r>
  <r>
    <d v="2023-12-05T00:00:00"/>
    <x v="576"/>
    <x v="22"/>
    <x v="0"/>
    <x v="3"/>
    <n v="407.98"/>
    <n v="3"/>
    <n v="132.59"/>
    <x v="11"/>
    <x v="2"/>
  </r>
  <r>
    <d v="2023-12-05T00:00:00"/>
    <x v="780"/>
    <x v="21"/>
    <x v="2"/>
    <x v="6"/>
    <n v="384.45"/>
    <n v="11"/>
    <n v="103.8"/>
    <x v="11"/>
    <x v="2"/>
  </r>
  <r>
    <d v="2023-12-05T00:00:00"/>
    <x v="780"/>
    <x v="21"/>
    <x v="2"/>
    <x v="6"/>
    <n v="149.97"/>
    <n v="3"/>
    <n v="6"/>
    <x v="11"/>
    <x v="2"/>
  </r>
  <r>
    <d v="2023-12-05T00:00:00"/>
    <x v="780"/>
    <x v="21"/>
    <x v="1"/>
    <x v="5"/>
    <n v="1951.84"/>
    <n v="8"/>
    <n v="585.54999999999995"/>
    <x v="11"/>
    <x v="2"/>
  </r>
  <r>
    <d v="2023-12-05T00:00:00"/>
    <x v="780"/>
    <x v="21"/>
    <x v="0"/>
    <x v="3"/>
    <n v="171.55"/>
    <n v="5"/>
    <n v="80.63"/>
    <x v="11"/>
    <x v="2"/>
  </r>
  <r>
    <d v="2023-12-05T00:00:00"/>
    <x v="229"/>
    <x v="5"/>
    <x v="1"/>
    <x v="8"/>
    <n v="191.82"/>
    <n v="3"/>
    <n v="74.81"/>
    <x v="11"/>
    <x v="2"/>
  </r>
  <r>
    <d v="2023-12-05T00:00:00"/>
    <x v="229"/>
    <x v="20"/>
    <x v="0"/>
    <x v="2"/>
    <n v="465.18"/>
    <n v="3"/>
    <n v="120.95"/>
    <x v="11"/>
    <x v="2"/>
  </r>
  <r>
    <d v="2023-12-05T00:00:00"/>
    <x v="166"/>
    <x v="32"/>
    <x v="1"/>
    <x v="11"/>
    <n v="81.94"/>
    <n v="1"/>
    <n v="20.49"/>
    <x v="11"/>
    <x v="2"/>
  </r>
  <r>
    <d v="2023-12-05T00:00:00"/>
    <x v="529"/>
    <x v="44"/>
    <x v="0"/>
    <x v="4"/>
    <n v="33.92"/>
    <n v="8"/>
    <n v="13.23"/>
    <x v="11"/>
    <x v="2"/>
  </r>
  <r>
    <d v="2023-12-05T00:00:00"/>
    <x v="633"/>
    <x v="5"/>
    <x v="2"/>
    <x v="6"/>
    <n v="699.98"/>
    <n v="2"/>
    <n v="195.99"/>
    <x v="11"/>
    <x v="2"/>
  </r>
  <r>
    <d v="2023-12-05T00:00:00"/>
    <x v="633"/>
    <x v="5"/>
    <x v="0"/>
    <x v="2"/>
    <n v="584.82000000000005"/>
    <n v="9"/>
    <n v="70.180000000000007"/>
    <x v="11"/>
    <x v="2"/>
  </r>
  <r>
    <d v="2023-12-05T00:00:00"/>
    <x v="211"/>
    <x v="1"/>
    <x v="0"/>
    <x v="1"/>
    <n v="11.95"/>
    <n v="3"/>
    <n v="3.88"/>
    <x v="11"/>
    <x v="2"/>
  </r>
  <r>
    <d v="2023-12-05T00:00:00"/>
    <x v="109"/>
    <x v="1"/>
    <x v="0"/>
    <x v="4"/>
    <n v="3.54"/>
    <n v="2"/>
    <n v="0.31"/>
    <x v="11"/>
    <x v="2"/>
  </r>
  <r>
    <d v="2023-12-05T00:00:00"/>
    <x v="736"/>
    <x v="7"/>
    <x v="1"/>
    <x v="8"/>
    <n v="13.4"/>
    <n v="1"/>
    <n v="6.43"/>
    <x v="11"/>
    <x v="2"/>
  </r>
  <r>
    <d v="2023-12-05T00:00:00"/>
    <x v="736"/>
    <x v="7"/>
    <x v="0"/>
    <x v="0"/>
    <n v="4.9800000000000004"/>
    <n v="1"/>
    <n v="2.34"/>
    <x v="11"/>
    <x v="2"/>
  </r>
  <r>
    <d v="2023-12-05T00:00:00"/>
    <x v="736"/>
    <x v="7"/>
    <x v="0"/>
    <x v="10"/>
    <n v="109.69"/>
    <n v="7"/>
    <n v="51.55"/>
    <x v="11"/>
    <x v="2"/>
  </r>
  <r>
    <d v="2023-12-06T00:00:00"/>
    <x v="480"/>
    <x v="3"/>
    <x v="0"/>
    <x v="0"/>
    <n v="19.440000000000001"/>
    <n v="3"/>
    <n v="9.33"/>
    <x v="11"/>
    <x v="2"/>
  </r>
  <r>
    <d v="2023-12-06T00:00:00"/>
    <x v="217"/>
    <x v="22"/>
    <x v="2"/>
    <x v="6"/>
    <n v="156.79"/>
    <n v="1"/>
    <n v="13.72"/>
    <x v="11"/>
    <x v="2"/>
  </r>
  <r>
    <d v="2023-12-06T00:00:00"/>
    <x v="217"/>
    <x v="22"/>
    <x v="2"/>
    <x v="6"/>
    <n v="431.98"/>
    <n v="3"/>
    <n v="27"/>
    <x v="11"/>
    <x v="2"/>
  </r>
  <r>
    <d v="2023-12-06T00:00:00"/>
    <x v="217"/>
    <x v="22"/>
    <x v="0"/>
    <x v="10"/>
    <n v="35.89"/>
    <n v="1"/>
    <n v="16.149999999999999"/>
    <x v="11"/>
    <x v="2"/>
  </r>
  <r>
    <d v="2023-12-06T00:00:00"/>
    <x v="217"/>
    <x v="22"/>
    <x v="0"/>
    <x v="3"/>
    <n v="47.21"/>
    <n v="7"/>
    <n v="15.34"/>
    <x v="11"/>
    <x v="2"/>
  </r>
  <r>
    <d v="2023-12-06T00:00:00"/>
    <x v="217"/>
    <x v="22"/>
    <x v="0"/>
    <x v="0"/>
    <n v="248.08"/>
    <n v="7"/>
    <n v="116.6"/>
    <x v="11"/>
    <x v="2"/>
  </r>
  <r>
    <d v="2023-12-06T00:00:00"/>
    <x v="217"/>
    <x v="22"/>
    <x v="0"/>
    <x v="0"/>
    <n v="189.7"/>
    <n v="5"/>
    <n v="89.16"/>
    <x v="11"/>
    <x v="2"/>
  </r>
  <r>
    <d v="2023-12-06T00:00:00"/>
    <x v="217"/>
    <x v="22"/>
    <x v="0"/>
    <x v="3"/>
    <n v="59.81"/>
    <n v="3"/>
    <n v="19.440000000000001"/>
    <x v="11"/>
    <x v="2"/>
  </r>
  <r>
    <d v="2023-12-06T00:00:00"/>
    <x v="679"/>
    <x v="20"/>
    <x v="0"/>
    <x v="3"/>
    <n v="968.74"/>
    <n v="7"/>
    <n v="314.83999999999997"/>
    <x v="11"/>
    <x v="2"/>
  </r>
  <r>
    <d v="2023-12-06T00:00:00"/>
    <x v="679"/>
    <x v="20"/>
    <x v="0"/>
    <x v="3"/>
    <n v="222.35"/>
    <n v="13"/>
    <n v="77.819999999999993"/>
    <x v="11"/>
    <x v="2"/>
  </r>
  <r>
    <d v="2023-12-06T00:00:00"/>
    <x v="679"/>
    <x v="20"/>
    <x v="2"/>
    <x v="16"/>
    <n v="479.98"/>
    <n v="2"/>
    <n v="90"/>
    <x v="11"/>
    <x v="2"/>
  </r>
  <r>
    <d v="2023-12-06T00:00:00"/>
    <x v="64"/>
    <x v="3"/>
    <x v="2"/>
    <x v="6"/>
    <n v="271.95999999999998"/>
    <n v="5"/>
    <n v="27.2"/>
    <x v="11"/>
    <x v="2"/>
  </r>
  <r>
    <d v="2023-12-06T00:00:00"/>
    <x v="64"/>
    <x v="3"/>
    <x v="0"/>
    <x v="4"/>
    <n v="18.690000000000001"/>
    <n v="7"/>
    <n v="5.23"/>
    <x v="11"/>
    <x v="2"/>
  </r>
  <r>
    <d v="2023-12-06T00:00:00"/>
    <x v="64"/>
    <x v="3"/>
    <x v="0"/>
    <x v="0"/>
    <n v="13.36"/>
    <n v="2"/>
    <n v="6.41"/>
    <x v="11"/>
    <x v="2"/>
  </r>
  <r>
    <d v="2023-12-06T00:00:00"/>
    <x v="64"/>
    <x v="3"/>
    <x v="2"/>
    <x v="6"/>
    <n v="249.58"/>
    <n v="2"/>
    <n v="31.2"/>
    <x v="11"/>
    <x v="2"/>
  </r>
  <r>
    <d v="2023-12-06T00:00:00"/>
    <x v="64"/>
    <x v="3"/>
    <x v="0"/>
    <x v="7"/>
    <n v="13.86"/>
    <n v="7"/>
    <n v="0"/>
    <x v="11"/>
    <x v="2"/>
  </r>
  <r>
    <d v="2023-12-06T00:00:00"/>
    <x v="64"/>
    <x v="3"/>
    <x v="0"/>
    <x v="3"/>
    <n v="13.38"/>
    <n v="4"/>
    <n v="4.68"/>
    <x v="11"/>
    <x v="2"/>
  </r>
  <r>
    <d v="2023-12-06T00:00:00"/>
    <x v="64"/>
    <x v="3"/>
    <x v="0"/>
    <x v="3"/>
    <n v="437.47"/>
    <n v="14"/>
    <n v="153.12"/>
    <x v="11"/>
    <x v="2"/>
  </r>
  <r>
    <d v="2023-12-08T00:00:00"/>
    <x v="702"/>
    <x v="0"/>
    <x v="2"/>
    <x v="6"/>
    <n v="1097.54"/>
    <n v="7"/>
    <n v="123.47"/>
    <x v="11"/>
    <x v="2"/>
  </r>
  <r>
    <d v="2023-12-08T00:00:00"/>
    <x v="702"/>
    <x v="0"/>
    <x v="1"/>
    <x v="8"/>
    <n v="190.92"/>
    <n v="5"/>
    <n v="-147.96"/>
    <x v="11"/>
    <x v="2"/>
  </r>
  <r>
    <d v="2023-12-08T00:00:00"/>
    <x v="87"/>
    <x v="28"/>
    <x v="2"/>
    <x v="6"/>
    <n v="114.95"/>
    <n v="5"/>
    <n v="2.2999999999999998"/>
    <x v="11"/>
    <x v="2"/>
  </r>
  <r>
    <d v="2023-12-08T00:00:00"/>
    <x v="425"/>
    <x v="10"/>
    <x v="0"/>
    <x v="3"/>
    <n v="12.96"/>
    <n v="7"/>
    <n v="-9.5"/>
    <x v="11"/>
    <x v="2"/>
  </r>
  <r>
    <d v="2023-12-08T00:00:00"/>
    <x v="386"/>
    <x v="3"/>
    <x v="0"/>
    <x v="4"/>
    <n v="8.56"/>
    <n v="2"/>
    <n v="2.48"/>
    <x v="11"/>
    <x v="2"/>
  </r>
  <r>
    <d v="2023-12-08T00:00:00"/>
    <x v="386"/>
    <x v="3"/>
    <x v="0"/>
    <x v="0"/>
    <n v="45.36"/>
    <n v="7"/>
    <n v="21.77"/>
    <x v="11"/>
    <x v="2"/>
  </r>
  <r>
    <d v="2023-12-08T00:00:00"/>
    <x v="386"/>
    <x v="3"/>
    <x v="1"/>
    <x v="13"/>
    <n v="1421.66"/>
    <n v="6"/>
    <n v="-195.48"/>
    <x v="11"/>
    <x v="2"/>
  </r>
  <r>
    <d v="2023-12-08T00:00:00"/>
    <x v="440"/>
    <x v="3"/>
    <x v="0"/>
    <x v="2"/>
    <n v="34.049999999999997"/>
    <n v="3"/>
    <n v="9.5299999999999994"/>
    <x v="11"/>
    <x v="2"/>
  </r>
  <r>
    <d v="2023-12-08T00:00:00"/>
    <x v="440"/>
    <x v="3"/>
    <x v="0"/>
    <x v="2"/>
    <n v="352.38"/>
    <n v="2"/>
    <n v="81.05"/>
    <x v="11"/>
    <x v="2"/>
  </r>
  <r>
    <d v="2023-12-08T00:00:00"/>
    <x v="352"/>
    <x v="25"/>
    <x v="2"/>
    <x v="6"/>
    <n v="249.58"/>
    <n v="2"/>
    <n v="31.2"/>
    <x v="11"/>
    <x v="2"/>
  </r>
  <r>
    <d v="2023-12-08T00:00:00"/>
    <x v="352"/>
    <x v="25"/>
    <x v="2"/>
    <x v="9"/>
    <n v="68.11"/>
    <n v="3"/>
    <n v="17.88"/>
    <x v="11"/>
    <x v="2"/>
  </r>
  <r>
    <d v="2023-12-08T00:00:00"/>
    <x v="352"/>
    <x v="25"/>
    <x v="2"/>
    <x v="9"/>
    <n v="16.559999999999999"/>
    <n v="3"/>
    <n v="-2.48"/>
    <x v="11"/>
    <x v="2"/>
  </r>
  <r>
    <d v="2023-12-08T00:00:00"/>
    <x v="640"/>
    <x v="10"/>
    <x v="0"/>
    <x v="0"/>
    <n v="10.58"/>
    <n v="3"/>
    <n v="3.44"/>
    <x v="11"/>
    <x v="2"/>
  </r>
  <r>
    <d v="2023-12-08T00:00:00"/>
    <x v="316"/>
    <x v="21"/>
    <x v="1"/>
    <x v="11"/>
    <n v="405.86"/>
    <n v="7"/>
    <n v="32.47"/>
    <x v="11"/>
    <x v="2"/>
  </r>
  <r>
    <d v="2023-12-08T00:00:00"/>
    <x v="316"/>
    <x v="21"/>
    <x v="1"/>
    <x v="5"/>
    <n v="680.01"/>
    <n v="3"/>
    <n v="176.8"/>
    <x v="11"/>
    <x v="2"/>
  </r>
  <r>
    <d v="2023-12-09T00:00:00"/>
    <x v="127"/>
    <x v="40"/>
    <x v="0"/>
    <x v="4"/>
    <n v="19.46"/>
    <n v="7"/>
    <n v="5.0599999999999996"/>
    <x v="11"/>
    <x v="2"/>
  </r>
  <r>
    <d v="2023-12-09T00:00:00"/>
    <x v="127"/>
    <x v="40"/>
    <x v="0"/>
    <x v="12"/>
    <n v="60.34"/>
    <n v="7"/>
    <n v="15.69"/>
    <x v="11"/>
    <x v="2"/>
  </r>
  <r>
    <d v="2023-12-09T00:00:00"/>
    <x v="667"/>
    <x v="32"/>
    <x v="0"/>
    <x v="1"/>
    <n v="3.69"/>
    <n v="1"/>
    <n v="1.73"/>
    <x v="11"/>
    <x v="2"/>
  </r>
  <r>
    <d v="2023-12-09T00:00:00"/>
    <x v="667"/>
    <x v="32"/>
    <x v="0"/>
    <x v="1"/>
    <n v="122.12"/>
    <n v="4"/>
    <n v="56.18"/>
    <x v="11"/>
    <x v="2"/>
  </r>
  <r>
    <d v="2023-12-09T00:00:00"/>
    <x v="169"/>
    <x v="0"/>
    <x v="0"/>
    <x v="0"/>
    <n v="9.39"/>
    <n v="2"/>
    <n v="3.29"/>
    <x v="11"/>
    <x v="2"/>
  </r>
  <r>
    <d v="2023-12-09T00:00:00"/>
    <x v="169"/>
    <x v="0"/>
    <x v="0"/>
    <x v="4"/>
    <n v="9.33"/>
    <n v="1"/>
    <n v="0.82"/>
    <x v="11"/>
    <x v="2"/>
  </r>
  <r>
    <d v="2023-12-09T00:00:00"/>
    <x v="105"/>
    <x v="15"/>
    <x v="1"/>
    <x v="13"/>
    <n v="79.97"/>
    <n v="3"/>
    <n v="-29.32"/>
    <x v="11"/>
    <x v="2"/>
  </r>
  <r>
    <d v="2023-12-09T00:00:00"/>
    <x v="105"/>
    <x v="15"/>
    <x v="0"/>
    <x v="3"/>
    <n v="2.95"/>
    <n v="2"/>
    <n v="-2.06"/>
    <x v="11"/>
    <x v="2"/>
  </r>
  <r>
    <d v="2023-12-09T00:00:00"/>
    <x v="564"/>
    <x v="14"/>
    <x v="2"/>
    <x v="6"/>
    <n v="10.9"/>
    <n v="1"/>
    <n v="3.05"/>
    <x v="11"/>
    <x v="2"/>
  </r>
  <r>
    <d v="2023-12-09T00:00:00"/>
    <x v="564"/>
    <x v="14"/>
    <x v="2"/>
    <x v="9"/>
    <n v="59.98"/>
    <n v="2"/>
    <n v="25.19"/>
    <x v="11"/>
    <x v="2"/>
  </r>
  <r>
    <d v="2023-12-09T00:00:00"/>
    <x v="564"/>
    <x v="14"/>
    <x v="0"/>
    <x v="12"/>
    <n v="61.93"/>
    <n v="1"/>
    <n v="23.4"/>
    <x v="11"/>
    <x v="2"/>
  </r>
  <r>
    <d v="2023-12-09T00:00:00"/>
    <x v="185"/>
    <x v="15"/>
    <x v="2"/>
    <x v="6"/>
    <n v="40.68"/>
    <n v="3"/>
    <n v="-9.15"/>
    <x v="11"/>
    <x v="2"/>
  </r>
  <r>
    <d v="2023-12-09T00:00:00"/>
    <x v="274"/>
    <x v="1"/>
    <x v="0"/>
    <x v="14"/>
    <n v="20.57"/>
    <n v="3"/>
    <n v="1.54"/>
    <x v="11"/>
    <x v="2"/>
  </r>
  <r>
    <d v="2023-12-09T00:00:00"/>
    <x v="274"/>
    <x v="1"/>
    <x v="0"/>
    <x v="12"/>
    <n v="4.3600000000000003"/>
    <n v="2"/>
    <n v="-11.76"/>
    <x v="11"/>
    <x v="2"/>
  </r>
  <r>
    <d v="2023-12-09T00:00:00"/>
    <x v="274"/>
    <x v="1"/>
    <x v="2"/>
    <x v="9"/>
    <n v="19.04"/>
    <n v="4"/>
    <n v="-1.43"/>
    <x v="11"/>
    <x v="2"/>
  </r>
  <r>
    <d v="2023-12-09T00:00:00"/>
    <x v="153"/>
    <x v="3"/>
    <x v="0"/>
    <x v="3"/>
    <n v="273.92"/>
    <n v="8"/>
    <n v="99.3"/>
    <x v="11"/>
    <x v="2"/>
  </r>
  <r>
    <d v="2023-12-09T00:00:00"/>
    <x v="181"/>
    <x v="6"/>
    <x v="1"/>
    <x v="13"/>
    <n v="1056.8599999999999"/>
    <n v="7"/>
    <n v="158.53"/>
    <x v="11"/>
    <x v="2"/>
  </r>
  <r>
    <d v="2023-12-10T00:00:00"/>
    <x v="564"/>
    <x v="3"/>
    <x v="1"/>
    <x v="5"/>
    <n v="321.57"/>
    <n v="2"/>
    <n v="28.14"/>
    <x v="11"/>
    <x v="2"/>
  </r>
  <r>
    <d v="2023-12-10T00:00:00"/>
    <x v="16"/>
    <x v="20"/>
    <x v="0"/>
    <x v="2"/>
    <n v="80.58"/>
    <n v="6"/>
    <n v="22.56"/>
    <x v="11"/>
    <x v="2"/>
  </r>
  <r>
    <d v="2023-12-10T00:00:00"/>
    <x v="16"/>
    <x v="20"/>
    <x v="0"/>
    <x v="10"/>
    <n v="361.92"/>
    <n v="4"/>
    <n v="162.86000000000001"/>
    <x v="11"/>
    <x v="2"/>
  </r>
  <r>
    <d v="2023-12-10T00:00:00"/>
    <x v="358"/>
    <x v="22"/>
    <x v="0"/>
    <x v="3"/>
    <n v="153.55000000000001"/>
    <n v="3"/>
    <n v="51.82"/>
    <x v="11"/>
    <x v="2"/>
  </r>
  <r>
    <d v="2023-12-10T00:00:00"/>
    <x v="358"/>
    <x v="22"/>
    <x v="0"/>
    <x v="12"/>
    <n v="65.34"/>
    <n v="3"/>
    <n v="22.87"/>
    <x v="11"/>
    <x v="2"/>
  </r>
  <r>
    <d v="2023-12-10T00:00:00"/>
    <x v="358"/>
    <x v="22"/>
    <x v="0"/>
    <x v="0"/>
    <n v="123.92"/>
    <n v="4"/>
    <n v="55.76"/>
    <x v="11"/>
    <x v="2"/>
  </r>
  <r>
    <d v="2023-12-10T00:00:00"/>
    <x v="358"/>
    <x v="22"/>
    <x v="0"/>
    <x v="12"/>
    <n v="35.1"/>
    <n v="3"/>
    <n v="12.29"/>
    <x v="11"/>
    <x v="2"/>
  </r>
  <r>
    <d v="2023-12-10T00:00:00"/>
    <x v="358"/>
    <x v="22"/>
    <x v="2"/>
    <x v="9"/>
    <n v="44.75"/>
    <n v="5"/>
    <n v="8.5"/>
    <x v="11"/>
    <x v="2"/>
  </r>
  <r>
    <d v="2023-12-10T00:00:00"/>
    <x v="294"/>
    <x v="18"/>
    <x v="1"/>
    <x v="5"/>
    <n v="1424.9"/>
    <n v="5"/>
    <n v="356.23"/>
    <x v="11"/>
    <x v="2"/>
  </r>
  <r>
    <d v="2023-12-10T00:00:00"/>
    <x v="694"/>
    <x v="3"/>
    <x v="0"/>
    <x v="0"/>
    <n v="80.28"/>
    <n v="12"/>
    <n v="36.93"/>
    <x v="11"/>
    <x v="2"/>
  </r>
  <r>
    <d v="2023-12-10T00:00:00"/>
    <x v="752"/>
    <x v="20"/>
    <x v="0"/>
    <x v="0"/>
    <n v="18.54"/>
    <n v="2"/>
    <n v="8.7100000000000009"/>
    <x v="11"/>
    <x v="2"/>
  </r>
  <r>
    <d v="2023-12-10T00:00:00"/>
    <x v="752"/>
    <x v="20"/>
    <x v="0"/>
    <x v="3"/>
    <n v="679.96"/>
    <n v="5"/>
    <n v="220.99"/>
    <x v="11"/>
    <x v="2"/>
  </r>
  <r>
    <d v="2023-12-10T00:00:00"/>
    <x v="620"/>
    <x v="20"/>
    <x v="0"/>
    <x v="0"/>
    <n v="62.82"/>
    <n v="9"/>
    <n v="29.53"/>
    <x v="11"/>
    <x v="2"/>
  </r>
  <r>
    <d v="2023-12-10T00:00:00"/>
    <x v="421"/>
    <x v="20"/>
    <x v="0"/>
    <x v="0"/>
    <n v="6.48"/>
    <n v="1"/>
    <n v="3.11"/>
    <x v="11"/>
    <x v="2"/>
  </r>
  <r>
    <d v="2023-12-11T00:00:00"/>
    <x v="362"/>
    <x v="20"/>
    <x v="0"/>
    <x v="7"/>
    <n v="15.26"/>
    <n v="7"/>
    <n v="6.26"/>
    <x v="11"/>
    <x v="2"/>
  </r>
  <r>
    <d v="2023-12-11T00:00:00"/>
    <x v="362"/>
    <x v="20"/>
    <x v="2"/>
    <x v="6"/>
    <n v="1029.95"/>
    <n v="5"/>
    <n v="298.69"/>
    <x v="11"/>
    <x v="2"/>
  </r>
  <r>
    <d v="2023-12-11T00:00:00"/>
    <x v="667"/>
    <x v="26"/>
    <x v="0"/>
    <x v="2"/>
    <n v="243.38"/>
    <n v="3"/>
    <n v="-51.72"/>
    <x v="11"/>
    <x v="2"/>
  </r>
  <r>
    <d v="2023-12-11T00:00:00"/>
    <x v="667"/>
    <x v="26"/>
    <x v="2"/>
    <x v="9"/>
    <n v="119.8"/>
    <n v="5"/>
    <n v="29.95"/>
    <x v="11"/>
    <x v="2"/>
  </r>
  <r>
    <d v="2023-12-11T00:00:00"/>
    <x v="667"/>
    <x v="26"/>
    <x v="2"/>
    <x v="6"/>
    <n v="300.77"/>
    <n v="4"/>
    <n v="30.08"/>
    <x v="11"/>
    <x v="2"/>
  </r>
  <r>
    <d v="2023-12-11T00:00:00"/>
    <x v="278"/>
    <x v="22"/>
    <x v="1"/>
    <x v="8"/>
    <n v="14.8"/>
    <n v="4"/>
    <n v="6.07"/>
    <x v="11"/>
    <x v="2"/>
  </r>
  <r>
    <d v="2023-12-11T00:00:00"/>
    <x v="278"/>
    <x v="22"/>
    <x v="2"/>
    <x v="6"/>
    <n v="302.38"/>
    <n v="3"/>
    <n v="22.68"/>
    <x v="11"/>
    <x v="2"/>
  </r>
  <r>
    <d v="2023-12-11T00:00:00"/>
    <x v="278"/>
    <x v="22"/>
    <x v="2"/>
    <x v="9"/>
    <n v="316"/>
    <n v="4"/>
    <n v="31.6"/>
    <x v="11"/>
    <x v="2"/>
  </r>
  <r>
    <d v="2023-12-11T00:00:00"/>
    <x v="336"/>
    <x v="16"/>
    <x v="0"/>
    <x v="2"/>
    <n v="85.22"/>
    <n v="3"/>
    <n v="7.46"/>
    <x v="11"/>
    <x v="2"/>
  </r>
  <r>
    <d v="2023-12-11T00:00:00"/>
    <x v="273"/>
    <x v="15"/>
    <x v="0"/>
    <x v="4"/>
    <n v="6.67"/>
    <n v="3"/>
    <n v="1.67"/>
    <x v="11"/>
    <x v="2"/>
  </r>
  <r>
    <d v="2023-12-11T00:00:00"/>
    <x v="270"/>
    <x v="10"/>
    <x v="0"/>
    <x v="2"/>
    <n v="64.959999999999994"/>
    <n v="5"/>
    <n v="-4.0599999999999996"/>
    <x v="11"/>
    <x v="2"/>
  </r>
  <r>
    <d v="2023-12-11T00:00:00"/>
    <x v="270"/>
    <x v="10"/>
    <x v="0"/>
    <x v="14"/>
    <n v="13.52"/>
    <n v="2"/>
    <n v="1.69"/>
    <x v="11"/>
    <x v="2"/>
  </r>
  <r>
    <d v="2023-12-11T00:00:00"/>
    <x v="270"/>
    <x v="10"/>
    <x v="1"/>
    <x v="5"/>
    <n v="458.43"/>
    <n v="5"/>
    <n v="-137.53"/>
    <x v="11"/>
    <x v="2"/>
  </r>
  <r>
    <d v="2023-12-11T00:00:00"/>
    <x v="270"/>
    <x v="10"/>
    <x v="0"/>
    <x v="12"/>
    <n v="387.14"/>
    <n v="4"/>
    <n v="24.2"/>
    <x v="11"/>
    <x v="2"/>
  </r>
  <r>
    <d v="2023-12-11T00:00:00"/>
    <x v="270"/>
    <x v="10"/>
    <x v="1"/>
    <x v="13"/>
    <n v="328.59"/>
    <n v="3"/>
    <n v="-147.87"/>
    <x v="11"/>
    <x v="2"/>
  </r>
  <r>
    <d v="2023-12-11T00:00:00"/>
    <x v="35"/>
    <x v="11"/>
    <x v="1"/>
    <x v="5"/>
    <n v="403.92"/>
    <n v="5"/>
    <n v="25.25"/>
    <x v="11"/>
    <x v="2"/>
  </r>
  <r>
    <d v="2023-12-11T00:00:00"/>
    <x v="494"/>
    <x v="3"/>
    <x v="0"/>
    <x v="3"/>
    <n v="209.6"/>
    <n v="5"/>
    <n v="68.12"/>
    <x v="11"/>
    <x v="2"/>
  </r>
  <r>
    <d v="2023-12-11T00:00:00"/>
    <x v="494"/>
    <x v="3"/>
    <x v="0"/>
    <x v="4"/>
    <n v="23.32"/>
    <n v="2"/>
    <n v="6.06"/>
    <x v="11"/>
    <x v="2"/>
  </r>
  <r>
    <d v="2023-12-11T00:00:00"/>
    <x v="494"/>
    <x v="3"/>
    <x v="0"/>
    <x v="0"/>
    <n v="30.98"/>
    <n v="1"/>
    <n v="13.94"/>
    <x v="11"/>
    <x v="2"/>
  </r>
  <r>
    <d v="2023-12-11T00:00:00"/>
    <x v="494"/>
    <x v="3"/>
    <x v="2"/>
    <x v="9"/>
    <n v="119.96"/>
    <n v="4"/>
    <n v="25.19"/>
    <x v="11"/>
    <x v="2"/>
  </r>
  <r>
    <d v="2023-12-11T00:00:00"/>
    <x v="494"/>
    <x v="3"/>
    <x v="1"/>
    <x v="5"/>
    <n v="363.92"/>
    <n v="5"/>
    <n v="-31.84"/>
    <x v="11"/>
    <x v="2"/>
  </r>
  <r>
    <d v="2023-12-11T00:00:00"/>
    <x v="494"/>
    <x v="3"/>
    <x v="0"/>
    <x v="3"/>
    <n v="35.81"/>
    <n v="3"/>
    <n v="11.19"/>
    <x v="11"/>
    <x v="2"/>
  </r>
  <r>
    <d v="2023-12-11T00:00:00"/>
    <x v="494"/>
    <x v="3"/>
    <x v="0"/>
    <x v="3"/>
    <n v="122.69"/>
    <n v="9"/>
    <n v="39.869999999999997"/>
    <x v="11"/>
    <x v="2"/>
  </r>
  <r>
    <d v="2023-12-11T00:00:00"/>
    <x v="494"/>
    <x v="3"/>
    <x v="1"/>
    <x v="13"/>
    <n v="892.14"/>
    <n v="7"/>
    <n v="111.52"/>
    <x v="11"/>
    <x v="2"/>
  </r>
  <r>
    <d v="2023-12-11T00:00:00"/>
    <x v="494"/>
    <x v="3"/>
    <x v="0"/>
    <x v="2"/>
    <n v="50.22"/>
    <n v="3"/>
    <n v="2.0099999999999998"/>
    <x v="11"/>
    <x v="2"/>
  </r>
  <r>
    <d v="2023-12-11T00:00:00"/>
    <x v="494"/>
    <x v="3"/>
    <x v="0"/>
    <x v="12"/>
    <n v="83.42"/>
    <n v="2"/>
    <n v="24.19"/>
    <x v="11"/>
    <x v="2"/>
  </r>
  <r>
    <d v="2023-12-11T00:00:00"/>
    <x v="494"/>
    <x v="3"/>
    <x v="0"/>
    <x v="3"/>
    <n v="5.87"/>
    <n v="2"/>
    <n v="2.13"/>
    <x v="11"/>
    <x v="2"/>
  </r>
  <r>
    <d v="2023-12-11T00:00:00"/>
    <x v="571"/>
    <x v="10"/>
    <x v="0"/>
    <x v="12"/>
    <n v="73.540000000000006"/>
    <n v="4"/>
    <n v="9.19"/>
    <x v="11"/>
    <x v="2"/>
  </r>
  <r>
    <d v="2023-12-12T00:00:00"/>
    <x v="140"/>
    <x v="10"/>
    <x v="0"/>
    <x v="3"/>
    <n v="18.690000000000001"/>
    <n v="3"/>
    <n v="-14.33"/>
    <x v="11"/>
    <x v="2"/>
  </r>
  <r>
    <d v="2023-12-12T00:00:00"/>
    <x v="140"/>
    <x v="10"/>
    <x v="2"/>
    <x v="9"/>
    <n v="383.95"/>
    <n v="6"/>
    <n v="76.790000000000006"/>
    <x v="11"/>
    <x v="2"/>
  </r>
  <r>
    <d v="2023-12-12T00:00:00"/>
    <x v="342"/>
    <x v="14"/>
    <x v="2"/>
    <x v="6"/>
    <n v="657.93"/>
    <n v="7"/>
    <n v="184.22"/>
    <x v="11"/>
    <x v="2"/>
  </r>
  <r>
    <d v="2023-12-12T00:00:00"/>
    <x v="342"/>
    <x v="14"/>
    <x v="1"/>
    <x v="8"/>
    <n v="33.479999999999997"/>
    <n v="4"/>
    <n v="8.6999999999999993"/>
    <x v="11"/>
    <x v="2"/>
  </r>
  <r>
    <d v="2023-12-12T00:00:00"/>
    <x v="342"/>
    <x v="14"/>
    <x v="0"/>
    <x v="4"/>
    <n v="13.9"/>
    <n v="5"/>
    <n v="3.61"/>
    <x v="11"/>
    <x v="2"/>
  </r>
  <r>
    <d v="2023-12-12T00:00:00"/>
    <x v="342"/>
    <x v="14"/>
    <x v="0"/>
    <x v="2"/>
    <n v="26.86"/>
    <n v="2"/>
    <n v="6.72"/>
    <x v="11"/>
    <x v="2"/>
  </r>
  <r>
    <d v="2023-12-12T00:00:00"/>
    <x v="574"/>
    <x v="4"/>
    <x v="2"/>
    <x v="9"/>
    <n v="249.95"/>
    <n v="5"/>
    <n v="20"/>
    <x v="11"/>
    <x v="2"/>
  </r>
  <r>
    <d v="2023-12-12T00:00:00"/>
    <x v="574"/>
    <x v="4"/>
    <x v="0"/>
    <x v="0"/>
    <n v="49.12"/>
    <n v="4"/>
    <n v="23.09"/>
    <x v="11"/>
    <x v="2"/>
  </r>
  <r>
    <d v="2023-12-12T00:00:00"/>
    <x v="503"/>
    <x v="3"/>
    <x v="1"/>
    <x v="8"/>
    <n v="383.64"/>
    <n v="6"/>
    <n v="122.76"/>
    <x v="11"/>
    <x v="2"/>
  </r>
  <r>
    <d v="2023-12-12T00:00:00"/>
    <x v="503"/>
    <x v="3"/>
    <x v="0"/>
    <x v="12"/>
    <n v="56.52"/>
    <n v="3"/>
    <n v="15.83"/>
    <x v="11"/>
    <x v="2"/>
  </r>
  <r>
    <d v="2023-12-12T00:00:00"/>
    <x v="270"/>
    <x v="20"/>
    <x v="1"/>
    <x v="8"/>
    <n v="60.35"/>
    <n v="5"/>
    <n v="19.920000000000002"/>
    <x v="11"/>
    <x v="2"/>
  </r>
  <r>
    <d v="2023-12-12T00:00:00"/>
    <x v="270"/>
    <x v="20"/>
    <x v="0"/>
    <x v="14"/>
    <n v="35.520000000000003"/>
    <n v="4"/>
    <n v="9.9499999999999993"/>
    <x v="11"/>
    <x v="2"/>
  </r>
  <r>
    <d v="2023-12-12T00:00:00"/>
    <x v="270"/>
    <x v="20"/>
    <x v="0"/>
    <x v="4"/>
    <n v="11.2"/>
    <n v="7"/>
    <n v="4.82"/>
    <x v="11"/>
    <x v="2"/>
  </r>
  <r>
    <d v="2023-12-13T00:00:00"/>
    <x v="484"/>
    <x v="39"/>
    <x v="2"/>
    <x v="9"/>
    <n v="63.88"/>
    <n v="4"/>
    <n v="24.91"/>
    <x v="11"/>
    <x v="2"/>
  </r>
  <r>
    <d v="2023-12-13T00:00:00"/>
    <x v="274"/>
    <x v="3"/>
    <x v="0"/>
    <x v="3"/>
    <n v="6.1"/>
    <n v="2"/>
    <n v="2.21"/>
    <x v="11"/>
    <x v="2"/>
  </r>
  <r>
    <d v="2023-12-13T00:00:00"/>
    <x v="274"/>
    <x v="3"/>
    <x v="1"/>
    <x v="13"/>
    <n v="1114.27"/>
    <n v="4"/>
    <n v="41.79"/>
    <x v="11"/>
    <x v="2"/>
  </r>
  <r>
    <d v="2023-12-13T00:00:00"/>
    <x v="29"/>
    <x v="3"/>
    <x v="0"/>
    <x v="4"/>
    <n v="9.84"/>
    <n v="3"/>
    <n v="3.25"/>
    <x v="11"/>
    <x v="2"/>
  </r>
  <r>
    <d v="2023-12-14T00:00:00"/>
    <x v="283"/>
    <x v="29"/>
    <x v="1"/>
    <x v="8"/>
    <n v="133.38"/>
    <n v="6"/>
    <n v="58.69"/>
    <x v="11"/>
    <x v="2"/>
  </r>
  <r>
    <d v="2023-12-14T00:00:00"/>
    <x v="500"/>
    <x v="20"/>
    <x v="0"/>
    <x v="0"/>
    <n v="14.62"/>
    <n v="2"/>
    <n v="6.73"/>
    <x v="11"/>
    <x v="2"/>
  </r>
  <r>
    <d v="2023-12-14T00:00:00"/>
    <x v="500"/>
    <x v="20"/>
    <x v="0"/>
    <x v="1"/>
    <n v="5.76"/>
    <n v="2"/>
    <n v="2.82"/>
    <x v="11"/>
    <x v="2"/>
  </r>
  <r>
    <d v="2023-12-14T00:00:00"/>
    <x v="500"/>
    <x v="20"/>
    <x v="0"/>
    <x v="7"/>
    <n v="21.48"/>
    <n v="6"/>
    <n v="10.53"/>
    <x v="11"/>
    <x v="2"/>
  </r>
  <r>
    <d v="2023-12-14T00:00:00"/>
    <x v="500"/>
    <x v="20"/>
    <x v="1"/>
    <x v="8"/>
    <n v="396.92"/>
    <n v="4"/>
    <n v="198.46"/>
    <x v="11"/>
    <x v="2"/>
  </r>
  <r>
    <d v="2023-12-14T00:00:00"/>
    <x v="500"/>
    <x v="20"/>
    <x v="0"/>
    <x v="2"/>
    <n v="17.149999999999999"/>
    <n v="1"/>
    <n v="4.63"/>
    <x v="11"/>
    <x v="2"/>
  </r>
  <r>
    <d v="2023-12-14T00:00:00"/>
    <x v="500"/>
    <x v="20"/>
    <x v="0"/>
    <x v="3"/>
    <n v="23.12"/>
    <n v="2"/>
    <n v="7.8"/>
    <x v="11"/>
    <x v="2"/>
  </r>
  <r>
    <d v="2023-12-14T00:00:00"/>
    <x v="171"/>
    <x v="3"/>
    <x v="1"/>
    <x v="5"/>
    <n v="81.42"/>
    <n v="2"/>
    <n v="-9.16"/>
    <x v="11"/>
    <x v="2"/>
  </r>
  <r>
    <d v="2023-12-14T00:00:00"/>
    <x v="171"/>
    <x v="3"/>
    <x v="0"/>
    <x v="2"/>
    <n v="134.80000000000001"/>
    <n v="10"/>
    <n v="35.049999999999997"/>
    <x v="11"/>
    <x v="2"/>
  </r>
  <r>
    <d v="2023-12-15T00:00:00"/>
    <x v="634"/>
    <x v="14"/>
    <x v="1"/>
    <x v="13"/>
    <n v="1652.94"/>
    <n v="3"/>
    <n v="231.41"/>
    <x v="11"/>
    <x v="2"/>
  </r>
  <r>
    <d v="2023-12-15T00:00:00"/>
    <x v="634"/>
    <x v="14"/>
    <x v="0"/>
    <x v="2"/>
    <n v="296.37"/>
    <n v="3"/>
    <n v="80.02"/>
    <x v="11"/>
    <x v="2"/>
  </r>
  <r>
    <d v="2023-12-15T00:00:00"/>
    <x v="157"/>
    <x v="3"/>
    <x v="1"/>
    <x v="8"/>
    <n v="14.76"/>
    <n v="2"/>
    <n v="4.28"/>
    <x v="11"/>
    <x v="2"/>
  </r>
  <r>
    <d v="2023-12-15T00:00:00"/>
    <x v="109"/>
    <x v="11"/>
    <x v="1"/>
    <x v="13"/>
    <n v="564.20000000000005"/>
    <n v="3"/>
    <n v="-304.67"/>
    <x v="11"/>
    <x v="2"/>
  </r>
  <r>
    <d v="2023-12-15T00:00:00"/>
    <x v="109"/>
    <x v="11"/>
    <x v="0"/>
    <x v="12"/>
    <n v="87.17"/>
    <n v="2"/>
    <n v="8.7200000000000006"/>
    <x v="11"/>
    <x v="2"/>
  </r>
  <r>
    <d v="2023-12-15T00:00:00"/>
    <x v="489"/>
    <x v="10"/>
    <x v="0"/>
    <x v="3"/>
    <n v="2.21"/>
    <n v="3"/>
    <n v="-1.48"/>
    <x v="11"/>
    <x v="2"/>
  </r>
  <r>
    <d v="2023-12-15T00:00:00"/>
    <x v="529"/>
    <x v="13"/>
    <x v="0"/>
    <x v="0"/>
    <n v="19.440000000000001"/>
    <n v="3"/>
    <n v="9.33"/>
    <x v="11"/>
    <x v="2"/>
  </r>
  <r>
    <d v="2023-12-16T00:00:00"/>
    <x v="583"/>
    <x v="1"/>
    <x v="0"/>
    <x v="3"/>
    <n v="4.79"/>
    <n v="3"/>
    <n v="-7.9"/>
    <x v="11"/>
    <x v="2"/>
  </r>
  <r>
    <d v="2023-12-16T00:00:00"/>
    <x v="435"/>
    <x v="20"/>
    <x v="0"/>
    <x v="7"/>
    <n v="3.68"/>
    <n v="2"/>
    <n v="1.8"/>
    <x v="11"/>
    <x v="2"/>
  </r>
  <r>
    <d v="2023-12-16T00:00:00"/>
    <x v="500"/>
    <x v="3"/>
    <x v="1"/>
    <x v="5"/>
    <n v="563.91999999999996"/>
    <n v="5"/>
    <n v="7.05"/>
    <x v="11"/>
    <x v="2"/>
  </r>
  <r>
    <d v="2023-12-16T00:00:00"/>
    <x v="394"/>
    <x v="25"/>
    <x v="0"/>
    <x v="12"/>
    <n v="34.94"/>
    <n v="3"/>
    <n v="3.06"/>
    <x v="11"/>
    <x v="2"/>
  </r>
  <r>
    <d v="2023-12-16T00:00:00"/>
    <x v="451"/>
    <x v="3"/>
    <x v="2"/>
    <x v="9"/>
    <n v="21.21"/>
    <n v="7"/>
    <n v="4.45"/>
    <x v="11"/>
    <x v="2"/>
  </r>
  <r>
    <d v="2023-12-17T00:00:00"/>
    <x v="773"/>
    <x v="3"/>
    <x v="1"/>
    <x v="13"/>
    <n v="2003.52"/>
    <n v="6"/>
    <n v="-325.57"/>
    <x v="11"/>
    <x v="2"/>
  </r>
  <r>
    <d v="2023-12-17T00:00:00"/>
    <x v="528"/>
    <x v="22"/>
    <x v="0"/>
    <x v="2"/>
    <n v="46.53"/>
    <n v="3"/>
    <n v="13.03"/>
    <x v="11"/>
    <x v="2"/>
  </r>
  <r>
    <d v="2023-12-17T00:00:00"/>
    <x v="512"/>
    <x v="0"/>
    <x v="0"/>
    <x v="0"/>
    <n v="51.84"/>
    <n v="10"/>
    <n v="18.14"/>
    <x v="11"/>
    <x v="2"/>
  </r>
  <r>
    <d v="2023-12-17T00:00:00"/>
    <x v="512"/>
    <x v="0"/>
    <x v="2"/>
    <x v="9"/>
    <n v="165.6"/>
    <n v="3"/>
    <n v="-6.21"/>
    <x v="11"/>
    <x v="2"/>
  </r>
  <r>
    <d v="2023-12-17T00:00:00"/>
    <x v="270"/>
    <x v="31"/>
    <x v="0"/>
    <x v="3"/>
    <n v="13.49"/>
    <n v="2"/>
    <n v="4.38"/>
    <x v="11"/>
    <x v="2"/>
  </r>
  <r>
    <d v="2023-12-17T00:00:00"/>
    <x v="270"/>
    <x v="31"/>
    <x v="0"/>
    <x v="3"/>
    <n v="11.42"/>
    <n v="1"/>
    <n v="3.85"/>
    <x v="11"/>
    <x v="2"/>
  </r>
  <r>
    <d v="2023-12-17T00:00:00"/>
    <x v="579"/>
    <x v="14"/>
    <x v="0"/>
    <x v="3"/>
    <n v="9892.74"/>
    <n v="13"/>
    <n v="4946.37"/>
    <x v="11"/>
    <x v="2"/>
  </r>
  <r>
    <d v="2023-12-18T00:00:00"/>
    <x v="611"/>
    <x v="16"/>
    <x v="0"/>
    <x v="3"/>
    <n v="254.06"/>
    <n v="7"/>
    <n v="-169.37"/>
    <x v="11"/>
    <x v="2"/>
  </r>
  <r>
    <d v="2023-12-18T00:00:00"/>
    <x v="611"/>
    <x v="16"/>
    <x v="0"/>
    <x v="12"/>
    <n v="194.53"/>
    <n v="2"/>
    <n v="24.32"/>
    <x v="11"/>
    <x v="2"/>
  </r>
  <r>
    <d v="2023-12-18T00:00:00"/>
    <x v="611"/>
    <x v="16"/>
    <x v="0"/>
    <x v="14"/>
    <n v="961.48"/>
    <n v="5"/>
    <n v="-204.31"/>
    <x v="11"/>
    <x v="2"/>
  </r>
  <r>
    <d v="2023-12-18T00:00:00"/>
    <x v="514"/>
    <x v="28"/>
    <x v="1"/>
    <x v="8"/>
    <n v="18.84"/>
    <n v="3"/>
    <n v="6.03"/>
    <x v="11"/>
    <x v="2"/>
  </r>
  <r>
    <d v="2023-12-18T00:00:00"/>
    <x v="418"/>
    <x v="3"/>
    <x v="0"/>
    <x v="0"/>
    <n v="38.880000000000003"/>
    <n v="6"/>
    <n v="18.66"/>
    <x v="11"/>
    <x v="2"/>
  </r>
  <r>
    <d v="2023-12-18T00:00:00"/>
    <x v="418"/>
    <x v="3"/>
    <x v="1"/>
    <x v="8"/>
    <n v="183.84"/>
    <n v="8"/>
    <n v="62.51"/>
    <x v="11"/>
    <x v="2"/>
  </r>
  <r>
    <d v="2023-12-18T00:00:00"/>
    <x v="418"/>
    <x v="3"/>
    <x v="0"/>
    <x v="14"/>
    <n v="579.29999999999995"/>
    <n v="5"/>
    <n v="28.97"/>
    <x v="11"/>
    <x v="2"/>
  </r>
  <r>
    <d v="2023-12-18T00:00:00"/>
    <x v="488"/>
    <x v="20"/>
    <x v="0"/>
    <x v="2"/>
    <n v="900.08"/>
    <n v="4"/>
    <n v="117.01"/>
    <x v="11"/>
    <x v="2"/>
  </r>
  <r>
    <d v="2023-12-18T00:00:00"/>
    <x v="271"/>
    <x v="23"/>
    <x v="0"/>
    <x v="3"/>
    <n v="1793.98"/>
    <n v="2"/>
    <n v="843.17"/>
    <x v="11"/>
    <x v="2"/>
  </r>
  <r>
    <d v="2023-12-18T00:00:00"/>
    <x v="617"/>
    <x v="3"/>
    <x v="2"/>
    <x v="9"/>
    <n v="72.64"/>
    <n v="2"/>
    <n v="21.79"/>
    <x v="11"/>
    <x v="2"/>
  </r>
  <r>
    <d v="2023-12-18T00:00:00"/>
    <x v="617"/>
    <x v="3"/>
    <x v="2"/>
    <x v="9"/>
    <n v="772.47"/>
    <n v="3"/>
    <n v="146.77000000000001"/>
    <x v="11"/>
    <x v="2"/>
  </r>
  <r>
    <d v="2023-12-18T00:00:00"/>
    <x v="617"/>
    <x v="3"/>
    <x v="1"/>
    <x v="8"/>
    <n v="39.92"/>
    <n v="4"/>
    <n v="11.18"/>
    <x v="11"/>
    <x v="2"/>
  </r>
  <r>
    <d v="2023-12-18T00:00:00"/>
    <x v="303"/>
    <x v="11"/>
    <x v="0"/>
    <x v="3"/>
    <n v="45.24"/>
    <n v="4"/>
    <n v="-30.16"/>
    <x v="11"/>
    <x v="2"/>
  </r>
  <r>
    <d v="2023-12-18T00:00:00"/>
    <x v="303"/>
    <x v="11"/>
    <x v="0"/>
    <x v="4"/>
    <n v="18.690000000000001"/>
    <n v="4"/>
    <n v="2.34"/>
    <x v="11"/>
    <x v="2"/>
  </r>
  <r>
    <d v="2023-12-18T00:00:00"/>
    <x v="303"/>
    <x v="11"/>
    <x v="0"/>
    <x v="0"/>
    <n v="11.65"/>
    <n v="2"/>
    <n v="3.79"/>
    <x v="11"/>
    <x v="2"/>
  </r>
  <r>
    <d v="2023-12-18T00:00:00"/>
    <x v="303"/>
    <x v="11"/>
    <x v="2"/>
    <x v="9"/>
    <n v="112.78"/>
    <n v="3"/>
    <n v="-8.4600000000000009"/>
    <x v="11"/>
    <x v="2"/>
  </r>
  <r>
    <d v="2023-12-18T00:00:00"/>
    <x v="303"/>
    <x v="11"/>
    <x v="1"/>
    <x v="13"/>
    <n v="377.45"/>
    <n v="5"/>
    <n v="-264.22000000000003"/>
    <x v="11"/>
    <x v="2"/>
  </r>
  <r>
    <d v="2023-12-18T00:00:00"/>
    <x v="303"/>
    <x v="11"/>
    <x v="0"/>
    <x v="1"/>
    <n v="15.94"/>
    <n v="4"/>
    <n v="5.18"/>
    <x v="11"/>
    <x v="2"/>
  </r>
  <r>
    <d v="2023-12-18T00:00:00"/>
    <x v="303"/>
    <x v="11"/>
    <x v="2"/>
    <x v="6"/>
    <n v="28.68"/>
    <n v="3"/>
    <n v="-7.17"/>
    <x v="11"/>
    <x v="2"/>
  </r>
  <r>
    <d v="2023-12-18T00:00:00"/>
    <x v="672"/>
    <x v="40"/>
    <x v="1"/>
    <x v="5"/>
    <n v="563.94000000000005"/>
    <n v="3"/>
    <n v="112.79"/>
    <x v="11"/>
    <x v="2"/>
  </r>
  <r>
    <d v="2023-12-18T00:00:00"/>
    <x v="135"/>
    <x v="3"/>
    <x v="2"/>
    <x v="6"/>
    <n v="66.98"/>
    <n v="7"/>
    <n v="6.7"/>
    <x v="11"/>
    <x v="2"/>
  </r>
  <r>
    <d v="2023-12-19T00:00:00"/>
    <x v="442"/>
    <x v="12"/>
    <x v="1"/>
    <x v="13"/>
    <n v="455.97"/>
    <n v="6"/>
    <n v="-218.87"/>
    <x v="11"/>
    <x v="2"/>
  </r>
  <r>
    <d v="2023-12-19T00:00:00"/>
    <x v="442"/>
    <x v="12"/>
    <x v="0"/>
    <x v="3"/>
    <n v="10.44"/>
    <n v="6"/>
    <n v="-7.66"/>
    <x v="11"/>
    <x v="2"/>
  </r>
  <r>
    <d v="2023-12-19T00:00:00"/>
    <x v="442"/>
    <x v="12"/>
    <x v="0"/>
    <x v="3"/>
    <n v="5.21"/>
    <n v="2"/>
    <n v="-4.17"/>
    <x v="11"/>
    <x v="2"/>
  </r>
  <r>
    <d v="2023-12-19T00:00:00"/>
    <x v="36"/>
    <x v="20"/>
    <x v="0"/>
    <x v="3"/>
    <n v="34.25"/>
    <n v="3"/>
    <n v="11.56"/>
    <x v="11"/>
    <x v="2"/>
  </r>
  <r>
    <d v="2023-12-19T00:00:00"/>
    <x v="36"/>
    <x v="20"/>
    <x v="0"/>
    <x v="4"/>
    <n v="3.52"/>
    <n v="2"/>
    <n v="1.02"/>
    <x v="11"/>
    <x v="2"/>
  </r>
  <r>
    <d v="2023-12-19T00:00:00"/>
    <x v="455"/>
    <x v="1"/>
    <x v="0"/>
    <x v="3"/>
    <n v="1.8"/>
    <n v="5"/>
    <n v="-2.88"/>
    <x v="11"/>
    <x v="2"/>
  </r>
  <r>
    <d v="2023-12-19T00:00:00"/>
    <x v="68"/>
    <x v="2"/>
    <x v="1"/>
    <x v="8"/>
    <n v="303.92"/>
    <n v="5"/>
    <n v="-30.39"/>
    <x v="11"/>
    <x v="2"/>
  </r>
  <r>
    <d v="2023-12-20T00:00:00"/>
    <x v="723"/>
    <x v="29"/>
    <x v="2"/>
    <x v="9"/>
    <n v="66.3"/>
    <n v="3"/>
    <n v="8.6199999999999992"/>
    <x v="11"/>
    <x v="2"/>
  </r>
  <r>
    <d v="2023-12-20T00:00:00"/>
    <x v="314"/>
    <x v="29"/>
    <x v="1"/>
    <x v="8"/>
    <n v="18.920000000000002"/>
    <n v="4"/>
    <n v="7.38"/>
    <x v="11"/>
    <x v="2"/>
  </r>
  <r>
    <d v="2023-12-20T00:00:00"/>
    <x v="314"/>
    <x v="29"/>
    <x v="0"/>
    <x v="3"/>
    <n v="15.42"/>
    <n v="2"/>
    <n v="6.94"/>
    <x v="11"/>
    <x v="2"/>
  </r>
  <r>
    <d v="2023-12-20T00:00:00"/>
    <x v="550"/>
    <x v="40"/>
    <x v="0"/>
    <x v="0"/>
    <n v="33.9"/>
    <n v="5"/>
    <n v="15.59"/>
    <x v="11"/>
    <x v="2"/>
  </r>
  <r>
    <d v="2023-12-22T00:00:00"/>
    <x v="52"/>
    <x v="11"/>
    <x v="0"/>
    <x v="3"/>
    <n v="31.32"/>
    <n v="10"/>
    <n v="-25.06"/>
    <x v="11"/>
    <x v="2"/>
  </r>
  <r>
    <d v="2023-12-22T00:00:00"/>
    <x v="52"/>
    <x v="11"/>
    <x v="1"/>
    <x v="8"/>
    <n v="11.84"/>
    <n v="4"/>
    <n v="3.11"/>
    <x v="11"/>
    <x v="2"/>
  </r>
  <r>
    <d v="2023-12-22T00:00:00"/>
    <x v="52"/>
    <x v="11"/>
    <x v="1"/>
    <x v="8"/>
    <n v="22.78"/>
    <n v="1"/>
    <n v="4.84"/>
    <x v="11"/>
    <x v="2"/>
  </r>
  <r>
    <d v="2023-12-22T00:00:00"/>
    <x v="164"/>
    <x v="20"/>
    <x v="0"/>
    <x v="3"/>
    <n v="25.58"/>
    <n v="2"/>
    <n v="8.9499999999999993"/>
    <x v="11"/>
    <x v="2"/>
  </r>
  <r>
    <d v="2023-12-22T00:00:00"/>
    <x v="341"/>
    <x v="22"/>
    <x v="0"/>
    <x v="3"/>
    <n v="55.36"/>
    <n v="4"/>
    <n v="19.38"/>
    <x v="11"/>
    <x v="2"/>
  </r>
  <r>
    <d v="2023-12-22T00:00:00"/>
    <x v="341"/>
    <x v="22"/>
    <x v="2"/>
    <x v="15"/>
    <n v="11.56"/>
    <n v="1"/>
    <n v="3.76"/>
    <x v="11"/>
    <x v="2"/>
  </r>
  <r>
    <d v="2023-12-22T00:00:00"/>
    <x v="416"/>
    <x v="3"/>
    <x v="1"/>
    <x v="8"/>
    <n v="842.72"/>
    <n v="8"/>
    <n v="202.25"/>
    <x v="11"/>
    <x v="2"/>
  </r>
  <r>
    <d v="2023-12-22T00:00:00"/>
    <x v="416"/>
    <x v="3"/>
    <x v="1"/>
    <x v="8"/>
    <n v="41.96"/>
    <n v="2"/>
    <n v="10.91"/>
    <x v="11"/>
    <x v="2"/>
  </r>
  <r>
    <d v="2023-12-23T00:00:00"/>
    <x v="391"/>
    <x v="6"/>
    <x v="1"/>
    <x v="8"/>
    <n v="572.76"/>
    <n v="6"/>
    <n v="166.1"/>
    <x v="11"/>
    <x v="2"/>
  </r>
  <r>
    <d v="2023-12-23T00:00:00"/>
    <x v="391"/>
    <x v="6"/>
    <x v="1"/>
    <x v="8"/>
    <n v="286.38"/>
    <n v="3"/>
    <n v="83.05"/>
    <x v="11"/>
    <x v="2"/>
  </r>
  <r>
    <d v="2023-12-23T00:00:00"/>
    <x v="624"/>
    <x v="1"/>
    <x v="1"/>
    <x v="11"/>
    <n v="141.37"/>
    <n v="2"/>
    <n v="-14.14"/>
    <x v="11"/>
    <x v="2"/>
  </r>
  <r>
    <d v="2023-12-23T00:00:00"/>
    <x v="212"/>
    <x v="14"/>
    <x v="0"/>
    <x v="7"/>
    <n v="24.85"/>
    <n v="7"/>
    <n v="11.68"/>
    <x v="11"/>
    <x v="2"/>
  </r>
  <r>
    <d v="2023-12-23T00:00:00"/>
    <x v="685"/>
    <x v="10"/>
    <x v="0"/>
    <x v="3"/>
    <n v="5.55"/>
    <n v="3"/>
    <n v="-4.07"/>
    <x v="11"/>
    <x v="2"/>
  </r>
  <r>
    <d v="2023-12-23T00:00:00"/>
    <x v="150"/>
    <x v="22"/>
    <x v="0"/>
    <x v="4"/>
    <n v="8.82"/>
    <n v="3"/>
    <n v="2.56"/>
    <x v="11"/>
    <x v="2"/>
  </r>
  <r>
    <d v="2023-12-23T00:00:00"/>
    <x v="150"/>
    <x v="22"/>
    <x v="0"/>
    <x v="0"/>
    <n v="37.94"/>
    <n v="2"/>
    <n v="18.21"/>
    <x v="11"/>
    <x v="2"/>
  </r>
  <r>
    <d v="2023-12-23T00:00:00"/>
    <x v="150"/>
    <x v="22"/>
    <x v="0"/>
    <x v="4"/>
    <n v="4.2"/>
    <n v="2"/>
    <n v="1.18"/>
    <x v="11"/>
    <x v="2"/>
  </r>
  <r>
    <d v="2023-12-23T00:00:00"/>
    <x v="150"/>
    <x v="22"/>
    <x v="0"/>
    <x v="2"/>
    <n v="227.28"/>
    <n v="2"/>
    <n v="2.27"/>
    <x v="11"/>
    <x v="2"/>
  </r>
  <r>
    <d v="2023-12-23T00:00:00"/>
    <x v="150"/>
    <x v="22"/>
    <x v="0"/>
    <x v="0"/>
    <n v="47.9"/>
    <n v="1"/>
    <n v="22.99"/>
    <x v="11"/>
    <x v="2"/>
  </r>
  <r>
    <d v="2023-12-23T00:00:00"/>
    <x v="150"/>
    <x v="22"/>
    <x v="0"/>
    <x v="10"/>
    <n v="61.96"/>
    <n v="2"/>
    <n v="30.36"/>
    <x v="11"/>
    <x v="2"/>
  </r>
  <r>
    <d v="2023-12-23T00:00:00"/>
    <x v="150"/>
    <x v="22"/>
    <x v="0"/>
    <x v="2"/>
    <n v="1117.92"/>
    <n v="4"/>
    <n v="55.9"/>
    <x v="11"/>
    <x v="2"/>
  </r>
  <r>
    <d v="2023-12-23T00:00:00"/>
    <x v="27"/>
    <x v="43"/>
    <x v="2"/>
    <x v="16"/>
    <n v="1999.96"/>
    <n v="4"/>
    <n v="899.98"/>
    <x v="11"/>
    <x v="2"/>
  </r>
  <r>
    <d v="2023-12-23T00:00:00"/>
    <x v="174"/>
    <x v="0"/>
    <x v="2"/>
    <x v="6"/>
    <n v="453.58"/>
    <n v="3"/>
    <n v="39.69"/>
    <x v="11"/>
    <x v="2"/>
  </r>
  <r>
    <d v="2023-12-23T00:00:00"/>
    <x v="174"/>
    <x v="0"/>
    <x v="0"/>
    <x v="1"/>
    <n v="45.36"/>
    <n v="9"/>
    <n v="14.74"/>
    <x v="11"/>
    <x v="2"/>
  </r>
  <r>
    <d v="2023-12-23T00:00:00"/>
    <x v="174"/>
    <x v="0"/>
    <x v="2"/>
    <x v="6"/>
    <n v="287.88"/>
    <n v="3"/>
    <n v="35.99"/>
    <x v="11"/>
    <x v="2"/>
  </r>
  <r>
    <d v="2023-12-23T00:00:00"/>
    <x v="174"/>
    <x v="0"/>
    <x v="2"/>
    <x v="6"/>
    <n v="131.88"/>
    <n v="3"/>
    <n v="14.84"/>
    <x v="11"/>
    <x v="2"/>
  </r>
  <r>
    <d v="2023-12-23T00:00:00"/>
    <x v="174"/>
    <x v="0"/>
    <x v="1"/>
    <x v="8"/>
    <n v="2.33"/>
    <n v="2"/>
    <n v="-0.76"/>
    <x v="11"/>
    <x v="2"/>
  </r>
  <r>
    <d v="2023-12-23T00:00:00"/>
    <x v="365"/>
    <x v="2"/>
    <x v="0"/>
    <x v="0"/>
    <n v="7.97"/>
    <n v="2"/>
    <n v="2.69"/>
    <x v="11"/>
    <x v="2"/>
  </r>
  <r>
    <d v="2023-12-23T00:00:00"/>
    <x v="365"/>
    <x v="2"/>
    <x v="2"/>
    <x v="6"/>
    <n v="1499.97"/>
    <n v="5"/>
    <n v="-374.99"/>
    <x v="11"/>
    <x v="2"/>
  </r>
  <r>
    <d v="2023-12-24T00:00:00"/>
    <x v="237"/>
    <x v="25"/>
    <x v="0"/>
    <x v="3"/>
    <n v="27.88"/>
    <n v="3"/>
    <n v="-20.45"/>
    <x v="11"/>
    <x v="2"/>
  </r>
  <r>
    <d v="2023-12-24T00:00:00"/>
    <x v="237"/>
    <x v="25"/>
    <x v="0"/>
    <x v="2"/>
    <n v="540.04999999999995"/>
    <n v="3"/>
    <n v="-47.25"/>
    <x v="11"/>
    <x v="2"/>
  </r>
  <r>
    <d v="2023-12-24T00:00:00"/>
    <x v="237"/>
    <x v="25"/>
    <x v="2"/>
    <x v="9"/>
    <n v="255.68"/>
    <n v="8"/>
    <n v="76.7"/>
    <x v="11"/>
    <x v="2"/>
  </r>
  <r>
    <d v="2023-12-24T00:00:00"/>
    <x v="625"/>
    <x v="22"/>
    <x v="0"/>
    <x v="0"/>
    <n v="33.4"/>
    <n v="5"/>
    <n v="16.03"/>
    <x v="11"/>
    <x v="2"/>
  </r>
  <r>
    <d v="2023-12-24T00:00:00"/>
    <x v="401"/>
    <x v="20"/>
    <x v="1"/>
    <x v="8"/>
    <n v="799.56"/>
    <n v="9"/>
    <n v="207.89"/>
    <x v="11"/>
    <x v="2"/>
  </r>
  <r>
    <d v="2023-12-24T00:00:00"/>
    <x v="203"/>
    <x v="20"/>
    <x v="2"/>
    <x v="6"/>
    <n v="197.97"/>
    <n v="3"/>
    <n v="53.45"/>
    <x v="11"/>
    <x v="2"/>
  </r>
  <r>
    <d v="2023-12-24T00:00:00"/>
    <x v="573"/>
    <x v="3"/>
    <x v="1"/>
    <x v="8"/>
    <n v="43.96"/>
    <n v="7"/>
    <n v="18.46"/>
    <x v="11"/>
    <x v="2"/>
  </r>
  <r>
    <d v="2023-12-24T00:00:00"/>
    <x v="573"/>
    <x v="3"/>
    <x v="0"/>
    <x v="10"/>
    <n v="39.76"/>
    <n v="7"/>
    <n v="18.690000000000001"/>
    <x v="11"/>
    <x v="2"/>
  </r>
  <r>
    <d v="2023-12-25T00:00:00"/>
    <x v="271"/>
    <x v="3"/>
    <x v="2"/>
    <x v="6"/>
    <n v="2575.94"/>
    <n v="7"/>
    <n v="257.58999999999997"/>
    <x v="11"/>
    <x v="2"/>
  </r>
  <r>
    <d v="2023-12-25T00:00:00"/>
    <x v="271"/>
    <x v="3"/>
    <x v="0"/>
    <x v="0"/>
    <n v="45.36"/>
    <n v="7"/>
    <n v="21.77"/>
    <x v="11"/>
    <x v="2"/>
  </r>
  <r>
    <d v="2023-12-25T00:00:00"/>
    <x v="271"/>
    <x v="3"/>
    <x v="2"/>
    <x v="9"/>
    <n v="254.24"/>
    <n v="7"/>
    <n v="76.27"/>
    <x v="11"/>
    <x v="2"/>
  </r>
  <r>
    <d v="2023-12-25T00:00:00"/>
    <x v="280"/>
    <x v="20"/>
    <x v="0"/>
    <x v="3"/>
    <n v="33.57"/>
    <n v="2"/>
    <n v="11.75"/>
    <x v="11"/>
    <x v="2"/>
  </r>
  <r>
    <d v="2023-12-25T00:00:00"/>
    <x v="531"/>
    <x v="38"/>
    <x v="1"/>
    <x v="8"/>
    <n v="21.12"/>
    <n v="4"/>
    <n v="6.55"/>
    <x v="11"/>
    <x v="2"/>
  </r>
  <r>
    <d v="2023-12-25T00:00:00"/>
    <x v="364"/>
    <x v="22"/>
    <x v="1"/>
    <x v="5"/>
    <n v="698.35"/>
    <n v="3"/>
    <n v="52.38"/>
    <x v="11"/>
    <x v="2"/>
  </r>
  <r>
    <d v="2023-12-25T00:00:00"/>
    <x v="364"/>
    <x v="22"/>
    <x v="1"/>
    <x v="13"/>
    <n v="1747.25"/>
    <n v="5"/>
    <n v="629.01"/>
    <x v="11"/>
    <x v="2"/>
  </r>
  <r>
    <d v="2023-12-25T00:00:00"/>
    <x v="230"/>
    <x v="12"/>
    <x v="1"/>
    <x v="13"/>
    <n v="35.450000000000003"/>
    <n v="1"/>
    <n v="-24.1"/>
    <x v="11"/>
    <x v="2"/>
  </r>
  <r>
    <d v="2023-12-25T00:00:00"/>
    <x v="230"/>
    <x v="12"/>
    <x v="2"/>
    <x v="15"/>
    <n v="269.97000000000003"/>
    <n v="2"/>
    <n v="-386.96"/>
    <x v="11"/>
    <x v="2"/>
  </r>
  <r>
    <d v="2023-12-25T00:00:00"/>
    <x v="230"/>
    <x v="12"/>
    <x v="2"/>
    <x v="9"/>
    <n v="45.12"/>
    <n v="3"/>
    <n v="-7.9"/>
    <x v="11"/>
    <x v="2"/>
  </r>
  <r>
    <d v="2023-12-25T00:00:00"/>
    <x v="230"/>
    <x v="12"/>
    <x v="2"/>
    <x v="9"/>
    <n v="100.8"/>
    <n v="2"/>
    <n v="21.42"/>
    <x v="11"/>
    <x v="2"/>
  </r>
  <r>
    <d v="2023-12-25T00:00:00"/>
    <x v="230"/>
    <x v="12"/>
    <x v="1"/>
    <x v="5"/>
    <n v="47.97"/>
    <n v="2"/>
    <n v="4.2"/>
    <x v="11"/>
    <x v="2"/>
  </r>
  <r>
    <d v="2023-12-25T00:00:00"/>
    <x v="504"/>
    <x v="20"/>
    <x v="1"/>
    <x v="13"/>
    <n v="313.18"/>
    <n v="2"/>
    <n v="-120.05"/>
    <x v="11"/>
    <x v="2"/>
  </r>
  <r>
    <d v="2023-12-25T00:00:00"/>
    <x v="504"/>
    <x v="20"/>
    <x v="1"/>
    <x v="5"/>
    <n v="866.65"/>
    <n v="3"/>
    <n v="173.33"/>
    <x v="11"/>
    <x v="2"/>
  </r>
  <r>
    <d v="2023-12-25T00:00:00"/>
    <x v="603"/>
    <x v="13"/>
    <x v="0"/>
    <x v="4"/>
    <n v="19.89"/>
    <n v="9"/>
    <n v="5.37"/>
    <x v="11"/>
    <x v="2"/>
  </r>
  <r>
    <d v="2023-12-25T00:00:00"/>
    <x v="603"/>
    <x v="13"/>
    <x v="2"/>
    <x v="9"/>
    <n v="399.98"/>
    <n v="2"/>
    <n v="171.99"/>
    <x v="11"/>
    <x v="2"/>
  </r>
  <r>
    <d v="2023-12-25T00:00:00"/>
    <x v="603"/>
    <x v="13"/>
    <x v="1"/>
    <x v="8"/>
    <n v="343.85"/>
    <n v="5"/>
    <n v="137.54"/>
    <x v="11"/>
    <x v="2"/>
  </r>
  <r>
    <d v="2023-12-25T00:00:00"/>
    <x v="603"/>
    <x v="13"/>
    <x v="0"/>
    <x v="0"/>
    <n v="106.32"/>
    <n v="3"/>
    <n v="49.97"/>
    <x v="11"/>
    <x v="2"/>
  </r>
  <r>
    <d v="2023-12-25T00:00:00"/>
    <x v="364"/>
    <x v="20"/>
    <x v="1"/>
    <x v="5"/>
    <n v="2563.06"/>
    <n v="8"/>
    <n v="313.26"/>
    <x v="11"/>
    <x v="2"/>
  </r>
  <r>
    <d v="2023-12-26T00:00:00"/>
    <x v="558"/>
    <x v="22"/>
    <x v="0"/>
    <x v="0"/>
    <n v="33.9"/>
    <n v="5"/>
    <n v="15.59"/>
    <x v="11"/>
    <x v="2"/>
  </r>
  <r>
    <d v="2023-12-26T00:00:00"/>
    <x v="177"/>
    <x v="20"/>
    <x v="2"/>
    <x v="9"/>
    <n v="89.97"/>
    <n v="3"/>
    <n v="18.89"/>
    <x v="11"/>
    <x v="2"/>
  </r>
  <r>
    <d v="2023-12-26T00:00:00"/>
    <x v="562"/>
    <x v="26"/>
    <x v="0"/>
    <x v="12"/>
    <n v="18.72"/>
    <n v="2"/>
    <n v="3.51"/>
    <x v="11"/>
    <x v="2"/>
  </r>
  <r>
    <d v="2023-12-26T00:00:00"/>
    <x v="554"/>
    <x v="26"/>
    <x v="0"/>
    <x v="4"/>
    <n v="11.33"/>
    <n v="2"/>
    <n v="2.5499999999999998"/>
    <x v="11"/>
    <x v="2"/>
  </r>
  <r>
    <d v="2023-12-26T00:00:00"/>
    <x v="411"/>
    <x v="3"/>
    <x v="0"/>
    <x v="14"/>
    <n v="17.760000000000002"/>
    <n v="2"/>
    <n v="4.97"/>
    <x v="11"/>
    <x v="2"/>
  </r>
  <r>
    <d v="2023-12-26T00:00:00"/>
    <x v="411"/>
    <x v="3"/>
    <x v="2"/>
    <x v="6"/>
    <n v="302.38"/>
    <n v="2"/>
    <n v="30.24"/>
    <x v="11"/>
    <x v="2"/>
  </r>
  <r>
    <d v="2023-12-26T00:00:00"/>
    <x v="411"/>
    <x v="3"/>
    <x v="1"/>
    <x v="5"/>
    <n v="146.35"/>
    <n v="3"/>
    <n v="-5.49"/>
    <x v="11"/>
    <x v="2"/>
  </r>
  <r>
    <d v="2023-12-26T00:00:00"/>
    <x v="411"/>
    <x v="3"/>
    <x v="0"/>
    <x v="12"/>
    <n v="7.9"/>
    <n v="2"/>
    <n v="2.0499999999999998"/>
    <x v="11"/>
    <x v="2"/>
  </r>
  <r>
    <d v="2023-12-26T00:00:00"/>
    <x v="411"/>
    <x v="3"/>
    <x v="1"/>
    <x v="13"/>
    <n v="902.71"/>
    <n v="3"/>
    <n v="33.85"/>
    <x v="11"/>
    <x v="2"/>
  </r>
  <r>
    <d v="2023-12-26T00:00:00"/>
    <x v="411"/>
    <x v="3"/>
    <x v="0"/>
    <x v="4"/>
    <n v="53.97"/>
    <n v="3"/>
    <n v="15.11"/>
    <x v="11"/>
    <x v="2"/>
  </r>
  <r>
    <d v="2023-12-26T00:00:00"/>
    <x v="653"/>
    <x v="23"/>
    <x v="1"/>
    <x v="5"/>
    <n v="212.94"/>
    <n v="3"/>
    <n v="25.55"/>
    <x v="11"/>
    <x v="2"/>
  </r>
  <r>
    <d v="2023-12-26T00:00:00"/>
    <x v="653"/>
    <x v="23"/>
    <x v="0"/>
    <x v="12"/>
    <n v="26.49"/>
    <n v="1"/>
    <n v="7.42"/>
    <x v="11"/>
    <x v="2"/>
  </r>
  <r>
    <d v="2023-12-26T00:00:00"/>
    <x v="202"/>
    <x v="20"/>
    <x v="0"/>
    <x v="3"/>
    <n v="4.99"/>
    <n v="3"/>
    <n v="1.68"/>
    <x v="11"/>
    <x v="2"/>
  </r>
  <r>
    <d v="2023-12-27T00:00:00"/>
    <x v="196"/>
    <x v="1"/>
    <x v="1"/>
    <x v="5"/>
    <n v="845.49"/>
    <n v="8"/>
    <n v="-12.08"/>
    <x v="11"/>
    <x v="2"/>
  </r>
  <r>
    <d v="2023-12-27T00:00:00"/>
    <x v="711"/>
    <x v="0"/>
    <x v="0"/>
    <x v="0"/>
    <n v="10.37"/>
    <n v="2"/>
    <n v="3.63"/>
    <x v="11"/>
    <x v="2"/>
  </r>
  <r>
    <d v="2023-12-27T00:00:00"/>
    <x v="711"/>
    <x v="0"/>
    <x v="0"/>
    <x v="0"/>
    <n v="23.68"/>
    <n v="4"/>
    <n v="7.4"/>
    <x v="11"/>
    <x v="2"/>
  </r>
  <r>
    <d v="2023-12-27T00:00:00"/>
    <x v="363"/>
    <x v="10"/>
    <x v="2"/>
    <x v="9"/>
    <n v="40"/>
    <n v="2"/>
    <n v="0.5"/>
    <x v="11"/>
    <x v="2"/>
  </r>
  <r>
    <d v="2023-12-27T00:00:00"/>
    <x v="306"/>
    <x v="3"/>
    <x v="0"/>
    <x v="1"/>
    <n v="20.16"/>
    <n v="7"/>
    <n v="9.8800000000000008"/>
    <x v="11"/>
    <x v="2"/>
  </r>
  <r>
    <d v="2023-12-27T00:00:00"/>
    <x v="476"/>
    <x v="10"/>
    <x v="0"/>
    <x v="7"/>
    <n v="17.18"/>
    <n v="6"/>
    <n v="6.23"/>
    <x v="11"/>
    <x v="2"/>
  </r>
  <r>
    <d v="2023-12-27T00:00:00"/>
    <x v="677"/>
    <x v="5"/>
    <x v="0"/>
    <x v="1"/>
    <n v="2.61"/>
    <n v="1"/>
    <n v="1.2"/>
    <x v="11"/>
    <x v="2"/>
  </r>
  <r>
    <d v="2023-12-29T00:00:00"/>
    <x v="47"/>
    <x v="21"/>
    <x v="1"/>
    <x v="5"/>
    <n v="754.45"/>
    <n v="5"/>
    <n v="60.36"/>
    <x v="11"/>
    <x v="2"/>
  </r>
  <r>
    <d v="2023-12-29T00:00:00"/>
    <x v="75"/>
    <x v="1"/>
    <x v="0"/>
    <x v="0"/>
    <n v="186.05"/>
    <n v="6"/>
    <n v="67.44"/>
    <x v="11"/>
    <x v="2"/>
  </r>
  <r>
    <d v="2023-12-29T00:00:00"/>
    <x v="634"/>
    <x v="15"/>
    <x v="0"/>
    <x v="3"/>
    <n v="38.090000000000003"/>
    <n v="4"/>
    <n v="-27.93"/>
    <x v="11"/>
    <x v="2"/>
  </r>
  <r>
    <d v="2023-12-29T00:00:00"/>
    <x v="634"/>
    <x v="15"/>
    <x v="0"/>
    <x v="3"/>
    <n v="2.81"/>
    <n v="3"/>
    <n v="-1.97"/>
    <x v="11"/>
    <x v="2"/>
  </r>
  <r>
    <d v="2023-12-29T00:00:00"/>
    <x v="101"/>
    <x v="42"/>
    <x v="1"/>
    <x v="8"/>
    <n v="70.56"/>
    <n v="6"/>
    <n v="23.99"/>
    <x v="11"/>
    <x v="2"/>
  </r>
  <r>
    <d v="2023-12-29T00:00:00"/>
    <x v="101"/>
    <x v="42"/>
    <x v="0"/>
    <x v="12"/>
    <n v="81.96"/>
    <n v="2"/>
    <n v="22.95"/>
    <x v="11"/>
    <x v="2"/>
  </r>
  <r>
    <d v="2023-12-29T00:00:00"/>
    <x v="766"/>
    <x v="3"/>
    <x v="0"/>
    <x v="3"/>
    <n v="11.23"/>
    <n v="3"/>
    <n v="3.93"/>
    <x v="11"/>
    <x v="2"/>
  </r>
  <r>
    <d v="2023-12-29T00:00:00"/>
    <x v="318"/>
    <x v="11"/>
    <x v="0"/>
    <x v="10"/>
    <n v="27.79"/>
    <n v="3"/>
    <n v="10.42"/>
    <x v="11"/>
    <x v="2"/>
  </r>
  <r>
    <d v="2023-12-29T00:00:00"/>
    <x v="167"/>
    <x v="16"/>
    <x v="0"/>
    <x v="0"/>
    <n v="37.409999999999997"/>
    <n v="7"/>
    <n v="13.09"/>
    <x v="11"/>
    <x v="2"/>
  </r>
  <r>
    <d v="2023-12-29T00:00:00"/>
    <x v="167"/>
    <x v="16"/>
    <x v="0"/>
    <x v="0"/>
    <n v="25.34"/>
    <n v="6"/>
    <n v="8.8699999999999992"/>
    <x v="11"/>
    <x v="2"/>
  </r>
  <r>
    <d v="2023-12-29T00:00:00"/>
    <x v="251"/>
    <x v="3"/>
    <x v="0"/>
    <x v="2"/>
    <n v="14.03"/>
    <n v="1"/>
    <n v="4.07"/>
    <x v="11"/>
    <x v="2"/>
  </r>
  <r>
    <d v="2023-12-29T00:00:00"/>
    <x v="251"/>
    <x v="3"/>
    <x v="0"/>
    <x v="14"/>
    <n v="27.96"/>
    <n v="2"/>
    <n v="7.27"/>
    <x v="11"/>
    <x v="2"/>
  </r>
  <r>
    <d v="2023-12-30T00:00:00"/>
    <x v="435"/>
    <x v="0"/>
    <x v="0"/>
    <x v="3"/>
    <n v="6.92"/>
    <n v="6"/>
    <n v="-10.39"/>
    <x v="11"/>
    <x v="2"/>
  </r>
  <r>
    <d v="2023-12-30T00:00:00"/>
    <x v="240"/>
    <x v="10"/>
    <x v="0"/>
    <x v="1"/>
    <n v="5.9"/>
    <n v="2"/>
    <n v="1.99"/>
    <x v="11"/>
    <x v="2"/>
  </r>
  <r>
    <d v="2023-12-30T00:00:00"/>
    <x v="240"/>
    <x v="10"/>
    <x v="0"/>
    <x v="14"/>
    <n v="13.71"/>
    <n v="2"/>
    <n v="1.03"/>
    <x v="11"/>
    <x v="2"/>
  </r>
  <r>
    <d v="2023-12-30T00:00:00"/>
    <x v="425"/>
    <x v="3"/>
    <x v="0"/>
    <x v="2"/>
    <n v="481.32"/>
    <n v="4"/>
    <n v="125.14"/>
    <x v="11"/>
    <x v="2"/>
  </r>
  <r>
    <d v="2023-12-30T00:00:00"/>
    <x v="425"/>
    <x v="3"/>
    <x v="0"/>
    <x v="3"/>
    <n v="6.38"/>
    <n v="1"/>
    <n v="2.15"/>
    <x v="11"/>
    <x v="2"/>
  </r>
  <r>
    <d v="2023-12-30T00:00:00"/>
    <x v="12"/>
    <x v="2"/>
    <x v="1"/>
    <x v="5"/>
    <n v="170.79"/>
    <n v="1"/>
    <n v="0"/>
    <x v="11"/>
    <x v="2"/>
  </r>
  <r>
    <d v="2023-12-30T00:00:00"/>
    <x v="781"/>
    <x v="2"/>
    <x v="0"/>
    <x v="4"/>
    <n v="16.52"/>
    <n v="5"/>
    <n v="1.65"/>
    <x v="11"/>
    <x v="2"/>
  </r>
  <r>
    <d v="2023-12-30T00:00:00"/>
    <x v="216"/>
    <x v="16"/>
    <x v="0"/>
    <x v="0"/>
    <n v="72.22"/>
    <n v="4"/>
    <n v="25.28"/>
    <x v="11"/>
    <x v="2"/>
  </r>
  <r>
    <d v="2023-12-31T00:00:00"/>
    <x v="254"/>
    <x v="17"/>
    <x v="0"/>
    <x v="4"/>
    <n v="3.64"/>
    <n v="2"/>
    <n v="1.64"/>
    <x v="11"/>
    <x v="2"/>
  </r>
  <r>
    <d v="2023-12-31T00:00:00"/>
    <x v="254"/>
    <x v="17"/>
    <x v="0"/>
    <x v="3"/>
    <n v="159.77000000000001"/>
    <n v="7"/>
    <n v="53.92"/>
    <x v="11"/>
    <x v="2"/>
  </r>
  <r>
    <d v="2023-12-31T00:00:00"/>
    <x v="280"/>
    <x v="3"/>
    <x v="2"/>
    <x v="6"/>
    <n v="302.38"/>
    <n v="3"/>
    <n v="22.68"/>
    <x v="11"/>
    <x v="2"/>
  </r>
  <r>
    <d v="2023-12-31T00:00:00"/>
    <x v="287"/>
    <x v="16"/>
    <x v="0"/>
    <x v="4"/>
    <n v="47.62"/>
    <n v="3"/>
    <n v="3.57"/>
    <x v="11"/>
    <x v="2"/>
  </r>
  <r>
    <d v="2023-12-31T00:00:00"/>
    <x v="287"/>
    <x v="16"/>
    <x v="0"/>
    <x v="0"/>
    <n v="23.48"/>
    <n v="5"/>
    <n v="8.2200000000000006"/>
    <x v="11"/>
    <x v="2"/>
  </r>
  <r>
    <d v="2023-12-31T00:00:00"/>
    <x v="652"/>
    <x v="3"/>
    <x v="0"/>
    <x v="3"/>
    <n v="38.380000000000003"/>
    <n v="3"/>
    <n v="13.43"/>
    <x v="11"/>
    <x v="2"/>
  </r>
  <r>
    <d v="2023-12-31T00:00:00"/>
    <x v="257"/>
    <x v="10"/>
    <x v="0"/>
    <x v="2"/>
    <n v="156.51"/>
    <n v="4"/>
    <n v="-35.22"/>
    <x v="11"/>
    <x v="2"/>
  </r>
  <r>
    <d v="2024-01-01T00:00:00"/>
    <x v="41"/>
    <x v="10"/>
    <x v="1"/>
    <x v="8"/>
    <n v="48.9"/>
    <n v="4"/>
    <n v="8.56"/>
    <x v="0"/>
    <x v="3"/>
  </r>
  <r>
    <d v="2024-01-01T00:00:00"/>
    <x v="236"/>
    <x v="3"/>
    <x v="1"/>
    <x v="8"/>
    <n v="474.43"/>
    <n v="11"/>
    <n v="199.26"/>
    <x v="0"/>
    <x v="3"/>
  </r>
  <r>
    <d v="2024-01-01T00:00:00"/>
    <x v="285"/>
    <x v="21"/>
    <x v="0"/>
    <x v="3"/>
    <n v="3.6"/>
    <n v="2"/>
    <n v="1.73"/>
    <x v="0"/>
    <x v="3"/>
  </r>
  <r>
    <d v="2024-01-01T00:00:00"/>
    <x v="744"/>
    <x v="0"/>
    <x v="0"/>
    <x v="2"/>
    <n v="454.56"/>
    <n v="5"/>
    <n v="-107.96"/>
    <x v="0"/>
    <x v="3"/>
  </r>
  <r>
    <d v="2024-01-01T00:00:00"/>
    <x v="744"/>
    <x v="0"/>
    <x v="1"/>
    <x v="8"/>
    <n v="141.41999999999999"/>
    <n v="5"/>
    <n v="-187.38"/>
    <x v="0"/>
    <x v="3"/>
  </r>
  <r>
    <d v="2024-01-01T00:00:00"/>
    <x v="744"/>
    <x v="0"/>
    <x v="1"/>
    <x v="5"/>
    <n v="310.74"/>
    <n v="4"/>
    <n v="-26.64"/>
    <x v="0"/>
    <x v="3"/>
  </r>
  <r>
    <d v="2024-01-01T00:00:00"/>
    <x v="744"/>
    <x v="0"/>
    <x v="0"/>
    <x v="4"/>
    <n v="12.74"/>
    <n v="4"/>
    <n v="2.23"/>
    <x v="0"/>
    <x v="3"/>
  </r>
  <r>
    <d v="2024-01-01T00:00:00"/>
    <x v="744"/>
    <x v="0"/>
    <x v="0"/>
    <x v="3"/>
    <n v="6.47"/>
    <n v="5"/>
    <n v="-9.7100000000000009"/>
    <x v="0"/>
    <x v="3"/>
  </r>
  <r>
    <d v="2024-01-01T00:00:00"/>
    <x v="744"/>
    <x v="0"/>
    <x v="0"/>
    <x v="3"/>
    <n v="13.75"/>
    <n v="14"/>
    <n v="-22.68"/>
    <x v="0"/>
    <x v="3"/>
  </r>
  <r>
    <d v="2024-01-01T00:00:00"/>
    <x v="744"/>
    <x v="0"/>
    <x v="0"/>
    <x v="12"/>
    <n v="15.22"/>
    <n v="2"/>
    <n v="-38.82"/>
    <x v="0"/>
    <x v="3"/>
  </r>
  <r>
    <d v="2024-01-02T00:00:00"/>
    <x v="322"/>
    <x v="25"/>
    <x v="2"/>
    <x v="15"/>
    <n v="695.7"/>
    <n v="2"/>
    <n v="-27.83"/>
    <x v="0"/>
    <x v="3"/>
  </r>
  <r>
    <d v="2024-01-02T00:00:00"/>
    <x v="322"/>
    <x v="25"/>
    <x v="0"/>
    <x v="3"/>
    <n v="15.66"/>
    <n v="5"/>
    <n v="-12.53"/>
    <x v="0"/>
    <x v="3"/>
  </r>
  <r>
    <d v="2024-01-02T00:00:00"/>
    <x v="322"/>
    <x v="25"/>
    <x v="0"/>
    <x v="3"/>
    <n v="28.85"/>
    <n v="6"/>
    <n v="-21.16"/>
    <x v="0"/>
    <x v="3"/>
  </r>
  <r>
    <d v="2024-01-02T00:00:00"/>
    <x v="603"/>
    <x v="0"/>
    <x v="0"/>
    <x v="4"/>
    <n v="31.74"/>
    <n v="2"/>
    <n v="3.97"/>
    <x v="0"/>
    <x v="3"/>
  </r>
  <r>
    <d v="2024-01-02T00:00:00"/>
    <x v="603"/>
    <x v="0"/>
    <x v="0"/>
    <x v="12"/>
    <n v="5.43"/>
    <n v="2"/>
    <n v="-13.58"/>
    <x v="0"/>
    <x v="3"/>
  </r>
  <r>
    <d v="2024-01-02T00:00:00"/>
    <x v="603"/>
    <x v="0"/>
    <x v="1"/>
    <x v="13"/>
    <n v="913.43"/>
    <n v="5"/>
    <n v="-169.64"/>
    <x v="0"/>
    <x v="3"/>
  </r>
  <r>
    <d v="2024-01-02T00:00:00"/>
    <x v="603"/>
    <x v="0"/>
    <x v="0"/>
    <x v="2"/>
    <n v="372.14"/>
    <n v="3"/>
    <n v="27.91"/>
    <x v="0"/>
    <x v="3"/>
  </r>
  <r>
    <d v="2024-01-02T00:00:00"/>
    <x v="623"/>
    <x v="3"/>
    <x v="2"/>
    <x v="9"/>
    <n v="16.59"/>
    <n v="1"/>
    <n v="5.81"/>
    <x v="0"/>
    <x v="3"/>
  </r>
  <r>
    <d v="2024-01-03T00:00:00"/>
    <x v="16"/>
    <x v="3"/>
    <x v="0"/>
    <x v="0"/>
    <n v="38.880000000000003"/>
    <n v="6"/>
    <n v="18.66"/>
    <x v="0"/>
    <x v="3"/>
  </r>
  <r>
    <d v="2024-01-03T00:00:00"/>
    <x v="616"/>
    <x v="3"/>
    <x v="0"/>
    <x v="3"/>
    <n v="2022.27"/>
    <n v="8"/>
    <n v="682.52"/>
    <x v="0"/>
    <x v="3"/>
  </r>
  <r>
    <d v="2024-01-03T00:00:00"/>
    <x v="616"/>
    <x v="3"/>
    <x v="0"/>
    <x v="4"/>
    <n v="9.1199999999999992"/>
    <n v="3"/>
    <n v="3.1"/>
    <x v="0"/>
    <x v="3"/>
  </r>
  <r>
    <d v="2024-01-06T00:00:00"/>
    <x v="285"/>
    <x v="33"/>
    <x v="0"/>
    <x v="3"/>
    <n v="33.74"/>
    <n v="7"/>
    <n v="15.52"/>
    <x v="0"/>
    <x v="3"/>
  </r>
  <r>
    <d v="2024-01-07T00:00:00"/>
    <x v="620"/>
    <x v="14"/>
    <x v="2"/>
    <x v="15"/>
    <n v="3059.98"/>
    <n v="2"/>
    <n v="680"/>
    <x v="0"/>
    <x v="3"/>
  </r>
  <r>
    <d v="2024-01-07T00:00:00"/>
    <x v="669"/>
    <x v="16"/>
    <x v="0"/>
    <x v="3"/>
    <n v="2.81"/>
    <n v="3"/>
    <n v="-1.97"/>
    <x v="0"/>
    <x v="3"/>
  </r>
  <r>
    <d v="2024-01-07T00:00:00"/>
    <x v="509"/>
    <x v="3"/>
    <x v="0"/>
    <x v="2"/>
    <n v="153.78"/>
    <n v="11"/>
    <n v="44.6"/>
    <x v="0"/>
    <x v="3"/>
  </r>
  <r>
    <d v="2024-01-07T00:00:00"/>
    <x v="509"/>
    <x v="3"/>
    <x v="0"/>
    <x v="2"/>
    <n v="61.02"/>
    <n v="3"/>
    <n v="0.61"/>
    <x v="0"/>
    <x v="3"/>
  </r>
  <r>
    <d v="2024-01-07T00:00:00"/>
    <x v="509"/>
    <x v="3"/>
    <x v="0"/>
    <x v="14"/>
    <n v="110.11"/>
    <n v="7"/>
    <n v="31.93"/>
    <x v="0"/>
    <x v="3"/>
  </r>
  <r>
    <d v="2024-01-07T00:00:00"/>
    <x v="509"/>
    <x v="3"/>
    <x v="0"/>
    <x v="7"/>
    <n v="7.89"/>
    <n v="1"/>
    <n v="3.55"/>
    <x v="0"/>
    <x v="3"/>
  </r>
  <r>
    <d v="2024-01-08T00:00:00"/>
    <x v="332"/>
    <x v="22"/>
    <x v="1"/>
    <x v="13"/>
    <n v="892.98"/>
    <n v="2"/>
    <n v="80.37"/>
    <x v="0"/>
    <x v="3"/>
  </r>
  <r>
    <d v="2024-01-09T00:00:00"/>
    <x v="443"/>
    <x v="2"/>
    <x v="0"/>
    <x v="3"/>
    <n v="274.49"/>
    <n v="3"/>
    <n v="-228.74"/>
    <x v="0"/>
    <x v="3"/>
  </r>
  <r>
    <d v="2024-01-12T00:00:00"/>
    <x v="163"/>
    <x v="44"/>
    <x v="0"/>
    <x v="0"/>
    <n v="40.08"/>
    <n v="6"/>
    <n v="19.239999999999998"/>
    <x v="0"/>
    <x v="3"/>
  </r>
  <r>
    <d v="2024-01-12T00:00:00"/>
    <x v="163"/>
    <x v="44"/>
    <x v="1"/>
    <x v="8"/>
    <n v="37.68"/>
    <n v="2"/>
    <n v="15.83"/>
    <x v="0"/>
    <x v="3"/>
  </r>
  <r>
    <d v="2024-01-12T00:00:00"/>
    <x v="637"/>
    <x v="3"/>
    <x v="0"/>
    <x v="10"/>
    <n v="9.7799999999999994"/>
    <n v="1"/>
    <n v="4.8899999999999997"/>
    <x v="0"/>
    <x v="3"/>
  </r>
  <r>
    <d v="2024-01-12T00:00:00"/>
    <x v="639"/>
    <x v="0"/>
    <x v="0"/>
    <x v="3"/>
    <n v="760.98"/>
    <n v="5"/>
    <n v="-1141.47"/>
    <x v="0"/>
    <x v="3"/>
  </r>
  <r>
    <d v="2024-01-13T00:00:00"/>
    <x v="552"/>
    <x v="24"/>
    <x v="0"/>
    <x v="0"/>
    <n v="32.4"/>
    <n v="5"/>
    <n v="15.55"/>
    <x v="0"/>
    <x v="3"/>
  </r>
  <r>
    <d v="2024-01-13T00:00:00"/>
    <x v="552"/>
    <x v="24"/>
    <x v="0"/>
    <x v="4"/>
    <n v="209.94"/>
    <n v="6"/>
    <n v="54.58"/>
    <x v="0"/>
    <x v="3"/>
  </r>
  <r>
    <d v="2024-01-13T00:00:00"/>
    <x v="552"/>
    <x v="24"/>
    <x v="0"/>
    <x v="14"/>
    <n v="4164.05"/>
    <n v="5"/>
    <n v="83.28"/>
    <x v="0"/>
    <x v="3"/>
  </r>
  <r>
    <d v="2024-01-13T00:00:00"/>
    <x v="552"/>
    <x v="24"/>
    <x v="1"/>
    <x v="11"/>
    <n v="212.94"/>
    <n v="3"/>
    <n v="53.24"/>
    <x v="0"/>
    <x v="3"/>
  </r>
  <r>
    <d v="2024-01-14T00:00:00"/>
    <x v="751"/>
    <x v="25"/>
    <x v="0"/>
    <x v="10"/>
    <n v="21.74"/>
    <n v="1"/>
    <n v="7.34"/>
    <x v="0"/>
    <x v="3"/>
  </r>
  <r>
    <d v="2024-01-14T00:00:00"/>
    <x v="751"/>
    <x v="25"/>
    <x v="2"/>
    <x v="6"/>
    <n v="7.92"/>
    <n v="5"/>
    <n v="0.69"/>
    <x v="0"/>
    <x v="3"/>
  </r>
  <r>
    <d v="2024-01-14T00:00:00"/>
    <x v="609"/>
    <x v="26"/>
    <x v="2"/>
    <x v="9"/>
    <n v="169.06"/>
    <n v="7"/>
    <n v="-14.79"/>
    <x v="0"/>
    <x v="3"/>
  </r>
  <r>
    <d v="2024-01-14T00:00:00"/>
    <x v="609"/>
    <x v="26"/>
    <x v="0"/>
    <x v="2"/>
    <n v="168.62"/>
    <n v="9"/>
    <n v="14.75"/>
    <x v="0"/>
    <x v="3"/>
  </r>
  <r>
    <d v="2024-01-14T00:00:00"/>
    <x v="248"/>
    <x v="15"/>
    <x v="0"/>
    <x v="10"/>
    <n v="18.34"/>
    <n v="3"/>
    <n v="6.65"/>
    <x v="0"/>
    <x v="3"/>
  </r>
  <r>
    <d v="2024-01-14T00:00:00"/>
    <x v="248"/>
    <x v="15"/>
    <x v="0"/>
    <x v="0"/>
    <n v="36.29"/>
    <n v="7"/>
    <n v="12.7"/>
    <x v="0"/>
    <x v="3"/>
  </r>
  <r>
    <d v="2024-01-14T00:00:00"/>
    <x v="248"/>
    <x v="15"/>
    <x v="2"/>
    <x v="6"/>
    <n v="111.98"/>
    <n v="2"/>
    <n v="7"/>
    <x v="0"/>
    <x v="3"/>
  </r>
  <r>
    <d v="2024-01-14T00:00:00"/>
    <x v="248"/>
    <x v="15"/>
    <x v="0"/>
    <x v="3"/>
    <n v="5.97"/>
    <n v="5"/>
    <n v="-4.58"/>
    <x v="0"/>
    <x v="3"/>
  </r>
  <r>
    <d v="2024-01-14T00:00:00"/>
    <x v="248"/>
    <x v="15"/>
    <x v="0"/>
    <x v="3"/>
    <n v="2.5099999999999998"/>
    <n v="2"/>
    <n v="-1.84"/>
    <x v="0"/>
    <x v="3"/>
  </r>
  <r>
    <d v="2024-01-14T00:00:00"/>
    <x v="703"/>
    <x v="3"/>
    <x v="0"/>
    <x v="0"/>
    <n v="154.9"/>
    <n v="5"/>
    <n v="69.709999999999994"/>
    <x v="0"/>
    <x v="3"/>
  </r>
  <r>
    <d v="2024-01-14T00:00:00"/>
    <x v="57"/>
    <x v="18"/>
    <x v="0"/>
    <x v="2"/>
    <n v="67.400000000000006"/>
    <n v="5"/>
    <n v="17.52"/>
    <x v="0"/>
    <x v="3"/>
  </r>
  <r>
    <d v="2024-01-14T00:00:00"/>
    <x v="57"/>
    <x v="18"/>
    <x v="0"/>
    <x v="7"/>
    <n v="2.52"/>
    <n v="2"/>
    <n v="0.1"/>
    <x v="0"/>
    <x v="3"/>
  </r>
  <r>
    <d v="2024-01-14T00:00:00"/>
    <x v="57"/>
    <x v="18"/>
    <x v="2"/>
    <x v="6"/>
    <n v="67.8"/>
    <n v="4"/>
    <n v="1.36"/>
    <x v="0"/>
    <x v="3"/>
  </r>
  <r>
    <d v="2024-01-14T00:00:00"/>
    <x v="57"/>
    <x v="18"/>
    <x v="0"/>
    <x v="2"/>
    <n v="18.760000000000002"/>
    <n v="2"/>
    <n v="5.25"/>
    <x v="0"/>
    <x v="3"/>
  </r>
  <r>
    <d v="2024-01-14T00:00:00"/>
    <x v="57"/>
    <x v="18"/>
    <x v="2"/>
    <x v="9"/>
    <n v="12.12"/>
    <n v="4"/>
    <n v="2.5499999999999998"/>
    <x v="0"/>
    <x v="3"/>
  </r>
  <r>
    <d v="2024-01-14T00:00:00"/>
    <x v="57"/>
    <x v="18"/>
    <x v="0"/>
    <x v="0"/>
    <n v="11.34"/>
    <n v="1"/>
    <n v="5.56"/>
    <x v="0"/>
    <x v="3"/>
  </r>
  <r>
    <d v="2024-01-14T00:00:00"/>
    <x v="57"/>
    <x v="18"/>
    <x v="2"/>
    <x v="9"/>
    <n v="159.80000000000001"/>
    <n v="4"/>
    <n v="70.31"/>
    <x v="0"/>
    <x v="3"/>
  </r>
  <r>
    <d v="2024-01-14T00:00:00"/>
    <x v="57"/>
    <x v="18"/>
    <x v="1"/>
    <x v="8"/>
    <n v="18.96"/>
    <n v="2"/>
    <n v="8.5299999999999994"/>
    <x v="0"/>
    <x v="3"/>
  </r>
  <r>
    <d v="2024-01-15T00:00:00"/>
    <x v="758"/>
    <x v="2"/>
    <x v="0"/>
    <x v="12"/>
    <n v="34.380000000000003"/>
    <n v="1"/>
    <n v="3.87"/>
    <x v="0"/>
    <x v="3"/>
  </r>
  <r>
    <d v="2024-01-15T00:00:00"/>
    <x v="758"/>
    <x v="2"/>
    <x v="0"/>
    <x v="12"/>
    <n v="1924.16"/>
    <n v="8"/>
    <n v="312.68"/>
    <x v="0"/>
    <x v="3"/>
  </r>
  <r>
    <d v="2024-01-15T00:00:00"/>
    <x v="42"/>
    <x v="32"/>
    <x v="0"/>
    <x v="0"/>
    <n v="12.7"/>
    <n v="2"/>
    <n v="5.84"/>
    <x v="0"/>
    <x v="3"/>
  </r>
  <r>
    <d v="2024-01-15T00:00:00"/>
    <x v="722"/>
    <x v="3"/>
    <x v="0"/>
    <x v="4"/>
    <n v="21.4"/>
    <n v="5"/>
    <n v="6.21"/>
    <x v="0"/>
    <x v="3"/>
  </r>
  <r>
    <d v="2024-01-15T00:00:00"/>
    <x v="560"/>
    <x v="0"/>
    <x v="0"/>
    <x v="3"/>
    <n v="32.78"/>
    <n v="4"/>
    <n v="-52.45"/>
    <x v="0"/>
    <x v="3"/>
  </r>
  <r>
    <d v="2024-01-15T00:00:00"/>
    <x v="560"/>
    <x v="0"/>
    <x v="2"/>
    <x v="9"/>
    <n v="47.98"/>
    <n v="2"/>
    <n v="14.4"/>
    <x v="0"/>
    <x v="3"/>
  </r>
  <r>
    <d v="2024-01-15T00:00:00"/>
    <x v="560"/>
    <x v="0"/>
    <x v="2"/>
    <x v="9"/>
    <n v="62.59"/>
    <n v="8"/>
    <n v="13.3"/>
    <x v="0"/>
    <x v="3"/>
  </r>
  <r>
    <d v="2024-01-15T00:00:00"/>
    <x v="560"/>
    <x v="0"/>
    <x v="0"/>
    <x v="3"/>
    <n v="4.28"/>
    <n v="1"/>
    <n v="-6.63"/>
    <x v="0"/>
    <x v="3"/>
  </r>
  <r>
    <d v="2024-01-16T00:00:00"/>
    <x v="4"/>
    <x v="3"/>
    <x v="1"/>
    <x v="8"/>
    <n v="27.92"/>
    <n v="4"/>
    <n v="8.1"/>
    <x v="0"/>
    <x v="3"/>
  </r>
  <r>
    <d v="2024-01-16T00:00:00"/>
    <x v="4"/>
    <x v="3"/>
    <x v="1"/>
    <x v="13"/>
    <n v="399.67"/>
    <n v="7"/>
    <n v="-14.99"/>
    <x v="0"/>
    <x v="3"/>
  </r>
  <r>
    <d v="2024-01-16T00:00:00"/>
    <x v="539"/>
    <x v="14"/>
    <x v="0"/>
    <x v="3"/>
    <n v="5443.96"/>
    <n v="4"/>
    <n v="2504.2199999999998"/>
    <x v="0"/>
    <x v="3"/>
  </r>
  <r>
    <d v="2024-01-16T00:00:00"/>
    <x v="539"/>
    <x v="14"/>
    <x v="1"/>
    <x v="5"/>
    <n v="302.67"/>
    <n v="3"/>
    <n v="72.64"/>
    <x v="0"/>
    <x v="3"/>
  </r>
  <r>
    <d v="2024-01-16T00:00:00"/>
    <x v="539"/>
    <x v="14"/>
    <x v="0"/>
    <x v="0"/>
    <n v="56.07"/>
    <n v="7"/>
    <n v="25.23"/>
    <x v="0"/>
    <x v="3"/>
  </r>
  <r>
    <d v="2024-01-19T00:00:00"/>
    <x v="275"/>
    <x v="0"/>
    <x v="0"/>
    <x v="1"/>
    <n v="6"/>
    <n v="2"/>
    <n v="2.1"/>
    <x v="0"/>
    <x v="3"/>
  </r>
  <r>
    <d v="2024-01-19T00:00:00"/>
    <x v="777"/>
    <x v="2"/>
    <x v="2"/>
    <x v="6"/>
    <n v="429.6"/>
    <n v="2"/>
    <n v="-93.08"/>
    <x v="0"/>
    <x v="3"/>
  </r>
  <r>
    <d v="2024-01-19T00:00:00"/>
    <x v="777"/>
    <x v="2"/>
    <x v="1"/>
    <x v="8"/>
    <n v="31.97"/>
    <n v="2"/>
    <n v="6.39"/>
    <x v="0"/>
    <x v="3"/>
  </r>
  <r>
    <d v="2024-01-19T00:00:00"/>
    <x v="777"/>
    <x v="2"/>
    <x v="1"/>
    <x v="5"/>
    <n v="887.27"/>
    <n v="3"/>
    <n v="-63.38"/>
    <x v="0"/>
    <x v="3"/>
  </r>
  <r>
    <d v="2024-01-19T00:00:00"/>
    <x v="777"/>
    <x v="2"/>
    <x v="0"/>
    <x v="0"/>
    <n v="21.7"/>
    <n v="4"/>
    <n v="7.05"/>
    <x v="0"/>
    <x v="3"/>
  </r>
  <r>
    <d v="2024-01-19T00:00:00"/>
    <x v="195"/>
    <x v="45"/>
    <x v="0"/>
    <x v="0"/>
    <n v="79.92"/>
    <n v="4"/>
    <n v="37.56"/>
    <x v="0"/>
    <x v="3"/>
  </r>
  <r>
    <d v="2024-01-19T00:00:00"/>
    <x v="195"/>
    <x v="45"/>
    <x v="0"/>
    <x v="0"/>
    <n v="12.28"/>
    <n v="1"/>
    <n v="5.77"/>
    <x v="0"/>
    <x v="3"/>
  </r>
  <r>
    <d v="2024-01-19T00:00:00"/>
    <x v="195"/>
    <x v="45"/>
    <x v="0"/>
    <x v="12"/>
    <n v="542.94000000000005"/>
    <n v="3"/>
    <n v="152.02000000000001"/>
    <x v="0"/>
    <x v="3"/>
  </r>
  <r>
    <d v="2024-01-19T00:00:00"/>
    <x v="195"/>
    <x v="45"/>
    <x v="0"/>
    <x v="10"/>
    <n v="2.04"/>
    <n v="1"/>
    <n v="0.96"/>
    <x v="0"/>
    <x v="3"/>
  </r>
  <r>
    <d v="2024-01-20T00:00:00"/>
    <x v="755"/>
    <x v="20"/>
    <x v="1"/>
    <x v="5"/>
    <n v="207.85"/>
    <n v="3"/>
    <n v="2.31"/>
    <x v="0"/>
    <x v="3"/>
  </r>
  <r>
    <d v="2024-01-20T00:00:00"/>
    <x v="433"/>
    <x v="3"/>
    <x v="2"/>
    <x v="6"/>
    <n v="160.78"/>
    <n v="3"/>
    <n v="10.050000000000001"/>
    <x v="0"/>
    <x v="3"/>
  </r>
  <r>
    <d v="2024-01-20T00:00:00"/>
    <x v="51"/>
    <x v="3"/>
    <x v="0"/>
    <x v="4"/>
    <n v="24.2"/>
    <n v="5"/>
    <n v="7.99"/>
    <x v="0"/>
    <x v="3"/>
  </r>
  <r>
    <d v="2024-01-20T00:00:00"/>
    <x v="51"/>
    <x v="3"/>
    <x v="2"/>
    <x v="6"/>
    <n v="359.98"/>
    <n v="3"/>
    <n v="130.49"/>
    <x v="0"/>
    <x v="3"/>
  </r>
  <r>
    <d v="2024-01-20T00:00:00"/>
    <x v="467"/>
    <x v="37"/>
    <x v="0"/>
    <x v="4"/>
    <n v="3.52"/>
    <n v="2"/>
    <n v="1.02"/>
    <x v="0"/>
    <x v="3"/>
  </r>
  <r>
    <d v="2024-01-20T00:00:00"/>
    <x v="505"/>
    <x v="1"/>
    <x v="0"/>
    <x v="1"/>
    <n v="11.52"/>
    <n v="5"/>
    <n v="4.18"/>
    <x v="0"/>
    <x v="3"/>
  </r>
  <r>
    <d v="2024-01-21T00:00:00"/>
    <x v="293"/>
    <x v="22"/>
    <x v="0"/>
    <x v="2"/>
    <n v="242.94"/>
    <n v="3"/>
    <n v="9.7200000000000006"/>
    <x v="0"/>
    <x v="3"/>
  </r>
  <r>
    <d v="2024-01-21T00:00:00"/>
    <x v="293"/>
    <x v="22"/>
    <x v="2"/>
    <x v="9"/>
    <n v="179.97"/>
    <n v="3"/>
    <n v="86.39"/>
    <x v="0"/>
    <x v="3"/>
  </r>
  <r>
    <d v="2024-01-21T00:00:00"/>
    <x v="293"/>
    <x v="22"/>
    <x v="0"/>
    <x v="3"/>
    <n v="99.7"/>
    <n v="6"/>
    <n v="33.65"/>
    <x v="0"/>
    <x v="3"/>
  </r>
  <r>
    <d v="2024-01-21T00:00:00"/>
    <x v="293"/>
    <x v="22"/>
    <x v="0"/>
    <x v="3"/>
    <n v="27.94"/>
    <n v="4"/>
    <n v="9.43"/>
    <x v="0"/>
    <x v="3"/>
  </r>
  <r>
    <d v="2024-01-21T00:00:00"/>
    <x v="293"/>
    <x v="22"/>
    <x v="1"/>
    <x v="11"/>
    <n v="84.98"/>
    <n v="1"/>
    <n v="18.7"/>
    <x v="0"/>
    <x v="3"/>
  </r>
  <r>
    <d v="2024-01-21T00:00:00"/>
    <x v="293"/>
    <x v="22"/>
    <x v="0"/>
    <x v="3"/>
    <n v="18.72"/>
    <n v="5"/>
    <n v="6.55"/>
    <x v="0"/>
    <x v="3"/>
  </r>
  <r>
    <d v="2024-01-21T00:00:00"/>
    <x v="577"/>
    <x v="25"/>
    <x v="0"/>
    <x v="2"/>
    <n v="348.21"/>
    <n v="7"/>
    <n v="30.47"/>
    <x v="0"/>
    <x v="3"/>
  </r>
  <r>
    <d v="2024-01-21T00:00:00"/>
    <x v="577"/>
    <x v="25"/>
    <x v="0"/>
    <x v="3"/>
    <n v="35.78"/>
    <n v="7"/>
    <n v="-28.63"/>
    <x v="0"/>
    <x v="3"/>
  </r>
  <r>
    <d v="2024-01-21T00:00:00"/>
    <x v="772"/>
    <x v="14"/>
    <x v="0"/>
    <x v="3"/>
    <n v="14.4"/>
    <n v="5"/>
    <n v="7.06"/>
    <x v="0"/>
    <x v="3"/>
  </r>
  <r>
    <d v="2024-01-21T00:00:00"/>
    <x v="772"/>
    <x v="14"/>
    <x v="2"/>
    <x v="9"/>
    <n v="619.95000000000005"/>
    <n v="5"/>
    <n v="111.59"/>
    <x v="0"/>
    <x v="3"/>
  </r>
  <r>
    <d v="2024-01-21T00:00:00"/>
    <x v="772"/>
    <x v="14"/>
    <x v="0"/>
    <x v="3"/>
    <n v="89.52"/>
    <n v="4"/>
    <n v="42.07"/>
    <x v="0"/>
    <x v="3"/>
  </r>
  <r>
    <d v="2024-01-21T00:00:00"/>
    <x v="772"/>
    <x v="14"/>
    <x v="2"/>
    <x v="15"/>
    <n v="350.97"/>
    <n v="3"/>
    <n v="152.09"/>
    <x v="0"/>
    <x v="3"/>
  </r>
  <r>
    <d v="2024-01-21T00:00:00"/>
    <x v="772"/>
    <x v="14"/>
    <x v="2"/>
    <x v="6"/>
    <n v="164.99"/>
    <n v="1"/>
    <n v="49.5"/>
    <x v="0"/>
    <x v="3"/>
  </r>
  <r>
    <d v="2024-01-21T00:00:00"/>
    <x v="737"/>
    <x v="1"/>
    <x v="0"/>
    <x v="10"/>
    <n v="268.58"/>
    <n v="4"/>
    <n v="90.64"/>
    <x v="0"/>
    <x v="3"/>
  </r>
  <r>
    <d v="2024-01-22T00:00:00"/>
    <x v="525"/>
    <x v="35"/>
    <x v="2"/>
    <x v="16"/>
    <n v="2999.95"/>
    <n v="5"/>
    <n v="1379.98"/>
    <x v="0"/>
    <x v="3"/>
  </r>
  <r>
    <d v="2024-01-22T00:00:00"/>
    <x v="525"/>
    <x v="35"/>
    <x v="0"/>
    <x v="2"/>
    <n v="51.45"/>
    <n v="3"/>
    <n v="13.89"/>
    <x v="0"/>
    <x v="3"/>
  </r>
  <r>
    <d v="2024-01-22T00:00:00"/>
    <x v="525"/>
    <x v="35"/>
    <x v="0"/>
    <x v="0"/>
    <n v="11.96"/>
    <n v="2"/>
    <n v="5.38"/>
    <x v="0"/>
    <x v="3"/>
  </r>
  <r>
    <d v="2024-01-22T00:00:00"/>
    <x v="525"/>
    <x v="35"/>
    <x v="0"/>
    <x v="2"/>
    <n v="1126.02"/>
    <n v="3"/>
    <n v="56.3"/>
    <x v="0"/>
    <x v="3"/>
  </r>
  <r>
    <d v="2024-01-22T00:00:00"/>
    <x v="150"/>
    <x v="1"/>
    <x v="0"/>
    <x v="7"/>
    <n v="15.12"/>
    <n v="5"/>
    <n v="4.91"/>
    <x v="0"/>
    <x v="3"/>
  </r>
  <r>
    <d v="2024-01-22T00:00:00"/>
    <x v="150"/>
    <x v="1"/>
    <x v="0"/>
    <x v="4"/>
    <n v="7.87"/>
    <n v="3"/>
    <n v="0.89"/>
    <x v="0"/>
    <x v="3"/>
  </r>
  <r>
    <d v="2024-01-23T00:00:00"/>
    <x v="91"/>
    <x v="14"/>
    <x v="1"/>
    <x v="13"/>
    <n v="210.98"/>
    <n v="2"/>
    <n v="21.1"/>
    <x v="0"/>
    <x v="3"/>
  </r>
  <r>
    <d v="2024-01-23T00:00:00"/>
    <x v="10"/>
    <x v="22"/>
    <x v="0"/>
    <x v="3"/>
    <n v="19.68"/>
    <n v="5"/>
    <n v="6.89"/>
    <x v="0"/>
    <x v="3"/>
  </r>
  <r>
    <d v="2024-01-23T00:00:00"/>
    <x v="10"/>
    <x v="22"/>
    <x v="0"/>
    <x v="0"/>
    <n v="25.92"/>
    <n v="4"/>
    <n v="12.44"/>
    <x v="0"/>
    <x v="3"/>
  </r>
  <r>
    <d v="2024-01-23T00:00:00"/>
    <x v="10"/>
    <x v="22"/>
    <x v="0"/>
    <x v="0"/>
    <n v="6.48"/>
    <n v="1"/>
    <n v="3.11"/>
    <x v="0"/>
    <x v="3"/>
  </r>
  <r>
    <d v="2024-01-23T00:00:00"/>
    <x v="10"/>
    <x v="22"/>
    <x v="2"/>
    <x v="6"/>
    <n v="86.35"/>
    <n v="6"/>
    <n v="8.64"/>
    <x v="0"/>
    <x v="3"/>
  </r>
  <r>
    <d v="2024-01-23T00:00:00"/>
    <x v="187"/>
    <x v="12"/>
    <x v="2"/>
    <x v="9"/>
    <n v="95.98"/>
    <n v="2"/>
    <n v="12"/>
    <x v="0"/>
    <x v="3"/>
  </r>
  <r>
    <d v="2024-01-23T00:00:00"/>
    <x v="187"/>
    <x v="12"/>
    <x v="0"/>
    <x v="3"/>
    <n v="4.9400000000000004"/>
    <n v="2"/>
    <n v="-3.62"/>
    <x v="0"/>
    <x v="3"/>
  </r>
  <r>
    <d v="2024-01-24T00:00:00"/>
    <x v="633"/>
    <x v="4"/>
    <x v="0"/>
    <x v="7"/>
    <n v="5.67"/>
    <n v="3"/>
    <n v="0.11"/>
    <x v="0"/>
    <x v="3"/>
  </r>
  <r>
    <d v="2024-01-24T00:00:00"/>
    <x v="435"/>
    <x v="3"/>
    <x v="0"/>
    <x v="12"/>
    <n v="25.86"/>
    <n v="3"/>
    <n v="6.72"/>
    <x v="0"/>
    <x v="3"/>
  </r>
  <r>
    <d v="2024-01-24T00:00:00"/>
    <x v="435"/>
    <x v="3"/>
    <x v="0"/>
    <x v="3"/>
    <n v="276.77999999999997"/>
    <n v="2"/>
    <n v="89.95"/>
    <x v="0"/>
    <x v="3"/>
  </r>
  <r>
    <d v="2024-01-24T00:00:00"/>
    <x v="435"/>
    <x v="3"/>
    <x v="2"/>
    <x v="6"/>
    <n v="110.35"/>
    <n v="3"/>
    <n v="8.2799999999999994"/>
    <x v="0"/>
    <x v="3"/>
  </r>
  <r>
    <d v="2024-01-26T00:00:00"/>
    <x v="27"/>
    <x v="33"/>
    <x v="0"/>
    <x v="4"/>
    <n v="15.47"/>
    <n v="7"/>
    <n v="4.18"/>
    <x v="0"/>
    <x v="3"/>
  </r>
  <r>
    <d v="2024-01-26T00:00:00"/>
    <x v="27"/>
    <x v="33"/>
    <x v="0"/>
    <x v="3"/>
    <n v="7.16"/>
    <n v="2"/>
    <n v="3.44"/>
    <x v="0"/>
    <x v="3"/>
  </r>
  <r>
    <d v="2024-01-26T00:00:00"/>
    <x v="704"/>
    <x v="0"/>
    <x v="0"/>
    <x v="2"/>
    <n v="18.16"/>
    <n v="2"/>
    <n v="1.82"/>
    <x v="0"/>
    <x v="3"/>
  </r>
  <r>
    <d v="2024-01-26T00:00:00"/>
    <x v="740"/>
    <x v="3"/>
    <x v="0"/>
    <x v="7"/>
    <n v="11.84"/>
    <n v="8"/>
    <n v="5.68"/>
    <x v="0"/>
    <x v="3"/>
  </r>
  <r>
    <d v="2024-01-26T00:00:00"/>
    <x v="32"/>
    <x v="4"/>
    <x v="1"/>
    <x v="8"/>
    <n v="62.72"/>
    <n v="4"/>
    <n v="24.46"/>
    <x v="0"/>
    <x v="3"/>
  </r>
  <r>
    <d v="2024-01-26T00:00:00"/>
    <x v="32"/>
    <x v="4"/>
    <x v="2"/>
    <x v="6"/>
    <n v="2939.93"/>
    <n v="7"/>
    <n v="764.38"/>
    <x v="0"/>
    <x v="3"/>
  </r>
  <r>
    <d v="2024-01-27T00:00:00"/>
    <x v="209"/>
    <x v="10"/>
    <x v="0"/>
    <x v="4"/>
    <n v="14.02"/>
    <n v="3"/>
    <n v="1.75"/>
    <x v="0"/>
    <x v="3"/>
  </r>
  <r>
    <d v="2024-01-27T00:00:00"/>
    <x v="209"/>
    <x v="10"/>
    <x v="2"/>
    <x v="9"/>
    <n v="71.98"/>
    <n v="3"/>
    <n v="-9"/>
    <x v="0"/>
    <x v="3"/>
  </r>
  <r>
    <d v="2024-01-27T00:00:00"/>
    <x v="209"/>
    <x v="10"/>
    <x v="2"/>
    <x v="6"/>
    <n v="107.98"/>
    <n v="3"/>
    <n v="-27"/>
    <x v="0"/>
    <x v="3"/>
  </r>
  <r>
    <d v="2024-01-27T00:00:00"/>
    <x v="614"/>
    <x v="20"/>
    <x v="2"/>
    <x v="6"/>
    <n v="137.94"/>
    <n v="3"/>
    <n v="35.86"/>
    <x v="0"/>
    <x v="3"/>
  </r>
  <r>
    <d v="2024-01-28T00:00:00"/>
    <x v="165"/>
    <x v="3"/>
    <x v="2"/>
    <x v="9"/>
    <n v="239.97"/>
    <n v="3"/>
    <n v="26.4"/>
    <x v="0"/>
    <x v="3"/>
  </r>
  <r>
    <d v="2024-01-28T00:00:00"/>
    <x v="165"/>
    <x v="3"/>
    <x v="1"/>
    <x v="8"/>
    <n v="37.74"/>
    <n v="3"/>
    <n v="12.83"/>
    <x v="0"/>
    <x v="3"/>
  </r>
  <r>
    <d v="2024-01-28T00:00:00"/>
    <x v="656"/>
    <x v="42"/>
    <x v="0"/>
    <x v="0"/>
    <n v="279.89999999999998"/>
    <n v="5"/>
    <n v="137.15"/>
    <x v="0"/>
    <x v="3"/>
  </r>
  <r>
    <d v="2024-01-28T00:00:00"/>
    <x v="750"/>
    <x v="20"/>
    <x v="2"/>
    <x v="9"/>
    <n v="449.91"/>
    <n v="9"/>
    <n v="157.47"/>
    <x v="0"/>
    <x v="3"/>
  </r>
  <r>
    <d v="2024-01-29T00:00:00"/>
    <x v="584"/>
    <x v="1"/>
    <x v="0"/>
    <x v="3"/>
    <n v="12.13"/>
    <n v="4"/>
    <n v="-20.62"/>
    <x v="0"/>
    <x v="3"/>
  </r>
  <r>
    <d v="2024-01-29T00:00:00"/>
    <x v="339"/>
    <x v="3"/>
    <x v="0"/>
    <x v="4"/>
    <n v="8.34"/>
    <n v="3"/>
    <n v="2.17"/>
    <x v="0"/>
    <x v="3"/>
  </r>
  <r>
    <d v="2024-01-29T00:00:00"/>
    <x v="339"/>
    <x v="3"/>
    <x v="0"/>
    <x v="14"/>
    <n v="8.57"/>
    <n v="1"/>
    <n v="2.23"/>
    <x v="0"/>
    <x v="3"/>
  </r>
  <r>
    <d v="2024-01-29T00:00:00"/>
    <x v="339"/>
    <x v="3"/>
    <x v="0"/>
    <x v="3"/>
    <n v="119.62"/>
    <n v="8"/>
    <n v="40.369999999999997"/>
    <x v="0"/>
    <x v="3"/>
  </r>
  <r>
    <d v="2024-01-29T00:00:00"/>
    <x v="122"/>
    <x v="20"/>
    <x v="0"/>
    <x v="1"/>
    <n v="5.22"/>
    <n v="2"/>
    <n v="2.4"/>
    <x v="0"/>
    <x v="3"/>
  </r>
  <r>
    <d v="2024-01-29T00:00:00"/>
    <x v="741"/>
    <x v="2"/>
    <x v="0"/>
    <x v="4"/>
    <n v="4.7699999999999996"/>
    <n v="2"/>
    <n v="0.48"/>
    <x v="0"/>
    <x v="3"/>
  </r>
  <r>
    <d v="2024-01-29T00:00:00"/>
    <x v="51"/>
    <x v="30"/>
    <x v="0"/>
    <x v="0"/>
    <n v="12.96"/>
    <n v="2"/>
    <n v="6.22"/>
    <x v="0"/>
    <x v="3"/>
  </r>
  <r>
    <d v="2024-01-29T00:00:00"/>
    <x v="51"/>
    <x v="30"/>
    <x v="0"/>
    <x v="0"/>
    <n v="94.85"/>
    <n v="5"/>
    <n v="45.53"/>
    <x v="0"/>
    <x v="3"/>
  </r>
  <r>
    <d v="2024-01-29T00:00:00"/>
    <x v="51"/>
    <x v="30"/>
    <x v="0"/>
    <x v="2"/>
    <n v="13.48"/>
    <n v="1"/>
    <n v="3.5"/>
    <x v="0"/>
    <x v="3"/>
  </r>
  <r>
    <d v="2024-01-29T00:00:00"/>
    <x v="51"/>
    <x v="30"/>
    <x v="1"/>
    <x v="8"/>
    <n v="14.91"/>
    <n v="3"/>
    <n v="4.62"/>
    <x v="0"/>
    <x v="3"/>
  </r>
  <r>
    <d v="2024-01-30T00:00:00"/>
    <x v="625"/>
    <x v="30"/>
    <x v="0"/>
    <x v="3"/>
    <n v="18.28"/>
    <n v="2"/>
    <n v="9.14"/>
    <x v="0"/>
    <x v="3"/>
  </r>
  <r>
    <d v="2024-01-30T00:00:00"/>
    <x v="625"/>
    <x v="30"/>
    <x v="2"/>
    <x v="6"/>
    <n v="207"/>
    <n v="3"/>
    <n v="51.75"/>
    <x v="0"/>
    <x v="3"/>
  </r>
  <r>
    <d v="2024-01-30T00:00:00"/>
    <x v="625"/>
    <x v="30"/>
    <x v="0"/>
    <x v="3"/>
    <n v="32.35"/>
    <n v="5"/>
    <n v="16.18"/>
    <x v="0"/>
    <x v="3"/>
  </r>
  <r>
    <d v="2024-01-30T00:00:00"/>
    <x v="625"/>
    <x v="30"/>
    <x v="0"/>
    <x v="3"/>
    <n v="7.71"/>
    <n v="1"/>
    <n v="3.47"/>
    <x v="0"/>
    <x v="3"/>
  </r>
  <r>
    <d v="2024-01-30T00:00:00"/>
    <x v="625"/>
    <x v="30"/>
    <x v="0"/>
    <x v="4"/>
    <n v="40.299999999999997"/>
    <n v="2"/>
    <n v="10.88"/>
    <x v="0"/>
    <x v="3"/>
  </r>
  <r>
    <d v="2024-01-30T00:00:00"/>
    <x v="625"/>
    <x v="30"/>
    <x v="1"/>
    <x v="8"/>
    <n v="34.58"/>
    <n v="7"/>
    <n v="14.52"/>
    <x v="0"/>
    <x v="3"/>
  </r>
  <r>
    <d v="2024-01-30T00:00:00"/>
    <x v="13"/>
    <x v="3"/>
    <x v="0"/>
    <x v="2"/>
    <n v="129.30000000000001"/>
    <n v="2"/>
    <n v="6.47"/>
    <x v="0"/>
    <x v="3"/>
  </r>
  <r>
    <d v="2024-01-30T00:00:00"/>
    <x v="469"/>
    <x v="3"/>
    <x v="0"/>
    <x v="4"/>
    <n v="12.74"/>
    <n v="7"/>
    <n v="5.73"/>
    <x v="0"/>
    <x v="3"/>
  </r>
  <r>
    <d v="2024-01-30T00:00:00"/>
    <x v="469"/>
    <x v="3"/>
    <x v="0"/>
    <x v="4"/>
    <n v="8.82"/>
    <n v="3"/>
    <n v="2.38"/>
    <x v="0"/>
    <x v="3"/>
  </r>
  <r>
    <d v="2024-01-30T00:00:00"/>
    <x v="469"/>
    <x v="3"/>
    <x v="1"/>
    <x v="5"/>
    <n v="120.78"/>
    <n v="1"/>
    <n v="-13.59"/>
    <x v="0"/>
    <x v="3"/>
  </r>
  <r>
    <d v="2024-01-30T00:00:00"/>
    <x v="185"/>
    <x v="16"/>
    <x v="1"/>
    <x v="5"/>
    <n v="419.14"/>
    <n v="4"/>
    <n v="-68.11"/>
    <x v="0"/>
    <x v="3"/>
  </r>
  <r>
    <d v="2024-01-30T00:00:00"/>
    <x v="760"/>
    <x v="1"/>
    <x v="1"/>
    <x v="13"/>
    <n v="69.38"/>
    <n v="1"/>
    <n v="-47.18"/>
    <x v="0"/>
    <x v="3"/>
  </r>
  <r>
    <d v="2024-01-30T00:00:00"/>
    <x v="760"/>
    <x v="1"/>
    <x v="0"/>
    <x v="14"/>
    <n v="31.68"/>
    <n v="4"/>
    <n v="2.77"/>
    <x v="0"/>
    <x v="3"/>
  </r>
  <r>
    <d v="2024-01-30T00:00:00"/>
    <x v="760"/>
    <x v="1"/>
    <x v="2"/>
    <x v="6"/>
    <n v="2003.17"/>
    <n v="4"/>
    <n v="250.4"/>
    <x v="0"/>
    <x v="3"/>
  </r>
  <r>
    <d v="2024-01-30T00:00:00"/>
    <x v="760"/>
    <x v="1"/>
    <x v="0"/>
    <x v="4"/>
    <n v="9.34"/>
    <n v="2"/>
    <n v="3.15"/>
    <x v="0"/>
    <x v="3"/>
  </r>
  <r>
    <d v="2024-01-30T00:00:00"/>
    <x v="381"/>
    <x v="22"/>
    <x v="2"/>
    <x v="6"/>
    <n v="604.77"/>
    <n v="4"/>
    <n v="60.48"/>
    <x v="0"/>
    <x v="3"/>
  </r>
  <r>
    <d v="2024-02-02T00:00:00"/>
    <x v="360"/>
    <x v="10"/>
    <x v="2"/>
    <x v="6"/>
    <n v="59.97"/>
    <n v="5"/>
    <n v="-11.99"/>
    <x v="1"/>
    <x v="3"/>
  </r>
  <r>
    <d v="2024-02-02T00:00:00"/>
    <x v="360"/>
    <x v="10"/>
    <x v="0"/>
    <x v="0"/>
    <n v="78.3"/>
    <n v="2"/>
    <n v="29.36"/>
    <x v="1"/>
    <x v="3"/>
  </r>
  <r>
    <d v="2024-02-02T00:00:00"/>
    <x v="360"/>
    <x v="10"/>
    <x v="0"/>
    <x v="7"/>
    <n v="21.46"/>
    <n v="9"/>
    <n v="6.97"/>
    <x v="1"/>
    <x v="3"/>
  </r>
  <r>
    <d v="2024-02-02T00:00:00"/>
    <x v="154"/>
    <x v="3"/>
    <x v="1"/>
    <x v="8"/>
    <n v="86.26"/>
    <n v="2"/>
    <n v="29.33"/>
    <x v="1"/>
    <x v="3"/>
  </r>
  <r>
    <d v="2024-02-02T00:00:00"/>
    <x v="154"/>
    <x v="3"/>
    <x v="0"/>
    <x v="2"/>
    <n v="139.04"/>
    <n v="4"/>
    <n v="38.93"/>
    <x v="1"/>
    <x v="3"/>
  </r>
  <r>
    <d v="2024-02-02T00:00:00"/>
    <x v="154"/>
    <x v="3"/>
    <x v="0"/>
    <x v="12"/>
    <n v="46.8"/>
    <n v="4"/>
    <n v="16.38"/>
    <x v="1"/>
    <x v="3"/>
  </r>
  <r>
    <d v="2024-02-02T00:00:00"/>
    <x v="731"/>
    <x v="3"/>
    <x v="1"/>
    <x v="8"/>
    <n v="210.58"/>
    <n v="2"/>
    <n v="12.63"/>
    <x v="1"/>
    <x v="3"/>
  </r>
  <r>
    <d v="2024-02-02T00:00:00"/>
    <x v="731"/>
    <x v="3"/>
    <x v="0"/>
    <x v="3"/>
    <n v="30.96"/>
    <n v="2"/>
    <n v="10.06"/>
    <x v="1"/>
    <x v="3"/>
  </r>
  <r>
    <d v="2024-02-02T00:00:00"/>
    <x v="731"/>
    <x v="3"/>
    <x v="2"/>
    <x v="15"/>
    <n v="239.98"/>
    <n v="2"/>
    <n v="39"/>
    <x v="1"/>
    <x v="3"/>
  </r>
  <r>
    <d v="2024-02-03T00:00:00"/>
    <x v="550"/>
    <x v="10"/>
    <x v="0"/>
    <x v="3"/>
    <n v="5.23"/>
    <n v="3"/>
    <n v="-4.18"/>
    <x v="1"/>
    <x v="3"/>
  </r>
  <r>
    <d v="2024-02-03T00:00:00"/>
    <x v="550"/>
    <x v="10"/>
    <x v="0"/>
    <x v="2"/>
    <n v="285.55"/>
    <n v="2"/>
    <n v="35.69"/>
    <x v="1"/>
    <x v="3"/>
  </r>
  <r>
    <d v="2024-02-03T00:00:00"/>
    <x v="59"/>
    <x v="16"/>
    <x v="0"/>
    <x v="3"/>
    <n v="3.88"/>
    <n v="2"/>
    <n v="-2.59"/>
    <x v="1"/>
    <x v="3"/>
  </r>
  <r>
    <d v="2024-02-03T00:00:00"/>
    <x v="59"/>
    <x v="16"/>
    <x v="0"/>
    <x v="0"/>
    <n v="115.3"/>
    <n v="3"/>
    <n v="40.35"/>
    <x v="1"/>
    <x v="3"/>
  </r>
  <r>
    <d v="2024-02-03T00:00:00"/>
    <x v="476"/>
    <x v="1"/>
    <x v="0"/>
    <x v="0"/>
    <n v="5.18"/>
    <n v="1"/>
    <n v="1.81"/>
    <x v="1"/>
    <x v="3"/>
  </r>
  <r>
    <d v="2024-02-03T00:00:00"/>
    <x v="476"/>
    <x v="1"/>
    <x v="0"/>
    <x v="0"/>
    <n v="65.58"/>
    <n v="2"/>
    <n v="23.77"/>
    <x v="1"/>
    <x v="3"/>
  </r>
  <r>
    <d v="2024-02-03T00:00:00"/>
    <x v="476"/>
    <x v="1"/>
    <x v="1"/>
    <x v="8"/>
    <n v="22.2"/>
    <n v="1"/>
    <n v="-26.09"/>
    <x v="1"/>
    <x v="3"/>
  </r>
  <r>
    <d v="2024-02-03T00:00:00"/>
    <x v="476"/>
    <x v="1"/>
    <x v="0"/>
    <x v="0"/>
    <n v="419.4"/>
    <n v="5"/>
    <n v="146.79"/>
    <x v="1"/>
    <x v="3"/>
  </r>
  <r>
    <d v="2024-02-04T00:00:00"/>
    <x v="705"/>
    <x v="20"/>
    <x v="0"/>
    <x v="12"/>
    <n v="32.67"/>
    <n v="3"/>
    <n v="8.49"/>
    <x v="1"/>
    <x v="3"/>
  </r>
  <r>
    <d v="2024-02-05T00:00:00"/>
    <x v="92"/>
    <x v="0"/>
    <x v="0"/>
    <x v="3"/>
    <n v="243.99"/>
    <n v="4"/>
    <n v="-426.99"/>
    <x v="1"/>
    <x v="3"/>
  </r>
  <r>
    <d v="2024-02-05T00:00:00"/>
    <x v="92"/>
    <x v="0"/>
    <x v="0"/>
    <x v="4"/>
    <n v="7.12"/>
    <n v="5"/>
    <n v="0.71"/>
    <x v="1"/>
    <x v="3"/>
  </r>
  <r>
    <d v="2024-02-05T00:00:00"/>
    <x v="452"/>
    <x v="3"/>
    <x v="0"/>
    <x v="12"/>
    <n v="1640.7"/>
    <n v="5"/>
    <n v="459.4"/>
    <x v="1"/>
    <x v="3"/>
  </r>
  <r>
    <d v="2024-02-05T00:00:00"/>
    <x v="452"/>
    <x v="3"/>
    <x v="2"/>
    <x v="6"/>
    <n v="371.2"/>
    <n v="5"/>
    <n v="41.76"/>
    <x v="1"/>
    <x v="3"/>
  </r>
  <r>
    <d v="2024-02-06T00:00:00"/>
    <x v="20"/>
    <x v="6"/>
    <x v="1"/>
    <x v="11"/>
    <n v="359.97"/>
    <n v="3"/>
    <n v="79.19"/>
    <x v="1"/>
    <x v="3"/>
  </r>
  <r>
    <d v="2024-02-06T00:00:00"/>
    <x v="741"/>
    <x v="20"/>
    <x v="1"/>
    <x v="11"/>
    <n v="240.78"/>
    <n v="1"/>
    <n v="30.1"/>
    <x v="1"/>
    <x v="3"/>
  </r>
  <r>
    <d v="2024-02-06T00:00:00"/>
    <x v="457"/>
    <x v="20"/>
    <x v="2"/>
    <x v="6"/>
    <n v="227.46"/>
    <n v="6"/>
    <n v="65.959999999999994"/>
    <x v="1"/>
    <x v="3"/>
  </r>
  <r>
    <d v="2024-02-06T00:00:00"/>
    <x v="457"/>
    <x v="20"/>
    <x v="0"/>
    <x v="3"/>
    <n v="46.24"/>
    <n v="4"/>
    <n v="15.61"/>
    <x v="1"/>
    <x v="3"/>
  </r>
  <r>
    <d v="2024-02-06T00:00:00"/>
    <x v="659"/>
    <x v="3"/>
    <x v="0"/>
    <x v="0"/>
    <n v="29.9"/>
    <n v="5"/>
    <n v="13.46"/>
    <x v="1"/>
    <x v="3"/>
  </r>
  <r>
    <d v="2024-02-09T00:00:00"/>
    <x v="717"/>
    <x v="0"/>
    <x v="0"/>
    <x v="3"/>
    <n v="252.78"/>
    <n v="4"/>
    <n v="-417.09"/>
    <x v="1"/>
    <x v="3"/>
  </r>
  <r>
    <d v="2024-02-09T00:00:00"/>
    <x v="717"/>
    <x v="0"/>
    <x v="2"/>
    <x v="9"/>
    <n v="127.98"/>
    <n v="2"/>
    <n v="16"/>
    <x v="1"/>
    <x v="3"/>
  </r>
  <r>
    <d v="2024-02-09T00:00:00"/>
    <x v="717"/>
    <x v="0"/>
    <x v="1"/>
    <x v="8"/>
    <n v="3.98"/>
    <n v="2"/>
    <n v="-2.69"/>
    <x v="1"/>
    <x v="3"/>
  </r>
  <r>
    <d v="2024-02-09T00:00:00"/>
    <x v="717"/>
    <x v="0"/>
    <x v="0"/>
    <x v="12"/>
    <n v="12.99"/>
    <n v="2"/>
    <n v="-32.479999999999997"/>
    <x v="1"/>
    <x v="3"/>
  </r>
  <r>
    <d v="2024-02-09T00:00:00"/>
    <x v="44"/>
    <x v="3"/>
    <x v="1"/>
    <x v="8"/>
    <n v="21.12"/>
    <n v="4"/>
    <n v="6.55"/>
    <x v="1"/>
    <x v="3"/>
  </r>
  <r>
    <d v="2024-02-09T00:00:00"/>
    <x v="242"/>
    <x v="3"/>
    <x v="0"/>
    <x v="2"/>
    <n v="354.9"/>
    <n v="5"/>
    <n v="17.75"/>
    <x v="1"/>
    <x v="3"/>
  </r>
  <r>
    <d v="2024-02-10T00:00:00"/>
    <x v="109"/>
    <x v="3"/>
    <x v="1"/>
    <x v="11"/>
    <n v="203.98"/>
    <n v="2"/>
    <n v="16.8"/>
    <x v="1"/>
    <x v="3"/>
  </r>
  <r>
    <d v="2024-02-10T00:00:00"/>
    <x v="46"/>
    <x v="36"/>
    <x v="0"/>
    <x v="0"/>
    <n v="23.12"/>
    <n v="4"/>
    <n v="11.33"/>
    <x v="1"/>
    <x v="3"/>
  </r>
  <r>
    <d v="2024-02-11T00:00:00"/>
    <x v="197"/>
    <x v="3"/>
    <x v="0"/>
    <x v="3"/>
    <n v="21.34"/>
    <n v="7"/>
    <n v="7.73"/>
    <x v="1"/>
    <x v="3"/>
  </r>
  <r>
    <d v="2024-02-11T00:00:00"/>
    <x v="568"/>
    <x v="22"/>
    <x v="1"/>
    <x v="5"/>
    <n v="963.14"/>
    <n v="4"/>
    <n v="108.35"/>
    <x v="1"/>
    <x v="3"/>
  </r>
  <r>
    <d v="2024-02-11T00:00:00"/>
    <x v="568"/>
    <x v="22"/>
    <x v="2"/>
    <x v="6"/>
    <n v="88.78"/>
    <n v="3"/>
    <n v="7.77"/>
    <x v="1"/>
    <x v="3"/>
  </r>
  <r>
    <d v="2024-02-11T00:00:00"/>
    <x v="351"/>
    <x v="20"/>
    <x v="0"/>
    <x v="1"/>
    <n v="20.7"/>
    <n v="2"/>
    <n v="9.94"/>
    <x v="1"/>
    <x v="3"/>
  </r>
  <r>
    <d v="2024-02-11T00:00:00"/>
    <x v="226"/>
    <x v="10"/>
    <x v="1"/>
    <x v="8"/>
    <n v="147.57"/>
    <n v="2"/>
    <n v="-3.69"/>
    <x v="1"/>
    <x v="3"/>
  </r>
  <r>
    <d v="2024-02-13T00:00:00"/>
    <x v="681"/>
    <x v="22"/>
    <x v="0"/>
    <x v="4"/>
    <n v="6.63"/>
    <n v="3"/>
    <n v="1.79"/>
    <x v="1"/>
    <x v="3"/>
  </r>
  <r>
    <d v="2024-02-13T00:00:00"/>
    <x v="681"/>
    <x v="22"/>
    <x v="2"/>
    <x v="9"/>
    <n v="799.96"/>
    <n v="4"/>
    <n v="343.98"/>
    <x v="1"/>
    <x v="3"/>
  </r>
  <r>
    <d v="2024-02-13T00:00:00"/>
    <x v="681"/>
    <x v="22"/>
    <x v="1"/>
    <x v="8"/>
    <n v="107.53"/>
    <n v="1"/>
    <n v="21.51"/>
    <x v="1"/>
    <x v="3"/>
  </r>
  <r>
    <d v="2024-02-13T00:00:00"/>
    <x v="149"/>
    <x v="36"/>
    <x v="0"/>
    <x v="14"/>
    <n v="25.02"/>
    <n v="3"/>
    <n v="6.51"/>
    <x v="1"/>
    <x v="3"/>
  </r>
  <r>
    <d v="2024-02-13T00:00:00"/>
    <x v="149"/>
    <x v="36"/>
    <x v="0"/>
    <x v="4"/>
    <n v="10.71"/>
    <n v="3"/>
    <n v="2.78"/>
    <x v="1"/>
    <x v="3"/>
  </r>
  <r>
    <d v="2024-02-13T00:00:00"/>
    <x v="359"/>
    <x v="20"/>
    <x v="0"/>
    <x v="0"/>
    <n v="17.940000000000001"/>
    <n v="3"/>
    <n v="8.7899999999999991"/>
    <x v="1"/>
    <x v="3"/>
  </r>
  <r>
    <d v="2024-02-13T00:00:00"/>
    <x v="294"/>
    <x v="28"/>
    <x v="0"/>
    <x v="12"/>
    <n v="90.64"/>
    <n v="8"/>
    <n v="38.979999999999997"/>
    <x v="1"/>
    <x v="3"/>
  </r>
  <r>
    <d v="2024-02-16T00:00:00"/>
    <x v="321"/>
    <x v="20"/>
    <x v="0"/>
    <x v="0"/>
    <n v="37.94"/>
    <n v="2"/>
    <n v="18.21"/>
    <x v="1"/>
    <x v="3"/>
  </r>
  <r>
    <d v="2024-02-16T00:00:00"/>
    <x v="537"/>
    <x v="37"/>
    <x v="0"/>
    <x v="2"/>
    <n v="579.51"/>
    <n v="3"/>
    <n v="81.13"/>
    <x v="1"/>
    <x v="3"/>
  </r>
  <r>
    <d v="2024-02-16T00:00:00"/>
    <x v="537"/>
    <x v="37"/>
    <x v="2"/>
    <x v="6"/>
    <n v="14.99"/>
    <n v="1"/>
    <n v="7.35"/>
    <x v="1"/>
    <x v="3"/>
  </r>
  <r>
    <d v="2024-02-16T00:00:00"/>
    <x v="55"/>
    <x v="1"/>
    <x v="0"/>
    <x v="7"/>
    <n v="18.37"/>
    <n v="2"/>
    <n v="6.2"/>
    <x v="1"/>
    <x v="3"/>
  </r>
  <r>
    <d v="2024-02-16T00:00:00"/>
    <x v="55"/>
    <x v="1"/>
    <x v="1"/>
    <x v="5"/>
    <n v="600.55999999999995"/>
    <n v="3"/>
    <n v="-8.58"/>
    <x v="1"/>
    <x v="3"/>
  </r>
  <r>
    <d v="2024-02-16T00:00:00"/>
    <x v="55"/>
    <x v="1"/>
    <x v="0"/>
    <x v="2"/>
    <n v="50.35"/>
    <n v="3"/>
    <n v="-8.18"/>
    <x v="1"/>
    <x v="3"/>
  </r>
  <r>
    <d v="2024-02-16T00:00:00"/>
    <x v="55"/>
    <x v="1"/>
    <x v="0"/>
    <x v="4"/>
    <n v="28.03"/>
    <n v="6"/>
    <n v="3.5"/>
    <x v="1"/>
    <x v="3"/>
  </r>
  <r>
    <d v="2024-02-16T00:00:00"/>
    <x v="55"/>
    <x v="1"/>
    <x v="1"/>
    <x v="8"/>
    <n v="7.69"/>
    <n v="1"/>
    <n v="-3.65"/>
    <x v="1"/>
    <x v="3"/>
  </r>
  <r>
    <d v="2024-02-17T00:00:00"/>
    <x v="488"/>
    <x v="1"/>
    <x v="1"/>
    <x v="13"/>
    <n v="480.96"/>
    <n v="3"/>
    <n v="-269.33999999999997"/>
    <x v="1"/>
    <x v="3"/>
  </r>
  <r>
    <d v="2024-02-17T00:00:00"/>
    <x v="488"/>
    <x v="1"/>
    <x v="2"/>
    <x v="6"/>
    <n v="124.79"/>
    <n v="1"/>
    <n v="10.92"/>
    <x v="1"/>
    <x v="3"/>
  </r>
  <r>
    <d v="2024-02-17T00:00:00"/>
    <x v="172"/>
    <x v="8"/>
    <x v="2"/>
    <x v="6"/>
    <n v="29.16"/>
    <n v="3"/>
    <n v="8.4600000000000009"/>
    <x v="1"/>
    <x v="3"/>
  </r>
  <r>
    <d v="2024-02-17T00:00:00"/>
    <x v="292"/>
    <x v="23"/>
    <x v="0"/>
    <x v="0"/>
    <n v="11.76"/>
    <n v="2"/>
    <n v="5.76"/>
    <x v="1"/>
    <x v="3"/>
  </r>
  <r>
    <d v="2024-02-17T00:00:00"/>
    <x v="292"/>
    <x v="23"/>
    <x v="0"/>
    <x v="2"/>
    <n v="166.45"/>
    <n v="5"/>
    <n v="39.950000000000003"/>
    <x v="1"/>
    <x v="3"/>
  </r>
  <r>
    <d v="2024-02-17T00:00:00"/>
    <x v="601"/>
    <x v="0"/>
    <x v="1"/>
    <x v="11"/>
    <n v="89.07"/>
    <n v="1"/>
    <n v="-17.03"/>
    <x v="1"/>
    <x v="3"/>
  </r>
  <r>
    <d v="2024-02-17T00:00:00"/>
    <x v="601"/>
    <x v="0"/>
    <x v="0"/>
    <x v="4"/>
    <n v="175.44"/>
    <n v="6"/>
    <n v="52.63"/>
    <x v="1"/>
    <x v="3"/>
  </r>
  <r>
    <d v="2024-02-17T00:00:00"/>
    <x v="601"/>
    <x v="0"/>
    <x v="2"/>
    <x v="6"/>
    <n v="438.34"/>
    <n v="4"/>
    <n v="-87.67"/>
    <x v="1"/>
    <x v="3"/>
  </r>
  <r>
    <d v="2024-02-17T00:00:00"/>
    <x v="79"/>
    <x v="10"/>
    <x v="1"/>
    <x v="13"/>
    <n v="455.97"/>
    <n v="5"/>
    <n v="-106.39"/>
    <x v="1"/>
    <x v="3"/>
  </r>
  <r>
    <d v="2024-02-17T00:00:00"/>
    <x v="79"/>
    <x v="10"/>
    <x v="0"/>
    <x v="3"/>
    <n v="5.72"/>
    <n v="5"/>
    <n v="-4.76"/>
    <x v="1"/>
    <x v="3"/>
  </r>
  <r>
    <d v="2024-02-17T00:00:00"/>
    <x v="79"/>
    <x v="10"/>
    <x v="2"/>
    <x v="6"/>
    <n v="57.59"/>
    <n v="1"/>
    <n v="-11.52"/>
    <x v="1"/>
    <x v="3"/>
  </r>
  <r>
    <d v="2024-02-17T00:00:00"/>
    <x v="79"/>
    <x v="10"/>
    <x v="1"/>
    <x v="8"/>
    <n v="30.14"/>
    <n v="2"/>
    <n v="8.2899999999999991"/>
    <x v="1"/>
    <x v="3"/>
  </r>
  <r>
    <d v="2024-02-17T00:00:00"/>
    <x v="79"/>
    <x v="10"/>
    <x v="1"/>
    <x v="5"/>
    <n v="899.43"/>
    <n v="5"/>
    <n v="-12.85"/>
    <x v="1"/>
    <x v="3"/>
  </r>
  <r>
    <d v="2024-02-18T00:00:00"/>
    <x v="755"/>
    <x v="3"/>
    <x v="2"/>
    <x v="6"/>
    <n v="167.98"/>
    <n v="3"/>
    <n v="10.5"/>
    <x v="1"/>
    <x v="3"/>
  </r>
  <r>
    <d v="2024-02-18T00:00:00"/>
    <x v="755"/>
    <x v="3"/>
    <x v="2"/>
    <x v="9"/>
    <n v="109.53"/>
    <n v="3"/>
    <n v="47.1"/>
    <x v="1"/>
    <x v="3"/>
  </r>
  <r>
    <d v="2024-02-18T00:00:00"/>
    <x v="755"/>
    <x v="3"/>
    <x v="0"/>
    <x v="1"/>
    <n v="9.82"/>
    <n v="2"/>
    <n v="4.8099999999999996"/>
    <x v="1"/>
    <x v="3"/>
  </r>
  <r>
    <d v="2024-02-19T00:00:00"/>
    <x v="62"/>
    <x v="4"/>
    <x v="0"/>
    <x v="12"/>
    <n v="1245.8599999999999"/>
    <n v="7"/>
    <n v="361.3"/>
    <x v="1"/>
    <x v="3"/>
  </r>
  <r>
    <d v="2024-02-19T00:00:00"/>
    <x v="297"/>
    <x v="22"/>
    <x v="0"/>
    <x v="7"/>
    <n v="11.22"/>
    <n v="3"/>
    <n v="0.22"/>
    <x v="1"/>
    <x v="3"/>
  </r>
  <r>
    <d v="2024-02-19T00:00:00"/>
    <x v="341"/>
    <x v="3"/>
    <x v="0"/>
    <x v="4"/>
    <n v="12.84"/>
    <n v="3"/>
    <n v="3.47"/>
    <x v="1"/>
    <x v="3"/>
  </r>
  <r>
    <d v="2024-02-19T00:00:00"/>
    <x v="341"/>
    <x v="3"/>
    <x v="1"/>
    <x v="8"/>
    <n v="44.67"/>
    <n v="3"/>
    <n v="12.06"/>
    <x v="1"/>
    <x v="3"/>
  </r>
  <r>
    <d v="2024-02-20T00:00:00"/>
    <x v="698"/>
    <x v="3"/>
    <x v="1"/>
    <x v="8"/>
    <n v="22.23"/>
    <n v="1"/>
    <n v="7.34"/>
    <x v="1"/>
    <x v="3"/>
  </r>
  <r>
    <d v="2024-02-20T00:00:00"/>
    <x v="698"/>
    <x v="3"/>
    <x v="2"/>
    <x v="6"/>
    <n v="215.97"/>
    <n v="2"/>
    <n v="18.899999999999999"/>
    <x v="1"/>
    <x v="3"/>
  </r>
  <r>
    <d v="2024-02-20T00:00:00"/>
    <x v="425"/>
    <x v="39"/>
    <x v="0"/>
    <x v="4"/>
    <n v="6.56"/>
    <n v="2"/>
    <n v="1.9"/>
    <x v="1"/>
    <x v="3"/>
  </r>
  <r>
    <d v="2024-02-20T00:00:00"/>
    <x v="425"/>
    <x v="39"/>
    <x v="0"/>
    <x v="12"/>
    <n v="13.11"/>
    <n v="3"/>
    <n v="3.41"/>
    <x v="1"/>
    <x v="3"/>
  </r>
  <r>
    <d v="2024-02-20T00:00:00"/>
    <x v="244"/>
    <x v="26"/>
    <x v="0"/>
    <x v="7"/>
    <n v="9.43"/>
    <n v="3"/>
    <n v="3.07"/>
    <x v="1"/>
    <x v="3"/>
  </r>
  <r>
    <d v="2024-02-20T00:00:00"/>
    <x v="307"/>
    <x v="12"/>
    <x v="2"/>
    <x v="6"/>
    <n v="333.58"/>
    <n v="3"/>
    <n v="25.02"/>
    <x v="1"/>
    <x v="3"/>
  </r>
  <r>
    <d v="2024-02-20T00:00:00"/>
    <x v="307"/>
    <x v="12"/>
    <x v="2"/>
    <x v="9"/>
    <n v="31.99"/>
    <n v="1"/>
    <n v="4.8"/>
    <x v="1"/>
    <x v="3"/>
  </r>
  <r>
    <d v="2024-02-20T00:00:00"/>
    <x v="307"/>
    <x v="12"/>
    <x v="0"/>
    <x v="2"/>
    <n v="51.17"/>
    <n v="2"/>
    <n v="-6.4"/>
    <x v="1"/>
    <x v="3"/>
  </r>
  <r>
    <d v="2024-02-20T00:00:00"/>
    <x v="307"/>
    <x v="12"/>
    <x v="0"/>
    <x v="10"/>
    <n v="10.64"/>
    <n v="5"/>
    <n v="3.86"/>
    <x v="1"/>
    <x v="3"/>
  </r>
  <r>
    <d v="2024-02-20T00:00:00"/>
    <x v="307"/>
    <x v="12"/>
    <x v="1"/>
    <x v="8"/>
    <n v="68.7"/>
    <n v="2"/>
    <n v="16.32"/>
    <x v="1"/>
    <x v="3"/>
  </r>
  <r>
    <d v="2024-02-20T00:00:00"/>
    <x v="307"/>
    <x v="12"/>
    <x v="1"/>
    <x v="13"/>
    <n v="386.91"/>
    <n v="9"/>
    <n v="-185.72"/>
    <x v="1"/>
    <x v="3"/>
  </r>
  <r>
    <d v="2024-02-21T00:00:00"/>
    <x v="610"/>
    <x v="0"/>
    <x v="2"/>
    <x v="9"/>
    <n v="47.9"/>
    <n v="1"/>
    <n v="-2.99"/>
    <x v="1"/>
    <x v="3"/>
  </r>
  <r>
    <d v="2024-02-23T00:00:00"/>
    <x v="584"/>
    <x v="3"/>
    <x v="0"/>
    <x v="0"/>
    <n v="37.44"/>
    <n v="6"/>
    <n v="16.850000000000001"/>
    <x v="1"/>
    <x v="3"/>
  </r>
  <r>
    <d v="2024-02-23T00:00:00"/>
    <x v="689"/>
    <x v="22"/>
    <x v="0"/>
    <x v="7"/>
    <n v="8.4"/>
    <n v="5"/>
    <n v="0.34"/>
    <x v="1"/>
    <x v="3"/>
  </r>
  <r>
    <d v="2024-02-23T00:00:00"/>
    <x v="689"/>
    <x v="22"/>
    <x v="2"/>
    <x v="6"/>
    <n v="71.959999999999994"/>
    <n v="5"/>
    <n v="25.19"/>
    <x v="1"/>
    <x v="3"/>
  </r>
  <r>
    <d v="2024-02-24T00:00:00"/>
    <x v="710"/>
    <x v="2"/>
    <x v="0"/>
    <x v="3"/>
    <n v="4.96"/>
    <n v="4"/>
    <n v="-3.8"/>
    <x v="1"/>
    <x v="3"/>
  </r>
  <r>
    <d v="2024-02-24T00:00:00"/>
    <x v="442"/>
    <x v="2"/>
    <x v="0"/>
    <x v="0"/>
    <n v="123.92"/>
    <n v="5"/>
    <n v="38.729999999999997"/>
    <x v="1"/>
    <x v="3"/>
  </r>
  <r>
    <d v="2024-02-24T00:00:00"/>
    <x v="442"/>
    <x v="2"/>
    <x v="2"/>
    <x v="9"/>
    <n v="1319.8"/>
    <n v="5"/>
    <n v="214.47"/>
    <x v="1"/>
    <x v="3"/>
  </r>
  <r>
    <d v="2024-02-25T00:00:00"/>
    <x v="289"/>
    <x v="1"/>
    <x v="0"/>
    <x v="3"/>
    <n v="1.79"/>
    <n v="3"/>
    <n v="-3.04"/>
    <x v="1"/>
    <x v="3"/>
  </r>
  <r>
    <d v="2024-02-25T00:00:00"/>
    <x v="308"/>
    <x v="25"/>
    <x v="1"/>
    <x v="5"/>
    <n v="196.78"/>
    <n v="2"/>
    <n v="-22.14"/>
    <x v="1"/>
    <x v="3"/>
  </r>
  <r>
    <d v="2024-02-25T00:00:00"/>
    <x v="308"/>
    <x v="25"/>
    <x v="1"/>
    <x v="11"/>
    <n v="231.92"/>
    <n v="5"/>
    <n v="5.8"/>
    <x v="1"/>
    <x v="3"/>
  </r>
  <r>
    <d v="2024-02-26T00:00:00"/>
    <x v="214"/>
    <x v="3"/>
    <x v="0"/>
    <x v="12"/>
    <n v="81.92"/>
    <n v="4"/>
    <n v="22.12"/>
    <x v="1"/>
    <x v="3"/>
  </r>
  <r>
    <d v="2024-02-26T00:00:00"/>
    <x v="214"/>
    <x v="3"/>
    <x v="2"/>
    <x v="6"/>
    <n v="889.54"/>
    <n v="8"/>
    <n v="66.72"/>
    <x v="1"/>
    <x v="3"/>
  </r>
  <r>
    <d v="2024-02-26T00:00:00"/>
    <x v="214"/>
    <x v="3"/>
    <x v="1"/>
    <x v="5"/>
    <n v="892.22"/>
    <n v="3"/>
    <n v="89.22"/>
    <x v="1"/>
    <x v="3"/>
  </r>
  <r>
    <d v="2024-02-26T00:00:00"/>
    <x v="214"/>
    <x v="3"/>
    <x v="0"/>
    <x v="0"/>
    <n v="223.92"/>
    <n v="4"/>
    <n v="109.72"/>
    <x v="1"/>
    <x v="3"/>
  </r>
  <r>
    <d v="2024-02-26T00:00:00"/>
    <x v="214"/>
    <x v="3"/>
    <x v="0"/>
    <x v="0"/>
    <n v="23.12"/>
    <n v="4"/>
    <n v="11.33"/>
    <x v="1"/>
    <x v="3"/>
  </r>
  <r>
    <d v="2024-02-26T00:00:00"/>
    <x v="383"/>
    <x v="3"/>
    <x v="0"/>
    <x v="12"/>
    <n v="356.79"/>
    <n v="7"/>
    <n v="99.9"/>
    <x v="1"/>
    <x v="3"/>
  </r>
  <r>
    <d v="2024-02-26T00:00:00"/>
    <x v="56"/>
    <x v="3"/>
    <x v="1"/>
    <x v="8"/>
    <n v="91.96"/>
    <n v="2"/>
    <n v="15.63"/>
    <x v="1"/>
    <x v="3"/>
  </r>
  <r>
    <d v="2024-02-26T00:00:00"/>
    <x v="56"/>
    <x v="3"/>
    <x v="2"/>
    <x v="6"/>
    <n v="258.58"/>
    <n v="2"/>
    <n v="19.39"/>
    <x v="1"/>
    <x v="3"/>
  </r>
  <r>
    <d v="2024-02-26T00:00:00"/>
    <x v="56"/>
    <x v="3"/>
    <x v="0"/>
    <x v="0"/>
    <n v="29.6"/>
    <n v="4"/>
    <n v="13.32"/>
    <x v="1"/>
    <x v="3"/>
  </r>
  <r>
    <d v="2024-02-28T00:00:00"/>
    <x v="257"/>
    <x v="37"/>
    <x v="0"/>
    <x v="3"/>
    <n v="9.84"/>
    <n v="2"/>
    <n v="4.72"/>
    <x v="1"/>
    <x v="3"/>
  </r>
  <r>
    <d v="2024-02-28T00:00:00"/>
    <x v="257"/>
    <x v="37"/>
    <x v="0"/>
    <x v="0"/>
    <n v="7.78"/>
    <n v="1"/>
    <n v="3.5"/>
    <x v="1"/>
    <x v="3"/>
  </r>
  <r>
    <d v="2024-03-02T00:00:00"/>
    <x v="660"/>
    <x v="0"/>
    <x v="0"/>
    <x v="14"/>
    <n v="6.98"/>
    <n v="4"/>
    <n v="-1.4"/>
    <x v="2"/>
    <x v="3"/>
  </r>
  <r>
    <d v="2024-03-02T00:00:00"/>
    <x v="660"/>
    <x v="0"/>
    <x v="0"/>
    <x v="3"/>
    <n v="12.22"/>
    <n v="7"/>
    <n v="-20.170000000000002"/>
    <x v="2"/>
    <x v="3"/>
  </r>
  <r>
    <d v="2024-03-02T00:00:00"/>
    <x v="706"/>
    <x v="3"/>
    <x v="2"/>
    <x v="6"/>
    <n v="196.78"/>
    <n v="3"/>
    <n v="14.76"/>
    <x v="2"/>
    <x v="3"/>
  </r>
  <r>
    <d v="2024-03-02T00:00:00"/>
    <x v="706"/>
    <x v="3"/>
    <x v="2"/>
    <x v="9"/>
    <n v="479.94"/>
    <n v="6"/>
    <n v="52.79"/>
    <x v="2"/>
    <x v="3"/>
  </r>
  <r>
    <d v="2024-03-02T00:00:00"/>
    <x v="159"/>
    <x v="7"/>
    <x v="0"/>
    <x v="4"/>
    <n v="59.52"/>
    <n v="3"/>
    <n v="15.48"/>
    <x v="2"/>
    <x v="3"/>
  </r>
  <r>
    <d v="2024-03-02T00:00:00"/>
    <x v="159"/>
    <x v="7"/>
    <x v="0"/>
    <x v="10"/>
    <n v="57.96"/>
    <n v="7"/>
    <n v="27.24"/>
    <x v="2"/>
    <x v="3"/>
  </r>
  <r>
    <d v="2024-03-02T00:00:00"/>
    <x v="159"/>
    <x v="7"/>
    <x v="1"/>
    <x v="11"/>
    <n v="441.96"/>
    <n v="2"/>
    <n v="101.65"/>
    <x v="2"/>
    <x v="3"/>
  </r>
  <r>
    <d v="2024-03-02T00:00:00"/>
    <x v="159"/>
    <x v="7"/>
    <x v="0"/>
    <x v="0"/>
    <n v="68.040000000000006"/>
    <n v="6"/>
    <n v="33.340000000000003"/>
    <x v="2"/>
    <x v="3"/>
  </r>
  <r>
    <d v="2024-03-02T00:00:00"/>
    <x v="409"/>
    <x v="10"/>
    <x v="0"/>
    <x v="3"/>
    <n v="18.53"/>
    <n v="4"/>
    <n v="-12.35"/>
    <x v="2"/>
    <x v="3"/>
  </r>
  <r>
    <d v="2024-03-02T00:00:00"/>
    <x v="687"/>
    <x v="3"/>
    <x v="0"/>
    <x v="3"/>
    <n v="107.65"/>
    <n v="2"/>
    <n v="33.64"/>
    <x v="2"/>
    <x v="3"/>
  </r>
  <r>
    <d v="2024-03-02T00:00:00"/>
    <x v="138"/>
    <x v="0"/>
    <x v="0"/>
    <x v="3"/>
    <n v="0.56000000000000005"/>
    <n v="1"/>
    <n v="-0.95"/>
    <x v="2"/>
    <x v="3"/>
  </r>
  <r>
    <d v="2024-03-03T00:00:00"/>
    <x v="760"/>
    <x v="5"/>
    <x v="0"/>
    <x v="12"/>
    <n v="72.8"/>
    <n v="5"/>
    <n v="19.66"/>
    <x v="2"/>
    <x v="3"/>
  </r>
  <r>
    <d v="2024-03-03T00:00:00"/>
    <x v="238"/>
    <x v="0"/>
    <x v="0"/>
    <x v="0"/>
    <n v="26.88"/>
    <n v="8"/>
    <n v="9.74"/>
    <x v="2"/>
    <x v="3"/>
  </r>
  <r>
    <d v="2024-03-03T00:00:00"/>
    <x v="287"/>
    <x v="14"/>
    <x v="1"/>
    <x v="5"/>
    <n v="180.98"/>
    <n v="1"/>
    <n v="47.05"/>
    <x v="2"/>
    <x v="3"/>
  </r>
  <r>
    <d v="2024-03-03T00:00:00"/>
    <x v="287"/>
    <x v="14"/>
    <x v="2"/>
    <x v="9"/>
    <n v="99.98"/>
    <n v="2"/>
    <n v="42.99"/>
    <x v="2"/>
    <x v="3"/>
  </r>
  <r>
    <d v="2024-03-03T00:00:00"/>
    <x v="28"/>
    <x v="3"/>
    <x v="2"/>
    <x v="9"/>
    <n v="1049.44"/>
    <n v="8"/>
    <n v="440.76"/>
    <x v="2"/>
    <x v="3"/>
  </r>
  <r>
    <d v="2024-03-03T00:00:00"/>
    <x v="28"/>
    <x v="3"/>
    <x v="1"/>
    <x v="5"/>
    <n v="170.35"/>
    <n v="3"/>
    <n v="-17.04"/>
    <x v="2"/>
    <x v="3"/>
  </r>
  <r>
    <d v="2024-03-03T00:00:00"/>
    <x v="478"/>
    <x v="3"/>
    <x v="1"/>
    <x v="13"/>
    <n v="399.67"/>
    <n v="7"/>
    <n v="-14.99"/>
    <x v="2"/>
    <x v="3"/>
  </r>
  <r>
    <d v="2024-03-04T00:00:00"/>
    <x v="569"/>
    <x v="3"/>
    <x v="0"/>
    <x v="4"/>
    <n v="9.32"/>
    <n v="4"/>
    <n v="2.7"/>
    <x v="2"/>
    <x v="3"/>
  </r>
  <r>
    <d v="2024-03-04T00:00:00"/>
    <x v="569"/>
    <x v="3"/>
    <x v="0"/>
    <x v="10"/>
    <n v="15.25"/>
    <n v="1"/>
    <n v="7.02"/>
    <x v="2"/>
    <x v="3"/>
  </r>
  <r>
    <d v="2024-03-04T00:00:00"/>
    <x v="0"/>
    <x v="0"/>
    <x v="0"/>
    <x v="0"/>
    <n v="89.57"/>
    <n v="2"/>
    <n v="32.47"/>
    <x v="2"/>
    <x v="3"/>
  </r>
  <r>
    <d v="2024-03-04T00:00:00"/>
    <x v="722"/>
    <x v="0"/>
    <x v="1"/>
    <x v="8"/>
    <n v="103.5"/>
    <n v="5"/>
    <n v="-77.63"/>
    <x v="2"/>
    <x v="3"/>
  </r>
  <r>
    <d v="2024-03-04T00:00:00"/>
    <x v="722"/>
    <x v="0"/>
    <x v="0"/>
    <x v="1"/>
    <n v="2.46"/>
    <n v="1"/>
    <n v="0.86"/>
    <x v="2"/>
    <x v="3"/>
  </r>
  <r>
    <d v="2024-03-04T00:00:00"/>
    <x v="722"/>
    <x v="0"/>
    <x v="0"/>
    <x v="2"/>
    <n v="8.7200000000000006"/>
    <n v="1"/>
    <n v="0.65"/>
    <x v="2"/>
    <x v="3"/>
  </r>
  <r>
    <d v="2024-03-05T00:00:00"/>
    <x v="500"/>
    <x v="21"/>
    <x v="0"/>
    <x v="1"/>
    <n v="25.06"/>
    <n v="2"/>
    <n v="11.78"/>
    <x v="2"/>
    <x v="3"/>
  </r>
  <r>
    <d v="2024-03-05T00:00:00"/>
    <x v="427"/>
    <x v="28"/>
    <x v="0"/>
    <x v="7"/>
    <n v="7.9"/>
    <n v="2"/>
    <n v="2.5299999999999998"/>
    <x v="2"/>
    <x v="3"/>
  </r>
  <r>
    <d v="2024-03-05T00:00:00"/>
    <x v="427"/>
    <x v="28"/>
    <x v="0"/>
    <x v="2"/>
    <n v="221.16"/>
    <n v="4"/>
    <n v="57.5"/>
    <x v="2"/>
    <x v="3"/>
  </r>
  <r>
    <d v="2024-03-05T00:00:00"/>
    <x v="427"/>
    <x v="28"/>
    <x v="0"/>
    <x v="3"/>
    <n v="127.96"/>
    <n v="2"/>
    <n v="62.7"/>
    <x v="2"/>
    <x v="3"/>
  </r>
  <r>
    <d v="2024-03-05T00:00:00"/>
    <x v="427"/>
    <x v="28"/>
    <x v="0"/>
    <x v="3"/>
    <n v="18.690000000000001"/>
    <n v="3"/>
    <n v="9.16"/>
    <x v="2"/>
    <x v="3"/>
  </r>
  <r>
    <d v="2024-03-05T00:00:00"/>
    <x v="595"/>
    <x v="29"/>
    <x v="0"/>
    <x v="10"/>
    <n v="42.68"/>
    <n v="4"/>
    <n v="19.63"/>
    <x v="2"/>
    <x v="3"/>
  </r>
  <r>
    <d v="2024-03-05T00:00:00"/>
    <x v="595"/>
    <x v="29"/>
    <x v="2"/>
    <x v="9"/>
    <n v="299.97000000000003"/>
    <n v="3"/>
    <n v="125.99"/>
    <x v="2"/>
    <x v="3"/>
  </r>
  <r>
    <d v="2024-03-05T00:00:00"/>
    <x v="595"/>
    <x v="29"/>
    <x v="0"/>
    <x v="12"/>
    <n v="262.24"/>
    <n v="2"/>
    <n v="78.67"/>
    <x v="2"/>
    <x v="3"/>
  </r>
  <r>
    <d v="2024-03-05T00:00:00"/>
    <x v="595"/>
    <x v="29"/>
    <x v="0"/>
    <x v="3"/>
    <n v="234.36"/>
    <n v="6"/>
    <n v="112.49"/>
    <x v="2"/>
    <x v="3"/>
  </r>
  <r>
    <d v="2024-03-06T00:00:00"/>
    <x v="782"/>
    <x v="20"/>
    <x v="0"/>
    <x v="0"/>
    <n v="26.38"/>
    <n v="1"/>
    <n v="12.13"/>
    <x v="2"/>
    <x v="3"/>
  </r>
  <r>
    <d v="2024-03-06T00:00:00"/>
    <x v="782"/>
    <x v="20"/>
    <x v="1"/>
    <x v="8"/>
    <n v="71.97"/>
    <n v="3"/>
    <n v="16.55"/>
    <x v="2"/>
    <x v="3"/>
  </r>
  <r>
    <d v="2024-03-06T00:00:00"/>
    <x v="151"/>
    <x v="3"/>
    <x v="0"/>
    <x v="3"/>
    <n v="14.98"/>
    <n v="9"/>
    <n v="5.43"/>
    <x v="2"/>
    <x v="3"/>
  </r>
  <r>
    <d v="2024-03-06T00:00:00"/>
    <x v="562"/>
    <x v="3"/>
    <x v="0"/>
    <x v="2"/>
    <n v="67.78"/>
    <n v="2"/>
    <n v="16.95"/>
    <x v="2"/>
    <x v="3"/>
  </r>
  <r>
    <d v="2024-03-06T00:00:00"/>
    <x v="658"/>
    <x v="3"/>
    <x v="0"/>
    <x v="4"/>
    <n v="23.88"/>
    <n v="6"/>
    <n v="8.1199999999999992"/>
    <x v="2"/>
    <x v="3"/>
  </r>
  <r>
    <d v="2024-03-06T00:00:00"/>
    <x v="658"/>
    <x v="3"/>
    <x v="0"/>
    <x v="1"/>
    <n v="11.52"/>
    <n v="4"/>
    <n v="5.64"/>
    <x v="2"/>
    <x v="3"/>
  </r>
  <r>
    <d v="2024-03-06T00:00:00"/>
    <x v="658"/>
    <x v="3"/>
    <x v="0"/>
    <x v="0"/>
    <n v="286.93"/>
    <n v="7"/>
    <n v="140.6"/>
    <x v="2"/>
    <x v="3"/>
  </r>
  <r>
    <d v="2024-03-06T00:00:00"/>
    <x v="658"/>
    <x v="3"/>
    <x v="2"/>
    <x v="6"/>
    <n v="206.38"/>
    <n v="2"/>
    <n v="23.22"/>
    <x v="2"/>
    <x v="3"/>
  </r>
  <r>
    <d v="2024-03-06T00:00:00"/>
    <x v="738"/>
    <x v="0"/>
    <x v="0"/>
    <x v="1"/>
    <n v="4.93"/>
    <n v="2"/>
    <n v="1.72"/>
    <x v="2"/>
    <x v="3"/>
  </r>
  <r>
    <d v="2024-03-06T00:00:00"/>
    <x v="738"/>
    <x v="0"/>
    <x v="0"/>
    <x v="4"/>
    <n v="63.49"/>
    <n v="4"/>
    <n v="4.76"/>
    <x v="2"/>
    <x v="3"/>
  </r>
  <r>
    <d v="2024-03-07T00:00:00"/>
    <x v="588"/>
    <x v="36"/>
    <x v="2"/>
    <x v="9"/>
    <n v="49.08"/>
    <n v="3"/>
    <n v="4.91"/>
    <x v="2"/>
    <x v="3"/>
  </r>
  <r>
    <d v="2024-03-07T00:00:00"/>
    <x v="489"/>
    <x v="20"/>
    <x v="0"/>
    <x v="3"/>
    <n v="25.92"/>
    <n v="6"/>
    <n v="9.07"/>
    <x v="2"/>
    <x v="3"/>
  </r>
  <r>
    <d v="2024-03-07T00:00:00"/>
    <x v="489"/>
    <x v="20"/>
    <x v="0"/>
    <x v="1"/>
    <n v="91.59"/>
    <n v="3"/>
    <n v="42.13"/>
    <x v="2"/>
    <x v="3"/>
  </r>
  <r>
    <d v="2024-03-08T00:00:00"/>
    <x v="668"/>
    <x v="4"/>
    <x v="0"/>
    <x v="12"/>
    <n v="647.84"/>
    <n v="8"/>
    <n v="168.44"/>
    <x v="2"/>
    <x v="3"/>
  </r>
  <r>
    <d v="2024-03-08T00:00:00"/>
    <x v="668"/>
    <x v="4"/>
    <x v="0"/>
    <x v="1"/>
    <n v="20.7"/>
    <n v="2"/>
    <n v="9.94"/>
    <x v="2"/>
    <x v="3"/>
  </r>
  <r>
    <d v="2024-03-08T00:00:00"/>
    <x v="545"/>
    <x v="3"/>
    <x v="0"/>
    <x v="3"/>
    <n v="171.2"/>
    <n v="5"/>
    <n v="64.2"/>
    <x v="2"/>
    <x v="3"/>
  </r>
  <r>
    <d v="2024-03-08T00:00:00"/>
    <x v="545"/>
    <x v="3"/>
    <x v="0"/>
    <x v="4"/>
    <n v="3.36"/>
    <n v="2"/>
    <n v="0.87"/>
    <x v="2"/>
    <x v="3"/>
  </r>
  <r>
    <d v="2024-03-09T00:00:00"/>
    <x v="754"/>
    <x v="3"/>
    <x v="2"/>
    <x v="9"/>
    <n v="199.98"/>
    <n v="2"/>
    <n v="69.989999999999995"/>
    <x v="2"/>
    <x v="3"/>
  </r>
  <r>
    <d v="2024-03-09T00:00:00"/>
    <x v="366"/>
    <x v="3"/>
    <x v="2"/>
    <x v="16"/>
    <n v="479.98"/>
    <n v="2"/>
    <n v="60"/>
    <x v="2"/>
    <x v="3"/>
  </r>
  <r>
    <d v="2024-03-09T00:00:00"/>
    <x v="366"/>
    <x v="3"/>
    <x v="0"/>
    <x v="3"/>
    <n v="30.84"/>
    <n v="5"/>
    <n v="9.64"/>
    <x v="2"/>
    <x v="3"/>
  </r>
  <r>
    <d v="2024-03-10T00:00:00"/>
    <x v="772"/>
    <x v="2"/>
    <x v="0"/>
    <x v="4"/>
    <n v="5.25"/>
    <n v="2"/>
    <n v="0.59"/>
    <x v="2"/>
    <x v="3"/>
  </r>
  <r>
    <d v="2024-03-10T00:00:00"/>
    <x v="772"/>
    <x v="2"/>
    <x v="2"/>
    <x v="6"/>
    <n v="35.909999999999997"/>
    <n v="3"/>
    <n v="-8.3800000000000008"/>
    <x v="2"/>
    <x v="3"/>
  </r>
  <r>
    <d v="2024-03-10T00:00:00"/>
    <x v="772"/>
    <x v="2"/>
    <x v="1"/>
    <x v="8"/>
    <n v="6.7"/>
    <n v="1"/>
    <n v="0.5"/>
    <x v="2"/>
    <x v="3"/>
  </r>
  <r>
    <d v="2024-03-10T00:00:00"/>
    <x v="772"/>
    <x v="2"/>
    <x v="1"/>
    <x v="8"/>
    <n v="43.87"/>
    <n v="2"/>
    <n v="11.52"/>
    <x v="2"/>
    <x v="3"/>
  </r>
  <r>
    <d v="2024-03-10T00:00:00"/>
    <x v="185"/>
    <x v="2"/>
    <x v="2"/>
    <x v="6"/>
    <n v="53.98"/>
    <n v="3"/>
    <n v="-10.8"/>
    <x v="2"/>
    <x v="3"/>
  </r>
  <r>
    <d v="2024-03-10T00:00:00"/>
    <x v="600"/>
    <x v="25"/>
    <x v="0"/>
    <x v="12"/>
    <n v="48.78"/>
    <n v="1"/>
    <n v="3.66"/>
    <x v="2"/>
    <x v="3"/>
  </r>
  <r>
    <d v="2024-03-10T00:00:00"/>
    <x v="600"/>
    <x v="25"/>
    <x v="0"/>
    <x v="3"/>
    <n v="13.09"/>
    <n v="4"/>
    <n v="-10.039999999999999"/>
    <x v="2"/>
    <x v="3"/>
  </r>
  <r>
    <d v="2024-03-10T00:00:00"/>
    <x v="507"/>
    <x v="3"/>
    <x v="2"/>
    <x v="9"/>
    <n v="111.96"/>
    <n v="4"/>
    <n v="21.27"/>
    <x v="2"/>
    <x v="3"/>
  </r>
  <r>
    <d v="2024-03-10T00:00:00"/>
    <x v="496"/>
    <x v="0"/>
    <x v="1"/>
    <x v="13"/>
    <n v="933.41"/>
    <n v="4"/>
    <n v="-173.35"/>
    <x v="2"/>
    <x v="3"/>
  </r>
  <r>
    <d v="2024-03-11T00:00:00"/>
    <x v="655"/>
    <x v="14"/>
    <x v="0"/>
    <x v="3"/>
    <n v="895.92"/>
    <n v="4"/>
    <n v="421.08"/>
    <x v="2"/>
    <x v="3"/>
  </r>
  <r>
    <d v="2024-03-11T00:00:00"/>
    <x v="167"/>
    <x v="2"/>
    <x v="2"/>
    <x v="6"/>
    <n v="776.85"/>
    <n v="5"/>
    <n v="-181.27"/>
    <x v="2"/>
    <x v="3"/>
  </r>
  <r>
    <d v="2024-03-11T00:00:00"/>
    <x v="167"/>
    <x v="2"/>
    <x v="0"/>
    <x v="3"/>
    <n v="12.29"/>
    <n v="1"/>
    <n v="-8.61"/>
    <x v="2"/>
    <x v="3"/>
  </r>
  <r>
    <d v="2024-03-11T00:00:00"/>
    <x v="167"/>
    <x v="2"/>
    <x v="1"/>
    <x v="13"/>
    <n v="154.76"/>
    <n v="3"/>
    <n v="-46.43"/>
    <x v="2"/>
    <x v="3"/>
  </r>
  <r>
    <d v="2024-03-11T00:00:00"/>
    <x v="167"/>
    <x v="2"/>
    <x v="0"/>
    <x v="2"/>
    <n v="43.28"/>
    <n v="1"/>
    <n v="3.25"/>
    <x v="2"/>
    <x v="3"/>
  </r>
  <r>
    <d v="2024-03-11T00:00:00"/>
    <x v="298"/>
    <x v="32"/>
    <x v="2"/>
    <x v="9"/>
    <n v="63.88"/>
    <n v="4"/>
    <n v="24.91"/>
    <x v="2"/>
    <x v="3"/>
  </r>
  <r>
    <d v="2024-03-11T00:00:00"/>
    <x v="298"/>
    <x v="32"/>
    <x v="1"/>
    <x v="8"/>
    <n v="26.72"/>
    <n v="1"/>
    <n v="11.76"/>
    <x v="2"/>
    <x v="3"/>
  </r>
  <r>
    <d v="2024-03-12T00:00:00"/>
    <x v="127"/>
    <x v="32"/>
    <x v="2"/>
    <x v="6"/>
    <n v="69.930000000000007"/>
    <n v="7"/>
    <n v="32.17"/>
    <x v="2"/>
    <x v="3"/>
  </r>
  <r>
    <d v="2024-03-12T00:00:00"/>
    <x v="544"/>
    <x v="3"/>
    <x v="0"/>
    <x v="2"/>
    <n v="242.94"/>
    <n v="3"/>
    <n v="9.7200000000000006"/>
    <x v="2"/>
    <x v="3"/>
  </r>
  <r>
    <d v="2024-03-12T00:00:00"/>
    <x v="41"/>
    <x v="13"/>
    <x v="0"/>
    <x v="3"/>
    <n v="40.409999999999997"/>
    <n v="9"/>
    <n v="18.59"/>
    <x v="2"/>
    <x v="3"/>
  </r>
  <r>
    <d v="2024-03-13T00:00:00"/>
    <x v="432"/>
    <x v="3"/>
    <x v="0"/>
    <x v="0"/>
    <n v="314.55"/>
    <n v="3"/>
    <n v="150.97999999999999"/>
    <x v="2"/>
    <x v="3"/>
  </r>
  <r>
    <d v="2024-03-13T00:00:00"/>
    <x v="499"/>
    <x v="31"/>
    <x v="0"/>
    <x v="2"/>
    <n v="90.8"/>
    <n v="8"/>
    <n v="25.42"/>
    <x v="2"/>
    <x v="3"/>
  </r>
  <r>
    <d v="2024-03-13T00:00:00"/>
    <x v="499"/>
    <x v="31"/>
    <x v="2"/>
    <x v="6"/>
    <n v="140.74"/>
    <n v="8"/>
    <n v="49.26"/>
    <x v="2"/>
    <x v="3"/>
  </r>
  <r>
    <d v="2024-03-13T00:00:00"/>
    <x v="499"/>
    <x v="31"/>
    <x v="2"/>
    <x v="9"/>
    <n v="214.95"/>
    <n v="5"/>
    <n v="88.13"/>
    <x v="2"/>
    <x v="3"/>
  </r>
  <r>
    <d v="2024-03-13T00:00:00"/>
    <x v="499"/>
    <x v="31"/>
    <x v="0"/>
    <x v="0"/>
    <n v="45.36"/>
    <n v="7"/>
    <n v="21.77"/>
    <x v="2"/>
    <x v="3"/>
  </r>
  <r>
    <d v="2024-03-13T00:00:00"/>
    <x v="499"/>
    <x v="31"/>
    <x v="0"/>
    <x v="0"/>
    <n v="288.24"/>
    <n v="6"/>
    <n v="138.36000000000001"/>
    <x v="2"/>
    <x v="3"/>
  </r>
  <r>
    <d v="2024-03-13T00:00:00"/>
    <x v="145"/>
    <x v="26"/>
    <x v="0"/>
    <x v="14"/>
    <n v="1332.5"/>
    <n v="2"/>
    <n v="-299.81"/>
    <x v="2"/>
    <x v="3"/>
  </r>
  <r>
    <d v="2024-03-13T00:00:00"/>
    <x v="720"/>
    <x v="1"/>
    <x v="0"/>
    <x v="4"/>
    <n v="19.46"/>
    <n v="4"/>
    <n v="2.19"/>
    <x v="2"/>
    <x v="3"/>
  </r>
  <r>
    <d v="2024-03-13T00:00:00"/>
    <x v="720"/>
    <x v="1"/>
    <x v="2"/>
    <x v="15"/>
    <n v="209.99"/>
    <n v="2"/>
    <n v="9"/>
    <x v="2"/>
    <x v="3"/>
  </r>
  <r>
    <d v="2024-03-13T00:00:00"/>
    <x v="720"/>
    <x v="1"/>
    <x v="0"/>
    <x v="4"/>
    <n v="29.76"/>
    <n v="5"/>
    <n v="1.86"/>
    <x v="2"/>
    <x v="3"/>
  </r>
  <r>
    <d v="2024-03-13T00:00:00"/>
    <x v="720"/>
    <x v="1"/>
    <x v="1"/>
    <x v="5"/>
    <n v="89.77"/>
    <n v="1"/>
    <n v="-2.56"/>
    <x v="2"/>
    <x v="3"/>
  </r>
  <r>
    <d v="2024-03-13T00:00:00"/>
    <x v="720"/>
    <x v="1"/>
    <x v="2"/>
    <x v="16"/>
    <n v="959.98"/>
    <n v="2"/>
    <n v="335.99"/>
    <x v="2"/>
    <x v="3"/>
  </r>
  <r>
    <d v="2024-03-13T00:00:00"/>
    <x v="720"/>
    <x v="1"/>
    <x v="0"/>
    <x v="0"/>
    <n v="15.55"/>
    <n v="3"/>
    <n v="5.64"/>
    <x v="2"/>
    <x v="3"/>
  </r>
  <r>
    <d v="2024-03-13T00:00:00"/>
    <x v="720"/>
    <x v="1"/>
    <x v="2"/>
    <x v="6"/>
    <n v="34.36"/>
    <n v="1"/>
    <n v="-7.3"/>
    <x v="2"/>
    <x v="3"/>
  </r>
  <r>
    <d v="2024-03-13T00:00:00"/>
    <x v="59"/>
    <x v="37"/>
    <x v="0"/>
    <x v="3"/>
    <n v="30.88"/>
    <n v="2"/>
    <n v="15.44"/>
    <x v="2"/>
    <x v="3"/>
  </r>
  <r>
    <d v="2024-03-13T00:00:00"/>
    <x v="59"/>
    <x v="37"/>
    <x v="0"/>
    <x v="12"/>
    <n v="465.16"/>
    <n v="2"/>
    <n v="120.94"/>
    <x v="2"/>
    <x v="3"/>
  </r>
  <r>
    <d v="2024-03-13T00:00:00"/>
    <x v="59"/>
    <x v="37"/>
    <x v="0"/>
    <x v="0"/>
    <n v="27.12"/>
    <n v="4"/>
    <n v="12.48"/>
    <x v="2"/>
    <x v="3"/>
  </r>
  <r>
    <d v="2024-03-13T00:00:00"/>
    <x v="733"/>
    <x v="36"/>
    <x v="0"/>
    <x v="3"/>
    <n v="174.3"/>
    <n v="3"/>
    <n v="81.92"/>
    <x v="2"/>
    <x v="3"/>
  </r>
  <r>
    <d v="2024-03-13T00:00:00"/>
    <x v="711"/>
    <x v="20"/>
    <x v="2"/>
    <x v="6"/>
    <n v="299.89999999999998"/>
    <n v="2"/>
    <n v="74.98"/>
    <x v="2"/>
    <x v="3"/>
  </r>
  <r>
    <d v="2024-03-13T00:00:00"/>
    <x v="136"/>
    <x v="1"/>
    <x v="2"/>
    <x v="6"/>
    <n v="7.99"/>
    <n v="1"/>
    <n v="2.6"/>
    <x v="2"/>
    <x v="3"/>
  </r>
  <r>
    <d v="2024-03-14T00:00:00"/>
    <x v="396"/>
    <x v="1"/>
    <x v="2"/>
    <x v="6"/>
    <n v="49.62"/>
    <n v="2"/>
    <n v="4.96"/>
    <x v="2"/>
    <x v="3"/>
  </r>
  <r>
    <d v="2024-03-16T00:00:00"/>
    <x v="139"/>
    <x v="22"/>
    <x v="0"/>
    <x v="0"/>
    <n v="6.48"/>
    <n v="1"/>
    <n v="3.11"/>
    <x v="2"/>
    <x v="3"/>
  </r>
  <r>
    <d v="2024-03-16T00:00:00"/>
    <x v="139"/>
    <x v="22"/>
    <x v="0"/>
    <x v="2"/>
    <n v="46.51"/>
    <n v="1"/>
    <n v="1.86"/>
    <x v="2"/>
    <x v="3"/>
  </r>
  <r>
    <d v="2024-03-16T00:00:00"/>
    <x v="139"/>
    <x v="22"/>
    <x v="2"/>
    <x v="6"/>
    <n v="659.98"/>
    <n v="3"/>
    <n v="49.5"/>
    <x v="2"/>
    <x v="3"/>
  </r>
  <r>
    <d v="2024-03-16T00:00:00"/>
    <x v="342"/>
    <x v="10"/>
    <x v="2"/>
    <x v="6"/>
    <n v="445.44"/>
    <n v="8"/>
    <n v="-81.66"/>
    <x v="2"/>
    <x v="3"/>
  </r>
  <r>
    <d v="2024-03-16T00:00:00"/>
    <x v="530"/>
    <x v="10"/>
    <x v="2"/>
    <x v="6"/>
    <n v="44.38"/>
    <n v="2"/>
    <n v="-7.4"/>
    <x v="2"/>
    <x v="3"/>
  </r>
  <r>
    <d v="2024-03-16T00:00:00"/>
    <x v="530"/>
    <x v="10"/>
    <x v="1"/>
    <x v="8"/>
    <n v="51.26"/>
    <n v="6"/>
    <n v="7.69"/>
    <x v="2"/>
    <x v="3"/>
  </r>
  <r>
    <d v="2024-03-16T00:00:00"/>
    <x v="530"/>
    <x v="10"/>
    <x v="0"/>
    <x v="3"/>
    <n v="5.19"/>
    <n v="3"/>
    <n v="-3.46"/>
    <x v="2"/>
    <x v="3"/>
  </r>
  <r>
    <d v="2024-03-16T00:00:00"/>
    <x v="530"/>
    <x v="10"/>
    <x v="2"/>
    <x v="9"/>
    <n v="159.97999999999999"/>
    <n v="2"/>
    <n v="44"/>
    <x v="2"/>
    <x v="3"/>
  </r>
  <r>
    <d v="2024-03-16T00:00:00"/>
    <x v="530"/>
    <x v="10"/>
    <x v="0"/>
    <x v="2"/>
    <n v="54.22"/>
    <n v="2"/>
    <n v="3.39"/>
    <x v="2"/>
    <x v="3"/>
  </r>
  <r>
    <d v="2024-03-16T00:00:00"/>
    <x v="687"/>
    <x v="3"/>
    <x v="0"/>
    <x v="2"/>
    <n v="310.12"/>
    <n v="2"/>
    <n v="80.63"/>
    <x v="2"/>
    <x v="3"/>
  </r>
  <r>
    <d v="2024-03-16T00:00:00"/>
    <x v="687"/>
    <x v="3"/>
    <x v="0"/>
    <x v="3"/>
    <n v="70.459999999999994"/>
    <n v="6"/>
    <n v="22.9"/>
    <x v="2"/>
    <x v="3"/>
  </r>
  <r>
    <d v="2024-03-16T00:00:00"/>
    <x v="687"/>
    <x v="3"/>
    <x v="0"/>
    <x v="3"/>
    <n v="19.68"/>
    <n v="5"/>
    <n v="6.89"/>
    <x v="2"/>
    <x v="3"/>
  </r>
  <r>
    <d v="2024-03-16T00:00:00"/>
    <x v="687"/>
    <x v="3"/>
    <x v="0"/>
    <x v="12"/>
    <n v="140.66999999999999"/>
    <n v="3"/>
    <n v="54.86"/>
    <x v="2"/>
    <x v="3"/>
  </r>
  <r>
    <d v="2024-03-17T00:00:00"/>
    <x v="68"/>
    <x v="3"/>
    <x v="0"/>
    <x v="3"/>
    <n v="17.46"/>
    <n v="2"/>
    <n v="5.89"/>
    <x v="2"/>
    <x v="3"/>
  </r>
  <r>
    <d v="2024-03-17T00:00:00"/>
    <x v="674"/>
    <x v="20"/>
    <x v="0"/>
    <x v="1"/>
    <n v="18.75"/>
    <n v="5"/>
    <n v="9"/>
    <x v="2"/>
    <x v="3"/>
  </r>
  <r>
    <d v="2024-03-17T00:00:00"/>
    <x v="674"/>
    <x v="20"/>
    <x v="2"/>
    <x v="6"/>
    <n v="119.7"/>
    <n v="6"/>
    <n v="31.12"/>
    <x v="2"/>
    <x v="3"/>
  </r>
  <r>
    <d v="2024-03-17T00:00:00"/>
    <x v="674"/>
    <x v="20"/>
    <x v="0"/>
    <x v="3"/>
    <n v="9.14"/>
    <n v="3"/>
    <n v="3.09"/>
    <x v="2"/>
    <x v="3"/>
  </r>
  <r>
    <d v="2024-03-17T00:00:00"/>
    <x v="674"/>
    <x v="20"/>
    <x v="2"/>
    <x v="9"/>
    <n v="57.06"/>
    <n v="3"/>
    <n v="18.260000000000002"/>
    <x v="2"/>
    <x v="3"/>
  </r>
  <r>
    <d v="2024-03-17T00:00:00"/>
    <x v="674"/>
    <x v="20"/>
    <x v="2"/>
    <x v="9"/>
    <n v="71.599999999999994"/>
    <n v="8"/>
    <n v="13.6"/>
    <x v="2"/>
    <x v="3"/>
  </r>
  <r>
    <d v="2024-03-17T00:00:00"/>
    <x v="674"/>
    <x v="20"/>
    <x v="0"/>
    <x v="2"/>
    <n v="107.44"/>
    <n v="8"/>
    <n v="27.93"/>
    <x v="2"/>
    <x v="3"/>
  </r>
  <r>
    <d v="2024-03-17T00:00:00"/>
    <x v="674"/>
    <x v="20"/>
    <x v="0"/>
    <x v="1"/>
    <n v="7.31"/>
    <n v="1"/>
    <n v="3.44"/>
    <x v="2"/>
    <x v="3"/>
  </r>
  <r>
    <d v="2024-03-17T00:00:00"/>
    <x v="674"/>
    <x v="20"/>
    <x v="0"/>
    <x v="4"/>
    <n v="59.1"/>
    <n v="6"/>
    <n v="22.46"/>
    <x v="2"/>
    <x v="3"/>
  </r>
  <r>
    <d v="2024-03-17T00:00:00"/>
    <x v="674"/>
    <x v="20"/>
    <x v="0"/>
    <x v="2"/>
    <n v="46.53"/>
    <n v="3"/>
    <n v="12.1"/>
    <x v="2"/>
    <x v="3"/>
  </r>
  <r>
    <d v="2024-03-17T00:00:00"/>
    <x v="675"/>
    <x v="0"/>
    <x v="0"/>
    <x v="3"/>
    <n v="13.78"/>
    <n v="6"/>
    <n v="-22.04"/>
    <x v="2"/>
    <x v="3"/>
  </r>
  <r>
    <d v="2024-03-17T00:00:00"/>
    <x v="675"/>
    <x v="0"/>
    <x v="0"/>
    <x v="0"/>
    <n v="10.27"/>
    <n v="3"/>
    <n v="3.21"/>
    <x v="2"/>
    <x v="3"/>
  </r>
  <r>
    <d v="2024-03-17T00:00:00"/>
    <x v="326"/>
    <x v="15"/>
    <x v="0"/>
    <x v="1"/>
    <n v="4.6100000000000003"/>
    <n v="2"/>
    <n v="1.67"/>
    <x v="2"/>
    <x v="3"/>
  </r>
  <r>
    <d v="2024-03-18T00:00:00"/>
    <x v="778"/>
    <x v="0"/>
    <x v="0"/>
    <x v="12"/>
    <n v="2.69"/>
    <n v="3"/>
    <n v="-7.39"/>
    <x v="2"/>
    <x v="3"/>
  </r>
  <r>
    <d v="2024-03-18T00:00:00"/>
    <x v="778"/>
    <x v="0"/>
    <x v="2"/>
    <x v="9"/>
    <n v="27.82"/>
    <n v="3"/>
    <n v="4.5199999999999996"/>
    <x v="2"/>
    <x v="3"/>
  </r>
  <r>
    <d v="2024-03-18T00:00:00"/>
    <x v="778"/>
    <x v="0"/>
    <x v="1"/>
    <x v="8"/>
    <n v="82.52"/>
    <n v="3"/>
    <n v="-41.26"/>
    <x v="2"/>
    <x v="3"/>
  </r>
  <r>
    <d v="2024-03-18T00:00:00"/>
    <x v="778"/>
    <x v="0"/>
    <x v="0"/>
    <x v="3"/>
    <n v="182.99"/>
    <n v="3"/>
    <n v="-320.24"/>
    <x v="2"/>
    <x v="3"/>
  </r>
  <r>
    <d v="2024-03-18T00:00:00"/>
    <x v="647"/>
    <x v="0"/>
    <x v="0"/>
    <x v="4"/>
    <n v="23.83"/>
    <n v="3"/>
    <n v="6.55"/>
    <x v="2"/>
    <x v="3"/>
  </r>
  <r>
    <d v="2024-03-18T00:00:00"/>
    <x v="72"/>
    <x v="22"/>
    <x v="0"/>
    <x v="4"/>
    <n v="46.2"/>
    <n v="4"/>
    <n v="21.25"/>
    <x v="2"/>
    <x v="3"/>
  </r>
  <r>
    <d v="2024-03-18T00:00:00"/>
    <x v="426"/>
    <x v="0"/>
    <x v="2"/>
    <x v="6"/>
    <n v="537.54"/>
    <n v="7"/>
    <n v="47.04"/>
    <x v="2"/>
    <x v="3"/>
  </r>
  <r>
    <d v="2024-03-18T00:00:00"/>
    <x v="455"/>
    <x v="3"/>
    <x v="0"/>
    <x v="4"/>
    <n v="13.9"/>
    <n v="5"/>
    <n v="3.75"/>
    <x v="2"/>
    <x v="3"/>
  </r>
  <r>
    <d v="2024-03-18T00:00:00"/>
    <x v="455"/>
    <x v="3"/>
    <x v="0"/>
    <x v="10"/>
    <n v="19.399999999999999"/>
    <n v="5"/>
    <n v="9.31"/>
    <x v="2"/>
    <x v="3"/>
  </r>
  <r>
    <d v="2024-03-18T00:00:00"/>
    <x v="527"/>
    <x v="3"/>
    <x v="0"/>
    <x v="12"/>
    <n v="90.86"/>
    <n v="7"/>
    <n v="26.35"/>
    <x v="2"/>
    <x v="3"/>
  </r>
  <r>
    <d v="2024-03-19T00:00:00"/>
    <x v="651"/>
    <x v="20"/>
    <x v="0"/>
    <x v="1"/>
    <n v="28.91"/>
    <n v="7"/>
    <n v="13.3"/>
    <x v="2"/>
    <x v="3"/>
  </r>
  <r>
    <d v="2024-03-19T00:00:00"/>
    <x v="11"/>
    <x v="3"/>
    <x v="0"/>
    <x v="3"/>
    <n v="19.82"/>
    <n v="6"/>
    <n v="6.69"/>
    <x v="2"/>
    <x v="3"/>
  </r>
  <r>
    <d v="2024-03-19T00:00:00"/>
    <x v="11"/>
    <x v="3"/>
    <x v="2"/>
    <x v="6"/>
    <n v="657.5"/>
    <n v="6"/>
    <n v="-131.5"/>
    <x v="2"/>
    <x v="3"/>
  </r>
  <r>
    <d v="2024-03-19T00:00:00"/>
    <x v="11"/>
    <x v="3"/>
    <x v="2"/>
    <x v="9"/>
    <n v="99.54"/>
    <n v="2"/>
    <n v="10.95"/>
    <x v="2"/>
    <x v="3"/>
  </r>
  <r>
    <d v="2024-03-19T00:00:00"/>
    <x v="11"/>
    <x v="3"/>
    <x v="2"/>
    <x v="9"/>
    <n v="199.96"/>
    <n v="4"/>
    <n v="85.98"/>
    <x v="2"/>
    <x v="3"/>
  </r>
  <r>
    <d v="2024-03-19T00:00:00"/>
    <x v="52"/>
    <x v="3"/>
    <x v="0"/>
    <x v="3"/>
    <n v="14.62"/>
    <n v="2"/>
    <n v="5.12"/>
    <x v="2"/>
    <x v="3"/>
  </r>
  <r>
    <d v="2024-03-19T00:00:00"/>
    <x v="52"/>
    <x v="3"/>
    <x v="1"/>
    <x v="13"/>
    <n v="697.16"/>
    <n v="5"/>
    <n v="8.7100000000000009"/>
    <x v="2"/>
    <x v="3"/>
  </r>
  <r>
    <d v="2024-03-19T00:00:00"/>
    <x v="52"/>
    <x v="3"/>
    <x v="1"/>
    <x v="8"/>
    <n v="30.93"/>
    <n v="1"/>
    <n v="12.68"/>
    <x v="2"/>
    <x v="3"/>
  </r>
  <r>
    <d v="2024-03-19T00:00:00"/>
    <x v="52"/>
    <x v="3"/>
    <x v="0"/>
    <x v="3"/>
    <n v="27.5"/>
    <n v="7"/>
    <n v="9.2799999999999994"/>
    <x v="2"/>
    <x v="3"/>
  </r>
  <r>
    <d v="2024-03-19T00:00:00"/>
    <x v="434"/>
    <x v="3"/>
    <x v="0"/>
    <x v="12"/>
    <n v="381.36"/>
    <n v="7"/>
    <n v="106.78"/>
    <x v="2"/>
    <x v="3"/>
  </r>
  <r>
    <d v="2024-03-19T00:00:00"/>
    <x v="422"/>
    <x v="23"/>
    <x v="0"/>
    <x v="4"/>
    <n v="8.94"/>
    <n v="3"/>
    <n v="2.41"/>
    <x v="2"/>
    <x v="3"/>
  </r>
  <r>
    <d v="2024-03-20T00:00:00"/>
    <x v="47"/>
    <x v="18"/>
    <x v="1"/>
    <x v="8"/>
    <n v="2.91"/>
    <n v="1"/>
    <n v="1.37"/>
    <x v="2"/>
    <x v="3"/>
  </r>
  <r>
    <d v="2024-03-20T00:00:00"/>
    <x v="698"/>
    <x v="22"/>
    <x v="2"/>
    <x v="9"/>
    <n v="265.93"/>
    <n v="7"/>
    <n v="63.82"/>
    <x v="2"/>
    <x v="3"/>
  </r>
  <r>
    <d v="2024-03-20T00:00:00"/>
    <x v="310"/>
    <x v="37"/>
    <x v="2"/>
    <x v="9"/>
    <n v="238"/>
    <n v="2"/>
    <n v="38.08"/>
    <x v="2"/>
    <x v="3"/>
  </r>
  <r>
    <d v="2024-03-20T00:00:00"/>
    <x v="310"/>
    <x v="37"/>
    <x v="0"/>
    <x v="0"/>
    <n v="61.96"/>
    <n v="2"/>
    <n v="27.88"/>
    <x v="2"/>
    <x v="3"/>
  </r>
  <r>
    <d v="2024-03-20T00:00:00"/>
    <x v="173"/>
    <x v="0"/>
    <x v="0"/>
    <x v="0"/>
    <n v="56.7"/>
    <n v="2"/>
    <n v="19.14"/>
    <x v="2"/>
    <x v="3"/>
  </r>
  <r>
    <d v="2024-03-20T00:00:00"/>
    <x v="173"/>
    <x v="0"/>
    <x v="0"/>
    <x v="0"/>
    <n v="274.06"/>
    <n v="7"/>
    <n v="102.77"/>
    <x v="2"/>
    <x v="3"/>
  </r>
  <r>
    <d v="2024-03-21T00:00:00"/>
    <x v="758"/>
    <x v="18"/>
    <x v="0"/>
    <x v="0"/>
    <n v="277.39999999999998"/>
    <n v="5"/>
    <n v="133.15"/>
    <x v="2"/>
    <x v="3"/>
  </r>
  <r>
    <d v="2024-03-21T00:00:00"/>
    <x v="758"/>
    <x v="18"/>
    <x v="0"/>
    <x v="0"/>
    <n v="5.78"/>
    <n v="1"/>
    <n v="2.83"/>
    <x v="2"/>
    <x v="3"/>
  </r>
  <r>
    <d v="2024-03-21T00:00:00"/>
    <x v="68"/>
    <x v="39"/>
    <x v="1"/>
    <x v="5"/>
    <n v="1805.88"/>
    <n v="6"/>
    <n v="523.71"/>
    <x v="2"/>
    <x v="3"/>
  </r>
  <r>
    <d v="2024-03-21T00:00:00"/>
    <x v="236"/>
    <x v="3"/>
    <x v="0"/>
    <x v="2"/>
    <n v="725.84"/>
    <n v="4"/>
    <n v="210.49"/>
    <x v="2"/>
    <x v="3"/>
  </r>
  <r>
    <d v="2024-03-21T00:00:00"/>
    <x v="236"/>
    <x v="3"/>
    <x v="0"/>
    <x v="3"/>
    <n v="10.9"/>
    <n v="3"/>
    <n v="3.95"/>
    <x v="2"/>
    <x v="3"/>
  </r>
  <r>
    <d v="2024-03-21T00:00:00"/>
    <x v="236"/>
    <x v="3"/>
    <x v="0"/>
    <x v="3"/>
    <n v="8.5399999999999991"/>
    <n v="2"/>
    <n v="2.88"/>
    <x v="2"/>
    <x v="3"/>
  </r>
  <r>
    <d v="2024-03-21T00:00:00"/>
    <x v="203"/>
    <x v="16"/>
    <x v="0"/>
    <x v="12"/>
    <n v="64.38"/>
    <n v="1"/>
    <n v="8.0500000000000007"/>
    <x v="2"/>
    <x v="3"/>
  </r>
  <r>
    <d v="2024-03-21T00:00:00"/>
    <x v="764"/>
    <x v="2"/>
    <x v="0"/>
    <x v="10"/>
    <n v="8.86"/>
    <n v="3"/>
    <n v="2.88"/>
    <x v="2"/>
    <x v="3"/>
  </r>
  <r>
    <d v="2024-03-21T00:00:00"/>
    <x v="152"/>
    <x v="22"/>
    <x v="0"/>
    <x v="3"/>
    <n v="30.58"/>
    <n v="6"/>
    <n v="10.32"/>
    <x v="2"/>
    <x v="3"/>
  </r>
  <r>
    <d v="2024-03-21T00:00:00"/>
    <x v="152"/>
    <x v="22"/>
    <x v="0"/>
    <x v="7"/>
    <n v="13.02"/>
    <n v="7"/>
    <n v="0.39"/>
    <x v="2"/>
    <x v="3"/>
  </r>
  <r>
    <d v="2024-03-21T00:00:00"/>
    <x v="152"/>
    <x v="22"/>
    <x v="1"/>
    <x v="8"/>
    <n v="22.14"/>
    <n v="3"/>
    <n v="6.42"/>
    <x v="2"/>
    <x v="3"/>
  </r>
  <r>
    <d v="2024-03-21T00:00:00"/>
    <x v="152"/>
    <x v="22"/>
    <x v="0"/>
    <x v="2"/>
    <n v="359.32"/>
    <n v="4"/>
    <n v="7.19"/>
    <x v="2"/>
    <x v="3"/>
  </r>
  <r>
    <d v="2024-03-23T00:00:00"/>
    <x v="734"/>
    <x v="3"/>
    <x v="1"/>
    <x v="8"/>
    <n v="211.84"/>
    <n v="8"/>
    <n v="76.260000000000005"/>
    <x v="2"/>
    <x v="3"/>
  </r>
  <r>
    <d v="2024-03-23T00:00:00"/>
    <x v="461"/>
    <x v="0"/>
    <x v="0"/>
    <x v="2"/>
    <n v="143.72999999999999"/>
    <n v="2"/>
    <n v="-32.340000000000003"/>
    <x v="2"/>
    <x v="3"/>
  </r>
  <r>
    <d v="2024-03-23T00:00:00"/>
    <x v="574"/>
    <x v="20"/>
    <x v="0"/>
    <x v="0"/>
    <n v="25.68"/>
    <n v="6"/>
    <n v="11.56"/>
    <x v="2"/>
    <x v="3"/>
  </r>
  <r>
    <d v="2024-03-23T00:00:00"/>
    <x v="126"/>
    <x v="20"/>
    <x v="0"/>
    <x v="14"/>
    <n v="347.58"/>
    <n v="3"/>
    <n v="17.38"/>
    <x v="2"/>
    <x v="3"/>
  </r>
  <r>
    <d v="2024-03-23T00:00:00"/>
    <x v="694"/>
    <x v="22"/>
    <x v="0"/>
    <x v="3"/>
    <n v="34.76"/>
    <n v="5"/>
    <n v="11.3"/>
    <x v="2"/>
    <x v="3"/>
  </r>
  <r>
    <d v="2024-03-23T00:00:00"/>
    <x v="745"/>
    <x v="22"/>
    <x v="0"/>
    <x v="2"/>
    <n v="32.479999999999997"/>
    <n v="2"/>
    <n v="4.87"/>
    <x v="2"/>
    <x v="3"/>
  </r>
  <r>
    <d v="2024-03-23T00:00:00"/>
    <x v="745"/>
    <x v="22"/>
    <x v="0"/>
    <x v="0"/>
    <n v="20.04"/>
    <n v="3"/>
    <n v="9.6199999999999992"/>
    <x v="2"/>
    <x v="3"/>
  </r>
  <r>
    <d v="2024-03-23T00:00:00"/>
    <x v="745"/>
    <x v="22"/>
    <x v="2"/>
    <x v="16"/>
    <n v="13999.96"/>
    <n v="4"/>
    <n v="6719.98"/>
    <x v="2"/>
    <x v="3"/>
  </r>
  <r>
    <d v="2024-03-24T00:00:00"/>
    <x v="291"/>
    <x v="20"/>
    <x v="0"/>
    <x v="0"/>
    <n v="221.92"/>
    <n v="4"/>
    <n v="106.52"/>
    <x v="2"/>
    <x v="3"/>
  </r>
  <r>
    <d v="2024-03-24T00:00:00"/>
    <x v="291"/>
    <x v="20"/>
    <x v="2"/>
    <x v="9"/>
    <n v="26"/>
    <n v="2"/>
    <n v="11.7"/>
    <x v="2"/>
    <x v="3"/>
  </r>
  <r>
    <d v="2024-03-24T00:00:00"/>
    <x v="535"/>
    <x v="20"/>
    <x v="0"/>
    <x v="10"/>
    <n v="47.01"/>
    <n v="3"/>
    <n v="22.09"/>
    <x v="2"/>
    <x v="3"/>
  </r>
  <r>
    <d v="2024-03-24T00:00:00"/>
    <x v="535"/>
    <x v="20"/>
    <x v="2"/>
    <x v="6"/>
    <n v="469.99"/>
    <n v="1"/>
    <n v="136.30000000000001"/>
    <x v="2"/>
    <x v="3"/>
  </r>
  <r>
    <d v="2024-03-24T00:00:00"/>
    <x v="535"/>
    <x v="20"/>
    <x v="1"/>
    <x v="5"/>
    <n v="207.85"/>
    <n v="3"/>
    <n v="2.31"/>
    <x v="2"/>
    <x v="3"/>
  </r>
  <r>
    <d v="2024-03-24T00:00:00"/>
    <x v="20"/>
    <x v="20"/>
    <x v="1"/>
    <x v="5"/>
    <n v="271.76"/>
    <n v="2"/>
    <n v="60.39"/>
    <x v="2"/>
    <x v="3"/>
  </r>
  <r>
    <d v="2024-03-24T00:00:00"/>
    <x v="689"/>
    <x v="0"/>
    <x v="0"/>
    <x v="2"/>
    <n v="12.77"/>
    <n v="2"/>
    <n v="0.96"/>
    <x v="2"/>
    <x v="3"/>
  </r>
  <r>
    <d v="2024-03-25T00:00:00"/>
    <x v="405"/>
    <x v="0"/>
    <x v="2"/>
    <x v="6"/>
    <n v="470.38"/>
    <n v="3"/>
    <n v="47.04"/>
    <x v="2"/>
    <x v="3"/>
  </r>
  <r>
    <d v="2024-03-25T00:00:00"/>
    <x v="107"/>
    <x v="3"/>
    <x v="0"/>
    <x v="12"/>
    <n v="176.04"/>
    <n v="4"/>
    <n v="45.77"/>
    <x v="2"/>
    <x v="3"/>
  </r>
  <r>
    <d v="2024-03-25T00:00:00"/>
    <x v="107"/>
    <x v="3"/>
    <x v="0"/>
    <x v="4"/>
    <n v="16.02"/>
    <n v="9"/>
    <n v="4.49"/>
    <x v="2"/>
    <x v="3"/>
  </r>
  <r>
    <d v="2024-03-25T00:00:00"/>
    <x v="107"/>
    <x v="3"/>
    <x v="0"/>
    <x v="3"/>
    <n v="185.92"/>
    <n v="4"/>
    <n v="62.75"/>
    <x v="2"/>
    <x v="3"/>
  </r>
  <r>
    <d v="2024-03-25T00:00:00"/>
    <x v="107"/>
    <x v="3"/>
    <x v="2"/>
    <x v="6"/>
    <n v="211.17"/>
    <n v="4"/>
    <n v="15.84"/>
    <x v="2"/>
    <x v="3"/>
  </r>
  <r>
    <d v="2024-03-25T00:00:00"/>
    <x v="107"/>
    <x v="3"/>
    <x v="2"/>
    <x v="16"/>
    <n v="479.98"/>
    <n v="2"/>
    <n v="60"/>
    <x v="2"/>
    <x v="3"/>
  </r>
  <r>
    <d v="2024-03-25T00:00:00"/>
    <x v="514"/>
    <x v="21"/>
    <x v="1"/>
    <x v="5"/>
    <n v="90.99"/>
    <n v="1"/>
    <n v="14.56"/>
    <x v="2"/>
    <x v="3"/>
  </r>
  <r>
    <d v="2024-03-25T00:00:00"/>
    <x v="514"/>
    <x v="21"/>
    <x v="1"/>
    <x v="5"/>
    <n v="1526.56"/>
    <n v="7"/>
    <n v="427.44"/>
    <x v="2"/>
    <x v="3"/>
  </r>
  <r>
    <d v="2024-03-25T00:00:00"/>
    <x v="514"/>
    <x v="21"/>
    <x v="1"/>
    <x v="5"/>
    <n v="368.97"/>
    <n v="3"/>
    <n v="40.590000000000003"/>
    <x v="2"/>
    <x v="3"/>
  </r>
  <r>
    <d v="2024-03-25T00:00:00"/>
    <x v="257"/>
    <x v="0"/>
    <x v="0"/>
    <x v="0"/>
    <n v="6.85"/>
    <n v="2"/>
    <n v="2.14"/>
    <x v="2"/>
    <x v="3"/>
  </r>
  <r>
    <d v="2024-03-25T00:00:00"/>
    <x v="76"/>
    <x v="22"/>
    <x v="0"/>
    <x v="4"/>
    <n v="23.1"/>
    <n v="2"/>
    <n v="6.93"/>
    <x v="2"/>
    <x v="3"/>
  </r>
  <r>
    <d v="2024-03-25T00:00:00"/>
    <x v="154"/>
    <x v="20"/>
    <x v="0"/>
    <x v="4"/>
    <n v="11.05"/>
    <n v="5"/>
    <n v="2.98"/>
    <x v="2"/>
    <x v="3"/>
  </r>
  <r>
    <d v="2024-03-26T00:00:00"/>
    <x v="95"/>
    <x v="20"/>
    <x v="1"/>
    <x v="11"/>
    <n v="257.57"/>
    <n v="2"/>
    <n v="-28.98"/>
    <x v="2"/>
    <x v="3"/>
  </r>
  <r>
    <d v="2024-03-26T00:00:00"/>
    <x v="95"/>
    <x v="20"/>
    <x v="2"/>
    <x v="6"/>
    <n v="119.96"/>
    <n v="4"/>
    <n v="33.590000000000003"/>
    <x v="2"/>
    <x v="3"/>
  </r>
  <r>
    <d v="2024-03-26T00:00:00"/>
    <x v="713"/>
    <x v="22"/>
    <x v="0"/>
    <x v="4"/>
    <n v="19.829999999999998"/>
    <n v="1"/>
    <n v="5.95"/>
    <x v="2"/>
    <x v="3"/>
  </r>
  <r>
    <d v="2024-03-26T00:00:00"/>
    <x v="783"/>
    <x v="14"/>
    <x v="1"/>
    <x v="8"/>
    <n v="60.84"/>
    <n v="3"/>
    <n v="23.12"/>
    <x v="2"/>
    <x v="3"/>
  </r>
  <r>
    <d v="2024-03-26T00:00:00"/>
    <x v="726"/>
    <x v="6"/>
    <x v="2"/>
    <x v="9"/>
    <n v="53.25"/>
    <n v="3"/>
    <n v="20.77"/>
    <x v="2"/>
    <x v="3"/>
  </r>
  <r>
    <d v="2024-03-26T00:00:00"/>
    <x v="726"/>
    <x v="6"/>
    <x v="0"/>
    <x v="7"/>
    <n v="3.76"/>
    <n v="2"/>
    <n v="1.32"/>
    <x v="2"/>
    <x v="3"/>
  </r>
  <r>
    <d v="2024-03-26T00:00:00"/>
    <x v="252"/>
    <x v="0"/>
    <x v="2"/>
    <x v="9"/>
    <n v="143.96"/>
    <n v="5"/>
    <n v="1.8"/>
    <x v="2"/>
    <x v="3"/>
  </r>
  <r>
    <d v="2024-03-26T00:00:00"/>
    <x v="252"/>
    <x v="0"/>
    <x v="2"/>
    <x v="16"/>
    <n v="2399.96"/>
    <n v="5"/>
    <n v="569.99"/>
    <x v="2"/>
    <x v="3"/>
  </r>
  <r>
    <d v="2024-03-26T00:00:00"/>
    <x v="252"/>
    <x v="0"/>
    <x v="0"/>
    <x v="0"/>
    <n v="74.349999999999994"/>
    <n v="3"/>
    <n v="23.24"/>
    <x v="2"/>
    <x v="3"/>
  </r>
  <r>
    <d v="2024-03-26T00:00:00"/>
    <x v="252"/>
    <x v="0"/>
    <x v="0"/>
    <x v="12"/>
    <n v="87.17"/>
    <n v="8"/>
    <n v="-226.64"/>
    <x v="2"/>
    <x v="3"/>
  </r>
  <r>
    <d v="2024-03-26T00:00:00"/>
    <x v="252"/>
    <x v="0"/>
    <x v="0"/>
    <x v="2"/>
    <n v="32.229999999999997"/>
    <n v="3"/>
    <n v="2.42"/>
    <x v="2"/>
    <x v="3"/>
  </r>
  <r>
    <d v="2024-03-27T00:00:00"/>
    <x v="199"/>
    <x v="2"/>
    <x v="1"/>
    <x v="8"/>
    <n v="15.01"/>
    <n v="2"/>
    <n v="1.5"/>
    <x v="2"/>
    <x v="3"/>
  </r>
  <r>
    <d v="2024-03-27T00:00:00"/>
    <x v="648"/>
    <x v="3"/>
    <x v="0"/>
    <x v="0"/>
    <n v="45.68"/>
    <n v="2"/>
    <n v="21.01"/>
    <x v="2"/>
    <x v="3"/>
  </r>
  <r>
    <d v="2024-03-27T00:00:00"/>
    <x v="648"/>
    <x v="3"/>
    <x v="0"/>
    <x v="0"/>
    <n v="110.96"/>
    <n v="2"/>
    <n v="53.26"/>
    <x v="2"/>
    <x v="3"/>
  </r>
  <r>
    <d v="2024-03-27T00:00:00"/>
    <x v="648"/>
    <x v="3"/>
    <x v="0"/>
    <x v="0"/>
    <n v="11.94"/>
    <n v="3"/>
    <n v="5.97"/>
    <x v="2"/>
    <x v="3"/>
  </r>
  <r>
    <d v="2024-03-27T00:00:00"/>
    <x v="641"/>
    <x v="6"/>
    <x v="0"/>
    <x v="1"/>
    <n v="8.26"/>
    <n v="2"/>
    <n v="3.8"/>
    <x v="2"/>
    <x v="3"/>
  </r>
  <r>
    <d v="2024-03-27T00:00:00"/>
    <x v="641"/>
    <x v="6"/>
    <x v="0"/>
    <x v="3"/>
    <n v="17.760000000000002"/>
    <n v="2"/>
    <n v="8.8800000000000008"/>
    <x v="2"/>
    <x v="3"/>
  </r>
  <r>
    <d v="2024-03-27T00:00:00"/>
    <x v="641"/>
    <x v="6"/>
    <x v="0"/>
    <x v="2"/>
    <n v="332.94"/>
    <n v="3"/>
    <n v="9.99"/>
    <x v="2"/>
    <x v="3"/>
  </r>
  <r>
    <d v="2024-03-27T00:00:00"/>
    <x v="641"/>
    <x v="6"/>
    <x v="1"/>
    <x v="13"/>
    <n v="292.10000000000002"/>
    <n v="2"/>
    <n v="58.42"/>
    <x v="2"/>
    <x v="3"/>
  </r>
  <r>
    <d v="2024-03-27T00:00:00"/>
    <x v="641"/>
    <x v="6"/>
    <x v="2"/>
    <x v="6"/>
    <n v="206.1"/>
    <n v="5"/>
    <n v="55.65"/>
    <x v="2"/>
    <x v="3"/>
  </r>
  <r>
    <d v="2024-03-27T00:00:00"/>
    <x v="641"/>
    <x v="6"/>
    <x v="0"/>
    <x v="0"/>
    <n v="17.64"/>
    <n v="4"/>
    <n v="8.11"/>
    <x v="2"/>
    <x v="3"/>
  </r>
  <r>
    <d v="2024-03-27T00:00:00"/>
    <x v="740"/>
    <x v="0"/>
    <x v="1"/>
    <x v="11"/>
    <n v="1023.33"/>
    <n v="5"/>
    <n v="-30.1"/>
    <x v="2"/>
    <x v="3"/>
  </r>
  <r>
    <d v="2024-03-27T00:00:00"/>
    <x v="740"/>
    <x v="0"/>
    <x v="1"/>
    <x v="5"/>
    <n v="600.55999999999995"/>
    <n v="3"/>
    <n v="-8.58"/>
    <x v="2"/>
    <x v="3"/>
  </r>
  <r>
    <d v="2024-03-27T00:00:00"/>
    <x v="740"/>
    <x v="0"/>
    <x v="2"/>
    <x v="9"/>
    <n v="39.99"/>
    <n v="1"/>
    <n v="7"/>
    <x v="2"/>
    <x v="3"/>
  </r>
  <r>
    <d v="2024-03-27T00:00:00"/>
    <x v="740"/>
    <x v="0"/>
    <x v="1"/>
    <x v="5"/>
    <n v="211.25"/>
    <n v="2"/>
    <n v="-66.39"/>
    <x v="2"/>
    <x v="3"/>
  </r>
  <r>
    <d v="2024-03-28T00:00:00"/>
    <x v="38"/>
    <x v="16"/>
    <x v="0"/>
    <x v="3"/>
    <n v="68.739999999999995"/>
    <n v="9"/>
    <n v="-48.12"/>
    <x v="2"/>
    <x v="3"/>
  </r>
  <r>
    <d v="2024-03-28T00:00:00"/>
    <x v="526"/>
    <x v="3"/>
    <x v="0"/>
    <x v="0"/>
    <n v="12.96"/>
    <n v="2"/>
    <n v="6.35"/>
    <x v="2"/>
    <x v="3"/>
  </r>
  <r>
    <d v="2024-03-28T00:00:00"/>
    <x v="526"/>
    <x v="3"/>
    <x v="1"/>
    <x v="8"/>
    <n v="26.48"/>
    <n v="1"/>
    <n v="10.06"/>
    <x v="2"/>
    <x v="3"/>
  </r>
  <r>
    <d v="2024-03-28T00:00:00"/>
    <x v="526"/>
    <x v="3"/>
    <x v="2"/>
    <x v="15"/>
    <n v="532.72"/>
    <n v="2"/>
    <n v="53.27"/>
    <x v="2"/>
    <x v="3"/>
  </r>
  <r>
    <d v="2024-03-28T00:00:00"/>
    <x v="526"/>
    <x v="3"/>
    <x v="0"/>
    <x v="0"/>
    <n v="26.72"/>
    <n v="4"/>
    <n v="12.83"/>
    <x v="2"/>
    <x v="3"/>
  </r>
  <r>
    <d v="2024-03-28T00:00:00"/>
    <x v="526"/>
    <x v="3"/>
    <x v="0"/>
    <x v="0"/>
    <n v="20.04"/>
    <n v="3"/>
    <n v="9.6199999999999992"/>
    <x v="2"/>
    <x v="3"/>
  </r>
  <r>
    <d v="2024-03-28T00:00:00"/>
    <x v="526"/>
    <x v="3"/>
    <x v="0"/>
    <x v="2"/>
    <n v="795.48"/>
    <n v="7"/>
    <n v="7.95"/>
    <x v="2"/>
    <x v="3"/>
  </r>
  <r>
    <d v="2024-03-28T00:00:00"/>
    <x v="526"/>
    <x v="3"/>
    <x v="1"/>
    <x v="8"/>
    <n v="21.56"/>
    <n v="7"/>
    <n v="6.9"/>
    <x v="2"/>
    <x v="3"/>
  </r>
  <r>
    <d v="2024-03-29T00:00:00"/>
    <x v="310"/>
    <x v="18"/>
    <x v="0"/>
    <x v="2"/>
    <n v="81.400000000000006"/>
    <n v="5"/>
    <n v="21.16"/>
    <x v="2"/>
    <x v="3"/>
  </r>
  <r>
    <d v="2024-03-30T00:00:00"/>
    <x v="784"/>
    <x v="39"/>
    <x v="0"/>
    <x v="10"/>
    <n v="325.86"/>
    <n v="2"/>
    <n v="149.9"/>
    <x v="2"/>
    <x v="3"/>
  </r>
  <r>
    <d v="2024-03-30T00:00:00"/>
    <x v="652"/>
    <x v="2"/>
    <x v="0"/>
    <x v="3"/>
    <n v="5.72"/>
    <n v="5"/>
    <n v="-4.76"/>
    <x v="2"/>
    <x v="3"/>
  </r>
  <r>
    <d v="2024-03-30T00:00:00"/>
    <x v="5"/>
    <x v="4"/>
    <x v="0"/>
    <x v="2"/>
    <n v="59.76"/>
    <n v="1"/>
    <n v="16.73"/>
    <x v="2"/>
    <x v="3"/>
  </r>
  <r>
    <d v="2024-03-30T00:00:00"/>
    <x v="23"/>
    <x v="3"/>
    <x v="0"/>
    <x v="4"/>
    <n v="6.08"/>
    <n v="2"/>
    <n v="2.0699999999999998"/>
    <x v="2"/>
    <x v="3"/>
  </r>
  <r>
    <d v="2024-03-30T00:00:00"/>
    <x v="23"/>
    <x v="3"/>
    <x v="2"/>
    <x v="6"/>
    <n v="164.79"/>
    <n v="1"/>
    <n v="18.54"/>
    <x v="2"/>
    <x v="3"/>
  </r>
  <r>
    <d v="2024-03-30T00:00:00"/>
    <x v="513"/>
    <x v="3"/>
    <x v="1"/>
    <x v="8"/>
    <n v="94.2"/>
    <n v="5"/>
    <n v="39.56"/>
    <x v="2"/>
    <x v="3"/>
  </r>
  <r>
    <d v="2024-03-31T00:00:00"/>
    <x v="171"/>
    <x v="0"/>
    <x v="1"/>
    <x v="11"/>
    <n v="205.33"/>
    <n v="2"/>
    <n v="-36.24"/>
    <x v="2"/>
    <x v="3"/>
  </r>
  <r>
    <d v="2024-03-31T00:00:00"/>
    <x v="626"/>
    <x v="20"/>
    <x v="1"/>
    <x v="8"/>
    <n v="29.78"/>
    <n v="2"/>
    <n v="8.0399999999999991"/>
    <x v="2"/>
    <x v="3"/>
  </r>
  <r>
    <d v="2024-03-31T00:00:00"/>
    <x v="626"/>
    <x v="20"/>
    <x v="2"/>
    <x v="6"/>
    <n v="677.58"/>
    <n v="3"/>
    <n v="176.17"/>
    <x v="2"/>
    <x v="3"/>
  </r>
  <r>
    <d v="2024-03-31T00:00:00"/>
    <x v="626"/>
    <x v="20"/>
    <x v="0"/>
    <x v="0"/>
    <n v="75.040000000000006"/>
    <n v="8"/>
    <n v="36.020000000000003"/>
    <x v="2"/>
    <x v="3"/>
  </r>
  <r>
    <d v="2024-03-31T00:00:00"/>
    <x v="445"/>
    <x v="20"/>
    <x v="2"/>
    <x v="6"/>
    <n v="84.95"/>
    <n v="5"/>
    <n v="22.09"/>
    <x v="2"/>
    <x v="3"/>
  </r>
  <r>
    <d v="2024-03-31T00:00:00"/>
    <x v="474"/>
    <x v="5"/>
    <x v="1"/>
    <x v="8"/>
    <n v="61"/>
    <n v="5"/>
    <n v="25.62"/>
    <x v="2"/>
    <x v="3"/>
  </r>
  <r>
    <d v="2024-03-31T00:00:00"/>
    <x v="474"/>
    <x v="5"/>
    <x v="2"/>
    <x v="6"/>
    <n v="671.93"/>
    <n v="7"/>
    <n v="188.14"/>
    <x v="2"/>
    <x v="3"/>
  </r>
  <r>
    <d v="2024-03-31T00:00:00"/>
    <x v="709"/>
    <x v="1"/>
    <x v="0"/>
    <x v="3"/>
    <n v="13.47"/>
    <n v="13"/>
    <n v="-22.9"/>
    <x v="2"/>
    <x v="3"/>
  </r>
  <r>
    <d v="2024-03-31T00:00:00"/>
    <x v="458"/>
    <x v="4"/>
    <x v="0"/>
    <x v="3"/>
    <n v="34.54"/>
    <n v="1"/>
    <n v="17.27"/>
    <x v="2"/>
    <x v="3"/>
  </r>
  <r>
    <d v="2024-03-31T00:00:00"/>
    <x v="458"/>
    <x v="4"/>
    <x v="2"/>
    <x v="16"/>
    <n v="2999.95"/>
    <n v="5"/>
    <n v="1439.98"/>
    <x v="2"/>
    <x v="3"/>
  </r>
  <r>
    <d v="2024-03-31T00:00:00"/>
    <x v="458"/>
    <x v="4"/>
    <x v="0"/>
    <x v="3"/>
    <n v="64.12"/>
    <n v="4"/>
    <n v="30.78"/>
    <x v="2"/>
    <x v="3"/>
  </r>
  <r>
    <d v="2024-03-31T00:00:00"/>
    <x v="134"/>
    <x v="0"/>
    <x v="0"/>
    <x v="12"/>
    <n v="33.619999999999997"/>
    <n v="5"/>
    <n v="-90.77"/>
    <x v="2"/>
    <x v="3"/>
  </r>
  <r>
    <d v="2024-03-31T00:00:00"/>
    <x v="418"/>
    <x v="3"/>
    <x v="0"/>
    <x v="14"/>
    <n v="29.7"/>
    <n v="3"/>
    <n v="8.02"/>
    <x v="2"/>
    <x v="3"/>
  </r>
  <r>
    <d v="2024-04-01T00:00:00"/>
    <x v="423"/>
    <x v="24"/>
    <x v="0"/>
    <x v="2"/>
    <n v="94.2"/>
    <n v="6"/>
    <n v="23.55"/>
    <x v="3"/>
    <x v="3"/>
  </r>
  <r>
    <d v="2024-04-01T00:00:00"/>
    <x v="423"/>
    <x v="24"/>
    <x v="0"/>
    <x v="10"/>
    <n v="28.4"/>
    <n v="5"/>
    <n v="13.35"/>
    <x v="3"/>
    <x v="3"/>
  </r>
  <r>
    <d v="2024-04-01T00:00:00"/>
    <x v="389"/>
    <x v="3"/>
    <x v="0"/>
    <x v="1"/>
    <n v="5.78"/>
    <n v="2"/>
    <n v="2.72"/>
    <x v="3"/>
    <x v="3"/>
  </r>
  <r>
    <d v="2024-04-01T00:00:00"/>
    <x v="389"/>
    <x v="3"/>
    <x v="0"/>
    <x v="3"/>
    <n v="121.68"/>
    <n v="13"/>
    <n v="38.03"/>
    <x v="3"/>
    <x v="3"/>
  </r>
  <r>
    <d v="2024-04-01T00:00:00"/>
    <x v="317"/>
    <x v="3"/>
    <x v="1"/>
    <x v="11"/>
    <n v="482.66"/>
    <n v="8"/>
    <n v="85.18"/>
    <x v="3"/>
    <x v="3"/>
  </r>
  <r>
    <d v="2024-04-01T00:00:00"/>
    <x v="317"/>
    <x v="3"/>
    <x v="2"/>
    <x v="15"/>
    <n v="4799.9799999999996"/>
    <n v="2"/>
    <n v="360"/>
    <x v="3"/>
    <x v="3"/>
  </r>
  <r>
    <d v="2024-04-01T00:00:00"/>
    <x v="405"/>
    <x v="20"/>
    <x v="0"/>
    <x v="0"/>
    <n v="42.93"/>
    <n v="9"/>
    <n v="19.32"/>
    <x v="3"/>
    <x v="3"/>
  </r>
  <r>
    <d v="2024-04-01T00:00:00"/>
    <x v="45"/>
    <x v="16"/>
    <x v="2"/>
    <x v="6"/>
    <n v="23.98"/>
    <n v="3"/>
    <n v="-5.69"/>
    <x v="3"/>
    <x v="3"/>
  </r>
  <r>
    <d v="2024-04-01T00:00:00"/>
    <x v="45"/>
    <x v="16"/>
    <x v="0"/>
    <x v="1"/>
    <n v="6.26"/>
    <n v="3"/>
    <n v="2.04"/>
    <x v="3"/>
    <x v="3"/>
  </r>
  <r>
    <d v="2024-04-01T00:00:00"/>
    <x v="45"/>
    <x v="16"/>
    <x v="0"/>
    <x v="12"/>
    <n v="20.81"/>
    <n v="3"/>
    <n v="1.82"/>
    <x v="3"/>
    <x v="3"/>
  </r>
  <r>
    <d v="2024-04-01T00:00:00"/>
    <x v="45"/>
    <x v="16"/>
    <x v="1"/>
    <x v="5"/>
    <n v="218.35"/>
    <n v="3"/>
    <n v="-19.11"/>
    <x v="3"/>
    <x v="3"/>
  </r>
  <r>
    <d v="2024-04-01T00:00:00"/>
    <x v="169"/>
    <x v="9"/>
    <x v="1"/>
    <x v="8"/>
    <n v="127.95"/>
    <n v="3"/>
    <n v="21.75"/>
    <x v="3"/>
    <x v="3"/>
  </r>
  <r>
    <d v="2024-04-02T00:00:00"/>
    <x v="509"/>
    <x v="3"/>
    <x v="1"/>
    <x v="8"/>
    <n v="25.11"/>
    <n v="3"/>
    <n v="6.53"/>
    <x v="3"/>
    <x v="3"/>
  </r>
  <r>
    <d v="2024-04-02T00:00:00"/>
    <x v="529"/>
    <x v="4"/>
    <x v="1"/>
    <x v="13"/>
    <n v="411.8"/>
    <n v="2"/>
    <n v="70.010000000000005"/>
    <x v="3"/>
    <x v="3"/>
  </r>
  <r>
    <d v="2024-04-02T00:00:00"/>
    <x v="529"/>
    <x v="4"/>
    <x v="2"/>
    <x v="9"/>
    <n v="360"/>
    <n v="4"/>
    <n v="129.6"/>
    <x v="3"/>
    <x v="3"/>
  </r>
  <r>
    <d v="2024-04-02T00:00:00"/>
    <x v="538"/>
    <x v="37"/>
    <x v="0"/>
    <x v="4"/>
    <n v="11.12"/>
    <n v="4"/>
    <n v="2.89"/>
    <x v="3"/>
    <x v="3"/>
  </r>
  <r>
    <d v="2024-04-02T00:00:00"/>
    <x v="596"/>
    <x v="33"/>
    <x v="0"/>
    <x v="1"/>
    <n v="14.94"/>
    <n v="3"/>
    <n v="6.87"/>
    <x v="3"/>
    <x v="3"/>
  </r>
  <r>
    <d v="2024-04-03T00:00:00"/>
    <x v="175"/>
    <x v="2"/>
    <x v="1"/>
    <x v="8"/>
    <n v="25.47"/>
    <n v="4"/>
    <n v="7.64"/>
    <x v="3"/>
    <x v="3"/>
  </r>
  <r>
    <d v="2024-04-03T00:00:00"/>
    <x v="52"/>
    <x v="1"/>
    <x v="0"/>
    <x v="4"/>
    <n v="7.06"/>
    <n v="3"/>
    <n v="2.21"/>
    <x v="3"/>
    <x v="3"/>
  </r>
  <r>
    <d v="2024-04-04T00:00:00"/>
    <x v="481"/>
    <x v="1"/>
    <x v="2"/>
    <x v="6"/>
    <n v="383.84"/>
    <n v="4"/>
    <n v="47.98"/>
    <x v="3"/>
    <x v="3"/>
  </r>
  <r>
    <d v="2024-04-04T00:00:00"/>
    <x v="293"/>
    <x v="20"/>
    <x v="2"/>
    <x v="6"/>
    <n v="41.22"/>
    <n v="1"/>
    <n v="11.13"/>
    <x v="3"/>
    <x v="3"/>
  </r>
  <r>
    <d v="2024-04-04T00:00:00"/>
    <x v="293"/>
    <x v="20"/>
    <x v="0"/>
    <x v="14"/>
    <n v="240.37"/>
    <n v="1"/>
    <n v="7.21"/>
    <x v="3"/>
    <x v="3"/>
  </r>
  <r>
    <d v="2024-04-04T00:00:00"/>
    <x v="293"/>
    <x v="20"/>
    <x v="2"/>
    <x v="6"/>
    <n v="119.02"/>
    <n v="2"/>
    <n v="33.33"/>
    <x v="3"/>
    <x v="3"/>
  </r>
  <r>
    <d v="2024-04-04T00:00:00"/>
    <x v="577"/>
    <x v="20"/>
    <x v="0"/>
    <x v="10"/>
    <n v="16.98"/>
    <n v="1"/>
    <n v="8.49"/>
    <x v="3"/>
    <x v="3"/>
  </r>
  <r>
    <d v="2024-04-04T00:00:00"/>
    <x v="398"/>
    <x v="20"/>
    <x v="0"/>
    <x v="4"/>
    <n v="7.04"/>
    <n v="4"/>
    <n v="2.04"/>
    <x v="3"/>
    <x v="3"/>
  </r>
  <r>
    <d v="2024-04-06T00:00:00"/>
    <x v="770"/>
    <x v="30"/>
    <x v="0"/>
    <x v="0"/>
    <n v="106.32"/>
    <n v="3"/>
    <n v="49.97"/>
    <x v="3"/>
    <x v="3"/>
  </r>
  <r>
    <d v="2024-04-06T00:00:00"/>
    <x v="345"/>
    <x v="15"/>
    <x v="0"/>
    <x v="3"/>
    <n v="8.1"/>
    <n v="5"/>
    <n v="-5.94"/>
    <x v="3"/>
    <x v="3"/>
  </r>
  <r>
    <d v="2024-04-07T00:00:00"/>
    <x v="431"/>
    <x v="16"/>
    <x v="1"/>
    <x v="13"/>
    <n v="233.86"/>
    <n v="2"/>
    <n v="-102.05"/>
    <x v="3"/>
    <x v="3"/>
  </r>
  <r>
    <d v="2024-04-07T00:00:00"/>
    <x v="431"/>
    <x v="16"/>
    <x v="1"/>
    <x v="13"/>
    <n v="620.61"/>
    <n v="3"/>
    <n v="-248.25"/>
    <x v="3"/>
    <x v="3"/>
  </r>
  <r>
    <d v="2024-04-07T00:00:00"/>
    <x v="431"/>
    <x v="16"/>
    <x v="0"/>
    <x v="3"/>
    <n v="5.33"/>
    <n v="2"/>
    <n v="-3.55"/>
    <x v="3"/>
    <x v="3"/>
  </r>
  <r>
    <d v="2024-04-07T00:00:00"/>
    <x v="431"/>
    <x v="16"/>
    <x v="1"/>
    <x v="8"/>
    <n v="258.07"/>
    <n v="3"/>
    <n v="0"/>
    <x v="3"/>
    <x v="3"/>
  </r>
  <r>
    <d v="2024-04-07T00:00:00"/>
    <x v="431"/>
    <x v="16"/>
    <x v="2"/>
    <x v="9"/>
    <n v="617.98"/>
    <n v="3"/>
    <n v="-7.72"/>
    <x v="3"/>
    <x v="3"/>
  </r>
  <r>
    <d v="2024-04-07T00:00:00"/>
    <x v="57"/>
    <x v="16"/>
    <x v="0"/>
    <x v="4"/>
    <n v="16.260000000000002"/>
    <n v="2"/>
    <n v="1.22"/>
    <x v="3"/>
    <x v="3"/>
  </r>
  <r>
    <d v="2024-04-07T00:00:00"/>
    <x v="57"/>
    <x v="16"/>
    <x v="2"/>
    <x v="6"/>
    <n v="219.18"/>
    <n v="2"/>
    <n v="19.18"/>
    <x v="3"/>
    <x v="3"/>
  </r>
  <r>
    <d v="2024-04-08T00:00:00"/>
    <x v="491"/>
    <x v="4"/>
    <x v="1"/>
    <x v="8"/>
    <n v="56.28"/>
    <n v="6"/>
    <n v="15.76"/>
    <x v="3"/>
    <x v="3"/>
  </r>
  <r>
    <d v="2024-04-08T00:00:00"/>
    <x v="491"/>
    <x v="4"/>
    <x v="0"/>
    <x v="3"/>
    <n v="2690.97"/>
    <n v="3"/>
    <n v="1264.76"/>
    <x v="3"/>
    <x v="3"/>
  </r>
  <r>
    <d v="2024-04-08T00:00:00"/>
    <x v="432"/>
    <x v="23"/>
    <x v="0"/>
    <x v="2"/>
    <n v="2591.56"/>
    <n v="4"/>
    <n v="621.97"/>
    <x v="3"/>
    <x v="3"/>
  </r>
  <r>
    <d v="2024-04-08T00:00:00"/>
    <x v="432"/>
    <x v="23"/>
    <x v="0"/>
    <x v="12"/>
    <n v="41.95"/>
    <n v="5"/>
    <n v="10.49"/>
    <x v="3"/>
    <x v="3"/>
  </r>
  <r>
    <d v="2024-04-08T00:00:00"/>
    <x v="303"/>
    <x v="3"/>
    <x v="0"/>
    <x v="0"/>
    <n v="244.55"/>
    <n v="5"/>
    <n v="114.94"/>
    <x v="3"/>
    <x v="3"/>
  </r>
  <r>
    <d v="2024-04-08T00:00:00"/>
    <x v="303"/>
    <x v="3"/>
    <x v="0"/>
    <x v="0"/>
    <n v="195.76"/>
    <n v="4"/>
    <n v="97.88"/>
    <x v="3"/>
    <x v="3"/>
  </r>
  <r>
    <d v="2024-04-08T00:00:00"/>
    <x v="62"/>
    <x v="14"/>
    <x v="1"/>
    <x v="8"/>
    <n v="273.95999999999998"/>
    <n v="2"/>
    <n v="71.23"/>
    <x v="3"/>
    <x v="3"/>
  </r>
  <r>
    <d v="2024-04-08T00:00:00"/>
    <x v="62"/>
    <x v="14"/>
    <x v="1"/>
    <x v="8"/>
    <n v="306.89999999999998"/>
    <n v="3"/>
    <n v="79.790000000000006"/>
    <x v="3"/>
    <x v="3"/>
  </r>
  <r>
    <d v="2024-04-09T00:00:00"/>
    <x v="697"/>
    <x v="20"/>
    <x v="0"/>
    <x v="1"/>
    <n v="9.82"/>
    <n v="2"/>
    <n v="4.8099999999999996"/>
    <x v="3"/>
    <x v="3"/>
  </r>
  <r>
    <d v="2024-04-09T00:00:00"/>
    <x v="697"/>
    <x v="20"/>
    <x v="0"/>
    <x v="4"/>
    <n v="35.97"/>
    <n v="3"/>
    <n v="9.7100000000000009"/>
    <x v="3"/>
    <x v="3"/>
  </r>
  <r>
    <d v="2024-04-09T00:00:00"/>
    <x v="697"/>
    <x v="20"/>
    <x v="0"/>
    <x v="0"/>
    <n v="12.96"/>
    <n v="2"/>
    <n v="6.22"/>
    <x v="3"/>
    <x v="3"/>
  </r>
  <r>
    <d v="2024-04-09T00:00:00"/>
    <x v="697"/>
    <x v="20"/>
    <x v="0"/>
    <x v="0"/>
    <n v="191.6"/>
    <n v="4"/>
    <n v="91.97"/>
    <x v="3"/>
    <x v="3"/>
  </r>
  <r>
    <d v="2024-04-09T00:00:00"/>
    <x v="697"/>
    <x v="20"/>
    <x v="0"/>
    <x v="1"/>
    <n v="8.64"/>
    <n v="3"/>
    <n v="4.2300000000000004"/>
    <x v="3"/>
    <x v="3"/>
  </r>
  <r>
    <d v="2024-04-09T00:00:00"/>
    <x v="697"/>
    <x v="20"/>
    <x v="0"/>
    <x v="2"/>
    <n v="501.81"/>
    <n v="3"/>
    <n v="0"/>
    <x v="3"/>
    <x v="3"/>
  </r>
  <r>
    <d v="2024-04-09T00:00:00"/>
    <x v="52"/>
    <x v="16"/>
    <x v="0"/>
    <x v="1"/>
    <n v="15.12"/>
    <n v="3"/>
    <n v="4.91"/>
    <x v="3"/>
    <x v="3"/>
  </r>
  <r>
    <d v="2024-04-09T00:00:00"/>
    <x v="52"/>
    <x v="16"/>
    <x v="0"/>
    <x v="3"/>
    <n v="17.43"/>
    <n v="1"/>
    <n v="-13.36"/>
    <x v="3"/>
    <x v="3"/>
  </r>
  <r>
    <d v="2024-04-09T00:00:00"/>
    <x v="52"/>
    <x v="16"/>
    <x v="0"/>
    <x v="0"/>
    <n v="251.64"/>
    <n v="3"/>
    <n v="88.07"/>
    <x v="3"/>
    <x v="3"/>
  </r>
  <r>
    <d v="2024-04-09T00:00:00"/>
    <x v="318"/>
    <x v="14"/>
    <x v="0"/>
    <x v="3"/>
    <n v="478.24"/>
    <n v="8"/>
    <n v="219.99"/>
    <x v="3"/>
    <x v="3"/>
  </r>
  <r>
    <d v="2024-04-09T00:00:00"/>
    <x v="479"/>
    <x v="2"/>
    <x v="0"/>
    <x v="3"/>
    <n v="37.9"/>
    <n v="4"/>
    <n v="-29.05"/>
    <x v="3"/>
    <x v="3"/>
  </r>
  <r>
    <d v="2024-04-09T00:00:00"/>
    <x v="479"/>
    <x v="2"/>
    <x v="0"/>
    <x v="0"/>
    <n v="65.58"/>
    <n v="2"/>
    <n v="23.77"/>
    <x v="3"/>
    <x v="3"/>
  </r>
  <r>
    <d v="2024-04-10T00:00:00"/>
    <x v="694"/>
    <x v="23"/>
    <x v="0"/>
    <x v="0"/>
    <n v="7.61"/>
    <n v="1"/>
    <n v="3.58"/>
    <x v="3"/>
    <x v="3"/>
  </r>
  <r>
    <d v="2024-04-10T00:00:00"/>
    <x v="694"/>
    <x v="23"/>
    <x v="0"/>
    <x v="7"/>
    <n v="7.16"/>
    <n v="2"/>
    <n v="3.58"/>
    <x v="3"/>
    <x v="3"/>
  </r>
  <r>
    <d v="2024-04-10T00:00:00"/>
    <x v="446"/>
    <x v="0"/>
    <x v="0"/>
    <x v="0"/>
    <n v="10.37"/>
    <n v="2"/>
    <n v="3.63"/>
    <x v="3"/>
    <x v="3"/>
  </r>
  <r>
    <d v="2024-04-10T00:00:00"/>
    <x v="446"/>
    <x v="0"/>
    <x v="2"/>
    <x v="9"/>
    <n v="95.74"/>
    <n v="3"/>
    <n v="20.34"/>
    <x v="3"/>
    <x v="3"/>
  </r>
  <r>
    <d v="2024-04-10T00:00:00"/>
    <x v="785"/>
    <x v="16"/>
    <x v="1"/>
    <x v="8"/>
    <n v="12.32"/>
    <n v="5"/>
    <n v="1.85"/>
    <x v="3"/>
    <x v="3"/>
  </r>
  <r>
    <d v="2024-04-10T00:00:00"/>
    <x v="785"/>
    <x v="16"/>
    <x v="0"/>
    <x v="3"/>
    <n v="4.42"/>
    <n v="3"/>
    <n v="-3.09"/>
    <x v="3"/>
    <x v="3"/>
  </r>
  <r>
    <d v="2024-04-10T00:00:00"/>
    <x v="524"/>
    <x v="37"/>
    <x v="2"/>
    <x v="9"/>
    <n v="99.99"/>
    <n v="1"/>
    <n v="42"/>
    <x v="3"/>
    <x v="3"/>
  </r>
  <r>
    <d v="2024-04-10T00:00:00"/>
    <x v="524"/>
    <x v="37"/>
    <x v="0"/>
    <x v="2"/>
    <n v="286.14999999999998"/>
    <n v="5"/>
    <n v="71.540000000000006"/>
    <x v="3"/>
    <x v="3"/>
  </r>
  <r>
    <d v="2024-04-10T00:00:00"/>
    <x v="206"/>
    <x v="2"/>
    <x v="0"/>
    <x v="12"/>
    <n v="195.1"/>
    <n v="4"/>
    <n v="21.95"/>
    <x v="3"/>
    <x v="3"/>
  </r>
  <r>
    <d v="2024-04-10T00:00:00"/>
    <x v="206"/>
    <x v="2"/>
    <x v="1"/>
    <x v="8"/>
    <n v="36.67"/>
    <n v="3"/>
    <n v="6.42"/>
    <x v="3"/>
    <x v="3"/>
  </r>
  <r>
    <d v="2024-04-11T00:00:00"/>
    <x v="399"/>
    <x v="3"/>
    <x v="2"/>
    <x v="9"/>
    <n v="199.95"/>
    <n v="5"/>
    <n v="21.99"/>
    <x v="3"/>
    <x v="3"/>
  </r>
  <r>
    <d v="2024-04-11T00:00:00"/>
    <x v="399"/>
    <x v="3"/>
    <x v="0"/>
    <x v="4"/>
    <n v="41.86"/>
    <n v="7"/>
    <n v="14.23"/>
    <x v="3"/>
    <x v="3"/>
  </r>
  <r>
    <d v="2024-04-11T00:00:00"/>
    <x v="90"/>
    <x v="0"/>
    <x v="0"/>
    <x v="3"/>
    <n v="11.36"/>
    <n v="3"/>
    <n v="-17.05"/>
    <x v="3"/>
    <x v="3"/>
  </r>
  <r>
    <d v="2024-04-11T00:00:00"/>
    <x v="304"/>
    <x v="10"/>
    <x v="0"/>
    <x v="2"/>
    <n v="16.77"/>
    <n v="2"/>
    <n v="1.47"/>
    <x v="3"/>
    <x v="3"/>
  </r>
  <r>
    <d v="2024-04-11T00:00:00"/>
    <x v="304"/>
    <x v="10"/>
    <x v="2"/>
    <x v="9"/>
    <n v="27.12"/>
    <n v="2"/>
    <n v="-4.75"/>
    <x v="3"/>
    <x v="3"/>
  </r>
  <r>
    <d v="2024-04-11T00:00:00"/>
    <x v="700"/>
    <x v="25"/>
    <x v="0"/>
    <x v="4"/>
    <n v="1.75"/>
    <n v="1"/>
    <n v="0.15"/>
    <x v="3"/>
    <x v="3"/>
  </r>
  <r>
    <d v="2024-04-11T00:00:00"/>
    <x v="700"/>
    <x v="25"/>
    <x v="0"/>
    <x v="4"/>
    <n v="20.99"/>
    <n v="8"/>
    <n v="2.36"/>
    <x v="3"/>
    <x v="3"/>
  </r>
  <r>
    <d v="2024-04-12T00:00:00"/>
    <x v="649"/>
    <x v="43"/>
    <x v="0"/>
    <x v="3"/>
    <n v="29.7"/>
    <n v="5"/>
    <n v="13.37"/>
    <x v="3"/>
    <x v="3"/>
  </r>
  <r>
    <d v="2024-04-12T00:00:00"/>
    <x v="649"/>
    <x v="43"/>
    <x v="0"/>
    <x v="0"/>
    <n v="39.96"/>
    <n v="4"/>
    <n v="17.98"/>
    <x v="3"/>
    <x v="3"/>
  </r>
  <r>
    <d v="2024-04-13T00:00:00"/>
    <x v="274"/>
    <x v="22"/>
    <x v="0"/>
    <x v="0"/>
    <n v="5.28"/>
    <n v="1"/>
    <n v="2.38"/>
    <x v="3"/>
    <x v="3"/>
  </r>
  <r>
    <d v="2024-04-13T00:00:00"/>
    <x v="274"/>
    <x v="22"/>
    <x v="0"/>
    <x v="3"/>
    <n v="895.92"/>
    <n v="5"/>
    <n v="302.37"/>
    <x v="3"/>
    <x v="3"/>
  </r>
  <r>
    <d v="2024-04-13T00:00:00"/>
    <x v="598"/>
    <x v="3"/>
    <x v="1"/>
    <x v="5"/>
    <n v="436.7"/>
    <n v="6"/>
    <n v="-38.21"/>
    <x v="3"/>
    <x v="3"/>
  </r>
  <r>
    <d v="2024-04-13T00:00:00"/>
    <x v="679"/>
    <x v="2"/>
    <x v="0"/>
    <x v="7"/>
    <n v="7.92"/>
    <n v="5"/>
    <n v="1.68"/>
    <x v="3"/>
    <x v="3"/>
  </r>
  <r>
    <d v="2024-04-14T00:00:00"/>
    <x v="513"/>
    <x v="10"/>
    <x v="0"/>
    <x v="4"/>
    <n v="14.59"/>
    <n v="3"/>
    <n v="2.5499999999999998"/>
    <x v="3"/>
    <x v="3"/>
  </r>
  <r>
    <d v="2024-04-14T00:00:00"/>
    <x v="513"/>
    <x v="10"/>
    <x v="0"/>
    <x v="4"/>
    <n v="89.86"/>
    <n v="3"/>
    <n v="21.34"/>
    <x v="3"/>
    <x v="3"/>
  </r>
  <r>
    <d v="2024-04-14T00:00:00"/>
    <x v="513"/>
    <x v="10"/>
    <x v="0"/>
    <x v="0"/>
    <n v="13.87"/>
    <n v="3"/>
    <n v="5.03"/>
    <x v="3"/>
    <x v="3"/>
  </r>
  <r>
    <d v="2024-04-14T00:00:00"/>
    <x v="750"/>
    <x v="24"/>
    <x v="0"/>
    <x v="3"/>
    <n v="8.76"/>
    <n v="2"/>
    <n v="4.2"/>
    <x v="3"/>
    <x v="3"/>
  </r>
  <r>
    <d v="2024-04-14T00:00:00"/>
    <x v="349"/>
    <x v="20"/>
    <x v="0"/>
    <x v="3"/>
    <n v="10.78"/>
    <n v="3"/>
    <n v="3.5"/>
    <x v="3"/>
    <x v="3"/>
  </r>
  <r>
    <d v="2024-04-14T00:00:00"/>
    <x v="349"/>
    <x v="20"/>
    <x v="1"/>
    <x v="11"/>
    <n v="242.35"/>
    <n v="3"/>
    <n v="9.09"/>
    <x v="3"/>
    <x v="3"/>
  </r>
  <r>
    <d v="2024-04-14T00:00:00"/>
    <x v="360"/>
    <x v="25"/>
    <x v="1"/>
    <x v="11"/>
    <n v="198.27"/>
    <n v="8"/>
    <n v="-32.22"/>
    <x v="3"/>
    <x v="3"/>
  </r>
  <r>
    <d v="2024-04-14T00:00:00"/>
    <x v="312"/>
    <x v="23"/>
    <x v="1"/>
    <x v="8"/>
    <n v="74.45"/>
    <n v="5"/>
    <n v="20.100000000000001"/>
    <x v="3"/>
    <x v="3"/>
  </r>
  <r>
    <d v="2024-04-15T00:00:00"/>
    <x v="182"/>
    <x v="25"/>
    <x v="0"/>
    <x v="0"/>
    <n v="15.55"/>
    <n v="3"/>
    <n v="5.44"/>
    <x v="3"/>
    <x v="3"/>
  </r>
  <r>
    <d v="2024-04-15T00:00:00"/>
    <x v="489"/>
    <x v="6"/>
    <x v="0"/>
    <x v="4"/>
    <n v="4.8899999999999997"/>
    <n v="1"/>
    <n v="2"/>
    <x v="3"/>
    <x v="3"/>
  </r>
  <r>
    <d v="2024-04-15T00:00:00"/>
    <x v="512"/>
    <x v="17"/>
    <x v="1"/>
    <x v="8"/>
    <n v="196.45"/>
    <n v="5"/>
    <n v="70.72"/>
    <x v="3"/>
    <x v="3"/>
  </r>
  <r>
    <d v="2024-04-15T00:00:00"/>
    <x v="270"/>
    <x v="3"/>
    <x v="0"/>
    <x v="0"/>
    <n v="79.14"/>
    <n v="3"/>
    <n v="36.4"/>
    <x v="3"/>
    <x v="3"/>
  </r>
  <r>
    <d v="2024-04-15T00:00:00"/>
    <x v="26"/>
    <x v="0"/>
    <x v="0"/>
    <x v="0"/>
    <n v="20.74"/>
    <n v="4"/>
    <n v="7.26"/>
    <x v="3"/>
    <x v="3"/>
  </r>
  <r>
    <d v="2024-04-15T00:00:00"/>
    <x v="244"/>
    <x v="16"/>
    <x v="0"/>
    <x v="3"/>
    <n v="15.57"/>
    <n v="3"/>
    <n v="-11.94"/>
    <x v="3"/>
    <x v="3"/>
  </r>
  <r>
    <d v="2024-04-16T00:00:00"/>
    <x v="485"/>
    <x v="1"/>
    <x v="0"/>
    <x v="4"/>
    <n v="16.52"/>
    <n v="5"/>
    <n v="2.0699999999999998"/>
    <x v="3"/>
    <x v="3"/>
  </r>
  <r>
    <d v="2024-04-16T00:00:00"/>
    <x v="503"/>
    <x v="10"/>
    <x v="0"/>
    <x v="3"/>
    <n v="13.71"/>
    <n v="5"/>
    <n v="-10.050000000000001"/>
    <x v="3"/>
    <x v="3"/>
  </r>
  <r>
    <d v="2024-04-16T00:00:00"/>
    <x v="264"/>
    <x v="3"/>
    <x v="0"/>
    <x v="2"/>
    <n v="205.92"/>
    <n v="4"/>
    <n v="2.06"/>
    <x v="3"/>
    <x v="3"/>
  </r>
  <r>
    <d v="2024-04-16T00:00:00"/>
    <x v="264"/>
    <x v="3"/>
    <x v="1"/>
    <x v="11"/>
    <n v="102.83"/>
    <n v="1"/>
    <n v="-6.05"/>
    <x v="3"/>
    <x v="3"/>
  </r>
  <r>
    <d v="2024-04-16T00:00:00"/>
    <x v="615"/>
    <x v="33"/>
    <x v="0"/>
    <x v="14"/>
    <n v="477.24"/>
    <n v="4"/>
    <n v="9.5399999999999991"/>
    <x v="3"/>
    <x v="3"/>
  </r>
  <r>
    <d v="2024-04-16T00:00:00"/>
    <x v="615"/>
    <x v="33"/>
    <x v="2"/>
    <x v="9"/>
    <n v="25.98"/>
    <n v="2"/>
    <n v="1.56"/>
    <x v="3"/>
    <x v="3"/>
  </r>
  <r>
    <d v="2024-04-16T00:00:00"/>
    <x v="11"/>
    <x v="0"/>
    <x v="0"/>
    <x v="3"/>
    <n v="26.05"/>
    <n v="3"/>
    <n v="-44.28"/>
    <x v="3"/>
    <x v="3"/>
  </r>
  <r>
    <d v="2024-04-16T00:00:00"/>
    <x v="11"/>
    <x v="0"/>
    <x v="0"/>
    <x v="3"/>
    <n v="2.9"/>
    <n v="1"/>
    <n v="-4.78"/>
    <x v="3"/>
    <x v="3"/>
  </r>
  <r>
    <d v="2024-04-16T00:00:00"/>
    <x v="11"/>
    <x v="0"/>
    <x v="0"/>
    <x v="2"/>
    <n v="32.54"/>
    <n v="2"/>
    <n v="-7.73"/>
    <x v="3"/>
    <x v="3"/>
  </r>
  <r>
    <d v="2024-04-16T00:00:00"/>
    <x v="618"/>
    <x v="3"/>
    <x v="0"/>
    <x v="12"/>
    <n v="40.74"/>
    <n v="3"/>
    <n v="12.22"/>
    <x v="3"/>
    <x v="3"/>
  </r>
  <r>
    <d v="2024-04-17T00:00:00"/>
    <x v="253"/>
    <x v="26"/>
    <x v="0"/>
    <x v="3"/>
    <n v="12.03"/>
    <n v="5"/>
    <n v="-9.2200000000000006"/>
    <x v="3"/>
    <x v="3"/>
  </r>
  <r>
    <d v="2024-04-17T00:00:00"/>
    <x v="253"/>
    <x v="26"/>
    <x v="2"/>
    <x v="15"/>
    <n v="2549.9899999999998"/>
    <n v="5"/>
    <n v="-3399.98"/>
    <x v="3"/>
    <x v="3"/>
  </r>
  <r>
    <d v="2024-04-17T00:00:00"/>
    <x v="253"/>
    <x v="26"/>
    <x v="0"/>
    <x v="3"/>
    <n v="21.59"/>
    <n v="2"/>
    <n v="-15.84"/>
    <x v="3"/>
    <x v="3"/>
  </r>
  <r>
    <d v="2024-04-17T00:00:00"/>
    <x v="253"/>
    <x v="26"/>
    <x v="0"/>
    <x v="3"/>
    <n v="8.9600000000000009"/>
    <n v="6"/>
    <n v="-6.57"/>
    <x v="3"/>
    <x v="3"/>
  </r>
  <r>
    <d v="2024-04-17T00:00:00"/>
    <x v="253"/>
    <x v="26"/>
    <x v="0"/>
    <x v="0"/>
    <n v="20.74"/>
    <n v="4"/>
    <n v="7.26"/>
    <x v="3"/>
    <x v="3"/>
  </r>
  <r>
    <d v="2024-04-17T00:00:00"/>
    <x v="100"/>
    <x v="2"/>
    <x v="1"/>
    <x v="8"/>
    <n v="60.31"/>
    <n v="3"/>
    <n v="5.28"/>
    <x v="3"/>
    <x v="3"/>
  </r>
  <r>
    <d v="2024-04-17T00:00:00"/>
    <x v="255"/>
    <x v="3"/>
    <x v="0"/>
    <x v="0"/>
    <n v="28.14"/>
    <n v="3"/>
    <n v="13.51"/>
    <x v="3"/>
    <x v="3"/>
  </r>
  <r>
    <d v="2024-04-17T00:00:00"/>
    <x v="255"/>
    <x v="3"/>
    <x v="0"/>
    <x v="1"/>
    <n v="7.38"/>
    <n v="2"/>
    <n v="3.47"/>
    <x v="3"/>
    <x v="3"/>
  </r>
  <r>
    <d v="2024-04-17T00:00:00"/>
    <x v="255"/>
    <x v="3"/>
    <x v="0"/>
    <x v="7"/>
    <n v="10.9"/>
    <n v="5"/>
    <n v="3.6"/>
    <x v="3"/>
    <x v="3"/>
  </r>
  <r>
    <d v="2024-04-17T00:00:00"/>
    <x v="255"/>
    <x v="3"/>
    <x v="2"/>
    <x v="9"/>
    <n v="274.89"/>
    <n v="11"/>
    <n v="46.73"/>
    <x v="3"/>
    <x v="3"/>
  </r>
  <r>
    <d v="2024-04-17T00:00:00"/>
    <x v="255"/>
    <x v="3"/>
    <x v="0"/>
    <x v="1"/>
    <n v="23.04"/>
    <n v="8"/>
    <n v="11.29"/>
    <x v="3"/>
    <x v="3"/>
  </r>
  <r>
    <d v="2024-04-17T00:00:00"/>
    <x v="255"/>
    <x v="3"/>
    <x v="1"/>
    <x v="5"/>
    <n v="218.35"/>
    <n v="3"/>
    <n v="-19.11"/>
    <x v="3"/>
    <x v="3"/>
  </r>
  <r>
    <d v="2024-04-17T00:00:00"/>
    <x v="688"/>
    <x v="1"/>
    <x v="0"/>
    <x v="2"/>
    <n v="195.14"/>
    <n v="4"/>
    <n v="-43.91"/>
    <x v="3"/>
    <x v="3"/>
  </r>
  <r>
    <d v="2024-04-20T00:00:00"/>
    <x v="694"/>
    <x v="1"/>
    <x v="1"/>
    <x v="8"/>
    <n v="44.4"/>
    <n v="2"/>
    <n v="-52.17"/>
    <x v="3"/>
    <x v="3"/>
  </r>
  <r>
    <d v="2024-04-20T00:00:00"/>
    <x v="755"/>
    <x v="2"/>
    <x v="1"/>
    <x v="8"/>
    <n v="51.97"/>
    <n v="2"/>
    <n v="10.39"/>
    <x v="3"/>
    <x v="3"/>
  </r>
  <r>
    <d v="2024-04-20T00:00:00"/>
    <x v="755"/>
    <x v="2"/>
    <x v="0"/>
    <x v="2"/>
    <n v="51.34"/>
    <n v="3"/>
    <n v="5.78"/>
    <x v="3"/>
    <x v="3"/>
  </r>
  <r>
    <d v="2024-04-20T00:00:00"/>
    <x v="755"/>
    <x v="2"/>
    <x v="0"/>
    <x v="2"/>
    <n v="332.7"/>
    <n v="1"/>
    <n v="33.270000000000003"/>
    <x v="3"/>
    <x v="3"/>
  </r>
  <r>
    <d v="2024-04-20T00:00:00"/>
    <x v="755"/>
    <x v="2"/>
    <x v="1"/>
    <x v="8"/>
    <n v="42.41"/>
    <n v="3"/>
    <n v="9.5399999999999991"/>
    <x v="3"/>
    <x v="3"/>
  </r>
  <r>
    <d v="2024-04-20T00:00:00"/>
    <x v="605"/>
    <x v="1"/>
    <x v="1"/>
    <x v="5"/>
    <n v="317.06"/>
    <n v="3"/>
    <n v="-18.12"/>
    <x v="3"/>
    <x v="3"/>
  </r>
  <r>
    <d v="2024-04-20T00:00:00"/>
    <x v="605"/>
    <x v="1"/>
    <x v="0"/>
    <x v="4"/>
    <n v="15.76"/>
    <n v="2"/>
    <n v="3.55"/>
    <x v="3"/>
    <x v="3"/>
  </r>
  <r>
    <d v="2024-04-20T00:00:00"/>
    <x v="605"/>
    <x v="1"/>
    <x v="1"/>
    <x v="8"/>
    <n v="14.56"/>
    <n v="5"/>
    <n v="-6.19"/>
    <x v="3"/>
    <x v="3"/>
  </r>
  <r>
    <d v="2024-04-20T00:00:00"/>
    <x v="107"/>
    <x v="14"/>
    <x v="0"/>
    <x v="3"/>
    <n v="146.86000000000001"/>
    <n v="7"/>
    <n v="70.489999999999995"/>
    <x v="3"/>
    <x v="3"/>
  </r>
  <r>
    <d v="2024-04-20T00:00:00"/>
    <x v="107"/>
    <x v="14"/>
    <x v="0"/>
    <x v="3"/>
    <n v="36.56"/>
    <n v="4"/>
    <n v="18.28"/>
    <x v="3"/>
    <x v="3"/>
  </r>
  <r>
    <d v="2024-04-20T00:00:00"/>
    <x v="671"/>
    <x v="10"/>
    <x v="0"/>
    <x v="2"/>
    <n v="848.54"/>
    <n v="4"/>
    <n v="-21.21"/>
    <x v="3"/>
    <x v="3"/>
  </r>
  <r>
    <d v="2024-04-20T00:00:00"/>
    <x v="671"/>
    <x v="10"/>
    <x v="0"/>
    <x v="3"/>
    <n v="8.6999999999999993"/>
    <n v="5"/>
    <n v="-6.38"/>
    <x v="3"/>
    <x v="3"/>
  </r>
  <r>
    <d v="2024-04-20T00:00:00"/>
    <x v="671"/>
    <x v="10"/>
    <x v="2"/>
    <x v="6"/>
    <n v="122.38"/>
    <n v="3"/>
    <n v="-24.48"/>
    <x v="3"/>
    <x v="3"/>
  </r>
  <r>
    <d v="2024-04-21T00:00:00"/>
    <x v="373"/>
    <x v="0"/>
    <x v="0"/>
    <x v="12"/>
    <n v="97.26"/>
    <n v="4"/>
    <n v="-243.16"/>
    <x v="3"/>
    <x v="3"/>
  </r>
  <r>
    <d v="2024-04-21T00:00:00"/>
    <x v="218"/>
    <x v="0"/>
    <x v="0"/>
    <x v="3"/>
    <n v="2.69"/>
    <n v="3"/>
    <n v="-4.71"/>
    <x v="3"/>
    <x v="3"/>
  </r>
  <r>
    <d v="2024-04-21T00:00:00"/>
    <x v="218"/>
    <x v="0"/>
    <x v="0"/>
    <x v="3"/>
    <n v="2.93"/>
    <n v="3"/>
    <n v="-4.99"/>
    <x v="3"/>
    <x v="3"/>
  </r>
  <r>
    <d v="2024-04-21T00:00:00"/>
    <x v="677"/>
    <x v="22"/>
    <x v="2"/>
    <x v="9"/>
    <n v="11.54"/>
    <n v="1"/>
    <n v="3.46"/>
    <x v="3"/>
    <x v="3"/>
  </r>
  <r>
    <d v="2024-04-21T00:00:00"/>
    <x v="677"/>
    <x v="22"/>
    <x v="1"/>
    <x v="8"/>
    <n v="162.6"/>
    <n v="3"/>
    <n v="34.15"/>
    <x v="3"/>
    <x v="3"/>
  </r>
  <r>
    <d v="2024-04-21T00:00:00"/>
    <x v="744"/>
    <x v="36"/>
    <x v="1"/>
    <x v="5"/>
    <n v="908.82"/>
    <n v="9"/>
    <n v="227.21"/>
    <x v="3"/>
    <x v="3"/>
  </r>
  <r>
    <d v="2024-04-21T00:00:00"/>
    <x v="549"/>
    <x v="0"/>
    <x v="2"/>
    <x v="9"/>
    <n v="47.98"/>
    <n v="3"/>
    <n v="8.4"/>
    <x v="3"/>
    <x v="3"/>
  </r>
  <r>
    <d v="2024-04-21T00:00:00"/>
    <x v="549"/>
    <x v="0"/>
    <x v="0"/>
    <x v="0"/>
    <n v="20.74"/>
    <n v="4"/>
    <n v="7.26"/>
    <x v="3"/>
    <x v="3"/>
  </r>
  <r>
    <d v="2024-04-22T00:00:00"/>
    <x v="95"/>
    <x v="3"/>
    <x v="1"/>
    <x v="8"/>
    <n v="18.28"/>
    <n v="2"/>
    <n v="6.22"/>
    <x v="3"/>
    <x v="3"/>
  </r>
  <r>
    <d v="2024-04-22T00:00:00"/>
    <x v="690"/>
    <x v="2"/>
    <x v="1"/>
    <x v="8"/>
    <n v="254.35"/>
    <n v="3"/>
    <n v="0"/>
    <x v="3"/>
    <x v="3"/>
  </r>
  <r>
    <d v="2024-04-22T00:00:00"/>
    <x v="664"/>
    <x v="4"/>
    <x v="0"/>
    <x v="2"/>
    <n v="675.06"/>
    <n v="3"/>
    <n v="87.76"/>
    <x v="3"/>
    <x v="3"/>
  </r>
  <r>
    <d v="2024-04-23T00:00:00"/>
    <x v="779"/>
    <x v="20"/>
    <x v="0"/>
    <x v="12"/>
    <n v="121.94"/>
    <n v="2"/>
    <n v="35.36"/>
    <x v="3"/>
    <x v="3"/>
  </r>
  <r>
    <d v="2024-04-23T00:00:00"/>
    <x v="779"/>
    <x v="20"/>
    <x v="0"/>
    <x v="14"/>
    <n v="122.71"/>
    <n v="7"/>
    <n v="36.81"/>
    <x v="3"/>
    <x v="3"/>
  </r>
  <r>
    <d v="2024-04-23T00:00:00"/>
    <x v="573"/>
    <x v="18"/>
    <x v="2"/>
    <x v="9"/>
    <n v="155.34"/>
    <n v="6"/>
    <n v="55.92"/>
    <x v="3"/>
    <x v="3"/>
  </r>
  <r>
    <d v="2024-04-23T00:00:00"/>
    <x v="210"/>
    <x v="20"/>
    <x v="0"/>
    <x v="14"/>
    <n v="54.9"/>
    <n v="5"/>
    <n v="15.37"/>
    <x v="3"/>
    <x v="3"/>
  </r>
  <r>
    <d v="2024-04-23T00:00:00"/>
    <x v="480"/>
    <x v="10"/>
    <x v="0"/>
    <x v="3"/>
    <n v="11.76"/>
    <n v="5"/>
    <n v="-7.84"/>
    <x v="3"/>
    <x v="3"/>
  </r>
  <r>
    <d v="2024-04-23T00:00:00"/>
    <x v="480"/>
    <x v="10"/>
    <x v="0"/>
    <x v="0"/>
    <n v="5.34"/>
    <n v="1"/>
    <n v="1.87"/>
    <x v="3"/>
    <x v="3"/>
  </r>
  <r>
    <d v="2024-04-23T00:00:00"/>
    <x v="705"/>
    <x v="3"/>
    <x v="1"/>
    <x v="8"/>
    <n v="66.36"/>
    <n v="7"/>
    <n v="26.54"/>
    <x v="3"/>
    <x v="3"/>
  </r>
  <r>
    <d v="2024-04-23T00:00:00"/>
    <x v="705"/>
    <x v="3"/>
    <x v="0"/>
    <x v="3"/>
    <n v="92.88"/>
    <n v="6"/>
    <n v="30.19"/>
    <x v="3"/>
    <x v="3"/>
  </r>
  <r>
    <d v="2024-04-23T00:00:00"/>
    <x v="705"/>
    <x v="3"/>
    <x v="1"/>
    <x v="8"/>
    <n v="24.14"/>
    <n v="2"/>
    <n v="7.97"/>
    <x v="3"/>
    <x v="3"/>
  </r>
  <r>
    <d v="2024-04-23T00:00:00"/>
    <x v="672"/>
    <x v="15"/>
    <x v="1"/>
    <x v="11"/>
    <n v="387.14"/>
    <n v="4"/>
    <n v="-14.52"/>
    <x v="3"/>
    <x v="3"/>
  </r>
  <r>
    <d v="2024-04-23T00:00:00"/>
    <x v="672"/>
    <x v="15"/>
    <x v="2"/>
    <x v="9"/>
    <n v="45.41"/>
    <n v="2"/>
    <n v="11.92"/>
    <x v="3"/>
    <x v="3"/>
  </r>
  <r>
    <d v="2024-04-23T00:00:00"/>
    <x v="672"/>
    <x v="15"/>
    <x v="1"/>
    <x v="8"/>
    <n v="77.95"/>
    <n v="3"/>
    <n v="-11.69"/>
    <x v="3"/>
    <x v="3"/>
  </r>
  <r>
    <d v="2024-04-23T00:00:00"/>
    <x v="672"/>
    <x v="15"/>
    <x v="0"/>
    <x v="1"/>
    <n v="3"/>
    <n v="1"/>
    <n v="1.05"/>
    <x v="3"/>
    <x v="3"/>
  </r>
  <r>
    <d v="2024-04-23T00:00:00"/>
    <x v="703"/>
    <x v="26"/>
    <x v="0"/>
    <x v="10"/>
    <n v="18.690000000000001"/>
    <n v="2"/>
    <n v="7.01"/>
    <x v="3"/>
    <x v="3"/>
  </r>
  <r>
    <d v="2024-04-23T00:00:00"/>
    <x v="703"/>
    <x v="26"/>
    <x v="1"/>
    <x v="8"/>
    <n v="11.66"/>
    <n v="3"/>
    <n v="3.35"/>
    <x v="3"/>
    <x v="3"/>
  </r>
  <r>
    <d v="2024-04-24T00:00:00"/>
    <x v="105"/>
    <x v="2"/>
    <x v="0"/>
    <x v="12"/>
    <n v="99.28"/>
    <n v="2"/>
    <n v="12.41"/>
    <x v="3"/>
    <x v="3"/>
  </r>
  <r>
    <d v="2024-04-24T00:00:00"/>
    <x v="105"/>
    <x v="2"/>
    <x v="0"/>
    <x v="3"/>
    <n v="1.19"/>
    <n v="2"/>
    <n v="-0.99"/>
    <x v="3"/>
    <x v="3"/>
  </r>
  <r>
    <d v="2024-04-24T00:00:00"/>
    <x v="105"/>
    <x v="2"/>
    <x v="0"/>
    <x v="3"/>
    <n v="7.52"/>
    <n v="2"/>
    <n v="-5.76"/>
    <x v="3"/>
    <x v="3"/>
  </r>
  <r>
    <d v="2024-04-24T00:00:00"/>
    <x v="85"/>
    <x v="16"/>
    <x v="0"/>
    <x v="2"/>
    <n v="113.57"/>
    <n v="2"/>
    <n v="-21.29"/>
    <x v="3"/>
    <x v="3"/>
  </r>
  <r>
    <d v="2024-04-24T00:00:00"/>
    <x v="588"/>
    <x v="3"/>
    <x v="0"/>
    <x v="7"/>
    <n v="1.81"/>
    <n v="1"/>
    <n v="0.65"/>
    <x v="3"/>
    <x v="3"/>
  </r>
  <r>
    <d v="2024-04-24T00:00:00"/>
    <x v="743"/>
    <x v="12"/>
    <x v="2"/>
    <x v="6"/>
    <n v="552"/>
    <n v="10"/>
    <n v="34.5"/>
    <x v="3"/>
    <x v="3"/>
  </r>
  <r>
    <d v="2024-04-24T00:00:00"/>
    <x v="637"/>
    <x v="43"/>
    <x v="2"/>
    <x v="9"/>
    <n v="69.98"/>
    <n v="2"/>
    <n v="4.9000000000000004"/>
    <x v="3"/>
    <x v="3"/>
  </r>
  <r>
    <d v="2024-04-24T00:00:00"/>
    <x v="721"/>
    <x v="1"/>
    <x v="0"/>
    <x v="3"/>
    <n v="10.43"/>
    <n v="5"/>
    <n v="-18.25"/>
    <x v="3"/>
    <x v="3"/>
  </r>
  <r>
    <d v="2024-04-24T00:00:00"/>
    <x v="721"/>
    <x v="1"/>
    <x v="0"/>
    <x v="2"/>
    <n v="72.78"/>
    <n v="1"/>
    <n v="-18.2"/>
    <x v="3"/>
    <x v="3"/>
  </r>
  <r>
    <d v="2024-04-25T00:00:00"/>
    <x v="2"/>
    <x v="3"/>
    <x v="0"/>
    <x v="3"/>
    <n v="13.9"/>
    <n v="2"/>
    <n v="4.5199999999999996"/>
    <x v="3"/>
    <x v="3"/>
  </r>
  <r>
    <d v="2024-04-25T00:00:00"/>
    <x v="672"/>
    <x v="15"/>
    <x v="0"/>
    <x v="4"/>
    <n v="42.05"/>
    <n v="9"/>
    <n v="5.26"/>
    <x v="3"/>
    <x v="3"/>
  </r>
  <r>
    <d v="2024-04-25T00:00:00"/>
    <x v="672"/>
    <x v="15"/>
    <x v="0"/>
    <x v="4"/>
    <n v="67.92"/>
    <n v="5"/>
    <n v="6.79"/>
    <x v="3"/>
    <x v="3"/>
  </r>
  <r>
    <d v="2024-04-25T00:00:00"/>
    <x v="420"/>
    <x v="12"/>
    <x v="0"/>
    <x v="4"/>
    <n v="8.9"/>
    <n v="4"/>
    <n v="0.67"/>
    <x v="3"/>
    <x v="3"/>
  </r>
  <r>
    <d v="2024-04-25T00:00:00"/>
    <x v="172"/>
    <x v="3"/>
    <x v="0"/>
    <x v="0"/>
    <n v="19.05"/>
    <n v="3"/>
    <n v="8.76"/>
    <x v="3"/>
    <x v="3"/>
  </r>
  <r>
    <d v="2024-04-25T00:00:00"/>
    <x v="172"/>
    <x v="3"/>
    <x v="0"/>
    <x v="3"/>
    <n v="73.34"/>
    <n v="3"/>
    <n v="27.5"/>
    <x v="3"/>
    <x v="3"/>
  </r>
  <r>
    <d v="2024-04-25T00:00:00"/>
    <x v="25"/>
    <x v="3"/>
    <x v="2"/>
    <x v="9"/>
    <n v="107.97"/>
    <n v="3"/>
    <n v="22.67"/>
    <x v="3"/>
    <x v="3"/>
  </r>
  <r>
    <d v="2024-04-25T00:00:00"/>
    <x v="556"/>
    <x v="3"/>
    <x v="1"/>
    <x v="11"/>
    <n v="344.98"/>
    <n v="7"/>
    <n v="28.41"/>
    <x v="3"/>
    <x v="3"/>
  </r>
  <r>
    <d v="2024-04-26T00:00:00"/>
    <x v="768"/>
    <x v="0"/>
    <x v="1"/>
    <x v="8"/>
    <n v="1.99"/>
    <n v="1"/>
    <n v="-1.44"/>
    <x v="3"/>
    <x v="3"/>
  </r>
  <r>
    <d v="2024-04-26T00:00:00"/>
    <x v="675"/>
    <x v="22"/>
    <x v="0"/>
    <x v="0"/>
    <n v="20.34"/>
    <n v="3"/>
    <n v="9.36"/>
    <x v="3"/>
    <x v="3"/>
  </r>
  <r>
    <d v="2024-04-26T00:00:00"/>
    <x v="675"/>
    <x v="22"/>
    <x v="0"/>
    <x v="1"/>
    <n v="39.28"/>
    <n v="8"/>
    <n v="19.25"/>
    <x v="3"/>
    <x v="3"/>
  </r>
  <r>
    <d v="2024-04-27T00:00:00"/>
    <x v="755"/>
    <x v="0"/>
    <x v="0"/>
    <x v="1"/>
    <n v="33.119999999999997"/>
    <n v="4"/>
    <n v="11.59"/>
    <x v="3"/>
    <x v="3"/>
  </r>
  <r>
    <d v="2024-04-27T00:00:00"/>
    <x v="755"/>
    <x v="0"/>
    <x v="1"/>
    <x v="11"/>
    <n v="220.27"/>
    <n v="4"/>
    <n v="-42.11"/>
    <x v="3"/>
    <x v="3"/>
  </r>
  <r>
    <d v="2024-04-27T00:00:00"/>
    <x v="358"/>
    <x v="3"/>
    <x v="0"/>
    <x v="4"/>
    <n v="123.92"/>
    <n v="4"/>
    <n v="33.46"/>
    <x v="3"/>
    <x v="3"/>
  </r>
  <r>
    <d v="2024-04-27T00:00:00"/>
    <x v="358"/>
    <x v="3"/>
    <x v="0"/>
    <x v="4"/>
    <n v="12.39"/>
    <n v="3"/>
    <n v="5.7"/>
    <x v="3"/>
    <x v="3"/>
  </r>
  <r>
    <d v="2024-04-27T00:00:00"/>
    <x v="358"/>
    <x v="3"/>
    <x v="0"/>
    <x v="4"/>
    <n v="47.3"/>
    <n v="2"/>
    <n v="12.3"/>
    <x v="3"/>
    <x v="3"/>
  </r>
  <r>
    <d v="2024-04-27T00:00:00"/>
    <x v="700"/>
    <x v="22"/>
    <x v="1"/>
    <x v="8"/>
    <n v="139.58000000000001"/>
    <n v="7"/>
    <n v="39.08"/>
    <x v="3"/>
    <x v="3"/>
  </r>
  <r>
    <d v="2024-04-28T00:00:00"/>
    <x v="91"/>
    <x v="2"/>
    <x v="0"/>
    <x v="2"/>
    <n v="8.3800000000000008"/>
    <n v="1"/>
    <n v="0.73"/>
    <x v="3"/>
    <x v="3"/>
  </r>
  <r>
    <d v="2024-04-28T00:00:00"/>
    <x v="91"/>
    <x v="2"/>
    <x v="0"/>
    <x v="4"/>
    <n v="6.85"/>
    <n v="2"/>
    <n v="0.77"/>
    <x v="3"/>
    <x v="3"/>
  </r>
  <r>
    <d v="2024-04-28T00:00:00"/>
    <x v="304"/>
    <x v="25"/>
    <x v="0"/>
    <x v="12"/>
    <n v="28.08"/>
    <n v="3"/>
    <n v="5.27"/>
    <x v="3"/>
    <x v="3"/>
  </r>
  <r>
    <d v="2024-04-28T00:00:00"/>
    <x v="219"/>
    <x v="16"/>
    <x v="2"/>
    <x v="6"/>
    <n v="751.98"/>
    <n v="2"/>
    <n v="84.6"/>
    <x v="3"/>
    <x v="3"/>
  </r>
  <r>
    <d v="2024-04-29T00:00:00"/>
    <x v="76"/>
    <x v="10"/>
    <x v="1"/>
    <x v="13"/>
    <n v="1048.3499999999999"/>
    <n v="5"/>
    <n v="-69.89"/>
    <x v="3"/>
    <x v="3"/>
  </r>
  <r>
    <d v="2024-04-29T00:00:00"/>
    <x v="73"/>
    <x v="23"/>
    <x v="0"/>
    <x v="1"/>
    <n v="4.91"/>
    <n v="1"/>
    <n v="2.41"/>
    <x v="3"/>
    <x v="3"/>
  </r>
  <r>
    <d v="2024-04-30T00:00:00"/>
    <x v="729"/>
    <x v="20"/>
    <x v="0"/>
    <x v="10"/>
    <n v="62.96"/>
    <n v="4"/>
    <n v="28.33"/>
    <x v="3"/>
    <x v="3"/>
  </r>
  <r>
    <d v="2024-04-30T00:00:00"/>
    <x v="87"/>
    <x v="2"/>
    <x v="2"/>
    <x v="6"/>
    <n v="677.58"/>
    <n v="5"/>
    <n v="-158.1"/>
    <x v="3"/>
    <x v="3"/>
  </r>
  <r>
    <d v="2024-04-30T00:00:00"/>
    <x v="87"/>
    <x v="2"/>
    <x v="0"/>
    <x v="3"/>
    <n v="13.9"/>
    <n v="3"/>
    <n v="-9.26"/>
    <x v="3"/>
    <x v="3"/>
  </r>
  <r>
    <d v="2024-04-30T00:00:00"/>
    <x v="326"/>
    <x v="16"/>
    <x v="0"/>
    <x v="1"/>
    <n v="4.6100000000000003"/>
    <n v="2"/>
    <n v="1.67"/>
    <x v="3"/>
    <x v="3"/>
  </r>
  <r>
    <d v="2024-04-30T00:00:00"/>
    <x v="326"/>
    <x v="16"/>
    <x v="0"/>
    <x v="4"/>
    <n v="15.53"/>
    <n v="3"/>
    <n v="4.8499999999999996"/>
    <x v="3"/>
    <x v="3"/>
  </r>
  <r>
    <d v="2024-04-30T00:00:00"/>
    <x v="326"/>
    <x v="16"/>
    <x v="0"/>
    <x v="1"/>
    <n v="11.95"/>
    <n v="3"/>
    <n v="3.88"/>
    <x v="3"/>
    <x v="3"/>
  </r>
  <r>
    <d v="2024-04-30T00:00:00"/>
    <x v="531"/>
    <x v="16"/>
    <x v="1"/>
    <x v="8"/>
    <n v="23.68"/>
    <n v="8"/>
    <n v="6.22"/>
    <x v="3"/>
    <x v="3"/>
  </r>
  <r>
    <d v="2024-04-30T00:00:00"/>
    <x v="531"/>
    <x v="16"/>
    <x v="2"/>
    <x v="9"/>
    <n v="2.38"/>
    <n v="3"/>
    <n v="0.74"/>
    <x v="3"/>
    <x v="3"/>
  </r>
  <r>
    <d v="2024-04-30T00:00:00"/>
    <x v="467"/>
    <x v="10"/>
    <x v="0"/>
    <x v="0"/>
    <n v="10.37"/>
    <n v="2"/>
    <n v="3.63"/>
    <x v="3"/>
    <x v="3"/>
  </r>
  <r>
    <d v="2024-04-30T00:00:00"/>
    <x v="685"/>
    <x v="37"/>
    <x v="0"/>
    <x v="1"/>
    <n v="5.76"/>
    <n v="2"/>
    <n v="2.82"/>
    <x v="3"/>
    <x v="3"/>
  </r>
  <r>
    <d v="2024-04-30T00:00:00"/>
    <x v="529"/>
    <x v="1"/>
    <x v="0"/>
    <x v="3"/>
    <n v="43.37"/>
    <n v="7"/>
    <n v="-69.400000000000006"/>
    <x v="3"/>
    <x v="3"/>
  </r>
  <r>
    <d v="2024-04-30T00:00:00"/>
    <x v="525"/>
    <x v="3"/>
    <x v="0"/>
    <x v="0"/>
    <n v="163.96"/>
    <n v="4"/>
    <n v="80.34"/>
    <x v="3"/>
    <x v="3"/>
  </r>
  <r>
    <d v="2024-04-30T00:00:00"/>
    <x v="351"/>
    <x v="3"/>
    <x v="1"/>
    <x v="8"/>
    <n v="64.959999999999994"/>
    <n v="2"/>
    <n v="21.44"/>
    <x v="3"/>
    <x v="3"/>
  </r>
  <r>
    <d v="2024-04-30T00:00:00"/>
    <x v="351"/>
    <x v="3"/>
    <x v="0"/>
    <x v="10"/>
    <n v="30.56"/>
    <n v="4"/>
    <n v="14.97"/>
    <x v="3"/>
    <x v="3"/>
  </r>
  <r>
    <d v="2024-04-30T00:00:00"/>
    <x v="400"/>
    <x v="3"/>
    <x v="0"/>
    <x v="4"/>
    <n v="9.7799999999999994"/>
    <n v="2"/>
    <n v="4.01"/>
    <x v="3"/>
    <x v="3"/>
  </r>
  <r>
    <d v="2024-04-30T00:00:00"/>
    <x v="327"/>
    <x v="3"/>
    <x v="0"/>
    <x v="3"/>
    <n v="23.24"/>
    <n v="5"/>
    <n v="7.55"/>
    <x v="3"/>
    <x v="3"/>
  </r>
  <r>
    <d v="2024-04-30T00:00:00"/>
    <x v="772"/>
    <x v="16"/>
    <x v="0"/>
    <x v="3"/>
    <n v="4.84"/>
    <n v="3"/>
    <n v="-3.55"/>
    <x v="3"/>
    <x v="3"/>
  </r>
  <r>
    <d v="2024-04-30T00:00:00"/>
    <x v="772"/>
    <x v="16"/>
    <x v="1"/>
    <x v="8"/>
    <n v="220.7"/>
    <n v="6"/>
    <n v="-8.2799999999999994"/>
    <x v="3"/>
    <x v="3"/>
  </r>
  <r>
    <d v="2024-05-01T00:00:00"/>
    <x v="694"/>
    <x v="13"/>
    <x v="2"/>
    <x v="9"/>
    <n v="48.9"/>
    <n v="5"/>
    <n v="18.09"/>
    <x v="4"/>
    <x v="3"/>
  </r>
  <r>
    <d v="2024-05-01T00:00:00"/>
    <x v="740"/>
    <x v="16"/>
    <x v="0"/>
    <x v="14"/>
    <n v="3.33"/>
    <n v="2"/>
    <n v="0.42"/>
    <x v="4"/>
    <x v="3"/>
  </r>
  <r>
    <d v="2024-05-01T00:00:00"/>
    <x v="740"/>
    <x v="16"/>
    <x v="1"/>
    <x v="13"/>
    <n v="933.26"/>
    <n v="4"/>
    <n v="-458.15"/>
    <x v="4"/>
    <x v="3"/>
  </r>
  <r>
    <d v="2024-05-01T00:00:00"/>
    <x v="740"/>
    <x v="16"/>
    <x v="1"/>
    <x v="5"/>
    <n v="2803.92"/>
    <n v="5"/>
    <n v="0"/>
    <x v="4"/>
    <x v="3"/>
  </r>
  <r>
    <d v="2024-05-01T00:00:00"/>
    <x v="316"/>
    <x v="16"/>
    <x v="1"/>
    <x v="11"/>
    <n v="314.35000000000002"/>
    <n v="3"/>
    <n v="-15.72"/>
    <x v="4"/>
    <x v="3"/>
  </r>
  <r>
    <d v="2024-05-01T00:00:00"/>
    <x v="316"/>
    <x v="16"/>
    <x v="0"/>
    <x v="1"/>
    <n v="4.6100000000000003"/>
    <n v="2"/>
    <n v="1.5"/>
    <x v="4"/>
    <x v="3"/>
  </r>
  <r>
    <d v="2024-05-02T00:00:00"/>
    <x v="360"/>
    <x v="23"/>
    <x v="1"/>
    <x v="8"/>
    <n v="129.93"/>
    <n v="3"/>
    <n v="12.99"/>
    <x v="4"/>
    <x v="3"/>
  </r>
  <r>
    <d v="2024-05-02T00:00:00"/>
    <x v="551"/>
    <x v="3"/>
    <x v="2"/>
    <x v="9"/>
    <n v="159.56"/>
    <n v="4"/>
    <n v="59.04"/>
    <x v="4"/>
    <x v="3"/>
  </r>
  <r>
    <d v="2024-05-02T00:00:00"/>
    <x v="118"/>
    <x v="3"/>
    <x v="0"/>
    <x v="0"/>
    <n v="15.7"/>
    <n v="5"/>
    <n v="7.07"/>
    <x v="4"/>
    <x v="3"/>
  </r>
  <r>
    <d v="2024-05-02T00:00:00"/>
    <x v="118"/>
    <x v="3"/>
    <x v="0"/>
    <x v="4"/>
    <n v="59.52"/>
    <n v="3"/>
    <n v="15.48"/>
    <x v="4"/>
    <x v="3"/>
  </r>
  <r>
    <d v="2024-05-02T00:00:00"/>
    <x v="118"/>
    <x v="3"/>
    <x v="0"/>
    <x v="0"/>
    <n v="34.4"/>
    <n v="5"/>
    <n v="15.82"/>
    <x v="4"/>
    <x v="3"/>
  </r>
  <r>
    <d v="2024-05-03T00:00:00"/>
    <x v="504"/>
    <x v="3"/>
    <x v="0"/>
    <x v="2"/>
    <n v="69.52"/>
    <n v="2"/>
    <n v="19.47"/>
    <x v="4"/>
    <x v="3"/>
  </r>
  <r>
    <d v="2024-05-03T00:00:00"/>
    <x v="504"/>
    <x v="3"/>
    <x v="0"/>
    <x v="2"/>
    <n v="763.44"/>
    <n v="8"/>
    <n v="45.81"/>
    <x v="4"/>
    <x v="3"/>
  </r>
  <r>
    <d v="2024-05-03T00:00:00"/>
    <x v="575"/>
    <x v="3"/>
    <x v="0"/>
    <x v="0"/>
    <n v="25.92"/>
    <n v="4"/>
    <n v="12.44"/>
    <x v="4"/>
    <x v="3"/>
  </r>
  <r>
    <d v="2024-05-03T00:00:00"/>
    <x v="575"/>
    <x v="3"/>
    <x v="0"/>
    <x v="4"/>
    <n v="22.96"/>
    <n v="7"/>
    <n v="6.66"/>
    <x v="4"/>
    <x v="3"/>
  </r>
  <r>
    <d v="2024-05-03T00:00:00"/>
    <x v="731"/>
    <x v="2"/>
    <x v="1"/>
    <x v="8"/>
    <n v="32.450000000000003"/>
    <n v="2"/>
    <n v="7.3"/>
    <x v="4"/>
    <x v="3"/>
  </r>
  <r>
    <d v="2024-05-03T00:00:00"/>
    <x v="731"/>
    <x v="2"/>
    <x v="0"/>
    <x v="3"/>
    <n v="26.39"/>
    <n v="4"/>
    <n v="-17.59"/>
    <x v="4"/>
    <x v="3"/>
  </r>
  <r>
    <d v="2024-05-03T00:00:00"/>
    <x v="731"/>
    <x v="2"/>
    <x v="1"/>
    <x v="13"/>
    <n v="373.47"/>
    <n v="5"/>
    <n v="-112.04"/>
    <x v="4"/>
    <x v="3"/>
  </r>
  <r>
    <d v="2024-05-03T00:00:00"/>
    <x v="731"/>
    <x v="2"/>
    <x v="0"/>
    <x v="3"/>
    <n v="64.2"/>
    <n v="5"/>
    <n v="-44.94"/>
    <x v="4"/>
    <x v="3"/>
  </r>
  <r>
    <d v="2024-05-03T00:00:00"/>
    <x v="731"/>
    <x v="2"/>
    <x v="0"/>
    <x v="7"/>
    <n v="8"/>
    <n v="2"/>
    <n v="2.8"/>
    <x v="4"/>
    <x v="3"/>
  </r>
  <r>
    <d v="2024-05-04T00:00:00"/>
    <x v="754"/>
    <x v="3"/>
    <x v="2"/>
    <x v="6"/>
    <n v="183.96"/>
    <n v="5"/>
    <n v="20.7"/>
    <x v="4"/>
    <x v="3"/>
  </r>
  <r>
    <d v="2024-05-04T00:00:00"/>
    <x v="754"/>
    <x v="3"/>
    <x v="0"/>
    <x v="0"/>
    <n v="17.61"/>
    <n v="3"/>
    <n v="8.4499999999999993"/>
    <x v="4"/>
    <x v="3"/>
  </r>
  <r>
    <d v="2024-05-04T00:00:00"/>
    <x v="754"/>
    <x v="3"/>
    <x v="1"/>
    <x v="13"/>
    <n v="300.89999999999998"/>
    <n v="1"/>
    <n v="11.28"/>
    <x v="4"/>
    <x v="3"/>
  </r>
  <r>
    <d v="2024-05-04T00:00:00"/>
    <x v="575"/>
    <x v="6"/>
    <x v="0"/>
    <x v="0"/>
    <n v="9.11"/>
    <n v="1"/>
    <n v="4.0999999999999996"/>
    <x v="4"/>
    <x v="3"/>
  </r>
  <r>
    <d v="2024-05-04T00:00:00"/>
    <x v="575"/>
    <x v="6"/>
    <x v="0"/>
    <x v="2"/>
    <n v="571.44000000000005"/>
    <n v="4"/>
    <n v="165.72"/>
    <x v="4"/>
    <x v="3"/>
  </r>
  <r>
    <d v="2024-05-04T00:00:00"/>
    <x v="575"/>
    <x v="6"/>
    <x v="0"/>
    <x v="0"/>
    <n v="32.4"/>
    <n v="5"/>
    <n v="15.55"/>
    <x v="4"/>
    <x v="3"/>
  </r>
  <r>
    <d v="2024-05-04T00:00:00"/>
    <x v="575"/>
    <x v="6"/>
    <x v="0"/>
    <x v="2"/>
    <n v="16.91"/>
    <n v="1"/>
    <n v="4.57"/>
    <x v="4"/>
    <x v="3"/>
  </r>
  <r>
    <d v="2024-05-04T00:00:00"/>
    <x v="489"/>
    <x v="10"/>
    <x v="0"/>
    <x v="3"/>
    <n v="2.31"/>
    <n v="1"/>
    <n v="-1.93"/>
    <x v="4"/>
    <x v="3"/>
  </r>
  <r>
    <d v="2024-05-04T00:00:00"/>
    <x v="168"/>
    <x v="2"/>
    <x v="0"/>
    <x v="3"/>
    <n v="2.2000000000000002"/>
    <n v="2"/>
    <n v="-1.54"/>
    <x v="4"/>
    <x v="3"/>
  </r>
  <r>
    <d v="2024-05-04T00:00:00"/>
    <x v="168"/>
    <x v="2"/>
    <x v="0"/>
    <x v="3"/>
    <n v="9.4"/>
    <n v="3"/>
    <n v="-7.52"/>
    <x v="4"/>
    <x v="3"/>
  </r>
  <r>
    <d v="2024-05-04T00:00:00"/>
    <x v="393"/>
    <x v="3"/>
    <x v="0"/>
    <x v="12"/>
    <n v="243.16"/>
    <n v="2"/>
    <n v="72.95"/>
    <x v="4"/>
    <x v="3"/>
  </r>
  <r>
    <d v="2024-05-05T00:00:00"/>
    <x v="536"/>
    <x v="3"/>
    <x v="0"/>
    <x v="10"/>
    <n v="23.16"/>
    <n v="2"/>
    <n v="11.58"/>
    <x v="4"/>
    <x v="3"/>
  </r>
  <r>
    <d v="2024-05-05T00:00:00"/>
    <x v="384"/>
    <x v="26"/>
    <x v="0"/>
    <x v="10"/>
    <n v="21.24"/>
    <n v="9"/>
    <n v="7.43"/>
    <x v="4"/>
    <x v="3"/>
  </r>
  <r>
    <d v="2024-05-05T00:00:00"/>
    <x v="384"/>
    <x v="26"/>
    <x v="0"/>
    <x v="3"/>
    <n v="9.5500000000000007"/>
    <n v="8"/>
    <n v="-7.32"/>
    <x v="4"/>
    <x v="3"/>
  </r>
  <r>
    <d v="2024-05-05T00:00:00"/>
    <x v="384"/>
    <x v="26"/>
    <x v="1"/>
    <x v="11"/>
    <n v="89.99"/>
    <n v="3"/>
    <n v="-152.97999999999999"/>
    <x v="4"/>
    <x v="3"/>
  </r>
  <r>
    <d v="2024-05-05T00:00:00"/>
    <x v="598"/>
    <x v="4"/>
    <x v="0"/>
    <x v="3"/>
    <n v="34.5"/>
    <n v="3"/>
    <n v="15.53"/>
    <x v="4"/>
    <x v="3"/>
  </r>
  <r>
    <d v="2024-05-05T00:00:00"/>
    <x v="170"/>
    <x v="20"/>
    <x v="0"/>
    <x v="0"/>
    <n v="6.68"/>
    <n v="1"/>
    <n v="3.21"/>
    <x v="4"/>
    <x v="3"/>
  </r>
  <r>
    <d v="2024-05-06T00:00:00"/>
    <x v="770"/>
    <x v="1"/>
    <x v="0"/>
    <x v="4"/>
    <n v="6.41"/>
    <n v="3"/>
    <n v="0.64"/>
    <x v="4"/>
    <x v="3"/>
  </r>
  <r>
    <d v="2024-05-06T00:00:00"/>
    <x v="770"/>
    <x v="1"/>
    <x v="2"/>
    <x v="9"/>
    <n v="408.74"/>
    <n v="7"/>
    <n v="76.64"/>
    <x v="4"/>
    <x v="3"/>
  </r>
  <r>
    <d v="2024-05-06T00:00:00"/>
    <x v="460"/>
    <x v="20"/>
    <x v="0"/>
    <x v="1"/>
    <n v="59.2"/>
    <n v="4"/>
    <n v="29.6"/>
    <x v="4"/>
    <x v="3"/>
  </r>
  <r>
    <d v="2024-05-06T00:00:00"/>
    <x v="333"/>
    <x v="6"/>
    <x v="0"/>
    <x v="4"/>
    <n v="54.66"/>
    <n v="6"/>
    <n v="18.04"/>
    <x v="4"/>
    <x v="3"/>
  </r>
  <r>
    <d v="2024-05-06T00:00:00"/>
    <x v="159"/>
    <x v="0"/>
    <x v="0"/>
    <x v="3"/>
    <n v="11.06"/>
    <n v="10"/>
    <n v="-18.8"/>
    <x v="4"/>
    <x v="3"/>
  </r>
  <r>
    <d v="2024-05-06T00:00:00"/>
    <x v="159"/>
    <x v="0"/>
    <x v="1"/>
    <x v="11"/>
    <n v="623.46"/>
    <n v="7"/>
    <n v="-119.19"/>
    <x v="4"/>
    <x v="3"/>
  </r>
  <r>
    <d v="2024-05-06T00:00:00"/>
    <x v="159"/>
    <x v="0"/>
    <x v="0"/>
    <x v="2"/>
    <n v="772.68"/>
    <n v="5"/>
    <n v="-57.95"/>
    <x v="4"/>
    <x v="3"/>
  </r>
  <r>
    <d v="2024-05-06T00:00:00"/>
    <x v="2"/>
    <x v="25"/>
    <x v="0"/>
    <x v="3"/>
    <n v="68.540000000000006"/>
    <n v="11"/>
    <n v="-52.55"/>
    <x v="4"/>
    <x v="3"/>
  </r>
  <r>
    <d v="2024-05-06T00:00:00"/>
    <x v="2"/>
    <x v="25"/>
    <x v="2"/>
    <x v="6"/>
    <n v="627.16999999999996"/>
    <n v="4"/>
    <n v="70.56"/>
    <x v="4"/>
    <x v="3"/>
  </r>
  <r>
    <d v="2024-05-06T00:00:00"/>
    <x v="2"/>
    <x v="25"/>
    <x v="0"/>
    <x v="1"/>
    <n v="122.12"/>
    <n v="5"/>
    <n v="39.69"/>
    <x v="4"/>
    <x v="3"/>
  </r>
  <r>
    <d v="2024-05-06T00:00:00"/>
    <x v="603"/>
    <x v="3"/>
    <x v="0"/>
    <x v="12"/>
    <n v="152.94"/>
    <n v="3"/>
    <n v="41.29"/>
    <x v="4"/>
    <x v="3"/>
  </r>
  <r>
    <d v="2024-05-06T00:00:00"/>
    <x v="440"/>
    <x v="12"/>
    <x v="0"/>
    <x v="0"/>
    <n v="84.42"/>
    <n v="4"/>
    <n v="27.44"/>
    <x v="4"/>
    <x v="3"/>
  </r>
  <r>
    <d v="2024-05-06T00:00:00"/>
    <x v="467"/>
    <x v="1"/>
    <x v="2"/>
    <x v="9"/>
    <n v="191.97"/>
    <n v="4"/>
    <n v="28.8"/>
    <x v="4"/>
    <x v="3"/>
  </r>
  <r>
    <d v="2024-05-07T00:00:00"/>
    <x v="602"/>
    <x v="14"/>
    <x v="1"/>
    <x v="5"/>
    <n v="1458.65"/>
    <n v="5"/>
    <n v="423.01"/>
    <x v="4"/>
    <x v="3"/>
  </r>
  <r>
    <d v="2024-05-07T00:00:00"/>
    <x v="602"/>
    <x v="14"/>
    <x v="1"/>
    <x v="5"/>
    <n v="26.64"/>
    <n v="1"/>
    <n v="7.46"/>
    <x v="4"/>
    <x v="3"/>
  </r>
  <r>
    <d v="2024-05-07T00:00:00"/>
    <x v="602"/>
    <x v="14"/>
    <x v="1"/>
    <x v="5"/>
    <n v="476.8"/>
    <n v="2"/>
    <n v="119.2"/>
    <x v="4"/>
    <x v="3"/>
  </r>
  <r>
    <d v="2024-05-07T00:00:00"/>
    <x v="602"/>
    <x v="14"/>
    <x v="0"/>
    <x v="12"/>
    <n v="87.44"/>
    <n v="2"/>
    <n v="18.46"/>
    <x v="4"/>
    <x v="3"/>
  </r>
  <r>
    <d v="2024-05-07T00:00:00"/>
    <x v="692"/>
    <x v="3"/>
    <x v="2"/>
    <x v="9"/>
    <n v="79.989999999999995"/>
    <n v="1"/>
    <n v="28.8"/>
    <x v="4"/>
    <x v="3"/>
  </r>
  <r>
    <d v="2024-05-07T00:00:00"/>
    <x v="246"/>
    <x v="3"/>
    <x v="2"/>
    <x v="6"/>
    <n v="419.94"/>
    <n v="7"/>
    <n v="52.49"/>
    <x v="4"/>
    <x v="3"/>
  </r>
  <r>
    <d v="2024-05-08T00:00:00"/>
    <x v="496"/>
    <x v="10"/>
    <x v="1"/>
    <x v="5"/>
    <n v="47.99"/>
    <n v="2"/>
    <n v="-2.06"/>
    <x v="4"/>
    <x v="3"/>
  </r>
  <r>
    <d v="2024-05-08T00:00:00"/>
    <x v="577"/>
    <x v="3"/>
    <x v="2"/>
    <x v="16"/>
    <n v="3359.95"/>
    <n v="6"/>
    <n v="1049.99"/>
    <x v="4"/>
    <x v="3"/>
  </r>
  <r>
    <d v="2024-05-08T00:00:00"/>
    <x v="351"/>
    <x v="2"/>
    <x v="1"/>
    <x v="5"/>
    <n v="128.06"/>
    <n v="3"/>
    <n v="-23.78"/>
    <x v="4"/>
    <x v="3"/>
  </r>
  <r>
    <d v="2024-05-08T00:00:00"/>
    <x v="147"/>
    <x v="3"/>
    <x v="0"/>
    <x v="12"/>
    <n v="81.08"/>
    <n v="4"/>
    <n v="22.7"/>
    <x v="4"/>
    <x v="3"/>
  </r>
  <r>
    <d v="2024-05-08T00:00:00"/>
    <x v="290"/>
    <x v="0"/>
    <x v="0"/>
    <x v="0"/>
    <n v="41.47"/>
    <n v="8"/>
    <n v="14.52"/>
    <x v="4"/>
    <x v="3"/>
  </r>
  <r>
    <d v="2024-05-09T00:00:00"/>
    <x v="91"/>
    <x v="25"/>
    <x v="0"/>
    <x v="10"/>
    <n v="65.23"/>
    <n v="3"/>
    <n v="22.02"/>
    <x v="4"/>
    <x v="3"/>
  </r>
  <r>
    <d v="2024-05-09T00:00:00"/>
    <x v="91"/>
    <x v="25"/>
    <x v="1"/>
    <x v="5"/>
    <n v="207"/>
    <n v="3"/>
    <n v="25.88"/>
    <x v="4"/>
    <x v="3"/>
  </r>
  <r>
    <d v="2024-05-09T00:00:00"/>
    <x v="162"/>
    <x v="22"/>
    <x v="0"/>
    <x v="3"/>
    <n v="147.91999999999999"/>
    <n v="5"/>
    <n v="46.23"/>
    <x v="4"/>
    <x v="3"/>
  </r>
  <r>
    <d v="2024-05-09T00:00:00"/>
    <x v="162"/>
    <x v="22"/>
    <x v="0"/>
    <x v="2"/>
    <n v="104.28"/>
    <n v="3"/>
    <n v="26.07"/>
    <x v="4"/>
    <x v="3"/>
  </r>
  <r>
    <d v="2024-05-09T00:00:00"/>
    <x v="162"/>
    <x v="22"/>
    <x v="1"/>
    <x v="13"/>
    <n v="286.85000000000002"/>
    <n v="1"/>
    <n v="63.11"/>
    <x v="4"/>
    <x v="3"/>
  </r>
  <r>
    <d v="2024-05-09T00:00:00"/>
    <x v="162"/>
    <x v="22"/>
    <x v="0"/>
    <x v="2"/>
    <n v="66.959999999999994"/>
    <n v="4"/>
    <n v="2.68"/>
    <x v="4"/>
    <x v="3"/>
  </r>
  <r>
    <d v="2024-05-09T00:00:00"/>
    <x v="162"/>
    <x v="22"/>
    <x v="2"/>
    <x v="9"/>
    <n v="199.98"/>
    <n v="2"/>
    <n v="87.99"/>
    <x v="4"/>
    <x v="3"/>
  </r>
  <r>
    <d v="2024-05-11T00:00:00"/>
    <x v="269"/>
    <x v="22"/>
    <x v="0"/>
    <x v="0"/>
    <n v="37.44"/>
    <n v="6"/>
    <n v="16.850000000000001"/>
    <x v="4"/>
    <x v="3"/>
  </r>
  <r>
    <d v="2024-05-11T00:00:00"/>
    <x v="269"/>
    <x v="22"/>
    <x v="0"/>
    <x v="1"/>
    <n v="37.590000000000003"/>
    <n v="3"/>
    <n v="17.670000000000002"/>
    <x v="4"/>
    <x v="3"/>
  </r>
  <r>
    <d v="2024-05-11T00:00:00"/>
    <x v="269"/>
    <x v="22"/>
    <x v="0"/>
    <x v="3"/>
    <n v="26.03"/>
    <n v="2"/>
    <n v="9.44"/>
    <x v="4"/>
    <x v="3"/>
  </r>
  <r>
    <d v="2024-05-11T00:00:00"/>
    <x v="488"/>
    <x v="0"/>
    <x v="0"/>
    <x v="4"/>
    <n v="5.25"/>
    <n v="2"/>
    <n v="0.59"/>
    <x v="4"/>
    <x v="3"/>
  </r>
  <r>
    <d v="2024-05-11T00:00:00"/>
    <x v="488"/>
    <x v="0"/>
    <x v="0"/>
    <x v="2"/>
    <n v="74.42"/>
    <n v="2"/>
    <n v="-14.88"/>
    <x v="4"/>
    <x v="3"/>
  </r>
  <r>
    <d v="2024-05-11T00:00:00"/>
    <x v="488"/>
    <x v="0"/>
    <x v="0"/>
    <x v="0"/>
    <n v="6.85"/>
    <n v="2"/>
    <n v="2.14"/>
    <x v="4"/>
    <x v="3"/>
  </r>
  <r>
    <d v="2024-05-11T00:00:00"/>
    <x v="488"/>
    <x v="0"/>
    <x v="1"/>
    <x v="8"/>
    <n v="8"/>
    <n v="1"/>
    <n v="-7"/>
    <x v="4"/>
    <x v="3"/>
  </r>
  <r>
    <d v="2024-05-11T00:00:00"/>
    <x v="477"/>
    <x v="12"/>
    <x v="1"/>
    <x v="11"/>
    <n v="209.98"/>
    <n v="7"/>
    <n v="-356.96"/>
    <x v="4"/>
    <x v="3"/>
  </r>
  <r>
    <d v="2024-05-11T00:00:00"/>
    <x v="456"/>
    <x v="20"/>
    <x v="0"/>
    <x v="4"/>
    <n v="43.92"/>
    <n v="3"/>
    <n v="12.74"/>
    <x v="4"/>
    <x v="3"/>
  </r>
  <r>
    <d v="2024-05-12T00:00:00"/>
    <x v="296"/>
    <x v="0"/>
    <x v="0"/>
    <x v="2"/>
    <n v="127.92"/>
    <n v="5"/>
    <n v="-15.99"/>
    <x v="4"/>
    <x v="3"/>
  </r>
  <r>
    <d v="2024-05-12T00:00:00"/>
    <x v="296"/>
    <x v="0"/>
    <x v="0"/>
    <x v="3"/>
    <n v="34.24"/>
    <n v="4"/>
    <n v="-53.07"/>
    <x v="4"/>
    <x v="3"/>
  </r>
  <r>
    <d v="2024-05-12T00:00:00"/>
    <x v="74"/>
    <x v="32"/>
    <x v="0"/>
    <x v="0"/>
    <n v="87.6"/>
    <n v="5"/>
    <n v="42.05"/>
    <x v="4"/>
    <x v="3"/>
  </r>
  <r>
    <d v="2024-05-12T00:00:00"/>
    <x v="425"/>
    <x v="10"/>
    <x v="0"/>
    <x v="4"/>
    <n v="10.27"/>
    <n v="3"/>
    <n v="1.1599999999999999"/>
    <x v="4"/>
    <x v="3"/>
  </r>
  <r>
    <d v="2024-05-12T00:00:00"/>
    <x v="345"/>
    <x v="3"/>
    <x v="0"/>
    <x v="14"/>
    <n v="238.62"/>
    <n v="2"/>
    <n v="4.7699999999999996"/>
    <x v="4"/>
    <x v="3"/>
  </r>
  <r>
    <d v="2024-05-12T00:00:00"/>
    <x v="345"/>
    <x v="3"/>
    <x v="0"/>
    <x v="12"/>
    <n v="7.77"/>
    <n v="1"/>
    <n v="2.1"/>
    <x v="4"/>
    <x v="3"/>
  </r>
  <r>
    <d v="2024-05-12T00:00:00"/>
    <x v="345"/>
    <x v="3"/>
    <x v="1"/>
    <x v="13"/>
    <n v="285.48"/>
    <n v="5"/>
    <n v="-10.71"/>
    <x v="4"/>
    <x v="3"/>
  </r>
  <r>
    <d v="2024-05-12T00:00:00"/>
    <x v="345"/>
    <x v="3"/>
    <x v="0"/>
    <x v="3"/>
    <n v="19.170000000000002"/>
    <n v="4"/>
    <n v="6.47"/>
    <x v="4"/>
    <x v="3"/>
  </r>
  <r>
    <d v="2024-05-12T00:00:00"/>
    <x v="657"/>
    <x v="10"/>
    <x v="0"/>
    <x v="1"/>
    <n v="5.9"/>
    <n v="2"/>
    <n v="1.99"/>
    <x v="4"/>
    <x v="3"/>
  </r>
  <r>
    <d v="2024-05-12T00:00:00"/>
    <x v="273"/>
    <x v="23"/>
    <x v="1"/>
    <x v="8"/>
    <n v="42.85"/>
    <n v="5"/>
    <n v="15.43"/>
    <x v="4"/>
    <x v="3"/>
  </r>
  <r>
    <d v="2024-05-12T00:00:00"/>
    <x v="273"/>
    <x v="23"/>
    <x v="0"/>
    <x v="1"/>
    <n v="6.16"/>
    <n v="2"/>
    <n v="2.96"/>
    <x v="4"/>
    <x v="3"/>
  </r>
  <r>
    <d v="2024-05-12T00:00:00"/>
    <x v="273"/>
    <x v="23"/>
    <x v="0"/>
    <x v="14"/>
    <n v="17"/>
    <n v="2"/>
    <n v="4.42"/>
    <x v="4"/>
    <x v="3"/>
  </r>
  <r>
    <d v="2024-05-12T00:00:00"/>
    <x v="273"/>
    <x v="23"/>
    <x v="2"/>
    <x v="9"/>
    <n v="87.4"/>
    <n v="5"/>
    <n v="34.96"/>
    <x v="4"/>
    <x v="3"/>
  </r>
  <r>
    <d v="2024-05-13T00:00:00"/>
    <x v="237"/>
    <x v="3"/>
    <x v="0"/>
    <x v="1"/>
    <n v="58.48"/>
    <n v="8"/>
    <n v="27.49"/>
    <x v="4"/>
    <x v="3"/>
  </r>
  <r>
    <d v="2024-05-13T00:00:00"/>
    <x v="291"/>
    <x v="18"/>
    <x v="0"/>
    <x v="10"/>
    <n v="180.96"/>
    <n v="2"/>
    <n v="81.430000000000007"/>
    <x v="4"/>
    <x v="3"/>
  </r>
  <r>
    <d v="2024-05-13T00:00:00"/>
    <x v="291"/>
    <x v="18"/>
    <x v="0"/>
    <x v="3"/>
    <n v="914.97"/>
    <n v="3"/>
    <n v="411.74"/>
    <x v="4"/>
    <x v="3"/>
  </r>
  <r>
    <d v="2024-05-13T00:00:00"/>
    <x v="291"/>
    <x v="18"/>
    <x v="2"/>
    <x v="6"/>
    <n v="587.97"/>
    <n v="3"/>
    <n v="158.75"/>
    <x v="4"/>
    <x v="3"/>
  </r>
  <r>
    <d v="2024-05-13T00:00:00"/>
    <x v="291"/>
    <x v="18"/>
    <x v="0"/>
    <x v="2"/>
    <n v="530.34"/>
    <n v="2"/>
    <n v="95.46"/>
    <x v="4"/>
    <x v="3"/>
  </r>
  <r>
    <d v="2024-05-13T00:00:00"/>
    <x v="291"/>
    <x v="18"/>
    <x v="0"/>
    <x v="0"/>
    <n v="14.94"/>
    <n v="3"/>
    <n v="7.32"/>
    <x v="4"/>
    <x v="3"/>
  </r>
  <r>
    <d v="2024-05-13T00:00:00"/>
    <x v="249"/>
    <x v="7"/>
    <x v="0"/>
    <x v="3"/>
    <n v="299.52"/>
    <n v="9"/>
    <n v="149.76"/>
    <x v="4"/>
    <x v="3"/>
  </r>
  <r>
    <d v="2024-05-13T00:00:00"/>
    <x v="136"/>
    <x v="15"/>
    <x v="0"/>
    <x v="12"/>
    <n v="20.77"/>
    <n v="2"/>
    <n v="2.34"/>
    <x v="4"/>
    <x v="3"/>
  </r>
  <r>
    <d v="2024-05-13T00:00:00"/>
    <x v="772"/>
    <x v="2"/>
    <x v="1"/>
    <x v="5"/>
    <n v="458.43"/>
    <n v="5"/>
    <n v="-124.43"/>
    <x v="4"/>
    <x v="3"/>
  </r>
  <r>
    <d v="2024-05-14T00:00:00"/>
    <x v="137"/>
    <x v="3"/>
    <x v="1"/>
    <x v="8"/>
    <n v="18.28"/>
    <n v="2"/>
    <n v="6.22"/>
    <x v="4"/>
    <x v="3"/>
  </r>
  <r>
    <d v="2024-05-14T00:00:00"/>
    <x v="137"/>
    <x v="3"/>
    <x v="2"/>
    <x v="9"/>
    <n v="1399.93"/>
    <n v="7"/>
    <n v="601.97"/>
    <x v="4"/>
    <x v="3"/>
  </r>
  <r>
    <d v="2024-05-14T00:00:00"/>
    <x v="67"/>
    <x v="29"/>
    <x v="0"/>
    <x v="10"/>
    <n v="48.69"/>
    <n v="9"/>
    <n v="23.86"/>
    <x v="4"/>
    <x v="3"/>
  </r>
  <r>
    <d v="2024-05-14T00:00:00"/>
    <x v="596"/>
    <x v="20"/>
    <x v="2"/>
    <x v="6"/>
    <n v="539.97"/>
    <n v="3"/>
    <n v="134.99"/>
    <x v="4"/>
    <x v="3"/>
  </r>
  <r>
    <d v="2024-05-14T00:00:00"/>
    <x v="596"/>
    <x v="20"/>
    <x v="0"/>
    <x v="2"/>
    <n v="22.58"/>
    <n v="2"/>
    <n v="5.87"/>
    <x v="4"/>
    <x v="3"/>
  </r>
  <r>
    <d v="2024-05-14T00:00:00"/>
    <x v="127"/>
    <x v="22"/>
    <x v="0"/>
    <x v="0"/>
    <n v="440.19"/>
    <n v="9"/>
    <n v="206.89"/>
    <x v="4"/>
    <x v="3"/>
  </r>
  <r>
    <d v="2024-05-14T00:00:00"/>
    <x v="127"/>
    <x v="22"/>
    <x v="0"/>
    <x v="14"/>
    <n v="64.400000000000006"/>
    <n v="5"/>
    <n v="1.93"/>
    <x v="4"/>
    <x v="3"/>
  </r>
  <r>
    <d v="2024-05-14T00:00:00"/>
    <x v="217"/>
    <x v="0"/>
    <x v="1"/>
    <x v="5"/>
    <n v="899.43"/>
    <n v="5"/>
    <n v="-12.85"/>
    <x v="4"/>
    <x v="3"/>
  </r>
  <r>
    <d v="2024-05-14T00:00:00"/>
    <x v="217"/>
    <x v="0"/>
    <x v="0"/>
    <x v="4"/>
    <n v="46.2"/>
    <n v="5"/>
    <n v="5.78"/>
    <x v="4"/>
    <x v="3"/>
  </r>
  <r>
    <d v="2024-05-14T00:00:00"/>
    <x v="217"/>
    <x v="0"/>
    <x v="0"/>
    <x v="0"/>
    <n v="47.95"/>
    <n v="3"/>
    <n v="16.18"/>
    <x v="4"/>
    <x v="3"/>
  </r>
  <r>
    <d v="2024-05-14T00:00:00"/>
    <x v="217"/>
    <x v="0"/>
    <x v="2"/>
    <x v="6"/>
    <n v="7.99"/>
    <n v="1"/>
    <n v="0.7"/>
    <x v="4"/>
    <x v="3"/>
  </r>
  <r>
    <d v="2024-05-14T00:00:00"/>
    <x v="217"/>
    <x v="0"/>
    <x v="0"/>
    <x v="0"/>
    <n v="76.86"/>
    <n v="2"/>
    <n v="26.9"/>
    <x v="4"/>
    <x v="3"/>
  </r>
  <r>
    <d v="2024-05-14T00:00:00"/>
    <x v="8"/>
    <x v="36"/>
    <x v="0"/>
    <x v="4"/>
    <n v="3.76"/>
    <n v="2"/>
    <n v="1.0900000000000001"/>
    <x v="4"/>
    <x v="3"/>
  </r>
  <r>
    <d v="2024-05-14T00:00:00"/>
    <x v="8"/>
    <x v="36"/>
    <x v="0"/>
    <x v="4"/>
    <n v="14.7"/>
    <n v="5"/>
    <n v="6.62"/>
    <x v="4"/>
    <x v="3"/>
  </r>
  <r>
    <d v="2024-05-14T00:00:00"/>
    <x v="8"/>
    <x v="36"/>
    <x v="0"/>
    <x v="4"/>
    <n v="37.200000000000003"/>
    <n v="5"/>
    <n v="9.3000000000000007"/>
    <x v="4"/>
    <x v="3"/>
  </r>
  <r>
    <d v="2024-05-14T00:00:00"/>
    <x v="8"/>
    <x v="36"/>
    <x v="2"/>
    <x v="9"/>
    <n v="89.97"/>
    <n v="3"/>
    <n v="18.89"/>
    <x v="4"/>
    <x v="3"/>
  </r>
  <r>
    <d v="2024-05-14T00:00:00"/>
    <x v="8"/>
    <x v="36"/>
    <x v="1"/>
    <x v="5"/>
    <n v="261.95999999999998"/>
    <n v="2"/>
    <n v="23.58"/>
    <x v="4"/>
    <x v="3"/>
  </r>
  <r>
    <d v="2024-05-14T00:00:00"/>
    <x v="8"/>
    <x v="36"/>
    <x v="0"/>
    <x v="1"/>
    <n v="74"/>
    <n v="5"/>
    <n v="37"/>
    <x v="4"/>
    <x v="3"/>
  </r>
  <r>
    <d v="2024-05-14T00:00:00"/>
    <x v="0"/>
    <x v="10"/>
    <x v="0"/>
    <x v="3"/>
    <n v="58.17"/>
    <n v="5"/>
    <n v="-46.54"/>
    <x v="4"/>
    <x v="3"/>
  </r>
  <r>
    <d v="2024-05-14T00:00:00"/>
    <x v="0"/>
    <x v="10"/>
    <x v="0"/>
    <x v="1"/>
    <n v="5.04"/>
    <n v="2"/>
    <n v="1.76"/>
    <x v="4"/>
    <x v="3"/>
  </r>
  <r>
    <d v="2024-05-14T00:00:00"/>
    <x v="0"/>
    <x v="10"/>
    <x v="0"/>
    <x v="0"/>
    <n v="24.78"/>
    <n v="1"/>
    <n v="7.75"/>
    <x v="4"/>
    <x v="3"/>
  </r>
  <r>
    <d v="2024-05-15T00:00:00"/>
    <x v="409"/>
    <x v="12"/>
    <x v="2"/>
    <x v="6"/>
    <n v="29.59"/>
    <n v="1"/>
    <n v="2.59"/>
    <x v="4"/>
    <x v="3"/>
  </r>
  <r>
    <d v="2024-05-15T00:00:00"/>
    <x v="409"/>
    <x v="12"/>
    <x v="0"/>
    <x v="3"/>
    <n v="4.75"/>
    <n v="2"/>
    <n v="-3.17"/>
    <x v="4"/>
    <x v="3"/>
  </r>
  <r>
    <d v="2024-05-15T00:00:00"/>
    <x v="409"/>
    <x v="12"/>
    <x v="0"/>
    <x v="0"/>
    <n v="15.55"/>
    <n v="3"/>
    <n v="5.64"/>
    <x v="4"/>
    <x v="3"/>
  </r>
  <r>
    <d v="2024-05-15T00:00:00"/>
    <x v="80"/>
    <x v="22"/>
    <x v="1"/>
    <x v="8"/>
    <n v="39.96"/>
    <n v="2"/>
    <n v="17.18"/>
    <x v="4"/>
    <x v="3"/>
  </r>
  <r>
    <d v="2024-05-15T00:00:00"/>
    <x v="80"/>
    <x v="22"/>
    <x v="1"/>
    <x v="5"/>
    <n v="42.62"/>
    <n v="2"/>
    <n v="4.26"/>
    <x v="4"/>
    <x v="3"/>
  </r>
  <r>
    <d v="2024-05-15T00:00:00"/>
    <x v="80"/>
    <x v="22"/>
    <x v="1"/>
    <x v="5"/>
    <n v="220.96"/>
    <n v="1"/>
    <n v="24.86"/>
    <x v="4"/>
    <x v="3"/>
  </r>
  <r>
    <d v="2024-05-15T00:00:00"/>
    <x v="448"/>
    <x v="1"/>
    <x v="0"/>
    <x v="0"/>
    <n v="56.7"/>
    <n v="2"/>
    <n v="19.14"/>
    <x v="4"/>
    <x v="3"/>
  </r>
  <r>
    <d v="2024-05-15T00:00:00"/>
    <x v="448"/>
    <x v="1"/>
    <x v="2"/>
    <x v="6"/>
    <n v="11.12"/>
    <n v="2"/>
    <n v="3.48"/>
    <x v="4"/>
    <x v="3"/>
  </r>
  <r>
    <d v="2024-05-16T00:00:00"/>
    <x v="522"/>
    <x v="10"/>
    <x v="0"/>
    <x v="2"/>
    <n v="221.02"/>
    <n v="2"/>
    <n v="-55.26"/>
    <x v="4"/>
    <x v="3"/>
  </r>
  <r>
    <d v="2024-05-18T00:00:00"/>
    <x v="248"/>
    <x v="2"/>
    <x v="2"/>
    <x v="9"/>
    <n v="36.049999999999997"/>
    <n v="3"/>
    <n v="-0.9"/>
    <x v="4"/>
    <x v="3"/>
  </r>
  <r>
    <d v="2024-05-18T00:00:00"/>
    <x v="18"/>
    <x v="20"/>
    <x v="1"/>
    <x v="8"/>
    <n v="14.56"/>
    <n v="2"/>
    <n v="6.26"/>
    <x v="4"/>
    <x v="3"/>
  </r>
  <r>
    <d v="2024-05-18T00:00:00"/>
    <x v="18"/>
    <x v="20"/>
    <x v="0"/>
    <x v="3"/>
    <n v="3.05"/>
    <n v="1"/>
    <n v="1.03"/>
    <x v="4"/>
    <x v="3"/>
  </r>
  <r>
    <d v="2024-05-18T00:00:00"/>
    <x v="113"/>
    <x v="0"/>
    <x v="0"/>
    <x v="3"/>
    <n v="6.87"/>
    <n v="7"/>
    <n v="-10.65"/>
    <x v="4"/>
    <x v="3"/>
  </r>
  <r>
    <d v="2024-05-18T00:00:00"/>
    <x v="113"/>
    <x v="0"/>
    <x v="0"/>
    <x v="3"/>
    <n v="2"/>
    <n v="1"/>
    <n v="-3.29"/>
    <x v="4"/>
    <x v="3"/>
  </r>
  <r>
    <d v="2024-05-18T00:00:00"/>
    <x v="113"/>
    <x v="0"/>
    <x v="0"/>
    <x v="2"/>
    <n v="8.93"/>
    <n v="2"/>
    <n v="0.67"/>
    <x v="4"/>
    <x v="3"/>
  </r>
  <r>
    <d v="2024-05-18T00:00:00"/>
    <x v="735"/>
    <x v="4"/>
    <x v="0"/>
    <x v="12"/>
    <n v="17.239999999999998"/>
    <n v="2"/>
    <n v="4.4800000000000004"/>
    <x v="4"/>
    <x v="3"/>
  </r>
  <r>
    <d v="2024-05-18T00:00:00"/>
    <x v="735"/>
    <x v="4"/>
    <x v="1"/>
    <x v="11"/>
    <n v="302.94"/>
    <n v="3"/>
    <n v="75.739999999999995"/>
    <x v="4"/>
    <x v="3"/>
  </r>
  <r>
    <d v="2024-05-18T00:00:00"/>
    <x v="735"/>
    <x v="4"/>
    <x v="2"/>
    <x v="6"/>
    <n v="34.75"/>
    <n v="5"/>
    <n v="15.64"/>
    <x v="4"/>
    <x v="3"/>
  </r>
  <r>
    <d v="2024-05-18T00:00:00"/>
    <x v="735"/>
    <x v="4"/>
    <x v="0"/>
    <x v="3"/>
    <n v="113.94"/>
    <n v="6"/>
    <n v="54.69"/>
    <x v="4"/>
    <x v="3"/>
  </r>
  <r>
    <d v="2024-05-18T00:00:00"/>
    <x v="735"/>
    <x v="4"/>
    <x v="2"/>
    <x v="6"/>
    <n v="55.98"/>
    <n v="2"/>
    <n v="15.67"/>
    <x v="4"/>
    <x v="3"/>
  </r>
  <r>
    <d v="2024-05-18T00:00:00"/>
    <x v="579"/>
    <x v="11"/>
    <x v="2"/>
    <x v="6"/>
    <n v="344.7"/>
    <n v="2"/>
    <n v="38.78"/>
    <x v="4"/>
    <x v="3"/>
  </r>
  <r>
    <d v="2024-05-18T00:00:00"/>
    <x v="367"/>
    <x v="24"/>
    <x v="0"/>
    <x v="12"/>
    <n v="706.86"/>
    <n v="7"/>
    <n v="197.92"/>
    <x v="4"/>
    <x v="3"/>
  </r>
  <r>
    <d v="2024-05-18T00:00:00"/>
    <x v="367"/>
    <x v="24"/>
    <x v="2"/>
    <x v="6"/>
    <n v="114.95"/>
    <n v="5"/>
    <n v="2.2999999999999998"/>
    <x v="4"/>
    <x v="3"/>
  </r>
  <r>
    <d v="2024-05-18T00:00:00"/>
    <x v="367"/>
    <x v="24"/>
    <x v="0"/>
    <x v="3"/>
    <n v="43.19"/>
    <n v="7"/>
    <n v="20.73"/>
    <x v="4"/>
    <x v="3"/>
  </r>
  <r>
    <d v="2024-05-18T00:00:00"/>
    <x v="688"/>
    <x v="1"/>
    <x v="1"/>
    <x v="8"/>
    <n v="22.61"/>
    <n v="3"/>
    <n v="-10.17"/>
    <x v="4"/>
    <x v="3"/>
  </r>
  <r>
    <d v="2024-05-18T00:00:00"/>
    <x v="688"/>
    <x v="1"/>
    <x v="1"/>
    <x v="8"/>
    <n v="1.89"/>
    <n v="1"/>
    <n v="-0.99"/>
    <x v="4"/>
    <x v="3"/>
  </r>
  <r>
    <d v="2024-05-19T00:00:00"/>
    <x v="372"/>
    <x v="22"/>
    <x v="0"/>
    <x v="12"/>
    <n v="97.16"/>
    <n v="2"/>
    <n v="28.18"/>
    <x v="4"/>
    <x v="3"/>
  </r>
  <r>
    <d v="2024-05-19T00:00:00"/>
    <x v="138"/>
    <x v="20"/>
    <x v="0"/>
    <x v="12"/>
    <n v="281.33999999999997"/>
    <n v="6"/>
    <n v="109.72"/>
    <x v="4"/>
    <x v="3"/>
  </r>
  <r>
    <d v="2024-05-19T00:00:00"/>
    <x v="138"/>
    <x v="20"/>
    <x v="2"/>
    <x v="6"/>
    <n v="307.98"/>
    <n v="2"/>
    <n v="89.31"/>
    <x v="4"/>
    <x v="3"/>
  </r>
  <r>
    <d v="2024-05-19T00:00:00"/>
    <x v="138"/>
    <x v="20"/>
    <x v="2"/>
    <x v="9"/>
    <n v="299.97000000000003"/>
    <n v="3"/>
    <n v="113.99"/>
    <x v="4"/>
    <x v="3"/>
  </r>
  <r>
    <d v="2024-05-19T00:00:00"/>
    <x v="59"/>
    <x v="4"/>
    <x v="2"/>
    <x v="9"/>
    <n v="67.8"/>
    <n v="4"/>
    <n v="4.07"/>
    <x v="4"/>
    <x v="3"/>
  </r>
  <r>
    <d v="2024-05-19T00:00:00"/>
    <x v="59"/>
    <x v="4"/>
    <x v="2"/>
    <x v="6"/>
    <n v="377.97"/>
    <n v="3"/>
    <n v="98.27"/>
    <x v="4"/>
    <x v="3"/>
  </r>
  <r>
    <d v="2024-05-19T00:00:00"/>
    <x v="59"/>
    <x v="4"/>
    <x v="1"/>
    <x v="11"/>
    <n v="1628.82"/>
    <n v="9"/>
    <n v="374.63"/>
    <x v="4"/>
    <x v="3"/>
  </r>
  <r>
    <d v="2024-05-19T00:00:00"/>
    <x v="59"/>
    <x v="4"/>
    <x v="0"/>
    <x v="0"/>
    <n v="286.93"/>
    <n v="7"/>
    <n v="140.6"/>
    <x v="4"/>
    <x v="3"/>
  </r>
  <r>
    <d v="2024-05-19T00:00:00"/>
    <x v="288"/>
    <x v="3"/>
    <x v="1"/>
    <x v="5"/>
    <n v="681.41"/>
    <n v="12"/>
    <n v="42.59"/>
    <x v="4"/>
    <x v="3"/>
  </r>
  <r>
    <d v="2024-05-19T00:00:00"/>
    <x v="288"/>
    <x v="3"/>
    <x v="0"/>
    <x v="4"/>
    <n v="3.52"/>
    <n v="2"/>
    <n v="1.02"/>
    <x v="4"/>
    <x v="3"/>
  </r>
  <r>
    <d v="2024-05-19T00:00:00"/>
    <x v="288"/>
    <x v="3"/>
    <x v="0"/>
    <x v="4"/>
    <n v="5.58"/>
    <n v="1"/>
    <n v="1.4"/>
    <x v="4"/>
    <x v="3"/>
  </r>
  <r>
    <d v="2024-05-19T00:00:00"/>
    <x v="288"/>
    <x v="3"/>
    <x v="2"/>
    <x v="9"/>
    <n v="36.32"/>
    <n v="1"/>
    <n v="10.9"/>
    <x v="4"/>
    <x v="3"/>
  </r>
  <r>
    <d v="2024-05-19T00:00:00"/>
    <x v="405"/>
    <x v="4"/>
    <x v="0"/>
    <x v="0"/>
    <n v="195.64"/>
    <n v="4"/>
    <n v="91.95"/>
    <x v="4"/>
    <x v="3"/>
  </r>
  <r>
    <d v="2024-05-19T00:00:00"/>
    <x v="225"/>
    <x v="1"/>
    <x v="0"/>
    <x v="0"/>
    <n v="38.020000000000003"/>
    <n v="6"/>
    <n v="13.78"/>
    <x v="4"/>
    <x v="3"/>
  </r>
  <r>
    <d v="2024-05-19T00:00:00"/>
    <x v="80"/>
    <x v="0"/>
    <x v="2"/>
    <x v="6"/>
    <n v="95.99"/>
    <n v="1"/>
    <n v="9.6"/>
    <x v="4"/>
    <x v="3"/>
  </r>
  <r>
    <d v="2024-05-19T00:00:00"/>
    <x v="80"/>
    <x v="0"/>
    <x v="0"/>
    <x v="1"/>
    <n v="13.22"/>
    <n v="4"/>
    <n v="4.3"/>
    <x v="4"/>
    <x v="3"/>
  </r>
  <r>
    <d v="2024-05-19T00:00:00"/>
    <x v="512"/>
    <x v="15"/>
    <x v="1"/>
    <x v="5"/>
    <n v="314.35000000000002"/>
    <n v="3"/>
    <n v="-35.36"/>
    <x v="4"/>
    <x v="3"/>
  </r>
  <r>
    <d v="2024-05-19T00:00:00"/>
    <x v="512"/>
    <x v="15"/>
    <x v="0"/>
    <x v="0"/>
    <n v="27.89"/>
    <n v="7"/>
    <n v="10.11"/>
    <x v="4"/>
    <x v="3"/>
  </r>
  <r>
    <d v="2024-05-19T00:00:00"/>
    <x v="52"/>
    <x v="3"/>
    <x v="0"/>
    <x v="3"/>
    <n v="133.12"/>
    <n v="5"/>
    <n v="49.92"/>
    <x v="4"/>
    <x v="3"/>
  </r>
  <r>
    <d v="2024-05-19T00:00:00"/>
    <x v="37"/>
    <x v="33"/>
    <x v="0"/>
    <x v="3"/>
    <n v="26.16"/>
    <n v="4"/>
    <n v="12.82"/>
    <x v="4"/>
    <x v="3"/>
  </r>
  <r>
    <d v="2024-05-20T00:00:00"/>
    <x v="115"/>
    <x v="47"/>
    <x v="0"/>
    <x v="4"/>
    <n v="131.94"/>
    <n v="3"/>
    <n v="35.619999999999997"/>
    <x v="4"/>
    <x v="3"/>
  </r>
  <r>
    <d v="2024-05-20T00:00:00"/>
    <x v="115"/>
    <x v="47"/>
    <x v="0"/>
    <x v="4"/>
    <n v="25.92"/>
    <n v="4"/>
    <n v="8.2899999999999991"/>
    <x v="4"/>
    <x v="3"/>
  </r>
  <r>
    <d v="2024-05-20T00:00:00"/>
    <x v="115"/>
    <x v="47"/>
    <x v="0"/>
    <x v="2"/>
    <n v="704.76"/>
    <n v="4"/>
    <n v="162.09"/>
    <x v="4"/>
    <x v="3"/>
  </r>
  <r>
    <d v="2024-05-20T00:00:00"/>
    <x v="115"/>
    <x v="47"/>
    <x v="0"/>
    <x v="7"/>
    <n v="7.41"/>
    <n v="3"/>
    <n v="3.48"/>
    <x v="4"/>
    <x v="3"/>
  </r>
  <r>
    <d v="2024-05-20T00:00:00"/>
    <x v="115"/>
    <x v="47"/>
    <x v="0"/>
    <x v="4"/>
    <n v="21.5"/>
    <n v="10"/>
    <n v="7.1"/>
    <x v="4"/>
    <x v="3"/>
  </r>
  <r>
    <d v="2024-05-20T00:00:00"/>
    <x v="684"/>
    <x v="3"/>
    <x v="1"/>
    <x v="5"/>
    <n v="518.27"/>
    <n v="8"/>
    <n v="-97.18"/>
    <x v="4"/>
    <x v="3"/>
  </r>
  <r>
    <d v="2024-05-20T00:00:00"/>
    <x v="684"/>
    <x v="3"/>
    <x v="1"/>
    <x v="8"/>
    <n v="6.98"/>
    <n v="1"/>
    <n v="3.35"/>
    <x v="4"/>
    <x v="3"/>
  </r>
  <r>
    <d v="2024-05-20T00:00:00"/>
    <x v="684"/>
    <x v="3"/>
    <x v="2"/>
    <x v="15"/>
    <n v="343.2"/>
    <n v="1"/>
    <n v="38.61"/>
    <x v="4"/>
    <x v="3"/>
  </r>
  <r>
    <d v="2024-05-20T00:00:00"/>
    <x v="444"/>
    <x v="14"/>
    <x v="0"/>
    <x v="3"/>
    <n v="41.28"/>
    <n v="2"/>
    <n v="19.809999999999999"/>
    <x v="4"/>
    <x v="3"/>
  </r>
  <r>
    <d v="2024-05-20T00:00:00"/>
    <x v="247"/>
    <x v="17"/>
    <x v="0"/>
    <x v="3"/>
    <n v="8.2899999999999991"/>
    <n v="2"/>
    <n v="3"/>
    <x v="4"/>
    <x v="3"/>
  </r>
  <r>
    <d v="2024-05-20T00:00:00"/>
    <x v="247"/>
    <x v="17"/>
    <x v="2"/>
    <x v="6"/>
    <n v="1123.1300000000001"/>
    <n v="9"/>
    <n v="70.2"/>
    <x v="4"/>
    <x v="3"/>
  </r>
  <r>
    <d v="2024-05-20T00:00:00"/>
    <x v="247"/>
    <x v="17"/>
    <x v="0"/>
    <x v="12"/>
    <n v="64.900000000000006"/>
    <n v="5"/>
    <n v="18.82"/>
    <x v="4"/>
    <x v="3"/>
  </r>
  <r>
    <d v="2024-05-21T00:00:00"/>
    <x v="130"/>
    <x v="20"/>
    <x v="1"/>
    <x v="8"/>
    <n v="520.04999999999995"/>
    <n v="5"/>
    <n v="72.81"/>
    <x v="4"/>
    <x v="3"/>
  </r>
  <r>
    <d v="2024-05-21T00:00:00"/>
    <x v="130"/>
    <x v="20"/>
    <x v="0"/>
    <x v="4"/>
    <n v="17.97"/>
    <n v="3"/>
    <n v="5.21"/>
    <x v="4"/>
    <x v="3"/>
  </r>
  <r>
    <d v="2024-05-22T00:00:00"/>
    <x v="224"/>
    <x v="1"/>
    <x v="1"/>
    <x v="5"/>
    <n v="181.99"/>
    <n v="2"/>
    <n v="-54.6"/>
    <x v="4"/>
    <x v="3"/>
  </r>
  <r>
    <d v="2024-05-22T00:00:00"/>
    <x v="224"/>
    <x v="1"/>
    <x v="0"/>
    <x v="3"/>
    <n v="1.59"/>
    <n v="2"/>
    <n v="-2.63"/>
    <x v="4"/>
    <x v="3"/>
  </r>
  <r>
    <d v="2024-05-22T00:00:00"/>
    <x v="224"/>
    <x v="1"/>
    <x v="0"/>
    <x v="14"/>
    <n v="22.34"/>
    <n v="3"/>
    <n v="2.5099999999999998"/>
    <x v="4"/>
    <x v="3"/>
  </r>
  <r>
    <d v="2024-05-22T00:00:00"/>
    <x v="281"/>
    <x v="3"/>
    <x v="2"/>
    <x v="9"/>
    <n v="68.459999999999994"/>
    <n v="7"/>
    <n v="25.33"/>
    <x v="4"/>
    <x v="3"/>
  </r>
  <r>
    <d v="2024-05-22T00:00:00"/>
    <x v="556"/>
    <x v="3"/>
    <x v="0"/>
    <x v="4"/>
    <n v="49.56"/>
    <n v="7"/>
    <n v="18.829999999999998"/>
    <x v="4"/>
    <x v="3"/>
  </r>
  <r>
    <d v="2024-05-22T00:00:00"/>
    <x v="58"/>
    <x v="3"/>
    <x v="0"/>
    <x v="4"/>
    <n v="9.84"/>
    <n v="3"/>
    <n v="2.85"/>
    <x v="4"/>
    <x v="3"/>
  </r>
  <r>
    <d v="2024-05-22T00:00:00"/>
    <x v="58"/>
    <x v="3"/>
    <x v="0"/>
    <x v="4"/>
    <n v="2.78"/>
    <n v="1"/>
    <n v="0.72"/>
    <x v="4"/>
    <x v="3"/>
  </r>
  <r>
    <d v="2024-05-23T00:00:00"/>
    <x v="6"/>
    <x v="3"/>
    <x v="1"/>
    <x v="13"/>
    <n v="171.29"/>
    <n v="3"/>
    <n v="-6.42"/>
    <x v="4"/>
    <x v="3"/>
  </r>
  <r>
    <d v="2024-05-23T00:00:00"/>
    <x v="318"/>
    <x v="0"/>
    <x v="0"/>
    <x v="7"/>
    <n v="1.82"/>
    <n v="2"/>
    <n v="0.62"/>
    <x v="4"/>
    <x v="3"/>
  </r>
  <r>
    <d v="2024-05-23T00:00:00"/>
    <x v="318"/>
    <x v="0"/>
    <x v="0"/>
    <x v="12"/>
    <n v="18.32"/>
    <n v="5"/>
    <n v="-46.72"/>
    <x v="4"/>
    <x v="3"/>
  </r>
  <r>
    <d v="2024-05-23T00:00:00"/>
    <x v="318"/>
    <x v="0"/>
    <x v="0"/>
    <x v="2"/>
    <n v="48.82"/>
    <n v="3"/>
    <n v="-11.59"/>
    <x v="4"/>
    <x v="3"/>
  </r>
  <r>
    <d v="2024-05-23T00:00:00"/>
    <x v="318"/>
    <x v="0"/>
    <x v="0"/>
    <x v="3"/>
    <n v="1.19"/>
    <n v="1"/>
    <n v="-1.96"/>
    <x v="4"/>
    <x v="3"/>
  </r>
  <r>
    <d v="2024-05-25T00:00:00"/>
    <x v="772"/>
    <x v="4"/>
    <x v="0"/>
    <x v="3"/>
    <n v="29.84"/>
    <n v="2"/>
    <n v="13.43"/>
    <x v="4"/>
    <x v="3"/>
  </r>
  <r>
    <d v="2024-05-25T00:00:00"/>
    <x v="335"/>
    <x v="20"/>
    <x v="0"/>
    <x v="3"/>
    <n v="663.92"/>
    <n v="5"/>
    <n v="207.48"/>
    <x v="4"/>
    <x v="3"/>
  </r>
  <r>
    <d v="2024-05-25T00:00:00"/>
    <x v="335"/>
    <x v="20"/>
    <x v="2"/>
    <x v="9"/>
    <n v="120"/>
    <n v="8"/>
    <n v="13.2"/>
    <x v="4"/>
    <x v="3"/>
  </r>
  <r>
    <d v="2024-05-25T00:00:00"/>
    <x v="335"/>
    <x v="20"/>
    <x v="0"/>
    <x v="7"/>
    <n v="3.29"/>
    <n v="1"/>
    <n v="1.48"/>
    <x v="4"/>
    <x v="3"/>
  </r>
  <r>
    <d v="2024-05-25T00:00:00"/>
    <x v="335"/>
    <x v="20"/>
    <x v="1"/>
    <x v="8"/>
    <n v="18.84"/>
    <n v="3"/>
    <n v="6.03"/>
    <x v="4"/>
    <x v="3"/>
  </r>
  <r>
    <d v="2024-05-25T00:00:00"/>
    <x v="506"/>
    <x v="0"/>
    <x v="0"/>
    <x v="2"/>
    <n v="50.14"/>
    <n v="3"/>
    <n v="-11.28"/>
    <x v="4"/>
    <x v="3"/>
  </r>
  <r>
    <d v="2024-05-26T00:00:00"/>
    <x v="566"/>
    <x v="5"/>
    <x v="0"/>
    <x v="12"/>
    <n v="208.44"/>
    <n v="3"/>
    <n v="62.53"/>
    <x v="4"/>
    <x v="3"/>
  </r>
  <r>
    <d v="2024-05-26T00:00:00"/>
    <x v="566"/>
    <x v="5"/>
    <x v="0"/>
    <x v="14"/>
    <n v="25.76"/>
    <n v="2"/>
    <n v="0.77"/>
    <x v="4"/>
    <x v="3"/>
  </r>
  <r>
    <d v="2024-05-26T00:00:00"/>
    <x v="240"/>
    <x v="6"/>
    <x v="2"/>
    <x v="9"/>
    <n v="23.08"/>
    <n v="2"/>
    <n v="6.92"/>
    <x v="4"/>
    <x v="3"/>
  </r>
  <r>
    <d v="2024-05-26T00:00:00"/>
    <x v="101"/>
    <x v="3"/>
    <x v="0"/>
    <x v="0"/>
    <n v="12.96"/>
    <n v="2"/>
    <n v="6.22"/>
    <x v="4"/>
    <x v="3"/>
  </r>
  <r>
    <d v="2024-05-27T00:00:00"/>
    <x v="233"/>
    <x v="5"/>
    <x v="0"/>
    <x v="3"/>
    <n v="58.34"/>
    <n v="2"/>
    <n v="28"/>
    <x v="4"/>
    <x v="3"/>
  </r>
  <r>
    <d v="2024-05-27T00:00:00"/>
    <x v="233"/>
    <x v="5"/>
    <x v="2"/>
    <x v="6"/>
    <n v="539.97"/>
    <n v="3"/>
    <n v="134.99"/>
    <x v="4"/>
    <x v="3"/>
  </r>
  <r>
    <d v="2024-05-27T00:00:00"/>
    <x v="281"/>
    <x v="15"/>
    <x v="0"/>
    <x v="0"/>
    <n v="25.92"/>
    <n v="5"/>
    <n v="9.07"/>
    <x v="4"/>
    <x v="3"/>
  </r>
  <r>
    <d v="2024-05-27T00:00:00"/>
    <x v="132"/>
    <x v="22"/>
    <x v="2"/>
    <x v="9"/>
    <n v="98.16"/>
    <n v="6"/>
    <n v="9.82"/>
    <x v="4"/>
    <x v="3"/>
  </r>
  <r>
    <d v="2024-05-27T00:00:00"/>
    <x v="132"/>
    <x v="22"/>
    <x v="0"/>
    <x v="4"/>
    <n v="31.44"/>
    <n v="3"/>
    <n v="7.86"/>
    <x v="4"/>
    <x v="3"/>
  </r>
  <r>
    <d v="2024-05-27T00:00:00"/>
    <x v="229"/>
    <x v="34"/>
    <x v="1"/>
    <x v="8"/>
    <n v="35"/>
    <n v="4"/>
    <n v="14.7"/>
    <x v="4"/>
    <x v="3"/>
  </r>
  <r>
    <d v="2024-05-27T00:00:00"/>
    <x v="229"/>
    <x v="34"/>
    <x v="0"/>
    <x v="2"/>
    <n v="477.15"/>
    <n v="5"/>
    <n v="28.63"/>
    <x v="4"/>
    <x v="3"/>
  </r>
  <r>
    <d v="2024-05-27T00:00:00"/>
    <x v="229"/>
    <x v="34"/>
    <x v="2"/>
    <x v="6"/>
    <n v="302.38"/>
    <n v="3"/>
    <n v="22.68"/>
    <x v="4"/>
    <x v="3"/>
  </r>
  <r>
    <d v="2024-05-27T00:00:00"/>
    <x v="416"/>
    <x v="39"/>
    <x v="1"/>
    <x v="8"/>
    <n v="477.3"/>
    <n v="5"/>
    <n v="138.41999999999999"/>
    <x v="4"/>
    <x v="3"/>
  </r>
  <r>
    <d v="2024-05-27T00:00:00"/>
    <x v="620"/>
    <x v="25"/>
    <x v="2"/>
    <x v="9"/>
    <n v="27.19"/>
    <n v="3"/>
    <n v="0.34"/>
    <x v="4"/>
    <x v="3"/>
  </r>
  <r>
    <d v="2024-05-27T00:00:00"/>
    <x v="620"/>
    <x v="25"/>
    <x v="0"/>
    <x v="3"/>
    <n v="12.06"/>
    <n v="5"/>
    <n v="-10.050000000000001"/>
    <x v="4"/>
    <x v="3"/>
  </r>
  <r>
    <d v="2024-05-28T00:00:00"/>
    <x v="99"/>
    <x v="9"/>
    <x v="1"/>
    <x v="5"/>
    <n v="301.95999999999998"/>
    <n v="2"/>
    <n v="33.22"/>
    <x v="4"/>
    <x v="3"/>
  </r>
  <r>
    <d v="2024-05-28T00:00:00"/>
    <x v="657"/>
    <x v="0"/>
    <x v="2"/>
    <x v="6"/>
    <n v="54.37"/>
    <n v="4"/>
    <n v="4.08"/>
    <x v="4"/>
    <x v="3"/>
  </r>
  <r>
    <d v="2024-05-28T00:00:00"/>
    <x v="604"/>
    <x v="38"/>
    <x v="1"/>
    <x v="8"/>
    <n v="247.44"/>
    <n v="8"/>
    <n v="101.45"/>
    <x v="4"/>
    <x v="3"/>
  </r>
  <r>
    <d v="2024-05-28T00:00:00"/>
    <x v="495"/>
    <x v="1"/>
    <x v="1"/>
    <x v="5"/>
    <n v="106.87"/>
    <n v="3"/>
    <n v="-29.01"/>
    <x v="4"/>
    <x v="3"/>
  </r>
  <r>
    <d v="2024-05-28T00:00:00"/>
    <x v="495"/>
    <x v="1"/>
    <x v="0"/>
    <x v="3"/>
    <n v="3.56"/>
    <n v="3"/>
    <n v="-6.24"/>
    <x v="4"/>
    <x v="3"/>
  </r>
  <r>
    <d v="2024-05-28T00:00:00"/>
    <x v="507"/>
    <x v="12"/>
    <x v="2"/>
    <x v="6"/>
    <n v="195.96"/>
    <n v="5"/>
    <n v="19.600000000000001"/>
    <x v="4"/>
    <x v="3"/>
  </r>
  <r>
    <d v="2024-05-28T00:00:00"/>
    <x v="507"/>
    <x v="12"/>
    <x v="0"/>
    <x v="0"/>
    <n v="15.55"/>
    <n v="3"/>
    <n v="5.44"/>
    <x v="4"/>
    <x v="3"/>
  </r>
  <r>
    <d v="2024-05-28T00:00:00"/>
    <x v="507"/>
    <x v="12"/>
    <x v="2"/>
    <x v="9"/>
    <n v="271.97000000000003"/>
    <n v="4"/>
    <n v="54.39"/>
    <x v="4"/>
    <x v="3"/>
  </r>
  <r>
    <d v="2024-05-28T00:00:00"/>
    <x v="548"/>
    <x v="36"/>
    <x v="1"/>
    <x v="8"/>
    <n v="27.46"/>
    <n v="2"/>
    <n v="9.89"/>
    <x v="4"/>
    <x v="3"/>
  </r>
  <r>
    <d v="2024-05-28T00:00:00"/>
    <x v="548"/>
    <x v="36"/>
    <x v="0"/>
    <x v="12"/>
    <n v="125.13"/>
    <n v="3"/>
    <n v="36.29"/>
    <x v="4"/>
    <x v="3"/>
  </r>
  <r>
    <d v="2024-05-28T00:00:00"/>
    <x v="450"/>
    <x v="10"/>
    <x v="0"/>
    <x v="0"/>
    <n v="13.87"/>
    <n v="3"/>
    <n v="5.03"/>
    <x v="4"/>
    <x v="3"/>
  </r>
  <r>
    <d v="2024-05-28T00:00:00"/>
    <x v="450"/>
    <x v="10"/>
    <x v="1"/>
    <x v="11"/>
    <n v="115.96"/>
    <n v="4"/>
    <n v="-64.94"/>
    <x v="4"/>
    <x v="3"/>
  </r>
  <r>
    <d v="2024-05-29T00:00:00"/>
    <x v="606"/>
    <x v="0"/>
    <x v="0"/>
    <x v="0"/>
    <n v="25.92"/>
    <n v="5"/>
    <n v="9.4"/>
    <x v="4"/>
    <x v="3"/>
  </r>
  <r>
    <d v="2024-05-29T00:00:00"/>
    <x v="606"/>
    <x v="0"/>
    <x v="0"/>
    <x v="2"/>
    <n v="53.42"/>
    <n v="3"/>
    <n v="4.67"/>
    <x v="4"/>
    <x v="3"/>
  </r>
  <r>
    <d v="2024-05-29T00:00:00"/>
    <x v="742"/>
    <x v="0"/>
    <x v="1"/>
    <x v="8"/>
    <n v="65.42"/>
    <n v="4"/>
    <n v="-52.34"/>
    <x v="4"/>
    <x v="3"/>
  </r>
  <r>
    <d v="2024-05-29T00:00:00"/>
    <x v="618"/>
    <x v="40"/>
    <x v="0"/>
    <x v="7"/>
    <n v="23.55"/>
    <n v="5"/>
    <n v="1.18"/>
    <x v="4"/>
    <x v="3"/>
  </r>
  <r>
    <d v="2024-05-29T00:00:00"/>
    <x v="505"/>
    <x v="18"/>
    <x v="0"/>
    <x v="3"/>
    <n v="43.41"/>
    <n v="1"/>
    <n v="19.97"/>
    <x v="4"/>
    <x v="3"/>
  </r>
  <r>
    <d v="2024-05-29T00:00:00"/>
    <x v="505"/>
    <x v="18"/>
    <x v="1"/>
    <x v="8"/>
    <n v="6.24"/>
    <n v="3"/>
    <n v="2.62"/>
    <x v="4"/>
    <x v="3"/>
  </r>
  <r>
    <d v="2024-05-29T00:00:00"/>
    <x v="505"/>
    <x v="18"/>
    <x v="0"/>
    <x v="12"/>
    <n v="465.16"/>
    <n v="2"/>
    <n v="120.94"/>
    <x v="4"/>
    <x v="3"/>
  </r>
  <r>
    <d v="2024-05-29T00:00:00"/>
    <x v="505"/>
    <x v="18"/>
    <x v="0"/>
    <x v="0"/>
    <n v="7.98"/>
    <n v="1"/>
    <n v="3.99"/>
    <x v="4"/>
    <x v="3"/>
  </r>
  <r>
    <d v="2024-05-30T00:00:00"/>
    <x v="664"/>
    <x v="8"/>
    <x v="1"/>
    <x v="11"/>
    <n v="241.96"/>
    <n v="2"/>
    <n v="33.869999999999997"/>
    <x v="4"/>
    <x v="3"/>
  </r>
  <r>
    <d v="2024-05-30T00:00:00"/>
    <x v="664"/>
    <x v="8"/>
    <x v="0"/>
    <x v="3"/>
    <n v="3.89"/>
    <n v="1"/>
    <n v="1.87"/>
    <x v="4"/>
    <x v="3"/>
  </r>
  <r>
    <d v="2024-05-30T00:00:00"/>
    <x v="664"/>
    <x v="8"/>
    <x v="1"/>
    <x v="8"/>
    <n v="8.01"/>
    <n v="3"/>
    <n v="3.04"/>
    <x v="4"/>
    <x v="3"/>
  </r>
  <r>
    <d v="2024-05-30T00:00:00"/>
    <x v="588"/>
    <x v="11"/>
    <x v="2"/>
    <x v="6"/>
    <n v="156.79"/>
    <n v="1"/>
    <n v="17.64"/>
    <x v="4"/>
    <x v="3"/>
  </r>
  <r>
    <d v="2024-05-30T00:00:00"/>
    <x v="588"/>
    <x v="11"/>
    <x v="2"/>
    <x v="9"/>
    <n v="35.36"/>
    <n v="2"/>
    <n v="-3.09"/>
    <x v="4"/>
    <x v="3"/>
  </r>
  <r>
    <d v="2024-05-30T00:00:00"/>
    <x v="588"/>
    <x v="11"/>
    <x v="1"/>
    <x v="8"/>
    <n v="13.59"/>
    <n v="1"/>
    <n v="-0.34"/>
    <x v="4"/>
    <x v="3"/>
  </r>
  <r>
    <d v="2024-05-30T00:00:00"/>
    <x v="436"/>
    <x v="3"/>
    <x v="0"/>
    <x v="0"/>
    <n v="37.520000000000003"/>
    <n v="4"/>
    <n v="18.010000000000002"/>
    <x v="4"/>
    <x v="3"/>
  </r>
  <r>
    <d v="2024-05-30T00:00:00"/>
    <x v="73"/>
    <x v="0"/>
    <x v="1"/>
    <x v="11"/>
    <n v="204.67"/>
    <n v="1"/>
    <n v="-6.02"/>
    <x v="4"/>
    <x v="3"/>
  </r>
  <r>
    <d v="2024-05-30T00:00:00"/>
    <x v="75"/>
    <x v="3"/>
    <x v="0"/>
    <x v="4"/>
    <n v="35.1"/>
    <n v="6"/>
    <n v="10.18"/>
    <x v="4"/>
    <x v="3"/>
  </r>
  <r>
    <d v="2024-06-01T00:00:00"/>
    <x v="323"/>
    <x v="10"/>
    <x v="0"/>
    <x v="12"/>
    <n v="17.48"/>
    <n v="5"/>
    <n v="1.31"/>
    <x v="5"/>
    <x v="3"/>
  </r>
  <r>
    <d v="2024-06-01T00:00:00"/>
    <x v="681"/>
    <x v="10"/>
    <x v="0"/>
    <x v="3"/>
    <n v="3.8"/>
    <n v="2"/>
    <n v="-2.66"/>
    <x v="5"/>
    <x v="3"/>
  </r>
  <r>
    <d v="2024-06-01T00:00:00"/>
    <x v="681"/>
    <x v="10"/>
    <x v="0"/>
    <x v="0"/>
    <n v="27.74"/>
    <n v="6"/>
    <n v="10.06"/>
    <x v="5"/>
    <x v="3"/>
  </r>
  <r>
    <d v="2024-06-01T00:00:00"/>
    <x v="681"/>
    <x v="10"/>
    <x v="2"/>
    <x v="6"/>
    <n v="158.38"/>
    <n v="4"/>
    <n v="-34.31"/>
    <x v="5"/>
    <x v="3"/>
  </r>
  <r>
    <d v="2024-06-01T00:00:00"/>
    <x v="755"/>
    <x v="40"/>
    <x v="0"/>
    <x v="3"/>
    <n v="53.9"/>
    <n v="5"/>
    <n v="25.87"/>
    <x v="5"/>
    <x v="3"/>
  </r>
  <r>
    <d v="2024-06-01T00:00:00"/>
    <x v="220"/>
    <x v="2"/>
    <x v="0"/>
    <x v="2"/>
    <n v="324.74"/>
    <n v="3"/>
    <n v="-77.13"/>
    <x v="5"/>
    <x v="3"/>
  </r>
  <r>
    <d v="2024-06-01T00:00:00"/>
    <x v="698"/>
    <x v="18"/>
    <x v="1"/>
    <x v="5"/>
    <n v="1925.88"/>
    <n v="6"/>
    <n v="539.25"/>
    <x v="5"/>
    <x v="3"/>
  </r>
  <r>
    <d v="2024-06-01T00:00:00"/>
    <x v="698"/>
    <x v="18"/>
    <x v="0"/>
    <x v="12"/>
    <n v="2405.1999999999998"/>
    <n v="8"/>
    <n v="793.72"/>
    <x v="5"/>
    <x v="3"/>
  </r>
  <r>
    <d v="2024-06-01T00:00:00"/>
    <x v="698"/>
    <x v="18"/>
    <x v="2"/>
    <x v="9"/>
    <n v="83.97"/>
    <n v="3"/>
    <n v="15.95"/>
    <x v="5"/>
    <x v="3"/>
  </r>
  <r>
    <d v="2024-06-01T00:00:00"/>
    <x v="698"/>
    <x v="18"/>
    <x v="2"/>
    <x v="9"/>
    <n v="39.89"/>
    <n v="1"/>
    <n v="14.76"/>
    <x v="5"/>
    <x v="3"/>
  </r>
  <r>
    <d v="2024-06-01T00:00:00"/>
    <x v="698"/>
    <x v="18"/>
    <x v="0"/>
    <x v="3"/>
    <n v="17.38"/>
    <n v="2"/>
    <n v="8.69"/>
    <x v="5"/>
    <x v="3"/>
  </r>
  <r>
    <d v="2024-06-02T00:00:00"/>
    <x v="314"/>
    <x v="10"/>
    <x v="2"/>
    <x v="6"/>
    <n v="2.97"/>
    <n v="1"/>
    <n v="-0.64"/>
    <x v="5"/>
    <x v="3"/>
  </r>
  <r>
    <d v="2024-06-02T00:00:00"/>
    <x v="314"/>
    <x v="10"/>
    <x v="0"/>
    <x v="2"/>
    <n v="27.44"/>
    <n v="2"/>
    <n v="2.4"/>
    <x v="5"/>
    <x v="3"/>
  </r>
  <r>
    <d v="2024-06-02T00:00:00"/>
    <x v="445"/>
    <x v="12"/>
    <x v="0"/>
    <x v="0"/>
    <n v="25.34"/>
    <n v="6"/>
    <n v="7.92"/>
    <x v="5"/>
    <x v="3"/>
  </r>
  <r>
    <d v="2024-06-02T00:00:00"/>
    <x v="445"/>
    <x v="12"/>
    <x v="0"/>
    <x v="10"/>
    <n v="43.92"/>
    <n v="5"/>
    <n v="15.92"/>
    <x v="5"/>
    <x v="3"/>
  </r>
  <r>
    <d v="2024-06-02T00:00:00"/>
    <x v="178"/>
    <x v="25"/>
    <x v="0"/>
    <x v="0"/>
    <n v="25.34"/>
    <n v="4"/>
    <n v="9.19"/>
    <x v="5"/>
    <x v="3"/>
  </r>
  <r>
    <d v="2024-06-02T00:00:00"/>
    <x v="628"/>
    <x v="0"/>
    <x v="0"/>
    <x v="0"/>
    <n v="10.69"/>
    <n v="2"/>
    <n v="3.74"/>
    <x v="5"/>
    <x v="3"/>
  </r>
  <r>
    <d v="2024-06-03T00:00:00"/>
    <x v="252"/>
    <x v="15"/>
    <x v="1"/>
    <x v="8"/>
    <n v="35.17"/>
    <n v="7"/>
    <n v="9.67"/>
    <x v="5"/>
    <x v="3"/>
  </r>
  <r>
    <d v="2024-06-03T00:00:00"/>
    <x v="186"/>
    <x v="22"/>
    <x v="2"/>
    <x v="9"/>
    <n v="1099.5"/>
    <n v="10"/>
    <n v="362.84"/>
    <x v="5"/>
    <x v="3"/>
  </r>
  <r>
    <d v="2024-06-03T00:00:00"/>
    <x v="531"/>
    <x v="3"/>
    <x v="2"/>
    <x v="9"/>
    <n v="44.75"/>
    <n v="5"/>
    <n v="8.5"/>
    <x v="5"/>
    <x v="3"/>
  </r>
  <r>
    <d v="2024-06-03T00:00:00"/>
    <x v="531"/>
    <x v="3"/>
    <x v="0"/>
    <x v="0"/>
    <n v="11.96"/>
    <n v="2"/>
    <n v="5.38"/>
    <x v="5"/>
    <x v="3"/>
  </r>
  <r>
    <d v="2024-06-03T00:00:00"/>
    <x v="531"/>
    <x v="3"/>
    <x v="0"/>
    <x v="3"/>
    <n v="3.91"/>
    <n v="1"/>
    <n v="1.27"/>
    <x v="5"/>
    <x v="3"/>
  </r>
  <r>
    <d v="2024-06-03T00:00:00"/>
    <x v="245"/>
    <x v="16"/>
    <x v="0"/>
    <x v="3"/>
    <n v="4.55"/>
    <n v="3"/>
    <n v="-3.49"/>
    <x v="5"/>
    <x v="3"/>
  </r>
  <r>
    <d v="2024-06-03T00:00:00"/>
    <x v="245"/>
    <x v="16"/>
    <x v="0"/>
    <x v="12"/>
    <n v="5.2"/>
    <n v="2"/>
    <n v="0.59"/>
    <x v="5"/>
    <x v="3"/>
  </r>
  <r>
    <d v="2024-06-03T00:00:00"/>
    <x v="245"/>
    <x v="16"/>
    <x v="2"/>
    <x v="9"/>
    <n v="205.99"/>
    <n v="1"/>
    <n v="-2.57"/>
    <x v="5"/>
    <x v="3"/>
  </r>
  <r>
    <d v="2024-06-03T00:00:00"/>
    <x v="245"/>
    <x v="16"/>
    <x v="0"/>
    <x v="0"/>
    <n v="15.55"/>
    <n v="3"/>
    <n v="5.44"/>
    <x v="5"/>
    <x v="3"/>
  </r>
  <r>
    <d v="2024-06-03T00:00:00"/>
    <x v="245"/>
    <x v="16"/>
    <x v="2"/>
    <x v="6"/>
    <n v="503.96"/>
    <n v="5"/>
    <n v="50.4"/>
    <x v="5"/>
    <x v="3"/>
  </r>
  <r>
    <d v="2024-06-03T00:00:00"/>
    <x v="245"/>
    <x v="16"/>
    <x v="0"/>
    <x v="12"/>
    <n v="24.47"/>
    <n v="7"/>
    <n v="1.84"/>
    <x v="5"/>
    <x v="3"/>
  </r>
  <r>
    <d v="2024-06-03T00:00:00"/>
    <x v="245"/>
    <x v="16"/>
    <x v="1"/>
    <x v="11"/>
    <n v="241.57"/>
    <n v="2"/>
    <n v="0"/>
    <x v="5"/>
    <x v="3"/>
  </r>
  <r>
    <d v="2024-06-03T00:00:00"/>
    <x v="245"/>
    <x v="16"/>
    <x v="2"/>
    <x v="9"/>
    <n v="110.4"/>
    <n v="2"/>
    <n v="-4.1399999999999997"/>
    <x v="5"/>
    <x v="3"/>
  </r>
  <r>
    <d v="2024-06-03T00:00:00"/>
    <x v="549"/>
    <x v="20"/>
    <x v="1"/>
    <x v="13"/>
    <n v="384.77"/>
    <n v="2"/>
    <n v="-115.43"/>
    <x v="5"/>
    <x v="3"/>
  </r>
  <r>
    <d v="2024-06-03T00:00:00"/>
    <x v="549"/>
    <x v="20"/>
    <x v="2"/>
    <x v="15"/>
    <n v="78.66"/>
    <n v="6"/>
    <n v="36.18"/>
    <x v="5"/>
    <x v="3"/>
  </r>
  <r>
    <d v="2024-06-03T00:00:00"/>
    <x v="549"/>
    <x v="20"/>
    <x v="0"/>
    <x v="0"/>
    <n v="45.36"/>
    <n v="4"/>
    <n v="22.23"/>
    <x v="5"/>
    <x v="3"/>
  </r>
  <r>
    <d v="2024-06-03T00:00:00"/>
    <x v="690"/>
    <x v="22"/>
    <x v="0"/>
    <x v="2"/>
    <n v="136.26"/>
    <n v="9"/>
    <n v="5.45"/>
    <x v="5"/>
    <x v="3"/>
  </r>
  <r>
    <d v="2024-06-04T00:00:00"/>
    <x v="754"/>
    <x v="25"/>
    <x v="1"/>
    <x v="8"/>
    <n v="31.98"/>
    <n v="2"/>
    <n v="2"/>
    <x v="5"/>
    <x v="3"/>
  </r>
  <r>
    <d v="2024-06-04T00:00:00"/>
    <x v="754"/>
    <x v="25"/>
    <x v="2"/>
    <x v="6"/>
    <n v="71.98"/>
    <n v="2"/>
    <n v="25.19"/>
    <x v="5"/>
    <x v="3"/>
  </r>
  <r>
    <d v="2024-06-04T00:00:00"/>
    <x v="284"/>
    <x v="33"/>
    <x v="0"/>
    <x v="0"/>
    <n v="12.48"/>
    <n v="2"/>
    <n v="5.62"/>
    <x v="5"/>
    <x v="3"/>
  </r>
  <r>
    <d v="2024-06-04T00:00:00"/>
    <x v="189"/>
    <x v="28"/>
    <x v="0"/>
    <x v="4"/>
    <n v="8.64"/>
    <n v="3"/>
    <n v="2.5099999999999998"/>
    <x v="5"/>
    <x v="3"/>
  </r>
  <r>
    <d v="2024-06-04T00:00:00"/>
    <x v="783"/>
    <x v="0"/>
    <x v="0"/>
    <x v="3"/>
    <n v="6.37"/>
    <n v="7"/>
    <n v="-9.56"/>
    <x v="5"/>
    <x v="3"/>
  </r>
  <r>
    <d v="2024-06-04T00:00:00"/>
    <x v="200"/>
    <x v="13"/>
    <x v="0"/>
    <x v="3"/>
    <n v="108.08"/>
    <n v="7"/>
    <n v="54.04"/>
    <x v="5"/>
    <x v="3"/>
  </r>
  <r>
    <d v="2024-06-04T00:00:00"/>
    <x v="200"/>
    <x v="13"/>
    <x v="0"/>
    <x v="3"/>
    <n v="9.5399999999999991"/>
    <n v="3"/>
    <n v="4.3899999999999997"/>
    <x v="5"/>
    <x v="3"/>
  </r>
  <r>
    <d v="2024-06-04T00:00:00"/>
    <x v="313"/>
    <x v="0"/>
    <x v="1"/>
    <x v="8"/>
    <n v="30.34"/>
    <n v="6"/>
    <n v="-17.440000000000001"/>
    <x v="5"/>
    <x v="3"/>
  </r>
  <r>
    <d v="2024-06-05T00:00:00"/>
    <x v="579"/>
    <x v="0"/>
    <x v="2"/>
    <x v="6"/>
    <n v="470.38"/>
    <n v="3"/>
    <n v="52.92"/>
    <x v="5"/>
    <x v="3"/>
  </r>
  <r>
    <d v="2024-06-05T00:00:00"/>
    <x v="270"/>
    <x v="16"/>
    <x v="0"/>
    <x v="0"/>
    <n v="20.74"/>
    <n v="4"/>
    <n v="7.26"/>
    <x v="5"/>
    <x v="3"/>
  </r>
  <r>
    <d v="2024-06-06T00:00:00"/>
    <x v="292"/>
    <x v="3"/>
    <x v="1"/>
    <x v="8"/>
    <n v="4.95"/>
    <n v="1"/>
    <n v="2.1800000000000002"/>
    <x v="5"/>
    <x v="3"/>
  </r>
  <r>
    <d v="2024-06-06T00:00:00"/>
    <x v="292"/>
    <x v="3"/>
    <x v="0"/>
    <x v="2"/>
    <n v="26.4"/>
    <n v="5"/>
    <n v="0"/>
    <x v="5"/>
    <x v="3"/>
  </r>
  <r>
    <d v="2024-06-08T00:00:00"/>
    <x v="112"/>
    <x v="0"/>
    <x v="0"/>
    <x v="12"/>
    <n v="1.62"/>
    <n v="2"/>
    <n v="-4.47"/>
    <x v="5"/>
    <x v="3"/>
  </r>
  <r>
    <d v="2024-06-08T00:00:00"/>
    <x v="495"/>
    <x v="0"/>
    <x v="0"/>
    <x v="14"/>
    <n v="23.76"/>
    <n v="3"/>
    <n v="2.08"/>
    <x v="5"/>
    <x v="3"/>
  </r>
  <r>
    <d v="2024-06-08T00:00:00"/>
    <x v="495"/>
    <x v="0"/>
    <x v="0"/>
    <x v="0"/>
    <n v="85.06"/>
    <n v="3"/>
    <n v="28.71"/>
    <x v="5"/>
    <x v="3"/>
  </r>
  <r>
    <d v="2024-06-08T00:00:00"/>
    <x v="495"/>
    <x v="0"/>
    <x v="2"/>
    <x v="6"/>
    <n v="381.58"/>
    <n v="3"/>
    <n v="28.62"/>
    <x v="5"/>
    <x v="3"/>
  </r>
  <r>
    <d v="2024-06-08T00:00:00"/>
    <x v="395"/>
    <x v="37"/>
    <x v="0"/>
    <x v="3"/>
    <n v="10.36"/>
    <n v="2"/>
    <n v="5.08"/>
    <x v="5"/>
    <x v="3"/>
  </r>
  <r>
    <d v="2024-06-08T00:00:00"/>
    <x v="346"/>
    <x v="1"/>
    <x v="0"/>
    <x v="3"/>
    <n v="12.18"/>
    <n v="4"/>
    <n v="-18.87"/>
    <x v="5"/>
    <x v="3"/>
  </r>
  <r>
    <d v="2024-06-08T00:00:00"/>
    <x v="473"/>
    <x v="3"/>
    <x v="1"/>
    <x v="11"/>
    <n v="1497.67"/>
    <n v="2"/>
    <n v="140.96"/>
    <x v="5"/>
    <x v="3"/>
  </r>
  <r>
    <d v="2024-06-08T00:00:00"/>
    <x v="473"/>
    <x v="3"/>
    <x v="2"/>
    <x v="6"/>
    <n v="17.52"/>
    <n v="2"/>
    <n v="-3.5"/>
    <x v="5"/>
    <x v="3"/>
  </r>
  <r>
    <d v="2024-06-08T00:00:00"/>
    <x v="251"/>
    <x v="12"/>
    <x v="2"/>
    <x v="9"/>
    <n v="89.54"/>
    <n v="7"/>
    <n v="12.31"/>
    <x v="5"/>
    <x v="3"/>
  </r>
  <r>
    <d v="2024-06-08T00:00:00"/>
    <x v="251"/>
    <x v="12"/>
    <x v="0"/>
    <x v="2"/>
    <n v="35.17"/>
    <n v="2"/>
    <n v="-8.35"/>
    <x v="5"/>
    <x v="3"/>
  </r>
  <r>
    <d v="2024-06-08T00:00:00"/>
    <x v="251"/>
    <x v="12"/>
    <x v="0"/>
    <x v="3"/>
    <n v="72.59"/>
    <n v="2"/>
    <n v="-48.39"/>
    <x v="5"/>
    <x v="3"/>
  </r>
  <r>
    <d v="2024-06-09T00:00:00"/>
    <x v="690"/>
    <x v="1"/>
    <x v="1"/>
    <x v="8"/>
    <n v="23.98"/>
    <n v="3"/>
    <n v="-14.39"/>
    <x v="5"/>
    <x v="3"/>
  </r>
  <r>
    <d v="2024-06-09T00:00:00"/>
    <x v="690"/>
    <x v="1"/>
    <x v="1"/>
    <x v="13"/>
    <n v="108.93"/>
    <n v="1"/>
    <n v="-71.89"/>
    <x v="5"/>
    <x v="3"/>
  </r>
  <r>
    <d v="2024-06-09T00:00:00"/>
    <x v="690"/>
    <x v="1"/>
    <x v="0"/>
    <x v="0"/>
    <n v="36.35"/>
    <n v="8"/>
    <n v="11.36"/>
    <x v="5"/>
    <x v="3"/>
  </r>
  <r>
    <d v="2024-06-09T00:00:00"/>
    <x v="479"/>
    <x v="0"/>
    <x v="0"/>
    <x v="2"/>
    <n v="720.76"/>
    <n v="5"/>
    <n v="54.06"/>
    <x v="5"/>
    <x v="3"/>
  </r>
  <r>
    <d v="2024-06-09T00:00:00"/>
    <x v="643"/>
    <x v="6"/>
    <x v="0"/>
    <x v="0"/>
    <n v="49.12"/>
    <n v="4"/>
    <n v="23.09"/>
    <x v="5"/>
    <x v="3"/>
  </r>
  <r>
    <d v="2024-06-10T00:00:00"/>
    <x v="428"/>
    <x v="3"/>
    <x v="0"/>
    <x v="1"/>
    <n v="29.6"/>
    <n v="2"/>
    <n v="14.8"/>
    <x v="5"/>
    <x v="3"/>
  </r>
  <r>
    <d v="2024-06-10T00:00:00"/>
    <x v="428"/>
    <x v="3"/>
    <x v="1"/>
    <x v="11"/>
    <n v="514.16999999999996"/>
    <n v="5"/>
    <n v="-30.25"/>
    <x v="5"/>
    <x v="3"/>
  </r>
  <r>
    <d v="2024-06-10T00:00:00"/>
    <x v="428"/>
    <x v="3"/>
    <x v="2"/>
    <x v="6"/>
    <n v="279.95999999999998"/>
    <n v="5"/>
    <n v="17.5"/>
    <x v="5"/>
    <x v="3"/>
  </r>
  <r>
    <d v="2024-06-10T00:00:00"/>
    <x v="573"/>
    <x v="14"/>
    <x v="2"/>
    <x v="9"/>
    <n v="132.52000000000001"/>
    <n v="4"/>
    <n v="54.33"/>
    <x v="5"/>
    <x v="3"/>
  </r>
  <r>
    <d v="2024-06-10T00:00:00"/>
    <x v="346"/>
    <x v="3"/>
    <x v="0"/>
    <x v="4"/>
    <n v="16.399999999999999"/>
    <n v="5"/>
    <n v="4.76"/>
    <x v="5"/>
    <x v="3"/>
  </r>
  <r>
    <d v="2024-06-10T00:00:00"/>
    <x v="319"/>
    <x v="2"/>
    <x v="0"/>
    <x v="0"/>
    <n v="40.03"/>
    <n v="6"/>
    <n v="15.01"/>
    <x v="5"/>
    <x v="3"/>
  </r>
  <r>
    <d v="2024-06-10T00:00:00"/>
    <x v="37"/>
    <x v="16"/>
    <x v="0"/>
    <x v="2"/>
    <n v="1347.52"/>
    <n v="8"/>
    <n v="84.22"/>
    <x v="5"/>
    <x v="3"/>
  </r>
  <r>
    <d v="2024-06-10T00:00:00"/>
    <x v="49"/>
    <x v="20"/>
    <x v="0"/>
    <x v="4"/>
    <n v="8.4"/>
    <n v="5"/>
    <n v="4.2"/>
    <x v="5"/>
    <x v="3"/>
  </r>
  <r>
    <d v="2024-06-10T00:00:00"/>
    <x v="649"/>
    <x v="22"/>
    <x v="2"/>
    <x v="6"/>
    <n v="88.78"/>
    <n v="3"/>
    <n v="7.77"/>
    <x v="5"/>
    <x v="3"/>
  </r>
  <r>
    <d v="2024-06-10T00:00:00"/>
    <x v="649"/>
    <x v="22"/>
    <x v="0"/>
    <x v="1"/>
    <n v="11.56"/>
    <n v="4"/>
    <n v="5.43"/>
    <x v="5"/>
    <x v="3"/>
  </r>
  <r>
    <d v="2024-06-10T00:00:00"/>
    <x v="649"/>
    <x v="22"/>
    <x v="0"/>
    <x v="2"/>
    <n v="15.58"/>
    <n v="1"/>
    <n v="3.9"/>
    <x v="5"/>
    <x v="3"/>
  </r>
  <r>
    <d v="2024-06-10T00:00:00"/>
    <x v="434"/>
    <x v="3"/>
    <x v="0"/>
    <x v="4"/>
    <n v="14.7"/>
    <n v="7"/>
    <n v="4.12"/>
    <x v="5"/>
    <x v="3"/>
  </r>
  <r>
    <d v="2024-06-10T00:00:00"/>
    <x v="22"/>
    <x v="20"/>
    <x v="0"/>
    <x v="7"/>
    <n v="14.13"/>
    <n v="3"/>
    <n v="0.71"/>
    <x v="5"/>
    <x v="3"/>
  </r>
  <r>
    <d v="2024-06-11T00:00:00"/>
    <x v="265"/>
    <x v="3"/>
    <x v="0"/>
    <x v="0"/>
    <n v="122.97"/>
    <n v="3"/>
    <n v="60.26"/>
    <x v="5"/>
    <x v="3"/>
  </r>
  <r>
    <d v="2024-06-11T00:00:00"/>
    <x v="288"/>
    <x v="12"/>
    <x v="1"/>
    <x v="5"/>
    <n v="280.79000000000002"/>
    <n v="1"/>
    <n v="35.1"/>
    <x v="5"/>
    <x v="3"/>
  </r>
  <r>
    <d v="2024-06-11T00:00:00"/>
    <x v="288"/>
    <x v="12"/>
    <x v="0"/>
    <x v="2"/>
    <n v="68.45"/>
    <n v="4"/>
    <n v="7.7"/>
    <x v="5"/>
    <x v="3"/>
  </r>
  <r>
    <d v="2024-06-11T00:00:00"/>
    <x v="288"/>
    <x v="12"/>
    <x v="0"/>
    <x v="4"/>
    <n v="88.04"/>
    <n v="5"/>
    <n v="6.6"/>
    <x v="5"/>
    <x v="3"/>
  </r>
  <r>
    <d v="2024-06-11T00:00:00"/>
    <x v="288"/>
    <x v="12"/>
    <x v="0"/>
    <x v="4"/>
    <n v="15.87"/>
    <n v="1"/>
    <n v="1.98"/>
    <x v="5"/>
    <x v="3"/>
  </r>
  <r>
    <d v="2024-06-11T00:00:00"/>
    <x v="288"/>
    <x v="12"/>
    <x v="0"/>
    <x v="2"/>
    <n v="215.59"/>
    <n v="3"/>
    <n v="-48.51"/>
    <x v="5"/>
    <x v="3"/>
  </r>
  <r>
    <d v="2024-06-11T00:00:00"/>
    <x v="61"/>
    <x v="33"/>
    <x v="0"/>
    <x v="4"/>
    <n v="3.76"/>
    <n v="2"/>
    <n v="1.0900000000000001"/>
    <x v="5"/>
    <x v="3"/>
  </r>
  <r>
    <d v="2024-06-11T00:00:00"/>
    <x v="23"/>
    <x v="22"/>
    <x v="0"/>
    <x v="0"/>
    <n v="37.94"/>
    <n v="2"/>
    <n v="18.21"/>
    <x v="5"/>
    <x v="3"/>
  </r>
  <r>
    <d v="2024-06-11T00:00:00"/>
    <x v="23"/>
    <x v="22"/>
    <x v="0"/>
    <x v="3"/>
    <n v="18.29"/>
    <n v="6"/>
    <n v="6.63"/>
    <x v="5"/>
    <x v="3"/>
  </r>
  <r>
    <d v="2024-06-11T00:00:00"/>
    <x v="23"/>
    <x v="22"/>
    <x v="2"/>
    <x v="15"/>
    <n v="385.8"/>
    <n v="5"/>
    <n v="130.21"/>
    <x v="5"/>
    <x v="3"/>
  </r>
  <r>
    <d v="2024-06-11T00:00:00"/>
    <x v="23"/>
    <x v="22"/>
    <x v="0"/>
    <x v="2"/>
    <n v="102.96"/>
    <n v="2"/>
    <n v="1.03"/>
    <x v="5"/>
    <x v="3"/>
  </r>
  <r>
    <d v="2024-06-11T00:00:00"/>
    <x v="23"/>
    <x v="22"/>
    <x v="1"/>
    <x v="11"/>
    <n v="174.42"/>
    <n v="3"/>
    <n v="41.86"/>
    <x v="5"/>
    <x v="3"/>
  </r>
  <r>
    <d v="2024-06-11T00:00:00"/>
    <x v="368"/>
    <x v="3"/>
    <x v="0"/>
    <x v="12"/>
    <n v="61.44"/>
    <n v="3"/>
    <n v="16.59"/>
    <x v="5"/>
    <x v="3"/>
  </r>
  <r>
    <d v="2024-06-11T00:00:00"/>
    <x v="456"/>
    <x v="25"/>
    <x v="0"/>
    <x v="3"/>
    <n v="4.57"/>
    <n v="4"/>
    <n v="-3.81"/>
    <x v="5"/>
    <x v="3"/>
  </r>
  <r>
    <d v="2024-06-12T00:00:00"/>
    <x v="5"/>
    <x v="4"/>
    <x v="0"/>
    <x v="3"/>
    <n v="91.2"/>
    <n v="3"/>
    <n v="41.95"/>
    <x v="5"/>
    <x v="3"/>
  </r>
  <r>
    <d v="2024-06-12T00:00:00"/>
    <x v="5"/>
    <x v="4"/>
    <x v="1"/>
    <x v="13"/>
    <n v="452.94"/>
    <n v="3"/>
    <n v="67.94"/>
    <x v="5"/>
    <x v="3"/>
  </r>
  <r>
    <d v="2024-06-12T00:00:00"/>
    <x v="242"/>
    <x v="20"/>
    <x v="0"/>
    <x v="0"/>
    <n v="19.04"/>
    <n v="4"/>
    <n v="9.33"/>
    <x v="5"/>
    <x v="3"/>
  </r>
  <r>
    <d v="2024-06-12T00:00:00"/>
    <x v="242"/>
    <x v="20"/>
    <x v="0"/>
    <x v="3"/>
    <n v="13.13"/>
    <n v="3"/>
    <n v="4.2699999999999996"/>
    <x v="5"/>
    <x v="3"/>
  </r>
  <r>
    <d v="2024-06-12T00:00:00"/>
    <x v="242"/>
    <x v="20"/>
    <x v="0"/>
    <x v="4"/>
    <n v="64.14"/>
    <n v="3"/>
    <n v="16.68"/>
    <x v="5"/>
    <x v="3"/>
  </r>
  <r>
    <d v="2024-06-12T00:00:00"/>
    <x v="242"/>
    <x v="20"/>
    <x v="1"/>
    <x v="5"/>
    <n v="858.24"/>
    <n v="4"/>
    <n v="143.04"/>
    <x v="5"/>
    <x v="3"/>
  </r>
  <r>
    <d v="2024-06-12T00:00:00"/>
    <x v="164"/>
    <x v="16"/>
    <x v="1"/>
    <x v="8"/>
    <n v="17.09"/>
    <n v="2"/>
    <n v="1.07"/>
    <x v="5"/>
    <x v="3"/>
  </r>
  <r>
    <d v="2024-06-12T00:00:00"/>
    <x v="459"/>
    <x v="10"/>
    <x v="2"/>
    <x v="9"/>
    <n v="63.92"/>
    <n v="2"/>
    <n v="19.18"/>
    <x v="5"/>
    <x v="3"/>
  </r>
  <r>
    <d v="2024-06-12T00:00:00"/>
    <x v="417"/>
    <x v="22"/>
    <x v="2"/>
    <x v="6"/>
    <n v="71.98"/>
    <n v="3"/>
    <n v="9"/>
    <x v="5"/>
    <x v="3"/>
  </r>
  <r>
    <d v="2024-06-12T00:00:00"/>
    <x v="417"/>
    <x v="22"/>
    <x v="0"/>
    <x v="0"/>
    <n v="19.440000000000001"/>
    <n v="3"/>
    <n v="9.33"/>
    <x v="5"/>
    <x v="3"/>
  </r>
  <r>
    <d v="2024-06-12T00:00:00"/>
    <x v="350"/>
    <x v="1"/>
    <x v="1"/>
    <x v="8"/>
    <n v="8.86"/>
    <n v="3"/>
    <n v="-6.86"/>
    <x v="5"/>
    <x v="3"/>
  </r>
  <r>
    <d v="2024-06-13T00:00:00"/>
    <x v="26"/>
    <x v="1"/>
    <x v="0"/>
    <x v="2"/>
    <n v="164.74"/>
    <n v="4"/>
    <n v="-39.119999999999997"/>
    <x v="5"/>
    <x v="3"/>
  </r>
  <r>
    <d v="2024-06-13T00:00:00"/>
    <x v="26"/>
    <x v="1"/>
    <x v="1"/>
    <x v="5"/>
    <n v="470.3"/>
    <n v="7"/>
    <n v="-87.34"/>
    <x v="5"/>
    <x v="3"/>
  </r>
  <r>
    <d v="2024-06-13T00:00:00"/>
    <x v="26"/>
    <x v="1"/>
    <x v="2"/>
    <x v="6"/>
    <n v="47.98"/>
    <n v="2"/>
    <n v="6"/>
    <x v="5"/>
    <x v="3"/>
  </r>
  <r>
    <d v="2024-06-13T00:00:00"/>
    <x v="194"/>
    <x v="6"/>
    <x v="0"/>
    <x v="4"/>
    <n v="181.86"/>
    <n v="7"/>
    <n v="50.92"/>
    <x v="5"/>
    <x v="3"/>
  </r>
  <r>
    <d v="2024-06-13T00:00:00"/>
    <x v="581"/>
    <x v="22"/>
    <x v="1"/>
    <x v="5"/>
    <n v="291.14"/>
    <n v="4"/>
    <n v="-25.47"/>
    <x v="5"/>
    <x v="3"/>
  </r>
  <r>
    <d v="2024-06-15T00:00:00"/>
    <x v="786"/>
    <x v="3"/>
    <x v="2"/>
    <x v="6"/>
    <n v="47.98"/>
    <n v="3"/>
    <n v="4.8"/>
    <x v="5"/>
    <x v="3"/>
  </r>
  <r>
    <d v="2024-06-15T00:00:00"/>
    <x v="210"/>
    <x v="1"/>
    <x v="0"/>
    <x v="4"/>
    <n v="19.559999999999999"/>
    <n v="5"/>
    <n v="1.71"/>
    <x v="5"/>
    <x v="3"/>
  </r>
  <r>
    <d v="2024-06-15T00:00:00"/>
    <x v="723"/>
    <x v="3"/>
    <x v="0"/>
    <x v="4"/>
    <n v="4.26"/>
    <n v="1"/>
    <n v="1.75"/>
    <x v="5"/>
    <x v="3"/>
  </r>
  <r>
    <d v="2024-06-15T00:00:00"/>
    <x v="222"/>
    <x v="28"/>
    <x v="0"/>
    <x v="1"/>
    <n v="44.4"/>
    <n v="3"/>
    <n v="22.2"/>
    <x v="5"/>
    <x v="3"/>
  </r>
  <r>
    <d v="2024-06-15T00:00:00"/>
    <x v="222"/>
    <x v="28"/>
    <x v="0"/>
    <x v="2"/>
    <n v="84.55"/>
    <n v="5"/>
    <n v="22.83"/>
    <x v="5"/>
    <x v="3"/>
  </r>
  <r>
    <d v="2024-06-15T00:00:00"/>
    <x v="222"/>
    <x v="28"/>
    <x v="0"/>
    <x v="0"/>
    <n v="17.940000000000001"/>
    <n v="3"/>
    <n v="8.7899999999999991"/>
    <x v="5"/>
    <x v="3"/>
  </r>
  <r>
    <d v="2024-06-15T00:00:00"/>
    <x v="94"/>
    <x v="3"/>
    <x v="2"/>
    <x v="6"/>
    <n v="119.96"/>
    <n v="1"/>
    <n v="7.5"/>
    <x v="5"/>
    <x v="3"/>
  </r>
  <r>
    <d v="2024-06-15T00:00:00"/>
    <x v="93"/>
    <x v="15"/>
    <x v="2"/>
    <x v="6"/>
    <n v="239.98"/>
    <n v="3"/>
    <n v="27"/>
    <x v="5"/>
    <x v="3"/>
  </r>
  <r>
    <d v="2024-06-15T00:00:00"/>
    <x v="93"/>
    <x v="15"/>
    <x v="1"/>
    <x v="8"/>
    <n v="31.17"/>
    <n v="4"/>
    <n v="9.35"/>
    <x v="5"/>
    <x v="3"/>
  </r>
  <r>
    <d v="2024-06-15T00:00:00"/>
    <x v="93"/>
    <x v="15"/>
    <x v="1"/>
    <x v="13"/>
    <n v="120.96"/>
    <n v="2"/>
    <n v="-28.22"/>
    <x v="5"/>
    <x v="3"/>
  </r>
  <r>
    <d v="2024-06-15T00:00:00"/>
    <x v="93"/>
    <x v="15"/>
    <x v="2"/>
    <x v="6"/>
    <n v="2239.94"/>
    <n v="8"/>
    <n v="223.99"/>
    <x v="5"/>
    <x v="3"/>
  </r>
  <r>
    <d v="2024-06-15T00:00:00"/>
    <x v="93"/>
    <x v="15"/>
    <x v="0"/>
    <x v="12"/>
    <n v="76.61"/>
    <n v="8"/>
    <n v="6.7"/>
    <x v="5"/>
    <x v="3"/>
  </r>
  <r>
    <d v="2024-06-15T00:00:00"/>
    <x v="93"/>
    <x v="15"/>
    <x v="0"/>
    <x v="2"/>
    <n v="142.78"/>
    <n v="1"/>
    <n v="17.850000000000001"/>
    <x v="5"/>
    <x v="3"/>
  </r>
  <r>
    <d v="2024-06-15T00:00:00"/>
    <x v="93"/>
    <x v="15"/>
    <x v="0"/>
    <x v="0"/>
    <n v="91.36"/>
    <n v="5"/>
    <n v="29.69"/>
    <x v="5"/>
    <x v="3"/>
  </r>
  <r>
    <d v="2024-06-15T00:00:00"/>
    <x v="364"/>
    <x v="25"/>
    <x v="1"/>
    <x v="5"/>
    <n v="698.35"/>
    <n v="3"/>
    <n v="52.38"/>
    <x v="5"/>
    <x v="3"/>
  </r>
  <r>
    <d v="2024-06-15T00:00:00"/>
    <x v="364"/>
    <x v="25"/>
    <x v="1"/>
    <x v="11"/>
    <n v="77.73"/>
    <n v="2"/>
    <n v="-3.89"/>
    <x v="5"/>
    <x v="3"/>
  </r>
  <r>
    <d v="2024-06-16T00:00:00"/>
    <x v="595"/>
    <x v="25"/>
    <x v="0"/>
    <x v="4"/>
    <n v="14.02"/>
    <n v="3"/>
    <n v="4.7300000000000004"/>
    <x v="5"/>
    <x v="3"/>
  </r>
  <r>
    <d v="2024-06-16T00:00:00"/>
    <x v="264"/>
    <x v="5"/>
    <x v="1"/>
    <x v="5"/>
    <n v="301.95999999999998"/>
    <n v="2"/>
    <n v="90.59"/>
    <x v="5"/>
    <x v="3"/>
  </r>
  <r>
    <d v="2024-06-16T00:00:00"/>
    <x v="264"/>
    <x v="5"/>
    <x v="0"/>
    <x v="12"/>
    <n v="180.66"/>
    <n v="3"/>
    <n v="50.58"/>
    <x v="5"/>
    <x v="3"/>
  </r>
  <r>
    <d v="2024-06-16T00:00:00"/>
    <x v="264"/>
    <x v="5"/>
    <x v="2"/>
    <x v="6"/>
    <n v="191.98"/>
    <n v="2"/>
    <n v="51.83"/>
    <x v="5"/>
    <x v="3"/>
  </r>
  <r>
    <d v="2024-06-16T00:00:00"/>
    <x v="264"/>
    <x v="5"/>
    <x v="2"/>
    <x v="6"/>
    <n v="65.989999999999995"/>
    <n v="1"/>
    <n v="17.16"/>
    <x v="5"/>
    <x v="3"/>
  </r>
  <r>
    <d v="2024-06-16T00:00:00"/>
    <x v="350"/>
    <x v="3"/>
    <x v="1"/>
    <x v="5"/>
    <n v="1212.96"/>
    <n v="7"/>
    <n v="90.97"/>
    <x v="5"/>
    <x v="3"/>
  </r>
  <r>
    <d v="2024-06-16T00:00:00"/>
    <x v="350"/>
    <x v="3"/>
    <x v="0"/>
    <x v="0"/>
    <n v="18.54"/>
    <n v="2"/>
    <n v="8.7100000000000009"/>
    <x v="5"/>
    <x v="3"/>
  </r>
  <r>
    <d v="2024-06-16T00:00:00"/>
    <x v="314"/>
    <x v="31"/>
    <x v="0"/>
    <x v="14"/>
    <n v="16.68"/>
    <n v="2"/>
    <n v="4.34"/>
    <x v="5"/>
    <x v="3"/>
  </r>
  <r>
    <d v="2024-06-16T00:00:00"/>
    <x v="314"/>
    <x v="31"/>
    <x v="0"/>
    <x v="0"/>
    <n v="19.440000000000001"/>
    <n v="3"/>
    <n v="9.33"/>
    <x v="5"/>
    <x v="3"/>
  </r>
  <r>
    <d v="2024-06-16T00:00:00"/>
    <x v="314"/>
    <x v="31"/>
    <x v="0"/>
    <x v="0"/>
    <n v="192.16"/>
    <n v="4"/>
    <n v="92.24"/>
    <x v="5"/>
    <x v="3"/>
  </r>
  <r>
    <d v="2024-06-16T00:00:00"/>
    <x v="521"/>
    <x v="1"/>
    <x v="0"/>
    <x v="3"/>
    <n v="5.94"/>
    <n v="7"/>
    <n v="-8.9"/>
    <x v="5"/>
    <x v="3"/>
  </r>
  <r>
    <d v="2024-06-16T00:00:00"/>
    <x v="349"/>
    <x v="10"/>
    <x v="2"/>
    <x v="9"/>
    <n v="479.95"/>
    <n v="6"/>
    <n v="107.99"/>
    <x v="5"/>
    <x v="3"/>
  </r>
  <r>
    <d v="2024-06-16T00:00:00"/>
    <x v="349"/>
    <x v="10"/>
    <x v="0"/>
    <x v="4"/>
    <n v="23.92"/>
    <n v="5"/>
    <n v="1.79"/>
    <x v="5"/>
    <x v="3"/>
  </r>
  <r>
    <d v="2024-06-17T00:00:00"/>
    <x v="375"/>
    <x v="3"/>
    <x v="0"/>
    <x v="3"/>
    <n v="51.31"/>
    <n v="3"/>
    <n v="17.96"/>
    <x v="5"/>
    <x v="3"/>
  </r>
  <r>
    <d v="2024-06-17T00:00:00"/>
    <x v="413"/>
    <x v="22"/>
    <x v="1"/>
    <x v="8"/>
    <n v="155.25"/>
    <n v="3"/>
    <n v="46.58"/>
    <x v="5"/>
    <x v="3"/>
  </r>
  <r>
    <d v="2024-06-17T00:00:00"/>
    <x v="413"/>
    <x v="22"/>
    <x v="0"/>
    <x v="2"/>
    <n v="14.03"/>
    <n v="1"/>
    <n v="4.07"/>
    <x v="5"/>
    <x v="3"/>
  </r>
  <r>
    <d v="2024-06-17T00:00:00"/>
    <x v="465"/>
    <x v="1"/>
    <x v="0"/>
    <x v="0"/>
    <n v="12.22"/>
    <n v="2"/>
    <n v="4.43"/>
    <x v="5"/>
    <x v="3"/>
  </r>
  <r>
    <d v="2024-06-17T00:00:00"/>
    <x v="465"/>
    <x v="1"/>
    <x v="0"/>
    <x v="3"/>
    <n v="2.2999999999999998"/>
    <n v="4"/>
    <n v="-3.57"/>
    <x v="5"/>
    <x v="3"/>
  </r>
  <r>
    <d v="2024-06-17T00:00:00"/>
    <x v="465"/>
    <x v="1"/>
    <x v="0"/>
    <x v="3"/>
    <n v="9.36"/>
    <n v="4"/>
    <n v="-16.38"/>
    <x v="5"/>
    <x v="3"/>
  </r>
  <r>
    <d v="2024-06-17T00:00:00"/>
    <x v="371"/>
    <x v="26"/>
    <x v="0"/>
    <x v="2"/>
    <n v="146.35"/>
    <n v="3"/>
    <n v="-32.93"/>
    <x v="5"/>
    <x v="3"/>
  </r>
  <r>
    <d v="2024-06-17T00:00:00"/>
    <x v="50"/>
    <x v="20"/>
    <x v="2"/>
    <x v="15"/>
    <n v="3404.5"/>
    <n v="5"/>
    <n v="1668.21"/>
    <x v="5"/>
    <x v="3"/>
  </r>
  <r>
    <d v="2024-06-17T00:00:00"/>
    <x v="50"/>
    <x v="20"/>
    <x v="2"/>
    <x v="9"/>
    <n v="101.34"/>
    <n v="3"/>
    <n v="8.11"/>
    <x v="5"/>
    <x v="3"/>
  </r>
  <r>
    <d v="2024-06-18T00:00:00"/>
    <x v="583"/>
    <x v="3"/>
    <x v="1"/>
    <x v="11"/>
    <n v="917.92"/>
    <n v="9"/>
    <n v="75.59"/>
    <x v="5"/>
    <x v="3"/>
  </r>
  <r>
    <d v="2024-06-18T00:00:00"/>
    <x v="583"/>
    <x v="3"/>
    <x v="0"/>
    <x v="0"/>
    <n v="38.880000000000003"/>
    <n v="6"/>
    <n v="19.05"/>
    <x v="5"/>
    <x v="3"/>
  </r>
  <r>
    <d v="2024-06-18T00:00:00"/>
    <x v="646"/>
    <x v="0"/>
    <x v="0"/>
    <x v="0"/>
    <n v="74.349999999999994"/>
    <n v="3"/>
    <n v="23.24"/>
    <x v="5"/>
    <x v="3"/>
  </r>
  <r>
    <d v="2024-06-19T00:00:00"/>
    <x v="444"/>
    <x v="20"/>
    <x v="0"/>
    <x v="0"/>
    <n v="97.82"/>
    <n v="2"/>
    <n v="45.98"/>
    <x v="5"/>
    <x v="3"/>
  </r>
  <r>
    <d v="2024-06-19T00:00:00"/>
    <x v="444"/>
    <x v="20"/>
    <x v="2"/>
    <x v="9"/>
    <n v="103.12"/>
    <n v="8"/>
    <n v="10.31"/>
    <x v="5"/>
    <x v="3"/>
  </r>
  <r>
    <d v="2024-06-19T00:00:00"/>
    <x v="251"/>
    <x v="0"/>
    <x v="0"/>
    <x v="14"/>
    <n v="11.18"/>
    <n v="1"/>
    <n v="0.84"/>
    <x v="5"/>
    <x v="3"/>
  </r>
  <r>
    <d v="2024-06-19T00:00:00"/>
    <x v="251"/>
    <x v="0"/>
    <x v="0"/>
    <x v="2"/>
    <n v="153.58000000000001"/>
    <n v="2"/>
    <n v="-32.64"/>
    <x v="5"/>
    <x v="3"/>
  </r>
  <r>
    <d v="2024-06-19T00:00:00"/>
    <x v="456"/>
    <x v="0"/>
    <x v="0"/>
    <x v="12"/>
    <n v="2.2599999999999998"/>
    <n v="1"/>
    <n v="-5.21"/>
    <x v="5"/>
    <x v="3"/>
  </r>
  <r>
    <d v="2024-06-19T00:00:00"/>
    <x v="456"/>
    <x v="0"/>
    <x v="0"/>
    <x v="12"/>
    <n v="0.44"/>
    <n v="1"/>
    <n v="-1.1100000000000001"/>
    <x v="5"/>
    <x v="3"/>
  </r>
  <r>
    <d v="2024-06-19T00:00:00"/>
    <x v="456"/>
    <x v="0"/>
    <x v="0"/>
    <x v="0"/>
    <n v="146.18"/>
    <n v="8"/>
    <n v="47.51"/>
    <x v="5"/>
    <x v="3"/>
  </r>
  <r>
    <d v="2024-06-19T00:00:00"/>
    <x v="121"/>
    <x v="10"/>
    <x v="1"/>
    <x v="5"/>
    <n v="760.12"/>
    <n v="6"/>
    <n v="-43.44"/>
    <x v="5"/>
    <x v="3"/>
  </r>
  <r>
    <d v="2024-06-19T00:00:00"/>
    <x v="121"/>
    <x v="10"/>
    <x v="1"/>
    <x v="8"/>
    <n v="38.78"/>
    <n v="3"/>
    <n v="7.27"/>
    <x v="5"/>
    <x v="3"/>
  </r>
  <r>
    <d v="2024-06-19T00:00:00"/>
    <x v="121"/>
    <x v="10"/>
    <x v="2"/>
    <x v="9"/>
    <n v="122.33"/>
    <n v="9"/>
    <n v="1.53"/>
    <x v="5"/>
    <x v="3"/>
  </r>
  <r>
    <d v="2024-06-19T00:00:00"/>
    <x v="35"/>
    <x v="0"/>
    <x v="0"/>
    <x v="3"/>
    <n v="6.89"/>
    <n v="3"/>
    <n v="-11.02"/>
    <x v="5"/>
    <x v="3"/>
  </r>
  <r>
    <d v="2024-06-19T00:00:00"/>
    <x v="35"/>
    <x v="0"/>
    <x v="1"/>
    <x v="13"/>
    <n v="457.49"/>
    <n v="3"/>
    <n v="-84.96"/>
    <x v="5"/>
    <x v="3"/>
  </r>
  <r>
    <d v="2024-06-19T00:00:00"/>
    <x v="763"/>
    <x v="20"/>
    <x v="0"/>
    <x v="2"/>
    <n v="129.30000000000001"/>
    <n v="2"/>
    <n v="6.47"/>
    <x v="5"/>
    <x v="3"/>
  </r>
  <r>
    <d v="2024-06-19T00:00:00"/>
    <x v="763"/>
    <x v="20"/>
    <x v="0"/>
    <x v="3"/>
    <n v="11.57"/>
    <n v="3"/>
    <n v="3.76"/>
    <x v="5"/>
    <x v="3"/>
  </r>
  <r>
    <d v="2024-06-19T00:00:00"/>
    <x v="208"/>
    <x v="3"/>
    <x v="1"/>
    <x v="8"/>
    <n v="50.32"/>
    <n v="4"/>
    <n v="21.13"/>
    <x v="5"/>
    <x v="3"/>
  </r>
  <r>
    <d v="2024-06-19T00:00:00"/>
    <x v="208"/>
    <x v="3"/>
    <x v="0"/>
    <x v="0"/>
    <n v="24.56"/>
    <n v="2"/>
    <n v="11.54"/>
    <x v="5"/>
    <x v="3"/>
  </r>
  <r>
    <d v="2024-06-20T00:00:00"/>
    <x v="546"/>
    <x v="23"/>
    <x v="2"/>
    <x v="9"/>
    <n v="239.97"/>
    <n v="3"/>
    <n v="71.989999999999995"/>
    <x v="5"/>
    <x v="3"/>
  </r>
  <r>
    <d v="2024-06-20T00:00:00"/>
    <x v="546"/>
    <x v="23"/>
    <x v="0"/>
    <x v="1"/>
    <n v="9.82"/>
    <n v="2"/>
    <n v="4.8099999999999996"/>
    <x v="5"/>
    <x v="3"/>
  </r>
  <r>
    <d v="2024-06-20T00:00:00"/>
    <x v="617"/>
    <x v="20"/>
    <x v="2"/>
    <x v="9"/>
    <n v="149.94999999999999"/>
    <n v="5"/>
    <n v="15"/>
    <x v="5"/>
    <x v="3"/>
  </r>
  <r>
    <d v="2024-06-20T00:00:00"/>
    <x v="617"/>
    <x v="20"/>
    <x v="0"/>
    <x v="3"/>
    <n v="51.31"/>
    <n v="3"/>
    <n v="18.600000000000001"/>
    <x v="5"/>
    <x v="3"/>
  </r>
  <r>
    <d v="2024-06-20T00:00:00"/>
    <x v="43"/>
    <x v="10"/>
    <x v="0"/>
    <x v="0"/>
    <n v="31.1"/>
    <n v="6"/>
    <n v="10.89"/>
    <x v="5"/>
    <x v="3"/>
  </r>
  <r>
    <d v="2024-06-20T00:00:00"/>
    <x v="43"/>
    <x v="10"/>
    <x v="0"/>
    <x v="4"/>
    <n v="5.25"/>
    <n v="2"/>
    <n v="0.59"/>
    <x v="5"/>
    <x v="3"/>
  </r>
  <r>
    <d v="2024-06-20T00:00:00"/>
    <x v="137"/>
    <x v="16"/>
    <x v="0"/>
    <x v="2"/>
    <n v="4.46"/>
    <n v="1"/>
    <n v="0.33"/>
    <x v="5"/>
    <x v="3"/>
  </r>
  <r>
    <d v="2024-06-20T00:00:00"/>
    <x v="194"/>
    <x v="6"/>
    <x v="0"/>
    <x v="0"/>
    <n v="32.4"/>
    <n v="5"/>
    <n v="15.55"/>
    <x v="5"/>
    <x v="3"/>
  </r>
  <r>
    <d v="2024-06-20T00:00:00"/>
    <x v="194"/>
    <x v="6"/>
    <x v="2"/>
    <x v="6"/>
    <n v="503.96"/>
    <n v="4"/>
    <n v="125.99"/>
    <x v="5"/>
    <x v="3"/>
  </r>
  <r>
    <d v="2024-06-21T00:00:00"/>
    <x v="83"/>
    <x v="10"/>
    <x v="1"/>
    <x v="8"/>
    <n v="17.920000000000002"/>
    <n v="5"/>
    <n v="2.46"/>
    <x v="5"/>
    <x v="3"/>
  </r>
  <r>
    <d v="2024-06-21T00:00:00"/>
    <x v="83"/>
    <x v="10"/>
    <x v="0"/>
    <x v="3"/>
    <n v="41.26"/>
    <n v="6"/>
    <n v="-34.380000000000003"/>
    <x v="5"/>
    <x v="3"/>
  </r>
  <r>
    <d v="2024-06-21T00:00:00"/>
    <x v="469"/>
    <x v="48"/>
    <x v="0"/>
    <x v="3"/>
    <n v="82.4"/>
    <n v="5"/>
    <n v="40.380000000000003"/>
    <x v="5"/>
    <x v="3"/>
  </r>
  <r>
    <d v="2024-06-21T00:00:00"/>
    <x v="469"/>
    <x v="48"/>
    <x v="0"/>
    <x v="3"/>
    <n v="6.24"/>
    <n v="2"/>
    <n v="3.06"/>
    <x v="5"/>
    <x v="3"/>
  </r>
  <r>
    <d v="2024-06-21T00:00:00"/>
    <x v="469"/>
    <x v="48"/>
    <x v="0"/>
    <x v="0"/>
    <n v="447.84"/>
    <n v="8"/>
    <n v="219.44"/>
    <x v="5"/>
    <x v="3"/>
  </r>
  <r>
    <d v="2024-06-22T00:00:00"/>
    <x v="284"/>
    <x v="16"/>
    <x v="0"/>
    <x v="10"/>
    <n v="37.61"/>
    <n v="3"/>
    <n v="12.69"/>
    <x v="5"/>
    <x v="3"/>
  </r>
  <r>
    <d v="2024-06-22T00:00:00"/>
    <x v="485"/>
    <x v="2"/>
    <x v="0"/>
    <x v="3"/>
    <n v="10.33"/>
    <n v="3"/>
    <n v="-7.58"/>
    <x v="5"/>
    <x v="3"/>
  </r>
  <r>
    <d v="2024-06-22T00:00:00"/>
    <x v="485"/>
    <x v="2"/>
    <x v="0"/>
    <x v="3"/>
    <n v="31.16"/>
    <n v="5"/>
    <n v="-23.89"/>
    <x v="5"/>
    <x v="3"/>
  </r>
  <r>
    <d v="2024-06-22T00:00:00"/>
    <x v="485"/>
    <x v="2"/>
    <x v="0"/>
    <x v="2"/>
    <n v="8.93"/>
    <n v="2"/>
    <n v="0.67"/>
    <x v="5"/>
    <x v="3"/>
  </r>
  <r>
    <d v="2024-06-22T00:00:00"/>
    <x v="519"/>
    <x v="1"/>
    <x v="0"/>
    <x v="3"/>
    <n v="3.04"/>
    <n v="3"/>
    <n v="-5.01"/>
    <x v="5"/>
    <x v="3"/>
  </r>
  <r>
    <d v="2024-06-22T00:00:00"/>
    <x v="81"/>
    <x v="14"/>
    <x v="1"/>
    <x v="5"/>
    <n v="487.96"/>
    <n v="2"/>
    <n v="146.38999999999999"/>
    <x v="5"/>
    <x v="3"/>
  </r>
  <r>
    <d v="2024-06-24T00:00:00"/>
    <x v="337"/>
    <x v="10"/>
    <x v="0"/>
    <x v="0"/>
    <n v="21.74"/>
    <n v="3"/>
    <n v="6.8"/>
    <x v="5"/>
    <x v="3"/>
  </r>
  <r>
    <d v="2024-06-24T00:00:00"/>
    <x v="740"/>
    <x v="3"/>
    <x v="0"/>
    <x v="4"/>
    <n v="95.92"/>
    <n v="8"/>
    <n v="25.9"/>
    <x v="5"/>
    <x v="3"/>
  </r>
  <r>
    <d v="2024-06-24T00:00:00"/>
    <x v="62"/>
    <x v="3"/>
    <x v="0"/>
    <x v="4"/>
    <n v="385.6"/>
    <n v="8"/>
    <n v="111.82"/>
    <x v="5"/>
    <x v="3"/>
  </r>
  <r>
    <d v="2024-06-24T00:00:00"/>
    <x v="62"/>
    <x v="3"/>
    <x v="0"/>
    <x v="4"/>
    <n v="35.82"/>
    <n v="9"/>
    <n v="11.82"/>
    <x v="5"/>
    <x v="3"/>
  </r>
  <r>
    <d v="2024-06-24T00:00:00"/>
    <x v="208"/>
    <x v="20"/>
    <x v="1"/>
    <x v="8"/>
    <n v="276.69"/>
    <n v="3"/>
    <n v="49.8"/>
    <x v="5"/>
    <x v="3"/>
  </r>
  <r>
    <d v="2024-06-24T00:00:00"/>
    <x v="208"/>
    <x v="20"/>
    <x v="1"/>
    <x v="5"/>
    <n v="172.76"/>
    <n v="2"/>
    <n v="32.630000000000003"/>
    <x v="5"/>
    <x v="3"/>
  </r>
  <r>
    <d v="2024-06-24T00:00:00"/>
    <x v="543"/>
    <x v="1"/>
    <x v="0"/>
    <x v="3"/>
    <n v="182.99"/>
    <n v="3"/>
    <n v="-320.24"/>
    <x v="5"/>
    <x v="3"/>
  </r>
  <r>
    <d v="2024-06-24T00:00:00"/>
    <x v="543"/>
    <x v="1"/>
    <x v="0"/>
    <x v="0"/>
    <n v="10.27"/>
    <n v="3"/>
    <n v="3.21"/>
    <x v="5"/>
    <x v="3"/>
  </r>
  <r>
    <d v="2024-06-24T00:00:00"/>
    <x v="73"/>
    <x v="3"/>
    <x v="0"/>
    <x v="7"/>
    <n v="2.88"/>
    <n v="1"/>
    <n v="1.35"/>
    <x v="5"/>
    <x v="3"/>
  </r>
  <r>
    <d v="2024-06-24T00:00:00"/>
    <x v="256"/>
    <x v="43"/>
    <x v="0"/>
    <x v="3"/>
    <n v="102.93"/>
    <n v="3"/>
    <n v="48.38"/>
    <x v="5"/>
    <x v="3"/>
  </r>
  <r>
    <d v="2024-06-25T00:00:00"/>
    <x v="770"/>
    <x v="11"/>
    <x v="0"/>
    <x v="1"/>
    <n v="71.040000000000006"/>
    <n v="6"/>
    <n v="26.64"/>
    <x v="5"/>
    <x v="3"/>
  </r>
  <r>
    <d v="2024-06-25T00:00:00"/>
    <x v="770"/>
    <x v="11"/>
    <x v="0"/>
    <x v="4"/>
    <n v="5.34"/>
    <n v="2"/>
    <n v="0.73"/>
    <x v="5"/>
    <x v="3"/>
  </r>
  <r>
    <d v="2024-06-25T00:00:00"/>
    <x v="770"/>
    <x v="11"/>
    <x v="0"/>
    <x v="7"/>
    <n v="11.3"/>
    <n v="3"/>
    <n v="-2.12"/>
    <x v="5"/>
    <x v="3"/>
  </r>
  <r>
    <d v="2024-06-25T00:00:00"/>
    <x v="481"/>
    <x v="22"/>
    <x v="1"/>
    <x v="13"/>
    <n v="871.4"/>
    <n v="4"/>
    <n v="148.13999999999999"/>
    <x v="5"/>
    <x v="3"/>
  </r>
  <r>
    <d v="2024-06-25T00:00:00"/>
    <x v="667"/>
    <x v="1"/>
    <x v="2"/>
    <x v="6"/>
    <n v="148.47999999999999"/>
    <n v="2"/>
    <n v="16.7"/>
    <x v="5"/>
    <x v="3"/>
  </r>
  <r>
    <d v="2024-06-25T00:00:00"/>
    <x v="417"/>
    <x v="20"/>
    <x v="1"/>
    <x v="11"/>
    <n v="400.78"/>
    <n v="1"/>
    <n v="-5.01"/>
    <x v="5"/>
    <x v="3"/>
  </r>
  <r>
    <d v="2024-06-26T00:00:00"/>
    <x v="635"/>
    <x v="3"/>
    <x v="0"/>
    <x v="2"/>
    <n v="83.76"/>
    <n v="12"/>
    <n v="1.68"/>
    <x v="5"/>
    <x v="3"/>
  </r>
  <r>
    <d v="2024-06-26T00:00:00"/>
    <x v="128"/>
    <x v="14"/>
    <x v="0"/>
    <x v="0"/>
    <n v="4.54"/>
    <n v="1"/>
    <n v="2.04"/>
    <x v="5"/>
    <x v="3"/>
  </r>
  <r>
    <d v="2024-06-26T00:00:00"/>
    <x v="128"/>
    <x v="14"/>
    <x v="0"/>
    <x v="4"/>
    <n v="15.92"/>
    <n v="4"/>
    <n v="5.41"/>
    <x v="5"/>
    <x v="3"/>
  </r>
  <r>
    <d v="2024-06-26T00:00:00"/>
    <x v="128"/>
    <x v="14"/>
    <x v="2"/>
    <x v="6"/>
    <n v="543.91999999999996"/>
    <n v="8"/>
    <n v="135.97999999999999"/>
    <x v="5"/>
    <x v="3"/>
  </r>
  <r>
    <d v="2024-06-26T00:00:00"/>
    <x v="674"/>
    <x v="18"/>
    <x v="1"/>
    <x v="8"/>
    <n v="526.45000000000005"/>
    <n v="5"/>
    <n v="31.59"/>
    <x v="5"/>
    <x v="3"/>
  </r>
  <r>
    <d v="2024-06-26T00:00:00"/>
    <x v="377"/>
    <x v="26"/>
    <x v="2"/>
    <x v="9"/>
    <n v="431.93"/>
    <n v="9"/>
    <n v="64.790000000000006"/>
    <x v="5"/>
    <x v="3"/>
  </r>
  <r>
    <d v="2024-06-26T00:00:00"/>
    <x v="236"/>
    <x v="20"/>
    <x v="2"/>
    <x v="6"/>
    <n v="239.97"/>
    <n v="3"/>
    <n v="67.19"/>
    <x v="5"/>
    <x v="3"/>
  </r>
  <r>
    <d v="2024-06-26T00:00:00"/>
    <x v="393"/>
    <x v="2"/>
    <x v="2"/>
    <x v="6"/>
    <n v="358.2"/>
    <n v="3"/>
    <n v="41.79"/>
    <x v="5"/>
    <x v="3"/>
  </r>
  <r>
    <d v="2024-06-26T00:00:00"/>
    <x v="393"/>
    <x v="2"/>
    <x v="2"/>
    <x v="6"/>
    <n v="545.91999999999996"/>
    <n v="14"/>
    <n v="72.790000000000006"/>
    <x v="5"/>
    <x v="3"/>
  </r>
  <r>
    <d v="2024-06-26T00:00:00"/>
    <x v="696"/>
    <x v="16"/>
    <x v="0"/>
    <x v="1"/>
    <n v="13.87"/>
    <n v="6"/>
    <n v="4.68"/>
    <x v="5"/>
    <x v="3"/>
  </r>
  <r>
    <d v="2024-06-26T00:00:00"/>
    <x v="696"/>
    <x v="16"/>
    <x v="1"/>
    <x v="5"/>
    <n v="273.55"/>
    <n v="3"/>
    <n v="-13.68"/>
    <x v="5"/>
    <x v="3"/>
  </r>
  <r>
    <d v="2024-06-26T00:00:00"/>
    <x v="445"/>
    <x v="20"/>
    <x v="0"/>
    <x v="2"/>
    <n v="272.94"/>
    <n v="3"/>
    <n v="0"/>
    <x v="5"/>
    <x v="3"/>
  </r>
  <r>
    <d v="2024-06-26T00:00:00"/>
    <x v="134"/>
    <x v="20"/>
    <x v="0"/>
    <x v="3"/>
    <n v="102.37"/>
    <n v="2"/>
    <n v="37.11"/>
    <x v="5"/>
    <x v="3"/>
  </r>
  <r>
    <d v="2024-06-26T00:00:00"/>
    <x v="134"/>
    <x v="20"/>
    <x v="0"/>
    <x v="14"/>
    <n v="28.4"/>
    <n v="5"/>
    <n v="8.24"/>
    <x v="5"/>
    <x v="3"/>
  </r>
  <r>
    <d v="2024-06-26T00:00:00"/>
    <x v="134"/>
    <x v="20"/>
    <x v="0"/>
    <x v="2"/>
    <n v="713.88"/>
    <n v="4"/>
    <n v="214.16"/>
    <x v="5"/>
    <x v="3"/>
  </r>
  <r>
    <d v="2024-06-26T00:00:00"/>
    <x v="134"/>
    <x v="20"/>
    <x v="0"/>
    <x v="0"/>
    <n v="68.52"/>
    <n v="3"/>
    <n v="31.52"/>
    <x v="5"/>
    <x v="3"/>
  </r>
  <r>
    <d v="2024-06-27T00:00:00"/>
    <x v="415"/>
    <x v="20"/>
    <x v="1"/>
    <x v="5"/>
    <n v="191.65"/>
    <n v="3"/>
    <n v="31.94"/>
    <x v="5"/>
    <x v="3"/>
  </r>
  <r>
    <d v="2024-06-27T00:00:00"/>
    <x v="217"/>
    <x v="40"/>
    <x v="0"/>
    <x v="0"/>
    <n v="20.07"/>
    <n v="3"/>
    <n v="9.23"/>
    <x v="5"/>
    <x v="3"/>
  </r>
  <r>
    <d v="2024-06-27T00:00:00"/>
    <x v="203"/>
    <x v="22"/>
    <x v="0"/>
    <x v="0"/>
    <n v="19.440000000000001"/>
    <n v="3"/>
    <n v="9.33"/>
    <x v="5"/>
    <x v="3"/>
  </r>
  <r>
    <d v="2024-06-27T00:00:00"/>
    <x v="203"/>
    <x v="22"/>
    <x v="1"/>
    <x v="8"/>
    <n v="126.3"/>
    <n v="3"/>
    <n v="40.42"/>
    <x v="5"/>
    <x v="3"/>
  </r>
  <r>
    <d v="2024-06-27T00:00:00"/>
    <x v="203"/>
    <x v="22"/>
    <x v="2"/>
    <x v="9"/>
    <n v="1287.45"/>
    <n v="5"/>
    <n v="244.62"/>
    <x v="5"/>
    <x v="3"/>
  </r>
  <r>
    <d v="2024-06-29T00:00:00"/>
    <x v="78"/>
    <x v="3"/>
    <x v="0"/>
    <x v="2"/>
    <n v="1295.78"/>
    <n v="2"/>
    <n v="310.99"/>
    <x v="5"/>
    <x v="3"/>
  </r>
  <r>
    <d v="2024-06-29T00:00:00"/>
    <x v="116"/>
    <x v="28"/>
    <x v="0"/>
    <x v="12"/>
    <n v="362.94"/>
    <n v="3"/>
    <n v="90.74"/>
    <x v="5"/>
    <x v="3"/>
  </r>
  <r>
    <d v="2024-06-29T00:00:00"/>
    <x v="116"/>
    <x v="28"/>
    <x v="0"/>
    <x v="3"/>
    <n v="11.54"/>
    <n v="2"/>
    <n v="5.77"/>
    <x v="5"/>
    <x v="3"/>
  </r>
  <r>
    <d v="2024-06-29T00:00:00"/>
    <x v="189"/>
    <x v="3"/>
    <x v="0"/>
    <x v="3"/>
    <n v="312.55"/>
    <n v="9"/>
    <n v="101.58"/>
    <x v="5"/>
    <x v="3"/>
  </r>
  <r>
    <d v="2024-06-29T00:00:00"/>
    <x v="452"/>
    <x v="0"/>
    <x v="0"/>
    <x v="0"/>
    <n v="5.18"/>
    <n v="1"/>
    <n v="1.81"/>
    <x v="5"/>
    <x v="3"/>
  </r>
  <r>
    <d v="2024-06-29T00:00:00"/>
    <x v="494"/>
    <x v="3"/>
    <x v="0"/>
    <x v="3"/>
    <n v="895.92"/>
    <n v="5"/>
    <n v="302.37"/>
    <x v="5"/>
    <x v="3"/>
  </r>
  <r>
    <d v="2024-06-29T00:00:00"/>
    <x v="494"/>
    <x v="3"/>
    <x v="0"/>
    <x v="2"/>
    <n v="130.71"/>
    <n v="3"/>
    <n v="39.21"/>
    <x v="5"/>
    <x v="3"/>
  </r>
  <r>
    <d v="2024-06-29T00:00:00"/>
    <x v="494"/>
    <x v="3"/>
    <x v="0"/>
    <x v="4"/>
    <n v="11.68"/>
    <n v="2"/>
    <n v="3.04"/>
    <x v="5"/>
    <x v="3"/>
  </r>
  <r>
    <d v="2024-06-29T00:00:00"/>
    <x v="494"/>
    <x v="3"/>
    <x v="2"/>
    <x v="9"/>
    <n v="62.31"/>
    <n v="3"/>
    <n v="22.43"/>
    <x v="5"/>
    <x v="3"/>
  </r>
  <r>
    <d v="2024-06-29T00:00:00"/>
    <x v="696"/>
    <x v="37"/>
    <x v="1"/>
    <x v="11"/>
    <n v="638.82000000000005"/>
    <n v="9"/>
    <n v="185.26"/>
    <x v="5"/>
    <x v="3"/>
  </r>
  <r>
    <d v="2024-06-29T00:00:00"/>
    <x v="696"/>
    <x v="37"/>
    <x v="0"/>
    <x v="14"/>
    <n v="30.69"/>
    <n v="3"/>
    <n v="7.98"/>
    <x v="5"/>
    <x v="3"/>
  </r>
  <r>
    <d v="2024-06-29T00:00:00"/>
    <x v="696"/>
    <x v="37"/>
    <x v="1"/>
    <x v="8"/>
    <n v="25.16"/>
    <n v="2"/>
    <n v="8.5500000000000007"/>
    <x v="5"/>
    <x v="3"/>
  </r>
  <r>
    <d v="2024-06-29T00:00:00"/>
    <x v="297"/>
    <x v="0"/>
    <x v="0"/>
    <x v="12"/>
    <n v="21.39"/>
    <n v="2"/>
    <n v="-54.55"/>
    <x v="5"/>
    <x v="3"/>
  </r>
  <r>
    <d v="2024-06-29T00:00:00"/>
    <x v="297"/>
    <x v="0"/>
    <x v="1"/>
    <x v="13"/>
    <n v="307.31"/>
    <n v="3"/>
    <n v="-39.51"/>
    <x v="5"/>
    <x v="3"/>
  </r>
  <r>
    <d v="2024-06-29T00:00:00"/>
    <x v="297"/>
    <x v="0"/>
    <x v="1"/>
    <x v="11"/>
    <n v="410"/>
    <n v="3"/>
    <n v="-96.47"/>
    <x v="5"/>
    <x v="3"/>
  </r>
  <r>
    <d v="2024-06-30T00:00:00"/>
    <x v="665"/>
    <x v="17"/>
    <x v="0"/>
    <x v="3"/>
    <n v="75.790000000000006"/>
    <n v="3"/>
    <n v="25.58"/>
    <x v="5"/>
    <x v="3"/>
  </r>
  <r>
    <d v="2024-06-30T00:00:00"/>
    <x v="320"/>
    <x v="20"/>
    <x v="1"/>
    <x v="13"/>
    <n v="1044.6300000000001"/>
    <n v="5"/>
    <n v="-295.98"/>
    <x v="5"/>
    <x v="3"/>
  </r>
  <r>
    <d v="2024-06-30T00:00:00"/>
    <x v="565"/>
    <x v="20"/>
    <x v="0"/>
    <x v="2"/>
    <n v="248.57"/>
    <n v="7"/>
    <n v="67.11"/>
    <x v="5"/>
    <x v="3"/>
  </r>
  <r>
    <d v="2024-06-30T00:00:00"/>
    <x v="565"/>
    <x v="20"/>
    <x v="1"/>
    <x v="8"/>
    <n v="22.23"/>
    <n v="1"/>
    <n v="9.7799999999999994"/>
    <x v="5"/>
    <x v="3"/>
  </r>
  <r>
    <d v="2024-06-30T00:00:00"/>
    <x v="292"/>
    <x v="1"/>
    <x v="2"/>
    <x v="6"/>
    <n v="1001.58"/>
    <n v="2"/>
    <n v="125.2"/>
    <x v="5"/>
    <x v="3"/>
  </r>
  <r>
    <d v="2024-06-30T00:00:00"/>
    <x v="292"/>
    <x v="1"/>
    <x v="1"/>
    <x v="5"/>
    <n v="569.05999999999995"/>
    <n v="3"/>
    <n v="-178.85"/>
    <x v="5"/>
    <x v="3"/>
  </r>
  <r>
    <d v="2024-06-30T00:00:00"/>
    <x v="292"/>
    <x v="1"/>
    <x v="1"/>
    <x v="8"/>
    <n v="14.22"/>
    <n v="2"/>
    <n v="-10.31"/>
    <x v="5"/>
    <x v="3"/>
  </r>
  <r>
    <d v="2024-06-30T00:00:00"/>
    <x v="762"/>
    <x v="15"/>
    <x v="1"/>
    <x v="8"/>
    <n v="19.52"/>
    <n v="2"/>
    <n v="5.37"/>
    <x v="5"/>
    <x v="3"/>
  </r>
  <r>
    <d v="2024-06-30T00:00:00"/>
    <x v="405"/>
    <x v="3"/>
    <x v="1"/>
    <x v="11"/>
    <n v="436"/>
    <n v="3"/>
    <n v="5.13"/>
    <x v="5"/>
    <x v="3"/>
  </r>
  <r>
    <d v="2024-06-30T00:00:00"/>
    <x v="426"/>
    <x v="3"/>
    <x v="0"/>
    <x v="0"/>
    <n v="204.95"/>
    <n v="5"/>
    <n v="100.43"/>
    <x v="5"/>
    <x v="3"/>
  </r>
  <r>
    <d v="2024-06-30T00:00:00"/>
    <x v="37"/>
    <x v="20"/>
    <x v="0"/>
    <x v="2"/>
    <n v="1085.42"/>
    <n v="7"/>
    <n v="282.20999999999998"/>
    <x v="5"/>
    <x v="3"/>
  </r>
  <r>
    <d v="2024-07-01T00:00:00"/>
    <x v="432"/>
    <x v="18"/>
    <x v="0"/>
    <x v="2"/>
    <n v="443.92"/>
    <n v="4"/>
    <n v="13.32"/>
    <x v="6"/>
    <x v="3"/>
  </r>
  <r>
    <d v="2024-07-01T00:00:00"/>
    <x v="432"/>
    <x v="18"/>
    <x v="0"/>
    <x v="3"/>
    <n v="169.99"/>
    <n v="1"/>
    <n v="78.2"/>
    <x v="6"/>
    <x v="3"/>
  </r>
  <r>
    <d v="2024-07-01T00:00:00"/>
    <x v="432"/>
    <x v="18"/>
    <x v="0"/>
    <x v="0"/>
    <n v="25.92"/>
    <n v="4"/>
    <n v="12.44"/>
    <x v="6"/>
    <x v="3"/>
  </r>
  <r>
    <d v="2024-07-02T00:00:00"/>
    <x v="303"/>
    <x v="0"/>
    <x v="0"/>
    <x v="0"/>
    <n v="163.96"/>
    <n v="5"/>
    <n v="59.44"/>
    <x v="6"/>
    <x v="3"/>
  </r>
  <r>
    <d v="2024-07-02T00:00:00"/>
    <x v="303"/>
    <x v="0"/>
    <x v="0"/>
    <x v="3"/>
    <n v="5.23"/>
    <n v="4"/>
    <n v="-8.11"/>
    <x v="6"/>
    <x v="3"/>
  </r>
  <r>
    <d v="2024-07-03T00:00:00"/>
    <x v="787"/>
    <x v="4"/>
    <x v="1"/>
    <x v="8"/>
    <n v="23.99"/>
    <n v="1"/>
    <n v="5.52"/>
    <x v="6"/>
    <x v="3"/>
  </r>
  <r>
    <d v="2024-07-03T00:00:00"/>
    <x v="787"/>
    <x v="4"/>
    <x v="2"/>
    <x v="6"/>
    <n v="287.97000000000003"/>
    <n v="3"/>
    <n v="77.75"/>
    <x v="6"/>
    <x v="3"/>
  </r>
  <r>
    <d v="2024-07-03T00:00:00"/>
    <x v="598"/>
    <x v="25"/>
    <x v="0"/>
    <x v="4"/>
    <n v="9.5500000000000007"/>
    <n v="3"/>
    <n v="1.55"/>
    <x v="6"/>
    <x v="3"/>
  </r>
  <r>
    <d v="2024-07-03T00:00:00"/>
    <x v="122"/>
    <x v="0"/>
    <x v="2"/>
    <x v="6"/>
    <n v="167.97"/>
    <n v="4"/>
    <n v="62.99"/>
    <x v="6"/>
    <x v="3"/>
  </r>
  <r>
    <d v="2024-07-03T00:00:00"/>
    <x v="136"/>
    <x v="0"/>
    <x v="0"/>
    <x v="0"/>
    <n v="273.89999999999998"/>
    <n v="7"/>
    <n v="92.44"/>
    <x v="6"/>
    <x v="3"/>
  </r>
  <r>
    <d v="2024-07-03T00:00:00"/>
    <x v="136"/>
    <x v="0"/>
    <x v="2"/>
    <x v="15"/>
    <n v="597.13"/>
    <n v="3"/>
    <n v="49.76"/>
    <x v="6"/>
    <x v="3"/>
  </r>
  <r>
    <d v="2024-07-03T00:00:00"/>
    <x v="103"/>
    <x v="31"/>
    <x v="1"/>
    <x v="8"/>
    <n v="545.85"/>
    <n v="9"/>
    <n v="114.63"/>
    <x v="6"/>
    <x v="3"/>
  </r>
  <r>
    <d v="2024-07-03T00:00:00"/>
    <x v="381"/>
    <x v="10"/>
    <x v="0"/>
    <x v="0"/>
    <n v="32.9"/>
    <n v="4"/>
    <n v="11.1"/>
    <x v="6"/>
    <x v="3"/>
  </r>
  <r>
    <d v="2024-07-03T00:00:00"/>
    <x v="381"/>
    <x v="10"/>
    <x v="1"/>
    <x v="13"/>
    <n v="215.15"/>
    <n v="2"/>
    <n v="-103.99"/>
    <x v="6"/>
    <x v="3"/>
  </r>
  <r>
    <d v="2024-07-03T00:00:00"/>
    <x v="381"/>
    <x v="10"/>
    <x v="0"/>
    <x v="0"/>
    <n v="30.96"/>
    <n v="6"/>
    <n v="11.22"/>
    <x v="6"/>
    <x v="3"/>
  </r>
  <r>
    <d v="2024-07-03T00:00:00"/>
    <x v="412"/>
    <x v="22"/>
    <x v="2"/>
    <x v="9"/>
    <n v="59.98"/>
    <n v="2"/>
    <n v="26.39"/>
    <x v="6"/>
    <x v="3"/>
  </r>
  <r>
    <d v="2024-07-03T00:00:00"/>
    <x v="412"/>
    <x v="22"/>
    <x v="2"/>
    <x v="15"/>
    <n v="2395.1999999999998"/>
    <n v="6"/>
    <n v="209.58"/>
    <x v="6"/>
    <x v="3"/>
  </r>
  <r>
    <d v="2024-07-03T00:00:00"/>
    <x v="412"/>
    <x v="22"/>
    <x v="2"/>
    <x v="9"/>
    <n v="1687.8"/>
    <n v="4"/>
    <n v="742.63"/>
    <x v="6"/>
    <x v="3"/>
  </r>
  <r>
    <d v="2024-07-03T00:00:00"/>
    <x v="412"/>
    <x v="22"/>
    <x v="2"/>
    <x v="6"/>
    <n v="7.99"/>
    <n v="1"/>
    <n v="2.7"/>
    <x v="6"/>
    <x v="3"/>
  </r>
  <r>
    <d v="2024-07-03T00:00:00"/>
    <x v="365"/>
    <x v="32"/>
    <x v="2"/>
    <x v="9"/>
    <n v="258.89999999999998"/>
    <n v="10"/>
    <n v="93.2"/>
    <x v="6"/>
    <x v="3"/>
  </r>
  <r>
    <d v="2024-07-03T00:00:00"/>
    <x v="365"/>
    <x v="32"/>
    <x v="0"/>
    <x v="0"/>
    <n v="24.56"/>
    <n v="2"/>
    <n v="11.54"/>
    <x v="6"/>
    <x v="3"/>
  </r>
  <r>
    <d v="2024-07-03T00:00:00"/>
    <x v="337"/>
    <x v="3"/>
    <x v="1"/>
    <x v="8"/>
    <n v="129.38999999999999"/>
    <n v="3"/>
    <n v="54.34"/>
    <x v="6"/>
    <x v="3"/>
  </r>
  <r>
    <d v="2024-07-03T00:00:00"/>
    <x v="122"/>
    <x v="3"/>
    <x v="0"/>
    <x v="2"/>
    <n v="87.92"/>
    <n v="4"/>
    <n v="0.88"/>
    <x v="6"/>
    <x v="3"/>
  </r>
  <r>
    <d v="2024-07-03T00:00:00"/>
    <x v="627"/>
    <x v="25"/>
    <x v="2"/>
    <x v="9"/>
    <n v="24"/>
    <n v="2"/>
    <n v="-2.7"/>
    <x v="6"/>
    <x v="3"/>
  </r>
  <r>
    <d v="2024-07-03T00:00:00"/>
    <x v="578"/>
    <x v="38"/>
    <x v="1"/>
    <x v="8"/>
    <n v="102.3"/>
    <n v="1"/>
    <n v="26.6"/>
    <x v="6"/>
    <x v="3"/>
  </r>
  <r>
    <d v="2024-07-05T00:00:00"/>
    <x v="637"/>
    <x v="0"/>
    <x v="1"/>
    <x v="8"/>
    <n v="332.03"/>
    <n v="9"/>
    <n v="-348.63"/>
    <x v="6"/>
    <x v="3"/>
  </r>
  <r>
    <d v="2024-07-05T00:00:00"/>
    <x v="637"/>
    <x v="0"/>
    <x v="0"/>
    <x v="3"/>
    <n v="11.39"/>
    <n v="9"/>
    <n v="-17.66"/>
    <x v="6"/>
    <x v="3"/>
  </r>
  <r>
    <d v="2024-07-05T00:00:00"/>
    <x v="637"/>
    <x v="0"/>
    <x v="0"/>
    <x v="0"/>
    <n v="15.55"/>
    <n v="3"/>
    <n v="5.64"/>
    <x v="6"/>
    <x v="3"/>
  </r>
  <r>
    <d v="2024-07-05T00:00:00"/>
    <x v="637"/>
    <x v="0"/>
    <x v="0"/>
    <x v="0"/>
    <n v="31.1"/>
    <n v="6"/>
    <n v="11.28"/>
    <x v="6"/>
    <x v="3"/>
  </r>
  <r>
    <d v="2024-07-05T00:00:00"/>
    <x v="637"/>
    <x v="0"/>
    <x v="0"/>
    <x v="3"/>
    <n v="6.32"/>
    <n v="1"/>
    <n v="-10.42"/>
    <x v="6"/>
    <x v="3"/>
  </r>
  <r>
    <d v="2024-07-05T00:00:00"/>
    <x v="105"/>
    <x v="40"/>
    <x v="2"/>
    <x v="6"/>
    <n v="79.959999999999994"/>
    <n v="4"/>
    <n v="22.39"/>
    <x v="6"/>
    <x v="3"/>
  </r>
  <r>
    <d v="2024-07-06T00:00:00"/>
    <x v="470"/>
    <x v="2"/>
    <x v="0"/>
    <x v="3"/>
    <n v="2.95"/>
    <n v="2"/>
    <n v="-2.2599999999999998"/>
    <x v="6"/>
    <x v="3"/>
  </r>
  <r>
    <d v="2024-07-06T00:00:00"/>
    <x v="470"/>
    <x v="2"/>
    <x v="0"/>
    <x v="0"/>
    <n v="16.059999999999999"/>
    <n v="3"/>
    <n v="5.82"/>
    <x v="6"/>
    <x v="3"/>
  </r>
  <r>
    <d v="2024-07-06T00:00:00"/>
    <x v="475"/>
    <x v="16"/>
    <x v="1"/>
    <x v="5"/>
    <n v="239.24"/>
    <n v="1"/>
    <n v="23.92"/>
    <x v="6"/>
    <x v="3"/>
  </r>
  <r>
    <d v="2024-07-06T00:00:00"/>
    <x v="487"/>
    <x v="3"/>
    <x v="1"/>
    <x v="5"/>
    <n v="122.14"/>
    <n v="3"/>
    <n v="-13.74"/>
    <x v="6"/>
    <x v="3"/>
  </r>
  <r>
    <d v="2024-07-07T00:00:00"/>
    <x v="349"/>
    <x v="20"/>
    <x v="0"/>
    <x v="3"/>
    <n v="17.47"/>
    <n v="3"/>
    <n v="6.33"/>
    <x v="6"/>
    <x v="3"/>
  </r>
  <r>
    <d v="2024-07-07T00:00:00"/>
    <x v="634"/>
    <x v="43"/>
    <x v="2"/>
    <x v="9"/>
    <n v="252"/>
    <n v="4"/>
    <n v="93.24"/>
    <x v="6"/>
    <x v="3"/>
  </r>
  <r>
    <d v="2024-07-07T00:00:00"/>
    <x v="556"/>
    <x v="2"/>
    <x v="1"/>
    <x v="11"/>
    <n v="87.21"/>
    <n v="3"/>
    <n v="-45.35"/>
    <x v="6"/>
    <x v="3"/>
  </r>
  <r>
    <d v="2024-07-07T00:00:00"/>
    <x v="556"/>
    <x v="2"/>
    <x v="0"/>
    <x v="0"/>
    <n v="15.55"/>
    <n v="3"/>
    <n v="5.44"/>
    <x v="6"/>
    <x v="3"/>
  </r>
  <r>
    <d v="2024-07-07T00:00:00"/>
    <x v="556"/>
    <x v="2"/>
    <x v="2"/>
    <x v="6"/>
    <n v="683.99"/>
    <n v="2"/>
    <n v="-114"/>
    <x v="6"/>
    <x v="3"/>
  </r>
  <r>
    <d v="2024-07-07T00:00:00"/>
    <x v="556"/>
    <x v="2"/>
    <x v="0"/>
    <x v="2"/>
    <n v="13.39"/>
    <n v="3"/>
    <n v="1"/>
    <x v="6"/>
    <x v="3"/>
  </r>
  <r>
    <d v="2024-07-07T00:00:00"/>
    <x v="556"/>
    <x v="2"/>
    <x v="2"/>
    <x v="9"/>
    <n v="16.78"/>
    <n v="3"/>
    <n v="4.82"/>
    <x v="6"/>
    <x v="3"/>
  </r>
  <r>
    <d v="2024-07-07T00:00:00"/>
    <x v="556"/>
    <x v="2"/>
    <x v="2"/>
    <x v="9"/>
    <n v="527.91999999999996"/>
    <n v="2"/>
    <n v="85.79"/>
    <x v="6"/>
    <x v="3"/>
  </r>
  <r>
    <d v="2024-07-07T00:00:00"/>
    <x v="372"/>
    <x v="3"/>
    <x v="0"/>
    <x v="7"/>
    <n v="5.94"/>
    <n v="3"/>
    <n v="0.12"/>
    <x v="6"/>
    <x v="3"/>
  </r>
  <r>
    <d v="2024-07-08T00:00:00"/>
    <x v="210"/>
    <x v="32"/>
    <x v="0"/>
    <x v="4"/>
    <n v="7.56"/>
    <n v="3"/>
    <n v="3.1"/>
    <x v="6"/>
    <x v="3"/>
  </r>
  <r>
    <d v="2024-07-08T00:00:00"/>
    <x v="210"/>
    <x v="32"/>
    <x v="0"/>
    <x v="0"/>
    <n v="24.56"/>
    <n v="2"/>
    <n v="11.54"/>
    <x v="6"/>
    <x v="3"/>
  </r>
  <r>
    <d v="2024-07-08T00:00:00"/>
    <x v="210"/>
    <x v="32"/>
    <x v="0"/>
    <x v="4"/>
    <n v="12.96"/>
    <n v="2"/>
    <n v="4.1500000000000004"/>
    <x v="6"/>
    <x v="3"/>
  </r>
  <r>
    <d v="2024-07-08T00:00:00"/>
    <x v="381"/>
    <x v="3"/>
    <x v="1"/>
    <x v="8"/>
    <n v="145.9"/>
    <n v="5"/>
    <n v="62.74"/>
    <x v="6"/>
    <x v="3"/>
  </r>
  <r>
    <d v="2024-07-08T00:00:00"/>
    <x v="788"/>
    <x v="22"/>
    <x v="1"/>
    <x v="8"/>
    <n v="198.46"/>
    <n v="2"/>
    <n v="99.23"/>
    <x v="6"/>
    <x v="3"/>
  </r>
  <r>
    <d v="2024-07-08T00:00:00"/>
    <x v="788"/>
    <x v="22"/>
    <x v="0"/>
    <x v="1"/>
    <n v="786.48"/>
    <n v="8"/>
    <n v="385.38"/>
    <x v="6"/>
    <x v="3"/>
  </r>
  <r>
    <d v="2024-07-08T00:00:00"/>
    <x v="788"/>
    <x v="22"/>
    <x v="0"/>
    <x v="3"/>
    <n v="23.17"/>
    <n v="2"/>
    <n v="7.82"/>
    <x v="6"/>
    <x v="3"/>
  </r>
  <r>
    <d v="2024-07-08T00:00:00"/>
    <x v="788"/>
    <x v="22"/>
    <x v="2"/>
    <x v="9"/>
    <n v="50"/>
    <n v="2"/>
    <n v="10.5"/>
    <x v="6"/>
    <x v="3"/>
  </r>
  <r>
    <d v="2024-07-08T00:00:00"/>
    <x v="339"/>
    <x v="3"/>
    <x v="0"/>
    <x v="1"/>
    <n v="75.180000000000007"/>
    <n v="6"/>
    <n v="35.33"/>
    <x v="6"/>
    <x v="3"/>
  </r>
  <r>
    <d v="2024-07-08T00:00:00"/>
    <x v="58"/>
    <x v="22"/>
    <x v="1"/>
    <x v="8"/>
    <n v="15.84"/>
    <n v="3"/>
    <n v="4.91"/>
    <x v="6"/>
    <x v="3"/>
  </r>
  <r>
    <d v="2024-07-08T00:00:00"/>
    <x v="58"/>
    <x v="22"/>
    <x v="0"/>
    <x v="3"/>
    <n v="86.38"/>
    <n v="3"/>
    <n v="30.23"/>
    <x v="6"/>
    <x v="3"/>
  </r>
  <r>
    <d v="2024-07-08T00:00:00"/>
    <x v="58"/>
    <x v="22"/>
    <x v="0"/>
    <x v="4"/>
    <n v="18.239999999999998"/>
    <n v="3"/>
    <n v="6.2"/>
    <x v="6"/>
    <x v="3"/>
  </r>
  <r>
    <d v="2024-07-08T00:00:00"/>
    <x v="58"/>
    <x v="22"/>
    <x v="0"/>
    <x v="4"/>
    <n v="13.12"/>
    <n v="4"/>
    <n v="4.33"/>
    <x v="6"/>
    <x v="3"/>
  </r>
  <r>
    <d v="2024-07-08T00:00:00"/>
    <x v="736"/>
    <x v="7"/>
    <x v="1"/>
    <x v="8"/>
    <n v="83.92"/>
    <n v="4"/>
    <n v="5.87"/>
    <x v="6"/>
    <x v="3"/>
  </r>
  <r>
    <d v="2024-07-08T00:00:00"/>
    <x v="736"/>
    <x v="7"/>
    <x v="2"/>
    <x v="9"/>
    <n v="141.9"/>
    <n v="5"/>
    <n v="58.18"/>
    <x v="6"/>
    <x v="3"/>
  </r>
  <r>
    <d v="2024-07-08T00:00:00"/>
    <x v="736"/>
    <x v="7"/>
    <x v="1"/>
    <x v="8"/>
    <n v="39.979999999999997"/>
    <n v="2"/>
    <n v="9.1999999999999993"/>
    <x v="6"/>
    <x v="3"/>
  </r>
  <r>
    <d v="2024-07-08T00:00:00"/>
    <x v="736"/>
    <x v="7"/>
    <x v="0"/>
    <x v="4"/>
    <n v="28.91"/>
    <n v="7"/>
    <n v="8.67"/>
    <x v="6"/>
    <x v="3"/>
  </r>
  <r>
    <d v="2024-07-08T00:00:00"/>
    <x v="736"/>
    <x v="7"/>
    <x v="0"/>
    <x v="4"/>
    <n v="174.95"/>
    <n v="5"/>
    <n v="45.49"/>
    <x v="6"/>
    <x v="3"/>
  </r>
  <r>
    <d v="2024-07-08T00:00:00"/>
    <x v="376"/>
    <x v="22"/>
    <x v="0"/>
    <x v="0"/>
    <n v="52.76"/>
    <n v="2"/>
    <n v="24.27"/>
    <x v="6"/>
    <x v="3"/>
  </r>
  <r>
    <d v="2024-07-09T00:00:00"/>
    <x v="210"/>
    <x v="11"/>
    <x v="0"/>
    <x v="3"/>
    <n v="1.08"/>
    <n v="2"/>
    <n v="-0.79"/>
    <x v="6"/>
    <x v="3"/>
  </r>
  <r>
    <d v="2024-07-09T00:00:00"/>
    <x v="270"/>
    <x v="1"/>
    <x v="0"/>
    <x v="4"/>
    <n v="8.84"/>
    <n v="5"/>
    <n v="2.98"/>
    <x v="6"/>
    <x v="3"/>
  </r>
  <r>
    <d v="2024-07-09T00:00:00"/>
    <x v="270"/>
    <x v="1"/>
    <x v="0"/>
    <x v="12"/>
    <n v="58.46"/>
    <n v="9"/>
    <n v="-146.16"/>
    <x v="6"/>
    <x v="3"/>
  </r>
  <r>
    <d v="2024-07-09T00:00:00"/>
    <x v="209"/>
    <x v="1"/>
    <x v="0"/>
    <x v="2"/>
    <n v="228.92"/>
    <n v="5"/>
    <n v="14.31"/>
    <x v="6"/>
    <x v="3"/>
  </r>
  <r>
    <d v="2024-07-09T00:00:00"/>
    <x v="88"/>
    <x v="18"/>
    <x v="1"/>
    <x v="8"/>
    <n v="526.45000000000005"/>
    <n v="5"/>
    <n v="31.59"/>
    <x v="6"/>
    <x v="3"/>
  </r>
  <r>
    <d v="2024-07-09T00:00:00"/>
    <x v="509"/>
    <x v="37"/>
    <x v="0"/>
    <x v="0"/>
    <n v="274.8"/>
    <n v="5"/>
    <n v="134.65"/>
    <x v="6"/>
    <x v="3"/>
  </r>
  <r>
    <d v="2024-07-09T00:00:00"/>
    <x v="509"/>
    <x v="37"/>
    <x v="0"/>
    <x v="2"/>
    <n v="195.64"/>
    <n v="4"/>
    <n v="3.91"/>
    <x v="6"/>
    <x v="3"/>
  </r>
  <r>
    <d v="2024-07-09T00:00:00"/>
    <x v="509"/>
    <x v="37"/>
    <x v="2"/>
    <x v="6"/>
    <n v="257.98"/>
    <n v="2"/>
    <n v="74.81"/>
    <x v="6"/>
    <x v="3"/>
  </r>
  <r>
    <d v="2024-07-09T00:00:00"/>
    <x v="509"/>
    <x v="37"/>
    <x v="0"/>
    <x v="4"/>
    <n v="119.04"/>
    <n v="6"/>
    <n v="48.81"/>
    <x v="6"/>
    <x v="3"/>
  </r>
  <r>
    <d v="2024-07-10T00:00:00"/>
    <x v="652"/>
    <x v="4"/>
    <x v="1"/>
    <x v="8"/>
    <n v="18.84"/>
    <n v="3"/>
    <n v="7.91"/>
    <x v="6"/>
    <x v="3"/>
  </r>
  <r>
    <d v="2024-07-10T00:00:00"/>
    <x v="215"/>
    <x v="1"/>
    <x v="0"/>
    <x v="2"/>
    <n v="298.45999999999998"/>
    <n v="6"/>
    <n v="26.12"/>
    <x v="6"/>
    <x v="3"/>
  </r>
  <r>
    <d v="2024-07-10T00:00:00"/>
    <x v="97"/>
    <x v="4"/>
    <x v="0"/>
    <x v="12"/>
    <n v="41.91"/>
    <n v="3"/>
    <n v="10.9"/>
    <x v="6"/>
    <x v="3"/>
  </r>
  <r>
    <d v="2024-07-11T00:00:00"/>
    <x v="549"/>
    <x v="3"/>
    <x v="0"/>
    <x v="1"/>
    <n v="8.67"/>
    <n v="3"/>
    <n v="4.07"/>
    <x v="6"/>
    <x v="3"/>
  </r>
  <r>
    <d v="2024-07-11T00:00:00"/>
    <x v="448"/>
    <x v="20"/>
    <x v="2"/>
    <x v="9"/>
    <n v="132.6"/>
    <n v="6"/>
    <n v="17.239999999999998"/>
    <x v="6"/>
    <x v="3"/>
  </r>
  <r>
    <d v="2024-07-11T00:00:00"/>
    <x v="262"/>
    <x v="30"/>
    <x v="0"/>
    <x v="4"/>
    <n v="30.32"/>
    <n v="4"/>
    <n v="11.82"/>
    <x v="6"/>
    <x v="3"/>
  </r>
  <r>
    <d v="2024-07-11T00:00:00"/>
    <x v="119"/>
    <x v="3"/>
    <x v="2"/>
    <x v="9"/>
    <n v="1287.45"/>
    <n v="5"/>
    <n v="244.62"/>
    <x v="6"/>
    <x v="3"/>
  </r>
  <r>
    <d v="2024-07-11T00:00:00"/>
    <x v="119"/>
    <x v="3"/>
    <x v="0"/>
    <x v="12"/>
    <n v="168.1"/>
    <n v="5"/>
    <n v="43.71"/>
    <x v="6"/>
    <x v="3"/>
  </r>
  <r>
    <d v="2024-07-11T00:00:00"/>
    <x v="324"/>
    <x v="3"/>
    <x v="2"/>
    <x v="6"/>
    <n v="71.95"/>
    <n v="6"/>
    <n v="5.4"/>
    <x v="6"/>
    <x v="3"/>
  </r>
  <r>
    <d v="2024-07-11T00:00:00"/>
    <x v="324"/>
    <x v="3"/>
    <x v="0"/>
    <x v="3"/>
    <n v="29.8"/>
    <n v="5"/>
    <n v="9.31"/>
    <x v="6"/>
    <x v="3"/>
  </r>
  <r>
    <d v="2024-07-12T00:00:00"/>
    <x v="178"/>
    <x v="10"/>
    <x v="0"/>
    <x v="0"/>
    <n v="3.82"/>
    <n v="1"/>
    <n v="1.19"/>
    <x v="6"/>
    <x v="3"/>
  </r>
  <r>
    <d v="2024-07-13T00:00:00"/>
    <x v="294"/>
    <x v="2"/>
    <x v="2"/>
    <x v="6"/>
    <n v="39.590000000000003"/>
    <n v="1"/>
    <n v="-7.26"/>
    <x v="6"/>
    <x v="3"/>
  </r>
  <r>
    <d v="2024-07-13T00:00:00"/>
    <x v="294"/>
    <x v="2"/>
    <x v="1"/>
    <x v="8"/>
    <n v="91.01"/>
    <n v="9"/>
    <n v="19.34"/>
    <x v="6"/>
    <x v="3"/>
  </r>
  <r>
    <d v="2024-07-13T00:00:00"/>
    <x v="390"/>
    <x v="42"/>
    <x v="0"/>
    <x v="2"/>
    <n v="360.38"/>
    <n v="2"/>
    <n v="93.7"/>
    <x v="6"/>
    <x v="3"/>
  </r>
  <r>
    <d v="2024-07-13T00:00:00"/>
    <x v="390"/>
    <x v="42"/>
    <x v="0"/>
    <x v="0"/>
    <n v="13.56"/>
    <n v="2"/>
    <n v="6.24"/>
    <x v="6"/>
    <x v="3"/>
  </r>
  <r>
    <d v="2024-07-14T00:00:00"/>
    <x v="460"/>
    <x v="3"/>
    <x v="0"/>
    <x v="3"/>
    <n v="4.45"/>
    <n v="2"/>
    <n v="1.45"/>
    <x v="6"/>
    <x v="3"/>
  </r>
  <r>
    <d v="2024-07-14T00:00:00"/>
    <x v="460"/>
    <x v="3"/>
    <x v="1"/>
    <x v="8"/>
    <n v="276.69"/>
    <n v="3"/>
    <n v="49.8"/>
    <x v="6"/>
    <x v="3"/>
  </r>
  <r>
    <d v="2024-07-14T00:00:00"/>
    <x v="460"/>
    <x v="3"/>
    <x v="0"/>
    <x v="7"/>
    <n v="4.96"/>
    <n v="4"/>
    <n v="2.33"/>
    <x v="6"/>
    <x v="3"/>
  </r>
  <r>
    <d v="2024-07-14T00:00:00"/>
    <x v="460"/>
    <x v="3"/>
    <x v="0"/>
    <x v="4"/>
    <n v="71.92"/>
    <n v="4"/>
    <n v="20.86"/>
    <x v="6"/>
    <x v="3"/>
  </r>
  <r>
    <d v="2024-07-14T00:00:00"/>
    <x v="460"/>
    <x v="3"/>
    <x v="1"/>
    <x v="8"/>
    <n v="18.84"/>
    <n v="3"/>
    <n v="7.91"/>
    <x v="6"/>
    <x v="3"/>
  </r>
  <r>
    <d v="2024-07-14T00:00:00"/>
    <x v="460"/>
    <x v="3"/>
    <x v="2"/>
    <x v="9"/>
    <n v="140.97"/>
    <n v="3"/>
    <n v="19.739999999999998"/>
    <x v="6"/>
    <x v="3"/>
  </r>
  <r>
    <d v="2024-07-14T00:00:00"/>
    <x v="460"/>
    <x v="3"/>
    <x v="2"/>
    <x v="6"/>
    <n v="470.38"/>
    <n v="3"/>
    <n v="52.92"/>
    <x v="6"/>
    <x v="3"/>
  </r>
  <r>
    <d v="2024-07-14T00:00:00"/>
    <x v="154"/>
    <x v="10"/>
    <x v="0"/>
    <x v="0"/>
    <n v="9.25"/>
    <n v="2"/>
    <n v="3.35"/>
    <x v="6"/>
    <x v="3"/>
  </r>
  <r>
    <d v="2024-07-14T00:00:00"/>
    <x v="154"/>
    <x v="10"/>
    <x v="2"/>
    <x v="6"/>
    <n v="1889.95"/>
    <n v="9"/>
    <n v="-377.99"/>
    <x v="6"/>
    <x v="3"/>
  </r>
  <r>
    <d v="2024-07-14T00:00:00"/>
    <x v="154"/>
    <x v="10"/>
    <x v="0"/>
    <x v="2"/>
    <n v="62.04"/>
    <n v="5"/>
    <n v="4.6500000000000004"/>
    <x v="6"/>
    <x v="3"/>
  </r>
  <r>
    <d v="2024-07-14T00:00:00"/>
    <x v="154"/>
    <x v="10"/>
    <x v="1"/>
    <x v="8"/>
    <n v="396.92"/>
    <n v="5"/>
    <n v="148.85"/>
    <x v="6"/>
    <x v="3"/>
  </r>
  <r>
    <d v="2024-07-14T00:00:00"/>
    <x v="154"/>
    <x v="10"/>
    <x v="0"/>
    <x v="2"/>
    <n v="239.46"/>
    <n v="7"/>
    <n v="17.96"/>
    <x v="6"/>
    <x v="3"/>
  </r>
  <r>
    <d v="2024-07-14T00:00:00"/>
    <x v="154"/>
    <x v="10"/>
    <x v="0"/>
    <x v="4"/>
    <n v="13.12"/>
    <n v="5"/>
    <n v="2.13"/>
    <x v="6"/>
    <x v="3"/>
  </r>
  <r>
    <d v="2024-07-15T00:00:00"/>
    <x v="226"/>
    <x v="7"/>
    <x v="0"/>
    <x v="3"/>
    <n v="26.55"/>
    <n v="3"/>
    <n v="13.01"/>
    <x v="6"/>
    <x v="3"/>
  </r>
  <r>
    <d v="2024-07-15T00:00:00"/>
    <x v="226"/>
    <x v="7"/>
    <x v="1"/>
    <x v="13"/>
    <n v="310.44"/>
    <n v="3"/>
    <n v="-48.78"/>
    <x v="6"/>
    <x v="3"/>
  </r>
  <r>
    <d v="2024-07-15T00:00:00"/>
    <x v="147"/>
    <x v="20"/>
    <x v="0"/>
    <x v="4"/>
    <n v="6.56"/>
    <n v="2"/>
    <n v="1.9"/>
    <x v="6"/>
    <x v="3"/>
  </r>
  <r>
    <d v="2024-07-15T00:00:00"/>
    <x v="147"/>
    <x v="20"/>
    <x v="0"/>
    <x v="1"/>
    <n v="7.83"/>
    <n v="3"/>
    <n v="3.6"/>
    <x v="6"/>
    <x v="3"/>
  </r>
  <r>
    <d v="2024-07-15T00:00:00"/>
    <x v="147"/>
    <x v="20"/>
    <x v="2"/>
    <x v="9"/>
    <n v="41.9"/>
    <n v="2"/>
    <n v="8.8000000000000007"/>
    <x v="6"/>
    <x v="3"/>
  </r>
  <r>
    <d v="2024-07-15T00:00:00"/>
    <x v="147"/>
    <x v="20"/>
    <x v="1"/>
    <x v="5"/>
    <n v="664.15"/>
    <n v="6"/>
    <n v="88.55"/>
    <x v="6"/>
    <x v="3"/>
  </r>
  <r>
    <d v="2024-07-15T00:00:00"/>
    <x v="147"/>
    <x v="20"/>
    <x v="0"/>
    <x v="0"/>
    <n v="8.9600000000000009"/>
    <n v="2"/>
    <n v="4.3899999999999997"/>
    <x v="6"/>
    <x v="3"/>
  </r>
  <r>
    <d v="2024-07-15T00:00:00"/>
    <x v="332"/>
    <x v="6"/>
    <x v="0"/>
    <x v="12"/>
    <n v="179.94"/>
    <n v="3"/>
    <n v="50.38"/>
    <x v="6"/>
    <x v="3"/>
  </r>
  <r>
    <d v="2024-07-15T00:00:00"/>
    <x v="332"/>
    <x v="6"/>
    <x v="1"/>
    <x v="13"/>
    <n v="872.94"/>
    <n v="3"/>
    <n v="157.13"/>
    <x v="6"/>
    <x v="3"/>
  </r>
  <r>
    <d v="2024-07-15T00:00:00"/>
    <x v="332"/>
    <x v="6"/>
    <x v="0"/>
    <x v="0"/>
    <n v="12.96"/>
    <n v="2"/>
    <n v="6.22"/>
    <x v="6"/>
    <x v="3"/>
  </r>
  <r>
    <d v="2024-07-16T00:00:00"/>
    <x v="394"/>
    <x v="2"/>
    <x v="1"/>
    <x v="5"/>
    <n v="71.37"/>
    <n v="2"/>
    <n v="-1.02"/>
    <x v="6"/>
    <x v="3"/>
  </r>
  <r>
    <d v="2024-07-16T00:00:00"/>
    <x v="139"/>
    <x v="1"/>
    <x v="0"/>
    <x v="4"/>
    <n v="2.91"/>
    <n v="2"/>
    <n v="0.91"/>
    <x v="6"/>
    <x v="3"/>
  </r>
  <r>
    <d v="2024-07-16T00:00:00"/>
    <x v="40"/>
    <x v="25"/>
    <x v="1"/>
    <x v="5"/>
    <n v="242.35"/>
    <n v="3"/>
    <n v="15.15"/>
    <x v="6"/>
    <x v="3"/>
  </r>
  <r>
    <d v="2024-07-17T00:00:00"/>
    <x v="661"/>
    <x v="16"/>
    <x v="1"/>
    <x v="8"/>
    <n v="7.9"/>
    <n v="2"/>
    <n v="2.17"/>
    <x v="6"/>
    <x v="3"/>
  </r>
  <r>
    <d v="2024-07-17T00:00:00"/>
    <x v="734"/>
    <x v="20"/>
    <x v="2"/>
    <x v="6"/>
    <n v="269.98"/>
    <n v="2"/>
    <n v="67.5"/>
    <x v="6"/>
    <x v="3"/>
  </r>
  <r>
    <d v="2024-07-17T00:00:00"/>
    <x v="734"/>
    <x v="20"/>
    <x v="0"/>
    <x v="0"/>
    <n v="99.9"/>
    <n v="5"/>
    <n v="47.95"/>
    <x v="6"/>
    <x v="3"/>
  </r>
  <r>
    <d v="2024-07-17T00:00:00"/>
    <x v="734"/>
    <x v="20"/>
    <x v="1"/>
    <x v="8"/>
    <n v="39.08"/>
    <n v="4"/>
    <n v="14.46"/>
    <x v="6"/>
    <x v="3"/>
  </r>
  <r>
    <d v="2024-07-17T00:00:00"/>
    <x v="314"/>
    <x v="3"/>
    <x v="2"/>
    <x v="16"/>
    <n v="479.98"/>
    <n v="2"/>
    <n v="90"/>
    <x v="6"/>
    <x v="3"/>
  </r>
  <r>
    <d v="2024-07-17T00:00:00"/>
    <x v="202"/>
    <x v="3"/>
    <x v="0"/>
    <x v="0"/>
    <n v="32.4"/>
    <n v="5"/>
    <n v="15.55"/>
    <x v="6"/>
    <x v="3"/>
  </r>
  <r>
    <d v="2024-07-17T00:00:00"/>
    <x v="202"/>
    <x v="3"/>
    <x v="0"/>
    <x v="10"/>
    <n v="57.9"/>
    <n v="5"/>
    <n v="28.95"/>
    <x v="6"/>
    <x v="3"/>
  </r>
  <r>
    <d v="2024-07-17T00:00:00"/>
    <x v="202"/>
    <x v="3"/>
    <x v="0"/>
    <x v="2"/>
    <n v="10.56"/>
    <n v="2"/>
    <n v="0"/>
    <x v="6"/>
    <x v="3"/>
  </r>
  <r>
    <d v="2024-07-17T00:00:00"/>
    <x v="202"/>
    <x v="3"/>
    <x v="1"/>
    <x v="11"/>
    <n v="1194.17"/>
    <n v="5"/>
    <n v="210.74"/>
    <x v="6"/>
    <x v="3"/>
  </r>
  <r>
    <d v="2024-07-18T00:00:00"/>
    <x v="505"/>
    <x v="12"/>
    <x v="1"/>
    <x v="13"/>
    <n v="801.6"/>
    <n v="5"/>
    <n v="-448.9"/>
    <x v="6"/>
    <x v="3"/>
  </r>
  <r>
    <d v="2024-07-18T00:00:00"/>
    <x v="505"/>
    <x v="12"/>
    <x v="1"/>
    <x v="5"/>
    <n v="161.57"/>
    <n v="2"/>
    <n v="10.1"/>
    <x v="6"/>
    <x v="3"/>
  </r>
  <r>
    <d v="2024-07-18T00:00:00"/>
    <x v="505"/>
    <x v="12"/>
    <x v="0"/>
    <x v="0"/>
    <n v="16.100000000000001"/>
    <n v="2"/>
    <n v="5.23"/>
    <x v="6"/>
    <x v="3"/>
  </r>
  <r>
    <d v="2024-07-18T00:00:00"/>
    <x v="505"/>
    <x v="12"/>
    <x v="0"/>
    <x v="3"/>
    <n v="7.66"/>
    <n v="4"/>
    <n v="-6.12"/>
    <x v="6"/>
    <x v="3"/>
  </r>
  <r>
    <d v="2024-07-18T00:00:00"/>
    <x v="505"/>
    <x v="12"/>
    <x v="1"/>
    <x v="5"/>
    <n v="311.98"/>
    <n v="3"/>
    <n v="-42.9"/>
    <x v="6"/>
    <x v="3"/>
  </r>
  <r>
    <d v="2024-07-18T00:00:00"/>
    <x v="9"/>
    <x v="2"/>
    <x v="2"/>
    <x v="16"/>
    <n v="599.97"/>
    <n v="5"/>
    <n v="70"/>
    <x v="6"/>
    <x v="3"/>
  </r>
  <r>
    <d v="2024-07-18T00:00:00"/>
    <x v="9"/>
    <x v="2"/>
    <x v="1"/>
    <x v="5"/>
    <n v="198.74"/>
    <n v="4"/>
    <n v="-14.2"/>
    <x v="6"/>
    <x v="3"/>
  </r>
  <r>
    <d v="2024-07-18T00:00:00"/>
    <x v="9"/>
    <x v="2"/>
    <x v="0"/>
    <x v="14"/>
    <n v="9.18"/>
    <n v="2"/>
    <n v="1.1499999999999999"/>
    <x v="6"/>
    <x v="3"/>
  </r>
  <r>
    <d v="2024-07-20T00:00:00"/>
    <x v="246"/>
    <x v="1"/>
    <x v="0"/>
    <x v="2"/>
    <n v="69.709999999999994"/>
    <n v="2"/>
    <n v="8.7100000000000009"/>
    <x v="6"/>
    <x v="3"/>
  </r>
  <r>
    <d v="2024-07-20T00:00:00"/>
    <x v="246"/>
    <x v="1"/>
    <x v="1"/>
    <x v="8"/>
    <n v="8.7899999999999991"/>
    <n v="1"/>
    <n v="-5.71"/>
    <x v="6"/>
    <x v="3"/>
  </r>
  <r>
    <d v="2024-07-20T00:00:00"/>
    <x v="551"/>
    <x v="19"/>
    <x v="0"/>
    <x v="1"/>
    <n v="14.62"/>
    <n v="2"/>
    <n v="6.87"/>
    <x v="6"/>
    <x v="3"/>
  </r>
  <r>
    <d v="2024-07-20T00:00:00"/>
    <x v="551"/>
    <x v="19"/>
    <x v="0"/>
    <x v="12"/>
    <n v="416.32"/>
    <n v="2"/>
    <n v="112.41"/>
    <x v="6"/>
    <x v="3"/>
  </r>
  <r>
    <d v="2024-07-20T00:00:00"/>
    <x v="551"/>
    <x v="19"/>
    <x v="0"/>
    <x v="3"/>
    <n v="43"/>
    <n v="5"/>
    <n v="20.21"/>
    <x v="6"/>
    <x v="3"/>
  </r>
  <r>
    <d v="2024-07-20T00:00:00"/>
    <x v="551"/>
    <x v="19"/>
    <x v="1"/>
    <x v="5"/>
    <n v="182.94"/>
    <n v="3"/>
    <n v="27.44"/>
    <x v="6"/>
    <x v="3"/>
  </r>
  <r>
    <d v="2024-07-20T00:00:00"/>
    <x v="551"/>
    <x v="19"/>
    <x v="0"/>
    <x v="3"/>
    <n v="60.83"/>
    <n v="7"/>
    <n v="30.42"/>
    <x v="6"/>
    <x v="3"/>
  </r>
  <r>
    <d v="2024-07-20T00:00:00"/>
    <x v="551"/>
    <x v="19"/>
    <x v="2"/>
    <x v="9"/>
    <n v="389.97"/>
    <n v="3"/>
    <n v="132.59"/>
    <x v="6"/>
    <x v="3"/>
  </r>
  <r>
    <d v="2024-07-20T00:00:00"/>
    <x v="436"/>
    <x v="28"/>
    <x v="0"/>
    <x v="3"/>
    <n v="735.98"/>
    <n v="2"/>
    <n v="331.19"/>
    <x v="6"/>
    <x v="3"/>
  </r>
  <r>
    <d v="2024-07-20T00:00:00"/>
    <x v="278"/>
    <x v="20"/>
    <x v="0"/>
    <x v="0"/>
    <n v="13.36"/>
    <n v="2"/>
    <n v="6.41"/>
    <x v="6"/>
    <x v="3"/>
  </r>
  <r>
    <d v="2024-07-20T00:00:00"/>
    <x v="278"/>
    <x v="20"/>
    <x v="1"/>
    <x v="5"/>
    <n v="163.76"/>
    <n v="2"/>
    <n v="25.47"/>
    <x v="6"/>
    <x v="3"/>
  </r>
  <r>
    <d v="2024-07-20T00:00:00"/>
    <x v="278"/>
    <x v="20"/>
    <x v="1"/>
    <x v="8"/>
    <n v="183.92"/>
    <n v="4"/>
    <n v="31.27"/>
    <x v="6"/>
    <x v="3"/>
  </r>
  <r>
    <d v="2024-07-21T00:00:00"/>
    <x v="581"/>
    <x v="23"/>
    <x v="0"/>
    <x v="0"/>
    <n v="6.48"/>
    <n v="1"/>
    <n v="3.18"/>
    <x v="6"/>
    <x v="3"/>
  </r>
  <r>
    <d v="2024-07-21T00:00:00"/>
    <x v="582"/>
    <x v="27"/>
    <x v="2"/>
    <x v="6"/>
    <n v="71.930000000000007"/>
    <n v="9"/>
    <n v="6.29"/>
    <x v="6"/>
    <x v="3"/>
  </r>
  <r>
    <d v="2024-07-21T00:00:00"/>
    <x v="582"/>
    <x v="27"/>
    <x v="0"/>
    <x v="4"/>
    <n v="25.99"/>
    <n v="1"/>
    <n v="7.54"/>
    <x v="6"/>
    <x v="3"/>
  </r>
  <r>
    <d v="2024-07-21T00:00:00"/>
    <x v="746"/>
    <x v="10"/>
    <x v="0"/>
    <x v="3"/>
    <n v="33.93"/>
    <n v="3"/>
    <n v="-22.62"/>
    <x v="6"/>
    <x v="3"/>
  </r>
  <r>
    <d v="2024-07-21T00:00:00"/>
    <x v="746"/>
    <x v="10"/>
    <x v="0"/>
    <x v="2"/>
    <n v="222.32"/>
    <n v="7"/>
    <n v="25.01"/>
    <x v="6"/>
    <x v="3"/>
  </r>
  <r>
    <d v="2024-07-21T00:00:00"/>
    <x v="746"/>
    <x v="10"/>
    <x v="2"/>
    <x v="6"/>
    <n v="210.56"/>
    <n v="6"/>
    <n v="-52.64"/>
    <x v="6"/>
    <x v="3"/>
  </r>
  <r>
    <d v="2024-07-21T00:00:00"/>
    <x v="481"/>
    <x v="6"/>
    <x v="0"/>
    <x v="4"/>
    <n v="101.94"/>
    <n v="6"/>
    <n v="29.56"/>
    <x v="6"/>
    <x v="3"/>
  </r>
  <r>
    <d v="2024-07-21T00:00:00"/>
    <x v="481"/>
    <x v="6"/>
    <x v="2"/>
    <x v="6"/>
    <n v="271.95999999999998"/>
    <n v="4"/>
    <n v="67.989999999999995"/>
    <x v="6"/>
    <x v="3"/>
  </r>
  <r>
    <d v="2024-07-21T00:00:00"/>
    <x v="481"/>
    <x v="6"/>
    <x v="1"/>
    <x v="8"/>
    <n v="8.8000000000000007"/>
    <n v="5"/>
    <n v="3.87"/>
    <x v="6"/>
    <x v="3"/>
  </r>
  <r>
    <d v="2024-07-21T00:00:00"/>
    <x v="481"/>
    <x v="6"/>
    <x v="0"/>
    <x v="4"/>
    <n v="19.68"/>
    <n v="6"/>
    <n v="5.71"/>
    <x v="6"/>
    <x v="3"/>
  </r>
  <r>
    <d v="2024-07-21T00:00:00"/>
    <x v="481"/>
    <x v="6"/>
    <x v="1"/>
    <x v="11"/>
    <n v="302.94"/>
    <n v="3"/>
    <n v="69.680000000000007"/>
    <x v="6"/>
    <x v="3"/>
  </r>
  <r>
    <d v="2024-07-21T00:00:00"/>
    <x v="481"/>
    <x v="6"/>
    <x v="0"/>
    <x v="3"/>
    <n v="14.94"/>
    <n v="3"/>
    <n v="7.17"/>
    <x v="6"/>
    <x v="3"/>
  </r>
  <r>
    <d v="2024-07-21T00:00:00"/>
    <x v="481"/>
    <x v="6"/>
    <x v="0"/>
    <x v="14"/>
    <n v="231.72"/>
    <n v="2"/>
    <n v="11.59"/>
    <x v="6"/>
    <x v="3"/>
  </r>
  <r>
    <d v="2024-07-21T00:00:00"/>
    <x v="661"/>
    <x v="3"/>
    <x v="0"/>
    <x v="0"/>
    <n v="16.34"/>
    <n v="2"/>
    <n v="7.68"/>
    <x v="6"/>
    <x v="3"/>
  </r>
  <r>
    <d v="2024-07-21T00:00:00"/>
    <x v="661"/>
    <x v="3"/>
    <x v="1"/>
    <x v="5"/>
    <n v="225.3"/>
    <n v="2"/>
    <n v="22.53"/>
    <x v="6"/>
    <x v="3"/>
  </r>
  <r>
    <d v="2024-07-21T00:00:00"/>
    <x v="661"/>
    <x v="3"/>
    <x v="0"/>
    <x v="3"/>
    <n v="50.35"/>
    <n v="3"/>
    <n v="17.62"/>
    <x v="6"/>
    <x v="3"/>
  </r>
  <r>
    <d v="2024-07-21T00:00:00"/>
    <x v="178"/>
    <x v="20"/>
    <x v="0"/>
    <x v="12"/>
    <n v="17.48"/>
    <n v="4"/>
    <n v="4.54"/>
    <x v="6"/>
    <x v="3"/>
  </r>
  <r>
    <d v="2024-07-21T00:00:00"/>
    <x v="278"/>
    <x v="3"/>
    <x v="0"/>
    <x v="4"/>
    <n v="3.52"/>
    <n v="2"/>
    <n v="1.69"/>
    <x v="6"/>
    <x v="3"/>
  </r>
  <r>
    <d v="2024-07-21T00:00:00"/>
    <x v="278"/>
    <x v="3"/>
    <x v="2"/>
    <x v="6"/>
    <n v="1626.19"/>
    <n v="9"/>
    <n v="121.96"/>
    <x v="6"/>
    <x v="3"/>
  </r>
  <r>
    <d v="2024-07-21T00:00:00"/>
    <x v="344"/>
    <x v="0"/>
    <x v="1"/>
    <x v="13"/>
    <n v="124.4"/>
    <n v="4"/>
    <n v="-21.33"/>
    <x v="6"/>
    <x v="3"/>
  </r>
  <r>
    <d v="2024-07-21T00:00:00"/>
    <x v="254"/>
    <x v="1"/>
    <x v="0"/>
    <x v="3"/>
    <n v="2.86"/>
    <n v="4"/>
    <n v="-4.58"/>
    <x v="6"/>
    <x v="3"/>
  </r>
  <r>
    <d v="2024-07-21T00:00:00"/>
    <x v="254"/>
    <x v="1"/>
    <x v="0"/>
    <x v="3"/>
    <n v="94.19"/>
    <n v="7"/>
    <n v="-164.84"/>
    <x v="6"/>
    <x v="3"/>
  </r>
  <r>
    <d v="2024-07-21T00:00:00"/>
    <x v="397"/>
    <x v="1"/>
    <x v="0"/>
    <x v="3"/>
    <n v="2.11"/>
    <n v="2"/>
    <n v="-3.38"/>
    <x v="6"/>
    <x v="3"/>
  </r>
  <r>
    <d v="2024-07-22T00:00:00"/>
    <x v="470"/>
    <x v="20"/>
    <x v="2"/>
    <x v="6"/>
    <n v="29.97"/>
    <n v="3"/>
    <n v="14.09"/>
    <x v="6"/>
    <x v="3"/>
  </r>
  <r>
    <d v="2024-07-22T00:00:00"/>
    <x v="34"/>
    <x v="1"/>
    <x v="1"/>
    <x v="5"/>
    <n v="526.34"/>
    <n v="4"/>
    <n v="-75.19"/>
    <x v="6"/>
    <x v="3"/>
  </r>
  <r>
    <d v="2024-07-23T00:00:00"/>
    <x v="85"/>
    <x v="20"/>
    <x v="0"/>
    <x v="3"/>
    <n v="13.13"/>
    <n v="3"/>
    <n v="4.2699999999999996"/>
    <x v="6"/>
    <x v="3"/>
  </r>
  <r>
    <d v="2024-07-23T00:00:00"/>
    <x v="352"/>
    <x v="18"/>
    <x v="0"/>
    <x v="4"/>
    <n v="11.68"/>
    <n v="2"/>
    <n v="5.49"/>
    <x v="6"/>
    <x v="3"/>
  </r>
  <r>
    <d v="2024-07-23T00:00:00"/>
    <x v="352"/>
    <x v="18"/>
    <x v="2"/>
    <x v="9"/>
    <n v="159.75"/>
    <n v="5"/>
    <n v="11.18"/>
    <x v="6"/>
    <x v="3"/>
  </r>
  <r>
    <d v="2024-07-23T00:00:00"/>
    <x v="382"/>
    <x v="20"/>
    <x v="0"/>
    <x v="1"/>
    <n v="41.4"/>
    <n v="4"/>
    <n v="19.87"/>
    <x v="6"/>
    <x v="3"/>
  </r>
  <r>
    <d v="2024-07-23T00:00:00"/>
    <x v="39"/>
    <x v="20"/>
    <x v="0"/>
    <x v="3"/>
    <n v="13.92"/>
    <n v="3"/>
    <n v="4.3499999999999996"/>
    <x v="6"/>
    <x v="3"/>
  </r>
  <r>
    <d v="2024-07-23T00:00:00"/>
    <x v="706"/>
    <x v="1"/>
    <x v="0"/>
    <x v="0"/>
    <n v="63.31"/>
    <n v="3"/>
    <n v="20.58"/>
    <x v="6"/>
    <x v="3"/>
  </r>
  <r>
    <d v="2024-07-23T00:00:00"/>
    <x v="675"/>
    <x v="21"/>
    <x v="2"/>
    <x v="9"/>
    <n v="399.95"/>
    <n v="5"/>
    <n v="143.97999999999999"/>
    <x v="6"/>
    <x v="3"/>
  </r>
  <r>
    <d v="2024-07-23T00:00:00"/>
    <x v="463"/>
    <x v="3"/>
    <x v="0"/>
    <x v="3"/>
    <n v="15.19"/>
    <n v="3"/>
    <n v="5.51"/>
    <x v="6"/>
    <x v="3"/>
  </r>
  <r>
    <d v="2024-07-23T00:00:00"/>
    <x v="463"/>
    <x v="3"/>
    <x v="0"/>
    <x v="0"/>
    <n v="58.32"/>
    <n v="9"/>
    <n v="27.99"/>
    <x v="6"/>
    <x v="3"/>
  </r>
  <r>
    <d v="2024-07-23T00:00:00"/>
    <x v="86"/>
    <x v="1"/>
    <x v="0"/>
    <x v="4"/>
    <n v="121.54"/>
    <n v="4"/>
    <n v="15.19"/>
    <x v="6"/>
    <x v="3"/>
  </r>
  <r>
    <d v="2024-07-24T00:00:00"/>
    <x v="535"/>
    <x v="3"/>
    <x v="2"/>
    <x v="16"/>
    <n v="2399.96"/>
    <n v="5"/>
    <n v="839.99"/>
    <x v="6"/>
    <x v="3"/>
  </r>
  <r>
    <d v="2024-07-25T00:00:00"/>
    <x v="745"/>
    <x v="19"/>
    <x v="0"/>
    <x v="1"/>
    <n v="20.23"/>
    <n v="7"/>
    <n v="9.51"/>
    <x v="6"/>
    <x v="3"/>
  </r>
  <r>
    <d v="2024-07-25T00:00:00"/>
    <x v="118"/>
    <x v="2"/>
    <x v="0"/>
    <x v="1"/>
    <n v="3.3"/>
    <n v="1"/>
    <n v="1.07"/>
    <x v="6"/>
    <x v="3"/>
  </r>
  <r>
    <d v="2024-07-25T00:00:00"/>
    <x v="405"/>
    <x v="2"/>
    <x v="1"/>
    <x v="8"/>
    <n v="20.100000000000001"/>
    <n v="4"/>
    <n v="3.01"/>
    <x v="6"/>
    <x v="3"/>
  </r>
  <r>
    <d v="2024-07-25T00:00:00"/>
    <x v="405"/>
    <x v="2"/>
    <x v="0"/>
    <x v="14"/>
    <n v="37.75"/>
    <n v="3"/>
    <n v="4.25"/>
    <x v="6"/>
    <x v="3"/>
  </r>
  <r>
    <d v="2024-07-25T00:00:00"/>
    <x v="405"/>
    <x v="2"/>
    <x v="1"/>
    <x v="13"/>
    <n v="138.59"/>
    <n v="1"/>
    <n v="-34.65"/>
    <x v="6"/>
    <x v="3"/>
  </r>
  <r>
    <d v="2024-07-25T00:00:00"/>
    <x v="405"/>
    <x v="2"/>
    <x v="0"/>
    <x v="2"/>
    <n v="259.92"/>
    <n v="5"/>
    <n v="-25.99"/>
    <x v="6"/>
    <x v="3"/>
  </r>
  <r>
    <d v="2024-07-25T00:00:00"/>
    <x v="405"/>
    <x v="2"/>
    <x v="0"/>
    <x v="0"/>
    <n v="20.74"/>
    <n v="4"/>
    <n v="7.26"/>
    <x v="6"/>
    <x v="3"/>
  </r>
  <r>
    <d v="2024-07-25T00:00:00"/>
    <x v="726"/>
    <x v="0"/>
    <x v="1"/>
    <x v="13"/>
    <n v="298.12"/>
    <n v="6"/>
    <n v="-4.26"/>
    <x v="6"/>
    <x v="3"/>
  </r>
  <r>
    <d v="2024-07-26T00:00:00"/>
    <x v="434"/>
    <x v="3"/>
    <x v="2"/>
    <x v="9"/>
    <n v="1649.95"/>
    <n v="5"/>
    <n v="659.98"/>
    <x v="6"/>
    <x v="3"/>
  </r>
  <r>
    <d v="2024-07-26T00:00:00"/>
    <x v="434"/>
    <x v="3"/>
    <x v="1"/>
    <x v="5"/>
    <n v="362.35"/>
    <n v="3"/>
    <n v="45.29"/>
    <x v="6"/>
    <x v="3"/>
  </r>
  <r>
    <d v="2024-07-27T00:00:00"/>
    <x v="110"/>
    <x v="16"/>
    <x v="1"/>
    <x v="8"/>
    <n v="91.03"/>
    <n v="3"/>
    <n v="-2.2799999999999998"/>
    <x v="6"/>
    <x v="3"/>
  </r>
  <r>
    <d v="2024-07-27T00:00:00"/>
    <x v="784"/>
    <x v="20"/>
    <x v="1"/>
    <x v="8"/>
    <n v="14.89"/>
    <n v="1"/>
    <n v="4.0199999999999996"/>
    <x v="6"/>
    <x v="3"/>
  </r>
  <r>
    <d v="2024-07-27T00:00:00"/>
    <x v="784"/>
    <x v="20"/>
    <x v="2"/>
    <x v="6"/>
    <n v="543.91999999999996"/>
    <n v="8"/>
    <n v="135.97999999999999"/>
    <x v="6"/>
    <x v="3"/>
  </r>
  <r>
    <d v="2024-07-27T00:00:00"/>
    <x v="380"/>
    <x v="22"/>
    <x v="1"/>
    <x v="8"/>
    <n v="23.88"/>
    <n v="3"/>
    <n v="10.51"/>
    <x v="6"/>
    <x v="3"/>
  </r>
  <r>
    <d v="2024-07-27T00:00:00"/>
    <x v="380"/>
    <x v="22"/>
    <x v="0"/>
    <x v="0"/>
    <n v="26.2"/>
    <n v="4"/>
    <n v="12.05"/>
    <x v="6"/>
    <x v="3"/>
  </r>
  <r>
    <d v="2024-07-27T00:00:00"/>
    <x v="380"/>
    <x v="22"/>
    <x v="0"/>
    <x v="0"/>
    <n v="12.96"/>
    <n v="2"/>
    <n v="6.22"/>
    <x v="6"/>
    <x v="3"/>
  </r>
  <r>
    <d v="2024-07-27T00:00:00"/>
    <x v="380"/>
    <x v="22"/>
    <x v="2"/>
    <x v="9"/>
    <n v="234.95"/>
    <n v="5"/>
    <n v="32.89"/>
    <x v="6"/>
    <x v="3"/>
  </r>
  <r>
    <d v="2024-07-27T00:00:00"/>
    <x v="677"/>
    <x v="25"/>
    <x v="1"/>
    <x v="5"/>
    <n v="194.85"/>
    <n v="4"/>
    <n v="12.18"/>
    <x v="6"/>
    <x v="3"/>
  </r>
  <r>
    <d v="2024-07-28T00:00:00"/>
    <x v="719"/>
    <x v="3"/>
    <x v="0"/>
    <x v="3"/>
    <n v="9.98"/>
    <n v="4"/>
    <n v="3.62"/>
    <x v="6"/>
    <x v="3"/>
  </r>
  <r>
    <d v="2024-07-28T00:00:00"/>
    <x v="719"/>
    <x v="3"/>
    <x v="0"/>
    <x v="2"/>
    <n v="14.98"/>
    <n v="1"/>
    <n v="4.1900000000000004"/>
    <x v="6"/>
    <x v="3"/>
  </r>
  <r>
    <d v="2024-07-28T00:00:00"/>
    <x v="719"/>
    <x v="3"/>
    <x v="2"/>
    <x v="6"/>
    <n v="1145.5999999999999"/>
    <n v="4"/>
    <n v="100.24"/>
    <x v="6"/>
    <x v="3"/>
  </r>
  <r>
    <d v="2024-07-29T00:00:00"/>
    <x v="643"/>
    <x v="25"/>
    <x v="0"/>
    <x v="12"/>
    <n v="34.85"/>
    <n v="2"/>
    <n v="6.53"/>
    <x v="6"/>
    <x v="3"/>
  </r>
  <r>
    <d v="2024-07-29T00:00:00"/>
    <x v="643"/>
    <x v="25"/>
    <x v="2"/>
    <x v="6"/>
    <n v="22"/>
    <n v="5"/>
    <n v="1.38"/>
    <x v="6"/>
    <x v="3"/>
  </r>
  <r>
    <d v="2024-07-29T00:00:00"/>
    <x v="643"/>
    <x v="25"/>
    <x v="0"/>
    <x v="4"/>
    <n v="4.37"/>
    <n v="3"/>
    <n v="0.38"/>
    <x v="6"/>
    <x v="3"/>
  </r>
  <r>
    <d v="2024-07-29T00:00:00"/>
    <x v="60"/>
    <x v="22"/>
    <x v="2"/>
    <x v="9"/>
    <n v="90.57"/>
    <n v="3"/>
    <n v="11.77"/>
    <x v="6"/>
    <x v="3"/>
  </r>
  <r>
    <d v="2024-07-29T00:00:00"/>
    <x v="174"/>
    <x v="0"/>
    <x v="0"/>
    <x v="7"/>
    <n v="2.9"/>
    <n v="2"/>
    <n v="0.47"/>
    <x v="6"/>
    <x v="3"/>
  </r>
  <r>
    <d v="2024-07-29T00:00:00"/>
    <x v="174"/>
    <x v="0"/>
    <x v="2"/>
    <x v="6"/>
    <n v="124.79"/>
    <n v="1"/>
    <n v="15.6"/>
    <x v="6"/>
    <x v="3"/>
  </r>
  <r>
    <d v="2024-07-29T00:00:00"/>
    <x v="95"/>
    <x v="20"/>
    <x v="0"/>
    <x v="4"/>
    <n v="60.12"/>
    <n v="9"/>
    <n v="22.24"/>
    <x v="6"/>
    <x v="3"/>
  </r>
  <r>
    <d v="2024-07-29T00:00:00"/>
    <x v="334"/>
    <x v="39"/>
    <x v="0"/>
    <x v="3"/>
    <n v="33.479999999999997"/>
    <n v="2"/>
    <n v="16.41"/>
    <x v="6"/>
    <x v="3"/>
  </r>
  <r>
    <d v="2024-07-29T00:00:00"/>
    <x v="334"/>
    <x v="39"/>
    <x v="2"/>
    <x v="6"/>
    <n v="461.97"/>
    <n v="3"/>
    <n v="133.97"/>
    <x v="6"/>
    <x v="3"/>
  </r>
  <r>
    <d v="2024-07-29T00:00:00"/>
    <x v="334"/>
    <x v="39"/>
    <x v="0"/>
    <x v="12"/>
    <n v="137.62"/>
    <n v="2"/>
    <n v="60.55"/>
    <x v="6"/>
    <x v="3"/>
  </r>
  <r>
    <d v="2024-07-29T00:00:00"/>
    <x v="334"/>
    <x v="39"/>
    <x v="1"/>
    <x v="5"/>
    <n v="302.67"/>
    <n v="3"/>
    <n v="72.64"/>
    <x v="6"/>
    <x v="3"/>
  </r>
  <r>
    <d v="2024-07-29T00:00:00"/>
    <x v="339"/>
    <x v="22"/>
    <x v="1"/>
    <x v="11"/>
    <n v="115.96"/>
    <n v="2"/>
    <n v="25.51"/>
    <x v="6"/>
    <x v="3"/>
  </r>
  <r>
    <d v="2024-07-30T00:00:00"/>
    <x v="154"/>
    <x v="3"/>
    <x v="0"/>
    <x v="2"/>
    <n v="330.4"/>
    <n v="2"/>
    <n v="85.9"/>
    <x v="6"/>
    <x v="3"/>
  </r>
  <r>
    <d v="2024-07-30T00:00:00"/>
    <x v="154"/>
    <x v="3"/>
    <x v="0"/>
    <x v="1"/>
    <n v="26.25"/>
    <n v="7"/>
    <n v="12.6"/>
    <x v="6"/>
    <x v="3"/>
  </r>
  <r>
    <d v="2024-07-30T00:00:00"/>
    <x v="529"/>
    <x v="10"/>
    <x v="0"/>
    <x v="3"/>
    <n v="76.78"/>
    <n v="4"/>
    <n v="-53.74"/>
    <x v="6"/>
    <x v="3"/>
  </r>
  <r>
    <d v="2024-07-30T00:00:00"/>
    <x v="705"/>
    <x v="36"/>
    <x v="2"/>
    <x v="6"/>
    <n v="89.95"/>
    <n v="5"/>
    <n v="43.18"/>
    <x v="6"/>
    <x v="3"/>
  </r>
  <r>
    <d v="2024-07-31T00:00:00"/>
    <x v="400"/>
    <x v="2"/>
    <x v="0"/>
    <x v="0"/>
    <n v="54.82"/>
    <n v="3"/>
    <n v="17.82"/>
    <x v="6"/>
    <x v="3"/>
  </r>
  <r>
    <d v="2024-07-31T00:00:00"/>
    <x v="469"/>
    <x v="16"/>
    <x v="2"/>
    <x v="9"/>
    <n v="41.42"/>
    <n v="2"/>
    <n v="8.2799999999999994"/>
    <x v="6"/>
    <x v="3"/>
  </r>
  <r>
    <d v="2024-07-31T00:00:00"/>
    <x v="682"/>
    <x v="1"/>
    <x v="2"/>
    <x v="6"/>
    <n v="36.79"/>
    <n v="1"/>
    <n v="4.1399999999999997"/>
    <x v="6"/>
    <x v="3"/>
  </r>
  <r>
    <d v="2024-07-31T00:00:00"/>
    <x v="574"/>
    <x v="3"/>
    <x v="0"/>
    <x v="2"/>
    <n v="56.56"/>
    <n v="2"/>
    <n v="15.27"/>
    <x v="6"/>
    <x v="3"/>
  </r>
  <r>
    <d v="2024-07-31T00:00:00"/>
    <x v="574"/>
    <x v="3"/>
    <x v="1"/>
    <x v="8"/>
    <n v="36.96"/>
    <n v="7"/>
    <n v="11.46"/>
    <x v="6"/>
    <x v="3"/>
  </r>
  <r>
    <d v="2024-07-31T00:00:00"/>
    <x v="465"/>
    <x v="21"/>
    <x v="0"/>
    <x v="3"/>
    <n v="17.52"/>
    <n v="4"/>
    <n v="8.41"/>
    <x v="6"/>
    <x v="3"/>
  </r>
  <r>
    <d v="2024-07-31T00:00:00"/>
    <x v="465"/>
    <x v="21"/>
    <x v="0"/>
    <x v="12"/>
    <n v="155.88"/>
    <n v="6"/>
    <n v="54.56"/>
    <x v="6"/>
    <x v="3"/>
  </r>
  <r>
    <d v="2024-07-31T00:00:00"/>
    <x v="193"/>
    <x v="2"/>
    <x v="2"/>
    <x v="6"/>
    <n v="285.58"/>
    <n v="4"/>
    <n v="-57.12"/>
    <x v="6"/>
    <x v="3"/>
  </r>
  <r>
    <d v="2024-07-31T00:00:00"/>
    <x v="162"/>
    <x v="7"/>
    <x v="0"/>
    <x v="0"/>
    <n v="11.54"/>
    <n v="1"/>
    <n v="5.54"/>
    <x v="6"/>
    <x v="3"/>
  </r>
  <r>
    <d v="2024-07-31T00:00:00"/>
    <x v="162"/>
    <x v="7"/>
    <x v="0"/>
    <x v="3"/>
    <n v="849.95"/>
    <n v="5"/>
    <n v="390.98"/>
    <x v="6"/>
    <x v="3"/>
  </r>
  <r>
    <d v="2024-07-31T00:00:00"/>
    <x v="162"/>
    <x v="7"/>
    <x v="0"/>
    <x v="3"/>
    <n v="11.01"/>
    <n v="3"/>
    <n v="5.39"/>
    <x v="6"/>
    <x v="3"/>
  </r>
  <r>
    <d v="2024-08-01T00:00:00"/>
    <x v="372"/>
    <x v="1"/>
    <x v="2"/>
    <x v="6"/>
    <n v="95.98"/>
    <n v="2"/>
    <n v="6"/>
    <x v="7"/>
    <x v="3"/>
  </r>
  <r>
    <d v="2024-08-01T00:00:00"/>
    <x v="420"/>
    <x v="25"/>
    <x v="2"/>
    <x v="6"/>
    <n v="271.95999999999998"/>
    <n v="5"/>
    <n v="17"/>
    <x v="7"/>
    <x v="3"/>
  </r>
  <r>
    <d v="2024-08-01T00:00:00"/>
    <x v="322"/>
    <x v="0"/>
    <x v="2"/>
    <x v="15"/>
    <n v="1439.98"/>
    <n v="3"/>
    <n v="-264"/>
    <x v="7"/>
    <x v="3"/>
  </r>
  <r>
    <d v="2024-08-01T00:00:00"/>
    <x v="322"/>
    <x v="0"/>
    <x v="0"/>
    <x v="0"/>
    <n v="36.29"/>
    <n v="7"/>
    <n v="12.7"/>
    <x v="7"/>
    <x v="3"/>
  </r>
  <r>
    <d v="2024-08-01T00:00:00"/>
    <x v="252"/>
    <x v="3"/>
    <x v="0"/>
    <x v="3"/>
    <n v="54.9"/>
    <n v="2"/>
    <n v="18.53"/>
    <x v="7"/>
    <x v="3"/>
  </r>
  <r>
    <d v="2024-08-01T00:00:00"/>
    <x v="699"/>
    <x v="3"/>
    <x v="0"/>
    <x v="2"/>
    <n v="186.54"/>
    <n v="3"/>
    <n v="50.37"/>
    <x v="7"/>
    <x v="3"/>
  </r>
  <r>
    <d v="2024-08-03T00:00:00"/>
    <x v="693"/>
    <x v="1"/>
    <x v="1"/>
    <x v="11"/>
    <n v="183.37"/>
    <n v="2"/>
    <n v="-36.67"/>
    <x v="7"/>
    <x v="3"/>
  </r>
  <r>
    <d v="2024-08-03T00:00:00"/>
    <x v="664"/>
    <x v="3"/>
    <x v="0"/>
    <x v="1"/>
    <n v="51.75"/>
    <n v="5"/>
    <n v="24.84"/>
    <x v="7"/>
    <x v="3"/>
  </r>
  <r>
    <d v="2024-08-03T00:00:00"/>
    <x v="664"/>
    <x v="3"/>
    <x v="1"/>
    <x v="8"/>
    <n v="123.96"/>
    <n v="3"/>
    <n v="11.16"/>
    <x v="7"/>
    <x v="3"/>
  </r>
  <r>
    <d v="2024-08-03T00:00:00"/>
    <x v="208"/>
    <x v="3"/>
    <x v="0"/>
    <x v="2"/>
    <n v="99.87"/>
    <n v="3"/>
    <n v="23.97"/>
    <x v="7"/>
    <x v="3"/>
  </r>
  <r>
    <d v="2024-08-03T00:00:00"/>
    <x v="579"/>
    <x v="1"/>
    <x v="2"/>
    <x v="9"/>
    <n v="39.82"/>
    <n v="3"/>
    <n v="7.47"/>
    <x v="7"/>
    <x v="3"/>
  </r>
  <r>
    <d v="2024-08-03T00:00:00"/>
    <x v="759"/>
    <x v="22"/>
    <x v="0"/>
    <x v="2"/>
    <n v="16.059999999999999"/>
    <n v="1"/>
    <n v="4.18"/>
    <x v="7"/>
    <x v="3"/>
  </r>
  <r>
    <d v="2024-08-03T00:00:00"/>
    <x v="764"/>
    <x v="10"/>
    <x v="0"/>
    <x v="1"/>
    <n v="16.52"/>
    <n v="5"/>
    <n v="5.37"/>
    <x v="7"/>
    <x v="3"/>
  </r>
  <r>
    <d v="2024-08-04T00:00:00"/>
    <x v="312"/>
    <x v="26"/>
    <x v="0"/>
    <x v="0"/>
    <n v="7.97"/>
    <n v="2"/>
    <n v="2.89"/>
    <x v="7"/>
    <x v="3"/>
  </r>
  <r>
    <d v="2024-08-04T00:00:00"/>
    <x v="312"/>
    <x v="26"/>
    <x v="0"/>
    <x v="10"/>
    <n v="8.7799999999999994"/>
    <n v="1"/>
    <n v="3.18"/>
    <x v="7"/>
    <x v="3"/>
  </r>
  <r>
    <d v="2024-08-04T00:00:00"/>
    <x v="312"/>
    <x v="0"/>
    <x v="0"/>
    <x v="3"/>
    <n v="3.32"/>
    <n v="3"/>
    <n v="-5.64"/>
    <x v="7"/>
    <x v="3"/>
  </r>
  <r>
    <d v="2024-08-05T00:00:00"/>
    <x v="203"/>
    <x v="5"/>
    <x v="0"/>
    <x v="0"/>
    <n v="13.76"/>
    <n v="2"/>
    <n v="6.33"/>
    <x v="7"/>
    <x v="3"/>
  </r>
  <r>
    <d v="2024-08-05T00:00:00"/>
    <x v="327"/>
    <x v="0"/>
    <x v="0"/>
    <x v="2"/>
    <n v="151.06"/>
    <n v="9"/>
    <n v="7.55"/>
    <x v="7"/>
    <x v="3"/>
  </r>
  <r>
    <d v="2024-08-05T00:00:00"/>
    <x v="99"/>
    <x v="18"/>
    <x v="0"/>
    <x v="3"/>
    <n v="125.88"/>
    <n v="6"/>
    <n v="60.42"/>
    <x v="7"/>
    <x v="3"/>
  </r>
  <r>
    <d v="2024-08-05T00:00:00"/>
    <x v="99"/>
    <x v="18"/>
    <x v="2"/>
    <x v="9"/>
    <n v="79.78"/>
    <n v="2"/>
    <n v="29.52"/>
    <x v="7"/>
    <x v="3"/>
  </r>
  <r>
    <d v="2024-08-05T00:00:00"/>
    <x v="99"/>
    <x v="18"/>
    <x v="0"/>
    <x v="1"/>
    <n v="133.19999999999999"/>
    <n v="9"/>
    <n v="66.599999999999994"/>
    <x v="7"/>
    <x v="3"/>
  </r>
  <r>
    <d v="2024-08-06T00:00:00"/>
    <x v="9"/>
    <x v="8"/>
    <x v="1"/>
    <x v="11"/>
    <n v="145.74"/>
    <n v="3"/>
    <n v="23.32"/>
    <x v="7"/>
    <x v="3"/>
  </r>
  <r>
    <d v="2024-08-06T00:00:00"/>
    <x v="9"/>
    <x v="8"/>
    <x v="1"/>
    <x v="8"/>
    <n v="15.4"/>
    <n v="5"/>
    <n v="7.39"/>
    <x v="7"/>
    <x v="3"/>
  </r>
  <r>
    <d v="2024-08-06T00:00:00"/>
    <x v="735"/>
    <x v="0"/>
    <x v="0"/>
    <x v="0"/>
    <n v="115.3"/>
    <n v="3"/>
    <n v="40.35"/>
    <x v="7"/>
    <x v="3"/>
  </r>
  <r>
    <d v="2024-08-06T00:00:00"/>
    <x v="146"/>
    <x v="38"/>
    <x v="2"/>
    <x v="6"/>
    <n v="824.95"/>
    <n v="5"/>
    <n v="247.49"/>
    <x v="7"/>
    <x v="3"/>
  </r>
  <r>
    <d v="2024-08-06T00:00:00"/>
    <x v="146"/>
    <x v="38"/>
    <x v="0"/>
    <x v="1"/>
    <n v="24.64"/>
    <n v="8"/>
    <n v="11.83"/>
    <x v="7"/>
    <x v="3"/>
  </r>
  <r>
    <d v="2024-08-06T00:00:00"/>
    <x v="146"/>
    <x v="38"/>
    <x v="0"/>
    <x v="4"/>
    <n v="227.88"/>
    <n v="6"/>
    <n v="68.36"/>
    <x v="7"/>
    <x v="3"/>
  </r>
  <r>
    <d v="2024-08-06T00:00:00"/>
    <x v="489"/>
    <x v="20"/>
    <x v="0"/>
    <x v="14"/>
    <n v="70.12"/>
    <n v="4"/>
    <n v="21.04"/>
    <x v="7"/>
    <x v="3"/>
  </r>
  <r>
    <d v="2024-08-07T00:00:00"/>
    <x v="667"/>
    <x v="25"/>
    <x v="2"/>
    <x v="9"/>
    <n v="79.989999999999995"/>
    <n v="1"/>
    <n v="22"/>
    <x v="7"/>
    <x v="3"/>
  </r>
  <r>
    <d v="2024-08-07T00:00:00"/>
    <x v="677"/>
    <x v="20"/>
    <x v="0"/>
    <x v="4"/>
    <n v="11.68"/>
    <n v="2"/>
    <n v="5.49"/>
    <x v="7"/>
    <x v="3"/>
  </r>
  <r>
    <d v="2024-08-07T00:00:00"/>
    <x v="677"/>
    <x v="20"/>
    <x v="0"/>
    <x v="4"/>
    <n v="104.8"/>
    <n v="10"/>
    <n v="26.2"/>
    <x v="7"/>
    <x v="3"/>
  </r>
  <r>
    <d v="2024-08-07T00:00:00"/>
    <x v="144"/>
    <x v="3"/>
    <x v="2"/>
    <x v="6"/>
    <n v="159.96"/>
    <n v="5"/>
    <n v="18"/>
    <x v="7"/>
    <x v="3"/>
  </r>
  <r>
    <d v="2024-08-07T00:00:00"/>
    <x v="144"/>
    <x v="3"/>
    <x v="0"/>
    <x v="3"/>
    <n v="13.76"/>
    <n v="2"/>
    <n v="4.6399999999999997"/>
    <x v="7"/>
    <x v="3"/>
  </r>
  <r>
    <d v="2024-08-07T00:00:00"/>
    <x v="204"/>
    <x v="28"/>
    <x v="2"/>
    <x v="9"/>
    <n v="63.96"/>
    <n v="4"/>
    <n v="19.829999999999998"/>
    <x v="7"/>
    <x v="3"/>
  </r>
  <r>
    <d v="2024-08-07T00:00:00"/>
    <x v="550"/>
    <x v="3"/>
    <x v="0"/>
    <x v="0"/>
    <n v="244.55"/>
    <n v="5"/>
    <n v="114.94"/>
    <x v="7"/>
    <x v="3"/>
  </r>
  <r>
    <d v="2024-08-07T00:00:00"/>
    <x v="74"/>
    <x v="0"/>
    <x v="2"/>
    <x v="9"/>
    <n v="119.45"/>
    <n v="3"/>
    <n v="-13.44"/>
    <x v="7"/>
    <x v="3"/>
  </r>
  <r>
    <d v="2024-08-07T00:00:00"/>
    <x v="74"/>
    <x v="0"/>
    <x v="0"/>
    <x v="2"/>
    <n v="118.16"/>
    <n v="2"/>
    <n v="-25.11"/>
    <x v="7"/>
    <x v="3"/>
  </r>
  <r>
    <d v="2024-08-07T00:00:00"/>
    <x v="506"/>
    <x v="3"/>
    <x v="2"/>
    <x v="6"/>
    <n v="707.88"/>
    <n v="3"/>
    <n v="44.24"/>
    <x v="7"/>
    <x v="3"/>
  </r>
  <r>
    <d v="2024-08-07T00:00:00"/>
    <x v="506"/>
    <x v="3"/>
    <x v="0"/>
    <x v="3"/>
    <n v="11.95"/>
    <n v="3"/>
    <n v="4.18"/>
    <x v="7"/>
    <x v="3"/>
  </r>
  <r>
    <d v="2024-08-07T00:00:00"/>
    <x v="506"/>
    <x v="3"/>
    <x v="0"/>
    <x v="3"/>
    <n v="31.13"/>
    <n v="3"/>
    <n v="11.67"/>
    <x v="7"/>
    <x v="3"/>
  </r>
  <r>
    <d v="2024-08-07T00:00:00"/>
    <x v="506"/>
    <x v="3"/>
    <x v="2"/>
    <x v="9"/>
    <n v="55.76"/>
    <n v="4"/>
    <n v="7.81"/>
    <x v="7"/>
    <x v="3"/>
  </r>
  <r>
    <d v="2024-08-07T00:00:00"/>
    <x v="506"/>
    <x v="3"/>
    <x v="0"/>
    <x v="0"/>
    <n v="24.56"/>
    <n v="2"/>
    <n v="11.54"/>
    <x v="7"/>
    <x v="3"/>
  </r>
  <r>
    <d v="2024-08-07T00:00:00"/>
    <x v="506"/>
    <x v="3"/>
    <x v="1"/>
    <x v="8"/>
    <n v="51.75"/>
    <n v="1"/>
    <n v="15.53"/>
    <x v="7"/>
    <x v="3"/>
  </r>
  <r>
    <d v="2024-08-07T00:00:00"/>
    <x v="506"/>
    <x v="3"/>
    <x v="1"/>
    <x v="5"/>
    <n v="207.18"/>
    <n v="1"/>
    <n v="25.9"/>
    <x v="7"/>
    <x v="3"/>
  </r>
  <r>
    <d v="2024-08-07T00:00:00"/>
    <x v="506"/>
    <x v="3"/>
    <x v="0"/>
    <x v="12"/>
    <n v="1473.1"/>
    <n v="5"/>
    <n v="412.47"/>
    <x v="7"/>
    <x v="3"/>
  </r>
  <r>
    <d v="2024-08-10T00:00:00"/>
    <x v="325"/>
    <x v="18"/>
    <x v="0"/>
    <x v="10"/>
    <n v="70.08"/>
    <n v="6"/>
    <n v="35.04"/>
    <x v="7"/>
    <x v="3"/>
  </r>
  <r>
    <d v="2024-08-10T00:00:00"/>
    <x v="325"/>
    <x v="18"/>
    <x v="1"/>
    <x v="8"/>
    <n v="121.3"/>
    <n v="2"/>
    <n v="25.47"/>
    <x v="7"/>
    <x v="3"/>
  </r>
  <r>
    <d v="2024-08-10T00:00:00"/>
    <x v="325"/>
    <x v="18"/>
    <x v="2"/>
    <x v="6"/>
    <n v="1454.49"/>
    <n v="9"/>
    <n v="378.17"/>
    <x v="7"/>
    <x v="3"/>
  </r>
  <r>
    <d v="2024-08-10T00:00:00"/>
    <x v="571"/>
    <x v="18"/>
    <x v="0"/>
    <x v="0"/>
    <n v="177.2"/>
    <n v="5"/>
    <n v="83.28"/>
    <x v="7"/>
    <x v="3"/>
  </r>
  <r>
    <d v="2024-08-11T00:00:00"/>
    <x v="472"/>
    <x v="0"/>
    <x v="0"/>
    <x v="0"/>
    <n v="29.66"/>
    <n v="4"/>
    <n v="10.01"/>
    <x v="7"/>
    <x v="3"/>
  </r>
  <r>
    <d v="2024-08-11T00:00:00"/>
    <x v="472"/>
    <x v="0"/>
    <x v="0"/>
    <x v="4"/>
    <n v="9.18"/>
    <n v="7"/>
    <n v="2.87"/>
    <x v="7"/>
    <x v="3"/>
  </r>
  <r>
    <d v="2024-08-11T00:00:00"/>
    <x v="472"/>
    <x v="0"/>
    <x v="2"/>
    <x v="6"/>
    <n v="153.58000000000001"/>
    <n v="2"/>
    <n v="13.44"/>
    <x v="7"/>
    <x v="3"/>
  </r>
  <r>
    <d v="2024-08-11T00:00:00"/>
    <x v="472"/>
    <x v="0"/>
    <x v="0"/>
    <x v="3"/>
    <n v="12.86"/>
    <n v="8"/>
    <n v="-22.51"/>
    <x v="7"/>
    <x v="3"/>
  </r>
  <r>
    <d v="2024-08-11T00:00:00"/>
    <x v="108"/>
    <x v="8"/>
    <x v="0"/>
    <x v="3"/>
    <n v="477.51"/>
    <n v="11"/>
    <n v="219.65"/>
    <x v="7"/>
    <x v="3"/>
  </r>
  <r>
    <d v="2024-08-11T00:00:00"/>
    <x v="694"/>
    <x v="20"/>
    <x v="0"/>
    <x v="0"/>
    <n v="25.92"/>
    <n v="4"/>
    <n v="12.44"/>
    <x v="7"/>
    <x v="3"/>
  </r>
  <r>
    <d v="2024-08-12T00:00:00"/>
    <x v="356"/>
    <x v="16"/>
    <x v="0"/>
    <x v="0"/>
    <n v="20.74"/>
    <n v="4"/>
    <n v="7.26"/>
    <x v="7"/>
    <x v="3"/>
  </r>
  <r>
    <d v="2024-08-12T00:00:00"/>
    <x v="176"/>
    <x v="3"/>
    <x v="0"/>
    <x v="12"/>
    <n v="542.94000000000005"/>
    <n v="3"/>
    <n v="152.02000000000001"/>
    <x v="7"/>
    <x v="3"/>
  </r>
  <r>
    <d v="2024-08-12T00:00:00"/>
    <x v="176"/>
    <x v="3"/>
    <x v="1"/>
    <x v="8"/>
    <n v="54.92"/>
    <n v="4"/>
    <n v="19.77"/>
    <x v="7"/>
    <x v="3"/>
  </r>
  <r>
    <d v="2024-08-12T00:00:00"/>
    <x v="653"/>
    <x v="36"/>
    <x v="0"/>
    <x v="4"/>
    <n v="17.52"/>
    <n v="3"/>
    <n v="5.26"/>
    <x v="7"/>
    <x v="3"/>
  </r>
  <r>
    <d v="2024-08-12T00:00:00"/>
    <x v="653"/>
    <x v="36"/>
    <x v="1"/>
    <x v="5"/>
    <n v="1779.9"/>
    <n v="5"/>
    <n v="373.78"/>
    <x v="7"/>
    <x v="3"/>
  </r>
  <r>
    <d v="2024-08-12T00:00:00"/>
    <x v="653"/>
    <x v="36"/>
    <x v="0"/>
    <x v="4"/>
    <n v="219.9"/>
    <n v="5"/>
    <n v="59.37"/>
    <x v="7"/>
    <x v="3"/>
  </r>
  <r>
    <d v="2024-08-12T00:00:00"/>
    <x v="613"/>
    <x v="22"/>
    <x v="2"/>
    <x v="16"/>
    <n v="299.99"/>
    <n v="1"/>
    <n v="90"/>
    <x v="7"/>
    <x v="3"/>
  </r>
  <r>
    <d v="2024-08-12T00:00:00"/>
    <x v="613"/>
    <x v="22"/>
    <x v="0"/>
    <x v="0"/>
    <n v="192.16"/>
    <n v="4"/>
    <n v="92.24"/>
    <x v="7"/>
    <x v="3"/>
  </r>
  <r>
    <d v="2024-08-12T00:00:00"/>
    <x v="613"/>
    <x v="22"/>
    <x v="2"/>
    <x v="6"/>
    <n v="242.62"/>
    <n v="8"/>
    <n v="27.3"/>
    <x v="7"/>
    <x v="3"/>
  </r>
  <r>
    <d v="2024-08-12T00:00:00"/>
    <x v="613"/>
    <x v="22"/>
    <x v="0"/>
    <x v="2"/>
    <n v="46.74"/>
    <n v="3"/>
    <n v="11.69"/>
    <x v="7"/>
    <x v="3"/>
  </r>
  <r>
    <d v="2024-08-12T00:00:00"/>
    <x v="613"/>
    <x v="22"/>
    <x v="2"/>
    <x v="9"/>
    <n v="174.95"/>
    <n v="5"/>
    <n v="12.25"/>
    <x v="7"/>
    <x v="3"/>
  </r>
  <r>
    <d v="2024-08-12T00:00:00"/>
    <x v="613"/>
    <x v="22"/>
    <x v="0"/>
    <x v="3"/>
    <n v="100.7"/>
    <n v="6"/>
    <n v="37.76"/>
    <x v="7"/>
    <x v="3"/>
  </r>
  <r>
    <d v="2024-08-13T00:00:00"/>
    <x v="144"/>
    <x v="3"/>
    <x v="0"/>
    <x v="2"/>
    <n v="31.44"/>
    <n v="3"/>
    <n v="8.49"/>
    <x v="7"/>
    <x v="3"/>
  </r>
  <r>
    <d v="2024-08-13T00:00:00"/>
    <x v="144"/>
    <x v="3"/>
    <x v="0"/>
    <x v="12"/>
    <n v="83.79"/>
    <n v="7"/>
    <n v="22.62"/>
    <x v="7"/>
    <x v="3"/>
  </r>
  <r>
    <d v="2024-08-13T00:00:00"/>
    <x v="144"/>
    <x v="3"/>
    <x v="0"/>
    <x v="4"/>
    <n v="59.52"/>
    <n v="3"/>
    <n v="15.48"/>
    <x v="7"/>
    <x v="3"/>
  </r>
  <r>
    <d v="2024-08-13T00:00:00"/>
    <x v="144"/>
    <x v="3"/>
    <x v="0"/>
    <x v="14"/>
    <n v="31.92"/>
    <n v="4"/>
    <n v="9.26"/>
    <x v="7"/>
    <x v="3"/>
  </r>
  <r>
    <d v="2024-08-13T00:00:00"/>
    <x v="435"/>
    <x v="2"/>
    <x v="0"/>
    <x v="1"/>
    <n v="17.54"/>
    <n v="3"/>
    <n v="5.92"/>
    <x v="7"/>
    <x v="3"/>
  </r>
  <r>
    <d v="2024-08-13T00:00:00"/>
    <x v="521"/>
    <x v="3"/>
    <x v="0"/>
    <x v="3"/>
    <n v="36.020000000000003"/>
    <n v="3"/>
    <n v="11.71"/>
    <x v="7"/>
    <x v="3"/>
  </r>
  <r>
    <d v="2024-08-13T00:00:00"/>
    <x v="284"/>
    <x v="15"/>
    <x v="0"/>
    <x v="12"/>
    <n v="272.05"/>
    <n v="7"/>
    <n v="30.61"/>
    <x v="7"/>
    <x v="3"/>
  </r>
  <r>
    <d v="2024-08-13T00:00:00"/>
    <x v="284"/>
    <x v="15"/>
    <x v="0"/>
    <x v="3"/>
    <n v="1614.58"/>
    <n v="6"/>
    <n v="-1237.8499999999999"/>
    <x v="7"/>
    <x v="3"/>
  </r>
  <r>
    <d v="2024-08-13T00:00:00"/>
    <x v="284"/>
    <x v="15"/>
    <x v="0"/>
    <x v="7"/>
    <n v="24.32"/>
    <n v="5"/>
    <n v="9.1199999999999992"/>
    <x v="7"/>
    <x v="3"/>
  </r>
  <r>
    <d v="2024-08-13T00:00:00"/>
    <x v="284"/>
    <x v="15"/>
    <x v="2"/>
    <x v="9"/>
    <n v="1.58"/>
    <n v="2"/>
    <n v="0.48"/>
    <x v="7"/>
    <x v="3"/>
  </r>
  <r>
    <d v="2024-08-13T00:00:00"/>
    <x v="284"/>
    <x v="15"/>
    <x v="1"/>
    <x v="8"/>
    <n v="31.98"/>
    <n v="1"/>
    <n v="0"/>
    <x v="7"/>
    <x v="3"/>
  </r>
  <r>
    <d v="2024-08-13T00:00:00"/>
    <x v="284"/>
    <x v="15"/>
    <x v="0"/>
    <x v="10"/>
    <n v="14.76"/>
    <n v="5"/>
    <n v="4.8"/>
    <x v="7"/>
    <x v="3"/>
  </r>
  <r>
    <d v="2024-08-13T00:00:00"/>
    <x v="284"/>
    <x v="15"/>
    <x v="1"/>
    <x v="5"/>
    <n v="423.65"/>
    <n v="2"/>
    <n v="47.66"/>
    <x v="7"/>
    <x v="3"/>
  </r>
  <r>
    <d v="2024-08-14T00:00:00"/>
    <x v="377"/>
    <x v="3"/>
    <x v="0"/>
    <x v="1"/>
    <n v="5.76"/>
    <n v="2"/>
    <n v="2.82"/>
    <x v="7"/>
    <x v="3"/>
  </r>
  <r>
    <d v="2024-08-14T00:00:00"/>
    <x v="377"/>
    <x v="3"/>
    <x v="0"/>
    <x v="4"/>
    <n v="16.68"/>
    <n v="6"/>
    <n v="4.34"/>
    <x v="7"/>
    <x v="3"/>
  </r>
  <r>
    <d v="2024-08-14T00:00:00"/>
    <x v="744"/>
    <x v="3"/>
    <x v="1"/>
    <x v="13"/>
    <n v="418.3"/>
    <n v="3"/>
    <n v="5.23"/>
    <x v="7"/>
    <x v="3"/>
  </r>
  <r>
    <d v="2024-08-15T00:00:00"/>
    <x v="229"/>
    <x v="23"/>
    <x v="0"/>
    <x v="12"/>
    <n v="97.84"/>
    <n v="2"/>
    <n v="25.44"/>
    <x v="7"/>
    <x v="3"/>
  </r>
  <r>
    <d v="2024-08-15T00:00:00"/>
    <x v="729"/>
    <x v="2"/>
    <x v="0"/>
    <x v="2"/>
    <n v="1801.63"/>
    <n v="6"/>
    <n v="-337.81"/>
    <x v="7"/>
    <x v="3"/>
  </r>
  <r>
    <d v="2024-08-15T00:00:00"/>
    <x v="731"/>
    <x v="28"/>
    <x v="0"/>
    <x v="1"/>
    <n v="50.4"/>
    <n v="8"/>
    <n v="23.18"/>
    <x v="7"/>
    <x v="3"/>
  </r>
  <r>
    <d v="2024-08-16T00:00:00"/>
    <x v="605"/>
    <x v="15"/>
    <x v="0"/>
    <x v="3"/>
    <n v="13.43"/>
    <n v="3"/>
    <n v="-11.19"/>
    <x v="7"/>
    <x v="3"/>
  </r>
  <r>
    <d v="2024-08-16T00:00:00"/>
    <x v="605"/>
    <x v="15"/>
    <x v="0"/>
    <x v="2"/>
    <n v="67.14"/>
    <n v="4"/>
    <n v="-0.84"/>
    <x v="7"/>
    <x v="3"/>
  </r>
  <r>
    <d v="2024-08-17T00:00:00"/>
    <x v="150"/>
    <x v="20"/>
    <x v="0"/>
    <x v="3"/>
    <n v="895.92"/>
    <n v="5"/>
    <n v="302.37"/>
    <x v="7"/>
    <x v="3"/>
  </r>
  <r>
    <d v="2024-08-17T00:00:00"/>
    <x v="150"/>
    <x v="20"/>
    <x v="1"/>
    <x v="5"/>
    <n v="462.56"/>
    <n v="2"/>
    <n v="97.65"/>
    <x v="7"/>
    <x v="3"/>
  </r>
  <r>
    <d v="2024-08-17T00:00:00"/>
    <x v="303"/>
    <x v="5"/>
    <x v="0"/>
    <x v="3"/>
    <n v="102.93"/>
    <n v="3"/>
    <n v="48.38"/>
    <x v="7"/>
    <x v="3"/>
  </r>
  <r>
    <d v="2024-08-17T00:00:00"/>
    <x v="303"/>
    <x v="5"/>
    <x v="2"/>
    <x v="9"/>
    <n v="98.16"/>
    <n v="6"/>
    <n v="9.82"/>
    <x v="7"/>
    <x v="3"/>
  </r>
  <r>
    <d v="2024-08-17T00:00:00"/>
    <x v="341"/>
    <x v="0"/>
    <x v="0"/>
    <x v="14"/>
    <n v="5.55"/>
    <n v="2"/>
    <n v="-1.04"/>
    <x v="7"/>
    <x v="3"/>
  </r>
  <r>
    <d v="2024-08-17T00:00:00"/>
    <x v="341"/>
    <x v="0"/>
    <x v="0"/>
    <x v="4"/>
    <n v="8.02"/>
    <n v="3"/>
    <n v="1"/>
    <x v="7"/>
    <x v="3"/>
  </r>
  <r>
    <d v="2024-08-17T00:00:00"/>
    <x v="341"/>
    <x v="0"/>
    <x v="1"/>
    <x v="5"/>
    <n v="74.59"/>
    <n v="4"/>
    <n v="-2.13"/>
    <x v="7"/>
    <x v="3"/>
  </r>
  <r>
    <d v="2024-08-17T00:00:00"/>
    <x v="341"/>
    <x v="0"/>
    <x v="1"/>
    <x v="8"/>
    <n v="16.78"/>
    <n v="2"/>
    <n v="-22.24"/>
    <x v="7"/>
    <x v="3"/>
  </r>
  <r>
    <d v="2024-08-17T00:00:00"/>
    <x v="341"/>
    <x v="0"/>
    <x v="0"/>
    <x v="12"/>
    <n v="38.86"/>
    <n v="4"/>
    <n v="-99.1"/>
    <x v="7"/>
    <x v="3"/>
  </r>
  <r>
    <d v="2024-08-17T00:00:00"/>
    <x v="717"/>
    <x v="2"/>
    <x v="1"/>
    <x v="5"/>
    <n v="4416.17"/>
    <n v="9"/>
    <n v="-630.88"/>
    <x v="7"/>
    <x v="3"/>
  </r>
  <r>
    <d v="2024-08-17T00:00:00"/>
    <x v="602"/>
    <x v="3"/>
    <x v="0"/>
    <x v="10"/>
    <n v="23.36"/>
    <n v="2"/>
    <n v="11.68"/>
    <x v="7"/>
    <x v="3"/>
  </r>
  <r>
    <d v="2024-08-17T00:00:00"/>
    <x v="602"/>
    <x v="3"/>
    <x v="2"/>
    <x v="6"/>
    <n v="71.98"/>
    <n v="3"/>
    <n v="9"/>
    <x v="7"/>
    <x v="3"/>
  </r>
  <r>
    <d v="2024-08-17T00:00:00"/>
    <x v="602"/>
    <x v="3"/>
    <x v="0"/>
    <x v="0"/>
    <n v="8.56"/>
    <n v="2"/>
    <n v="3.85"/>
    <x v="7"/>
    <x v="3"/>
  </r>
  <r>
    <d v="2024-08-17T00:00:00"/>
    <x v="602"/>
    <x v="3"/>
    <x v="0"/>
    <x v="3"/>
    <n v="13.92"/>
    <n v="3"/>
    <n v="4.87"/>
    <x v="7"/>
    <x v="3"/>
  </r>
  <r>
    <d v="2024-08-17T00:00:00"/>
    <x v="602"/>
    <x v="3"/>
    <x v="0"/>
    <x v="12"/>
    <n v="2518.29"/>
    <n v="9"/>
    <n v="654.76"/>
    <x v="7"/>
    <x v="3"/>
  </r>
  <r>
    <d v="2024-08-17T00:00:00"/>
    <x v="602"/>
    <x v="3"/>
    <x v="0"/>
    <x v="2"/>
    <n v="540.57000000000005"/>
    <n v="3"/>
    <n v="140.55000000000001"/>
    <x v="7"/>
    <x v="3"/>
  </r>
  <r>
    <d v="2024-08-17T00:00:00"/>
    <x v="602"/>
    <x v="3"/>
    <x v="0"/>
    <x v="3"/>
    <n v="221.06"/>
    <n v="8"/>
    <n v="77.37"/>
    <x v="7"/>
    <x v="3"/>
  </r>
  <r>
    <d v="2024-08-18T00:00:00"/>
    <x v="537"/>
    <x v="20"/>
    <x v="1"/>
    <x v="8"/>
    <n v="40.479999999999997"/>
    <n v="2"/>
    <n v="15.79"/>
    <x v="7"/>
    <x v="3"/>
  </r>
  <r>
    <d v="2024-08-18T00:00:00"/>
    <x v="537"/>
    <x v="20"/>
    <x v="1"/>
    <x v="8"/>
    <n v="9.94"/>
    <n v="2"/>
    <n v="3.08"/>
    <x v="7"/>
    <x v="3"/>
  </r>
  <r>
    <d v="2024-08-18T00:00:00"/>
    <x v="537"/>
    <x v="20"/>
    <x v="0"/>
    <x v="3"/>
    <n v="107.42"/>
    <n v="9"/>
    <n v="33.57"/>
    <x v="7"/>
    <x v="3"/>
  </r>
  <r>
    <d v="2024-08-18T00:00:00"/>
    <x v="537"/>
    <x v="20"/>
    <x v="2"/>
    <x v="6"/>
    <n v="37.909999999999997"/>
    <n v="1"/>
    <n v="10.99"/>
    <x v="7"/>
    <x v="3"/>
  </r>
  <r>
    <d v="2024-08-18T00:00:00"/>
    <x v="537"/>
    <x v="20"/>
    <x v="1"/>
    <x v="8"/>
    <n v="88.02"/>
    <n v="3"/>
    <n v="27.29"/>
    <x v="7"/>
    <x v="3"/>
  </r>
  <r>
    <d v="2024-08-18T00:00:00"/>
    <x v="277"/>
    <x v="0"/>
    <x v="0"/>
    <x v="2"/>
    <n v="200.06"/>
    <n v="3"/>
    <n v="12.5"/>
    <x v="7"/>
    <x v="3"/>
  </r>
  <r>
    <d v="2024-08-18T00:00:00"/>
    <x v="277"/>
    <x v="0"/>
    <x v="0"/>
    <x v="3"/>
    <n v="21.38"/>
    <n v="5"/>
    <n v="-33.14"/>
    <x v="7"/>
    <x v="3"/>
  </r>
  <r>
    <d v="2024-08-18T00:00:00"/>
    <x v="277"/>
    <x v="0"/>
    <x v="0"/>
    <x v="3"/>
    <n v="6.74"/>
    <n v="4"/>
    <n v="-11.46"/>
    <x v="7"/>
    <x v="3"/>
  </r>
  <r>
    <d v="2024-08-18T00:00:00"/>
    <x v="155"/>
    <x v="22"/>
    <x v="0"/>
    <x v="2"/>
    <n v="323.10000000000002"/>
    <n v="2"/>
    <n v="61.39"/>
    <x v="7"/>
    <x v="3"/>
  </r>
  <r>
    <d v="2024-08-18T00:00:00"/>
    <x v="698"/>
    <x v="22"/>
    <x v="2"/>
    <x v="9"/>
    <n v="843.9"/>
    <n v="2"/>
    <n v="371.32"/>
    <x v="7"/>
    <x v="3"/>
  </r>
  <r>
    <d v="2024-08-18T00:00:00"/>
    <x v="698"/>
    <x v="22"/>
    <x v="2"/>
    <x v="9"/>
    <n v="1496.16"/>
    <n v="9"/>
    <n v="224.42"/>
    <x v="7"/>
    <x v="3"/>
  </r>
  <r>
    <d v="2024-08-18T00:00:00"/>
    <x v="598"/>
    <x v="22"/>
    <x v="0"/>
    <x v="3"/>
    <n v="2793.53"/>
    <n v="9"/>
    <n v="942.82"/>
    <x v="7"/>
    <x v="3"/>
  </r>
  <r>
    <d v="2024-08-18T00:00:00"/>
    <x v="598"/>
    <x v="22"/>
    <x v="0"/>
    <x v="2"/>
    <n v="1000.02"/>
    <n v="7"/>
    <n v="290.01"/>
    <x v="7"/>
    <x v="3"/>
  </r>
  <r>
    <d v="2024-08-18T00:00:00"/>
    <x v="598"/>
    <x v="22"/>
    <x v="1"/>
    <x v="8"/>
    <n v="65.94"/>
    <n v="3"/>
    <n v="22.42"/>
    <x v="7"/>
    <x v="3"/>
  </r>
  <r>
    <d v="2024-08-18T00:00:00"/>
    <x v="137"/>
    <x v="10"/>
    <x v="0"/>
    <x v="4"/>
    <n v="9.91"/>
    <n v="3"/>
    <n v="1.24"/>
    <x v="7"/>
    <x v="3"/>
  </r>
  <r>
    <d v="2024-08-18T00:00:00"/>
    <x v="74"/>
    <x v="10"/>
    <x v="0"/>
    <x v="3"/>
    <n v="10.78"/>
    <n v="3"/>
    <n v="-7.91"/>
    <x v="7"/>
    <x v="3"/>
  </r>
  <r>
    <d v="2024-08-18T00:00:00"/>
    <x v="773"/>
    <x v="32"/>
    <x v="2"/>
    <x v="9"/>
    <n v="23.18"/>
    <n v="2"/>
    <n v="7.65"/>
    <x v="7"/>
    <x v="3"/>
  </r>
  <r>
    <d v="2024-08-19T00:00:00"/>
    <x v="403"/>
    <x v="32"/>
    <x v="0"/>
    <x v="3"/>
    <n v="387.99"/>
    <n v="1"/>
    <n v="182.36"/>
    <x v="7"/>
    <x v="3"/>
  </r>
  <r>
    <d v="2024-08-19T00:00:00"/>
    <x v="256"/>
    <x v="1"/>
    <x v="0"/>
    <x v="3"/>
    <n v="2.2999999999999998"/>
    <n v="2"/>
    <n v="-3.9"/>
    <x v="7"/>
    <x v="3"/>
  </r>
  <r>
    <d v="2024-08-19T00:00:00"/>
    <x v="712"/>
    <x v="32"/>
    <x v="0"/>
    <x v="0"/>
    <n v="19.440000000000001"/>
    <n v="3"/>
    <n v="9.33"/>
    <x v="7"/>
    <x v="3"/>
  </r>
  <r>
    <d v="2024-08-19T00:00:00"/>
    <x v="445"/>
    <x v="27"/>
    <x v="0"/>
    <x v="3"/>
    <n v="102.72"/>
    <n v="3"/>
    <n v="37.24"/>
    <x v="7"/>
    <x v="3"/>
  </r>
  <r>
    <d v="2024-08-20T00:00:00"/>
    <x v="344"/>
    <x v="3"/>
    <x v="0"/>
    <x v="3"/>
    <n v="239.12"/>
    <n v="5"/>
    <n v="77.709999999999994"/>
    <x v="7"/>
    <x v="3"/>
  </r>
  <r>
    <d v="2024-08-20T00:00:00"/>
    <x v="654"/>
    <x v="32"/>
    <x v="0"/>
    <x v="2"/>
    <n v="40.29"/>
    <n v="3"/>
    <n v="10.48"/>
    <x v="7"/>
    <x v="3"/>
  </r>
  <r>
    <d v="2024-08-20T00:00:00"/>
    <x v="382"/>
    <x v="3"/>
    <x v="0"/>
    <x v="14"/>
    <n v="17.22"/>
    <n v="3"/>
    <n v="5.17"/>
    <x v="7"/>
    <x v="3"/>
  </r>
  <r>
    <d v="2024-08-20T00:00:00"/>
    <x v="382"/>
    <x v="3"/>
    <x v="0"/>
    <x v="2"/>
    <n v="226.56"/>
    <n v="6"/>
    <n v="63.44"/>
    <x v="7"/>
    <x v="3"/>
  </r>
  <r>
    <d v="2024-08-20T00:00:00"/>
    <x v="382"/>
    <x v="3"/>
    <x v="2"/>
    <x v="6"/>
    <n v="107.88"/>
    <n v="3"/>
    <n v="10.79"/>
    <x v="7"/>
    <x v="3"/>
  </r>
  <r>
    <d v="2024-08-20T00:00:00"/>
    <x v="73"/>
    <x v="3"/>
    <x v="0"/>
    <x v="0"/>
    <n v="25.92"/>
    <n v="4"/>
    <n v="12.44"/>
    <x v="7"/>
    <x v="3"/>
  </r>
  <r>
    <d v="2024-08-20T00:00:00"/>
    <x v="722"/>
    <x v="25"/>
    <x v="2"/>
    <x v="6"/>
    <n v="35.96"/>
    <n v="1"/>
    <n v="3.6"/>
    <x v="7"/>
    <x v="3"/>
  </r>
  <r>
    <d v="2024-08-21T00:00:00"/>
    <x v="40"/>
    <x v="29"/>
    <x v="1"/>
    <x v="5"/>
    <n v="866.4"/>
    <n v="4"/>
    <n v="225.26"/>
    <x v="7"/>
    <x v="3"/>
  </r>
  <r>
    <d v="2024-08-21T00:00:00"/>
    <x v="217"/>
    <x v="28"/>
    <x v="0"/>
    <x v="7"/>
    <n v="35"/>
    <n v="7"/>
    <n v="16.8"/>
    <x v="7"/>
    <x v="3"/>
  </r>
  <r>
    <d v="2024-08-21T00:00:00"/>
    <x v="217"/>
    <x v="28"/>
    <x v="0"/>
    <x v="14"/>
    <n v="37.24"/>
    <n v="4"/>
    <n v="10.8"/>
    <x v="7"/>
    <x v="3"/>
  </r>
  <r>
    <d v="2024-08-21T00:00:00"/>
    <x v="217"/>
    <x v="28"/>
    <x v="0"/>
    <x v="10"/>
    <n v="15.28"/>
    <n v="2"/>
    <n v="7.49"/>
    <x v="7"/>
    <x v="3"/>
  </r>
  <r>
    <d v="2024-08-21T00:00:00"/>
    <x v="378"/>
    <x v="3"/>
    <x v="0"/>
    <x v="4"/>
    <n v="17.12"/>
    <n v="4"/>
    <n v="4.96"/>
    <x v="7"/>
    <x v="3"/>
  </r>
  <r>
    <d v="2024-08-21T00:00:00"/>
    <x v="378"/>
    <x v="3"/>
    <x v="2"/>
    <x v="6"/>
    <n v="431.97"/>
    <n v="4"/>
    <n v="37.799999999999997"/>
    <x v="7"/>
    <x v="3"/>
  </r>
  <r>
    <d v="2024-08-21T00:00:00"/>
    <x v="378"/>
    <x v="3"/>
    <x v="1"/>
    <x v="8"/>
    <n v="129.91999999999999"/>
    <n v="4"/>
    <n v="10.39"/>
    <x v="7"/>
    <x v="3"/>
  </r>
  <r>
    <d v="2024-08-21T00:00:00"/>
    <x v="378"/>
    <x v="3"/>
    <x v="1"/>
    <x v="13"/>
    <n v="568.73"/>
    <n v="3"/>
    <n v="28.44"/>
    <x v="7"/>
    <x v="3"/>
  </r>
  <r>
    <d v="2024-08-21T00:00:00"/>
    <x v="378"/>
    <x v="3"/>
    <x v="0"/>
    <x v="3"/>
    <n v="117.14"/>
    <n v="9"/>
    <n v="42.46"/>
    <x v="7"/>
    <x v="3"/>
  </r>
  <r>
    <d v="2024-08-21T00:00:00"/>
    <x v="378"/>
    <x v="3"/>
    <x v="0"/>
    <x v="12"/>
    <n v="203.52"/>
    <n v="3"/>
    <n v="54.95"/>
    <x v="7"/>
    <x v="3"/>
  </r>
  <r>
    <d v="2024-08-21T00:00:00"/>
    <x v="378"/>
    <x v="3"/>
    <x v="0"/>
    <x v="1"/>
    <n v="51.75"/>
    <n v="5"/>
    <n v="24.84"/>
    <x v="7"/>
    <x v="3"/>
  </r>
  <r>
    <d v="2024-08-21T00:00:00"/>
    <x v="128"/>
    <x v="36"/>
    <x v="0"/>
    <x v="0"/>
    <n v="277.39999999999998"/>
    <n v="5"/>
    <n v="133.15"/>
    <x v="7"/>
    <x v="3"/>
  </r>
  <r>
    <d v="2024-08-21T00:00:00"/>
    <x v="128"/>
    <x v="36"/>
    <x v="1"/>
    <x v="8"/>
    <n v="25.16"/>
    <n v="2"/>
    <n v="8.5500000000000007"/>
    <x v="7"/>
    <x v="3"/>
  </r>
  <r>
    <d v="2024-08-21T00:00:00"/>
    <x v="128"/>
    <x v="36"/>
    <x v="1"/>
    <x v="8"/>
    <n v="91.92"/>
    <n v="4"/>
    <n v="31.25"/>
    <x v="7"/>
    <x v="3"/>
  </r>
  <r>
    <d v="2024-08-21T00:00:00"/>
    <x v="729"/>
    <x v="12"/>
    <x v="0"/>
    <x v="0"/>
    <n v="83.88"/>
    <n v="1"/>
    <n v="29.36"/>
    <x v="7"/>
    <x v="3"/>
  </r>
  <r>
    <d v="2024-08-21T00:00:00"/>
    <x v="507"/>
    <x v="22"/>
    <x v="1"/>
    <x v="5"/>
    <n v="388.7"/>
    <n v="6"/>
    <n v="38.869999999999997"/>
    <x v="7"/>
    <x v="3"/>
  </r>
  <r>
    <d v="2024-08-21T00:00:00"/>
    <x v="507"/>
    <x v="22"/>
    <x v="0"/>
    <x v="2"/>
    <n v="572.58000000000004"/>
    <n v="6"/>
    <n v="34.35"/>
    <x v="7"/>
    <x v="3"/>
  </r>
  <r>
    <d v="2024-08-21T00:00:00"/>
    <x v="507"/>
    <x v="22"/>
    <x v="2"/>
    <x v="9"/>
    <n v="33.18"/>
    <n v="2"/>
    <n v="11.61"/>
    <x v="7"/>
    <x v="3"/>
  </r>
  <r>
    <d v="2024-08-21T00:00:00"/>
    <x v="500"/>
    <x v="20"/>
    <x v="0"/>
    <x v="3"/>
    <n v="32.090000000000003"/>
    <n v="7"/>
    <n v="11.23"/>
    <x v="7"/>
    <x v="3"/>
  </r>
  <r>
    <d v="2024-08-21T00:00:00"/>
    <x v="500"/>
    <x v="20"/>
    <x v="0"/>
    <x v="3"/>
    <n v="4305.55"/>
    <n v="6"/>
    <n v="1453.12"/>
    <x v="7"/>
    <x v="3"/>
  </r>
  <r>
    <d v="2024-08-21T00:00:00"/>
    <x v="774"/>
    <x v="26"/>
    <x v="0"/>
    <x v="2"/>
    <n v="237.1"/>
    <n v="3"/>
    <n v="20.75"/>
    <x v="7"/>
    <x v="3"/>
  </r>
  <r>
    <d v="2024-08-21T00:00:00"/>
    <x v="774"/>
    <x v="26"/>
    <x v="1"/>
    <x v="8"/>
    <n v="22.75"/>
    <n v="3"/>
    <n v="7.11"/>
    <x v="7"/>
    <x v="3"/>
  </r>
  <r>
    <d v="2024-08-21T00:00:00"/>
    <x v="774"/>
    <x v="26"/>
    <x v="0"/>
    <x v="0"/>
    <n v="6.67"/>
    <n v="1"/>
    <n v="2.09"/>
    <x v="7"/>
    <x v="3"/>
  </r>
  <r>
    <d v="2024-08-22T00:00:00"/>
    <x v="784"/>
    <x v="3"/>
    <x v="1"/>
    <x v="13"/>
    <n v="210.01"/>
    <n v="1"/>
    <n v="2.63"/>
    <x v="7"/>
    <x v="3"/>
  </r>
  <r>
    <d v="2024-08-22T00:00:00"/>
    <x v="222"/>
    <x v="2"/>
    <x v="1"/>
    <x v="13"/>
    <n v="314.52999999999997"/>
    <n v="2"/>
    <n v="-83.88"/>
    <x v="7"/>
    <x v="3"/>
  </r>
  <r>
    <d v="2024-08-23T00:00:00"/>
    <x v="487"/>
    <x v="16"/>
    <x v="2"/>
    <x v="6"/>
    <n v="4367.8999999999996"/>
    <n v="13"/>
    <n v="327.58999999999997"/>
    <x v="7"/>
    <x v="3"/>
  </r>
  <r>
    <d v="2024-08-23T00:00:00"/>
    <x v="487"/>
    <x v="16"/>
    <x v="0"/>
    <x v="0"/>
    <n v="49.57"/>
    <n v="2"/>
    <n v="15.49"/>
    <x v="7"/>
    <x v="3"/>
  </r>
  <r>
    <d v="2024-08-23T00:00:00"/>
    <x v="487"/>
    <x v="16"/>
    <x v="0"/>
    <x v="12"/>
    <n v="161.38"/>
    <n v="6"/>
    <n v="12.1"/>
    <x v="7"/>
    <x v="3"/>
  </r>
  <r>
    <d v="2024-08-23T00:00:00"/>
    <x v="487"/>
    <x v="16"/>
    <x v="1"/>
    <x v="8"/>
    <n v="2.78"/>
    <n v="2"/>
    <n v="0.42"/>
    <x v="7"/>
    <x v="3"/>
  </r>
  <r>
    <d v="2024-08-23T00:00:00"/>
    <x v="487"/>
    <x v="16"/>
    <x v="0"/>
    <x v="0"/>
    <n v="8.7200000000000006"/>
    <n v="5"/>
    <n v="2.94"/>
    <x v="7"/>
    <x v="3"/>
  </r>
  <r>
    <d v="2024-08-24T00:00:00"/>
    <x v="611"/>
    <x v="20"/>
    <x v="0"/>
    <x v="3"/>
    <n v="24.67"/>
    <n v="4"/>
    <n v="7.71"/>
    <x v="7"/>
    <x v="3"/>
  </r>
  <r>
    <d v="2024-08-24T00:00:00"/>
    <x v="611"/>
    <x v="20"/>
    <x v="0"/>
    <x v="3"/>
    <n v="3.74"/>
    <n v="1"/>
    <n v="1.31"/>
    <x v="7"/>
    <x v="3"/>
  </r>
  <r>
    <d v="2024-08-24T00:00:00"/>
    <x v="406"/>
    <x v="10"/>
    <x v="0"/>
    <x v="12"/>
    <n v="646.27"/>
    <n v="8"/>
    <n v="64.63"/>
    <x v="7"/>
    <x v="3"/>
  </r>
  <r>
    <d v="2024-08-24T00:00:00"/>
    <x v="406"/>
    <x v="10"/>
    <x v="0"/>
    <x v="0"/>
    <n v="10.37"/>
    <n v="2"/>
    <n v="3.76"/>
    <x v="7"/>
    <x v="3"/>
  </r>
  <r>
    <d v="2024-08-25T00:00:00"/>
    <x v="41"/>
    <x v="25"/>
    <x v="0"/>
    <x v="0"/>
    <n v="192.16"/>
    <n v="5"/>
    <n v="67.260000000000005"/>
    <x v="7"/>
    <x v="3"/>
  </r>
  <r>
    <d v="2024-08-25T00:00:00"/>
    <x v="738"/>
    <x v="15"/>
    <x v="0"/>
    <x v="4"/>
    <n v="9.73"/>
    <n v="2"/>
    <n v="1.7"/>
    <x v="7"/>
    <x v="3"/>
  </r>
  <r>
    <d v="2024-08-25T00:00:00"/>
    <x v="738"/>
    <x v="15"/>
    <x v="0"/>
    <x v="0"/>
    <n v="3.42"/>
    <n v="1"/>
    <n v="1.07"/>
    <x v="7"/>
    <x v="3"/>
  </r>
  <r>
    <d v="2024-08-25T00:00:00"/>
    <x v="364"/>
    <x v="10"/>
    <x v="0"/>
    <x v="2"/>
    <n v="25.7"/>
    <n v="2"/>
    <n v="1.93"/>
    <x v="7"/>
    <x v="3"/>
  </r>
  <r>
    <d v="2024-08-25T00:00:00"/>
    <x v="9"/>
    <x v="2"/>
    <x v="1"/>
    <x v="11"/>
    <n v="130.97999999999999"/>
    <n v="2"/>
    <n v="-89.07"/>
    <x v="7"/>
    <x v="3"/>
  </r>
  <r>
    <d v="2024-08-26T00:00:00"/>
    <x v="528"/>
    <x v="4"/>
    <x v="2"/>
    <x v="9"/>
    <n v="71.98"/>
    <n v="2"/>
    <n v="15.12"/>
    <x v="7"/>
    <x v="3"/>
  </r>
  <r>
    <d v="2024-08-26T00:00:00"/>
    <x v="0"/>
    <x v="1"/>
    <x v="1"/>
    <x v="8"/>
    <n v="64.959999999999994"/>
    <n v="5"/>
    <n v="-43.85"/>
    <x v="7"/>
    <x v="3"/>
  </r>
  <r>
    <d v="2024-08-26T00:00:00"/>
    <x v="631"/>
    <x v="14"/>
    <x v="0"/>
    <x v="2"/>
    <n v="53.72"/>
    <n v="4"/>
    <n v="13.97"/>
    <x v="7"/>
    <x v="3"/>
  </r>
  <r>
    <d v="2024-08-27T00:00:00"/>
    <x v="444"/>
    <x v="32"/>
    <x v="1"/>
    <x v="13"/>
    <n v="1488.42"/>
    <n v="7"/>
    <n v="-297.68"/>
    <x v="7"/>
    <x v="3"/>
  </r>
  <r>
    <d v="2024-08-27T00:00:00"/>
    <x v="376"/>
    <x v="20"/>
    <x v="0"/>
    <x v="2"/>
    <n v="63.84"/>
    <n v="8"/>
    <n v="16.600000000000001"/>
    <x v="7"/>
    <x v="3"/>
  </r>
  <r>
    <d v="2024-08-27T00:00:00"/>
    <x v="376"/>
    <x v="20"/>
    <x v="2"/>
    <x v="6"/>
    <n v="347.97"/>
    <n v="3"/>
    <n v="100.91"/>
    <x v="7"/>
    <x v="3"/>
  </r>
  <r>
    <d v="2024-08-27T00:00:00"/>
    <x v="376"/>
    <x v="20"/>
    <x v="0"/>
    <x v="3"/>
    <n v="37.01"/>
    <n v="6"/>
    <n v="11.57"/>
    <x v="7"/>
    <x v="3"/>
  </r>
  <r>
    <d v="2024-08-27T00:00:00"/>
    <x v="145"/>
    <x v="0"/>
    <x v="0"/>
    <x v="4"/>
    <n v="5.95"/>
    <n v="1"/>
    <n v="0.37"/>
    <x v="7"/>
    <x v="3"/>
  </r>
  <r>
    <d v="2024-08-27T00:00:00"/>
    <x v="386"/>
    <x v="16"/>
    <x v="0"/>
    <x v="10"/>
    <n v="2.9"/>
    <n v="1"/>
    <n v="0.98"/>
    <x v="7"/>
    <x v="3"/>
  </r>
  <r>
    <d v="2024-08-27T00:00:00"/>
    <x v="696"/>
    <x v="3"/>
    <x v="1"/>
    <x v="8"/>
    <n v="198.46"/>
    <n v="2"/>
    <n v="99.23"/>
    <x v="7"/>
    <x v="3"/>
  </r>
  <r>
    <d v="2024-08-27T00:00:00"/>
    <x v="696"/>
    <x v="3"/>
    <x v="0"/>
    <x v="12"/>
    <n v="321.92"/>
    <n v="4"/>
    <n v="96.58"/>
    <x v="7"/>
    <x v="3"/>
  </r>
  <r>
    <d v="2024-08-27T00:00:00"/>
    <x v="696"/>
    <x v="3"/>
    <x v="2"/>
    <x v="16"/>
    <n v="879.98"/>
    <n v="2"/>
    <n v="329.99"/>
    <x v="7"/>
    <x v="3"/>
  </r>
  <r>
    <d v="2024-08-27T00:00:00"/>
    <x v="696"/>
    <x v="3"/>
    <x v="0"/>
    <x v="14"/>
    <n v="28.4"/>
    <n v="5"/>
    <n v="8.24"/>
    <x v="7"/>
    <x v="3"/>
  </r>
  <r>
    <d v="2024-08-27T00:00:00"/>
    <x v="696"/>
    <x v="3"/>
    <x v="1"/>
    <x v="5"/>
    <n v="230.28"/>
    <n v="3"/>
    <n v="23.03"/>
    <x v="7"/>
    <x v="3"/>
  </r>
  <r>
    <d v="2024-08-27T00:00:00"/>
    <x v="696"/>
    <x v="3"/>
    <x v="0"/>
    <x v="0"/>
    <n v="116.28"/>
    <n v="3"/>
    <n v="56.98"/>
    <x v="7"/>
    <x v="3"/>
  </r>
  <r>
    <d v="2024-08-27T00:00:00"/>
    <x v="696"/>
    <x v="3"/>
    <x v="0"/>
    <x v="3"/>
    <n v="841.57"/>
    <n v="2"/>
    <n v="294.55"/>
    <x v="7"/>
    <x v="3"/>
  </r>
  <r>
    <d v="2024-08-27T00:00:00"/>
    <x v="696"/>
    <x v="3"/>
    <x v="0"/>
    <x v="2"/>
    <n v="354.9"/>
    <n v="5"/>
    <n v="17.75"/>
    <x v="7"/>
    <x v="3"/>
  </r>
  <r>
    <d v="2024-08-27T00:00:00"/>
    <x v="613"/>
    <x v="15"/>
    <x v="0"/>
    <x v="0"/>
    <n v="5.18"/>
    <n v="1"/>
    <n v="1.81"/>
    <x v="7"/>
    <x v="3"/>
  </r>
  <r>
    <d v="2024-08-27T00:00:00"/>
    <x v="43"/>
    <x v="16"/>
    <x v="0"/>
    <x v="12"/>
    <n v="14.34"/>
    <n v="4"/>
    <n v="0.9"/>
    <x v="7"/>
    <x v="3"/>
  </r>
  <r>
    <d v="2024-08-27T00:00:00"/>
    <x v="624"/>
    <x v="2"/>
    <x v="0"/>
    <x v="0"/>
    <n v="12.67"/>
    <n v="3"/>
    <n v="3.96"/>
    <x v="7"/>
    <x v="3"/>
  </r>
  <r>
    <d v="2024-08-27T00:00:00"/>
    <x v="624"/>
    <x v="2"/>
    <x v="2"/>
    <x v="9"/>
    <n v="1119.8900000000001"/>
    <n v="14"/>
    <n v="209.98"/>
    <x v="7"/>
    <x v="3"/>
  </r>
  <r>
    <d v="2024-08-27T00:00:00"/>
    <x v="582"/>
    <x v="12"/>
    <x v="1"/>
    <x v="8"/>
    <n v="120.58"/>
    <n v="8"/>
    <n v="33.159999999999997"/>
    <x v="7"/>
    <x v="3"/>
  </r>
  <r>
    <d v="2024-08-28T00:00:00"/>
    <x v="61"/>
    <x v="22"/>
    <x v="2"/>
    <x v="6"/>
    <n v="35.17"/>
    <n v="4"/>
    <n v="11.43"/>
    <x v="7"/>
    <x v="3"/>
  </r>
  <r>
    <d v="2024-08-28T00:00:00"/>
    <x v="61"/>
    <x v="22"/>
    <x v="1"/>
    <x v="13"/>
    <n v="1137.75"/>
    <n v="5"/>
    <n v="250.31"/>
    <x v="7"/>
    <x v="3"/>
  </r>
  <r>
    <d v="2024-08-28T00:00:00"/>
    <x v="61"/>
    <x v="22"/>
    <x v="0"/>
    <x v="3"/>
    <n v="99.68"/>
    <n v="5"/>
    <n v="32.4"/>
    <x v="7"/>
    <x v="3"/>
  </r>
  <r>
    <d v="2024-08-28T00:00:00"/>
    <x v="61"/>
    <x v="22"/>
    <x v="0"/>
    <x v="4"/>
    <n v="5.56"/>
    <n v="2"/>
    <n v="1.45"/>
    <x v="7"/>
    <x v="3"/>
  </r>
  <r>
    <d v="2024-08-28T00:00:00"/>
    <x v="573"/>
    <x v="1"/>
    <x v="0"/>
    <x v="0"/>
    <n v="25.34"/>
    <n v="6"/>
    <n v="7.92"/>
    <x v="7"/>
    <x v="3"/>
  </r>
  <r>
    <d v="2024-08-28T00:00:00"/>
    <x v="573"/>
    <x v="1"/>
    <x v="0"/>
    <x v="0"/>
    <n v="26.72"/>
    <n v="5"/>
    <n v="9.35"/>
    <x v="7"/>
    <x v="3"/>
  </r>
  <r>
    <d v="2024-08-28T00:00:00"/>
    <x v="342"/>
    <x v="21"/>
    <x v="0"/>
    <x v="14"/>
    <n v="21.81"/>
    <n v="3"/>
    <n v="5.89"/>
    <x v="7"/>
    <x v="3"/>
  </r>
  <r>
    <d v="2024-08-28T00:00:00"/>
    <x v="342"/>
    <x v="21"/>
    <x v="0"/>
    <x v="12"/>
    <n v="91.6"/>
    <n v="5"/>
    <n v="26.56"/>
    <x v="7"/>
    <x v="3"/>
  </r>
  <r>
    <d v="2024-08-29T00:00:00"/>
    <x v="552"/>
    <x v="1"/>
    <x v="0"/>
    <x v="1"/>
    <n v="47.36"/>
    <n v="4"/>
    <n v="17.760000000000002"/>
    <x v="7"/>
    <x v="3"/>
  </r>
  <r>
    <d v="2024-08-29T00:00:00"/>
    <x v="552"/>
    <x v="1"/>
    <x v="0"/>
    <x v="2"/>
    <n v="27.44"/>
    <n v="2"/>
    <n v="2.4"/>
    <x v="7"/>
    <x v="3"/>
  </r>
  <r>
    <d v="2024-08-29T00:00:00"/>
    <x v="552"/>
    <x v="1"/>
    <x v="0"/>
    <x v="3"/>
    <n v="3.24"/>
    <n v="9"/>
    <n v="-5.18"/>
    <x v="7"/>
    <x v="3"/>
  </r>
  <r>
    <d v="2024-08-29T00:00:00"/>
    <x v="548"/>
    <x v="2"/>
    <x v="0"/>
    <x v="4"/>
    <n v="9.41"/>
    <n v="7"/>
    <n v="0.71"/>
    <x v="7"/>
    <x v="3"/>
  </r>
  <r>
    <d v="2024-08-29T00:00:00"/>
    <x v="602"/>
    <x v="3"/>
    <x v="1"/>
    <x v="8"/>
    <n v="148.02000000000001"/>
    <n v="3"/>
    <n v="41.45"/>
    <x v="7"/>
    <x v="3"/>
  </r>
  <r>
    <d v="2024-08-31T00:00:00"/>
    <x v="467"/>
    <x v="12"/>
    <x v="0"/>
    <x v="2"/>
    <n v="10.74"/>
    <n v="1"/>
    <n v="0.81"/>
    <x v="7"/>
    <x v="3"/>
  </r>
  <r>
    <d v="2024-08-31T00:00:00"/>
    <x v="467"/>
    <x v="12"/>
    <x v="0"/>
    <x v="7"/>
    <n v="8.3800000000000008"/>
    <n v="3"/>
    <n v="2.72"/>
    <x v="7"/>
    <x v="3"/>
  </r>
  <r>
    <d v="2024-08-31T00:00:00"/>
    <x v="556"/>
    <x v="25"/>
    <x v="0"/>
    <x v="0"/>
    <n v="229.54"/>
    <n v="7"/>
    <n v="83.21"/>
    <x v="7"/>
    <x v="3"/>
  </r>
  <r>
    <d v="2024-08-31T00:00:00"/>
    <x v="63"/>
    <x v="18"/>
    <x v="0"/>
    <x v="12"/>
    <n v="638.73"/>
    <n v="9"/>
    <n v="166.07"/>
    <x v="7"/>
    <x v="3"/>
  </r>
  <r>
    <d v="2024-08-31T00:00:00"/>
    <x v="299"/>
    <x v="3"/>
    <x v="0"/>
    <x v="3"/>
    <n v="6.67"/>
    <n v="3"/>
    <n v="2.17"/>
    <x v="7"/>
    <x v="3"/>
  </r>
  <r>
    <d v="2024-08-31T00:00:00"/>
    <x v="299"/>
    <x v="3"/>
    <x v="2"/>
    <x v="6"/>
    <n v="689.41"/>
    <n v="4"/>
    <n v="77.56"/>
    <x v="7"/>
    <x v="3"/>
  </r>
  <r>
    <d v="2024-08-31T00:00:00"/>
    <x v="497"/>
    <x v="8"/>
    <x v="2"/>
    <x v="9"/>
    <n v="659.9"/>
    <n v="2"/>
    <n v="217.77"/>
    <x v="7"/>
    <x v="3"/>
  </r>
  <r>
    <d v="2024-08-31T00:00:00"/>
    <x v="620"/>
    <x v="22"/>
    <x v="1"/>
    <x v="5"/>
    <n v="569.57000000000005"/>
    <n v="2"/>
    <n v="7.12"/>
    <x v="7"/>
    <x v="3"/>
  </r>
  <r>
    <d v="2024-08-31T00:00:00"/>
    <x v="620"/>
    <x v="22"/>
    <x v="0"/>
    <x v="2"/>
    <n v="149.72999999999999"/>
    <n v="7"/>
    <n v="43.42"/>
    <x v="7"/>
    <x v="3"/>
  </r>
  <r>
    <d v="2024-08-31T00:00:00"/>
    <x v="588"/>
    <x v="11"/>
    <x v="0"/>
    <x v="14"/>
    <n v="6.21"/>
    <n v="2"/>
    <n v="0.7"/>
    <x v="7"/>
    <x v="3"/>
  </r>
  <r>
    <d v="2024-08-31T00:00:00"/>
    <x v="282"/>
    <x v="3"/>
    <x v="0"/>
    <x v="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131DF-FDDA-4898-BDAB-E6CEAB79FB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6:V56" firstHeaderRow="1" firstDataRow="1" firstDataCol="1"/>
  <pivotFields count="10">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numFmtId="1"/>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2A5C25-8ED0-4101-A169-DA070352E3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2B8740-F302-4C16-ACD6-19B3DBCE36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G10" firstHeaderRow="1" firstDataRow="2" firstDataCol="1"/>
  <pivotFields count="10">
    <pivotField numFmtId="14"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4"/>
  </dataFields>
  <formats count="1">
    <format dxfId="34">
      <pivotArea outline="0" collapsedLevelsAreSubtotals="1" fieldPosition="0"/>
    </format>
  </formats>
  <chartFormats count="4">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7C24C-6068-4ED5-9C45-D77D972ACDE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6:AB12" firstHeaderRow="1" firstDataRow="1" firstDataCol="1"/>
  <pivotFields count="10">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7" baseField="0" baseItem="0" numFmtId="164"/>
  </dataFields>
  <formats count="1">
    <format dxfId="35">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6705E9-440D-4B1D-95E2-14B04CC5CAA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6:AE19" firstHeaderRow="1" firstDataRow="1" firstDataCol="1"/>
  <pivotFields count="10">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5"/>
  </dataFields>
  <formats count="2">
    <format dxfId="37">
      <pivotArea outline="0" collapsedLevelsAreSubtotals="1" fieldPosition="0"/>
    </format>
    <format dxfId="36">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856ECE-3CBD-4F28-A9BE-0C2EDF82230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0">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5" baseField="0" baseItem="0" numFmtId="164"/>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A1B4FC-442D-489A-87FB-2944E1A35A9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5:S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791240-C0A4-4070-9DDE-2B1FDA27BB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0">
    <pivotField numFmtId="14"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4"/>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B61FAF-068A-44B9-B980-F001A2AEC142}"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99867447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8E55E63-8558-4E2D-86CD-6F2F976EE558}"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99867447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D106CB-0454-4924-8436-1AF7BA686AA6}"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99867447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9603C7E-F087-4E6F-9A54-B42F5E2655E1}" cache="Slicer_Category" caption="Category" style="Slicer Style 3" rowHeight="247650"/>
  <slicer name="Month 1" xr10:uid="{4D9BE574-3441-497E-A4E6-A3E46329DDD1}" cache="Slicer_Month" caption="Month" columnCount="2" style="Slicer Style 3" rowHeight="247650"/>
  <slicer name="Year 1" xr10:uid="{AA4975FB-5071-41D9-879C-190FCF4B0760}" cache="Slicer_Year" caption="Year"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161FF3-0BD5-43C2-BEFF-4F359F0B7976}" name="datas" displayName="datas" ref="A1:J8315" totalsRowShown="0" headerRowDxfId="50" dataDxfId="49">
  <autoFilter ref="A1:J8315" xr:uid="{00000000-0001-0000-0000-000000000000}"/>
  <tableColumns count="10">
    <tableColumn id="1" xr3:uid="{A83F7516-6A59-4F85-9E8C-9ED0ABB8D77E}" name="Order Date" dataDxfId="48"/>
    <tableColumn id="2" xr3:uid="{49247C35-2055-4141-AA20-C660450643A3}" name="Customer Name" dataDxfId="47"/>
    <tableColumn id="3" xr3:uid="{A69BFAC7-0D8A-485B-A037-6C614EC72F64}" name="State" dataDxfId="46"/>
    <tableColumn id="4" xr3:uid="{89DA4C31-81B0-4AFD-882A-28F4C9D22481}" name="Category" dataDxfId="45"/>
    <tableColumn id="5" xr3:uid="{4347ABD8-F741-489A-8F6E-0D3C70D3FAF4}" name="Sub-Category" dataDxfId="44"/>
    <tableColumn id="6" xr3:uid="{7B70F21E-DE66-4504-9F4C-DEDA05C96BB2}" name="Sales" dataDxfId="43"/>
    <tableColumn id="7" xr3:uid="{50F9A60F-3719-4581-8EA4-4CA15D7EAC18}" name="Quantity" dataDxfId="42"/>
    <tableColumn id="8" xr3:uid="{E8520F3B-E7EA-4F2C-9CEB-2372F3248DBB}" name="Profit" dataDxfId="41"/>
    <tableColumn id="9" xr3:uid="{3C2917ED-D830-4E31-9690-8EDDAB571AE9}" name="Month">
      <calculatedColumnFormula>TEXT(A2,"mmm")</calculatedColumnFormula>
    </tableColumn>
    <tableColumn id="10" xr3:uid="{9BDD7542-3489-4C61-AC5C-6569F3D454FB}" name="Year" dataDxfId="40">
      <calculatedColumnFormula>YEAR(datas[[#This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315"/>
  <sheetViews>
    <sheetView zoomScale="71" workbookViewId="0">
      <pane ySplit="1" topLeftCell="A2" activePane="bottomLeft" state="frozen"/>
      <selection pane="bottomLeft" activeCell="L2" sqref="L2"/>
    </sheetView>
  </sheetViews>
  <sheetFormatPr defaultColWidth="12.6640625" defaultRowHeight="15" customHeight="1" x14ac:dyDescent="0.3"/>
  <cols>
    <col min="1" max="1" width="11.88671875" customWidth="1"/>
    <col min="2" max="2" width="20.44140625" bestFit="1" customWidth="1"/>
    <col min="3" max="3" width="16.77734375" bestFit="1" customWidth="1"/>
    <col min="4" max="4" width="13.109375" bestFit="1" customWidth="1"/>
    <col min="5" max="5" width="14.109375" customWidth="1"/>
    <col min="6" max="6" width="9" bestFit="1" customWidth="1"/>
    <col min="7" max="7" width="10" customWidth="1"/>
    <col min="8" max="9" width="8.6640625" customWidth="1"/>
  </cols>
  <sheetData>
    <row r="1" spans="1:10" ht="14.25" customHeight="1" x14ac:dyDescent="0.3">
      <c r="A1" s="1" t="s">
        <v>0</v>
      </c>
      <c r="B1" s="2" t="s">
        <v>1</v>
      </c>
      <c r="C1" s="2" t="s">
        <v>2</v>
      </c>
      <c r="D1" s="2" t="s">
        <v>3</v>
      </c>
      <c r="E1" s="2" t="s">
        <v>4</v>
      </c>
      <c r="F1" s="2" t="s">
        <v>5</v>
      </c>
      <c r="G1" s="2" t="s">
        <v>6</v>
      </c>
      <c r="H1" s="2" t="s">
        <v>7</v>
      </c>
      <c r="I1" s="3" t="s">
        <v>866</v>
      </c>
      <c r="J1" s="3" t="s">
        <v>867</v>
      </c>
    </row>
    <row r="2" spans="1:10" ht="14.25" customHeight="1" x14ac:dyDescent="0.3">
      <c r="A2" s="1">
        <v>44199</v>
      </c>
      <c r="B2" s="2" t="s">
        <v>8</v>
      </c>
      <c r="C2" s="2" t="s">
        <v>9</v>
      </c>
      <c r="D2" s="2" t="s">
        <v>10</v>
      </c>
      <c r="E2" s="2" t="s">
        <v>11</v>
      </c>
      <c r="F2" s="2">
        <v>16.45</v>
      </c>
      <c r="G2" s="2">
        <v>2</v>
      </c>
      <c r="H2" s="4">
        <v>6</v>
      </c>
      <c r="I2" t="str">
        <f>TEXT(A2,"mmm")</f>
        <v>Jan</v>
      </c>
      <c r="J2">
        <f>YEAR(datas[[#This Row],[Order Date]])</f>
        <v>2021</v>
      </c>
    </row>
    <row r="3" spans="1:10" ht="14.25" customHeight="1" x14ac:dyDescent="0.3">
      <c r="A3" s="1">
        <v>44200</v>
      </c>
      <c r="B3" s="2" t="s">
        <v>12</v>
      </c>
      <c r="C3" s="2" t="s">
        <v>13</v>
      </c>
      <c r="D3" s="2" t="s">
        <v>10</v>
      </c>
      <c r="E3" s="2" t="s">
        <v>14</v>
      </c>
      <c r="F3" s="2">
        <v>11.78</v>
      </c>
      <c r="G3" s="2">
        <v>3</v>
      </c>
      <c r="H3" s="2">
        <v>4.2699999999999996</v>
      </c>
      <c r="I3" t="str">
        <f t="shared" ref="I3:I66" si="0">TEXT(A3,"mmm")</f>
        <v>Jan</v>
      </c>
      <c r="J3">
        <f>YEAR(datas[[#This Row],[Order Date]])</f>
        <v>2021</v>
      </c>
    </row>
    <row r="4" spans="1:10" ht="14.25" customHeight="1" x14ac:dyDescent="0.3">
      <c r="A4" s="1">
        <v>44200</v>
      </c>
      <c r="B4" s="2" t="s">
        <v>12</v>
      </c>
      <c r="C4" s="2" t="s">
        <v>13</v>
      </c>
      <c r="D4" s="2" t="s">
        <v>10</v>
      </c>
      <c r="E4" s="5" t="s">
        <v>15</v>
      </c>
      <c r="F4" s="2">
        <v>272.74</v>
      </c>
      <c r="G4" s="2">
        <v>3</v>
      </c>
      <c r="H4" s="2">
        <v>-64.77</v>
      </c>
      <c r="I4" t="str">
        <f t="shared" si="0"/>
        <v>Jan</v>
      </c>
      <c r="J4">
        <f>YEAR(datas[[#This Row],[Order Date]])</f>
        <v>2021</v>
      </c>
    </row>
    <row r="5" spans="1:10" ht="14.25" customHeight="1" x14ac:dyDescent="0.3">
      <c r="A5" s="1">
        <v>44200</v>
      </c>
      <c r="B5" s="2" t="s">
        <v>12</v>
      </c>
      <c r="C5" s="2" t="s">
        <v>13</v>
      </c>
      <c r="D5" s="2" t="s">
        <v>10</v>
      </c>
      <c r="E5" s="2" t="s">
        <v>16</v>
      </c>
      <c r="F5" s="2">
        <v>3.54</v>
      </c>
      <c r="G5" s="2">
        <v>2</v>
      </c>
      <c r="H5" s="2">
        <v>-5.49</v>
      </c>
      <c r="I5" t="str">
        <f t="shared" si="0"/>
        <v>Jan</v>
      </c>
      <c r="J5">
        <f>YEAR(datas[[#This Row],[Order Date]])</f>
        <v>2021</v>
      </c>
    </row>
    <row r="6" spans="1:10" ht="14.25" customHeight="1" x14ac:dyDescent="0.3">
      <c r="A6" s="1">
        <v>44201</v>
      </c>
      <c r="B6" s="2" t="s">
        <v>17</v>
      </c>
      <c r="C6" s="2" t="s">
        <v>18</v>
      </c>
      <c r="D6" s="2" t="s">
        <v>10</v>
      </c>
      <c r="E6" s="2" t="s">
        <v>19</v>
      </c>
      <c r="F6" s="2">
        <v>19.54</v>
      </c>
      <c r="G6" s="2">
        <v>3</v>
      </c>
      <c r="H6" s="2">
        <v>4.88</v>
      </c>
      <c r="I6" t="str">
        <f t="shared" si="0"/>
        <v>Jan</v>
      </c>
      <c r="J6">
        <f>YEAR(datas[[#This Row],[Order Date]])</f>
        <v>2021</v>
      </c>
    </row>
    <row r="7" spans="1:10" ht="14.25" customHeight="1" x14ac:dyDescent="0.3">
      <c r="A7" s="1">
        <v>44202</v>
      </c>
      <c r="B7" s="2" t="s">
        <v>20</v>
      </c>
      <c r="C7" s="2" t="s">
        <v>21</v>
      </c>
      <c r="D7" s="2" t="s">
        <v>10</v>
      </c>
      <c r="E7" s="2" t="s">
        <v>11</v>
      </c>
      <c r="F7" s="2">
        <v>19.440000000000001</v>
      </c>
      <c r="G7" s="2">
        <v>3</v>
      </c>
      <c r="H7" s="2">
        <v>9.33</v>
      </c>
      <c r="I7" t="str">
        <f t="shared" si="0"/>
        <v>Jan</v>
      </c>
      <c r="J7">
        <f>YEAR(datas[[#This Row],[Order Date]])</f>
        <v>2021</v>
      </c>
    </row>
    <row r="8" spans="1:10" ht="14.25" customHeight="1" x14ac:dyDescent="0.3">
      <c r="A8" s="1">
        <v>44202</v>
      </c>
      <c r="B8" s="2" t="s">
        <v>22</v>
      </c>
      <c r="C8" s="2" t="s">
        <v>23</v>
      </c>
      <c r="D8" s="2" t="s">
        <v>10</v>
      </c>
      <c r="E8" s="2" t="s">
        <v>19</v>
      </c>
      <c r="F8" s="2">
        <v>12.78</v>
      </c>
      <c r="G8" s="2">
        <v>3</v>
      </c>
      <c r="H8" s="2">
        <v>5.24</v>
      </c>
      <c r="I8" t="str">
        <f t="shared" si="0"/>
        <v>Jan</v>
      </c>
      <c r="J8">
        <f>YEAR(datas[[#This Row],[Order Date]])</f>
        <v>2021</v>
      </c>
    </row>
    <row r="9" spans="1:10" ht="14.25" customHeight="1" x14ac:dyDescent="0.3">
      <c r="A9" s="1">
        <v>44202</v>
      </c>
      <c r="B9" s="2" t="s">
        <v>24</v>
      </c>
      <c r="C9" s="2" t="s">
        <v>25</v>
      </c>
      <c r="D9" s="2" t="s">
        <v>26</v>
      </c>
      <c r="E9" s="2" t="s">
        <v>27</v>
      </c>
      <c r="F9" s="2">
        <v>2573.8200000000002</v>
      </c>
      <c r="G9" s="2">
        <v>9</v>
      </c>
      <c r="H9" s="2">
        <v>746.41</v>
      </c>
      <c r="I9" t="str">
        <f t="shared" si="0"/>
        <v>Jan</v>
      </c>
      <c r="J9">
        <f>YEAR(datas[[#This Row],[Order Date]])</f>
        <v>2021</v>
      </c>
    </row>
    <row r="10" spans="1:10" ht="14.25" customHeight="1" x14ac:dyDescent="0.3">
      <c r="A10" s="1">
        <v>44202</v>
      </c>
      <c r="B10" s="2" t="s">
        <v>24</v>
      </c>
      <c r="C10" s="2" t="s">
        <v>25</v>
      </c>
      <c r="D10" s="2" t="s">
        <v>10</v>
      </c>
      <c r="E10" s="2" t="s">
        <v>16</v>
      </c>
      <c r="F10" s="2">
        <v>609.98</v>
      </c>
      <c r="G10" s="2">
        <v>2</v>
      </c>
      <c r="H10" s="2">
        <v>274.49</v>
      </c>
      <c r="I10" t="str">
        <f t="shared" si="0"/>
        <v>Jan</v>
      </c>
      <c r="J10">
        <f>YEAR(datas[[#This Row],[Order Date]])</f>
        <v>2021</v>
      </c>
    </row>
    <row r="11" spans="1:10" ht="14.25" customHeight="1" x14ac:dyDescent="0.3">
      <c r="A11" s="1">
        <v>44202</v>
      </c>
      <c r="B11" s="2" t="s">
        <v>24</v>
      </c>
      <c r="C11" s="2" t="s">
        <v>25</v>
      </c>
      <c r="D11" s="2" t="s">
        <v>10</v>
      </c>
      <c r="E11" s="2" t="s">
        <v>19</v>
      </c>
      <c r="F11" s="2">
        <v>5.48</v>
      </c>
      <c r="G11" s="2">
        <v>2</v>
      </c>
      <c r="H11" s="2">
        <v>1.48</v>
      </c>
      <c r="I11" t="str">
        <f t="shared" si="0"/>
        <v>Jan</v>
      </c>
      <c r="J11">
        <f>YEAR(datas[[#This Row],[Order Date]])</f>
        <v>2021</v>
      </c>
    </row>
    <row r="12" spans="1:10" ht="14.25" customHeight="1" x14ac:dyDescent="0.3">
      <c r="A12" s="1">
        <v>44202</v>
      </c>
      <c r="B12" s="2" t="s">
        <v>24</v>
      </c>
      <c r="C12" s="2" t="s">
        <v>25</v>
      </c>
      <c r="D12" s="2" t="s">
        <v>28</v>
      </c>
      <c r="E12" s="2" t="s">
        <v>29</v>
      </c>
      <c r="F12" s="2">
        <v>391.98</v>
      </c>
      <c r="G12" s="2">
        <v>2</v>
      </c>
      <c r="H12" s="2">
        <v>113.67</v>
      </c>
      <c r="I12" t="str">
        <f t="shared" si="0"/>
        <v>Jan</v>
      </c>
      <c r="J12">
        <f>YEAR(datas[[#This Row],[Order Date]])</f>
        <v>2021</v>
      </c>
    </row>
    <row r="13" spans="1:10" ht="14.25" customHeight="1" x14ac:dyDescent="0.3">
      <c r="A13" s="1">
        <v>44202</v>
      </c>
      <c r="B13" s="2" t="s">
        <v>24</v>
      </c>
      <c r="C13" s="2" t="s">
        <v>25</v>
      </c>
      <c r="D13" s="2" t="s">
        <v>28</v>
      </c>
      <c r="E13" s="2" t="s">
        <v>29</v>
      </c>
      <c r="F13" s="2">
        <v>755.96</v>
      </c>
      <c r="G13" s="2">
        <v>4</v>
      </c>
      <c r="H13" s="2">
        <v>204.11</v>
      </c>
      <c r="I13" t="str">
        <f t="shared" si="0"/>
        <v>Jan</v>
      </c>
      <c r="J13">
        <f>YEAR(datas[[#This Row],[Order Date]])</f>
        <v>2021</v>
      </c>
    </row>
    <row r="14" spans="1:10" ht="14.25" customHeight="1" x14ac:dyDescent="0.3">
      <c r="A14" s="1">
        <v>44202</v>
      </c>
      <c r="B14" s="2" t="s">
        <v>24</v>
      </c>
      <c r="C14" s="2" t="s">
        <v>25</v>
      </c>
      <c r="D14" s="2" t="s">
        <v>10</v>
      </c>
      <c r="E14" s="2" t="s">
        <v>30</v>
      </c>
      <c r="F14" s="2">
        <v>31.12</v>
      </c>
      <c r="G14" s="2">
        <v>4</v>
      </c>
      <c r="H14" s="2">
        <v>0.31</v>
      </c>
      <c r="I14" t="str">
        <f t="shared" si="0"/>
        <v>Jan</v>
      </c>
      <c r="J14">
        <f>YEAR(datas[[#This Row],[Order Date]])</f>
        <v>2021</v>
      </c>
    </row>
    <row r="15" spans="1:10" ht="14.25" customHeight="1" x14ac:dyDescent="0.3">
      <c r="A15" s="1">
        <v>44202</v>
      </c>
      <c r="B15" s="2" t="s">
        <v>24</v>
      </c>
      <c r="C15" s="2" t="s">
        <v>25</v>
      </c>
      <c r="D15" s="2" t="s">
        <v>10</v>
      </c>
      <c r="E15" s="2" t="s">
        <v>11</v>
      </c>
      <c r="F15" s="2">
        <v>6.54</v>
      </c>
      <c r="G15" s="2">
        <v>1</v>
      </c>
      <c r="H15" s="2">
        <v>3.01</v>
      </c>
      <c r="I15" t="str">
        <f t="shared" si="0"/>
        <v>Jan</v>
      </c>
      <c r="J15">
        <f>YEAR(datas[[#This Row],[Order Date]])</f>
        <v>2021</v>
      </c>
    </row>
    <row r="16" spans="1:10" ht="14.25" customHeight="1" x14ac:dyDescent="0.3">
      <c r="A16" s="1">
        <v>44203</v>
      </c>
      <c r="B16" s="2" t="s">
        <v>31</v>
      </c>
      <c r="C16" s="2" t="s">
        <v>9</v>
      </c>
      <c r="D16" s="2" t="s">
        <v>26</v>
      </c>
      <c r="E16" s="2" t="s">
        <v>32</v>
      </c>
      <c r="F16" s="2">
        <v>76.73</v>
      </c>
      <c r="G16" s="2">
        <v>3</v>
      </c>
      <c r="H16" s="2">
        <v>-53.71</v>
      </c>
      <c r="I16" t="str">
        <f t="shared" si="0"/>
        <v>Jan</v>
      </c>
      <c r="J16">
        <f>YEAR(datas[[#This Row],[Order Date]])</f>
        <v>2021</v>
      </c>
    </row>
    <row r="17" spans="1:10" ht="14.25" customHeight="1" x14ac:dyDescent="0.3">
      <c r="A17" s="1">
        <v>44203</v>
      </c>
      <c r="B17" s="2" t="s">
        <v>31</v>
      </c>
      <c r="C17" s="2" t="s">
        <v>9</v>
      </c>
      <c r="D17" s="2" t="s">
        <v>10</v>
      </c>
      <c r="E17" s="2" t="s">
        <v>16</v>
      </c>
      <c r="F17" s="2">
        <v>10.43</v>
      </c>
      <c r="G17" s="2">
        <v>7</v>
      </c>
      <c r="H17" s="2">
        <v>-18.25</v>
      </c>
      <c r="I17" t="str">
        <f t="shared" si="0"/>
        <v>Jan</v>
      </c>
      <c r="J17">
        <f>YEAR(datas[[#This Row],[Order Date]])</f>
        <v>2021</v>
      </c>
    </row>
    <row r="18" spans="1:10" ht="14.25" customHeight="1" x14ac:dyDescent="0.3">
      <c r="A18" s="1">
        <v>44205</v>
      </c>
      <c r="B18" s="2" t="s">
        <v>33</v>
      </c>
      <c r="C18" s="2" t="s">
        <v>9</v>
      </c>
      <c r="D18" s="2" t="s">
        <v>10</v>
      </c>
      <c r="E18" s="2" t="s">
        <v>19</v>
      </c>
      <c r="F18" s="2">
        <v>9.34</v>
      </c>
      <c r="G18" s="2">
        <v>2</v>
      </c>
      <c r="H18" s="2">
        <v>1.17</v>
      </c>
      <c r="I18" t="str">
        <f t="shared" si="0"/>
        <v>Jan</v>
      </c>
      <c r="J18">
        <f>YEAR(datas[[#This Row],[Order Date]])</f>
        <v>2021</v>
      </c>
    </row>
    <row r="19" spans="1:10" ht="14.25" customHeight="1" x14ac:dyDescent="0.3">
      <c r="A19" s="1">
        <v>44205</v>
      </c>
      <c r="B19" s="2" t="s">
        <v>33</v>
      </c>
      <c r="C19" s="2" t="s">
        <v>9</v>
      </c>
      <c r="D19" s="2" t="s">
        <v>28</v>
      </c>
      <c r="E19" s="2" t="s">
        <v>34</v>
      </c>
      <c r="F19" s="2">
        <v>31.2</v>
      </c>
      <c r="G19" s="2">
        <v>3</v>
      </c>
      <c r="H19" s="2">
        <v>9.75</v>
      </c>
      <c r="I19" t="str">
        <f t="shared" si="0"/>
        <v>Jan</v>
      </c>
      <c r="J19">
        <f>YEAR(datas[[#This Row],[Order Date]])</f>
        <v>2021</v>
      </c>
    </row>
    <row r="20" spans="1:10" ht="14.25" customHeight="1" x14ac:dyDescent="0.3">
      <c r="A20" s="1">
        <v>44206</v>
      </c>
      <c r="B20" s="2" t="s">
        <v>35</v>
      </c>
      <c r="C20" s="2" t="s">
        <v>36</v>
      </c>
      <c r="D20" s="2" t="s">
        <v>10</v>
      </c>
      <c r="E20" s="2" t="s">
        <v>14</v>
      </c>
      <c r="F20" s="2">
        <v>2.89</v>
      </c>
      <c r="G20" s="2">
        <v>1</v>
      </c>
      <c r="H20" s="2">
        <v>1.36</v>
      </c>
      <c r="I20" t="str">
        <f t="shared" si="0"/>
        <v>Jan</v>
      </c>
      <c r="J20">
        <f>YEAR(datas[[#This Row],[Order Date]])</f>
        <v>2021</v>
      </c>
    </row>
    <row r="21" spans="1:10" ht="14.25" customHeight="1" x14ac:dyDescent="0.3">
      <c r="A21" s="1">
        <v>44206</v>
      </c>
      <c r="B21" s="2" t="s">
        <v>35</v>
      </c>
      <c r="C21" s="2" t="s">
        <v>36</v>
      </c>
      <c r="D21" s="2" t="s">
        <v>26</v>
      </c>
      <c r="E21" s="2" t="s">
        <v>32</v>
      </c>
      <c r="F21" s="2">
        <v>51.94</v>
      </c>
      <c r="G21" s="2">
        <v>1</v>
      </c>
      <c r="H21" s="2">
        <v>21.3</v>
      </c>
      <c r="I21" t="str">
        <f t="shared" si="0"/>
        <v>Jan</v>
      </c>
      <c r="J21">
        <f>YEAR(datas[[#This Row],[Order Date]])</f>
        <v>2021</v>
      </c>
    </row>
    <row r="22" spans="1:10" ht="14.25" customHeight="1" x14ac:dyDescent="0.3">
      <c r="A22" s="1">
        <v>44207</v>
      </c>
      <c r="B22" s="2" t="s">
        <v>37</v>
      </c>
      <c r="C22" s="2" t="s">
        <v>38</v>
      </c>
      <c r="D22" s="2" t="s">
        <v>26</v>
      </c>
      <c r="E22" s="2" t="s">
        <v>32</v>
      </c>
      <c r="F22" s="2">
        <v>9.94</v>
      </c>
      <c r="G22" s="2">
        <v>2</v>
      </c>
      <c r="H22" s="2">
        <v>3.08</v>
      </c>
      <c r="I22" t="str">
        <f t="shared" si="0"/>
        <v>Jan</v>
      </c>
      <c r="J22">
        <f>YEAR(datas[[#This Row],[Order Date]])</f>
        <v>2021</v>
      </c>
    </row>
    <row r="23" spans="1:10" ht="14.25" customHeight="1" x14ac:dyDescent="0.3">
      <c r="A23" s="1">
        <v>44209</v>
      </c>
      <c r="B23" s="2" t="s">
        <v>39</v>
      </c>
      <c r="C23" s="2" t="s">
        <v>40</v>
      </c>
      <c r="D23" s="2" t="s">
        <v>10</v>
      </c>
      <c r="E23" s="2" t="s">
        <v>41</v>
      </c>
      <c r="F23" s="2">
        <v>11.36</v>
      </c>
      <c r="G23" s="2">
        <v>2</v>
      </c>
      <c r="H23" s="2">
        <v>5.34</v>
      </c>
      <c r="I23" t="str">
        <f t="shared" si="0"/>
        <v>Jan</v>
      </c>
      <c r="J23">
        <f>YEAR(datas[[#This Row],[Order Date]])</f>
        <v>2021</v>
      </c>
    </row>
    <row r="24" spans="1:10" ht="14.25" customHeight="1" x14ac:dyDescent="0.3">
      <c r="A24" s="1">
        <v>44209</v>
      </c>
      <c r="B24" s="2" t="s">
        <v>39</v>
      </c>
      <c r="C24" s="2" t="s">
        <v>40</v>
      </c>
      <c r="D24" s="2" t="s">
        <v>10</v>
      </c>
      <c r="E24" s="2" t="s">
        <v>41</v>
      </c>
      <c r="F24" s="2">
        <v>50.94</v>
      </c>
      <c r="G24" s="2">
        <v>3</v>
      </c>
      <c r="H24" s="2">
        <v>25.47</v>
      </c>
      <c r="I24" t="str">
        <f t="shared" si="0"/>
        <v>Jan</v>
      </c>
      <c r="J24">
        <f>YEAR(datas[[#This Row],[Order Date]])</f>
        <v>2021</v>
      </c>
    </row>
    <row r="25" spans="1:10" ht="14.25" customHeight="1" x14ac:dyDescent="0.3">
      <c r="A25" s="1">
        <v>44209</v>
      </c>
      <c r="B25" s="2" t="s">
        <v>39</v>
      </c>
      <c r="C25" s="2" t="s">
        <v>40</v>
      </c>
      <c r="D25" s="2" t="s">
        <v>28</v>
      </c>
      <c r="E25" s="2" t="s">
        <v>34</v>
      </c>
      <c r="F25" s="2">
        <v>646.74</v>
      </c>
      <c r="G25" s="2">
        <v>6</v>
      </c>
      <c r="H25" s="2">
        <v>258.7</v>
      </c>
      <c r="I25" t="str">
        <f t="shared" si="0"/>
        <v>Jan</v>
      </c>
      <c r="J25">
        <f>YEAR(datas[[#This Row],[Order Date]])</f>
        <v>2021</v>
      </c>
    </row>
    <row r="26" spans="1:10" ht="14.25" customHeight="1" x14ac:dyDescent="0.3">
      <c r="A26" s="1">
        <v>44209</v>
      </c>
      <c r="B26" s="2" t="s">
        <v>39</v>
      </c>
      <c r="C26" s="2" t="s">
        <v>40</v>
      </c>
      <c r="D26" s="2" t="s">
        <v>10</v>
      </c>
      <c r="E26" s="2" t="s">
        <v>16</v>
      </c>
      <c r="F26" s="2">
        <v>5.64</v>
      </c>
      <c r="G26" s="2">
        <v>3</v>
      </c>
      <c r="H26" s="2">
        <v>2.71</v>
      </c>
      <c r="I26" t="str">
        <f t="shared" si="0"/>
        <v>Jan</v>
      </c>
      <c r="J26">
        <f>YEAR(datas[[#This Row],[Order Date]])</f>
        <v>2021</v>
      </c>
    </row>
    <row r="27" spans="1:10" ht="14.25" customHeight="1" x14ac:dyDescent="0.3">
      <c r="A27" s="1">
        <v>44209</v>
      </c>
      <c r="B27" s="2" t="s">
        <v>39</v>
      </c>
      <c r="C27" s="2" t="s">
        <v>40</v>
      </c>
      <c r="D27" s="2" t="s">
        <v>10</v>
      </c>
      <c r="E27" s="2" t="s">
        <v>15</v>
      </c>
      <c r="F27" s="2">
        <v>572.58000000000004</v>
      </c>
      <c r="G27" s="2">
        <v>6</v>
      </c>
      <c r="H27" s="2">
        <v>34.35</v>
      </c>
      <c r="I27" t="str">
        <f t="shared" si="0"/>
        <v>Jan</v>
      </c>
      <c r="J27">
        <f>YEAR(datas[[#This Row],[Order Date]])</f>
        <v>2021</v>
      </c>
    </row>
    <row r="28" spans="1:10" ht="14.25" customHeight="1" x14ac:dyDescent="0.3">
      <c r="A28" s="1">
        <v>44209</v>
      </c>
      <c r="B28" s="2" t="s">
        <v>42</v>
      </c>
      <c r="C28" s="2" t="s">
        <v>43</v>
      </c>
      <c r="D28" s="2" t="s">
        <v>26</v>
      </c>
      <c r="E28" s="2" t="s">
        <v>27</v>
      </c>
      <c r="F28" s="2">
        <v>545.94000000000005</v>
      </c>
      <c r="G28" s="2">
        <v>6</v>
      </c>
      <c r="H28" s="2">
        <v>87.35</v>
      </c>
      <c r="I28" t="str">
        <f t="shared" si="0"/>
        <v>Jan</v>
      </c>
      <c r="J28">
        <f>YEAR(datas[[#This Row],[Order Date]])</f>
        <v>2021</v>
      </c>
    </row>
    <row r="29" spans="1:10" ht="14.25" customHeight="1" x14ac:dyDescent="0.3">
      <c r="A29" s="1">
        <v>44209</v>
      </c>
      <c r="B29" s="2" t="s">
        <v>44</v>
      </c>
      <c r="C29" s="2" t="s">
        <v>21</v>
      </c>
      <c r="D29" s="2" t="s">
        <v>10</v>
      </c>
      <c r="E29" s="2" t="s">
        <v>15</v>
      </c>
      <c r="F29" s="2">
        <v>1325.85</v>
      </c>
      <c r="G29" s="2">
        <v>5</v>
      </c>
      <c r="H29" s="2">
        <v>238.65</v>
      </c>
      <c r="I29" t="str">
        <f t="shared" si="0"/>
        <v>Jan</v>
      </c>
      <c r="J29">
        <f>YEAR(datas[[#This Row],[Order Date]])</f>
        <v>2021</v>
      </c>
    </row>
    <row r="30" spans="1:10" ht="14.25" customHeight="1" x14ac:dyDescent="0.3">
      <c r="A30" s="1">
        <v>44209</v>
      </c>
      <c r="B30" s="2" t="s">
        <v>44</v>
      </c>
      <c r="C30" s="2" t="s">
        <v>21</v>
      </c>
      <c r="D30" s="2" t="s">
        <v>26</v>
      </c>
      <c r="E30" s="2" t="s">
        <v>45</v>
      </c>
      <c r="F30" s="2">
        <v>334</v>
      </c>
      <c r="G30" s="2">
        <v>3</v>
      </c>
      <c r="H30" s="2">
        <v>3.93</v>
      </c>
      <c r="I30" t="str">
        <f t="shared" si="0"/>
        <v>Jan</v>
      </c>
      <c r="J30">
        <f>YEAR(datas[[#This Row],[Order Date]])</f>
        <v>2021</v>
      </c>
    </row>
    <row r="31" spans="1:10" ht="14.25" customHeight="1" x14ac:dyDescent="0.3">
      <c r="A31" s="1">
        <v>44209</v>
      </c>
      <c r="B31" s="2" t="s">
        <v>44</v>
      </c>
      <c r="C31" s="2" t="s">
        <v>21</v>
      </c>
      <c r="D31" s="2" t="s">
        <v>10</v>
      </c>
      <c r="E31" s="2" t="s">
        <v>19</v>
      </c>
      <c r="F31" s="2">
        <v>19.899999999999999</v>
      </c>
      <c r="G31" s="2">
        <v>5</v>
      </c>
      <c r="H31" s="2">
        <v>6.57</v>
      </c>
      <c r="I31" t="str">
        <f t="shared" si="0"/>
        <v>Jan</v>
      </c>
      <c r="J31">
        <f>YEAR(datas[[#This Row],[Order Date]])</f>
        <v>2021</v>
      </c>
    </row>
    <row r="32" spans="1:10" ht="14.25" customHeight="1" x14ac:dyDescent="0.3">
      <c r="A32" s="1">
        <v>44209</v>
      </c>
      <c r="B32" s="2" t="s">
        <v>46</v>
      </c>
      <c r="C32" s="2" t="s">
        <v>47</v>
      </c>
      <c r="D32" s="2" t="s">
        <v>10</v>
      </c>
      <c r="E32" s="2" t="s">
        <v>11</v>
      </c>
      <c r="F32" s="2">
        <v>37.409999999999997</v>
      </c>
      <c r="G32" s="2">
        <v>7</v>
      </c>
      <c r="H32" s="2">
        <v>13.09</v>
      </c>
      <c r="I32" t="str">
        <f t="shared" si="0"/>
        <v>Jan</v>
      </c>
      <c r="J32">
        <f>YEAR(datas[[#This Row],[Order Date]])</f>
        <v>2021</v>
      </c>
    </row>
    <row r="33" spans="1:10" ht="14.25" customHeight="1" x14ac:dyDescent="0.3">
      <c r="A33" s="1">
        <v>44209</v>
      </c>
      <c r="B33" s="2" t="s">
        <v>46</v>
      </c>
      <c r="C33" s="2" t="s">
        <v>47</v>
      </c>
      <c r="D33" s="2" t="s">
        <v>10</v>
      </c>
      <c r="E33" s="2" t="s">
        <v>16</v>
      </c>
      <c r="F33" s="2">
        <v>3.44</v>
      </c>
      <c r="G33" s="2">
        <v>2</v>
      </c>
      <c r="H33" s="2">
        <v>-2.52</v>
      </c>
      <c r="I33" t="str">
        <f t="shared" si="0"/>
        <v>Jan</v>
      </c>
      <c r="J33">
        <f>YEAR(datas[[#This Row],[Order Date]])</f>
        <v>2021</v>
      </c>
    </row>
    <row r="34" spans="1:10" ht="14.25" customHeight="1" x14ac:dyDescent="0.3">
      <c r="A34" s="1">
        <v>44210</v>
      </c>
      <c r="B34" s="2" t="s">
        <v>48</v>
      </c>
      <c r="C34" s="2" t="s">
        <v>18</v>
      </c>
      <c r="D34" s="2" t="s">
        <v>26</v>
      </c>
      <c r="E34" s="2" t="s">
        <v>45</v>
      </c>
      <c r="F34" s="2">
        <v>61.96</v>
      </c>
      <c r="G34" s="2">
        <v>4</v>
      </c>
      <c r="H34" s="2">
        <v>-53.29</v>
      </c>
      <c r="I34" t="str">
        <f t="shared" si="0"/>
        <v>Jan</v>
      </c>
      <c r="J34">
        <f>YEAR(datas[[#This Row],[Order Date]])</f>
        <v>2021</v>
      </c>
    </row>
    <row r="35" spans="1:10" ht="14.25" customHeight="1" x14ac:dyDescent="0.3">
      <c r="A35" s="1">
        <v>44211</v>
      </c>
      <c r="B35" s="2" t="s">
        <v>49</v>
      </c>
      <c r="C35" s="2" t="s">
        <v>23</v>
      </c>
      <c r="D35" s="2" t="s">
        <v>28</v>
      </c>
      <c r="E35" s="2" t="s">
        <v>34</v>
      </c>
      <c r="F35" s="2">
        <v>149.94999999999999</v>
      </c>
      <c r="G35" s="2">
        <v>5</v>
      </c>
      <c r="H35" s="2">
        <v>65.98</v>
      </c>
      <c r="I35" t="str">
        <f t="shared" si="0"/>
        <v>Jan</v>
      </c>
      <c r="J35">
        <f>YEAR(datas[[#This Row],[Order Date]])</f>
        <v>2021</v>
      </c>
    </row>
    <row r="36" spans="1:10" ht="14.25" customHeight="1" x14ac:dyDescent="0.3">
      <c r="A36" s="1">
        <v>44212</v>
      </c>
      <c r="B36" s="2" t="s">
        <v>50</v>
      </c>
      <c r="C36" s="2" t="s">
        <v>18</v>
      </c>
      <c r="D36" s="2" t="s">
        <v>26</v>
      </c>
      <c r="E36" s="2" t="s">
        <v>32</v>
      </c>
      <c r="F36" s="2">
        <v>127.1</v>
      </c>
      <c r="G36" s="2">
        <v>6</v>
      </c>
      <c r="H36" s="2">
        <v>28.6</v>
      </c>
      <c r="I36" t="str">
        <f t="shared" si="0"/>
        <v>Jan</v>
      </c>
      <c r="J36">
        <f>YEAR(datas[[#This Row],[Order Date]])</f>
        <v>2021</v>
      </c>
    </row>
    <row r="37" spans="1:10" ht="14.25" customHeight="1" x14ac:dyDescent="0.3">
      <c r="A37" s="1">
        <v>44212</v>
      </c>
      <c r="B37" s="2" t="s">
        <v>50</v>
      </c>
      <c r="C37" s="2" t="s">
        <v>18</v>
      </c>
      <c r="D37" s="2" t="s">
        <v>28</v>
      </c>
      <c r="E37" s="2" t="s">
        <v>29</v>
      </c>
      <c r="F37" s="2">
        <v>124.2</v>
      </c>
      <c r="G37" s="2">
        <v>3</v>
      </c>
      <c r="H37" s="2">
        <v>-31.05</v>
      </c>
      <c r="I37" t="str">
        <f t="shared" si="0"/>
        <v>Jan</v>
      </c>
      <c r="J37">
        <f>YEAR(datas[[#This Row],[Order Date]])</f>
        <v>2021</v>
      </c>
    </row>
    <row r="38" spans="1:10" ht="14.25" customHeight="1" x14ac:dyDescent="0.3">
      <c r="A38" s="1">
        <v>44212</v>
      </c>
      <c r="B38" s="2" t="s">
        <v>50</v>
      </c>
      <c r="C38" s="2" t="s">
        <v>18</v>
      </c>
      <c r="D38" s="2" t="s">
        <v>10</v>
      </c>
      <c r="E38" s="2" t="s">
        <v>16</v>
      </c>
      <c r="F38" s="2">
        <v>18.59</v>
      </c>
      <c r="G38" s="2">
        <v>2</v>
      </c>
      <c r="H38" s="2">
        <v>-13.63</v>
      </c>
      <c r="I38" t="str">
        <f t="shared" si="0"/>
        <v>Jan</v>
      </c>
      <c r="J38">
        <f>YEAR(datas[[#This Row],[Order Date]])</f>
        <v>2021</v>
      </c>
    </row>
    <row r="39" spans="1:10" ht="14.25" customHeight="1" x14ac:dyDescent="0.3">
      <c r="A39" s="1">
        <v>44212</v>
      </c>
      <c r="B39" s="2" t="s">
        <v>50</v>
      </c>
      <c r="C39" s="2" t="s">
        <v>18</v>
      </c>
      <c r="D39" s="2" t="s">
        <v>10</v>
      </c>
      <c r="E39" s="2" t="s">
        <v>14</v>
      </c>
      <c r="F39" s="2">
        <v>30.07</v>
      </c>
      <c r="G39" s="2">
        <v>3</v>
      </c>
      <c r="H39" s="2">
        <v>10.15</v>
      </c>
      <c r="I39" t="str">
        <f t="shared" si="0"/>
        <v>Jan</v>
      </c>
      <c r="J39">
        <f>YEAR(datas[[#This Row],[Order Date]])</f>
        <v>2021</v>
      </c>
    </row>
    <row r="40" spans="1:10" ht="14.25" customHeight="1" x14ac:dyDescent="0.3">
      <c r="A40" s="1">
        <v>44214</v>
      </c>
      <c r="B40" s="2" t="s">
        <v>51</v>
      </c>
      <c r="C40" s="2" t="s">
        <v>52</v>
      </c>
      <c r="D40" s="2" t="s">
        <v>10</v>
      </c>
      <c r="E40" s="2" t="s">
        <v>53</v>
      </c>
      <c r="F40" s="2">
        <v>64.86</v>
      </c>
      <c r="G40" s="2">
        <v>4</v>
      </c>
      <c r="H40" s="2">
        <v>6.49</v>
      </c>
      <c r="I40" t="str">
        <f t="shared" si="0"/>
        <v>Jan</v>
      </c>
      <c r="J40">
        <f>YEAR(datas[[#This Row],[Order Date]])</f>
        <v>2021</v>
      </c>
    </row>
    <row r="41" spans="1:10" ht="14.25" customHeight="1" x14ac:dyDescent="0.3">
      <c r="A41" s="1">
        <v>44215</v>
      </c>
      <c r="B41" s="2" t="s">
        <v>54</v>
      </c>
      <c r="C41" s="2" t="s">
        <v>55</v>
      </c>
      <c r="D41" s="2" t="s">
        <v>10</v>
      </c>
      <c r="E41" s="2" t="s">
        <v>16</v>
      </c>
      <c r="F41" s="2">
        <v>32.340000000000003</v>
      </c>
      <c r="G41" s="2">
        <v>10</v>
      </c>
      <c r="H41" s="2">
        <v>-23.72</v>
      </c>
      <c r="I41" t="str">
        <f t="shared" si="0"/>
        <v>Jan</v>
      </c>
      <c r="J41">
        <f>YEAR(datas[[#This Row],[Order Date]])</f>
        <v>2021</v>
      </c>
    </row>
    <row r="42" spans="1:10" ht="14.25" customHeight="1" x14ac:dyDescent="0.3">
      <c r="A42" s="1">
        <v>44215</v>
      </c>
      <c r="B42" s="2" t="s">
        <v>54</v>
      </c>
      <c r="C42" s="2" t="s">
        <v>55</v>
      </c>
      <c r="D42" s="2" t="s">
        <v>10</v>
      </c>
      <c r="E42" s="2" t="s">
        <v>11</v>
      </c>
      <c r="F42" s="2">
        <v>56.06</v>
      </c>
      <c r="G42" s="2">
        <v>4</v>
      </c>
      <c r="H42" s="2">
        <v>19.62</v>
      </c>
      <c r="I42" t="str">
        <f t="shared" si="0"/>
        <v>Jan</v>
      </c>
      <c r="J42">
        <f>YEAR(datas[[#This Row],[Order Date]])</f>
        <v>2021</v>
      </c>
    </row>
    <row r="43" spans="1:10" ht="14.25" customHeight="1" x14ac:dyDescent="0.3">
      <c r="A43" s="1">
        <v>44215</v>
      </c>
      <c r="B43" s="2" t="s">
        <v>54</v>
      </c>
      <c r="C43" s="2" t="s">
        <v>55</v>
      </c>
      <c r="D43" s="2" t="s">
        <v>10</v>
      </c>
      <c r="E43" s="2" t="s">
        <v>41</v>
      </c>
      <c r="F43" s="2">
        <v>108.72</v>
      </c>
      <c r="G43" s="2">
        <v>5</v>
      </c>
      <c r="H43" s="2">
        <v>36.69</v>
      </c>
      <c r="I43" t="str">
        <f t="shared" si="0"/>
        <v>Jan</v>
      </c>
      <c r="J43">
        <f>YEAR(datas[[#This Row],[Order Date]])</f>
        <v>2021</v>
      </c>
    </row>
    <row r="44" spans="1:10" ht="14.25" customHeight="1" x14ac:dyDescent="0.3">
      <c r="A44" s="1">
        <v>44215</v>
      </c>
      <c r="B44" s="2" t="s">
        <v>54</v>
      </c>
      <c r="C44" s="2" t="s">
        <v>55</v>
      </c>
      <c r="D44" s="2" t="s">
        <v>26</v>
      </c>
      <c r="E44" s="2" t="s">
        <v>45</v>
      </c>
      <c r="F44" s="2">
        <v>181.47</v>
      </c>
      <c r="G44" s="2">
        <v>5</v>
      </c>
      <c r="H44" s="2">
        <v>-320.60000000000002</v>
      </c>
      <c r="I44" t="str">
        <f t="shared" si="0"/>
        <v>Jan</v>
      </c>
      <c r="J44">
        <f>YEAR(datas[[#This Row],[Order Date]])</f>
        <v>2021</v>
      </c>
    </row>
    <row r="45" spans="1:10" ht="14.25" customHeight="1" x14ac:dyDescent="0.3">
      <c r="A45" s="1">
        <v>44216</v>
      </c>
      <c r="B45" s="2" t="s">
        <v>56</v>
      </c>
      <c r="C45" s="2" t="s">
        <v>57</v>
      </c>
      <c r="D45" s="2" t="s">
        <v>28</v>
      </c>
      <c r="E45" s="2" t="s">
        <v>29</v>
      </c>
      <c r="F45" s="2">
        <v>699.93</v>
      </c>
      <c r="G45" s="2">
        <v>7</v>
      </c>
      <c r="H45" s="2">
        <v>181.98</v>
      </c>
      <c r="I45" t="str">
        <f t="shared" si="0"/>
        <v>Jan</v>
      </c>
      <c r="J45">
        <f>YEAR(datas[[#This Row],[Order Date]])</f>
        <v>2021</v>
      </c>
    </row>
    <row r="46" spans="1:10" ht="14.25" customHeight="1" x14ac:dyDescent="0.3">
      <c r="A46" s="1">
        <v>44216</v>
      </c>
      <c r="B46" s="2" t="s">
        <v>56</v>
      </c>
      <c r="C46" s="2" t="s">
        <v>57</v>
      </c>
      <c r="D46" s="2" t="s">
        <v>10</v>
      </c>
      <c r="E46" s="2" t="s">
        <v>19</v>
      </c>
      <c r="F46" s="2">
        <v>22.96</v>
      </c>
      <c r="G46" s="2">
        <v>7</v>
      </c>
      <c r="H46" s="2">
        <v>6.66</v>
      </c>
      <c r="I46" t="str">
        <f t="shared" si="0"/>
        <v>Jan</v>
      </c>
      <c r="J46">
        <f>YEAR(datas[[#This Row],[Order Date]])</f>
        <v>2021</v>
      </c>
    </row>
    <row r="47" spans="1:10" ht="14.25" customHeight="1" x14ac:dyDescent="0.3">
      <c r="A47" s="1">
        <v>44216</v>
      </c>
      <c r="B47" s="2" t="s">
        <v>56</v>
      </c>
      <c r="C47" s="2" t="s">
        <v>57</v>
      </c>
      <c r="D47" s="2" t="s">
        <v>26</v>
      </c>
      <c r="E47" s="2" t="s">
        <v>32</v>
      </c>
      <c r="F47" s="2">
        <v>38.6</v>
      </c>
      <c r="G47" s="2">
        <v>4</v>
      </c>
      <c r="H47" s="2">
        <v>11.58</v>
      </c>
      <c r="I47" t="str">
        <f t="shared" si="0"/>
        <v>Jan</v>
      </c>
      <c r="J47">
        <f>YEAR(datas[[#This Row],[Order Date]])</f>
        <v>2021</v>
      </c>
    </row>
    <row r="48" spans="1:10" ht="14.25" customHeight="1" x14ac:dyDescent="0.3">
      <c r="A48" s="1">
        <v>44216</v>
      </c>
      <c r="B48" s="2" t="s">
        <v>56</v>
      </c>
      <c r="C48" s="2" t="s">
        <v>57</v>
      </c>
      <c r="D48" s="2" t="s">
        <v>10</v>
      </c>
      <c r="E48" s="2" t="s">
        <v>19</v>
      </c>
      <c r="F48" s="2">
        <v>6.63</v>
      </c>
      <c r="G48" s="2">
        <v>3</v>
      </c>
      <c r="H48" s="2">
        <v>1.79</v>
      </c>
      <c r="I48" t="str">
        <f t="shared" si="0"/>
        <v>Jan</v>
      </c>
      <c r="J48">
        <f>YEAR(datas[[#This Row],[Order Date]])</f>
        <v>2021</v>
      </c>
    </row>
    <row r="49" spans="1:10" ht="14.25" customHeight="1" x14ac:dyDescent="0.3">
      <c r="A49" s="1">
        <v>44216</v>
      </c>
      <c r="B49" s="2" t="s">
        <v>56</v>
      </c>
      <c r="C49" s="2" t="s">
        <v>57</v>
      </c>
      <c r="D49" s="2" t="s">
        <v>10</v>
      </c>
      <c r="E49" s="2" t="s">
        <v>41</v>
      </c>
      <c r="F49" s="2">
        <v>23.34</v>
      </c>
      <c r="G49" s="2">
        <v>3</v>
      </c>
      <c r="H49" s="2">
        <v>10.97</v>
      </c>
      <c r="I49" t="str">
        <f t="shared" si="0"/>
        <v>Jan</v>
      </c>
      <c r="J49">
        <f>YEAR(datas[[#This Row],[Order Date]])</f>
        <v>2021</v>
      </c>
    </row>
    <row r="50" spans="1:10" ht="14.25" customHeight="1" x14ac:dyDescent="0.3">
      <c r="A50" s="1">
        <v>44216</v>
      </c>
      <c r="B50" s="2" t="s">
        <v>56</v>
      </c>
      <c r="C50" s="2" t="s">
        <v>57</v>
      </c>
      <c r="D50" s="2" t="s">
        <v>26</v>
      </c>
      <c r="E50" s="2" t="s">
        <v>27</v>
      </c>
      <c r="F50" s="2">
        <v>1067.94</v>
      </c>
      <c r="G50" s="2">
        <v>3</v>
      </c>
      <c r="H50" s="2">
        <v>224.27</v>
      </c>
      <c r="I50" t="str">
        <f t="shared" si="0"/>
        <v>Jan</v>
      </c>
      <c r="J50">
        <f>YEAR(datas[[#This Row],[Order Date]])</f>
        <v>2021</v>
      </c>
    </row>
    <row r="51" spans="1:10" ht="14.25" customHeight="1" x14ac:dyDescent="0.3">
      <c r="A51" s="1">
        <v>44216</v>
      </c>
      <c r="B51" s="2" t="s">
        <v>58</v>
      </c>
      <c r="C51" s="2" t="s">
        <v>21</v>
      </c>
      <c r="D51" s="2" t="s">
        <v>10</v>
      </c>
      <c r="E51" s="2" t="s">
        <v>11</v>
      </c>
      <c r="F51" s="2">
        <v>19.36</v>
      </c>
      <c r="G51" s="2">
        <v>2</v>
      </c>
      <c r="H51" s="2">
        <v>9.2899999999999991</v>
      </c>
      <c r="I51" t="str">
        <f t="shared" si="0"/>
        <v>Jan</v>
      </c>
      <c r="J51">
        <f>YEAR(datas[[#This Row],[Order Date]])</f>
        <v>2021</v>
      </c>
    </row>
    <row r="52" spans="1:10" ht="14.25" customHeight="1" x14ac:dyDescent="0.3">
      <c r="A52" s="1">
        <v>44216</v>
      </c>
      <c r="B52" s="2" t="s">
        <v>58</v>
      </c>
      <c r="C52" s="2" t="s">
        <v>21</v>
      </c>
      <c r="D52" s="2" t="s">
        <v>26</v>
      </c>
      <c r="E52" s="2" t="s">
        <v>32</v>
      </c>
      <c r="F52" s="2">
        <v>19.3</v>
      </c>
      <c r="G52" s="2">
        <v>2</v>
      </c>
      <c r="H52" s="2">
        <v>5.79</v>
      </c>
      <c r="I52" t="str">
        <f t="shared" si="0"/>
        <v>Jan</v>
      </c>
      <c r="J52">
        <f>YEAR(datas[[#This Row],[Order Date]])</f>
        <v>2021</v>
      </c>
    </row>
    <row r="53" spans="1:10" ht="14.25" customHeight="1" x14ac:dyDescent="0.3">
      <c r="A53" s="1">
        <v>44216</v>
      </c>
      <c r="B53" s="2" t="s">
        <v>59</v>
      </c>
      <c r="C53" s="2" t="s">
        <v>60</v>
      </c>
      <c r="D53" s="2" t="s">
        <v>10</v>
      </c>
      <c r="E53" s="2" t="s">
        <v>15</v>
      </c>
      <c r="F53" s="2">
        <v>13.98</v>
      </c>
      <c r="G53" s="2">
        <v>1</v>
      </c>
      <c r="H53" s="2">
        <v>4.05</v>
      </c>
      <c r="I53" t="str">
        <f t="shared" si="0"/>
        <v>Jan</v>
      </c>
      <c r="J53">
        <f>YEAR(datas[[#This Row],[Order Date]])</f>
        <v>2021</v>
      </c>
    </row>
    <row r="54" spans="1:10" ht="14.25" customHeight="1" x14ac:dyDescent="0.3">
      <c r="A54" s="1">
        <v>44216</v>
      </c>
      <c r="B54" s="2" t="s">
        <v>59</v>
      </c>
      <c r="C54" s="2" t="s">
        <v>60</v>
      </c>
      <c r="D54" s="2" t="s">
        <v>26</v>
      </c>
      <c r="E54" s="2" t="s">
        <v>32</v>
      </c>
      <c r="F54" s="2">
        <v>272.94</v>
      </c>
      <c r="G54" s="2">
        <v>3</v>
      </c>
      <c r="H54" s="2">
        <v>30.02</v>
      </c>
      <c r="I54" t="str">
        <f t="shared" si="0"/>
        <v>Jan</v>
      </c>
      <c r="J54">
        <f>YEAR(datas[[#This Row],[Order Date]])</f>
        <v>2021</v>
      </c>
    </row>
    <row r="55" spans="1:10" ht="14.25" customHeight="1" x14ac:dyDescent="0.3">
      <c r="A55" s="1">
        <v>44216</v>
      </c>
      <c r="B55" s="2" t="s">
        <v>59</v>
      </c>
      <c r="C55" s="2" t="s">
        <v>60</v>
      </c>
      <c r="D55" s="2" t="s">
        <v>10</v>
      </c>
      <c r="E55" s="2" t="s">
        <v>16</v>
      </c>
      <c r="F55" s="2">
        <v>19.05</v>
      </c>
      <c r="G55" s="2">
        <v>5</v>
      </c>
      <c r="H55" s="2">
        <v>8.9499999999999993</v>
      </c>
      <c r="I55" t="str">
        <f t="shared" si="0"/>
        <v>Jan</v>
      </c>
      <c r="J55">
        <f>YEAR(datas[[#This Row],[Order Date]])</f>
        <v>2021</v>
      </c>
    </row>
    <row r="56" spans="1:10" ht="14.25" customHeight="1" x14ac:dyDescent="0.3">
      <c r="A56" s="1">
        <v>44216</v>
      </c>
      <c r="B56" s="2" t="s">
        <v>59</v>
      </c>
      <c r="C56" s="2" t="s">
        <v>60</v>
      </c>
      <c r="D56" s="2" t="s">
        <v>10</v>
      </c>
      <c r="E56" s="2" t="s">
        <v>53</v>
      </c>
      <c r="F56" s="2">
        <v>247.72</v>
      </c>
      <c r="G56" s="2">
        <v>4</v>
      </c>
      <c r="H56" s="2">
        <v>93.58</v>
      </c>
      <c r="I56" t="str">
        <f t="shared" si="0"/>
        <v>Jan</v>
      </c>
      <c r="J56">
        <f>YEAR(datas[[#This Row],[Order Date]])</f>
        <v>2021</v>
      </c>
    </row>
    <row r="57" spans="1:10" ht="14.25" customHeight="1" x14ac:dyDescent="0.3">
      <c r="A57" s="1">
        <v>44216</v>
      </c>
      <c r="B57" s="2" t="s">
        <v>59</v>
      </c>
      <c r="C57" s="2" t="s">
        <v>60</v>
      </c>
      <c r="D57" s="2" t="s">
        <v>10</v>
      </c>
      <c r="E57" s="2" t="s">
        <v>15</v>
      </c>
      <c r="F57" s="2">
        <v>66.58</v>
      </c>
      <c r="G57" s="2">
        <v>2</v>
      </c>
      <c r="H57" s="2">
        <v>15.98</v>
      </c>
      <c r="I57" t="str">
        <f t="shared" si="0"/>
        <v>Jan</v>
      </c>
      <c r="J57">
        <f>YEAR(datas[[#This Row],[Order Date]])</f>
        <v>2021</v>
      </c>
    </row>
    <row r="58" spans="1:10" ht="14.25" customHeight="1" x14ac:dyDescent="0.3">
      <c r="A58" s="1">
        <v>44216</v>
      </c>
      <c r="B58" s="2" t="s">
        <v>59</v>
      </c>
      <c r="C58" s="2" t="s">
        <v>60</v>
      </c>
      <c r="D58" s="2" t="s">
        <v>10</v>
      </c>
      <c r="E58" s="2" t="s">
        <v>19</v>
      </c>
      <c r="F58" s="2">
        <v>43.92</v>
      </c>
      <c r="G58" s="2">
        <v>3</v>
      </c>
      <c r="H58" s="2">
        <v>12.74</v>
      </c>
      <c r="I58" t="str">
        <f t="shared" si="0"/>
        <v>Jan</v>
      </c>
      <c r="J58">
        <f>YEAR(datas[[#This Row],[Order Date]])</f>
        <v>2021</v>
      </c>
    </row>
    <row r="59" spans="1:10" ht="14.25" customHeight="1" x14ac:dyDescent="0.3">
      <c r="A59" s="1">
        <v>44216</v>
      </c>
      <c r="B59" s="2" t="s">
        <v>59</v>
      </c>
      <c r="C59" s="2" t="s">
        <v>60</v>
      </c>
      <c r="D59" s="2" t="s">
        <v>26</v>
      </c>
      <c r="E59" s="2" t="s">
        <v>32</v>
      </c>
      <c r="F59" s="2">
        <v>14.73</v>
      </c>
      <c r="G59" s="2">
        <v>3</v>
      </c>
      <c r="H59" s="2">
        <v>4.8600000000000003</v>
      </c>
      <c r="I59" t="str">
        <f t="shared" si="0"/>
        <v>Jan</v>
      </c>
      <c r="J59">
        <f>YEAR(datas[[#This Row],[Order Date]])</f>
        <v>2021</v>
      </c>
    </row>
    <row r="60" spans="1:10" ht="14.25" customHeight="1" x14ac:dyDescent="0.3">
      <c r="A60" s="1">
        <v>44216</v>
      </c>
      <c r="B60" s="2" t="s">
        <v>59</v>
      </c>
      <c r="C60" s="2" t="s">
        <v>60</v>
      </c>
      <c r="D60" s="2" t="s">
        <v>10</v>
      </c>
      <c r="E60" s="2" t="s">
        <v>16</v>
      </c>
      <c r="F60" s="2">
        <v>29.7</v>
      </c>
      <c r="G60" s="2">
        <v>5</v>
      </c>
      <c r="H60" s="2">
        <v>13.37</v>
      </c>
      <c r="I60" t="str">
        <f t="shared" si="0"/>
        <v>Jan</v>
      </c>
      <c r="J60">
        <f>YEAR(datas[[#This Row],[Order Date]])</f>
        <v>2021</v>
      </c>
    </row>
    <row r="61" spans="1:10" ht="14.25" customHeight="1" x14ac:dyDescent="0.3">
      <c r="A61" s="1">
        <v>44216</v>
      </c>
      <c r="B61" s="2" t="s">
        <v>61</v>
      </c>
      <c r="C61" s="2" t="s">
        <v>62</v>
      </c>
      <c r="D61" s="2" t="s">
        <v>10</v>
      </c>
      <c r="E61" s="2" t="s">
        <v>16</v>
      </c>
      <c r="F61" s="2">
        <v>67.19</v>
      </c>
      <c r="G61" s="2">
        <v>1</v>
      </c>
      <c r="H61" s="2">
        <v>-51.52</v>
      </c>
      <c r="I61" t="str">
        <f t="shared" si="0"/>
        <v>Jan</v>
      </c>
      <c r="J61">
        <f>YEAR(datas[[#This Row],[Order Date]])</f>
        <v>2021</v>
      </c>
    </row>
    <row r="62" spans="1:10" ht="14.25" customHeight="1" x14ac:dyDescent="0.3">
      <c r="A62" s="1">
        <v>44217</v>
      </c>
      <c r="B62" s="2" t="s">
        <v>63</v>
      </c>
      <c r="C62" s="2" t="s">
        <v>64</v>
      </c>
      <c r="D62" s="2" t="s">
        <v>26</v>
      </c>
      <c r="E62" s="2" t="s">
        <v>32</v>
      </c>
      <c r="F62" s="2">
        <v>25.25</v>
      </c>
      <c r="G62" s="2">
        <v>3</v>
      </c>
      <c r="H62" s="2">
        <v>4.0999999999999996</v>
      </c>
      <c r="I62" t="str">
        <f t="shared" si="0"/>
        <v>Jan</v>
      </c>
      <c r="J62">
        <f>YEAR(datas[[#This Row],[Order Date]])</f>
        <v>2021</v>
      </c>
    </row>
    <row r="63" spans="1:10" ht="14.25" customHeight="1" x14ac:dyDescent="0.3">
      <c r="A63" s="1">
        <v>44219</v>
      </c>
      <c r="B63" s="2" t="s">
        <v>65</v>
      </c>
      <c r="C63" s="2" t="s">
        <v>66</v>
      </c>
      <c r="D63" s="2" t="s">
        <v>10</v>
      </c>
      <c r="E63" s="2" t="s">
        <v>11</v>
      </c>
      <c r="F63" s="2">
        <v>40.08</v>
      </c>
      <c r="G63" s="2">
        <v>6</v>
      </c>
      <c r="H63" s="2">
        <v>19.239999999999998</v>
      </c>
      <c r="I63" t="str">
        <f t="shared" si="0"/>
        <v>Jan</v>
      </c>
      <c r="J63">
        <f>YEAR(datas[[#This Row],[Order Date]])</f>
        <v>2021</v>
      </c>
    </row>
    <row r="64" spans="1:10" ht="14.25" customHeight="1" x14ac:dyDescent="0.3">
      <c r="A64" s="1">
        <v>44219</v>
      </c>
      <c r="B64" s="2" t="s">
        <v>67</v>
      </c>
      <c r="C64" s="2" t="s">
        <v>68</v>
      </c>
      <c r="D64" s="2" t="s">
        <v>10</v>
      </c>
      <c r="E64" s="2" t="s">
        <v>30</v>
      </c>
      <c r="F64" s="2">
        <v>5.94</v>
      </c>
      <c r="G64" s="2">
        <v>3</v>
      </c>
      <c r="H64" s="2">
        <v>0</v>
      </c>
      <c r="I64" t="str">
        <f t="shared" si="0"/>
        <v>Jan</v>
      </c>
      <c r="J64">
        <f>YEAR(datas[[#This Row],[Order Date]])</f>
        <v>2021</v>
      </c>
    </row>
    <row r="65" spans="1:10" ht="14.25" customHeight="1" x14ac:dyDescent="0.3">
      <c r="A65" s="1">
        <v>44222</v>
      </c>
      <c r="B65" s="2" t="s">
        <v>69</v>
      </c>
      <c r="C65" s="2" t="s">
        <v>36</v>
      </c>
      <c r="D65" s="2" t="s">
        <v>26</v>
      </c>
      <c r="E65" s="2" t="s">
        <v>32</v>
      </c>
      <c r="F65" s="2">
        <v>62.82</v>
      </c>
      <c r="G65" s="2">
        <v>3</v>
      </c>
      <c r="H65" s="2">
        <v>30.78</v>
      </c>
      <c r="I65" t="str">
        <f t="shared" si="0"/>
        <v>Jan</v>
      </c>
      <c r="J65">
        <f>YEAR(datas[[#This Row],[Order Date]])</f>
        <v>2021</v>
      </c>
    </row>
    <row r="66" spans="1:10" ht="14.25" customHeight="1" x14ac:dyDescent="0.3">
      <c r="A66" s="1">
        <v>44222</v>
      </c>
      <c r="B66" s="2" t="s">
        <v>69</v>
      </c>
      <c r="C66" s="2" t="s">
        <v>36</v>
      </c>
      <c r="D66" s="2" t="s">
        <v>10</v>
      </c>
      <c r="E66" s="2" t="s">
        <v>15</v>
      </c>
      <c r="F66" s="2">
        <v>489.92</v>
      </c>
      <c r="G66" s="2">
        <v>8</v>
      </c>
      <c r="H66" s="2">
        <v>0</v>
      </c>
      <c r="I66" t="str">
        <f t="shared" si="0"/>
        <v>Jan</v>
      </c>
      <c r="J66">
        <f>YEAR(datas[[#This Row],[Order Date]])</f>
        <v>2021</v>
      </c>
    </row>
    <row r="67" spans="1:10" ht="14.25" customHeight="1" x14ac:dyDescent="0.3">
      <c r="A67" s="1">
        <v>44222</v>
      </c>
      <c r="B67" s="2" t="s">
        <v>69</v>
      </c>
      <c r="C67" s="2" t="s">
        <v>36</v>
      </c>
      <c r="D67" s="2" t="s">
        <v>10</v>
      </c>
      <c r="E67" s="2" t="s">
        <v>11</v>
      </c>
      <c r="F67" s="2">
        <v>19.440000000000001</v>
      </c>
      <c r="G67" s="2">
        <v>3</v>
      </c>
      <c r="H67" s="2">
        <v>9.33</v>
      </c>
      <c r="I67" t="str">
        <f t="shared" ref="I67:I130" si="1">TEXT(A67,"mmm")</f>
        <v>Jan</v>
      </c>
      <c r="J67">
        <f>YEAR(datas[[#This Row],[Order Date]])</f>
        <v>2021</v>
      </c>
    </row>
    <row r="68" spans="1:10" ht="14.25" customHeight="1" x14ac:dyDescent="0.3">
      <c r="A68" s="1">
        <v>44222</v>
      </c>
      <c r="B68" s="2" t="s">
        <v>69</v>
      </c>
      <c r="C68" s="2" t="s">
        <v>36</v>
      </c>
      <c r="D68" s="2" t="s">
        <v>10</v>
      </c>
      <c r="E68" s="2" t="s">
        <v>11</v>
      </c>
      <c r="F68" s="2">
        <v>16.68</v>
      </c>
      <c r="G68" s="2">
        <v>2</v>
      </c>
      <c r="H68" s="2">
        <v>8.34</v>
      </c>
      <c r="I68" t="str">
        <f t="shared" si="1"/>
        <v>Jan</v>
      </c>
      <c r="J68">
        <f>YEAR(datas[[#This Row],[Order Date]])</f>
        <v>2021</v>
      </c>
    </row>
    <row r="69" spans="1:10" ht="14.25" customHeight="1" x14ac:dyDescent="0.3">
      <c r="A69" s="1">
        <v>44222</v>
      </c>
      <c r="B69" s="2" t="s">
        <v>69</v>
      </c>
      <c r="C69" s="2" t="s">
        <v>36</v>
      </c>
      <c r="D69" s="2" t="s">
        <v>28</v>
      </c>
      <c r="E69" s="2" t="s">
        <v>29</v>
      </c>
      <c r="F69" s="2">
        <v>155.35</v>
      </c>
      <c r="G69" s="2">
        <v>13</v>
      </c>
      <c r="H69" s="2">
        <v>0</v>
      </c>
      <c r="I69" t="str">
        <f t="shared" si="1"/>
        <v>Jan</v>
      </c>
      <c r="J69">
        <f>YEAR(datas[[#This Row],[Order Date]])</f>
        <v>2021</v>
      </c>
    </row>
    <row r="70" spans="1:10" ht="14.25" customHeight="1" x14ac:dyDescent="0.3">
      <c r="A70" s="1">
        <v>44222</v>
      </c>
      <c r="B70" s="2" t="s">
        <v>69</v>
      </c>
      <c r="C70" s="2" t="s">
        <v>36</v>
      </c>
      <c r="D70" s="2" t="s">
        <v>26</v>
      </c>
      <c r="E70" s="2" t="s">
        <v>32</v>
      </c>
      <c r="F70" s="2">
        <v>12.42</v>
      </c>
      <c r="G70" s="2">
        <v>3</v>
      </c>
      <c r="H70" s="2">
        <v>4.47</v>
      </c>
      <c r="I70" t="str">
        <f t="shared" si="1"/>
        <v>Jan</v>
      </c>
      <c r="J70">
        <f>YEAR(datas[[#This Row],[Order Date]])</f>
        <v>2021</v>
      </c>
    </row>
    <row r="71" spans="1:10" ht="14.25" customHeight="1" x14ac:dyDescent="0.3">
      <c r="A71" s="1">
        <v>44222</v>
      </c>
      <c r="B71" s="2" t="s">
        <v>69</v>
      </c>
      <c r="C71" s="2" t="s">
        <v>36</v>
      </c>
      <c r="D71" s="2" t="s">
        <v>28</v>
      </c>
      <c r="E71" s="2" t="s">
        <v>29</v>
      </c>
      <c r="F71" s="2">
        <v>187.98</v>
      </c>
      <c r="G71" s="2">
        <v>2</v>
      </c>
      <c r="H71" s="2">
        <v>52.63</v>
      </c>
      <c r="I71" t="str">
        <f t="shared" si="1"/>
        <v>Jan</v>
      </c>
      <c r="J71">
        <f>YEAR(datas[[#This Row],[Order Date]])</f>
        <v>2021</v>
      </c>
    </row>
    <row r="72" spans="1:10" ht="14.25" customHeight="1" x14ac:dyDescent="0.3">
      <c r="A72" s="1">
        <v>44222</v>
      </c>
      <c r="B72" s="2" t="s">
        <v>70</v>
      </c>
      <c r="C72" s="2" t="s">
        <v>71</v>
      </c>
      <c r="D72" s="2" t="s">
        <v>10</v>
      </c>
      <c r="E72" s="2" t="s">
        <v>16</v>
      </c>
      <c r="F72" s="2">
        <v>10.68</v>
      </c>
      <c r="G72" s="2">
        <v>2</v>
      </c>
      <c r="H72" s="2">
        <v>5.0199999999999996</v>
      </c>
      <c r="I72" t="str">
        <f t="shared" si="1"/>
        <v>Jan</v>
      </c>
      <c r="J72">
        <f>YEAR(datas[[#This Row],[Order Date]])</f>
        <v>2021</v>
      </c>
    </row>
    <row r="73" spans="1:10" ht="14.25" customHeight="1" x14ac:dyDescent="0.3">
      <c r="A73" s="1">
        <v>44222</v>
      </c>
      <c r="B73" s="2" t="s">
        <v>70</v>
      </c>
      <c r="C73" s="2" t="s">
        <v>71</v>
      </c>
      <c r="D73" s="2" t="s">
        <v>26</v>
      </c>
      <c r="E73" s="2" t="s">
        <v>45</v>
      </c>
      <c r="F73" s="2">
        <v>141.96</v>
      </c>
      <c r="G73" s="2">
        <v>2</v>
      </c>
      <c r="H73" s="2">
        <v>39.75</v>
      </c>
      <c r="I73" t="str">
        <f t="shared" si="1"/>
        <v>Jan</v>
      </c>
      <c r="J73">
        <f>YEAR(datas[[#This Row],[Order Date]])</f>
        <v>2021</v>
      </c>
    </row>
    <row r="74" spans="1:10" ht="14.25" customHeight="1" x14ac:dyDescent="0.3">
      <c r="A74" s="1">
        <v>44223</v>
      </c>
      <c r="B74" s="2" t="s">
        <v>72</v>
      </c>
      <c r="C74" s="2" t="s">
        <v>21</v>
      </c>
      <c r="D74" s="2" t="s">
        <v>10</v>
      </c>
      <c r="E74" s="2" t="s">
        <v>15</v>
      </c>
      <c r="F74" s="2">
        <v>57.23</v>
      </c>
      <c r="G74" s="2">
        <v>1</v>
      </c>
      <c r="H74" s="2">
        <v>14.31</v>
      </c>
      <c r="I74" t="str">
        <f t="shared" si="1"/>
        <v>Jan</v>
      </c>
      <c r="J74">
        <f>YEAR(datas[[#This Row],[Order Date]])</f>
        <v>2021</v>
      </c>
    </row>
    <row r="75" spans="1:10" ht="14.25" customHeight="1" x14ac:dyDescent="0.3">
      <c r="A75" s="1">
        <v>44223</v>
      </c>
      <c r="B75" s="2" t="s">
        <v>72</v>
      </c>
      <c r="C75" s="2" t="s">
        <v>21</v>
      </c>
      <c r="D75" s="2" t="s">
        <v>26</v>
      </c>
      <c r="E75" s="2" t="s">
        <v>73</v>
      </c>
      <c r="F75" s="2">
        <v>333</v>
      </c>
      <c r="G75" s="2">
        <v>3</v>
      </c>
      <c r="H75" s="2">
        <v>-16.649999999999999</v>
      </c>
      <c r="I75" t="str">
        <f t="shared" si="1"/>
        <v>Jan</v>
      </c>
      <c r="J75">
        <f>YEAR(datas[[#This Row],[Order Date]])</f>
        <v>2021</v>
      </c>
    </row>
    <row r="76" spans="1:10" ht="14.25" customHeight="1" x14ac:dyDescent="0.3">
      <c r="A76" s="1">
        <v>44223</v>
      </c>
      <c r="B76" s="2" t="s">
        <v>72</v>
      </c>
      <c r="C76" s="2" t="s">
        <v>21</v>
      </c>
      <c r="D76" s="2" t="s">
        <v>10</v>
      </c>
      <c r="E76" s="2" t="s">
        <v>19</v>
      </c>
      <c r="F76" s="2">
        <v>36.44</v>
      </c>
      <c r="G76" s="2">
        <v>4</v>
      </c>
      <c r="H76" s="2">
        <v>12.03</v>
      </c>
      <c r="I76" t="str">
        <f t="shared" si="1"/>
        <v>Jan</v>
      </c>
      <c r="J76">
        <f>YEAR(datas[[#This Row],[Order Date]])</f>
        <v>2021</v>
      </c>
    </row>
    <row r="77" spans="1:10" ht="14.25" customHeight="1" x14ac:dyDescent="0.3">
      <c r="A77" s="1">
        <v>44224</v>
      </c>
      <c r="B77" s="2" t="s">
        <v>74</v>
      </c>
      <c r="C77" s="2" t="s">
        <v>75</v>
      </c>
      <c r="D77" s="2" t="s">
        <v>10</v>
      </c>
      <c r="E77" s="2" t="s">
        <v>16</v>
      </c>
      <c r="F77" s="2">
        <v>3.93</v>
      </c>
      <c r="G77" s="2">
        <v>1</v>
      </c>
      <c r="H77" s="2">
        <v>1.33</v>
      </c>
      <c r="I77" t="str">
        <f t="shared" si="1"/>
        <v>Jan</v>
      </c>
      <c r="J77">
        <f>YEAR(datas[[#This Row],[Order Date]])</f>
        <v>2021</v>
      </c>
    </row>
    <row r="78" spans="1:10" ht="14.25" customHeight="1" x14ac:dyDescent="0.3">
      <c r="A78" s="1">
        <v>44226</v>
      </c>
      <c r="B78" s="2" t="s">
        <v>76</v>
      </c>
      <c r="C78" s="2" t="s">
        <v>60</v>
      </c>
      <c r="D78" s="2" t="s">
        <v>10</v>
      </c>
      <c r="E78" s="2" t="s">
        <v>11</v>
      </c>
      <c r="F78" s="2">
        <v>10.56</v>
      </c>
      <c r="G78" s="2">
        <v>2</v>
      </c>
      <c r="H78" s="2">
        <v>4.75</v>
      </c>
      <c r="I78" t="str">
        <f t="shared" si="1"/>
        <v>Jan</v>
      </c>
      <c r="J78">
        <f>YEAR(datas[[#This Row],[Order Date]])</f>
        <v>2021</v>
      </c>
    </row>
    <row r="79" spans="1:10" ht="14.25" customHeight="1" x14ac:dyDescent="0.3">
      <c r="A79" s="1">
        <v>44226</v>
      </c>
      <c r="B79" s="2" t="s">
        <v>76</v>
      </c>
      <c r="C79" s="2" t="s">
        <v>60</v>
      </c>
      <c r="D79" s="2" t="s">
        <v>10</v>
      </c>
      <c r="E79" s="2" t="s">
        <v>15</v>
      </c>
      <c r="F79" s="2">
        <v>229.94</v>
      </c>
      <c r="G79" s="2">
        <v>2</v>
      </c>
      <c r="H79" s="2">
        <v>6.9</v>
      </c>
      <c r="I79" t="str">
        <f t="shared" si="1"/>
        <v>Jan</v>
      </c>
      <c r="J79">
        <f>YEAR(datas[[#This Row],[Order Date]])</f>
        <v>2021</v>
      </c>
    </row>
    <row r="80" spans="1:10" ht="14.25" customHeight="1" x14ac:dyDescent="0.3">
      <c r="A80" s="1">
        <v>44227</v>
      </c>
      <c r="B80" s="2" t="s">
        <v>77</v>
      </c>
      <c r="C80" s="2" t="s">
        <v>21</v>
      </c>
      <c r="D80" s="2" t="s">
        <v>26</v>
      </c>
      <c r="E80" s="2" t="s">
        <v>45</v>
      </c>
      <c r="F80" s="2">
        <v>290.67</v>
      </c>
      <c r="G80" s="2">
        <v>2</v>
      </c>
      <c r="H80" s="2">
        <v>3.42</v>
      </c>
      <c r="I80" t="str">
        <f t="shared" si="1"/>
        <v>Jan</v>
      </c>
      <c r="J80">
        <f>YEAR(datas[[#This Row],[Order Date]])</f>
        <v>2021</v>
      </c>
    </row>
    <row r="81" spans="1:10" ht="14.25" customHeight="1" x14ac:dyDescent="0.3">
      <c r="A81" s="1">
        <v>44228</v>
      </c>
      <c r="B81" s="2" t="s">
        <v>78</v>
      </c>
      <c r="C81" s="2" t="s">
        <v>79</v>
      </c>
      <c r="D81" s="2" t="s">
        <v>28</v>
      </c>
      <c r="E81" s="2" t="s">
        <v>34</v>
      </c>
      <c r="F81" s="2">
        <v>468.9</v>
      </c>
      <c r="G81" s="2">
        <v>6</v>
      </c>
      <c r="H81" s="2">
        <v>206.32</v>
      </c>
      <c r="I81" t="str">
        <f t="shared" si="1"/>
        <v>Feb</v>
      </c>
      <c r="J81">
        <f>YEAR(datas[[#This Row],[Order Date]])</f>
        <v>2021</v>
      </c>
    </row>
    <row r="82" spans="1:10" ht="14.25" customHeight="1" x14ac:dyDescent="0.3">
      <c r="A82" s="1">
        <v>44229</v>
      </c>
      <c r="B82" s="2" t="s">
        <v>80</v>
      </c>
      <c r="C82" s="2" t="s">
        <v>21</v>
      </c>
      <c r="D82" s="2" t="s">
        <v>10</v>
      </c>
      <c r="E82" s="2" t="s">
        <v>30</v>
      </c>
      <c r="F82" s="2">
        <v>12.35</v>
      </c>
      <c r="G82" s="2">
        <v>5</v>
      </c>
      <c r="H82" s="2">
        <v>5.8</v>
      </c>
      <c r="I82" t="str">
        <f t="shared" si="1"/>
        <v>Feb</v>
      </c>
      <c r="J82">
        <f>YEAR(datas[[#This Row],[Order Date]])</f>
        <v>2021</v>
      </c>
    </row>
    <row r="83" spans="1:10" ht="14.25" customHeight="1" x14ac:dyDescent="0.3">
      <c r="A83" s="1">
        <v>44229</v>
      </c>
      <c r="B83" s="2" t="s">
        <v>81</v>
      </c>
      <c r="C83" s="2" t="s">
        <v>64</v>
      </c>
      <c r="D83" s="2" t="s">
        <v>10</v>
      </c>
      <c r="E83" s="2" t="s">
        <v>16</v>
      </c>
      <c r="F83" s="2">
        <v>18.34</v>
      </c>
      <c r="G83" s="2">
        <v>2</v>
      </c>
      <c r="H83" s="2">
        <v>-12.22</v>
      </c>
      <c r="I83" t="str">
        <f t="shared" si="1"/>
        <v>Feb</v>
      </c>
      <c r="J83">
        <f>YEAR(datas[[#This Row],[Order Date]])</f>
        <v>2021</v>
      </c>
    </row>
    <row r="84" spans="1:10" ht="14.25" customHeight="1" x14ac:dyDescent="0.3">
      <c r="A84" s="1">
        <v>44229</v>
      </c>
      <c r="B84" s="2" t="s">
        <v>81</v>
      </c>
      <c r="C84" s="2" t="s">
        <v>64</v>
      </c>
      <c r="D84" s="2" t="s">
        <v>28</v>
      </c>
      <c r="E84" s="2" t="s">
        <v>29</v>
      </c>
      <c r="F84" s="2">
        <v>180.96</v>
      </c>
      <c r="G84" s="2">
        <v>5</v>
      </c>
      <c r="H84" s="2">
        <v>13.57</v>
      </c>
      <c r="I84" t="str">
        <f t="shared" si="1"/>
        <v>Feb</v>
      </c>
      <c r="J84">
        <f>YEAR(datas[[#This Row],[Order Date]])</f>
        <v>2021</v>
      </c>
    </row>
    <row r="85" spans="1:10" ht="14.25" customHeight="1" x14ac:dyDescent="0.3">
      <c r="A85" s="1">
        <v>44230</v>
      </c>
      <c r="B85" s="2" t="s">
        <v>63</v>
      </c>
      <c r="C85" s="2" t="s">
        <v>82</v>
      </c>
      <c r="D85" s="2" t="s">
        <v>10</v>
      </c>
      <c r="E85" s="2" t="s">
        <v>16</v>
      </c>
      <c r="F85" s="2">
        <v>83.84</v>
      </c>
      <c r="G85" s="2">
        <v>2</v>
      </c>
      <c r="H85" s="2">
        <v>27.25</v>
      </c>
      <c r="I85" t="str">
        <f t="shared" si="1"/>
        <v>Feb</v>
      </c>
      <c r="J85">
        <f>YEAR(datas[[#This Row],[Order Date]])</f>
        <v>2021</v>
      </c>
    </row>
    <row r="86" spans="1:10" ht="14.25" customHeight="1" x14ac:dyDescent="0.3">
      <c r="A86" s="1">
        <v>44230</v>
      </c>
      <c r="B86" s="2" t="s">
        <v>63</v>
      </c>
      <c r="C86" s="2" t="s">
        <v>82</v>
      </c>
      <c r="D86" s="2" t="s">
        <v>10</v>
      </c>
      <c r="E86" s="2" t="s">
        <v>16</v>
      </c>
      <c r="F86" s="2">
        <v>13.27</v>
      </c>
      <c r="G86" s="2">
        <v>3</v>
      </c>
      <c r="H86" s="2">
        <v>4.3099999999999996</v>
      </c>
      <c r="I86" t="str">
        <f t="shared" si="1"/>
        <v>Feb</v>
      </c>
      <c r="J86">
        <f>YEAR(datas[[#This Row],[Order Date]])</f>
        <v>2021</v>
      </c>
    </row>
    <row r="87" spans="1:10" ht="14.25" customHeight="1" x14ac:dyDescent="0.3">
      <c r="A87" s="1">
        <v>44231</v>
      </c>
      <c r="B87" s="2" t="s">
        <v>83</v>
      </c>
      <c r="C87" s="2" t="s">
        <v>21</v>
      </c>
      <c r="D87" s="2" t="s">
        <v>10</v>
      </c>
      <c r="E87" s="2" t="s">
        <v>16</v>
      </c>
      <c r="F87" s="2">
        <v>82.9</v>
      </c>
      <c r="G87" s="2">
        <v>3</v>
      </c>
      <c r="H87" s="2">
        <v>29.01</v>
      </c>
      <c r="I87" t="str">
        <f t="shared" si="1"/>
        <v>Feb</v>
      </c>
      <c r="J87">
        <f>YEAR(datas[[#This Row],[Order Date]])</f>
        <v>2021</v>
      </c>
    </row>
    <row r="88" spans="1:10" ht="14.25" customHeight="1" x14ac:dyDescent="0.3">
      <c r="A88" s="1">
        <v>44231</v>
      </c>
      <c r="B88" s="2" t="s">
        <v>83</v>
      </c>
      <c r="C88" s="2" t="s">
        <v>21</v>
      </c>
      <c r="D88" s="2" t="s">
        <v>10</v>
      </c>
      <c r="E88" s="2" t="s">
        <v>11</v>
      </c>
      <c r="F88" s="2">
        <v>34.24</v>
      </c>
      <c r="G88" s="2">
        <v>4</v>
      </c>
      <c r="H88" s="2">
        <v>16.09</v>
      </c>
      <c r="I88" t="str">
        <f t="shared" si="1"/>
        <v>Feb</v>
      </c>
      <c r="J88">
        <f>YEAR(datas[[#This Row],[Order Date]])</f>
        <v>2021</v>
      </c>
    </row>
    <row r="89" spans="1:10" ht="14.25" customHeight="1" x14ac:dyDescent="0.3">
      <c r="A89" s="1">
        <v>44231</v>
      </c>
      <c r="B89" s="2" t="s">
        <v>84</v>
      </c>
      <c r="C89" s="2" t="s">
        <v>21</v>
      </c>
      <c r="D89" s="2" t="s">
        <v>10</v>
      </c>
      <c r="E89" s="2" t="s">
        <v>16</v>
      </c>
      <c r="F89" s="2">
        <v>17.25</v>
      </c>
      <c r="G89" s="2">
        <v>2</v>
      </c>
      <c r="H89" s="2">
        <v>6.04</v>
      </c>
      <c r="I89" t="str">
        <f t="shared" si="1"/>
        <v>Feb</v>
      </c>
      <c r="J89">
        <f>YEAR(datas[[#This Row],[Order Date]])</f>
        <v>2021</v>
      </c>
    </row>
    <row r="90" spans="1:10" ht="14.25" customHeight="1" x14ac:dyDescent="0.3">
      <c r="A90" s="1">
        <v>44233</v>
      </c>
      <c r="B90" s="2" t="s">
        <v>85</v>
      </c>
      <c r="C90" s="2" t="s">
        <v>36</v>
      </c>
      <c r="D90" s="2" t="s">
        <v>10</v>
      </c>
      <c r="E90" s="2" t="s">
        <v>14</v>
      </c>
      <c r="F90" s="2">
        <v>15</v>
      </c>
      <c r="G90" s="2">
        <v>4</v>
      </c>
      <c r="H90" s="2">
        <v>7.2</v>
      </c>
      <c r="I90" t="str">
        <f t="shared" si="1"/>
        <v>Feb</v>
      </c>
      <c r="J90">
        <f>YEAR(datas[[#This Row],[Order Date]])</f>
        <v>2021</v>
      </c>
    </row>
    <row r="91" spans="1:10" ht="14.25" customHeight="1" x14ac:dyDescent="0.3">
      <c r="A91" s="1">
        <v>44233</v>
      </c>
      <c r="B91" s="2" t="s">
        <v>85</v>
      </c>
      <c r="C91" s="2" t="s">
        <v>36</v>
      </c>
      <c r="D91" s="2" t="s">
        <v>28</v>
      </c>
      <c r="E91" s="2" t="s">
        <v>29</v>
      </c>
      <c r="F91" s="2">
        <v>161.61000000000001</v>
      </c>
      <c r="G91" s="2">
        <v>1</v>
      </c>
      <c r="H91" s="2">
        <v>42.02</v>
      </c>
      <c r="I91" t="str">
        <f t="shared" si="1"/>
        <v>Feb</v>
      </c>
      <c r="J91">
        <f>YEAR(datas[[#This Row],[Order Date]])</f>
        <v>2021</v>
      </c>
    </row>
    <row r="92" spans="1:10" ht="14.25" customHeight="1" x14ac:dyDescent="0.3">
      <c r="A92" s="1">
        <v>44233</v>
      </c>
      <c r="B92" s="2" t="s">
        <v>85</v>
      </c>
      <c r="C92" s="2" t="s">
        <v>36</v>
      </c>
      <c r="D92" s="2" t="s">
        <v>28</v>
      </c>
      <c r="E92" s="2" t="s">
        <v>29</v>
      </c>
      <c r="F92" s="2">
        <v>144.94999999999999</v>
      </c>
      <c r="G92" s="2">
        <v>5</v>
      </c>
      <c r="H92" s="2">
        <v>42.04</v>
      </c>
      <c r="I92" t="str">
        <f t="shared" si="1"/>
        <v>Feb</v>
      </c>
      <c r="J92">
        <f>YEAR(datas[[#This Row],[Order Date]])</f>
        <v>2021</v>
      </c>
    </row>
    <row r="93" spans="1:10" ht="14.25" customHeight="1" x14ac:dyDescent="0.3">
      <c r="A93" s="1">
        <v>44233</v>
      </c>
      <c r="B93" s="2" t="s">
        <v>50</v>
      </c>
      <c r="C93" s="2" t="s">
        <v>13</v>
      </c>
      <c r="D93" s="2" t="s">
        <v>10</v>
      </c>
      <c r="E93" s="2" t="s">
        <v>16</v>
      </c>
      <c r="F93" s="2">
        <v>8.9499999999999993</v>
      </c>
      <c r="G93" s="2">
        <v>2</v>
      </c>
      <c r="H93" s="2">
        <v>-14.77</v>
      </c>
      <c r="I93" t="str">
        <f t="shared" si="1"/>
        <v>Feb</v>
      </c>
      <c r="J93">
        <f>YEAR(datas[[#This Row],[Order Date]])</f>
        <v>2021</v>
      </c>
    </row>
    <row r="94" spans="1:10" ht="14.25" customHeight="1" x14ac:dyDescent="0.3">
      <c r="A94" s="1">
        <v>44234</v>
      </c>
      <c r="B94" s="2" t="s">
        <v>86</v>
      </c>
      <c r="C94" s="2" t="s">
        <v>87</v>
      </c>
      <c r="D94" s="2" t="s">
        <v>28</v>
      </c>
      <c r="E94" s="2" t="s">
        <v>34</v>
      </c>
      <c r="F94" s="2">
        <v>115.36</v>
      </c>
      <c r="G94" s="2">
        <v>7</v>
      </c>
      <c r="H94" s="2">
        <v>49.6</v>
      </c>
      <c r="I94" t="str">
        <f t="shared" si="1"/>
        <v>Feb</v>
      </c>
      <c r="J94">
        <f>YEAR(datas[[#This Row],[Order Date]])</f>
        <v>2021</v>
      </c>
    </row>
    <row r="95" spans="1:10" ht="14.25" customHeight="1" x14ac:dyDescent="0.3">
      <c r="A95" s="1">
        <v>44234</v>
      </c>
      <c r="B95" s="2" t="s">
        <v>39</v>
      </c>
      <c r="C95" s="2" t="s">
        <v>75</v>
      </c>
      <c r="D95" s="2" t="s">
        <v>10</v>
      </c>
      <c r="E95" s="2" t="s">
        <v>15</v>
      </c>
      <c r="F95" s="2">
        <v>64.959999999999994</v>
      </c>
      <c r="G95" s="2">
        <v>4</v>
      </c>
      <c r="H95" s="2">
        <v>9.74</v>
      </c>
      <c r="I95" t="str">
        <f t="shared" si="1"/>
        <v>Feb</v>
      </c>
      <c r="J95">
        <f>YEAR(datas[[#This Row],[Order Date]])</f>
        <v>2021</v>
      </c>
    </row>
    <row r="96" spans="1:10" ht="14.25" customHeight="1" x14ac:dyDescent="0.3">
      <c r="A96" s="1">
        <v>44235</v>
      </c>
      <c r="B96" s="2" t="s">
        <v>88</v>
      </c>
      <c r="C96" s="2" t="s">
        <v>66</v>
      </c>
      <c r="D96" s="2" t="s">
        <v>26</v>
      </c>
      <c r="E96" s="2" t="s">
        <v>32</v>
      </c>
      <c r="F96" s="2">
        <v>14.56</v>
      </c>
      <c r="G96" s="2">
        <v>2</v>
      </c>
      <c r="H96" s="2">
        <v>5.53</v>
      </c>
      <c r="I96" t="str">
        <f t="shared" si="1"/>
        <v>Feb</v>
      </c>
      <c r="J96">
        <f>YEAR(datas[[#This Row],[Order Date]])</f>
        <v>2021</v>
      </c>
    </row>
    <row r="97" spans="1:10" ht="14.25" customHeight="1" x14ac:dyDescent="0.3">
      <c r="A97" s="1">
        <v>44238</v>
      </c>
      <c r="B97" s="2" t="s">
        <v>89</v>
      </c>
      <c r="C97" s="2" t="s">
        <v>36</v>
      </c>
      <c r="D97" s="2" t="s">
        <v>28</v>
      </c>
      <c r="E97" s="2" t="s">
        <v>34</v>
      </c>
      <c r="F97" s="2">
        <v>234.45</v>
      </c>
      <c r="G97" s="2">
        <v>3</v>
      </c>
      <c r="H97" s="2">
        <v>103.16</v>
      </c>
      <c r="I97" t="str">
        <f t="shared" si="1"/>
        <v>Feb</v>
      </c>
      <c r="J97">
        <f>YEAR(datas[[#This Row],[Order Date]])</f>
        <v>2021</v>
      </c>
    </row>
    <row r="98" spans="1:10" ht="14.25" customHeight="1" x14ac:dyDescent="0.3">
      <c r="A98" s="1">
        <v>44238</v>
      </c>
      <c r="B98" s="2" t="s">
        <v>89</v>
      </c>
      <c r="C98" s="2" t="s">
        <v>36</v>
      </c>
      <c r="D98" s="2" t="s">
        <v>26</v>
      </c>
      <c r="E98" s="2" t="s">
        <v>73</v>
      </c>
      <c r="F98" s="2">
        <v>1256.22</v>
      </c>
      <c r="G98" s="2">
        <v>6</v>
      </c>
      <c r="H98" s="2">
        <v>75.37</v>
      </c>
      <c r="I98" t="str">
        <f t="shared" si="1"/>
        <v>Feb</v>
      </c>
      <c r="J98">
        <f>YEAR(datas[[#This Row],[Order Date]])</f>
        <v>2021</v>
      </c>
    </row>
    <row r="99" spans="1:10" ht="14.25" customHeight="1" x14ac:dyDescent="0.3">
      <c r="A99" s="1">
        <v>44238</v>
      </c>
      <c r="B99" s="2" t="s">
        <v>89</v>
      </c>
      <c r="C99" s="2" t="s">
        <v>36</v>
      </c>
      <c r="D99" s="2" t="s">
        <v>10</v>
      </c>
      <c r="E99" s="2" t="s">
        <v>16</v>
      </c>
      <c r="F99" s="2">
        <v>17.46</v>
      </c>
      <c r="G99" s="2">
        <v>2</v>
      </c>
      <c r="H99" s="2">
        <v>8.2100000000000009</v>
      </c>
      <c r="I99" t="str">
        <f t="shared" si="1"/>
        <v>Feb</v>
      </c>
      <c r="J99">
        <f>YEAR(datas[[#This Row],[Order Date]])</f>
        <v>2021</v>
      </c>
    </row>
    <row r="100" spans="1:10" ht="14.25" customHeight="1" x14ac:dyDescent="0.3">
      <c r="A100" s="1">
        <v>44238</v>
      </c>
      <c r="B100" s="2" t="s">
        <v>90</v>
      </c>
      <c r="C100" s="2" t="s">
        <v>91</v>
      </c>
      <c r="D100" s="2" t="s">
        <v>26</v>
      </c>
      <c r="E100" s="2" t="s">
        <v>27</v>
      </c>
      <c r="F100" s="2">
        <v>60.89</v>
      </c>
      <c r="G100" s="2">
        <v>1</v>
      </c>
      <c r="H100" s="2">
        <v>15.22</v>
      </c>
      <c r="I100" t="str">
        <f t="shared" si="1"/>
        <v>Feb</v>
      </c>
      <c r="J100">
        <f>YEAR(datas[[#This Row],[Order Date]])</f>
        <v>2021</v>
      </c>
    </row>
    <row r="101" spans="1:10" ht="14.25" customHeight="1" x14ac:dyDescent="0.3">
      <c r="A101" s="1">
        <v>44238</v>
      </c>
      <c r="B101" s="2" t="s">
        <v>90</v>
      </c>
      <c r="C101" s="2" t="s">
        <v>91</v>
      </c>
      <c r="D101" s="2" t="s">
        <v>10</v>
      </c>
      <c r="E101" s="2" t="s">
        <v>14</v>
      </c>
      <c r="F101" s="2">
        <v>14.94</v>
      </c>
      <c r="G101" s="2">
        <v>3</v>
      </c>
      <c r="H101" s="2">
        <v>6.87</v>
      </c>
      <c r="I101" t="str">
        <f t="shared" si="1"/>
        <v>Feb</v>
      </c>
      <c r="J101">
        <f>YEAR(datas[[#This Row],[Order Date]])</f>
        <v>2021</v>
      </c>
    </row>
    <row r="102" spans="1:10" ht="14.25" customHeight="1" x14ac:dyDescent="0.3">
      <c r="A102" s="1">
        <v>44238</v>
      </c>
      <c r="B102" s="2" t="s">
        <v>90</v>
      </c>
      <c r="C102" s="2" t="s">
        <v>91</v>
      </c>
      <c r="D102" s="2" t="s">
        <v>10</v>
      </c>
      <c r="E102" s="2" t="s">
        <v>16</v>
      </c>
      <c r="F102" s="2">
        <v>9.64</v>
      </c>
      <c r="G102" s="2">
        <v>2</v>
      </c>
      <c r="H102" s="2">
        <v>4.43</v>
      </c>
      <c r="I102" t="str">
        <f t="shared" si="1"/>
        <v>Feb</v>
      </c>
      <c r="J102">
        <f>YEAR(datas[[#This Row],[Order Date]])</f>
        <v>2021</v>
      </c>
    </row>
    <row r="103" spans="1:10" ht="14.25" customHeight="1" x14ac:dyDescent="0.3">
      <c r="A103" s="1">
        <v>44238</v>
      </c>
      <c r="B103" s="2" t="s">
        <v>90</v>
      </c>
      <c r="C103" s="2" t="s">
        <v>91</v>
      </c>
      <c r="D103" s="2" t="s">
        <v>26</v>
      </c>
      <c r="E103" s="2" t="s">
        <v>32</v>
      </c>
      <c r="F103" s="2">
        <v>332.94</v>
      </c>
      <c r="G103" s="2">
        <v>3</v>
      </c>
      <c r="H103" s="2">
        <v>53.27</v>
      </c>
      <c r="I103" t="str">
        <f t="shared" si="1"/>
        <v>Feb</v>
      </c>
      <c r="J103">
        <f>YEAR(datas[[#This Row],[Order Date]])</f>
        <v>2021</v>
      </c>
    </row>
    <row r="104" spans="1:10" ht="14.25" customHeight="1" x14ac:dyDescent="0.3">
      <c r="A104" s="1">
        <v>44238</v>
      </c>
      <c r="B104" s="2" t="s">
        <v>90</v>
      </c>
      <c r="C104" s="2" t="s">
        <v>91</v>
      </c>
      <c r="D104" s="2" t="s">
        <v>10</v>
      </c>
      <c r="E104" s="2" t="s">
        <v>16</v>
      </c>
      <c r="F104" s="2">
        <v>51.9</v>
      </c>
      <c r="G104" s="2">
        <v>3</v>
      </c>
      <c r="H104" s="2">
        <v>24.39</v>
      </c>
      <c r="I104" t="str">
        <f t="shared" si="1"/>
        <v>Feb</v>
      </c>
      <c r="J104">
        <f>YEAR(datas[[#This Row],[Order Date]])</f>
        <v>2021</v>
      </c>
    </row>
    <row r="105" spans="1:10" ht="14.25" customHeight="1" x14ac:dyDescent="0.3">
      <c r="A105" s="1">
        <v>44238</v>
      </c>
      <c r="B105" s="2" t="s">
        <v>90</v>
      </c>
      <c r="C105" s="2" t="s">
        <v>91</v>
      </c>
      <c r="D105" s="2" t="s">
        <v>10</v>
      </c>
      <c r="E105" s="2" t="s">
        <v>15</v>
      </c>
      <c r="F105" s="2">
        <v>64.959999999999994</v>
      </c>
      <c r="G105" s="2">
        <v>2</v>
      </c>
      <c r="H105" s="2">
        <v>2.6</v>
      </c>
      <c r="I105" t="str">
        <f t="shared" si="1"/>
        <v>Feb</v>
      </c>
      <c r="J105">
        <f>YEAR(datas[[#This Row],[Order Date]])</f>
        <v>2021</v>
      </c>
    </row>
    <row r="106" spans="1:10" ht="14.25" customHeight="1" x14ac:dyDescent="0.3">
      <c r="A106" s="1">
        <v>44239</v>
      </c>
      <c r="B106" s="2" t="s">
        <v>92</v>
      </c>
      <c r="C106" s="2" t="s">
        <v>21</v>
      </c>
      <c r="D106" s="2" t="s">
        <v>26</v>
      </c>
      <c r="E106" s="2" t="s">
        <v>27</v>
      </c>
      <c r="F106" s="2">
        <v>129.57</v>
      </c>
      <c r="G106" s="2">
        <v>2</v>
      </c>
      <c r="H106" s="2">
        <v>-24.29</v>
      </c>
      <c r="I106" t="str">
        <f t="shared" si="1"/>
        <v>Feb</v>
      </c>
      <c r="J106">
        <f>YEAR(datas[[#This Row],[Order Date]])</f>
        <v>2021</v>
      </c>
    </row>
    <row r="107" spans="1:10" ht="14.25" customHeight="1" x14ac:dyDescent="0.3">
      <c r="A107" s="1">
        <v>44241</v>
      </c>
      <c r="B107" s="2" t="s">
        <v>93</v>
      </c>
      <c r="C107" s="2" t="s">
        <v>9</v>
      </c>
      <c r="D107" s="2" t="s">
        <v>10</v>
      </c>
      <c r="E107" s="2" t="s">
        <v>11</v>
      </c>
      <c r="F107" s="2">
        <v>16.18</v>
      </c>
      <c r="G107" s="2">
        <v>3</v>
      </c>
      <c r="H107" s="2">
        <v>6.07</v>
      </c>
      <c r="I107" t="str">
        <f t="shared" si="1"/>
        <v>Feb</v>
      </c>
      <c r="J107">
        <f>YEAR(datas[[#This Row],[Order Date]])</f>
        <v>2021</v>
      </c>
    </row>
    <row r="108" spans="1:10" ht="14.25" customHeight="1" x14ac:dyDescent="0.3">
      <c r="A108" s="1">
        <v>44241</v>
      </c>
      <c r="B108" s="2" t="s">
        <v>94</v>
      </c>
      <c r="C108" s="2" t="s">
        <v>82</v>
      </c>
      <c r="D108" s="2" t="s">
        <v>28</v>
      </c>
      <c r="E108" s="2" t="s">
        <v>34</v>
      </c>
      <c r="F108" s="2">
        <v>239.97</v>
      </c>
      <c r="G108" s="2">
        <v>3</v>
      </c>
      <c r="H108" s="2">
        <v>86.39</v>
      </c>
      <c r="I108" t="str">
        <f t="shared" si="1"/>
        <v>Feb</v>
      </c>
      <c r="J108">
        <f>YEAR(datas[[#This Row],[Order Date]])</f>
        <v>2021</v>
      </c>
    </row>
    <row r="109" spans="1:10" ht="14.25" customHeight="1" x14ac:dyDescent="0.3">
      <c r="A109" s="1">
        <v>44241</v>
      </c>
      <c r="B109" s="2" t="s">
        <v>94</v>
      </c>
      <c r="C109" s="2" t="s">
        <v>82</v>
      </c>
      <c r="D109" s="2" t="s">
        <v>10</v>
      </c>
      <c r="E109" s="2" t="s">
        <v>53</v>
      </c>
      <c r="F109" s="2">
        <v>81.96</v>
      </c>
      <c r="G109" s="2">
        <v>2</v>
      </c>
      <c r="H109" s="2">
        <v>22.95</v>
      </c>
      <c r="I109" t="str">
        <f t="shared" si="1"/>
        <v>Feb</v>
      </c>
      <c r="J109">
        <f>YEAR(datas[[#This Row],[Order Date]])</f>
        <v>2021</v>
      </c>
    </row>
    <row r="110" spans="1:10" ht="14.25" customHeight="1" x14ac:dyDescent="0.3">
      <c r="A110" s="1">
        <v>44241</v>
      </c>
      <c r="B110" s="2" t="s">
        <v>94</v>
      </c>
      <c r="C110" s="2" t="s">
        <v>82</v>
      </c>
      <c r="D110" s="2" t="s">
        <v>10</v>
      </c>
      <c r="E110" s="2" t="s">
        <v>95</v>
      </c>
      <c r="F110" s="2">
        <v>238.62</v>
      </c>
      <c r="G110" s="2">
        <v>2</v>
      </c>
      <c r="H110" s="2">
        <v>4.7699999999999996</v>
      </c>
      <c r="I110" t="str">
        <f t="shared" si="1"/>
        <v>Feb</v>
      </c>
      <c r="J110">
        <f>YEAR(datas[[#This Row],[Order Date]])</f>
        <v>2021</v>
      </c>
    </row>
    <row r="111" spans="1:10" ht="14.25" customHeight="1" x14ac:dyDescent="0.3">
      <c r="A111" s="1">
        <v>44242</v>
      </c>
      <c r="B111" s="2" t="s">
        <v>96</v>
      </c>
      <c r="C111" s="2" t="s">
        <v>82</v>
      </c>
      <c r="D111" s="2" t="s">
        <v>10</v>
      </c>
      <c r="E111" s="2" t="s">
        <v>16</v>
      </c>
      <c r="F111" s="2">
        <v>21.36</v>
      </c>
      <c r="G111" s="2">
        <v>5</v>
      </c>
      <c r="H111" s="2">
        <v>7.21</v>
      </c>
      <c r="I111" t="str">
        <f t="shared" si="1"/>
        <v>Feb</v>
      </c>
      <c r="J111">
        <f>YEAR(datas[[#This Row],[Order Date]])</f>
        <v>2021</v>
      </c>
    </row>
    <row r="112" spans="1:10" ht="14.25" customHeight="1" x14ac:dyDescent="0.3">
      <c r="A112" s="1">
        <v>44243</v>
      </c>
      <c r="B112" s="2" t="s">
        <v>97</v>
      </c>
      <c r="C112" s="2" t="s">
        <v>9</v>
      </c>
      <c r="D112" s="2" t="s">
        <v>10</v>
      </c>
      <c r="E112" s="2" t="s">
        <v>16</v>
      </c>
      <c r="F112" s="2">
        <v>1.08</v>
      </c>
      <c r="G112" s="2">
        <v>3</v>
      </c>
      <c r="H112" s="2">
        <v>-1.73</v>
      </c>
      <c r="I112" t="str">
        <f t="shared" si="1"/>
        <v>Feb</v>
      </c>
      <c r="J112">
        <f>YEAR(datas[[#This Row],[Order Date]])</f>
        <v>2021</v>
      </c>
    </row>
    <row r="113" spans="1:10" ht="14.25" customHeight="1" x14ac:dyDescent="0.3">
      <c r="A113" s="1">
        <v>44243</v>
      </c>
      <c r="B113" s="2" t="s">
        <v>97</v>
      </c>
      <c r="C113" s="2" t="s">
        <v>9</v>
      </c>
      <c r="D113" s="2" t="s">
        <v>10</v>
      </c>
      <c r="E113" s="2" t="s">
        <v>53</v>
      </c>
      <c r="F113" s="2">
        <v>7.96</v>
      </c>
      <c r="G113" s="2">
        <v>2</v>
      </c>
      <c r="H113" s="2">
        <v>-13.93</v>
      </c>
      <c r="I113" t="str">
        <f t="shared" si="1"/>
        <v>Feb</v>
      </c>
      <c r="J113">
        <f>YEAR(datas[[#This Row],[Order Date]])</f>
        <v>2021</v>
      </c>
    </row>
    <row r="114" spans="1:10" ht="14.25" customHeight="1" x14ac:dyDescent="0.3">
      <c r="A114" s="1">
        <v>44244</v>
      </c>
      <c r="B114" s="2" t="s">
        <v>50</v>
      </c>
      <c r="C114" s="2" t="s">
        <v>13</v>
      </c>
      <c r="D114" s="2" t="s">
        <v>10</v>
      </c>
      <c r="E114" s="2" t="s">
        <v>19</v>
      </c>
      <c r="F114" s="2">
        <v>54.21</v>
      </c>
      <c r="G114" s="2">
        <v>14</v>
      </c>
      <c r="H114" s="2">
        <v>8.81</v>
      </c>
      <c r="I114" t="str">
        <f t="shared" si="1"/>
        <v>Feb</v>
      </c>
      <c r="J114">
        <f>YEAR(datas[[#This Row],[Order Date]])</f>
        <v>2021</v>
      </c>
    </row>
    <row r="115" spans="1:10" ht="14.25" customHeight="1" x14ac:dyDescent="0.3">
      <c r="A115" s="1">
        <v>44245</v>
      </c>
      <c r="B115" s="2" t="s">
        <v>98</v>
      </c>
      <c r="C115" s="2" t="s">
        <v>9</v>
      </c>
      <c r="D115" s="2" t="s">
        <v>26</v>
      </c>
      <c r="E115" s="2" t="s">
        <v>32</v>
      </c>
      <c r="F115" s="2">
        <v>25.16</v>
      </c>
      <c r="G115" s="2">
        <v>5</v>
      </c>
      <c r="H115" s="2">
        <v>-11.32</v>
      </c>
      <c r="I115" t="str">
        <f t="shared" si="1"/>
        <v>Feb</v>
      </c>
      <c r="J115">
        <f>YEAR(datas[[#This Row],[Order Date]])</f>
        <v>2021</v>
      </c>
    </row>
    <row r="116" spans="1:10" ht="14.25" customHeight="1" x14ac:dyDescent="0.3">
      <c r="A116" s="1">
        <v>44245</v>
      </c>
      <c r="B116" s="2" t="s">
        <v>99</v>
      </c>
      <c r="C116" s="2" t="s">
        <v>9</v>
      </c>
      <c r="D116" s="2" t="s">
        <v>10</v>
      </c>
      <c r="E116" s="2" t="s">
        <v>15</v>
      </c>
      <c r="F116" s="2">
        <v>12.62</v>
      </c>
      <c r="G116" s="2">
        <v>2</v>
      </c>
      <c r="H116" s="2">
        <v>-2.52</v>
      </c>
      <c r="I116" t="str">
        <f t="shared" si="1"/>
        <v>Feb</v>
      </c>
      <c r="J116">
        <f>YEAR(datas[[#This Row],[Order Date]])</f>
        <v>2021</v>
      </c>
    </row>
    <row r="117" spans="1:10" ht="14.25" customHeight="1" x14ac:dyDescent="0.3">
      <c r="A117" s="1">
        <v>44247</v>
      </c>
      <c r="B117" s="2" t="s">
        <v>100</v>
      </c>
      <c r="C117" s="2" t="s">
        <v>68</v>
      </c>
      <c r="D117" s="2" t="s">
        <v>28</v>
      </c>
      <c r="E117" s="2" t="s">
        <v>34</v>
      </c>
      <c r="F117" s="2">
        <v>62.31</v>
      </c>
      <c r="G117" s="2">
        <v>3</v>
      </c>
      <c r="H117" s="2">
        <v>22.43</v>
      </c>
      <c r="I117" t="str">
        <f t="shared" si="1"/>
        <v>Feb</v>
      </c>
      <c r="J117">
        <f>YEAR(datas[[#This Row],[Order Date]])</f>
        <v>2021</v>
      </c>
    </row>
    <row r="118" spans="1:10" ht="14.25" customHeight="1" x14ac:dyDescent="0.3">
      <c r="A118" s="1">
        <v>44247</v>
      </c>
      <c r="B118" s="2" t="s">
        <v>100</v>
      </c>
      <c r="C118" s="2" t="s">
        <v>68</v>
      </c>
      <c r="D118" s="2" t="s">
        <v>26</v>
      </c>
      <c r="E118" s="2" t="s">
        <v>32</v>
      </c>
      <c r="F118" s="2">
        <v>20.32</v>
      </c>
      <c r="G118" s="2">
        <v>4</v>
      </c>
      <c r="H118" s="2">
        <v>6.91</v>
      </c>
      <c r="I118" t="str">
        <f t="shared" si="1"/>
        <v>Feb</v>
      </c>
      <c r="J118">
        <f>YEAR(datas[[#This Row],[Order Date]])</f>
        <v>2021</v>
      </c>
    </row>
    <row r="119" spans="1:10" ht="14.25" customHeight="1" x14ac:dyDescent="0.3">
      <c r="A119" s="1">
        <v>44247</v>
      </c>
      <c r="B119" s="2" t="s">
        <v>101</v>
      </c>
      <c r="C119" s="2" t="s">
        <v>21</v>
      </c>
      <c r="D119" s="2" t="s">
        <v>10</v>
      </c>
      <c r="E119" s="2" t="s">
        <v>11</v>
      </c>
      <c r="F119" s="2">
        <v>12.96</v>
      </c>
      <c r="G119" s="2">
        <v>2</v>
      </c>
      <c r="H119" s="2">
        <v>6.22</v>
      </c>
      <c r="I119" t="str">
        <f t="shared" si="1"/>
        <v>Feb</v>
      </c>
      <c r="J119">
        <f>YEAR(datas[[#This Row],[Order Date]])</f>
        <v>2021</v>
      </c>
    </row>
    <row r="120" spans="1:10" ht="14.25" customHeight="1" x14ac:dyDescent="0.3">
      <c r="A120" s="1">
        <v>44248</v>
      </c>
      <c r="B120" s="2" t="s">
        <v>102</v>
      </c>
      <c r="C120" s="2" t="s">
        <v>13</v>
      </c>
      <c r="D120" s="2" t="s">
        <v>10</v>
      </c>
      <c r="E120" s="2" t="s">
        <v>16</v>
      </c>
      <c r="F120" s="2">
        <v>8.85</v>
      </c>
      <c r="G120" s="2">
        <v>5</v>
      </c>
      <c r="H120" s="2">
        <v>-13.72</v>
      </c>
      <c r="I120" t="str">
        <f t="shared" si="1"/>
        <v>Feb</v>
      </c>
      <c r="J120">
        <f>YEAR(datas[[#This Row],[Order Date]])</f>
        <v>2021</v>
      </c>
    </row>
    <row r="121" spans="1:10" ht="14.25" customHeight="1" x14ac:dyDescent="0.3">
      <c r="A121" s="1">
        <v>44249</v>
      </c>
      <c r="B121" s="2" t="s">
        <v>103</v>
      </c>
      <c r="C121" s="2" t="s">
        <v>21</v>
      </c>
      <c r="D121" s="2" t="s">
        <v>10</v>
      </c>
      <c r="E121" s="2" t="s">
        <v>11</v>
      </c>
      <c r="F121" s="2">
        <v>19.440000000000001</v>
      </c>
      <c r="G121" s="2">
        <v>3</v>
      </c>
      <c r="H121" s="2">
        <v>9.33</v>
      </c>
      <c r="I121" t="str">
        <f t="shared" si="1"/>
        <v>Feb</v>
      </c>
      <c r="J121">
        <f>YEAR(datas[[#This Row],[Order Date]])</f>
        <v>2021</v>
      </c>
    </row>
    <row r="122" spans="1:10" ht="14.25" customHeight="1" x14ac:dyDescent="0.3">
      <c r="A122" s="1">
        <v>44250</v>
      </c>
      <c r="B122" s="2" t="s">
        <v>104</v>
      </c>
      <c r="C122" s="2" t="s">
        <v>9</v>
      </c>
      <c r="D122" s="2" t="s">
        <v>10</v>
      </c>
      <c r="E122" s="2" t="s">
        <v>14</v>
      </c>
      <c r="F122" s="2">
        <v>6.94</v>
      </c>
      <c r="G122" s="2">
        <v>3</v>
      </c>
      <c r="H122" s="2">
        <v>2.34</v>
      </c>
      <c r="I122" t="str">
        <f t="shared" si="1"/>
        <v>Feb</v>
      </c>
      <c r="J122">
        <f>YEAR(datas[[#This Row],[Order Date]])</f>
        <v>2021</v>
      </c>
    </row>
    <row r="123" spans="1:10" ht="14.25" customHeight="1" x14ac:dyDescent="0.3">
      <c r="A123" s="1">
        <v>44250</v>
      </c>
      <c r="B123" s="2" t="s">
        <v>104</v>
      </c>
      <c r="C123" s="2" t="s">
        <v>9</v>
      </c>
      <c r="D123" s="2" t="s">
        <v>10</v>
      </c>
      <c r="E123" s="2" t="s">
        <v>16</v>
      </c>
      <c r="F123" s="2">
        <v>4.43</v>
      </c>
      <c r="G123" s="2">
        <v>3</v>
      </c>
      <c r="H123" s="2">
        <v>-6.86</v>
      </c>
      <c r="I123" t="str">
        <f t="shared" si="1"/>
        <v>Feb</v>
      </c>
      <c r="J123">
        <f>YEAR(datas[[#This Row],[Order Date]])</f>
        <v>2021</v>
      </c>
    </row>
    <row r="124" spans="1:10" ht="14.25" customHeight="1" x14ac:dyDescent="0.3">
      <c r="A124" s="1">
        <v>44251</v>
      </c>
      <c r="B124" s="2" t="s">
        <v>105</v>
      </c>
      <c r="C124" s="2" t="s">
        <v>52</v>
      </c>
      <c r="D124" s="2" t="s">
        <v>10</v>
      </c>
      <c r="E124" s="2" t="s">
        <v>11</v>
      </c>
      <c r="F124" s="2">
        <v>32.9</v>
      </c>
      <c r="G124" s="2">
        <v>4</v>
      </c>
      <c r="H124" s="2">
        <v>11.1</v>
      </c>
      <c r="I124" t="str">
        <f t="shared" si="1"/>
        <v>Feb</v>
      </c>
      <c r="J124">
        <f>YEAR(datas[[#This Row],[Order Date]])</f>
        <v>2021</v>
      </c>
    </row>
    <row r="125" spans="1:10" ht="14.25" customHeight="1" x14ac:dyDescent="0.3">
      <c r="A125" s="1">
        <v>44251</v>
      </c>
      <c r="B125" s="2" t="s">
        <v>105</v>
      </c>
      <c r="C125" s="2" t="s">
        <v>52</v>
      </c>
      <c r="D125" s="2" t="s">
        <v>10</v>
      </c>
      <c r="E125" s="2" t="s">
        <v>11</v>
      </c>
      <c r="F125" s="2">
        <v>22.78</v>
      </c>
      <c r="G125" s="2">
        <v>3</v>
      </c>
      <c r="H125" s="2">
        <v>7.69</v>
      </c>
      <c r="I125" t="str">
        <f t="shared" si="1"/>
        <v>Feb</v>
      </c>
      <c r="J125">
        <f>YEAR(datas[[#This Row],[Order Date]])</f>
        <v>2021</v>
      </c>
    </row>
    <row r="126" spans="1:10" ht="14.25" customHeight="1" x14ac:dyDescent="0.3">
      <c r="A126" s="1">
        <v>44254</v>
      </c>
      <c r="B126" s="2" t="s">
        <v>106</v>
      </c>
      <c r="C126" s="2" t="s">
        <v>47</v>
      </c>
      <c r="D126" s="2" t="s">
        <v>10</v>
      </c>
      <c r="E126" s="2" t="s">
        <v>19</v>
      </c>
      <c r="F126" s="2">
        <v>19.46</v>
      </c>
      <c r="G126" s="2">
        <v>4</v>
      </c>
      <c r="H126" s="2">
        <v>3.4</v>
      </c>
      <c r="I126" t="str">
        <f t="shared" si="1"/>
        <v>Feb</v>
      </c>
      <c r="J126">
        <f>YEAR(datas[[#This Row],[Order Date]])</f>
        <v>2021</v>
      </c>
    </row>
    <row r="127" spans="1:10" ht="14.25" customHeight="1" x14ac:dyDescent="0.3">
      <c r="A127" s="1">
        <v>44256</v>
      </c>
      <c r="B127" s="2" t="s">
        <v>107</v>
      </c>
      <c r="C127" s="2" t="s">
        <v>82</v>
      </c>
      <c r="D127" s="2" t="s">
        <v>26</v>
      </c>
      <c r="E127" s="2" t="s">
        <v>27</v>
      </c>
      <c r="F127" s="2">
        <v>457.57</v>
      </c>
      <c r="G127" s="2">
        <v>2</v>
      </c>
      <c r="H127" s="2">
        <v>51.48</v>
      </c>
      <c r="I127" t="str">
        <f t="shared" si="1"/>
        <v>Mar</v>
      </c>
      <c r="J127">
        <f>YEAR(datas[[#This Row],[Order Date]])</f>
        <v>2021</v>
      </c>
    </row>
    <row r="128" spans="1:10" ht="14.25" customHeight="1" x14ac:dyDescent="0.3">
      <c r="A128" s="1">
        <v>44256</v>
      </c>
      <c r="B128" s="2" t="s">
        <v>108</v>
      </c>
      <c r="C128" s="2" t="s">
        <v>75</v>
      </c>
      <c r="D128" s="2" t="s">
        <v>28</v>
      </c>
      <c r="E128" s="2" t="s">
        <v>29</v>
      </c>
      <c r="F128" s="2">
        <v>5.94</v>
      </c>
      <c r="G128" s="2">
        <v>3</v>
      </c>
      <c r="H128" s="2">
        <v>1.6</v>
      </c>
      <c r="I128" t="str">
        <f t="shared" si="1"/>
        <v>Mar</v>
      </c>
      <c r="J128">
        <f>YEAR(datas[[#This Row],[Order Date]])</f>
        <v>2021</v>
      </c>
    </row>
    <row r="129" spans="1:10" ht="14.25" customHeight="1" x14ac:dyDescent="0.3">
      <c r="A129" s="1">
        <v>44256</v>
      </c>
      <c r="B129" s="2" t="s">
        <v>109</v>
      </c>
      <c r="C129" s="2" t="s">
        <v>13</v>
      </c>
      <c r="D129" s="2" t="s">
        <v>26</v>
      </c>
      <c r="E129" s="2" t="s">
        <v>27</v>
      </c>
      <c r="F129" s="2">
        <v>634.12</v>
      </c>
      <c r="G129" s="2">
        <v>6</v>
      </c>
      <c r="H129" s="2">
        <v>-172.12</v>
      </c>
      <c r="I129" t="str">
        <f t="shared" si="1"/>
        <v>Mar</v>
      </c>
      <c r="J129">
        <f>YEAR(datas[[#This Row],[Order Date]])</f>
        <v>2021</v>
      </c>
    </row>
    <row r="130" spans="1:10" ht="14.25" customHeight="1" x14ac:dyDescent="0.3">
      <c r="A130" s="1">
        <v>44256</v>
      </c>
      <c r="B130" s="2" t="s">
        <v>109</v>
      </c>
      <c r="C130" s="2" t="s">
        <v>13</v>
      </c>
      <c r="D130" s="2" t="s">
        <v>10</v>
      </c>
      <c r="E130" s="2" t="s">
        <v>11</v>
      </c>
      <c r="F130" s="2">
        <v>17.47</v>
      </c>
      <c r="G130" s="2">
        <v>3</v>
      </c>
      <c r="H130" s="2">
        <v>5.68</v>
      </c>
      <c r="I130" t="str">
        <f t="shared" si="1"/>
        <v>Mar</v>
      </c>
      <c r="J130">
        <f>YEAR(datas[[#This Row],[Order Date]])</f>
        <v>2021</v>
      </c>
    </row>
    <row r="131" spans="1:10" ht="14.25" customHeight="1" x14ac:dyDescent="0.3">
      <c r="A131" s="1">
        <v>44256</v>
      </c>
      <c r="B131" s="2" t="s">
        <v>110</v>
      </c>
      <c r="C131" s="2" t="s">
        <v>9</v>
      </c>
      <c r="D131" s="2" t="s">
        <v>10</v>
      </c>
      <c r="E131" s="2" t="s">
        <v>30</v>
      </c>
      <c r="F131" s="2">
        <v>18.84</v>
      </c>
      <c r="G131" s="2">
        <v>5</v>
      </c>
      <c r="H131" s="2">
        <v>-3.53</v>
      </c>
      <c r="I131" t="str">
        <f t="shared" ref="I131:I194" si="2">TEXT(A131,"mmm")</f>
        <v>Mar</v>
      </c>
      <c r="J131">
        <f>YEAR(datas[[#This Row],[Order Date]])</f>
        <v>2021</v>
      </c>
    </row>
    <row r="132" spans="1:10" ht="14.25" customHeight="1" x14ac:dyDescent="0.3">
      <c r="A132" s="1">
        <v>44256</v>
      </c>
      <c r="B132" s="2" t="s">
        <v>110</v>
      </c>
      <c r="C132" s="2" t="s">
        <v>9</v>
      </c>
      <c r="D132" s="2" t="s">
        <v>26</v>
      </c>
      <c r="E132" s="2" t="s">
        <v>27</v>
      </c>
      <c r="F132" s="2">
        <v>362.25</v>
      </c>
      <c r="G132" s="2">
        <v>6</v>
      </c>
      <c r="H132" s="2">
        <v>0</v>
      </c>
      <c r="I132" t="str">
        <f t="shared" si="2"/>
        <v>Mar</v>
      </c>
      <c r="J132">
        <f>YEAR(datas[[#This Row],[Order Date]])</f>
        <v>2021</v>
      </c>
    </row>
    <row r="133" spans="1:10" ht="14.25" customHeight="1" x14ac:dyDescent="0.3">
      <c r="A133" s="1">
        <v>44256</v>
      </c>
      <c r="B133" s="2" t="s">
        <v>110</v>
      </c>
      <c r="C133" s="2" t="s">
        <v>9</v>
      </c>
      <c r="D133" s="2" t="s">
        <v>26</v>
      </c>
      <c r="E133" s="2" t="s">
        <v>32</v>
      </c>
      <c r="F133" s="2">
        <v>63.55</v>
      </c>
      <c r="G133" s="2">
        <v>6</v>
      </c>
      <c r="H133" s="2">
        <v>-34.950000000000003</v>
      </c>
      <c r="I133" t="str">
        <f t="shared" si="2"/>
        <v>Mar</v>
      </c>
      <c r="J133">
        <f>YEAR(datas[[#This Row],[Order Date]])</f>
        <v>2021</v>
      </c>
    </row>
    <row r="134" spans="1:10" ht="14.25" customHeight="1" x14ac:dyDescent="0.3">
      <c r="A134" s="1">
        <v>44256</v>
      </c>
      <c r="B134" s="2" t="s">
        <v>110</v>
      </c>
      <c r="C134" s="2" t="s">
        <v>9</v>
      </c>
      <c r="D134" s="2" t="s">
        <v>10</v>
      </c>
      <c r="E134" s="2" t="s">
        <v>15</v>
      </c>
      <c r="F134" s="2">
        <v>129.55000000000001</v>
      </c>
      <c r="G134" s="2">
        <v>3</v>
      </c>
      <c r="H134" s="2">
        <v>-22.67</v>
      </c>
      <c r="I134" t="str">
        <f t="shared" si="2"/>
        <v>Mar</v>
      </c>
      <c r="J134">
        <f>YEAR(datas[[#This Row],[Order Date]])</f>
        <v>2021</v>
      </c>
    </row>
    <row r="135" spans="1:10" ht="14.25" customHeight="1" x14ac:dyDescent="0.3">
      <c r="A135" s="1">
        <v>44256</v>
      </c>
      <c r="B135" s="2" t="s">
        <v>111</v>
      </c>
      <c r="C135" s="2" t="s">
        <v>9</v>
      </c>
      <c r="D135" s="2" t="s">
        <v>10</v>
      </c>
      <c r="E135" s="2" t="s">
        <v>15</v>
      </c>
      <c r="F135" s="2">
        <v>137.35</v>
      </c>
      <c r="G135" s="2">
        <v>3</v>
      </c>
      <c r="H135" s="2">
        <v>8.58</v>
      </c>
      <c r="I135" t="str">
        <f t="shared" si="2"/>
        <v>Mar</v>
      </c>
      <c r="J135">
        <f>YEAR(datas[[#This Row],[Order Date]])</f>
        <v>2021</v>
      </c>
    </row>
    <row r="136" spans="1:10" ht="14.25" customHeight="1" x14ac:dyDescent="0.3">
      <c r="A136" s="1">
        <v>44256</v>
      </c>
      <c r="B136" s="2" t="s">
        <v>111</v>
      </c>
      <c r="C136" s="2" t="s">
        <v>9</v>
      </c>
      <c r="D136" s="2" t="s">
        <v>26</v>
      </c>
      <c r="E136" s="2" t="s">
        <v>73</v>
      </c>
      <c r="F136" s="2">
        <v>376.51</v>
      </c>
      <c r="G136" s="2">
        <v>3</v>
      </c>
      <c r="H136" s="2">
        <v>-43.03</v>
      </c>
      <c r="I136" t="str">
        <f t="shared" si="2"/>
        <v>Mar</v>
      </c>
      <c r="J136">
        <f>YEAR(datas[[#This Row],[Order Date]])</f>
        <v>2021</v>
      </c>
    </row>
    <row r="137" spans="1:10" ht="14.25" customHeight="1" x14ac:dyDescent="0.3">
      <c r="A137" s="1">
        <v>44257</v>
      </c>
      <c r="B137" s="2" t="s">
        <v>112</v>
      </c>
      <c r="C137" s="2" t="s">
        <v>75</v>
      </c>
      <c r="D137" s="2" t="s">
        <v>10</v>
      </c>
      <c r="E137" s="2" t="s">
        <v>41</v>
      </c>
      <c r="F137" s="2">
        <v>11.36</v>
      </c>
      <c r="G137" s="2">
        <v>2</v>
      </c>
      <c r="H137" s="2">
        <v>5.34</v>
      </c>
      <c r="I137" t="str">
        <f t="shared" si="2"/>
        <v>Mar</v>
      </c>
      <c r="J137">
        <f>YEAR(datas[[#This Row],[Order Date]])</f>
        <v>2021</v>
      </c>
    </row>
    <row r="138" spans="1:10" ht="14.25" customHeight="1" x14ac:dyDescent="0.3">
      <c r="A138" s="1">
        <v>44257</v>
      </c>
      <c r="B138" s="2" t="s">
        <v>112</v>
      </c>
      <c r="C138" s="2" t="s">
        <v>75</v>
      </c>
      <c r="D138" s="2" t="s">
        <v>10</v>
      </c>
      <c r="E138" s="2" t="s">
        <v>11</v>
      </c>
      <c r="F138" s="2">
        <v>36.4</v>
      </c>
      <c r="G138" s="2">
        <v>5</v>
      </c>
      <c r="H138" s="2">
        <v>17.47</v>
      </c>
      <c r="I138" t="str">
        <f t="shared" si="2"/>
        <v>Mar</v>
      </c>
      <c r="J138">
        <f>YEAR(datas[[#This Row],[Order Date]])</f>
        <v>2021</v>
      </c>
    </row>
    <row r="139" spans="1:10" ht="14.25" customHeight="1" x14ac:dyDescent="0.3">
      <c r="A139" s="1">
        <v>44257</v>
      </c>
      <c r="B139" s="2" t="s">
        <v>113</v>
      </c>
      <c r="C139" s="2" t="s">
        <v>18</v>
      </c>
      <c r="D139" s="2" t="s">
        <v>10</v>
      </c>
      <c r="E139" s="2" t="s">
        <v>11</v>
      </c>
      <c r="F139" s="2">
        <v>3.42</v>
      </c>
      <c r="G139" s="2">
        <v>1</v>
      </c>
      <c r="H139" s="2">
        <v>1.07</v>
      </c>
      <c r="I139" t="str">
        <f t="shared" si="2"/>
        <v>Mar</v>
      </c>
      <c r="J139">
        <f>YEAR(datas[[#This Row],[Order Date]])</f>
        <v>2021</v>
      </c>
    </row>
    <row r="140" spans="1:10" ht="14.25" customHeight="1" x14ac:dyDescent="0.3">
      <c r="A140" s="1">
        <v>44257</v>
      </c>
      <c r="B140" s="2" t="s">
        <v>113</v>
      </c>
      <c r="C140" s="2" t="s">
        <v>18</v>
      </c>
      <c r="D140" s="2" t="s">
        <v>28</v>
      </c>
      <c r="E140" s="2" t="s">
        <v>34</v>
      </c>
      <c r="F140" s="2">
        <v>151.19999999999999</v>
      </c>
      <c r="G140" s="2">
        <v>3</v>
      </c>
      <c r="H140" s="2">
        <v>32.130000000000003</v>
      </c>
      <c r="I140" t="str">
        <f t="shared" si="2"/>
        <v>Mar</v>
      </c>
      <c r="J140">
        <f>YEAR(datas[[#This Row],[Order Date]])</f>
        <v>2021</v>
      </c>
    </row>
    <row r="141" spans="1:10" ht="14.25" customHeight="1" x14ac:dyDescent="0.3">
      <c r="A141" s="1">
        <v>44258</v>
      </c>
      <c r="B141" s="2" t="s">
        <v>114</v>
      </c>
      <c r="C141" s="2" t="s">
        <v>115</v>
      </c>
      <c r="D141" s="2" t="s">
        <v>10</v>
      </c>
      <c r="E141" s="2" t="s">
        <v>19</v>
      </c>
      <c r="F141" s="2">
        <v>19.46</v>
      </c>
      <c r="G141" s="2">
        <v>4</v>
      </c>
      <c r="H141" s="2">
        <v>3.4</v>
      </c>
      <c r="I141" t="str">
        <f t="shared" si="2"/>
        <v>Mar</v>
      </c>
      <c r="J141">
        <f>YEAR(datas[[#This Row],[Order Date]])</f>
        <v>2021</v>
      </c>
    </row>
    <row r="142" spans="1:10" ht="14.25" customHeight="1" x14ac:dyDescent="0.3">
      <c r="A142" s="1">
        <v>44258</v>
      </c>
      <c r="B142" s="2" t="s">
        <v>116</v>
      </c>
      <c r="C142" s="2" t="s">
        <v>75</v>
      </c>
      <c r="D142" s="2" t="s">
        <v>28</v>
      </c>
      <c r="E142" s="2" t="s">
        <v>29</v>
      </c>
      <c r="F142" s="2">
        <v>9.99</v>
      </c>
      <c r="G142" s="2">
        <v>1</v>
      </c>
      <c r="H142" s="2">
        <v>4.5999999999999996</v>
      </c>
      <c r="I142" t="str">
        <f t="shared" si="2"/>
        <v>Mar</v>
      </c>
      <c r="J142">
        <f>YEAR(datas[[#This Row],[Order Date]])</f>
        <v>2021</v>
      </c>
    </row>
    <row r="143" spans="1:10" ht="14.25" customHeight="1" x14ac:dyDescent="0.3">
      <c r="A143" s="1">
        <v>44258</v>
      </c>
      <c r="B143" s="2" t="s">
        <v>116</v>
      </c>
      <c r="C143" s="2" t="s">
        <v>75</v>
      </c>
      <c r="D143" s="2" t="s">
        <v>10</v>
      </c>
      <c r="E143" s="2" t="s">
        <v>16</v>
      </c>
      <c r="F143" s="2">
        <v>125.76</v>
      </c>
      <c r="G143" s="2">
        <v>3</v>
      </c>
      <c r="H143" s="2">
        <v>40.869999999999997</v>
      </c>
      <c r="I143" t="str">
        <f t="shared" si="2"/>
        <v>Mar</v>
      </c>
      <c r="J143">
        <f>YEAR(datas[[#This Row],[Order Date]])</f>
        <v>2021</v>
      </c>
    </row>
    <row r="144" spans="1:10" ht="14.25" customHeight="1" x14ac:dyDescent="0.3">
      <c r="A144" s="1">
        <v>44258</v>
      </c>
      <c r="B144" s="2" t="s">
        <v>116</v>
      </c>
      <c r="C144" s="2" t="s">
        <v>75</v>
      </c>
      <c r="D144" s="2" t="s">
        <v>10</v>
      </c>
      <c r="E144" s="2" t="s">
        <v>16</v>
      </c>
      <c r="F144" s="2">
        <v>25.32</v>
      </c>
      <c r="G144" s="2">
        <v>5</v>
      </c>
      <c r="H144" s="2">
        <v>9.18</v>
      </c>
      <c r="I144" t="str">
        <f t="shared" si="2"/>
        <v>Mar</v>
      </c>
      <c r="J144">
        <f>YEAR(datas[[#This Row],[Order Date]])</f>
        <v>2021</v>
      </c>
    </row>
    <row r="145" spans="1:10" ht="14.25" customHeight="1" x14ac:dyDescent="0.3">
      <c r="A145" s="1">
        <v>44258</v>
      </c>
      <c r="B145" s="2" t="s">
        <v>117</v>
      </c>
      <c r="C145" s="2" t="s">
        <v>47</v>
      </c>
      <c r="D145" s="2" t="s">
        <v>10</v>
      </c>
      <c r="E145" s="2" t="s">
        <v>14</v>
      </c>
      <c r="F145" s="2">
        <v>15.12</v>
      </c>
      <c r="G145" s="2">
        <v>3</v>
      </c>
      <c r="H145" s="2">
        <v>4.91</v>
      </c>
      <c r="I145" t="str">
        <f t="shared" si="2"/>
        <v>Mar</v>
      </c>
      <c r="J145">
        <f>YEAR(datas[[#This Row],[Order Date]])</f>
        <v>2021</v>
      </c>
    </row>
    <row r="146" spans="1:10" ht="14.25" customHeight="1" x14ac:dyDescent="0.3">
      <c r="A146" s="1">
        <v>44258</v>
      </c>
      <c r="B146" s="2" t="s">
        <v>117</v>
      </c>
      <c r="C146" s="2" t="s">
        <v>47</v>
      </c>
      <c r="D146" s="2" t="s">
        <v>26</v>
      </c>
      <c r="E146" s="2" t="s">
        <v>45</v>
      </c>
      <c r="F146" s="2">
        <v>302.45</v>
      </c>
      <c r="G146" s="2">
        <v>5</v>
      </c>
      <c r="H146" s="2">
        <v>-199.62</v>
      </c>
      <c r="I146" t="str">
        <f t="shared" si="2"/>
        <v>Mar</v>
      </c>
      <c r="J146">
        <f>YEAR(datas[[#This Row],[Order Date]])</f>
        <v>2021</v>
      </c>
    </row>
    <row r="147" spans="1:10" ht="14.25" customHeight="1" x14ac:dyDescent="0.3">
      <c r="A147" s="1">
        <v>44258</v>
      </c>
      <c r="B147" s="2" t="s">
        <v>117</v>
      </c>
      <c r="C147" s="2" t="s">
        <v>47</v>
      </c>
      <c r="D147" s="2" t="s">
        <v>10</v>
      </c>
      <c r="E147" s="2" t="s">
        <v>15</v>
      </c>
      <c r="F147" s="2">
        <v>44.67</v>
      </c>
      <c r="G147" s="2">
        <v>8</v>
      </c>
      <c r="H147" s="2">
        <v>-10.050000000000001</v>
      </c>
      <c r="I147" t="str">
        <f t="shared" si="2"/>
        <v>Mar</v>
      </c>
      <c r="J147">
        <f>YEAR(datas[[#This Row],[Order Date]])</f>
        <v>2021</v>
      </c>
    </row>
    <row r="148" spans="1:10" ht="14.25" customHeight="1" x14ac:dyDescent="0.3">
      <c r="A148" s="1">
        <v>44258</v>
      </c>
      <c r="B148" s="2" t="s">
        <v>118</v>
      </c>
      <c r="C148" s="2" t="s">
        <v>9</v>
      </c>
      <c r="D148" s="2" t="s">
        <v>10</v>
      </c>
      <c r="E148" s="2" t="s">
        <v>53</v>
      </c>
      <c r="F148" s="2">
        <v>176.77</v>
      </c>
      <c r="G148" s="2">
        <v>3</v>
      </c>
      <c r="H148" s="2">
        <v>-459.61</v>
      </c>
      <c r="I148" t="str">
        <f t="shared" si="2"/>
        <v>Mar</v>
      </c>
      <c r="J148">
        <f>YEAR(datas[[#This Row],[Order Date]])</f>
        <v>2021</v>
      </c>
    </row>
    <row r="149" spans="1:10" ht="14.25" customHeight="1" x14ac:dyDescent="0.3">
      <c r="A149" s="1">
        <v>44258</v>
      </c>
      <c r="B149" s="2" t="s">
        <v>119</v>
      </c>
      <c r="C149" s="2" t="s">
        <v>21</v>
      </c>
      <c r="D149" s="2" t="s">
        <v>26</v>
      </c>
      <c r="E149" s="2" t="s">
        <v>73</v>
      </c>
      <c r="F149" s="2">
        <v>626.35</v>
      </c>
      <c r="G149" s="2">
        <v>3</v>
      </c>
      <c r="H149" s="2">
        <v>-23.49</v>
      </c>
      <c r="I149" t="str">
        <f t="shared" si="2"/>
        <v>Mar</v>
      </c>
      <c r="J149">
        <f>YEAR(datas[[#This Row],[Order Date]])</f>
        <v>2021</v>
      </c>
    </row>
    <row r="150" spans="1:10" ht="14.25" customHeight="1" x14ac:dyDescent="0.3">
      <c r="A150" s="1">
        <v>44259</v>
      </c>
      <c r="B150" s="2" t="s">
        <v>120</v>
      </c>
      <c r="C150" s="2" t="s">
        <v>43</v>
      </c>
      <c r="D150" s="2" t="s">
        <v>10</v>
      </c>
      <c r="E150" s="2" t="s">
        <v>15</v>
      </c>
      <c r="F150" s="2">
        <v>354.9</v>
      </c>
      <c r="G150" s="2">
        <v>5</v>
      </c>
      <c r="H150" s="2">
        <v>17.75</v>
      </c>
      <c r="I150" t="str">
        <f t="shared" si="2"/>
        <v>Mar</v>
      </c>
      <c r="J150">
        <f>YEAR(datas[[#This Row],[Order Date]])</f>
        <v>2021</v>
      </c>
    </row>
    <row r="151" spans="1:10" ht="14.25" customHeight="1" x14ac:dyDescent="0.3">
      <c r="A151" s="1">
        <v>44259</v>
      </c>
      <c r="B151" s="2" t="s">
        <v>92</v>
      </c>
      <c r="C151" s="2" t="s">
        <v>64</v>
      </c>
      <c r="D151" s="2" t="s">
        <v>10</v>
      </c>
      <c r="E151" s="2" t="s">
        <v>19</v>
      </c>
      <c r="F151" s="2">
        <v>15.55</v>
      </c>
      <c r="G151" s="2">
        <v>3</v>
      </c>
      <c r="H151" s="2">
        <v>2.33</v>
      </c>
      <c r="I151" t="str">
        <f t="shared" si="2"/>
        <v>Mar</v>
      </c>
      <c r="J151">
        <f>YEAR(datas[[#This Row],[Order Date]])</f>
        <v>2021</v>
      </c>
    </row>
    <row r="152" spans="1:10" ht="14.25" customHeight="1" x14ac:dyDescent="0.3">
      <c r="A152" s="1">
        <v>44260</v>
      </c>
      <c r="B152" s="2" t="s">
        <v>121</v>
      </c>
      <c r="C152" s="2" t="s">
        <v>75</v>
      </c>
      <c r="D152" s="2" t="s">
        <v>10</v>
      </c>
      <c r="E152" s="2" t="s">
        <v>19</v>
      </c>
      <c r="F152" s="2">
        <v>59.52</v>
      </c>
      <c r="G152" s="2">
        <v>3</v>
      </c>
      <c r="H152" s="2">
        <v>15.48</v>
      </c>
      <c r="I152" t="str">
        <f t="shared" si="2"/>
        <v>Mar</v>
      </c>
      <c r="J152">
        <f>YEAR(datas[[#This Row],[Order Date]])</f>
        <v>2021</v>
      </c>
    </row>
    <row r="153" spans="1:10" ht="14.25" customHeight="1" x14ac:dyDescent="0.3">
      <c r="A153" s="1">
        <v>44260</v>
      </c>
      <c r="B153" s="2" t="s">
        <v>121</v>
      </c>
      <c r="C153" s="2" t="s">
        <v>75</v>
      </c>
      <c r="D153" s="2" t="s">
        <v>28</v>
      </c>
      <c r="E153" s="2" t="s">
        <v>34</v>
      </c>
      <c r="F153" s="2">
        <v>479.97</v>
      </c>
      <c r="G153" s="2">
        <v>3</v>
      </c>
      <c r="H153" s="2">
        <v>177.59</v>
      </c>
      <c r="I153" t="str">
        <f t="shared" si="2"/>
        <v>Mar</v>
      </c>
      <c r="J153">
        <f>YEAR(datas[[#This Row],[Order Date]])</f>
        <v>2021</v>
      </c>
    </row>
    <row r="154" spans="1:10" ht="14.25" customHeight="1" x14ac:dyDescent="0.3">
      <c r="A154" s="1">
        <v>44260</v>
      </c>
      <c r="B154" s="2" t="s">
        <v>121</v>
      </c>
      <c r="C154" s="2" t="s">
        <v>75</v>
      </c>
      <c r="D154" s="2" t="s">
        <v>10</v>
      </c>
      <c r="E154" s="2" t="s">
        <v>95</v>
      </c>
      <c r="F154" s="2">
        <v>18.62</v>
      </c>
      <c r="G154" s="2">
        <v>2</v>
      </c>
      <c r="H154" s="2">
        <v>5.4</v>
      </c>
      <c r="I154" t="str">
        <f t="shared" si="2"/>
        <v>Mar</v>
      </c>
      <c r="J154">
        <f>YEAR(datas[[#This Row],[Order Date]])</f>
        <v>2021</v>
      </c>
    </row>
    <row r="155" spans="1:10" ht="14.25" customHeight="1" x14ac:dyDescent="0.3">
      <c r="A155" s="1">
        <v>44260</v>
      </c>
      <c r="B155" s="2" t="s">
        <v>121</v>
      </c>
      <c r="C155" s="2" t="s">
        <v>75</v>
      </c>
      <c r="D155" s="2" t="s">
        <v>10</v>
      </c>
      <c r="E155" s="2" t="s">
        <v>16</v>
      </c>
      <c r="F155" s="2">
        <v>49.63</v>
      </c>
      <c r="G155" s="2">
        <v>6</v>
      </c>
      <c r="H155" s="2">
        <v>16.75</v>
      </c>
      <c r="I155" t="str">
        <f t="shared" si="2"/>
        <v>Mar</v>
      </c>
      <c r="J155">
        <f>YEAR(datas[[#This Row],[Order Date]])</f>
        <v>2021</v>
      </c>
    </row>
    <row r="156" spans="1:10" ht="14.25" customHeight="1" x14ac:dyDescent="0.3">
      <c r="A156" s="1">
        <v>44260</v>
      </c>
      <c r="B156" s="2" t="s">
        <v>121</v>
      </c>
      <c r="C156" s="2" t="s">
        <v>75</v>
      </c>
      <c r="D156" s="2" t="s">
        <v>10</v>
      </c>
      <c r="E156" s="2" t="s">
        <v>11</v>
      </c>
      <c r="F156" s="2">
        <v>97.82</v>
      </c>
      <c r="G156" s="2">
        <v>2</v>
      </c>
      <c r="H156" s="2">
        <v>45.98</v>
      </c>
      <c r="I156" t="str">
        <f t="shared" si="2"/>
        <v>Mar</v>
      </c>
      <c r="J156">
        <f>YEAR(datas[[#This Row],[Order Date]])</f>
        <v>2021</v>
      </c>
    </row>
    <row r="157" spans="1:10" ht="14.25" customHeight="1" x14ac:dyDescent="0.3">
      <c r="A157" s="1">
        <v>44262</v>
      </c>
      <c r="B157" s="2" t="s">
        <v>99</v>
      </c>
      <c r="C157" s="2" t="s">
        <v>82</v>
      </c>
      <c r="D157" s="2" t="s">
        <v>26</v>
      </c>
      <c r="E157" s="2" t="s">
        <v>27</v>
      </c>
      <c r="F157" s="2">
        <v>48.71</v>
      </c>
      <c r="G157" s="2">
        <v>1</v>
      </c>
      <c r="H157" s="2">
        <v>5.48</v>
      </c>
      <c r="I157" t="str">
        <f t="shared" si="2"/>
        <v>Mar</v>
      </c>
      <c r="J157">
        <f>YEAR(datas[[#This Row],[Order Date]])</f>
        <v>2021</v>
      </c>
    </row>
    <row r="158" spans="1:10" ht="14.25" customHeight="1" x14ac:dyDescent="0.3">
      <c r="A158" s="1">
        <v>44262</v>
      </c>
      <c r="B158" s="2" t="s">
        <v>99</v>
      </c>
      <c r="C158" s="2" t="s">
        <v>82</v>
      </c>
      <c r="D158" s="2" t="s">
        <v>10</v>
      </c>
      <c r="E158" s="2" t="s">
        <v>19</v>
      </c>
      <c r="F158" s="2">
        <v>17.940000000000001</v>
      </c>
      <c r="G158" s="2">
        <v>3</v>
      </c>
      <c r="H158" s="2">
        <v>4.66</v>
      </c>
      <c r="I158" t="str">
        <f t="shared" si="2"/>
        <v>Mar</v>
      </c>
      <c r="J158">
        <f>YEAR(datas[[#This Row],[Order Date]])</f>
        <v>2021</v>
      </c>
    </row>
    <row r="159" spans="1:10" ht="14.25" customHeight="1" x14ac:dyDescent="0.3">
      <c r="A159" s="1">
        <v>44262</v>
      </c>
      <c r="B159" s="2" t="s">
        <v>99</v>
      </c>
      <c r="C159" s="2" t="s">
        <v>82</v>
      </c>
      <c r="D159" s="2" t="s">
        <v>10</v>
      </c>
      <c r="E159" s="2" t="s">
        <v>15</v>
      </c>
      <c r="F159" s="2">
        <v>242.94</v>
      </c>
      <c r="G159" s="2">
        <v>3</v>
      </c>
      <c r="H159" s="2">
        <v>4.8600000000000003</v>
      </c>
      <c r="I159" t="str">
        <f t="shared" si="2"/>
        <v>Mar</v>
      </c>
      <c r="J159">
        <f>YEAR(datas[[#This Row],[Order Date]])</f>
        <v>2021</v>
      </c>
    </row>
    <row r="160" spans="1:10" ht="14.25" customHeight="1" x14ac:dyDescent="0.3">
      <c r="A160" s="1">
        <v>44262</v>
      </c>
      <c r="B160" s="2" t="s">
        <v>122</v>
      </c>
      <c r="C160" s="2" t="s">
        <v>82</v>
      </c>
      <c r="D160" s="2" t="s">
        <v>10</v>
      </c>
      <c r="E160" s="2" t="s">
        <v>16</v>
      </c>
      <c r="F160" s="2">
        <v>107.65</v>
      </c>
      <c r="G160" s="2">
        <v>2</v>
      </c>
      <c r="H160" s="2">
        <v>33.64</v>
      </c>
      <c r="I160" t="str">
        <f t="shared" si="2"/>
        <v>Mar</v>
      </c>
      <c r="J160">
        <f>YEAR(datas[[#This Row],[Order Date]])</f>
        <v>2021</v>
      </c>
    </row>
    <row r="161" spans="1:10" ht="14.25" customHeight="1" x14ac:dyDescent="0.3">
      <c r="A161" s="1">
        <v>44262</v>
      </c>
      <c r="B161" s="2" t="s">
        <v>123</v>
      </c>
      <c r="C161" s="2" t="s">
        <v>82</v>
      </c>
      <c r="D161" s="2" t="s">
        <v>10</v>
      </c>
      <c r="E161" s="2" t="s">
        <v>19</v>
      </c>
      <c r="F161" s="2">
        <v>20.65</v>
      </c>
      <c r="G161" s="2">
        <v>5</v>
      </c>
      <c r="H161" s="2">
        <v>9.5</v>
      </c>
      <c r="I161" t="str">
        <f t="shared" si="2"/>
        <v>Mar</v>
      </c>
      <c r="J161">
        <f>YEAR(datas[[#This Row],[Order Date]])</f>
        <v>2021</v>
      </c>
    </row>
    <row r="162" spans="1:10" ht="14.25" customHeight="1" x14ac:dyDescent="0.3">
      <c r="A162" s="1">
        <v>44262</v>
      </c>
      <c r="B162" s="2" t="s">
        <v>123</v>
      </c>
      <c r="C162" s="2" t="s">
        <v>82</v>
      </c>
      <c r="D162" s="2" t="s">
        <v>10</v>
      </c>
      <c r="E162" s="2" t="s">
        <v>15</v>
      </c>
      <c r="F162" s="2">
        <v>204.9</v>
      </c>
      <c r="G162" s="2">
        <v>5</v>
      </c>
      <c r="H162" s="2">
        <v>0</v>
      </c>
      <c r="I162" t="str">
        <f t="shared" si="2"/>
        <v>Mar</v>
      </c>
      <c r="J162">
        <f>YEAR(datas[[#This Row],[Order Date]])</f>
        <v>2021</v>
      </c>
    </row>
    <row r="163" spans="1:10" ht="14.25" customHeight="1" x14ac:dyDescent="0.3">
      <c r="A163" s="1">
        <v>44262</v>
      </c>
      <c r="B163" s="2" t="s">
        <v>123</v>
      </c>
      <c r="C163" s="2" t="s">
        <v>82</v>
      </c>
      <c r="D163" s="2" t="s">
        <v>26</v>
      </c>
      <c r="E163" s="2" t="s">
        <v>27</v>
      </c>
      <c r="F163" s="2">
        <v>436.7</v>
      </c>
      <c r="G163" s="2">
        <v>6</v>
      </c>
      <c r="H163" s="2">
        <v>21.84</v>
      </c>
      <c r="I163" t="str">
        <f t="shared" si="2"/>
        <v>Mar</v>
      </c>
      <c r="J163">
        <f>YEAR(datas[[#This Row],[Order Date]])</f>
        <v>2021</v>
      </c>
    </row>
    <row r="164" spans="1:10" ht="14.25" customHeight="1" x14ac:dyDescent="0.3">
      <c r="A164" s="1">
        <v>44262</v>
      </c>
      <c r="B164" s="2" t="s">
        <v>123</v>
      </c>
      <c r="C164" s="2" t="s">
        <v>82</v>
      </c>
      <c r="D164" s="2" t="s">
        <v>26</v>
      </c>
      <c r="E164" s="2" t="s">
        <v>27</v>
      </c>
      <c r="F164" s="2">
        <v>481.57</v>
      </c>
      <c r="G164" s="2">
        <v>2</v>
      </c>
      <c r="H164" s="2">
        <v>54.18</v>
      </c>
      <c r="I164" t="str">
        <f t="shared" si="2"/>
        <v>Mar</v>
      </c>
      <c r="J164">
        <f>YEAR(datas[[#This Row],[Order Date]])</f>
        <v>2021</v>
      </c>
    </row>
    <row r="165" spans="1:10" ht="14.25" customHeight="1" x14ac:dyDescent="0.3">
      <c r="A165" s="1">
        <v>44265</v>
      </c>
      <c r="B165" s="2" t="s">
        <v>124</v>
      </c>
      <c r="C165" s="2" t="s">
        <v>60</v>
      </c>
      <c r="D165" s="2" t="s">
        <v>10</v>
      </c>
      <c r="E165" s="2" t="s">
        <v>11</v>
      </c>
      <c r="F165" s="2">
        <v>22.38</v>
      </c>
      <c r="G165" s="2">
        <v>2</v>
      </c>
      <c r="H165" s="2">
        <v>10.74</v>
      </c>
      <c r="I165" t="str">
        <f t="shared" si="2"/>
        <v>Mar</v>
      </c>
      <c r="J165">
        <f>YEAR(datas[[#This Row],[Order Date]])</f>
        <v>2021</v>
      </c>
    </row>
    <row r="166" spans="1:10" ht="14.25" customHeight="1" x14ac:dyDescent="0.3">
      <c r="A166" s="1">
        <v>44265</v>
      </c>
      <c r="B166" s="2" t="s">
        <v>125</v>
      </c>
      <c r="C166" s="2" t="s">
        <v>126</v>
      </c>
      <c r="D166" s="2" t="s">
        <v>10</v>
      </c>
      <c r="E166" s="2" t="s">
        <v>15</v>
      </c>
      <c r="F166" s="2">
        <v>636.41</v>
      </c>
      <c r="G166" s="2">
        <v>3</v>
      </c>
      <c r="H166" s="2">
        <v>-15.91</v>
      </c>
      <c r="I166" t="str">
        <f t="shared" si="2"/>
        <v>Mar</v>
      </c>
      <c r="J166">
        <f>YEAR(datas[[#This Row],[Order Date]])</f>
        <v>2021</v>
      </c>
    </row>
    <row r="167" spans="1:10" ht="14.25" customHeight="1" x14ac:dyDescent="0.3">
      <c r="A167" s="1">
        <v>44265</v>
      </c>
      <c r="B167" s="2" t="s">
        <v>125</v>
      </c>
      <c r="C167" s="2" t="s">
        <v>126</v>
      </c>
      <c r="D167" s="2" t="s">
        <v>10</v>
      </c>
      <c r="E167" s="2" t="s">
        <v>19</v>
      </c>
      <c r="F167" s="2">
        <v>83.17</v>
      </c>
      <c r="G167" s="2">
        <v>4</v>
      </c>
      <c r="H167" s="2">
        <v>9.36</v>
      </c>
      <c r="I167" t="str">
        <f t="shared" si="2"/>
        <v>Mar</v>
      </c>
      <c r="J167">
        <f>YEAR(datas[[#This Row],[Order Date]])</f>
        <v>2021</v>
      </c>
    </row>
    <row r="168" spans="1:10" ht="14.25" customHeight="1" x14ac:dyDescent="0.3">
      <c r="A168" s="1">
        <v>44266</v>
      </c>
      <c r="B168" s="2" t="s">
        <v>127</v>
      </c>
      <c r="C168" s="2" t="s">
        <v>47</v>
      </c>
      <c r="D168" s="2" t="s">
        <v>26</v>
      </c>
      <c r="E168" s="2" t="s">
        <v>32</v>
      </c>
      <c r="F168" s="2">
        <v>8.32</v>
      </c>
      <c r="G168" s="2">
        <v>5</v>
      </c>
      <c r="H168" s="2">
        <v>2.29</v>
      </c>
      <c r="I168" t="str">
        <f t="shared" si="2"/>
        <v>Mar</v>
      </c>
      <c r="J168">
        <f>YEAR(datas[[#This Row],[Order Date]])</f>
        <v>2021</v>
      </c>
    </row>
    <row r="169" spans="1:10" ht="14.25" customHeight="1" x14ac:dyDescent="0.3">
      <c r="A169" s="1">
        <v>44266</v>
      </c>
      <c r="B169" s="2" t="s">
        <v>127</v>
      </c>
      <c r="C169" s="2" t="s">
        <v>47</v>
      </c>
      <c r="D169" s="2" t="s">
        <v>10</v>
      </c>
      <c r="E169" s="2" t="s">
        <v>30</v>
      </c>
      <c r="F169" s="2">
        <v>10.46</v>
      </c>
      <c r="G169" s="2">
        <v>6</v>
      </c>
      <c r="H169" s="2">
        <v>1.7</v>
      </c>
      <c r="I169" t="str">
        <f t="shared" si="2"/>
        <v>Mar</v>
      </c>
      <c r="J169">
        <f>YEAR(datas[[#This Row],[Order Date]])</f>
        <v>2021</v>
      </c>
    </row>
    <row r="170" spans="1:10" ht="14.25" customHeight="1" x14ac:dyDescent="0.3">
      <c r="A170" s="1">
        <v>44266</v>
      </c>
      <c r="B170" s="2" t="s">
        <v>128</v>
      </c>
      <c r="C170" s="2" t="s">
        <v>75</v>
      </c>
      <c r="D170" s="2" t="s">
        <v>10</v>
      </c>
      <c r="E170" s="2" t="s">
        <v>11</v>
      </c>
      <c r="F170" s="2">
        <v>108.92</v>
      </c>
      <c r="G170" s="2">
        <v>14</v>
      </c>
      <c r="H170" s="2">
        <v>49.01</v>
      </c>
      <c r="I170" t="str">
        <f t="shared" si="2"/>
        <v>Mar</v>
      </c>
      <c r="J170">
        <f>YEAR(datas[[#This Row],[Order Date]])</f>
        <v>2021</v>
      </c>
    </row>
    <row r="171" spans="1:10" ht="14.25" customHeight="1" x14ac:dyDescent="0.3">
      <c r="A171" s="1">
        <v>44266</v>
      </c>
      <c r="B171" s="2" t="s">
        <v>129</v>
      </c>
      <c r="C171" s="2" t="s">
        <v>25</v>
      </c>
      <c r="D171" s="2" t="s">
        <v>10</v>
      </c>
      <c r="E171" s="2" t="s">
        <v>53</v>
      </c>
      <c r="F171" s="2">
        <v>146.76</v>
      </c>
      <c r="G171" s="2">
        <v>3</v>
      </c>
      <c r="H171" s="2">
        <v>38.159999999999997</v>
      </c>
      <c r="I171" t="str">
        <f t="shared" si="2"/>
        <v>Mar</v>
      </c>
      <c r="J171">
        <f>YEAR(datas[[#This Row],[Order Date]])</f>
        <v>2021</v>
      </c>
    </row>
    <row r="172" spans="1:10" ht="14.25" customHeight="1" x14ac:dyDescent="0.3">
      <c r="A172" s="1">
        <v>44266</v>
      </c>
      <c r="B172" s="2" t="s">
        <v>129</v>
      </c>
      <c r="C172" s="2" t="s">
        <v>25</v>
      </c>
      <c r="D172" s="2" t="s">
        <v>28</v>
      </c>
      <c r="E172" s="2" t="s">
        <v>34</v>
      </c>
      <c r="F172" s="2">
        <v>32.96</v>
      </c>
      <c r="G172" s="2">
        <v>2</v>
      </c>
      <c r="H172" s="2">
        <v>14.17</v>
      </c>
      <c r="I172" t="str">
        <f t="shared" si="2"/>
        <v>Mar</v>
      </c>
      <c r="J172">
        <f>YEAR(datas[[#This Row],[Order Date]])</f>
        <v>2021</v>
      </c>
    </row>
    <row r="173" spans="1:10" ht="14.25" customHeight="1" x14ac:dyDescent="0.3">
      <c r="A173" s="1">
        <v>44266</v>
      </c>
      <c r="B173" s="2" t="s">
        <v>129</v>
      </c>
      <c r="C173" s="2" t="s">
        <v>25</v>
      </c>
      <c r="D173" s="2" t="s">
        <v>28</v>
      </c>
      <c r="E173" s="2" t="s">
        <v>29</v>
      </c>
      <c r="F173" s="2">
        <v>587.97</v>
      </c>
      <c r="G173" s="2">
        <v>3</v>
      </c>
      <c r="H173" s="2">
        <v>164.63</v>
      </c>
      <c r="I173" t="str">
        <f t="shared" si="2"/>
        <v>Mar</v>
      </c>
      <c r="J173">
        <f>YEAR(datas[[#This Row],[Order Date]])</f>
        <v>2021</v>
      </c>
    </row>
    <row r="174" spans="1:10" ht="14.25" customHeight="1" x14ac:dyDescent="0.3">
      <c r="A174" s="1">
        <v>44266</v>
      </c>
      <c r="B174" s="2" t="s">
        <v>129</v>
      </c>
      <c r="C174" s="2" t="s">
        <v>25</v>
      </c>
      <c r="D174" s="2" t="s">
        <v>10</v>
      </c>
      <c r="E174" s="2" t="s">
        <v>11</v>
      </c>
      <c r="F174" s="2">
        <v>14.94</v>
      </c>
      <c r="G174" s="2">
        <v>3</v>
      </c>
      <c r="H174" s="2">
        <v>7.02</v>
      </c>
      <c r="I174" t="str">
        <f t="shared" si="2"/>
        <v>Mar</v>
      </c>
      <c r="J174">
        <f>YEAR(datas[[#This Row],[Order Date]])</f>
        <v>2021</v>
      </c>
    </row>
    <row r="175" spans="1:10" ht="14.25" customHeight="1" x14ac:dyDescent="0.3">
      <c r="A175" s="1">
        <v>44266</v>
      </c>
      <c r="B175" s="2" t="s">
        <v>130</v>
      </c>
      <c r="C175" s="2" t="s">
        <v>21</v>
      </c>
      <c r="D175" s="2" t="s">
        <v>10</v>
      </c>
      <c r="E175" s="2" t="s">
        <v>19</v>
      </c>
      <c r="F175" s="2">
        <v>7.98</v>
      </c>
      <c r="G175" s="2">
        <v>3</v>
      </c>
      <c r="H175" s="2">
        <v>2.0699999999999998</v>
      </c>
      <c r="I175" t="str">
        <f t="shared" si="2"/>
        <v>Mar</v>
      </c>
      <c r="J175">
        <f>YEAR(datas[[#This Row],[Order Date]])</f>
        <v>2021</v>
      </c>
    </row>
    <row r="176" spans="1:10" ht="14.25" customHeight="1" x14ac:dyDescent="0.3">
      <c r="A176" s="1">
        <v>44269</v>
      </c>
      <c r="B176" s="2" t="s">
        <v>131</v>
      </c>
      <c r="C176" s="2" t="s">
        <v>21</v>
      </c>
      <c r="D176" s="2" t="s">
        <v>10</v>
      </c>
      <c r="E176" s="2" t="s">
        <v>11</v>
      </c>
      <c r="F176" s="2">
        <v>10.56</v>
      </c>
      <c r="G176" s="2">
        <v>2</v>
      </c>
      <c r="H176" s="2">
        <v>4.75</v>
      </c>
      <c r="I176" t="str">
        <f t="shared" si="2"/>
        <v>Mar</v>
      </c>
      <c r="J176">
        <f>YEAR(datas[[#This Row],[Order Date]])</f>
        <v>2021</v>
      </c>
    </row>
    <row r="177" spans="1:10" ht="14.25" customHeight="1" x14ac:dyDescent="0.3">
      <c r="A177" s="1">
        <v>44269</v>
      </c>
      <c r="B177" s="2" t="s">
        <v>131</v>
      </c>
      <c r="C177" s="2" t="s">
        <v>21</v>
      </c>
      <c r="D177" s="2" t="s">
        <v>10</v>
      </c>
      <c r="E177" s="2" t="s">
        <v>19</v>
      </c>
      <c r="F177" s="2">
        <v>3.38</v>
      </c>
      <c r="G177" s="2">
        <v>1</v>
      </c>
      <c r="H177" s="2">
        <v>1.25</v>
      </c>
      <c r="I177" t="str">
        <f t="shared" si="2"/>
        <v>Mar</v>
      </c>
      <c r="J177">
        <f>YEAR(datas[[#This Row],[Order Date]])</f>
        <v>2021</v>
      </c>
    </row>
    <row r="178" spans="1:10" ht="14.25" customHeight="1" x14ac:dyDescent="0.3">
      <c r="A178" s="1">
        <v>44269</v>
      </c>
      <c r="B178" s="2" t="s">
        <v>132</v>
      </c>
      <c r="C178" s="2" t="s">
        <v>36</v>
      </c>
      <c r="D178" s="2" t="s">
        <v>26</v>
      </c>
      <c r="E178" s="2" t="s">
        <v>27</v>
      </c>
      <c r="F178" s="2">
        <v>1139.92</v>
      </c>
      <c r="G178" s="2">
        <v>4</v>
      </c>
      <c r="H178" s="2">
        <v>284.98</v>
      </c>
      <c r="I178" t="str">
        <f t="shared" si="2"/>
        <v>Mar</v>
      </c>
      <c r="J178">
        <f>YEAR(datas[[#This Row],[Order Date]])</f>
        <v>2021</v>
      </c>
    </row>
    <row r="179" spans="1:10" ht="14.25" customHeight="1" x14ac:dyDescent="0.3">
      <c r="A179" s="1">
        <v>44269</v>
      </c>
      <c r="B179" s="2" t="s">
        <v>133</v>
      </c>
      <c r="C179" s="2" t="s">
        <v>134</v>
      </c>
      <c r="D179" s="2" t="s">
        <v>10</v>
      </c>
      <c r="E179" s="2" t="s">
        <v>16</v>
      </c>
      <c r="F179" s="2">
        <v>33.090000000000003</v>
      </c>
      <c r="G179" s="2">
        <v>4</v>
      </c>
      <c r="H179" s="2">
        <v>11.17</v>
      </c>
      <c r="I179" t="str">
        <f t="shared" si="2"/>
        <v>Mar</v>
      </c>
      <c r="J179">
        <f>YEAR(datas[[#This Row],[Order Date]])</f>
        <v>2021</v>
      </c>
    </row>
    <row r="180" spans="1:10" ht="14.25" customHeight="1" x14ac:dyDescent="0.3">
      <c r="A180" s="1">
        <v>44269</v>
      </c>
      <c r="B180" s="2" t="s">
        <v>133</v>
      </c>
      <c r="C180" s="2" t="s">
        <v>134</v>
      </c>
      <c r="D180" s="2" t="s">
        <v>10</v>
      </c>
      <c r="E180" s="2" t="s">
        <v>15</v>
      </c>
      <c r="F180" s="2">
        <v>80.98</v>
      </c>
      <c r="G180" s="2">
        <v>1</v>
      </c>
      <c r="H180" s="2">
        <v>3.24</v>
      </c>
      <c r="I180" t="str">
        <f t="shared" si="2"/>
        <v>Mar</v>
      </c>
      <c r="J180">
        <f>YEAR(datas[[#This Row],[Order Date]])</f>
        <v>2021</v>
      </c>
    </row>
    <row r="181" spans="1:10" ht="14.25" customHeight="1" x14ac:dyDescent="0.3">
      <c r="A181" s="1">
        <v>44269</v>
      </c>
      <c r="B181" s="2" t="s">
        <v>133</v>
      </c>
      <c r="C181" s="2" t="s">
        <v>134</v>
      </c>
      <c r="D181" s="2" t="s">
        <v>28</v>
      </c>
      <c r="E181" s="2" t="s">
        <v>34</v>
      </c>
      <c r="F181" s="2">
        <v>82.8</v>
      </c>
      <c r="G181" s="2">
        <v>12</v>
      </c>
      <c r="H181" s="2">
        <v>6.62</v>
      </c>
      <c r="I181" t="str">
        <f t="shared" si="2"/>
        <v>Mar</v>
      </c>
      <c r="J181">
        <f>YEAR(datas[[#This Row],[Order Date]])</f>
        <v>2021</v>
      </c>
    </row>
    <row r="182" spans="1:10" ht="14.25" customHeight="1" x14ac:dyDescent="0.3">
      <c r="A182" s="1">
        <v>44269</v>
      </c>
      <c r="B182" s="2" t="s">
        <v>133</v>
      </c>
      <c r="C182" s="2" t="s">
        <v>134</v>
      </c>
      <c r="D182" s="2" t="s">
        <v>10</v>
      </c>
      <c r="E182" s="2" t="s">
        <v>15</v>
      </c>
      <c r="F182" s="2">
        <v>21.36</v>
      </c>
      <c r="G182" s="2">
        <v>2</v>
      </c>
      <c r="H182" s="2">
        <v>5.77</v>
      </c>
      <c r="I182" t="str">
        <f t="shared" si="2"/>
        <v>Mar</v>
      </c>
      <c r="J182">
        <f>YEAR(datas[[#This Row],[Order Date]])</f>
        <v>2021</v>
      </c>
    </row>
    <row r="183" spans="1:10" ht="14.25" customHeight="1" x14ac:dyDescent="0.3">
      <c r="A183" s="1">
        <v>44269</v>
      </c>
      <c r="B183" s="2" t="s">
        <v>133</v>
      </c>
      <c r="C183" s="2" t="s">
        <v>134</v>
      </c>
      <c r="D183" s="2" t="s">
        <v>10</v>
      </c>
      <c r="E183" s="2" t="s">
        <v>16</v>
      </c>
      <c r="F183" s="2">
        <v>62.05</v>
      </c>
      <c r="G183" s="2">
        <v>2</v>
      </c>
      <c r="H183" s="2">
        <v>20.170000000000002</v>
      </c>
      <c r="I183" t="str">
        <f t="shared" si="2"/>
        <v>Mar</v>
      </c>
      <c r="J183">
        <f>YEAR(datas[[#This Row],[Order Date]])</f>
        <v>2021</v>
      </c>
    </row>
    <row r="184" spans="1:10" ht="14.25" customHeight="1" x14ac:dyDescent="0.3">
      <c r="A184" s="1">
        <v>44269</v>
      </c>
      <c r="B184" s="2" t="s">
        <v>135</v>
      </c>
      <c r="C184" s="2" t="s">
        <v>13</v>
      </c>
      <c r="D184" s="2" t="s">
        <v>28</v>
      </c>
      <c r="E184" s="2" t="s">
        <v>136</v>
      </c>
      <c r="F184" s="2">
        <v>574.91</v>
      </c>
      <c r="G184" s="2">
        <v>2</v>
      </c>
      <c r="H184" s="2">
        <v>156.05000000000001</v>
      </c>
      <c r="I184" t="str">
        <f t="shared" si="2"/>
        <v>Mar</v>
      </c>
      <c r="J184">
        <f>YEAR(datas[[#This Row],[Order Date]])</f>
        <v>2021</v>
      </c>
    </row>
    <row r="185" spans="1:10" ht="14.25" customHeight="1" x14ac:dyDescent="0.3">
      <c r="A185" s="1">
        <v>44269</v>
      </c>
      <c r="B185" s="2" t="s">
        <v>135</v>
      </c>
      <c r="C185" s="2" t="s">
        <v>13</v>
      </c>
      <c r="D185" s="2" t="s">
        <v>10</v>
      </c>
      <c r="E185" s="2" t="s">
        <v>11</v>
      </c>
      <c r="F185" s="2">
        <v>8.4499999999999993</v>
      </c>
      <c r="G185" s="2">
        <v>2</v>
      </c>
      <c r="H185" s="2">
        <v>2.64</v>
      </c>
      <c r="I185" t="str">
        <f t="shared" si="2"/>
        <v>Mar</v>
      </c>
      <c r="J185">
        <f>YEAR(datas[[#This Row],[Order Date]])</f>
        <v>2021</v>
      </c>
    </row>
    <row r="186" spans="1:10" ht="14.25" customHeight="1" x14ac:dyDescent="0.3">
      <c r="A186" s="1">
        <v>44269</v>
      </c>
      <c r="B186" s="2" t="s">
        <v>137</v>
      </c>
      <c r="C186" s="2" t="s">
        <v>64</v>
      </c>
      <c r="D186" s="2" t="s">
        <v>10</v>
      </c>
      <c r="E186" s="2" t="s">
        <v>11</v>
      </c>
      <c r="F186" s="2">
        <v>91.06</v>
      </c>
      <c r="G186" s="2">
        <v>6</v>
      </c>
      <c r="H186" s="2">
        <v>31.87</v>
      </c>
      <c r="I186" t="str">
        <f t="shared" si="2"/>
        <v>Mar</v>
      </c>
      <c r="J186">
        <f>YEAR(datas[[#This Row],[Order Date]])</f>
        <v>2021</v>
      </c>
    </row>
    <row r="187" spans="1:10" ht="14.25" customHeight="1" x14ac:dyDescent="0.3">
      <c r="A187" s="1">
        <v>44270</v>
      </c>
      <c r="B187" s="2" t="s">
        <v>138</v>
      </c>
      <c r="C187" s="2" t="s">
        <v>64</v>
      </c>
      <c r="D187" s="2" t="s">
        <v>10</v>
      </c>
      <c r="E187" s="2" t="s">
        <v>15</v>
      </c>
      <c r="F187" s="2">
        <v>142.78</v>
      </c>
      <c r="G187" s="2">
        <v>1</v>
      </c>
      <c r="H187" s="2">
        <v>17.850000000000001</v>
      </c>
      <c r="I187" t="str">
        <f t="shared" si="2"/>
        <v>Mar</v>
      </c>
      <c r="J187">
        <f>YEAR(datas[[#This Row],[Order Date]])</f>
        <v>2021</v>
      </c>
    </row>
    <row r="188" spans="1:10" ht="14.25" customHeight="1" x14ac:dyDescent="0.3">
      <c r="A188" s="1">
        <v>44270</v>
      </c>
      <c r="B188" s="2" t="s">
        <v>138</v>
      </c>
      <c r="C188" s="2" t="s">
        <v>64</v>
      </c>
      <c r="D188" s="2" t="s">
        <v>26</v>
      </c>
      <c r="E188" s="2" t="s">
        <v>32</v>
      </c>
      <c r="F188" s="2">
        <v>45.7</v>
      </c>
      <c r="G188" s="2">
        <v>3</v>
      </c>
      <c r="H188" s="2">
        <v>5.14</v>
      </c>
      <c r="I188" t="str">
        <f t="shared" si="2"/>
        <v>Mar</v>
      </c>
      <c r="J188">
        <f>YEAR(datas[[#This Row],[Order Date]])</f>
        <v>2021</v>
      </c>
    </row>
    <row r="189" spans="1:10" ht="14.25" customHeight="1" x14ac:dyDescent="0.3">
      <c r="A189" s="1">
        <v>44270</v>
      </c>
      <c r="B189" s="2" t="s">
        <v>138</v>
      </c>
      <c r="C189" s="2" t="s">
        <v>64</v>
      </c>
      <c r="D189" s="2" t="s">
        <v>10</v>
      </c>
      <c r="E189" s="2" t="s">
        <v>16</v>
      </c>
      <c r="F189" s="2">
        <v>7.22</v>
      </c>
      <c r="G189" s="2">
        <v>3</v>
      </c>
      <c r="H189" s="2">
        <v>-5.53</v>
      </c>
      <c r="I189" t="str">
        <f t="shared" si="2"/>
        <v>Mar</v>
      </c>
      <c r="J189">
        <f>YEAR(datas[[#This Row],[Order Date]])</f>
        <v>2021</v>
      </c>
    </row>
    <row r="190" spans="1:10" ht="14.25" customHeight="1" x14ac:dyDescent="0.3">
      <c r="A190" s="1">
        <v>44270</v>
      </c>
      <c r="B190" s="2" t="s">
        <v>138</v>
      </c>
      <c r="C190" s="2" t="s">
        <v>64</v>
      </c>
      <c r="D190" s="2" t="s">
        <v>10</v>
      </c>
      <c r="E190" s="2" t="s">
        <v>16</v>
      </c>
      <c r="F190" s="2">
        <v>43.19</v>
      </c>
      <c r="G190" s="2">
        <v>4</v>
      </c>
      <c r="H190" s="2">
        <v>-31.67</v>
      </c>
      <c r="I190" t="str">
        <f t="shared" si="2"/>
        <v>Mar</v>
      </c>
      <c r="J190">
        <f>YEAR(datas[[#This Row],[Order Date]])</f>
        <v>2021</v>
      </c>
    </row>
    <row r="191" spans="1:10" ht="14.25" customHeight="1" x14ac:dyDescent="0.3">
      <c r="A191" s="1">
        <v>44270</v>
      </c>
      <c r="B191" s="2" t="s">
        <v>138</v>
      </c>
      <c r="C191" s="2" t="s">
        <v>64</v>
      </c>
      <c r="D191" s="2" t="s">
        <v>10</v>
      </c>
      <c r="E191" s="2" t="s">
        <v>11</v>
      </c>
      <c r="F191" s="2">
        <v>131.9</v>
      </c>
      <c r="G191" s="2">
        <v>3</v>
      </c>
      <c r="H191" s="2">
        <v>47.82</v>
      </c>
      <c r="I191" t="str">
        <f t="shared" si="2"/>
        <v>Mar</v>
      </c>
      <c r="J191">
        <f>YEAR(datas[[#This Row],[Order Date]])</f>
        <v>2021</v>
      </c>
    </row>
    <row r="192" spans="1:10" ht="14.25" customHeight="1" x14ac:dyDescent="0.3">
      <c r="A192" s="1">
        <v>44271</v>
      </c>
      <c r="B192" s="2" t="s">
        <v>112</v>
      </c>
      <c r="C192" s="2" t="s">
        <v>115</v>
      </c>
      <c r="D192" s="2" t="s">
        <v>28</v>
      </c>
      <c r="E192" s="2" t="s">
        <v>29</v>
      </c>
      <c r="F192" s="2">
        <v>471.92</v>
      </c>
      <c r="G192" s="2">
        <v>2</v>
      </c>
      <c r="H192" s="2">
        <v>29.5</v>
      </c>
      <c r="I192" t="str">
        <f t="shared" si="2"/>
        <v>Mar</v>
      </c>
      <c r="J192">
        <f>YEAR(datas[[#This Row],[Order Date]])</f>
        <v>2021</v>
      </c>
    </row>
    <row r="193" spans="1:10" ht="14.25" customHeight="1" x14ac:dyDescent="0.3">
      <c r="A193" s="1">
        <v>44272</v>
      </c>
      <c r="B193" s="2" t="s">
        <v>139</v>
      </c>
      <c r="C193" s="2" t="s">
        <v>140</v>
      </c>
      <c r="D193" s="2" t="s">
        <v>10</v>
      </c>
      <c r="E193" s="2" t="s">
        <v>53</v>
      </c>
      <c r="F193" s="2">
        <v>93.78</v>
      </c>
      <c r="G193" s="2">
        <v>2</v>
      </c>
      <c r="H193" s="2">
        <v>36.57</v>
      </c>
      <c r="I193" t="str">
        <f t="shared" si="2"/>
        <v>Mar</v>
      </c>
      <c r="J193">
        <f>YEAR(datas[[#This Row],[Order Date]])</f>
        <v>2021</v>
      </c>
    </row>
    <row r="194" spans="1:10" ht="14.25" customHeight="1" x14ac:dyDescent="0.3">
      <c r="A194" s="1">
        <v>44272</v>
      </c>
      <c r="B194" s="2" t="s">
        <v>139</v>
      </c>
      <c r="C194" s="2" t="s">
        <v>140</v>
      </c>
      <c r="D194" s="2" t="s">
        <v>10</v>
      </c>
      <c r="E194" s="2" t="s">
        <v>11</v>
      </c>
      <c r="F194" s="2">
        <v>47.18</v>
      </c>
      <c r="G194" s="2">
        <v>7</v>
      </c>
      <c r="H194" s="2">
        <v>23.59</v>
      </c>
      <c r="I194" t="str">
        <f t="shared" si="2"/>
        <v>Mar</v>
      </c>
      <c r="J194">
        <f>YEAR(datas[[#This Row],[Order Date]])</f>
        <v>2021</v>
      </c>
    </row>
    <row r="195" spans="1:10" ht="14.25" customHeight="1" x14ac:dyDescent="0.3">
      <c r="A195" s="1">
        <v>44272</v>
      </c>
      <c r="B195" s="2" t="s">
        <v>139</v>
      </c>
      <c r="C195" s="2" t="s">
        <v>140</v>
      </c>
      <c r="D195" s="2" t="s">
        <v>10</v>
      </c>
      <c r="E195" s="2" t="s">
        <v>19</v>
      </c>
      <c r="F195" s="2">
        <v>19.68</v>
      </c>
      <c r="G195" s="2">
        <v>6</v>
      </c>
      <c r="H195" s="2">
        <v>5.71</v>
      </c>
      <c r="I195" t="str">
        <f t="shared" ref="I195:I258" si="3">TEXT(A195,"mmm")</f>
        <v>Mar</v>
      </c>
      <c r="J195">
        <f>YEAR(datas[[#This Row],[Order Date]])</f>
        <v>2021</v>
      </c>
    </row>
    <row r="196" spans="1:10" ht="14.25" customHeight="1" x14ac:dyDescent="0.3">
      <c r="A196" s="1">
        <v>44272</v>
      </c>
      <c r="B196" s="2" t="s">
        <v>139</v>
      </c>
      <c r="C196" s="2" t="s">
        <v>140</v>
      </c>
      <c r="D196" s="2" t="s">
        <v>10</v>
      </c>
      <c r="E196" s="2" t="s">
        <v>16</v>
      </c>
      <c r="F196" s="2">
        <v>53.4</v>
      </c>
      <c r="G196" s="2">
        <v>10</v>
      </c>
      <c r="H196" s="2">
        <v>25.1</v>
      </c>
      <c r="I196" t="str">
        <f t="shared" si="3"/>
        <v>Mar</v>
      </c>
      <c r="J196">
        <f>YEAR(datas[[#This Row],[Order Date]])</f>
        <v>2021</v>
      </c>
    </row>
    <row r="197" spans="1:10" ht="14.25" customHeight="1" x14ac:dyDescent="0.3">
      <c r="A197" s="1">
        <v>44272</v>
      </c>
      <c r="B197" s="2" t="s">
        <v>139</v>
      </c>
      <c r="C197" s="2" t="s">
        <v>140</v>
      </c>
      <c r="D197" s="2" t="s">
        <v>10</v>
      </c>
      <c r="E197" s="2" t="s">
        <v>16</v>
      </c>
      <c r="F197" s="2">
        <v>35.880000000000003</v>
      </c>
      <c r="G197" s="2">
        <v>6</v>
      </c>
      <c r="H197" s="2">
        <v>17.22</v>
      </c>
      <c r="I197" t="str">
        <f t="shared" si="3"/>
        <v>Mar</v>
      </c>
      <c r="J197">
        <f>YEAR(datas[[#This Row],[Order Date]])</f>
        <v>2021</v>
      </c>
    </row>
    <row r="198" spans="1:10" ht="14.25" customHeight="1" x14ac:dyDescent="0.3">
      <c r="A198" s="1">
        <v>44272</v>
      </c>
      <c r="B198" s="2" t="s">
        <v>141</v>
      </c>
      <c r="C198" s="2" t="s">
        <v>75</v>
      </c>
      <c r="D198" s="2" t="s">
        <v>26</v>
      </c>
      <c r="E198" s="2" t="s">
        <v>73</v>
      </c>
      <c r="F198" s="2">
        <v>1579.75</v>
      </c>
      <c r="G198" s="2">
        <v>7</v>
      </c>
      <c r="H198" s="2">
        <v>-447.59</v>
      </c>
      <c r="I198" t="str">
        <f t="shared" si="3"/>
        <v>Mar</v>
      </c>
      <c r="J198">
        <f>YEAR(datas[[#This Row],[Order Date]])</f>
        <v>2021</v>
      </c>
    </row>
    <row r="199" spans="1:10" ht="14.25" customHeight="1" x14ac:dyDescent="0.3">
      <c r="A199" s="1">
        <v>44272</v>
      </c>
      <c r="B199" s="2" t="s">
        <v>141</v>
      </c>
      <c r="C199" s="2" t="s">
        <v>75</v>
      </c>
      <c r="D199" s="2" t="s">
        <v>26</v>
      </c>
      <c r="E199" s="2" t="s">
        <v>73</v>
      </c>
      <c r="F199" s="2">
        <v>1071.58</v>
      </c>
      <c r="G199" s="2">
        <v>4</v>
      </c>
      <c r="H199" s="2">
        <v>-553.65</v>
      </c>
      <c r="I199" t="str">
        <f t="shared" si="3"/>
        <v>Mar</v>
      </c>
      <c r="J199">
        <f>YEAR(datas[[#This Row],[Order Date]])</f>
        <v>2021</v>
      </c>
    </row>
    <row r="200" spans="1:10" ht="14.25" customHeight="1" x14ac:dyDescent="0.3">
      <c r="A200" s="1">
        <v>44272</v>
      </c>
      <c r="B200" s="2" t="s">
        <v>141</v>
      </c>
      <c r="C200" s="2" t="s">
        <v>75</v>
      </c>
      <c r="D200" s="2" t="s">
        <v>26</v>
      </c>
      <c r="E200" s="2" t="s">
        <v>73</v>
      </c>
      <c r="F200" s="2">
        <v>613.91</v>
      </c>
      <c r="G200" s="2">
        <v>3</v>
      </c>
      <c r="H200" s="2">
        <v>-122.78</v>
      </c>
      <c r="I200" t="str">
        <f t="shared" si="3"/>
        <v>Mar</v>
      </c>
      <c r="J200">
        <f>YEAR(datas[[#This Row],[Order Date]])</f>
        <v>2021</v>
      </c>
    </row>
    <row r="201" spans="1:10" ht="14.25" customHeight="1" x14ac:dyDescent="0.3">
      <c r="A201" s="1">
        <v>44272</v>
      </c>
      <c r="B201" s="2" t="s">
        <v>141</v>
      </c>
      <c r="C201" s="2" t="s">
        <v>75</v>
      </c>
      <c r="D201" s="2" t="s">
        <v>10</v>
      </c>
      <c r="E201" s="2" t="s">
        <v>11</v>
      </c>
      <c r="F201" s="2">
        <v>34.86</v>
      </c>
      <c r="G201" s="2">
        <v>7</v>
      </c>
      <c r="H201" s="2">
        <v>16.38</v>
      </c>
      <c r="I201" t="str">
        <f t="shared" si="3"/>
        <v>Mar</v>
      </c>
      <c r="J201">
        <f>YEAR(datas[[#This Row],[Order Date]])</f>
        <v>2021</v>
      </c>
    </row>
    <row r="202" spans="1:10" ht="14.25" customHeight="1" x14ac:dyDescent="0.3">
      <c r="A202" s="1">
        <v>44272</v>
      </c>
      <c r="B202" s="2" t="s">
        <v>141</v>
      </c>
      <c r="C202" s="2" t="s">
        <v>75</v>
      </c>
      <c r="D202" s="2" t="s">
        <v>10</v>
      </c>
      <c r="E202" s="2" t="s">
        <v>11</v>
      </c>
      <c r="F202" s="2">
        <v>155.04</v>
      </c>
      <c r="G202" s="2">
        <v>4</v>
      </c>
      <c r="H202" s="2">
        <v>75.97</v>
      </c>
      <c r="I202" t="str">
        <f t="shared" si="3"/>
        <v>Mar</v>
      </c>
      <c r="J202">
        <f>YEAR(datas[[#This Row],[Order Date]])</f>
        <v>2021</v>
      </c>
    </row>
    <row r="203" spans="1:10" ht="14.25" customHeight="1" x14ac:dyDescent="0.3">
      <c r="A203" s="1">
        <v>44272</v>
      </c>
      <c r="B203" s="2" t="s">
        <v>142</v>
      </c>
      <c r="C203" s="2" t="s">
        <v>9</v>
      </c>
      <c r="D203" s="2" t="s">
        <v>10</v>
      </c>
      <c r="E203" s="2" t="s">
        <v>19</v>
      </c>
      <c r="F203" s="2">
        <v>4.45</v>
      </c>
      <c r="G203" s="2">
        <v>2</v>
      </c>
      <c r="H203" s="2">
        <v>0.33</v>
      </c>
      <c r="I203" t="str">
        <f t="shared" si="3"/>
        <v>Mar</v>
      </c>
      <c r="J203">
        <f>YEAR(datas[[#This Row],[Order Date]])</f>
        <v>2021</v>
      </c>
    </row>
    <row r="204" spans="1:10" ht="14.25" customHeight="1" x14ac:dyDescent="0.3">
      <c r="A204" s="1">
        <v>44272</v>
      </c>
      <c r="B204" s="2" t="s">
        <v>142</v>
      </c>
      <c r="C204" s="2" t="s">
        <v>9</v>
      </c>
      <c r="D204" s="2" t="s">
        <v>10</v>
      </c>
      <c r="E204" s="2" t="s">
        <v>11</v>
      </c>
      <c r="F204" s="2">
        <v>5.18</v>
      </c>
      <c r="G204" s="2">
        <v>1</v>
      </c>
      <c r="H204" s="2">
        <v>1.88</v>
      </c>
      <c r="I204" t="str">
        <f t="shared" si="3"/>
        <v>Mar</v>
      </c>
      <c r="J204">
        <f>YEAR(datas[[#This Row],[Order Date]])</f>
        <v>2021</v>
      </c>
    </row>
    <row r="205" spans="1:10" ht="14.25" customHeight="1" x14ac:dyDescent="0.3">
      <c r="A205" s="1">
        <v>44272</v>
      </c>
      <c r="B205" s="2" t="s">
        <v>142</v>
      </c>
      <c r="C205" s="2" t="s">
        <v>9</v>
      </c>
      <c r="D205" s="2" t="s">
        <v>10</v>
      </c>
      <c r="E205" s="2" t="s">
        <v>11</v>
      </c>
      <c r="F205" s="2">
        <v>15.55</v>
      </c>
      <c r="G205" s="2">
        <v>3</v>
      </c>
      <c r="H205" s="2">
        <v>5.44</v>
      </c>
      <c r="I205" t="str">
        <f t="shared" si="3"/>
        <v>Mar</v>
      </c>
      <c r="J205">
        <f>YEAR(datas[[#This Row],[Order Date]])</f>
        <v>2021</v>
      </c>
    </row>
    <row r="206" spans="1:10" ht="14.25" customHeight="1" x14ac:dyDescent="0.3">
      <c r="A206" s="1">
        <v>44272</v>
      </c>
      <c r="B206" s="2" t="s">
        <v>84</v>
      </c>
      <c r="C206" s="2" t="s">
        <v>143</v>
      </c>
      <c r="D206" s="2" t="s">
        <v>10</v>
      </c>
      <c r="E206" s="2" t="s">
        <v>16</v>
      </c>
      <c r="F206" s="2">
        <v>11.43</v>
      </c>
      <c r="G206" s="2">
        <v>3</v>
      </c>
      <c r="H206" s="2">
        <v>5.37</v>
      </c>
      <c r="I206" t="str">
        <f t="shared" si="3"/>
        <v>Mar</v>
      </c>
      <c r="J206">
        <f>YEAR(datas[[#This Row],[Order Date]])</f>
        <v>2021</v>
      </c>
    </row>
    <row r="207" spans="1:10" ht="14.25" customHeight="1" x14ac:dyDescent="0.3">
      <c r="A207" s="1">
        <v>44272</v>
      </c>
      <c r="B207" s="2" t="s">
        <v>84</v>
      </c>
      <c r="C207" s="2" t="s">
        <v>143</v>
      </c>
      <c r="D207" s="2" t="s">
        <v>10</v>
      </c>
      <c r="E207" s="2" t="s">
        <v>16</v>
      </c>
      <c r="F207" s="2">
        <v>30.44</v>
      </c>
      <c r="G207" s="2">
        <v>2</v>
      </c>
      <c r="H207" s="2">
        <v>14.92</v>
      </c>
      <c r="I207" t="str">
        <f t="shared" si="3"/>
        <v>Mar</v>
      </c>
      <c r="J207">
        <f>YEAR(datas[[#This Row],[Order Date]])</f>
        <v>2021</v>
      </c>
    </row>
    <row r="208" spans="1:10" ht="14.25" customHeight="1" x14ac:dyDescent="0.3">
      <c r="A208" s="1">
        <v>44272</v>
      </c>
      <c r="B208" s="2" t="s">
        <v>84</v>
      </c>
      <c r="C208" s="2" t="s">
        <v>143</v>
      </c>
      <c r="D208" s="2" t="s">
        <v>10</v>
      </c>
      <c r="E208" s="2" t="s">
        <v>11</v>
      </c>
      <c r="F208" s="2">
        <v>12.96</v>
      </c>
      <c r="G208" s="2">
        <v>2</v>
      </c>
      <c r="H208" s="2">
        <v>6.35</v>
      </c>
      <c r="I208" t="str">
        <f t="shared" si="3"/>
        <v>Mar</v>
      </c>
      <c r="J208">
        <f>YEAR(datas[[#This Row],[Order Date]])</f>
        <v>2021</v>
      </c>
    </row>
    <row r="209" spans="1:10" ht="14.25" customHeight="1" x14ac:dyDescent="0.3">
      <c r="A209" s="1">
        <v>44272</v>
      </c>
      <c r="B209" s="2" t="s">
        <v>84</v>
      </c>
      <c r="C209" s="2" t="s">
        <v>143</v>
      </c>
      <c r="D209" s="2" t="s">
        <v>10</v>
      </c>
      <c r="E209" s="2" t="s">
        <v>11</v>
      </c>
      <c r="F209" s="2">
        <v>16</v>
      </c>
      <c r="G209" s="2">
        <v>4</v>
      </c>
      <c r="H209" s="2">
        <v>7.68</v>
      </c>
      <c r="I209" t="str">
        <f t="shared" si="3"/>
        <v>Mar</v>
      </c>
      <c r="J209">
        <f>YEAR(datas[[#This Row],[Order Date]])</f>
        <v>2021</v>
      </c>
    </row>
    <row r="210" spans="1:10" ht="14.25" customHeight="1" x14ac:dyDescent="0.3">
      <c r="A210" s="1">
        <v>44272</v>
      </c>
      <c r="B210" s="2" t="s">
        <v>84</v>
      </c>
      <c r="C210" s="2" t="s">
        <v>143</v>
      </c>
      <c r="D210" s="2" t="s">
        <v>10</v>
      </c>
      <c r="E210" s="2" t="s">
        <v>53</v>
      </c>
      <c r="F210" s="2">
        <v>32.67</v>
      </c>
      <c r="G210" s="2">
        <v>3</v>
      </c>
      <c r="H210" s="2">
        <v>8.49</v>
      </c>
      <c r="I210" t="str">
        <f t="shared" si="3"/>
        <v>Mar</v>
      </c>
      <c r="J210">
        <f>YEAR(datas[[#This Row],[Order Date]])</f>
        <v>2021</v>
      </c>
    </row>
    <row r="211" spans="1:10" ht="14.25" customHeight="1" x14ac:dyDescent="0.3">
      <c r="A211" s="1">
        <v>44272</v>
      </c>
      <c r="B211" s="2" t="s">
        <v>144</v>
      </c>
      <c r="C211" s="2" t="s">
        <v>18</v>
      </c>
      <c r="D211" s="2" t="s">
        <v>10</v>
      </c>
      <c r="E211" s="2" t="s">
        <v>11</v>
      </c>
      <c r="F211" s="2">
        <v>126.62</v>
      </c>
      <c r="G211" s="2">
        <v>6</v>
      </c>
      <c r="H211" s="2">
        <v>41.15</v>
      </c>
      <c r="I211" t="str">
        <f t="shared" si="3"/>
        <v>Mar</v>
      </c>
      <c r="J211">
        <f>YEAR(datas[[#This Row],[Order Date]])</f>
        <v>2021</v>
      </c>
    </row>
    <row r="212" spans="1:10" ht="14.25" customHeight="1" x14ac:dyDescent="0.3">
      <c r="A212" s="1">
        <v>44273</v>
      </c>
      <c r="B212" s="2" t="s">
        <v>145</v>
      </c>
      <c r="C212" s="2" t="s">
        <v>64</v>
      </c>
      <c r="D212" s="2" t="s">
        <v>28</v>
      </c>
      <c r="E212" s="2" t="s">
        <v>136</v>
      </c>
      <c r="F212" s="2">
        <v>821.3</v>
      </c>
      <c r="G212" s="2">
        <v>4</v>
      </c>
      <c r="H212" s="2">
        <v>-16.43</v>
      </c>
      <c r="I212" t="str">
        <f t="shared" si="3"/>
        <v>Mar</v>
      </c>
      <c r="J212">
        <f>YEAR(datas[[#This Row],[Order Date]])</f>
        <v>2021</v>
      </c>
    </row>
    <row r="213" spans="1:10" ht="14.25" customHeight="1" x14ac:dyDescent="0.3">
      <c r="A213" s="1">
        <v>44273</v>
      </c>
      <c r="B213" s="2" t="s">
        <v>145</v>
      </c>
      <c r="C213" s="2" t="s">
        <v>64</v>
      </c>
      <c r="D213" s="2" t="s">
        <v>28</v>
      </c>
      <c r="E213" s="2" t="s">
        <v>136</v>
      </c>
      <c r="F213" s="2">
        <v>22638.48</v>
      </c>
      <c r="G213" s="2">
        <v>6</v>
      </c>
      <c r="H213" s="2">
        <v>-1811.08</v>
      </c>
      <c r="I213" t="str">
        <f t="shared" si="3"/>
        <v>Mar</v>
      </c>
      <c r="J213">
        <f>YEAR(datas[[#This Row],[Order Date]])</f>
        <v>2021</v>
      </c>
    </row>
    <row r="214" spans="1:10" ht="14.25" customHeight="1" x14ac:dyDescent="0.3">
      <c r="A214" s="1">
        <v>44273</v>
      </c>
      <c r="B214" s="2" t="s">
        <v>145</v>
      </c>
      <c r="C214" s="2" t="s">
        <v>64</v>
      </c>
      <c r="D214" s="2" t="s">
        <v>10</v>
      </c>
      <c r="E214" s="2" t="s">
        <v>11</v>
      </c>
      <c r="F214" s="2">
        <v>21.38</v>
      </c>
      <c r="G214" s="2">
        <v>4</v>
      </c>
      <c r="H214" s="2">
        <v>7.48</v>
      </c>
      <c r="I214" t="str">
        <f t="shared" si="3"/>
        <v>Mar</v>
      </c>
      <c r="J214">
        <f>YEAR(datas[[#This Row],[Order Date]])</f>
        <v>2021</v>
      </c>
    </row>
    <row r="215" spans="1:10" ht="14.25" customHeight="1" x14ac:dyDescent="0.3">
      <c r="A215" s="1">
        <v>44273</v>
      </c>
      <c r="B215" s="2" t="s">
        <v>145</v>
      </c>
      <c r="C215" s="2" t="s">
        <v>64</v>
      </c>
      <c r="D215" s="2" t="s">
        <v>10</v>
      </c>
      <c r="E215" s="2" t="s">
        <v>19</v>
      </c>
      <c r="F215" s="2">
        <v>8.02</v>
      </c>
      <c r="G215" s="2">
        <v>3</v>
      </c>
      <c r="H215" s="2">
        <v>1</v>
      </c>
      <c r="I215" t="str">
        <f t="shared" si="3"/>
        <v>Mar</v>
      </c>
      <c r="J215">
        <f>YEAR(datas[[#This Row],[Order Date]])</f>
        <v>2021</v>
      </c>
    </row>
    <row r="216" spans="1:10" ht="14.25" customHeight="1" x14ac:dyDescent="0.3">
      <c r="A216" s="1">
        <v>44273</v>
      </c>
      <c r="B216" s="2" t="s">
        <v>145</v>
      </c>
      <c r="C216" s="2" t="s">
        <v>64</v>
      </c>
      <c r="D216" s="2" t="s">
        <v>26</v>
      </c>
      <c r="E216" s="2" t="s">
        <v>32</v>
      </c>
      <c r="F216" s="2">
        <v>30.77</v>
      </c>
      <c r="G216" s="2">
        <v>2</v>
      </c>
      <c r="H216" s="2">
        <v>8.08</v>
      </c>
      <c r="I216" t="str">
        <f t="shared" si="3"/>
        <v>Mar</v>
      </c>
      <c r="J216">
        <f>YEAR(datas[[#This Row],[Order Date]])</f>
        <v>2021</v>
      </c>
    </row>
    <row r="217" spans="1:10" ht="14.25" customHeight="1" x14ac:dyDescent="0.3">
      <c r="A217" s="1">
        <v>44273</v>
      </c>
      <c r="B217" s="2" t="s">
        <v>145</v>
      </c>
      <c r="C217" s="2" t="s">
        <v>64</v>
      </c>
      <c r="D217" s="2" t="s">
        <v>10</v>
      </c>
      <c r="E217" s="2" t="s">
        <v>30</v>
      </c>
      <c r="F217" s="2">
        <v>18.940000000000001</v>
      </c>
      <c r="G217" s="2">
        <v>3</v>
      </c>
      <c r="H217" s="2">
        <v>5.92</v>
      </c>
      <c r="I217" t="str">
        <f t="shared" si="3"/>
        <v>Mar</v>
      </c>
      <c r="J217">
        <f>YEAR(datas[[#This Row],[Order Date]])</f>
        <v>2021</v>
      </c>
    </row>
    <row r="218" spans="1:10" ht="14.25" customHeight="1" x14ac:dyDescent="0.3">
      <c r="A218" s="1">
        <v>44273</v>
      </c>
      <c r="B218" s="2" t="s">
        <v>145</v>
      </c>
      <c r="C218" s="2" t="s">
        <v>64</v>
      </c>
      <c r="D218" s="2" t="s">
        <v>26</v>
      </c>
      <c r="E218" s="2" t="s">
        <v>32</v>
      </c>
      <c r="F218" s="2">
        <v>122.35</v>
      </c>
      <c r="G218" s="2">
        <v>3</v>
      </c>
      <c r="H218" s="2">
        <v>15.29</v>
      </c>
      <c r="I218" t="str">
        <f t="shared" si="3"/>
        <v>Mar</v>
      </c>
      <c r="J218">
        <f>YEAR(datas[[#This Row],[Order Date]])</f>
        <v>2021</v>
      </c>
    </row>
    <row r="219" spans="1:10" ht="14.25" customHeight="1" x14ac:dyDescent="0.3">
      <c r="A219" s="1">
        <v>44273</v>
      </c>
      <c r="B219" s="2" t="s">
        <v>146</v>
      </c>
      <c r="C219" s="2" t="s">
        <v>21</v>
      </c>
      <c r="D219" s="2" t="s">
        <v>26</v>
      </c>
      <c r="E219" s="2" t="s">
        <v>45</v>
      </c>
      <c r="F219" s="2">
        <v>1198.33</v>
      </c>
      <c r="G219" s="2">
        <v>10</v>
      </c>
      <c r="H219" s="2">
        <v>70.489999999999995</v>
      </c>
      <c r="I219" t="str">
        <f t="shared" si="3"/>
        <v>Mar</v>
      </c>
      <c r="J219">
        <f>YEAR(datas[[#This Row],[Order Date]])</f>
        <v>2021</v>
      </c>
    </row>
    <row r="220" spans="1:10" ht="14.25" customHeight="1" x14ac:dyDescent="0.3">
      <c r="A220" s="1">
        <v>44273</v>
      </c>
      <c r="B220" s="2" t="s">
        <v>147</v>
      </c>
      <c r="C220" s="2" t="s">
        <v>21</v>
      </c>
      <c r="D220" s="2" t="s">
        <v>26</v>
      </c>
      <c r="E220" s="2" t="s">
        <v>32</v>
      </c>
      <c r="F220" s="2">
        <v>111</v>
      </c>
      <c r="G220" s="2">
        <v>2</v>
      </c>
      <c r="H220" s="2">
        <v>14.43</v>
      </c>
      <c r="I220" t="str">
        <f t="shared" si="3"/>
        <v>Mar</v>
      </c>
      <c r="J220">
        <f>YEAR(datas[[#This Row],[Order Date]])</f>
        <v>2021</v>
      </c>
    </row>
    <row r="221" spans="1:10" ht="14.25" customHeight="1" x14ac:dyDescent="0.3">
      <c r="A221" s="1">
        <v>44273</v>
      </c>
      <c r="B221" s="2" t="s">
        <v>147</v>
      </c>
      <c r="C221" s="2" t="s">
        <v>21</v>
      </c>
      <c r="D221" s="2" t="s">
        <v>28</v>
      </c>
      <c r="E221" s="2" t="s">
        <v>136</v>
      </c>
      <c r="F221" s="2">
        <v>1279.97</v>
      </c>
      <c r="G221" s="2">
        <v>4</v>
      </c>
      <c r="H221" s="2">
        <v>415.99</v>
      </c>
      <c r="I221" t="str">
        <f t="shared" si="3"/>
        <v>Mar</v>
      </c>
      <c r="J221">
        <f>YEAR(datas[[#This Row],[Order Date]])</f>
        <v>2021</v>
      </c>
    </row>
    <row r="222" spans="1:10" ht="14.25" customHeight="1" x14ac:dyDescent="0.3">
      <c r="A222" s="1">
        <v>44273</v>
      </c>
      <c r="B222" s="2" t="s">
        <v>147</v>
      </c>
      <c r="C222" s="2" t="s">
        <v>21</v>
      </c>
      <c r="D222" s="2" t="s">
        <v>10</v>
      </c>
      <c r="E222" s="2" t="s">
        <v>15</v>
      </c>
      <c r="F222" s="2">
        <v>1856.19</v>
      </c>
      <c r="G222" s="2">
        <v>7</v>
      </c>
      <c r="H222" s="2">
        <v>334.11</v>
      </c>
      <c r="I222" t="str">
        <f t="shared" si="3"/>
        <v>Mar</v>
      </c>
      <c r="J222">
        <f>YEAR(datas[[#This Row],[Order Date]])</f>
        <v>2021</v>
      </c>
    </row>
    <row r="223" spans="1:10" ht="14.25" customHeight="1" x14ac:dyDescent="0.3">
      <c r="A223" s="1">
        <v>44274</v>
      </c>
      <c r="B223" s="2" t="s">
        <v>148</v>
      </c>
      <c r="C223" s="2" t="s">
        <v>64</v>
      </c>
      <c r="D223" s="2" t="s">
        <v>28</v>
      </c>
      <c r="E223" s="2" t="s">
        <v>29</v>
      </c>
      <c r="F223" s="2">
        <v>323.98</v>
      </c>
      <c r="G223" s="2">
        <v>3</v>
      </c>
      <c r="H223" s="2">
        <v>28.35</v>
      </c>
      <c r="I223" t="str">
        <f t="shared" si="3"/>
        <v>Mar</v>
      </c>
      <c r="J223">
        <f>YEAR(datas[[#This Row],[Order Date]])</f>
        <v>2021</v>
      </c>
    </row>
    <row r="224" spans="1:10" ht="14.25" customHeight="1" x14ac:dyDescent="0.3">
      <c r="A224" s="1">
        <v>44274</v>
      </c>
      <c r="B224" s="2" t="s">
        <v>148</v>
      </c>
      <c r="C224" s="2" t="s">
        <v>64</v>
      </c>
      <c r="D224" s="2" t="s">
        <v>10</v>
      </c>
      <c r="E224" s="2" t="s">
        <v>14</v>
      </c>
      <c r="F224" s="2">
        <v>11.81</v>
      </c>
      <c r="G224" s="2">
        <v>4</v>
      </c>
      <c r="H224" s="2">
        <v>3.99</v>
      </c>
      <c r="I224" t="str">
        <f t="shared" si="3"/>
        <v>Mar</v>
      </c>
      <c r="J224">
        <f>YEAR(datas[[#This Row],[Order Date]])</f>
        <v>2021</v>
      </c>
    </row>
    <row r="225" spans="1:10" ht="14.25" customHeight="1" x14ac:dyDescent="0.3">
      <c r="A225" s="1">
        <v>44274</v>
      </c>
      <c r="B225" s="2" t="s">
        <v>148</v>
      </c>
      <c r="C225" s="2" t="s">
        <v>64</v>
      </c>
      <c r="D225" s="2" t="s">
        <v>10</v>
      </c>
      <c r="E225" s="2" t="s">
        <v>15</v>
      </c>
      <c r="F225" s="2">
        <v>26.16</v>
      </c>
      <c r="G225" s="2">
        <v>3</v>
      </c>
      <c r="H225" s="2">
        <v>1.96</v>
      </c>
      <c r="I225" t="str">
        <f t="shared" si="3"/>
        <v>Mar</v>
      </c>
      <c r="J225">
        <f>YEAR(datas[[#This Row],[Order Date]])</f>
        <v>2021</v>
      </c>
    </row>
    <row r="226" spans="1:10" ht="14.25" customHeight="1" x14ac:dyDescent="0.3">
      <c r="A226" s="1">
        <v>44274</v>
      </c>
      <c r="B226" s="2" t="s">
        <v>148</v>
      </c>
      <c r="C226" s="2" t="s">
        <v>64</v>
      </c>
      <c r="D226" s="2" t="s">
        <v>10</v>
      </c>
      <c r="E226" s="2" t="s">
        <v>16</v>
      </c>
      <c r="F226" s="2">
        <v>33.57</v>
      </c>
      <c r="G226" s="2">
        <v>5</v>
      </c>
      <c r="H226" s="2">
        <v>-25.74</v>
      </c>
      <c r="I226" t="str">
        <f t="shared" si="3"/>
        <v>Mar</v>
      </c>
      <c r="J226">
        <f>YEAR(datas[[#This Row],[Order Date]])</f>
        <v>2021</v>
      </c>
    </row>
    <row r="227" spans="1:10" ht="14.25" customHeight="1" x14ac:dyDescent="0.3">
      <c r="A227" s="1">
        <v>44274</v>
      </c>
      <c r="B227" s="2" t="s">
        <v>148</v>
      </c>
      <c r="C227" s="2" t="s">
        <v>64</v>
      </c>
      <c r="D227" s="2" t="s">
        <v>26</v>
      </c>
      <c r="E227" s="2" t="s">
        <v>32</v>
      </c>
      <c r="F227" s="2">
        <v>4.99</v>
      </c>
      <c r="G227" s="2">
        <v>3</v>
      </c>
      <c r="H227" s="2">
        <v>1.37</v>
      </c>
      <c r="I227" t="str">
        <f t="shared" si="3"/>
        <v>Mar</v>
      </c>
      <c r="J227">
        <f>YEAR(datas[[#This Row],[Order Date]])</f>
        <v>2021</v>
      </c>
    </row>
    <row r="228" spans="1:10" ht="14.25" customHeight="1" x14ac:dyDescent="0.3">
      <c r="A228" s="1">
        <v>44274</v>
      </c>
      <c r="B228" s="2" t="s">
        <v>148</v>
      </c>
      <c r="C228" s="2" t="s">
        <v>64</v>
      </c>
      <c r="D228" s="2" t="s">
        <v>26</v>
      </c>
      <c r="E228" s="2" t="s">
        <v>32</v>
      </c>
      <c r="F228" s="2">
        <v>20.02</v>
      </c>
      <c r="G228" s="2">
        <v>3</v>
      </c>
      <c r="H228" s="2">
        <v>5.5</v>
      </c>
      <c r="I228" t="str">
        <f t="shared" si="3"/>
        <v>Mar</v>
      </c>
      <c r="J228">
        <f>YEAR(datas[[#This Row],[Order Date]])</f>
        <v>2021</v>
      </c>
    </row>
    <row r="229" spans="1:10" ht="14.25" customHeight="1" x14ac:dyDescent="0.3">
      <c r="A229" s="1">
        <v>44274</v>
      </c>
      <c r="B229" s="2" t="s">
        <v>148</v>
      </c>
      <c r="C229" s="2" t="s">
        <v>64</v>
      </c>
      <c r="D229" s="2" t="s">
        <v>28</v>
      </c>
      <c r="E229" s="2" t="s">
        <v>34</v>
      </c>
      <c r="F229" s="2">
        <v>170.24</v>
      </c>
      <c r="G229" s="2">
        <v>2</v>
      </c>
      <c r="H229" s="2">
        <v>53.2</v>
      </c>
      <c r="I229" t="str">
        <f t="shared" si="3"/>
        <v>Mar</v>
      </c>
      <c r="J229">
        <f>YEAR(datas[[#This Row],[Order Date]])</f>
        <v>2021</v>
      </c>
    </row>
    <row r="230" spans="1:10" ht="14.25" customHeight="1" x14ac:dyDescent="0.3">
      <c r="A230" s="1">
        <v>44276</v>
      </c>
      <c r="B230" s="2" t="s">
        <v>149</v>
      </c>
      <c r="C230" s="2" t="s">
        <v>47</v>
      </c>
      <c r="D230" s="2" t="s">
        <v>10</v>
      </c>
      <c r="E230" s="2" t="s">
        <v>19</v>
      </c>
      <c r="F230" s="2">
        <v>7.41</v>
      </c>
      <c r="G230" s="2">
        <v>2</v>
      </c>
      <c r="H230" s="2">
        <v>1.2</v>
      </c>
      <c r="I230" t="str">
        <f t="shared" si="3"/>
        <v>Mar</v>
      </c>
      <c r="J230">
        <f>YEAR(datas[[#This Row],[Order Date]])</f>
        <v>2021</v>
      </c>
    </row>
    <row r="231" spans="1:10" ht="14.25" customHeight="1" x14ac:dyDescent="0.3">
      <c r="A231" s="1">
        <v>44276</v>
      </c>
      <c r="B231" s="2" t="s">
        <v>149</v>
      </c>
      <c r="C231" s="2" t="s">
        <v>47</v>
      </c>
      <c r="D231" s="2" t="s">
        <v>10</v>
      </c>
      <c r="E231" s="2" t="s">
        <v>19</v>
      </c>
      <c r="F231" s="2">
        <v>6.05</v>
      </c>
      <c r="G231" s="2">
        <v>3</v>
      </c>
      <c r="H231" s="2">
        <v>1.59</v>
      </c>
      <c r="I231" t="str">
        <f t="shared" si="3"/>
        <v>Mar</v>
      </c>
      <c r="J231">
        <f>YEAR(datas[[#This Row],[Order Date]])</f>
        <v>2021</v>
      </c>
    </row>
    <row r="232" spans="1:10" ht="14.25" customHeight="1" x14ac:dyDescent="0.3">
      <c r="A232" s="1">
        <v>44276</v>
      </c>
      <c r="B232" s="2" t="s">
        <v>150</v>
      </c>
      <c r="C232" s="2" t="s">
        <v>115</v>
      </c>
      <c r="D232" s="2" t="s">
        <v>10</v>
      </c>
      <c r="E232" s="2" t="s">
        <v>15</v>
      </c>
      <c r="F232" s="2">
        <v>16.27</v>
      </c>
      <c r="G232" s="2">
        <v>1</v>
      </c>
      <c r="H232" s="2">
        <v>-3.86</v>
      </c>
      <c r="I232" t="str">
        <f t="shared" si="3"/>
        <v>Mar</v>
      </c>
      <c r="J232">
        <f>YEAR(datas[[#This Row],[Order Date]])</f>
        <v>2021</v>
      </c>
    </row>
    <row r="233" spans="1:10" ht="14.25" customHeight="1" x14ac:dyDescent="0.3">
      <c r="A233" s="1">
        <v>44276</v>
      </c>
      <c r="B233" s="2" t="s">
        <v>151</v>
      </c>
      <c r="C233" s="2" t="s">
        <v>36</v>
      </c>
      <c r="D233" s="2" t="s">
        <v>28</v>
      </c>
      <c r="E233" s="2" t="s">
        <v>29</v>
      </c>
      <c r="F233" s="2">
        <v>3499.93</v>
      </c>
      <c r="G233" s="2">
        <v>7</v>
      </c>
      <c r="H233" s="2">
        <v>909.98</v>
      </c>
      <c r="I233" t="str">
        <f t="shared" si="3"/>
        <v>Mar</v>
      </c>
      <c r="J233">
        <f>YEAR(datas[[#This Row],[Order Date]])</f>
        <v>2021</v>
      </c>
    </row>
    <row r="234" spans="1:10" ht="14.25" customHeight="1" x14ac:dyDescent="0.3">
      <c r="A234" s="1">
        <v>44276</v>
      </c>
      <c r="B234" s="2" t="s">
        <v>151</v>
      </c>
      <c r="C234" s="2" t="s">
        <v>36</v>
      </c>
      <c r="D234" s="2" t="s">
        <v>10</v>
      </c>
      <c r="E234" s="2" t="s">
        <v>14</v>
      </c>
      <c r="F234" s="2">
        <v>14.4</v>
      </c>
      <c r="G234" s="2">
        <v>5</v>
      </c>
      <c r="H234" s="2">
        <v>6.62</v>
      </c>
      <c r="I234" t="str">
        <f t="shared" si="3"/>
        <v>Mar</v>
      </c>
      <c r="J234">
        <f>YEAR(datas[[#This Row],[Order Date]])</f>
        <v>2021</v>
      </c>
    </row>
    <row r="235" spans="1:10" ht="14.25" customHeight="1" x14ac:dyDescent="0.3">
      <c r="A235" s="1">
        <v>44276</v>
      </c>
      <c r="B235" s="2" t="s">
        <v>151</v>
      </c>
      <c r="C235" s="2" t="s">
        <v>36</v>
      </c>
      <c r="D235" s="2" t="s">
        <v>10</v>
      </c>
      <c r="E235" s="2" t="s">
        <v>11</v>
      </c>
      <c r="F235" s="2">
        <v>122.97</v>
      </c>
      <c r="G235" s="2">
        <v>3</v>
      </c>
      <c r="H235" s="2">
        <v>60.26</v>
      </c>
      <c r="I235" t="str">
        <f t="shared" si="3"/>
        <v>Mar</v>
      </c>
      <c r="J235">
        <f>YEAR(datas[[#This Row],[Order Date]])</f>
        <v>2021</v>
      </c>
    </row>
    <row r="236" spans="1:10" ht="14.25" customHeight="1" x14ac:dyDescent="0.3">
      <c r="A236" s="1">
        <v>44276</v>
      </c>
      <c r="B236" s="2" t="s">
        <v>151</v>
      </c>
      <c r="C236" s="2" t="s">
        <v>36</v>
      </c>
      <c r="D236" s="2" t="s">
        <v>10</v>
      </c>
      <c r="E236" s="2" t="s">
        <v>19</v>
      </c>
      <c r="F236" s="2">
        <v>9.32</v>
      </c>
      <c r="G236" s="2">
        <v>4</v>
      </c>
      <c r="H236" s="2">
        <v>2.7</v>
      </c>
      <c r="I236" t="str">
        <f t="shared" si="3"/>
        <v>Mar</v>
      </c>
      <c r="J236">
        <f>YEAR(datas[[#This Row],[Order Date]])</f>
        <v>2021</v>
      </c>
    </row>
    <row r="237" spans="1:10" ht="14.25" customHeight="1" x14ac:dyDescent="0.3">
      <c r="A237" s="1">
        <v>44276</v>
      </c>
      <c r="B237" s="2" t="s">
        <v>151</v>
      </c>
      <c r="C237" s="2" t="s">
        <v>36</v>
      </c>
      <c r="D237" s="2" t="s">
        <v>10</v>
      </c>
      <c r="E237" s="2" t="s">
        <v>16</v>
      </c>
      <c r="F237" s="2">
        <v>122.94</v>
      </c>
      <c r="G237" s="2">
        <v>3</v>
      </c>
      <c r="H237" s="2">
        <v>59.01</v>
      </c>
      <c r="I237" t="str">
        <f t="shared" si="3"/>
        <v>Mar</v>
      </c>
      <c r="J237">
        <f>YEAR(datas[[#This Row],[Order Date]])</f>
        <v>2021</v>
      </c>
    </row>
    <row r="238" spans="1:10" ht="14.25" customHeight="1" x14ac:dyDescent="0.3">
      <c r="A238" s="1">
        <v>44276</v>
      </c>
      <c r="B238" s="2" t="s">
        <v>152</v>
      </c>
      <c r="C238" s="2" t="s">
        <v>62</v>
      </c>
      <c r="D238" s="2" t="s">
        <v>10</v>
      </c>
      <c r="E238" s="2" t="s">
        <v>14</v>
      </c>
      <c r="F238" s="2">
        <v>59.2</v>
      </c>
      <c r="G238" s="2">
        <v>5</v>
      </c>
      <c r="H238" s="2">
        <v>22.2</v>
      </c>
      <c r="I238" t="str">
        <f t="shared" si="3"/>
        <v>Mar</v>
      </c>
      <c r="J238">
        <f>YEAR(datas[[#This Row],[Order Date]])</f>
        <v>2021</v>
      </c>
    </row>
    <row r="239" spans="1:10" ht="14.25" customHeight="1" x14ac:dyDescent="0.3">
      <c r="A239" s="1">
        <v>44276</v>
      </c>
      <c r="B239" s="2" t="s">
        <v>152</v>
      </c>
      <c r="C239" s="2" t="s">
        <v>62</v>
      </c>
      <c r="D239" s="2" t="s">
        <v>26</v>
      </c>
      <c r="E239" s="2" t="s">
        <v>32</v>
      </c>
      <c r="F239" s="2">
        <v>32.950000000000003</v>
      </c>
      <c r="G239" s="2">
        <v>3</v>
      </c>
      <c r="H239" s="2">
        <v>6.59</v>
      </c>
      <c r="I239" t="str">
        <f t="shared" si="3"/>
        <v>Mar</v>
      </c>
      <c r="J239">
        <f>YEAR(datas[[#This Row],[Order Date]])</f>
        <v>2021</v>
      </c>
    </row>
    <row r="240" spans="1:10" ht="14.25" customHeight="1" x14ac:dyDescent="0.3">
      <c r="A240" s="1">
        <v>44276</v>
      </c>
      <c r="B240" s="2" t="s">
        <v>152</v>
      </c>
      <c r="C240" s="2" t="s">
        <v>62</v>
      </c>
      <c r="D240" s="2" t="s">
        <v>26</v>
      </c>
      <c r="E240" s="2" t="s">
        <v>27</v>
      </c>
      <c r="F240" s="2">
        <v>218.38</v>
      </c>
      <c r="G240" s="2">
        <v>3</v>
      </c>
      <c r="H240" s="2">
        <v>-10.92</v>
      </c>
      <c r="I240" t="str">
        <f t="shared" si="3"/>
        <v>Mar</v>
      </c>
      <c r="J240">
        <f>YEAR(datas[[#This Row],[Order Date]])</f>
        <v>2021</v>
      </c>
    </row>
    <row r="241" spans="1:10" ht="14.25" customHeight="1" x14ac:dyDescent="0.3">
      <c r="A241" s="1">
        <v>44277</v>
      </c>
      <c r="B241" s="2" t="s">
        <v>153</v>
      </c>
      <c r="C241" s="2" t="s">
        <v>115</v>
      </c>
      <c r="D241" s="2" t="s">
        <v>10</v>
      </c>
      <c r="E241" s="2" t="s">
        <v>16</v>
      </c>
      <c r="F241" s="2">
        <v>7.64</v>
      </c>
      <c r="G241" s="2">
        <v>4</v>
      </c>
      <c r="H241" s="2">
        <v>-5.86</v>
      </c>
      <c r="I241" t="str">
        <f t="shared" si="3"/>
        <v>Mar</v>
      </c>
      <c r="J241">
        <f>YEAR(datas[[#This Row],[Order Date]])</f>
        <v>2021</v>
      </c>
    </row>
    <row r="242" spans="1:10" ht="14.25" customHeight="1" x14ac:dyDescent="0.3">
      <c r="A242" s="1">
        <v>44277</v>
      </c>
      <c r="B242" s="2" t="s">
        <v>153</v>
      </c>
      <c r="C242" s="2" t="s">
        <v>115</v>
      </c>
      <c r="D242" s="2" t="s">
        <v>10</v>
      </c>
      <c r="E242" s="2" t="s">
        <v>16</v>
      </c>
      <c r="F242" s="2">
        <v>51.47</v>
      </c>
      <c r="G242" s="2">
        <v>5</v>
      </c>
      <c r="H242" s="2">
        <v>-39.46</v>
      </c>
      <c r="I242" t="str">
        <f t="shared" si="3"/>
        <v>Mar</v>
      </c>
      <c r="J242">
        <f>YEAR(datas[[#This Row],[Order Date]])</f>
        <v>2021</v>
      </c>
    </row>
    <row r="243" spans="1:10" ht="14.25" customHeight="1" x14ac:dyDescent="0.3">
      <c r="A243" s="1">
        <v>44277</v>
      </c>
      <c r="B243" s="2" t="s">
        <v>154</v>
      </c>
      <c r="C243" s="2" t="s">
        <v>55</v>
      </c>
      <c r="D243" s="2" t="s">
        <v>10</v>
      </c>
      <c r="E243" s="2" t="s">
        <v>11</v>
      </c>
      <c r="F243" s="2">
        <v>74.349999999999994</v>
      </c>
      <c r="G243" s="2">
        <v>3</v>
      </c>
      <c r="H243" s="2">
        <v>23.24</v>
      </c>
      <c r="I243" t="str">
        <f t="shared" si="3"/>
        <v>Mar</v>
      </c>
      <c r="J243">
        <f>YEAR(datas[[#This Row],[Order Date]])</f>
        <v>2021</v>
      </c>
    </row>
    <row r="244" spans="1:10" ht="14.25" customHeight="1" x14ac:dyDescent="0.3">
      <c r="A244" s="1">
        <v>44277</v>
      </c>
      <c r="B244" s="2" t="s">
        <v>154</v>
      </c>
      <c r="C244" s="2" t="s">
        <v>55</v>
      </c>
      <c r="D244" s="2" t="s">
        <v>26</v>
      </c>
      <c r="E244" s="2" t="s">
        <v>27</v>
      </c>
      <c r="F244" s="2">
        <v>314.35000000000002</v>
      </c>
      <c r="G244" s="2">
        <v>3</v>
      </c>
      <c r="H244" s="2">
        <v>-35.36</v>
      </c>
      <c r="I244" t="str">
        <f t="shared" si="3"/>
        <v>Mar</v>
      </c>
      <c r="J244">
        <f>YEAR(datas[[#This Row],[Order Date]])</f>
        <v>2021</v>
      </c>
    </row>
    <row r="245" spans="1:10" ht="14.25" customHeight="1" x14ac:dyDescent="0.3">
      <c r="A245" s="1">
        <v>44277</v>
      </c>
      <c r="B245" s="2" t="s">
        <v>155</v>
      </c>
      <c r="C245" s="2" t="s">
        <v>68</v>
      </c>
      <c r="D245" s="2" t="s">
        <v>10</v>
      </c>
      <c r="E245" s="2" t="s">
        <v>19</v>
      </c>
      <c r="F245" s="2">
        <v>16.28</v>
      </c>
      <c r="G245" s="2">
        <v>2</v>
      </c>
      <c r="H245" s="2">
        <v>6.51</v>
      </c>
      <c r="I245" t="str">
        <f t="shared" si="3"/>
        <v>Mar</v>
      </c>
      <c r="J245">
        <f>YEAR(datas[[#This Row],[Order Date]])</f>
        <v>2021</v>
      </c>
    </row>
    <row r="246" spans="1:10" ht="14.25" customHeight="1" x14ac:dyDescent="0.3">
      <c r="A246" s="1">
        <v>44278</v>
      </c>
      <c r="B246" s="2" t="s">
        <v>156</v>
      </c>
      <c r="C246" s="2" t="s">
        <v>21</v>
      </c>
      <c r="D246" s="2" t="s">
        <v>10</v>
      </c>
      <c r="E246" s="2" t="s">
        <v>15</v>
      </c>
      <c r="F246" s="2">
        <v>330.4</v>
      </c>
      <c r="G246" s="2">
        <v>2</v>
      </c>
      <c r="H246" s="2">
        <v>85.9</v>
      </c>
      <c r="I246" t="str">
        <f t="shared" si="3"/>
        <v>Mar</v>
      </c>
      <c r="J246">
        <f>YEAR(datas[[#This Row],[Order Date]])</f>
        <v>2021</v>
      </c>
    </row>
    <row r="247" spans="1:10" ht="14.25" customHeight="1" x14ac:dyDescent="0.3">
      <c r="A247" s="1">
        <v>44278</v>
      </c>
      <c r="B247" s="2" t="s">
        <v>156</v>
      </c>
      <c r="C247" s="2" t="s">
        <v>21</v>
      </c>
      <c r="D247" s="2" t="s">
        <v>28</v>
      </c>
      <c r="E247" s="2" t="s">
        <v>29</v>
      </c>
      <c r="F247" s="2">
        <v>604.75</v>
      </c>
      <c r="G247" s="2">
        <v>6</v>
      </c>
      <c r="H247" s="2">
        <v>37.799999999999997</v>
      </c>
      <c r="I247" t="str">
        <f t="shared" si="3"/>
        <v>Mar</v>
      </c>
      <c r="J247">
        <f>YEAR(datas[[#This Row],[Order Date]])</f>
        <v>2021</v>
      </c>
    </row>
    <row r="248" spans="1:10" ht="14.25" customHeight="1" x14ac:dyDescent="0.3">
      <c r="A248" s="1">
        <v>44278</v>
      </c>
      <c r="B248" s="2" t="s">
        <v>157</v>
      </c>
      <c r="C248" s="2" t="s">
        <v>64</v>
      </c>
      <c r="D248" s="2" t="s">
        <v>10</v>
      </c>
      <c r="E248" s="2" t="s">
        <v>14</v>
      </c>
      <c r="F248" s="2">
        <v>9.91</v>
      </c>
      <c r="G248" s="2">
        <v>3</v>
      </c>
      <c r="H248" s="2">
        <v>3.22</v>
      </c>
      <c r="I248" t="str">
        <f t="shared" si="3"/>
        <v>Mar</v>
      </c>
      <c r="J248">
        <f>YEAR(datas[[#This Row],[Order Date]])</f>
        <v>2021</v>
      </c>
    </row>
    <row r="249" spans="1:10" ht="14.25" customHeight="1" x14ac:dyDescent="0.3">
      <c r="A249" s="1">
        <v>44279</v>
      </c>
      <c r="B249" s="2" t="s">
        <v>158</v>
      </c>
      <c r="C249" s="2" t="s">
        <v>75</v>
      </c>
      <c r="D249" s="2" t="s">
        <v>10</v>
      </c>
      <c r="E249" s="2" t="s">
        <v>11</v>
      </c>
      <c r="F249" s="2">
        <v>24.9</v>
      </c>
      <c r="G249" s="2">
        <v>5</v>
      </c>
      <c r="H249" s="2">
        <v>11.7</v>
      </c>
      <c r="I249" t="str">
        <f t="shared" si="3"/>
        <v>Mar</v>
      </c>
      <c r="J249">
        <f>YEAR(datas[[#This Row],[Order Date]])</f>
        <v>2021</v>
      </c>
    </row>
    <row r="250" spans="1:10" ht="14.25" customHeight="1" x14ac:dyDescent="0.3">
      <c r="A250" s="1">
        <v>44279</v>
      </c>
      <c r="B250" s="2" t="s">
        <v>159</v>
      </c>
      <c r="C250" s="2" t="s">
        <v>21</v>
      </c>
      <c r="D250" s="2" t="s">
        <v>26</v>
      </c>
      <c r="E250" s="2" t="s">
        <v>32</v>
      </c>
      <c r="F250" s="2">
        <v>40.479999999999997</v>
      </c>
      <c r="G250" s="2">
        <v>2</v>
      </c>
      <c r="H250" s="2">
        <v>14.57</v>
      </c>
      <c r="I250" t="str">
        <f t="shared" si="3"/>
        <v>Mar</v>
      </c>
      <c r="J250">
        <f>YEAR(datas[[#This Row],[Order Date]])</f>
        <v>2021</v>
      </c>
    </row>
    <row r="251" spans="1:10" ht="14.25" customHeight="1" x14ac:dyDescent="0.3">
      <c r="A251" s="1">
        <v>44280</v>
      </c>
      <c r="B251" s="2" t="s">
        <v>142</v>
      </c>
      <c r="C251" s="2" t="s">
        <v>75</v>
      </c>
      <c r="D251" s="2" t="s">
        <v>26</v>
      </c>
      <c r="E251" s="2" t="s">
        <v>27</v>
      </c>
      <c r="F251" s="2">
        <v>366.79</v>
      </c>
      <c r="G251" s="2">
        <v>7</v>
      </c>
      <c r="H251" s="2">
        <v>65.209999999999994</v>
      </c>
      <c r="I251" t="str">
        <f t="shared" si="3"/>
        <v>Mar</v>
      </c>
      <c r="J251">
        <f>YEAR(datas[[#This Row],[Order Date]])</f>
        <v>2021</v>
      </c>
    </row>
    <row r="252" spans="1:10" ht="14.25" customHeight="1" x14ac:dyDescent="0.3">
      <c r="A252" s="1">
        <v>44280</v>
      </c>
      <c r="B252" s="2" t="s">
        <v>160</v>
      </c>
      <c r="C252" s="2" t="s">
        <v>21</v>
      </c>
      <c r="D252" s="2" t="s">
        <v>10</v>
      </c>
      <c r="E252" s="2" t="s">
        <v>19</v>
      </c>
      <c r="F252" s="2">
        <v>6.56</v>
      </c>
      <c r="G252" s="2">
        <v>2</v>
      </c>
      <c r="H252" s="2">
        <v>1.9</v>
      </c>
      <c r="I252" t="str">
        <f t="shared" si="3"/>
        <v>Mar</v>
      </c>
      <c r="J252">
        <f>YEAR(datas[[#This Row],[Order Date]])</f>
        <v>2021</v>
      </c>
    </row>
    <row r="253" spans="1:10" ht="14.25" customHeight="1" x14ac:dyDescent="0.3">
      <c r="A253" s="1">
        <v>44280</v>
      </c>
      <c r="B253" s="2" t="s">
        <v>160</v>
      </c>
      <c r="C253" s="2" t="s">
        <v>21</v>
      </c>
      <c r="D253" s="2" t="s">
        <v>10</v>
      </c>
      <c r="E253" s="2" t="s">
        <v>19</v>
      </c>
      <c r="F253" s="2">
        <v>14.88</v>
      </c>
      <c r="G253" s="2">
        <v>2</v>
      </c>
      <c r="H253" s="2">
        <v>3.72</v>
      </c>
      <c r="I253" t="str">
        <f t="shared" si="3"/>
        <v>Mar</v>
      </c>
      <c r="J253">
        <f>YEAR(datas[[#This Row],[Order Date]])</f>
        <v>2021</v>
      </c>
    </row>
    <row r="254" spans="1:10" ht="14.25" customHeight="1" x14ac:dyDescent="0.3">
      <c r="A254" s="1">
        <v>44280</v>
      </c>
      <c r="B254" s="2" t="s">
        <v>160</v>
      </c>
      <c r="C254" s="2" t="s">
        <v>21</v>
      </c>
      <c r="D254" s="2" t="s">
        <v>28</v>
      </c>
      <c r="E254" s="2" t="s">
        <v>34</v>
      </c>
      <c r="F254" s="2">
        <v>45.48</v>
      </c>
      <c r="G254" s="2">
        <v>4</v>
      </c>
      <c r="H254" s="2">
        <v>15.92</v>
      </c>
      <c r="I254" t="str">
        <f t="shared" si="3"/>
        <v>Mar</v>
      </c>
      <c r="J254">
        <f>YEAR(datas[[#This Row],[Order Date]])</f>
        <v>2021</v>
      </c>
    </row>
    <row r="255" spans="1:10" ht="14.25" customHeight="1" x14ac:dyDescent="0.3">
      <c r="A255" s="1">
        <v>44280</v>
      </c>
      <c r="B255" s="2" t="s">
        <v>160</v>
      </c>
      <c r="C255" s="2" t="s">
        <v>21</v>
      </c>
      <c r="D255" s="2" t="s">
        <v>10</v>
      </c>
      <c r="E255" s="2" t="s">
        <v>19</v>
      </c>
      <c r="F255" s="2">
        <v>25.44</v>
      </c>
      <c r="G255" s="2">
        <v>6</v>
      </c>
      <c r="H255" s="2">
        <v>9.92</v>
      </c>
      <c r="I255" t="str">
        <f t="shared" si="3"/>
        <v>Mar</v>
      </c>
      <c r="J255">
        <f>YEAR(datas[[#This Row],[Order Date]])</f>
        <v>2021</v>
      </c>
    </row>
    <row r="256" spans="1:10" ht="14.25" customHeight="1" x14ac:dyDescent="0.3">
      <c r="A256" s="1">
        <v>44281</v>
      </c>
      <c r="B256" s="2" t="s">
        <v>161</v>
      </c>
      <c r="C256" s="2" t="s">
        <v>21</v>
      </c>
      <c r="D256" s="2" t="s">
        <v>28</v>
      </c>
      <c r="E256" s="2" t="s">
        <v>34</v>
      </c>
      <c r="F256" s="2">
        <v>66.3</v>
      </c>
      <c r="G256" s="2">
        <v>3</v>
      </c>
      <c r="H256" s="2">
        <v>8.6199999999999992</v>
      </c>
      <c r="I256" t="str">
        <f t="shared" si="3"/>
        <v>Mar</v>
      </c>
      <c r="J256">
        <f>YEAR(datas[[#This Row],[Order Date]])</f>
        <v>2021</v>
      </c>
    </row>
    <row r="257" spans="1:10" ht="14.25" customHeight="1" x14ac:dyDescent="0.3">
      <c r="A257" s="1">
        <v>44281</v>
      </c>
      <c r="B257" s="2" t="s">
        <v>162</v>
      </c>
      <c r="C257" s="2" t="s">
        <v>21</v>
      </c>
      <c r="D257" s="2" t="s">
        <v>10</v>
      </c>
      <c r="E257" s="2" t="s">
        <v>19</v>
      </c>
      <c r="F257" s="2">
        <v>3.36</v>
      </c>
      <c r="G257" s="2">
        <v>2</v>
      </c>
      <c r="H257" s="2">
        <v>0.84</v>
      </c>
      <c r="I257" t="str">
        <f t="shared" si="3"/>
        <v>Mar</v>
      </c>
      <c r="J257">
        <f>YEAR(datas[[#This Row],[Order Date]])</f>
        <v>2021</v>
      </c>
    </row>
    <row r="258" spans="1:10" ht="14.25" customHeight="1" x14ac:dyDescent="0.3">
      <c r="A258" s="1">
        <v>44281</v>
      </c>
      <c r="B258" s="2" t="s">
        <v>162</v>
      </c>
      <c r="C258" s="2" t="s">
        <v>21</v>
      </c>
      <c r="D258" s="2" t="s">
        <v>10</v>
      </c>
      <c r="E258" s="2" t="s">
        <v>16</v>
      </c>
      <c r="F258" s="2">
        <v>27.94</v>
      </c>
      <c r="G258" s="2">
        <v>4</v>
      </c>
      <c r="H258" s="2">
        <v>9.43</v>
      </c>
      <c r="I258" t="str">
        <f t="shared" si="3"/>
        <v>Mar</v>
      </c>
      <c r="J258">
        <f>YEAR(datas[[#This Row],[Order Date]])</f>
        <v>2021</v>
      </c>
    </row>
    <row r="259" spans="1:10" ht="14.25" customHeight="1" x14ac:dyDescent="0.3">
      <c r="A259" s="1">
        <v>44281</v>
      </c>
      <c r="B259" s="2" t="s">
        <v>162</v>
      </c>
      <c r="C259" s="2" t="s">
        <v>21</v>
      </c>
      <c r="D259" s="2" t="s">
        <v>28</v>
      </c>
      <c r="E259" s="2" t="s">
        <v>29</v>
      </c>
      <c r="F259" s="2">
        <v>28.78</v>
      </c>
      <c r="G259" s="2">
        <v>2</v>
      </c>
      <c r="H259" s="2">
        <v>2.88</v>
      </c>
      <c r="I259" t="str">
        <f t="shared" ref="I259:I322" si="4">TEXT(A259,"mmm")</f>
        <v>Mar</v>
      </c>
      <c r="J259">
        <f>YEAR(datas[[#This Row],[Order Date]])</f>
        <v>2021</v>
      </c>
    </row>
    <row r="260" spans="1:10" ht="14.25" customHeight="1" x14ac:dyDescent="0.3">
      <c r="A260" s="1">
        <v>44281</v>
      </c>
      <c r="B260" s="2" t="s">
        <v>163</v>
      </c>
      <c r="C260" s="2" t="s">
        <v>21</v>
      </c>
      <c r="D260" s="2" t="s">
        <v>10</v>
      </c>
      <c r="E260" s="2" t="s">
        <v>14</v>
      </c>
      <c r="F260" s="2">
        <v>18.75</v>
      </c>
      <c r="G260" s="2">
        <v>5</v>
      </c>
      <c r="H260" s="2">
        <v>9</v>
      </c>
      <c r="I260" t="str">
        <f t="shared" si="4"/>
        <v>Mar</v>
      </c>
      <c r="J260">
        <f>YEAR(datas[[#This Row],[Order Date]])</f>
        <v>2021</v>
      </c>
    </row>
    <row r="261" spans="1:10" ht="14.25" customHeight="1" x14ac:dyDescent="0.3">
      <c r="A261" s="1">
        <v>44283</v>
      </c>
      <c r="B261" s="2" t="s">
        <v>164</v>
      </c>
      <c r="C261" s="2" t="s">
        <v>165</v>
      </c>
      <c r="D261" s="2" t="s">
        <v>10</v>
      </c>
      <c r="E261" s="2" t="s">
        <v>41</v>
      </c>
      <c r="F261" s="2">
        <v>6.12</v>
      </c>
      <c r="G261" s="2">
        <v>3</v>
      </c>
      <c r="H261" s="2">
        <v>2.88</v>
      </c>
      <c r="I261" t="str">
        <f t="shared" si="4"/>
        <v>Mar</v>
      </c>
      <c r="J261">
        <f>YEAR(datas[[#This Row],[Order Date]])</f>
        <v>2021</v>
      </c>
    </row>
    <row r="262" spans="1:10" ht="14.25" customHeight="1" x14ac:dyDescent="0.3">
      <c r="A262" s="1">
        <v>44283</v>
      </c>
      <c r="B262" s="2" t="s">
        <v>164</v>
      </c>
      <c r="C262" s="2" t="s">
        <v>165</v>
      </c>
      <c r="D262" s="2" t="s">
        <v>26</v>
      </c>
      <c r="E262" s="2" t="s">
        <v>73</v>
      </c>
      <c r="F262" s="2">
        <v>1184.72</v>
      </c>
      <c r="G262" s="2">
        <v>4</v>
      </c>
      <c r="H262" s="2">
        <v>106.62</v>
      </c>
      <c r="I262" t="str">
        <f t="shared" si="4"/>
        <v>Mar</v>
      </c>
      <c r="J262">
        <f>YEAR(datas[[#This Row],[Order Date]])</f>
        <v>2021</v>
      </c>
    </row>
    <row r="263" spans="1:10" ht="14.25" customHeight="1" x14ac:dyDescent="0.3">
      <c r="A263" s="1">
        <v>44283</v>
      </c>
      <c r="B263" s="2" t="s">
        <v>166</v>
      </c>
      <c r="C263" s="2" t="s">
        <v>167</v>
      </c>
      <c r="D263" s="2" t="s">
        <v>28</v>
      </c>
      <c r="E263" s="2" t="s">
        <v>29</v>
      </c>
      <c r="F263" s="2">
        <v>302.38</v>
      </c>
      <c r="G263" s="2">
        <v>3</v>
      </c>
      <c r="H263" s="2">
        <v>22.68</v>
      </c>
      <c r="I263" t="str">
        <f t="shared" si="4"/>
        <v>Mar</v>
      </c>
      <c r="J263">
        <f>YEAR(datas[[#This Row],[Order Date]])</f>
        <v>2021</v>
      </c>
    </row>
    <row r="264" spans="1:10" ht="14.25" customHeight="1" x14ac:dyDescent="0.3">
      <c r="A264" s="1">
        <v>44283</v>
      </c>
      <c r="B264" s="2" t="s">
        <v>168</v>
      </c>
      <c r="C264" s="2" t="s">
        <v>47</v>
      </c>
      <c r="D264" s="2" t="s">
        <v>26</v>
      </c>
      <c r="E264" s="2" t="s">
        <v>73</v>
      </c>
      <c r="F264" s="2">
        <v>330.59</v>
      </c>
      <c r="G264" s="2">
        <v>1</v>
      </c>
      <c r="H264" s="2">
        <v>-143.25</v>
      </c>
      <c r="I264" t="str">
        <f t="shared" si="4"/>
        <v>Mar</v>
      </c>
      <c r="J264">
        <f>YEAR(datas[[#This Row],[Order Date]])</f>
        <v>2021</v>
      </c>
    </row>
    <row r="265" spans="1:10" ht="14.25" customHeight="1" x14ac:dyDescent="0.3">
      <c r="A265" s="1">
        <v>44284</v>
      </c>
      <c r="B265" s="2" t="s">
        <v>169</v>
      </c>
      <c r="C265" s="2" t="s">
        <v>9</v>
      </c>
      <c r="D265" s="2" t="s">
        <v>26</v>
      </c>
      <c r="E265" s="2" t="s">
        <v>73</v>
      </c>
      <c r="F265" s="2">
        <v>890.84</v>
      </c>
      <c r="G265" s="2">
        <v>3</v>
      </c>
      <c r="H265" s="2">
        <v>-152.72</v>
      </c>
      <c r="I265" t="str">
        <f t="shared" si="4"/>
        <v>Mar</v>
      </c>
      <c r="J265">
        <f>YEAR(datas[[#This Row],[Order Date]])</f>
        <v>2021</v>
      </c>
    </row>
    <row r="266" spans="1:10" ht="14.25" customHeight="1" x14ac:dyDescent="0.3">
      <c r="A266" s="1">
        <v>44285</v>
      </c>
      <c r="B266" s="2" t="s">
        <v>170</v>
      </c>
      <c r="C266" s="2" t="s">
        <v>75</v>
      </c>
      <c r="D266" s="2" t="s">
        <v>10</v>
      </c>
      <c r="E266" s="2" t="s">
        <v>19</v>
      </c>
      <c r="F266" s="2">
        <v>49.65</v>
      </c>
      <c r="G266" s="2">
        <v>5</v>
      </c>
      <c r="H266" s="2">
        <v>20.85</v>
      </c>
      <c r="I266" t="str">
        <f t="shared" si="4"/>
        <v>Mar</v>
      </c>
      <c r="J266">
        <f>YEAR(datas[[#This Row],[Order Date]])</f>
        <v>2021</v>
      </c>
    </row>
    <row r="267" spans="1:10" ht="14.25" customHeight="1" x14ac:dyDescent="0.3">
      <c r="A267" s="1">
        <v>44285</v>
      </c>
      <c r="B267" s="2" t="s">
        <v>171</v>
      </c>
      <c r="C267" s="2" t="s">
        <v>82</v>
      </c>
      <c r="D267" s="2" t="s">
        <v>10</v>
      </c>
      <c r="E267" s="2" t="s">
        <v>15</v>
      </c>
      <c r="F267" s="2">
        <v>15.84</v>
      </c>
      <c r="G267" s="2">
        <v>3</v>
      </c>
      <c r="H267" s="2">
        <v>0</v>
      </c>
      <c r="I267" t="str">
        <f t="shared" si="4"/>
        <v>Mar</v>
      </c>
      <c r="J267">
        <f>YEAR(datas[[#This Row],[Order Date]])</f>
        <v>2021</v>
      </c>
    </row>
    <row r="268" spans="1:10" ht="14.25" customHeight="1" x14ac:dyDescent="0.3">
      <c r="A268" s="1">
        <v>44285</v>
      </c>
      <c r="B268" s="2" t="s">
        <v>171</v>
      </c>
      <c r="C268" s="2" t="s">
        <v>82</v>
      </c>
      <c r="D268" s="2" t="s">
        <v>10</v>
      </c>
      <c r="E268" s="2" t="s">
        <v>14</v>
      </c>
      <c r="F268" s="2">
        <v>44.4</v>
      </c>
      <c r="G268" s="2">
        <v>3</v>
      </c>
      <c r="H268" s="2">
        <v>22.2</v>
      </c>
      <c r="I268" t="str">
        <f t="shared" si="4"/>
        <v>Mar</v>
      </c>
      <c r="J268">
        <f>YEAR(datas[[#This Row],[Order Date]])</f>
        <v>2021</v>
      </c>
    </row>
    <row r="269" spans="1:10" ht="14.25" customHeight="1" x14ac:dyDescent="0.3">
      <c r="A269" s="1">
        <v>44285</v>
      </c>
      <c r="B269" s="2" t="s">
        <v>172</v>
      </c>
      <c r="C269" s="2" t="s">
        <v>75</v>
      </c>
      <c r="D269" s="2" t="s">
        <v>10</v>
      </c>
      <c r="E269" s="2" t="s">
        <v>19</v>
      </c>
      <c r="F269" s="2">
        <v>10.5</v>
      </c>
      <c r="G269" s="2">
        <v>5</v>
      </c>
      <c r="H269" s="2">
        <v>2.94</v>
      </c>
      <c r="I269" t="str">
        <f t="shared" si="4"/>
        <v>Mar</v>
      </c>
      <c r="J269">
        <f>YEAR(datas[[#This Row],[Order Date]])</f>
        <v>2021</v>
      </c>
    </row>
    <row r="270" spans="1:10" ht="14.25" customHeight="1" x14ac:dyDescent="0.3">
      <c r="A270" s="1">
        <v>44285</v>
      </c>
      <c r="B270" s="2" t="s">
        <v>90</v>
      </c>
      <c r="C270" s="2" t="s">
        <v>21</v>
      </c>
      <c r="D270" s="2" t="s">
        <v>26</v>
      </c>
      <c r="E270" s="2" t="s">
        <v>45</v>
      </c>
      <c r="F270" s="2">
        <v>205.67</v>
      </c>
      <c r="G270" s="2">
        <v>2</v>
      </c>
      <c r="H270" s="2">
        <v>-12.1</v>
      </c>
      <c r="I270" t="str">
        <f t="shared" si="4"/>
        <v>Mar</v>
      </c>
      <c r="J270">
        <f>YEAR(datas[[#This Row],[Order Date]])</f>
        <v>2021</v>
      </c>
    </row>
    <row r="271" spans="1:10" ht="14.25" customHeight="1" x14ac:dyDescent="0.3">
      <c r="A271" s="1">
        <v>44285</v>
      </c>
      <c r="B271" s="2" t="s">
        <v>173</v>
      </c>
      <c r="C271" s="2" t="s">
        <v>9</v>
      </c>
      <c r="D271" s="2" t="s">
        <v>10</v>
      </c>
      <c r="E271" s="2" t="s">
        <v>41</v>
      </c>
      <c r="F271" s="2">
        <v>335.72</v>
      </c>
      <c r="G271" s="2">
        <v>5</v>
      </c>
      <c r="H271" s="2">
        <v>113.31</v>
      </c>
      <c r="I271" t="str">
        <f t="shared" si="4"/>
        <v>Mar</v>
      </c>
      <c r="J271">
        <f>YEAR(datas[[#This Row],[Order Date]])</f>
        <v>2021</v>
      </c>
    </row>
    <row r="272" spans="1:10" ht="14.25" customHeight="1" x14ac:dyDescent="0.3">
      <c r="A272" s="1">
        <v>44285</v>
      </c>
      <c r="B272" s="2" t="s">
        <v>173</v>
      </c>
      <c r="C272" s="2" t="s">
        <v>9</v>
      </c>
      <c r="D272" s="2" t="s">
        <v>28</v>
      </c>
      <c r="E272" s="2" t="s">
        <v>29</v>
      </c>
      <c r="F272" s="2">
        <v>251.94</v>
      </c>
      <c r="G272" s="2">
        <v>7</v>
      </c>
      <c r="H272" s="2">
        <v>88.18</v>
      </c>
      <c r="I272" t="str">
        <f t="shared" si="4"/>
        <v>Mar</v>
      </c>
      <c r="J272">
        <f>YEAR(datas[[#This Row],[Order Date]])</f>
        <v>2021</v>
      </c>
    </row>
    <row r="273" spans="1:10" ht="14.25" customHeight="1" x14ac:dyDescent="0.3">
      <c r="A273" s="1">
        <v>44285</v>
      </c>
      <c r="B273" s="2" t="s">
        <v>173</v>
      </c>
      <c r="C273" s="2" t="s">
        <v>9</v>
      </c>
      <c r="D273" s="2" t="s">
        <v>26</v>
      </c>
      <c r="E273" s="2" t="s">
        <v>27</v>
      </c>
      <c r="F273" s="2">
        <v>127.3</v>
      </c>
      <c r="G273" s="2">
        <v>7</v>
      </c>
      <c r="H273" s="2">
        <v>-9.09</v>
      </c>
      <c r="I273" t="str">
        <f t="shared" si="4"/>
        <v>Mar</v>
      </c>
      <c r="J273">
        <f>YEAR(datas[[#This Row],[Order Date]])</f>
        <v>2021</v>
      </c>
    </row>
    <row r="274" spans="1:10" ht="14.25" customHeight="1" x14ac:dyDescent="0.3">
      <c r="A274" s="1">
        <v>44285</v>
      </c>
      <c r="B274" s="2" t="s">
        <v>174</v>
      </c>
      <c r="C274" s="2" t="s">
        <v>140</v>
      </c>
      <c r="D274" s="2" t="s">
        <v>10</v>
      </c>
      <c r="E274" s="2" t="s">
        <v>15</v>
      </c>
      <c r="F274" s="2">
        <v>129.30000000000001</v>
      </c>
      <c r="G274" s="2">
        <v>2</v>
      </c>
      <c r="H274" s="2">
        <v>6.47</v>
      </c>
      <c r="I274" t="str">
        <f t="shared" si="4"/>
        <v>Mar</v>
      </c>
      <c r="J274">
        <f>YEAR(datas[[#This Row],[Order Date]])</f>
        <v>2021</v>
      </c>
    </row>
    <row r="275" spans="1:10" ht="14.25" customHeight="1" x14ac:dyDescent="0.3">
      <c r="A275" s="1">
        <v>44286</v>
      </c>
      <c r="B275" s="2" t="s">
        <v>175</v>
      </c>
      <c r="C275" s="2" t="s">
        <v>21</v>
      </c>
      <c r="D275" s="2" t="s">
        <v>10</v>
      </c>
      <c r="E275" s="2" t="s">
        <v>16</v>
      </c>
      <c r="F275" s="2">
        <v>673.57</v>
      </c>
      <c r="G275" s="2">
        <v>2</v>
      </c>
      <c r="H275" s="2">
        <v>252.59</v>
      </c>
      <c r="I275" t="str">
        <f t="shared" si="4"/>
        <v>Mar</v>
      </c>
      <c r="J275">
        <f>YEAR(datas[[#This Row],[Order Date]])</f>
        <v>2021</v>
      </c>
    </row>
    <row r="276" spans="1:10" ht="14.25" customHeight="1" x14ac:dyDescent="0.3">
      <c r="A276" s="1">
        <v>44286</v>
      </c>
      <c r="B276" s="2" t="s">
        <v>175</v>
      </c>
      <c r="C276" s="2" t="s">
        <v>21</v>
      </c>
      <c r="D276" s="2" t="s">
        <v>10</v>
      </c>
      <c r="E276" s="2" t="s">
        <v>53</v>
      </c>
      <c r="F276" s="2">
        <v>52.98</v>
      </c>
      <c r="G276" s="2">
        <v>2</v>
      </c>
      <c r="H276" s="2">
        <v>14.83</v>
      </c>
      <c r="I276" t="str">
        <f t="shared" si="4"/>
        <v>Mar</v>
      </c>
      <c r="J276">
        <f>YEAR(datas[[#This Row],[Order Date]])</f>
        <v>2021</v>
      </c>
    </row>
    <row r="277" spans="1:10" ht="14.25" customHeight="1" x14ac:dyDescent="0.3">
      <c r="A277" s="1">
        <v>44286</v>
      </c>
      <c r="B277" s="2" t="s">
        <v>176</v>
      </c>
      <c r="C277" s="2" t="s">
        <v>18</v>
      </c>
      <c r="D277" s="2" t="s">
        <v>10</v>
      </c>
      <c r="E277" s="2" t="s">
        <v>16</v>
      </c>
      <c r="F277" s="2">
        <v>0.85</v>
      </c>
      <c r="G277" s="2">
        <v>1</v>
      </c>
      <c r="H277" s="2">
        <v>-0.6</v>
      </c>
      <c r="I277" t="str">
        <f t="shared" si="4"/>
        <v>Mar</v>
      </c>
      <c r="J277">
        <f>YEAR(datas[[#This Row],[Order Date]])</f>
        <v>2021</v>
      </c>
    </row>
    <row r="278" spans="1:10" ht="14.25" customHeight="1" x14ac:dyDescent="0.3">
      <c r="A278" s="1">
        <v>44286</v>
      </c>
      <c r="B278" s="2" t="s">
        <v>177</v>
      </c>
      <c r="C278" s="2" t="s">
        <v>13</v>
      </c>
      <c r="D278" s="2" t="s">
        <v>10</v>
      </c>
      <c r="E278" s="2" t="s">
        <v>16</v>
      </c>
      <c r="F278" s="2">
        <v>8.1300000000000008</v>
      </c>
      <c r="G278" s="2">
        <v>7</v>
      </c>
      <c r="H278" s="2">
        <v>-13.83</v>
      </c>
      <c r="I278" t="str">
        <f t="shared" si="4"/>
        <v>Mar</v>
      </c>
      <c r="J278">
        <f>YEAR(datas[[#This Row],[Order Date]])</f>
        <v>2021</v>
      </c>
    </row>
    <row r="279" spans="1:10" ht="14.25" customHeight="1" x14ac:dyDescent="0.3">
      <c r="A279" s="1">
        <v>44286</v>
      </c>
      <c r="B279" s="2" t="s">
        <v>177</v>
      </c>
      <c r="C279" s="2" t="s">
        <v>13</v>
      </c>
      <c r="D279" s="2" t="s">
        <v>28</v>
      </c>
      <c r="E279" s="2" t="s">
        <v>34</v>
      </c>
      <c r="F279" s="2">
        <v>79.98</v>
      </c>
      <c r="G279" s="2">
        <v>2</v>
      </c>
      <c r="H279" s="2">
        <v>14</v>
      </c>
      <c r="I279" t="str">
        <f t="shared" si="4"/>
        <v>Mar</v>
      </c>
      <c r="J279">
        <f>YEAR(datas[[#This Row],[Order Date]])</f>
        <v>2021</v>
      </c>
    </row>
    <row r="280" spans="1:10" ht="14.25" customHeight="1" x14ac:dyDescent="0.3">
      <c r="A280" s="1">
        <v>44286</v>
      </c>
      <c r="B280" s="2" t="s">
        <v>178</v>
      </c>
      <c r="C280" s="2" t="s">
        <v>64</v>
      </c>
      <c r="D280" s="2" t="s">
        <v>10</v>
      </c>
      <c r="E280" s="2" t="s">
        <v>16</v>
      </c>
      <c r="F280" s="2">
        <v>1.87</v>
      </c>
      <c r="G280" s="2">
        <v>1</v>
      </c>
      <c r="H280" s="2">
        <v>-1.31</v>
      </c>
      <c r="I280" t="str">
        <f t="shared" si="4"/>
        <v>Mar</v>
      </c>
      <c r="J280">
        <f>YEAR(datas[[#This Row],[Order Date]])</f>
        <v>2021</v>
      </c>
    </row>
    <row r="281" spans="1:10" ht="14.25" customHeight="1" x14ac:dyDescent="0.3">
      <c r="A281" s="1">
        <v>44286</v>
      </c>
      <c r="B281" s="2" t="s">
        <v>179</v>
      </c>
      <c r="C281" s="2" t="s">
        <v>64</v>
      </c>
      <c r="D281" s="2" t="s">
        <v>26</v>
      </c>
      <c r="E281" s="2" t="s">
        <v>27</v>
      </c>
      <c r="F281" s="2">
        <v>1125.49</v>
      </c>
      <c r="G281" s="2">
        <v>7</v>
      </c>
      <c r="H281" s="2">
        <v>98.48</v>
      </c>
      <c r="I281" t="str">
        <f t="shared" si="4"/>
        <v>Mar</v>
      </c>
      <c r="J281">
        <f>YEAR(datas[[#This Row],[Order Date]])</f>
        <v>2021</v>
      </c>
    </row>
    <row r="282" spans="1:10" ht="14.25" customHeight="1" x14ac:dyDescent="0.3">
      <c r="A282" s="1">
        <v>44286</v>
      </c>
      <c r="B282" s="2" t="s">
        <v>179</v>
      </c>
      <c r="C282" s="2" t="s">
        <v>64</v>
      </c>
      <c r="D282" s="2" t="s">
        <v>10</v>
      </c>
      <c r="E282" s="2" t="s">
        <v>16</v>
      </c>
      <c r="F282" s="2">
        <v>12.65</v>
      </c>
      <c r="G282" s="2">
        <v>5</v>
      </c>
      <c r="H282" s="2">
        <v>-10.119999999999999</v>
      </c>
      <c r="I282" t="str">
        <f t="shared" si="4"/>
        <v>Mar</v>
      </c>
      <c r="J282">
        <f>YEAR(datas[[#This Row],[Order Date]])</f>
        <v>2021</v>
      </c>
    </row>
    <row r="283" spans="1:10" ht="14.25" customHeight="1" x14ac:dyDescent="0.3">
      <c r="A283" s="1">
        <v>44286</v>
      </c>
      <c r="B283" s="2" t="s">
        <v>179</v>
      </c>
      <c r="C283" s="2" t="s">
        <v>64</v>
      </c>
      <c r="D283" s="2" t="s">
        <v>10</v>
      </c>
      <c r="E283" s="2" t="s">
        <v>19</v>
      </c>
      <c r="F283" s="2">
        <v>4.03</v>
      </c>
      <c r="G283" s="2">
        <v>2</v>
      </c>
      <c r="H283" s="2">
        <v>1.06</v>
      </c>
      <c r="I283" t="str">
        <f t="shared" si="4"/>
        <v>Mar</v>
      </c>
      <c r="J283">
        <f>YEAR(datas[[#This Row],[Order Date]])</f>
        <v>2021</v>
      </c>
    </row>
    <row r="284" spans="1:10" ht="14.25" customHeight="1" x14ac:dyDescent="0.3">
      <c r="A284" s="1">
        <v>44287</v>
      </c>
      <c r="B284" s="2" t="s">
        <v>170</v>
      </c>
      <c r="C284" s="2" t="s">
        <v>21</v>
      </c>
      <c r="D284" s="2" t="s">
        <v>10</v>
      </c>
      <c r="E284" s="2" t="s">
        <v>14</v>
      </c>
      <c r="F284" s="2">
        <v>29.6</v>
      </c>
      <c r="G284" s="2">
        <v>2</v>
      </c>
      <c r="H284" s="2">
        <v>14.8</v>
      </c>
      <c r="I284" t="str">
        <f t="shared" si="4"/>
        <v>Apr</v>
      </c>
      <c r="J284">
        <f>YEAR(datas[[#This Row],[Order Date]])</f>
        <v>2021</v>
      </c>
    </row>
    <row r="285" spans="1:10" ht="14.25" customHeight="1" x14ac:dyDescent="0.3">
      <c r="A285" s="1">
        <v>44287</v>
      </c>
      <c r="B285" s="2" t="s">
        <v>170</v>
      </c>
      <c r="C285" s="2" t="s">
        <v>21</v>
      </c>
      <c r="D285" s="2" t="s">
        <v>10</v>
      </c>
      <c r="E285" s="2" t="s">
        <v>16</v>
      </c>
      <c r="F285" s="2">
        <v>17.09</v>
      </c>
      <c r="G285" s="2">
        <v>4</v>
      </c>
      <c r="H285" s="2">
        <v>5.55</v>
      </c>
      <c r="I285" t="str">
        <f t="shared" si="4"/>
        <v>Apr</v>
      </c>
      <c r="J285">
        <f>YEAR(datas[[#This Row],[Order Date]])</f>
        <v>2021</v>
      </c>
    </row>
    <row r="286" spans="1:10" ht="14.25" customHeight="1" x14ac:dyDescent="0.3">
      <c r="A286" s="1">
        <v>44287</v>
      </c>
      <c r="B286" s="2" t="s">
        <v>180</v>
      </c>
      <c r="C286" s="2" t="s">
        <v>181</v>
      </c>
      <c r="D286" s="2" t="s">
        <v>10</v>
      </c>
      <c r="E286" s="2" t="s">
        <v>15</v>
      </c>
      <c r="F286" s="2">
        <v>66.959999999999994</v>
      </c>
      <c r="G286" s="2">
        <v>4</v>
      </c>
      <c r="H286" s="2">
        <v>2.68</v>
      </c>
      <c r="I286" t="str">
        <f t="shared" si="4"/>
        <v>Apr</v>
      </c>
      <c r="J286">
        <f>YEAR(datas[[#This Row],[Order Date]])</f>
        <v>2021</v>
      </c>
    </row>
    <row r="287" spans="1:10" ht="14.25" customHeight="1" x14ac:dyDescent="0.3">
      <c r="A287" s="1">
        <v>44287</v>
      </c>
      <c r="B287" s="2" t="s">
        <v>180</v>
      </c>
      <c r="C287" s="2" t="s">
        <v>181</v>
      </c>
      <c r="D287" s="2" t="s">
        <v>10</v>
      </c>
      <c r="E287" s="2" t="s">
        <v>16</v>
      </c>
      <c r="F287" s="2">
        <v>6.24</v>
      </c>
      <c r="G287" s="2">
        <v>2</v>
      </c>
      <c r="H287" s="2">
        <v>3.06</v>
      </c>
      <c r="I287" t="str">
        <f t="shared" si="4"/>
        <v>Apr</v>
      </c>
      <c r="J287">
        <f>YEAR(datas[[#This Row],[Order Date]])</f>
        <v>2021</v>
      </c>
    </row>
    <row r="288" spans="1:10" ht="14.25" customHeight="1" x14ac:dyDescent="0.3">
      <c r="A288" s="1">
        <v>44288</v>
      </c>
      <c r="B288" s="2" t="s">
        <v>182</v>
      </c>
      <c r="C288" s="2" t="s">
        <v>23</v>
      </c>
      <c r="D288" s="2" t="s">
        <v>10</v>
      </c>
      <c r="E288" s="2" t="s">
        <v>11</v>
      </c>
      <c r="F288" s="2">
        <v>15.84</v>
      </c>
      <c r="G288" s="2">
        <v>3</v>
      </c>
      <c r="H288" s="2">
        <v>7.13</v>
      </c>
      <c r="I288" t="str">
        <f t="shared" si="4"/>
        <v>Apr</v>
      </c>
      <c r="J288">
        <f>YEAR(datas[[#This Row],[Order Date]])</f>
        <v>2021</v>
      </c>
    </row>
    <row r="289" spans="1:10" ht="14.25" customHeight="1" x14ac:dyDescent="0.3">
      <c r="A289" s="1">
        <v>44288</v>
      </c>
      <c r="B289" s="2" t="s">
        <v>182</v>
      </c>
      <c r="C289" s="2" t="s">
        <v>23</v>
      </c>
      <c r="D289" s="2" t="s">
        <v>28</v>
      </c>
      <c r="E289" s="2" t="s">
        <v>29</v>
      </c>
      <c r="F289" s="2">
        <v>1049.93</v>
      </c>
      <c r="G289" s="2">
        <v>7</v>
      </c>
      <c r="H289" s="2">
        <v>293.98</v>
      </c>
      <c r="I289" t="str">
        <f t="shared" si="4"/>
        <v>Apr</v>
      </c>
      <c r="J289">
        <f>YEAR(datas[[#This Row],[Order Date]])</f>
        <v>2021</v>
      </c>
    </row>
    <row r="290" spans="1:10" ht="14.25" customHeight="1" x14ac:dyDescent="0.3">
      <c r="A290" s="1">
        <v>44288</v>
      </c>
      <c r="B290" s="2" t="s">
        <v>182</v>
      </c>
      <c r="C290" s="2" t="s">
        <v>23</v>
      </c>
      <c r="D290" s="2" t="s">
        <v>10</v>
      </c>
      <c r="E290" s="2" t="s">
        <v>53</v>
      </c>
      <c r="F290" s="2">
        <v>154.9</v>
      </c>
      <c r="G290" s="2">
        <v>5</v>
      </c>
      <c r="H290" s="2">
        <v>40.270000000000003</v>
      </c>
      <c r="I290" t="str">
        <f t="shared" si="4"/>
        <v>Apr</v>
      </c>
      <c r="J290">
        <f>YEAR(datas[[#This Row],[Order Date]])</f>
        <v>2021</v>
      </c>
    </row>
    <row r="291" spans="1:10" ht="14.25" customHeight="1" x14ac:dyDescent="0.3">
      <c r="A291" s="1">
        <v>44288</v>
      </c>
      <c r="B291" s="2" t="s">
        <v>118</v>
      </c>
      <c r="C291" s="2" t="s">
        <v>9</v>
      </c>
      <c r="D291" s="2" t="s">
        <v>10</v>
      </c>
      <c r="E291" s="2" t="s">
        <v>11</v>
      </c>
      <c r="F291" s="2">
        <v>26.72</v>
      </c>
      <c r="G291" s="2">
        <v>5</v>
      </c>
      <c r="H291" s="2">
        <v>9.35</v>
      </c>
      <c r="I291" t="str">
        <f t="shared" si="4"/>
        <v>Apr</v>
      </c>
      <c r="J291">
        <f>YEAR(datas[[#This Row],[Order Date]])</f>
        <v>2021</v>
      </c>
    </row>
    <row r="292" spans="1:10" ht="14.25" customHeight="1" x14ac:dyDescent="0.3">
      <c r="A292" s="1">
        <v>44288</v>
      </c>
      <c r="B292" s="2" t="s">
        <v>118</v>
      </c>
      <c r="C292" s="2" t="s">
        <v>9</v>
      </c>
      <c r="D292" s="2" t="s">
        <v>10</v>
      </c>
      <c r="E292" s="2" t="s">
        <v>11</v>
      </c>
      <c r="F292" s="2">
        <v>33.49</v>
      </c>
      <c r="G292" s="2">
        <v>7</v>
      </c>
      <c r="H292" s="2">
        <v>10.47</v>
      </c>
      <c r="I292" t="str">
        <f t="shared" si="4"/>
        <v>Apr</v>
      </c>
      <c r="J292">
        <f>YEAR(datas[[#This Row],[Order Date]])</f>
        <v>2021</v>
      </c>
    </row>
    <row r="293" spans="1:10" ht="14.25" customHeight="1" x14ac:dyDescent="0.3">
      <c r="A293" s="1">
        <v>44288</v>
      </c>
      <c r="B293" s="2" t="s">
        <v>183</v>
      </c>
      <c r="C293" s="2" t="s">
        <v>36</v>
      </c>
      <c r="D293" s="2" t="s">
        <v>26</v>
      </c>
      <c r="E293" s="2" t="s">
        <v>32</v>
      </c>
      <c r="F293" s="2">
        <v>177.68</v>
      </c>
      <c r="G293" s="2">
        <v>2</v>
      </c>
      <c r="H293" s="2">
        <v>46.2</v>
      </c>
      <c r="I293" t="str">
        <f t="shared" si="4"/>
        <v>Apr</v>
      </c>
      <c r="J293">
        <f>YEAR(datas[[#This Row],[Order Date]])</f>
        <v>2021</v>
      </c>
    </row>
    <row r="294" spans="1:10" ht="14.25" customHeight="1" x14ac:dyDescent="0.3">
      <c r="A294" s="1">
        <v>44289</v>
      </c>
      <c r="B294" s="2" t="s">
        <v>184</v>
      </c>
      <c r="C294" s="2" t="s">
        <v>21</v>
      </c>
      <c r="D294" s="2" t="s">
        <v>10</v>
      </c>
      <c r="E294" s="2" t="s">
        <v>41</v>
      </c>
      <c r="F294" s="2">
        <v>11.16</v>
      </c>
      <c r="G294" s="2">
        <v>2</v>
      </c>
      <c r="H294" s="2">
        <v>5.58</v>
      </c>
      <c r="I294" t="str">
        <f t="shared" si="4"/>
        <v>Apr</v>
      </c>
      <c r="J294">
        <f>YEAR(datas[[#This Row],[Order Date]])</f>
        <v>2021</v>
      </c>
    </row>
    <row r="295" spans="1:10" ht="14.25" customHeight="1" x14ac:dyDescent="0.3">
      <c r="A295" s="1">
        <v>44289</v>
      </c>
      <c r="B295" s="2" t="s">
        <v>184</v>
      </c>
      <c r="C295" s="2" t="s">
        <v>21</v>
      </c>
      <c r="D295" s="2" t="s">
        <v>28</v>
      </c>
      <c r="E295" s="2" t="s">
        <v>34</v>
      </c>
      <c r="F295" s="2">
        <v>62.31</v>
      </c>
      <c r="G295" s="2">
        <v>3</v>
      </c>
      <c r="H295" s="2">
        <v>22.43</v>
      </c>
      <c r="I295" t="str">
        <f t="shared" si="4"/>
        <v>Apr</v>
      </c>
      <c r="J295">
        <f>YEAR(datas[[#This Row],[Order Date]])</f>
        <v>2021</v>
      </c>
    </row>
    <row r="296" spans="1:10" ht="14.25" customHeight="1" x14ac:dyDescent="0.3">
      <c r="A296" s="1">
        <v>44289</v>
      </c>
      <c r="B296" s="2" t="s">
        <v>184</v>
      </c>
      <c r="C296" s="2" t="s">
        <v>21</v>
      </c>
      <c r="D296" s="2" t="s">
        <v>28</v>
      </c>
      <c r="E296" s="2" t="s">
        <v>34</v>
      </c>
      <c r="F296" s="2">
        <v>159.97999999999999</v>
      </c>
      <c r="G296" s="2">
        <v>2</v>
      </c>
      <c r="H296" s="2">
        <v>57.59</v>
      </c>
      <c r="I296" t="str">
        <f t="shared" si="4"/>
        <v>Apr</v>
      </c>
      <c r="J296">
        <f>YEAR(datas[[#This Row],[Order Date]])</f>
        <v>2021</v>
      </c>
    </row>
    <row r="297" spans="1:10" ht="14.25" customHeight="1" x14ac:dyDescent="0.3">
      <c r="A297" s="1">
        <v>44290</v>
      </c>
      <c r="B297" s="2" t="s">
        <v>185</v>
      </c>
      <c r="C297" s="2" t="s">
        <v>21</v>
      </c>
      <c r="D297" s="2" t="s">
        <v>10</v>
      </c>
      <c r="E297" s="2" t="s">
        <v>14</v>
      </c>
      <c r="F297" s="2">
        <v>18.899999999999999</v>
      </c>
      <c r="G297" s="2">
        <v>6</v>
      </c>
      <c r="H297" s="2">
        <v>9.07</v>
      </c>
      <c r="I297" t="str">
        <f t="shared" si="4"/>
        <v>Apr</v>
      </c>
      <c r="J297">
        <f>YEAR(datas[[#This Row],[Order Date]])</f>
        <v>2021</v>
      </c>
    </row>
    <row r="298" spans="1:10" ht="14.25" customHeight="1" x14ac:dyDescent="0.3">
      <c r="A298" s="1">
        <v>44290</v>
      </c>
      <c r="B298" s="2" t="s">
        <v>159</v>
      </c>
      <c r="C298" s="2" t="s">
        <v>60</v>
      </c>
      <c r="D298" s="2" t="s">
        <v>26</v>
      </c>
      <c r="E298" s="2" t="s">
        <v>32</v>
      </c>
      <c r="F298" s="2">
        <v>5.47</v>
      </c>
      <c r="G298" s="2">
        <v>1</v>
      </c>
      <c r="H298" s="2">
        <v>2.35</v>
      </c>
      <c r="I298" t="str">
        <f t="shared" si="4"/>
        <v>Apr</v>
      </c>
      <c r="J298">
        <f>YEAR(datas[[#This Row],[Order Date]])</f>
        <v>2021</v>
      </c>
    </row>
    <row r="299" spans="1:10" ht="14.25" customHeight="1" x14ac:dyDescent="0.3">
      <c r="A299" s="1">
        <v>44290</v>
      </c>
      <c r="B299" s="2" t="s">
        <v>159</v>
      </c>
      <c r="C299" s="2" t="s">
        <v>60</v>
      </c>
      <c r="D299" s="2" t="s">
        <v>10</v>
      </c>
      <c r="E299" s="2" t="s">
        <v>19</v>
      </c>
      <c r="F299" s="2">
        <v>79.36</v>
      </c>
      <c r="G299" s="2">
        <v>4</v>
      </c>
      <c r="H299" s="2">
        <v>23.81</v>
      </c>
      <c r="I299" t="str">
        <f t="shared" si="4"/>
        <v>Apr</v>
      </c>
      <c r="J299">
        <f>YEAR(datas[[#This Row],[Order Date]])</f>
        <v>2021</v>
      </c>
    </row>
    <row r="300" spans="1:10" ht="14.25" customHeight="1" x14ac:dyDescent="0.3">
      <c r="A300" s="1">
        <v>44290</v>
      </c>
      <c r="B300" s="2" t="s">
        <v>186</v>
      </c>
      <c r="C300" s="2" t="s">
        <v>21</v>
      </c>
      <c r="D300" s="2" t="s">
        <v>10</v>
      </c>
      <c r="E300" s="2" t="s">
        <v>16</v>
      </c>
      <c r="F300" s="2">
        <v>7.18</v>
      </c>
      <c r="G300" s="2">
        <v>2</v>
      </c>
      <c r="H300" s="2">
        <v>2.25</v>
      </c>
      <c r="I300" t="str">
        <f t="shared" si="4"/>
        <v>Apr</v>
      </c>
      <c r="J300">
        <f>YEAR(datas[[#This Row],[Order Date]])</f>
        <v>2021</v>
      </c>
    </row>
    <row r="301" spans="1:10" ht="14.25" customHeight="1" x14ac:dyDescent="0.3">
      <c r="A301" s="1">
        <v>44290</v>
      </c>
      <c r="B301" s="2" t="s">
        <v>187</v>
      </c>
      <c r="C301" s="2" t="s">
        <v>40</v>
      </c>
      <c r="D301" s="2" t="s">
        <v>10</v>
      </c>
      <c r="E301" s="2" t="s">
        <v>15</v>
      </c>
      <c r="F301" s="2">
        <v>232.55</v>
      </c>
      <c r="G301" s="2">
        <v>5</v>
      </c>
      <c r="H301" s="2">
        <v>9.3000000000000007</v>
      </c>
      <c r="I301" t="str">
        <f t="shared" si="4"/>
        <v>Apr</v>
      </c>
      <c r="J301">
        <f>YEAR(datas[[#This Row],[Order Date]])</f>
        <v>2021</v>
      </c>
    </row>
    <row r="302" spans="1:10" ht="14.25" customHeight="1" x14ac:dyDescent="0.3">
      <c r="A302" s="1">
        <v>44290</v>
      </c>
      <c r="B302" s="2" t="s">
        <v>187</v>
      </c>
      <c r="C302" s="2" t="s">
        <v>40</v>
      </c>
      <c r="D302" s="2" t="s">
        <v>28</v>
      </c>
      <c r="E302" s="2" t="s">
        <v>34</v>
      </c>
      <c r="F302" s="2">
        <v>99.98</v>
      </c>
      <c r="G302" s="2">
        <v>2</v>
      </c>
      <c r="H302" s="2">
        <v>42.99</v>
      </c>
      <c r="I302" t="str">
        <f t="shared" si="4"/>
        <v>Apr</v>
      </c>
      <c r="J302">
        <f>YEAR(datas[[#This Row],[Order Date]])</f>
        <v>2021</v>
      </c>
    </row>
    <row r="303" spans="1:10" ht="14.25" customHeight="1" x14ac:dyDescent="0.3">
      <c r="A303" s="1">
        <v>44290</v>
      </c>
      <c r="B303" s="2" t="s">
        <v>187</v>
      </c>
      <c r="C303" s="2" t="s">
        <v>40</v>
      </c>
      <c r="D303" s="2" t="s">
        <v>10</v>
      </c>
      <c r="E303" s="2" t="s">
        <v>11</v>
      </c>
      <c r="F303" s="2">
        <v>19.440000000000001</v>
      </c>
      <c r="G303" s="2">
        <v>3</v>
      </c>
      <c r="H303" s="2">
        <v>9.33</v>
      </c>
      <c r="I303" t="str">
        <f t="shared" si="4"/>
        <v>Apr</v>
      </c>
      <c r="J303">
        <f>YEAR(datas[[#This Row],[Order Date]])</f>
        <v>2021</v>
      </c>
    </row>
    <row r="304" spans="1:10" ht="14.25" customHeight="1" x14ac:dyDescent="0.3">
      <c r="A304" s="1">
        <v>44290</v>
      </c>
      <c r="B304" s="2" t="s">
        <v>187</v>
      </c>
      <c r="C304" s="2" t="s">
        <v>40</v>
      </c>
      <c r="D304" s="2" t="s">
        <v>10</v>
      </c>
      <c r="E304" s="2" t="s">
        <v>11</v>
      </c>
      <c r="F304" s="2">
        <v>12.96</v>
      </c>
      <c r="G304" s="2">
        <v>2</v>
      </c>
      <c r="H304" s="2">
        <v>6.35</v>
      </c>
      <c r="I304" t="str">
        <f t="shared" si="4"/>
        <v>Apr</v>
      </c>
      <c r="J304">
        <f>YEAR(datas[[#This Row],[Order Date]])</f>
        <v>2021</v>
      </c>
    </row>
    <row r="305" spans="1:10" ht="14.25" customHeight="1" x14ac:dyDescent="0.3">
      <c r="A305" s="1">
        <v>44291</v>
      </c>
      <c r="B305" s="2" t="s">
        <v>188</v>
      </c>
      <c r="C305" s="2" t="s">
        <v>75</v>
      </c>
      <c r="D305" s="2" t="s">
        <v>10</v>
      </c>
      <c r="E305" s="2" t="s">
        <v>11</v>
      </c>
      <c r="F305" s="2">
        <v>55.48</v>
      </c>
      <c r="G305" s="2">
        <v>1</v>
      </c>
      <c r="H305" s="2">
        <v>26.63</v>
      </c>
      <c r="I305" t="str">
        <f t="shared" si="4"/>
        <v>Apr</v>
      </c>
      <c r="J305">
        <f>YEAR(datas[[#This Row],[Order Date]])</f>
        <v>2021</v>
      </c>
    </row>
    <row r="306" spans="1:10" ht="14.25" customHeight="1" x14ac:dyDescent="0.3">
      <c r="A306" s="1">
        <v>44291</v>
      </c>
      <c r="B306" s="2" t="s">
        <v>189</v>
      </c>
      <c r="C306" s="2" t="s">
        <v>36</v>
      </c>
      <c r="D306" s="2" t="s">
        <v>10</v>
      </c>
      <c r="E306" s="2" t="s">
        <v>19</v>
      </c>
      <c r="F306" s="2">
        <v>22.96</v>
      </c>
      <c r="G306" s="2">
        <v>7</v>
      </c>
      <c r="H306" s="2">
        <v>7.58</v>
      </c>
      <c r="I306" t="str">
        <f t="shared" si="4"/>
        <v>Apr</v>
      </c>
      <c r="J306">
        <f>YEAR(datas[[#This Row],[Order Date]])</f>
        <v>2021</v>
      </c>
    </row>
    <row r="307" spans="1:10" ht="14.25" customHeight="1" x14ac:dyDescent="0.3">
      <c r="A307" s="1">
        <v>44291</v>
      </c>
      <c r="B307" s="2" t="s">
        <v>189</v>
      </c>
      <c r="C307" s="2" t="s">
        <v>36</v>
      </c>
      <c r="D307" s="2" t="s">
        <v>28</v>
      </c>
      <c r="E307" s="2" t="s">
        <v>29</v>
      </c>
      <c r="F307" s="2">
        <v>28.99</v>
      </c>
      <c r="G307" s="2">
        <v>1</v>
      </c>
      <c r="H307" s="2">
        <v>8.41</v>
      </c>
      <c r="I307" t="str">
        <f t="shared" si="4"/>
        <v>Apr</v>
      </c>
      <c r="J307">
        <f>YEAR(datas[[#This Row],[Order Date]])</f>
        <v>2021</v>
      </c>
    </row>
    <row r="308" spans="1:10" ht="14.25" customHeight="1" x14ac:dyDescent="0.3">
      <c r="A308" s="1">
        <v>44291</v>
      </c>
      <c r="B308" s="2" t="s">
        <v>189</v>
      </c>
      <c r="C308" s="2" t="s">
        <v>36</v>
      </c>
      <c r="D308" s="2" t="s">
        <v>10</v>
      </c>
      <c r="E308" s="2" t="s">
        <v>11</v>
      </c>
      <c r="F308" s="2">
        <v>12.96</v>
      </c>
      <c r="G308" s="2">
        <v>2</v>
      </c>
      <c r="H308" s="2">
        <v>6.35</v>
      </c>
      <c r="I308" t="str">
        <f t="shared" si="4"/>
        <v>Apr</v>
      </c>
      <c r="J308">
        <f>YEAR(datas[[#This Row],[Order Date]])</f>
        <v>2021</v>
      </c>
    </row>
    <row r="309" spans="1:10" ht="14.25" customHeight="1" x14ac:dyDescent="0.3">
      <c r="A309" s="1">
        <v>44291</v>
      </c>
      <c r="B309" s="2" t="s">
        <v>189</v>
      </c>
      <c r="C309" s="2" t="s">
        <v>36</v>
      </c>
      <c r="D309" s="2" t="s">
        <v>10</v>
      </c>
      <c r="E309" s="2" t="s">
        <v>19</v>
      </c>
      <c r="F309" s="2">
        <v>22.96</v>
      </c>
      <c r="G309" s="2">
        <v>7</v>
      </c>
      <c r="H309" s="2">
        <v>6.66</v>
      </c>
      <c r="I309" t="str">
        <f t="shared" si="4"/>
        <v>Apr</v>
      </c>
      <c r="J309">
        <f>YEAR(datas[[#This Row],[Order Date]])</f>
        <v>2021</v>
      </c>
    </row>
    <row r="310" spans="1:10" ht="14.25" customHeight="1" x14ac:dyDescent="0.3">
      <c r="A310" s="1">
        <v>44291</v>
      </c>
      <c r="B310" s="2" t="s">
        <v>189</v>
      </c>
      <c r="C310" s="2" t="s">
        <v>36</v>
      </c>
      <c r="D310" s="2" t="s">
        <v>10</v>
      </c>
      <c r="E310" s="2" t="s">
        <v>95</v>
      </c>
      <c r="F310" s="2">
        <v>4164.05</v>
      </c>
      <c r="G310" s="2">
        <v>5</v>
      </c>
      <c r="H310" s="2">
        <v>83.28</v>
      </c>
      <c r="I310" t="str">
        <f t="shared" si="4"/>
        <v>Apr</v>
      </c>
      <c r="J310">
        <f>YEAR(datas[[#This Row],[Order Date]])</f>
        <v>2021</v>
      </c>
    </row>
    <row r="311" spans="1:10" ht="14.25" customHeight="1" x14ac:dyDescent="0.3">
      <c r="A311" s="1">
        <v>44291</v>
      </c>
      <c r="B311" s="2" t="s">
        <v>190</v>
      </c>
      <c r="C311" s="2" t="s">
        <v>13</v>
      </c>
      <c r="D311" s="2" t="s">
        <v>10</v>
      </c>
      <c r="E311" s="2" t="s">
        <v>15</v>
      </c>
      <c r="F311" s="2">
        <v>49.63</v>
      </c>
      <c r="G311" s="2">
        <v>4</v>
      </c>
      <c r="H311" s="2">
        <v>3.72</v>
      </c>
      <c r="I311" t="str">
        <f t="shared" si="4"/>
        <v>Apr</v>
      </c>
      <c r="J311">
        <f>YEAR(datas[[#This Row],[Order Date]])</f>
        <v>2021</v>
      </c>
    </row>
    <row r="312" spans="1:10" ht="14.25" customHeight="1" x14ac:dyDescent="0.3">
      <c r="A312" s="1">
        <v>44291</v>
      </c>
      <c r="B312" s="2" t="s">
        <v>190</v>
      </c>
      <c r="C312" s="2" t="s">
        <v>13</v>
      </c>
      <c r="D312" s="2" t="s">
        <v>10</v>
      </c>
      <c r="E312" s="2" t="s">
        <v>15</v>
      </c>
      <c r="F312" s="2">
        <v>52.1</v>
      </c>
      <c r="G312" s="2">
        <v>4</v>
      </c>
      <c r="H312" s="2">
        <v>3.91</v>
      </c>
      <c r="I312" t="str">
        <f t="shared" si="4"/>
        <v>Apr</v>
      </c>
      <c r="J312">
        <f>YEAR(datas[[#This Row],[Order Date]])</f>
        <v>2021</v>
      </c>
    </row>
    <row r="313" spans="1:10" ht="14.25" customHeight="1" x14ac:dyDescent="0.3">
      <c r="A313" s="1">
        <v>44291</v>
      </c>
      <c r="B313" s="2" t="s">
        <v>191</v>
      </c>
      <c r="C313" s="2" t="s">
        <v>60</v>
      </c>
      <c r="D313" s="2" t="s">
        <v>10</v>
      </c>
      <c r="E313" s="2" t="s">
        <v>19</v>
      </c>
      <c r="F313" s="2">
        <v>26.7</v>
      </c>
      <c r="G313" s="2">
        <v>2</v>
      </c>
      <c r="H313" s="2">
        <v>7.48</v>
      </c>
      <c r="I313" t="str">
        <f t="shared" si="4"/>
        <v>Apr</v>
      </c>
      <c r="J313">
        <f>YEAR(datas[[#This Row],[Order Date]])</f>
        <v>2021</v>
      </c>
    </row>
    <row r="314" spans="1:10" ht="14.25" customHeight="1" x14ac:dyDescent="0.3">
      <c r="A314" s="1">
        <v>44291</v>
      </c>
      <c r="B314" s="2" t="s">
        <v>191</v>
      </c>
      <c r="C314" s="2" t="s">
        <v>60</v>
      </c>
      <c r="D314" s="2" t="s">
        <v>10</v>
      </c>
      <c r="E314" s="2" t="s">
        <v>16</v>
      </c>
      <c r="F314" s="2">
        <v>40.200000000000003</v>
      </c>
      <c r="G314" s="2">
        <v>5</v>
      </c>
      <c r="H314" s="2">
        <v>18.09</v>
      </c>
      <c r="I314" t="str">
        <f t="shared" si="4"/>
        <v>Apr</v>
      </c>
      <c r="J314">
        <f>YEAR(datas[[#This Row],[Order Date]])</f>
        <v>2021</v>
      </c>
    </row>
    <row r="315" spans="1:10" ht="14.25" customHeight="1" x14ac:dyDescent="0.3">
      <c r="A315" s="1">
        <v>44291</v>
      </c>
      <c r="B315" s="2" t="s">
        <v>191</v>
      </c>
      <c r="C315" s="2" t="s">
        <v>60</v>
      </c>
      <c r="D315" s="2" t="s">
        <v>10</v>
      </c>
      <c r="E315" s="2" t="s">
        <v>19</v>
      </c>
      <c r="F315" s="2">
        <v>13.89</v>
      </c>
      <c r="G315" s="2">
        <v>3</v>
      </c>
      <c r="H315" s="2">
        <v>4.58</v>
      </c>
      <c r="I315" t="str">
        <f t="shared" si="4"/>
        <v>Apr</v>
      </c>
      <c r="J315">
        <f>YEAR(datas[[#This Row],[Order Date]])</f>
        <v>2021</v>
      </c>
    </row>
    <row r="316" spans="1:10" ht="14.25" customHeight="1" x14ac:dyDescent="0.3">
      <c r="A316" s="1">
        <v>44291</v>
      </c>
      <c r="B316" s="2" t="s">
        <v>191</v>
      </c>
      <c r="C316" s="2" t="s">
        <v>60</v>
      </c>
      <c r="D316" s="2" t="s">
        <v>10</v>
      </c>
      <c r="E316" s="2" t="s">
        <v>15</v>
      </c>
      <c r="F316" s="2">
        <v>689.82</v>
      </c>
      <c r="G316" s="2">
        <v>6</v>
      </c>
      <c r="H316" s="2">
        <v>20.69</v>
      </c>
      <c r="I316" t="str">
        <f t="shared" si="4"/>
        <v>Apr</v>
      </c>
      <c r="J316">
        <f>YEAR(datas[[#This Row],[Order Date]])</f>
        <v>2021</v>
      </c>
    </row>
    <row r="317" spans="1:10" ht="14.25" customHeight="1" x14ac:dyDescent="0.3">
      <c r="A317" s="1">
        <v>44291</v>
      </c>
      <c r="B317" s="2" t="s">
        <v>192</v>
      </c>
      <c r="C317" s="2" t="s">
        <v>25</v>
      </c>
      <c r="D317" s="2" t="s">
        <v>10</v>
      </c>
      <c r="E317" s="2" t="s">
        <v>16</v>
      </c>
      <c r="F317" s="2">
        <v>115.36</v>
      </c>
      <c r="G317" s="2">
        <v>7</v>
      </c>
      <c r="H317" s="2">
        <v>56.53</v>
      </c>
      <c r="I317" t="str">
        <f t="shared" si="4"/>
        <v>Apr</v>
      </c>
      <c r="J317">
        <f>YEAR(datas[[#This Row],[Order Date]])</f>
        <v>2021</v>
      </c>
    </row>
    <row r="318" spans="1:10" ht="14.25" customHeight="1" x14ac:dyDescent="0.3">
      <c r="A318" s="1">
        <v>44292</v>
      </c>
      <c r="B318" s="2" t="s">
        <v>193</v>
      </c>
      <c r="C318" s="2" t="s">
        <v>18</v>
      </c>
      <c r="D318" s="2" t="s">
        <v>10</v>
      </c>
      <c r="E318" s="2" t="s">
        <v>16</v>
      </c>
      <c r="F318" s="2">
        <v>44.91</v>
      </c>
      <c r="G318" s="2">
        <v>6</v>
      </c>
      <c r="H318" s="2">
        <v>-35.93</v>
      </c>
      <c r="I318" t="str">
        <f t="shared" si="4"/>
        <v>Apr</v>
      </c>
      <c r="J318">
        <f>YEAR(datas[[#This Row],[Order Date]])</f>
        <v>2021</v>
      </c>
    </row>
    <row r="319" spans="1:10" ht="14.25" customHeight="1" x14ac:dyDescent="0.3">
      <c r="A319" s="1">
        <v>44292</v>
      </c>
      <c r="B319" s="2" t="s">
        <v>69</v>
      </c>
      <c r="C319" s="2" t="s">
        <v>18</v>
      </c>
      <c r="D319" s="2" t="s">
        <v>10</v>
      </c>
      <c r="E319" s="2" t="s">
        <v>95</v>
      </c>
      <c r="F319" s="2">
        <v>10.3</v>
      </c>
      <c r="G319" s="2">
        <v>1</v>
      </c>
      <c r="H319" s="2">
        <v>-2.19</v>
      </c>
      <c r="I319" t="str">
        <f t="shared" si="4"/>
        <v>Apr</v>
      </c>
      <c r="J319">
        <f>YEAR(datas[[#This Row],[Order Date]])</f>
        <v>2021</v>
      </c>
    </row>
    <row r="320" spans="1:10" ht="14.25" customHeight="1" x14ac:dyDescent="0.3">
      <c r="A320" s="1">
        <v>44292</v>
      </c>
      <c r="B320" s="2" t="s">
        <v>69</v>
      </c>
      <c r="C320" s="2" t="s">
        <v>18</v>
      </c>
      <c r="D320" s="2" t="s">
        <v>26</v>
      </c>
      <c r="E320" s="2" t="s">
        <v>73</v>
      </c>
      <c r="F320" s="2">
        <v>154.76</v>
      </c>
      <c r="G320" s="2">
        <v>3</v>
      </c>
      <c r="H320" s="2">
        <v>-36.11</v>
      </c>
      <c r="I320" t="str">
        <f t="shared" si="4"/>
        <v>Apr</v>
      </c>
      <c r="J320">
        <f>YEAR(datas[[#This Row],[Order Date]])</f>
        <v>2021</v>
      </c>
    </row>
    <row r="321" spans="1:10" ht="14.25" customHeight="1" x14ac:dyDescent="0.3">
      <c r="A321" s="1">
        <v>44292</v>
      </c>
      <c r="B321" s="2" t="s">
        <v>69</v>
      </c>
      <c r="C321" s="2" t="s">
        <v>18</v>
      </c>
      <c r="D321" s="2" t="s">
        <v>28</v>
      </c>
      <c r="E321" s="2" t="s">
        <v>34</v>
      </c>
      <c r="F321" s="2">
        <v>116.78</v>
      </c>
      <c r="G321" s="2">
        <v>2</v>
      </c>
      <c r="H321" s="2">
        <v>21.9</v>
      </c>
      <c r="I321" t="str">
        <f t="shared" si="4"/>
        <v>Apr</v>
      </c>
      <c r="J321">
        <f>YEAR(datas[[#This Row],[Order Date]])</f>
        <v>2021</v>
      </c>
    </row>
    <row r="322" spans="1:10" ht="14.25" customHeight="1" x14ac:dyDescent="0.3">
      <c r="A322" s="1">
        <v>44292</v>
      </c>
      <c r="B322" s="2" t="s">
        <v>194</v>
      </c>
      <c r="C322" s="2" t="s">
        <v>82</v>
      </c>
      <c r="D322" s="2" t="s">
        <v>26</v>
      </c>
      <c r="E322" s="2" t="s">
        <v>73</v>
      </c>
      <c r="F322" s="2">
        <v>653.54999999999995</v>
      </c>
      <c r="G322" s="2">
        <v>3</v>
      </c>
      <c r="H322" s="2">
        <v>111.1</v>
      </c>
      <c r="I322" t="str">
        <f t="shared" si="4"/>
        <v>Apr</v>
      </c>
      <c r="J322">
        <f>YEAR(datas[[#This Row],[Order Date]])</f>
        <v>2021</v>
      </c>
    </row>
    <row r="323" spans="1:10" ht="14.25" customHeight="1" x14ac:dyDescent="0.3">
      <c r="A323" s="1">
        <v>44292</v>
      </c>
      <c r="B323" s="2" t="s">
        <v>194</v>
      </c>
      <c r="C323" s="2" t="s">
        <v>82</v>
      </c>
      <c r="D323" s="2" t="s">
        <v>28</v>
      </c>
      <c r="E323" s="2" t="s">
        <v>34</v>
      </c>
      <c r="F323" s="2">
        <v>33.9</v>
      </c>
      <c r="G323" s="2">
        <v>2</v>
      </c>
      <c r="H323" s="2">
        <v>2.0299999999999998</v>
      </c>
      <c r="I323" t="str">
        <f t="shared" ref="I323:I386" si="5">TEXT(A323,"mmm")</f>
        <v>Apr</v>
      </c>
      <c r="J323">
        <f>YEAR(datas[[#This Row],[Order Date]])</f>
        <v>2021</v>
      </c>
    </row>
    <row r="324" spans="1:10" ht="14.25" customHeight="1" x14ac:dyDescent="0.3">
      <c r="A324" s="1">
        <v>44292</v>
      </c>
      <c r="B324" s="2" t="s">
        <v>195</v>
      </c>
      <c r="C324" s="2" t="s">
        <v>21</v>
      </c>
      <c r="D324" s="2" t="s">
        <v>26</v>
      </c>
      <c r="E324" s="2" t="s">
        <v>32</v>
      </c>
      <c r="F324" s="2">
        <v>91.96</v>
      </c>
      <c r="G324" s="2">
        <v>2</v>
      </c>
      <c r="H324" s="2">
        <v>15.63</v>
      </c>
      <c r="I324" t="str">
        <f t="shared" si="5"/>
        <v>Apr</v>
      </c>
      <c r="J324">
        <f>YEAR(datas[[#This Row],[Order Date]])</f>
        <v>2021</v>
      </c>
    </row>
    <row r="325" spans="1:10" ht="14.25" customHeight="1" x14ac:dyDescent="0.3">
      <c r="A325" s="1">
        <v>44292</v>
      </c>
      <c r="B325" s="2" t="s">
        <v>195</v>
      </c>
      <c r="C325" s="2" t="s">
        <v>21</v>
      </c>
      <c r="D325" s="2" t="s">
        <v>26</v>
      </c>
      <c r="E325" s="2" t="s">
        <v>32</v>
      </c>
      <c r="F325" s="2">
        <v>33.11</v>
      </c>
      <c r="G325" s="2">
        <v>7</v>
      </c>
      <c r="H325" s="2">
        <v>12.91</v>
      </c>
      <c r="I325" t="str">
        <f t="shared" si="5"/>
        <v>Apr</v>
      </c>
      <c r="J325">
        <f>YEAR(datas[[#This Row],[Order Date]])</f>
        <v>2021</v>
      </c>
    </row>
    <row r="326" spans="1:10" ht="14.25" customHeight="1" x14ac:dyDescent="0.3">
      <c r="A326" s="1">
        <v>44292</v>
      </c>
      <c r="B326" s="2" t="s">
        <v>195</v>
      </c>
      <c r="C326" s="2" t="s">
        <v>21</v>
      </c>
      <c r="D326" s="2" t="s">
        <v>10</v>
      </c>
      <c r="E326" s="2" t="s">
        <v>11</v>
      </c>
      <c r="F326" s="2">
        <v>19.440000000000001</v>
      </c>
      <c r="G326" s="2">
        <v>3</v>
      </c>
      <c r="H326" s="2">
        <v>9.33</v>
      </c>
      <c r="I326" t="str">
        <f t="shared" si="5"/>
        <v>Apr</v>
      </c>
      <c r="J326">
        <f>YEAR(datas[[#This Row],[Order Date]])</f>
        <v>2021</v>
      </c>
    </row>
    <row r="327" spans="1:10" ht="14.25" customHeight="1" x14ac:dyDescent="0.3">
      <c r="A327" s="1">
        <v>44292</v>
      </c>
      <c r="B327" s="2" t="s">
        <v>195</v>
      </c>
      <c r="C327" s="2" t="s">
        <v>21</v>
      </c>
      <c r="D327" s="2" t="s">
        <v>10</v>
      </c>
      <c r="E327" s="2" t="s">
        <v>11</v>
      </c>
      <c r="F327" s="2">
        <v>55.48</v>
      </c>
      <c r="G327" s="2">
        <v>1</v>
      </c>
      <c r="H327" s="2">
        <v>26.63</v>
      </c>
      <c r="I327" t="str">
        <f t="shared" si="5"/>
        <v>Apr</v>
      </c>
      <c r="J327">
        <f>YEAR(datas[[#This Row],[Order Date]])</f>
        <v>2021</v>
      </c>
    </row>
    <row r="328" spans="1:10" ht="14.25" customHeight="1" x14ac:dyDescent="0.3">
      <c r="A328" s="1">
        <v>44292</v>
      </c>
      <c r="B328" s="2" t="s">
        <v>196</v>
      </c>
      <c r="C328" s="2" t="s">
        <v>21</v>
      </c>
      <c r="D328" s="2" t="s">
        <v>10</v>
      </c>
      <c r="E328" s="2" t="s">
        <v>19</v>
      </c>
      <c r="F328" s="2">
        <v>70.95</v>
      </c>
      <c r="G328" s="2">
        <v>3</v>
      </c>
      <c r="H328" s="2">
        <v>18.45</v>
      </c>
      <c r="I328" t="str">
        <f t="shared" si="5"/>
        <v>Apr</v>
      </c>
      <c r="J328">
        <f>YEAR(datas[[#This Row],[Order Date]])</f>
        <v>2021</v>
      </c>
    </row>
    <row r="329" spans="1:10" ht="14.25" customHeight="1" x14ac:dyDescent="0.3">
      <c r="A329" s="1">
        <v>44292</v>
      </c>
      <c r="B329" s="2" t="s">
        <v>196</v>
      </c>
      <c r="C329" s="2" t="s">
        <v>21</v>
      </c>
      <c r="D329" s="2" t="s">
        <v>10</v>
      </c>
      <c r="E329" s="2" t="s">
        <v>16</v>
      </c>
      <c r="F329" s="2">
        <v>65.569999999999993</v>
      </c>
      <c r="G329" s="2">
        <v>2</v>
      </c>
      <c r="H329" s="2">
        <v>23.77</v>
      </c>
      <c r="I329" t="str">
        <f t="shared" si="5"/>
        <v>Apr</v>
      </c>
      <c r="J329">
        <f>YEAR(datas[[#This Row],[Order Date]])</f>
        <v>2021</v>
      </c>
    </row>
    <row r="330" spans="1:10" ht="14.25" customHeight="1" x14ac:dyDescent="0.3">
      <c r="A330" s="1">
        <v>44292</v>
      </c>
      <c r="B330" s="2" t="s">
        <v>196</v>
      </c>
      <c r="C330" s="2" t="s">
        <v>21</v>
      </c>
      <c r="D330" s="2" t="s">
        <v>28</v>
      </c>
      <c r="E330" s="2" t="s">
        <v>34</v>
      </c>
      <c r="F330" s="2">
        <v>299.97000000000003</v>
      </c>
      <c r="G330" s="2">
        <v>3</v>
      </c>
      <c r="H330" s="2">
        <v>131.99</v>
      </c>
      <c r="I330" t="str">
        <f t="shared" si="5"/>
        <v>Apr</v>
      </c>
      <c r="J330">
        <f>YEAR(datas[[#This Row],[Order Date]])</f>
        <v>2021</v>
      </c>
    </row>
    <row r="331" spans="1:10" ht="14.25" customHeight="1" x14ac:dyDescent="0.3">
      <c r="A331" s="1">
        <v>44293</v>
      </c>
      <c r="B331" s="2" t="s">
        <v>197</v>
      </c>
      <c r="C331" s="2" t="s">
        <v>198</v>
      </c>
      <c r="D331" s="2" t="s">
        <v>26</v>
      </c>
      <c r="E331" s="2" t="s">
        <v>32</v>
      </c>
      <c r="F331" s="2">
        <v>8.9600000000000009</v>
      </c>
      <c r="G331" s="2">
        <v>2</v>
      </c>
      <c r="H331" s="2">
        <v>2.78</v>
      </c>
      <c r="I331" t="str">
        <f t="shared" si="5"/>
        <v>Apr</v>
      </c>
      <c r="J331">
        <f>YEAR(datas[[#This Row],[Order Date]])</f>
        <v>2021</v>
      </c>
    </row>
    <row r="332" spans="1:10" ht="14.25" customHeight="1" x14ac:dyDescent="0.3">
      <c r="A332" s="1">
        <v>44293</v>
      </c>
      <c r="B332" s="2" t="s">
        <v>199</v>
      </c>
      <c r="C332" s="2" t="s">
        <v>43</v>
      </c>
      <c r="D332" s="2" t="s">
        <v>28</v>
      </c>
      <c r="E332" s="2" t="s">
        <v>29</v>
      </c>
      <c r="F332" s="2">
        <v>629.95000000000005</v>
      </c>
      <c r="G332" s="2">
        <v>5</v>
      </c>
      <c r="H332" s="2">
        <v>163.79</v>
      </c>
      <c r="I332" t="str">
        <f t="shared" si="5"/>
        <v>Apr</v>
      </c>
      <c r="J332">
        <f>YEAR(datas[[#This Row],[Order Date]])</f>
        <v>2021</v>
      </c>
    </row>
    <row r="333" spans="1:10" ht="14.25" customHeight="1" x14ac:dyDescent="0.3">
      <c r="A333" s="1">
        <v>44293</v>
      </c>
      <c r="B333" s="2" t="s">
        <v>199</v>
      </c>
      <c r="C333" s="2" t="s">
        <v>43</v>
      </c>
      <c r="D333" s="2" t="s">
        <v>10</v>
      </c>
      <c r="E333" s="2" t="s">
        <v>11</v>
      </c>
      <c r="F333" s="2">
        <v>122.97</v>
      </c>
      <c r="G333" s="2">
        <v>3</v>
      </c>
      <c r="H333" s="2">
        <v>60.26</v>
      </c>
      <c r="I333" t="str">
        <f t="shared" si="5"/>
        <v>Apr</v>
      </c>
      <c r="J333">
        <f>YEAR(datas[[#This Row],[Order Date]])</f>
        <v>2021</v>
      </c>
    </row>
    <row r="334" spans="1:10" ht="14.25" customHeight="1" x14ac:dyDescent="0.3">
      <c r="A334" s="1">
        <v>44293</v>
      </c>
      <c r="B334" s="2" t="s">
        <v>200</v>
      </c>
      <c r="C334" s="2" t="s">
        <v>23</v>
      </c>
      <c r="D334" s="2" t="s">
        <v>10</v>
      </c>
      <c r="E334" s="2" t="s">
        <v>11</v>
      </c>
      <c r="F334" s="2">
        <v>58.32</v>
      </c>
      <c r="G334" s="2">
        <v>9</v>
      </c>
      <c r="H334" s="2">
        <v>27.99</v>
      </c>
      <c r="I334" t="str">
        <f t="shared" si="5"/>
        <v>Apr</v>
      </c>
      <c r="J334">
        <f>YEAR(datas[[#This Row],[Order Date]])</f>
        <v>2021</v>
      </c>
    </row>
    <row r="335" spans="1:10" ht="14.25" customHeight="1" x14ac:dyDescent="0.3">
      <c r="A335" s="1">
        <v>44293</v>
      </c>
      <c r="B335" s="2" t="s">
        <v>200</v>
      </c>
      <c r="C335" s="2" t="s">
        <v>23</v>
      </c>
      <c r="D335" s="2" t="s">
        <v>28</v>
      </c>
      <c r="E335" s="2" t="s">
        <v>29</v>
      </c>
      <c r="F335" s="2">
        <v>200.97</v>
      </c>
      <c r="G335" s="2">
        <v>3</v>
      </c>
      <c r="H335" s="2">
        <v>50.24</v>
      </c>
      <c r="I335" t="str">
        <f t="shared" si="5"/>
        <v>Apr</v>
      </c>
      <c r="J335">
        <f>YEAR(datas[[#This Row],[Order Date]])</f>
        <v>2021</v>
      </c>
    </row>
    <row r="336" spans="1:10" ht="14.25" customHeight="1" x14ac:dyDescent="0.3">
      <c r="A336" s="1">
        <v>44294</v>
      </c>
      <c r="B336" s="2" t="s">
        <v>201</v>
      </c>
      <c r="C336" s="2" t="s">
        <v>55</v>
      </c>
      <c r="D336" s="2" t="s">
        <v>10</v>
      </c>
      <c r="E336" s="2" t="s">
        <v>30</v>
      </c>
      <c r="F336" s="2">
        <v>2.37</v>
      </c>
      <c r="G336" s="2">
        <v>2</v>
      </c>
      <c r="H336" s="2">
        <v>0.83</v>
      </c>
      <c r="I336" t="str">
        <f t="shared" si="5"/>
        <v>Apr</v>
      </c>
      <c r="J336">
        <f>YEAR(datas[[#This Row],[Order Date]])</f>
        <v>2021</v>
      </c>
    </row>
    <row r="337" spans="1:10" ht="14.25" customHeight="1" x14ac:dyDescent="0.3">
      <c r="A337" s="1">
        <v>44294</v>
      </c>
      <c r="B337" s="2" t="s">
        <v>201</v>
      </c>
      <c r="C337" s="2" t="s">
        <v>55</v>
      </c>
      <c r="D337" s="2" t="s">
        <v>10</v>
      </c>
      <c r="E337" s="2" t="s">
        <v>11</v>
      </c>
      <c r="F337" s="2">
        <v>19.010000000000002</v>
      </c>
      <c r="G337" s="2">
        <v>3</v>
      </c>
      <c r="H337" s="2">
        <v>6.89</v>
      </c>
      <c r="I337" t="str">
        <f t="shared" si="5"/>
        <v>Apr</v>
      </c>
      <c r="J337">
        <f>YEAR(datas[[#This Row],[Order Date]])</f>
        <v>2021</v>
      </c>
    </row>
    <row r="338" spans="1:10" ht="14.25" customHeight="1" x14ac:dyDescent="0.3">
      <c r="A338" s="1">
        <v>44294</v>
      </c>
      <c r="B338" s="2" t="s">
        <v>202</v>
      </c>
      <c r="C338" s="2" t="s">
        <v>198</v>
      </c>
      <c r="D338" s="2" t="s">
        <v>26</v>
      </c>
      <c r="E338" s="2" t="s">
        <v>73</v>
      </c>
      <c r="F338" s="2">
        <v>1215.92</v>
      </c>
      <c r="G338" s="2">
        <v>8</v>
      </c>
      <c r="H338" s="2">
        <v>316.14</v>
      </c>
      <c r="I338" t="str">
        <f t="shared" si="5"/>
        <v>Apr</v>
      </c>
      <c r="J338">
        <f>YEAR(datas[[#This Row],[Order Date]])</f>
        <v>2021</v>
      </c>
    </row>
    <row r="339" spans="1:10" ht="14.25" customHeight="1" x14ac:dyDescent="0.3">
      <c r="A339" s="1">
        <v>44294</v>
      </c>
      <c r="B339" s="2" t="s">
        <v>203</v>
      </c>
      <c r="C339" s="2" t="s">
        <v>55</v>
      </c>
      <c r="D339" s="2" t="s">
        <v>10</v>
      </c>
      <c r="E339" s="2" t="s">
        <v>30</v>
      </c>
      <c r="F339" s="2">
        <v>49.79</v>
      </c>
      <c r="G339" s="2">
        <v>8</v>
      </c>
      <c r="H339" s="2">
        <v>-11.83</v>
      </c>
      <c r="I339" t="str">
        <f t="shared" si="5"/>
        <v>Apr</v>
      </c>
      <c r="J339">
        <f>YEAR(datas[[#This Row],[Order Date]])</f>
        <v>2021</v>
      </c>
    </row>
    <row r="340" spans="1:10" ht="14.25" customHeight="1" x14ac:dyDescent="0.3">
      <c r="A340" s="1">
        <v>44294</v>
      </c>
      <c r="B340" s="2" t="s">
        <v>88</v>
      </c>
      <c r="C340" s="2" t="s">
        <v>21</v>
      </c>
      <c r="D340" s="2" t="s">
        <v>26</v>
      </c>
      <c r="E340" s="2" t="s">
        <v>73</v>
      </c>
      <c r="F340" s="2">
        <v>99.59</v>
      </c>
      <c r="G340" s="2">
        <v>1</v>
      </c>
      <c r="H340" s="2">
        <v>2.4900000000000002</v>
      </c>
      <c r="I340" t="str">
        <f t="shared" si="5"/>
        <v>Apr</v>
      </c>
      <c r="J340">
        <f>YEAR(datas[[#This Row],[Order Date]])</f>
        <v>2021</v>
      </c>
    </row>
    <row r="341" spans="1:10" ht="14.25" customHeight="1" x14ac:dyDescent="0.3">
      <c r="A341" s="1">
        <v>44294</v>
      </c>
      <c r="B341" s="2" t="s">
        <v>88</v>
      </c>
      <c r="C341" s="2" t="s">
        <v>21</v>
      </c>
      <c r="D341" s="2" t="s">
        <v>28</v>
      </c>
      <c r="E341" s="2" t="s">
        <v>34</v>
      </c>
      <c r="F341" s="2">
        <v>399.96</v>
      </c>
      <c r="G341" s="2">
        <v>4</v>
      </c>
      <c r="H341" s="2">
        <v>139.99</v>
      </c>
      <c r="I341" t="str">
        <f t="shared" si="5"/>
        <v>Apr</v>
      </c>
      <c r="J341">
        <f>YEAR(datas[[#This Row],[Order Date]])</f>
        <v>2021</v>
      </c>
    </row>
    <row r="342" spans="1:10" ht="14.25" customHeight="1" x14ac:dyDescent="0.3">
      <c r="A342" s="1">
        <v>44294</v>
      </c>
      <c r="B342" s="2" t="s">
        <v>204</v>
      </c>
      <c r="C342" s="2" t="s">
        <v>47</v>
      </c>
      <c r="D342" s="2" t="s">
        <v>26</v>
      </c>
      <c r="E342" s="2" t="s">
        <v>73</v>
      </c>
      <c r="F342" s="2">
        <v>172.11</v>
      </c>
      <c r="G342" s="2">
        <v>1</v>
      </c>
      <c r="H342" s="2">
        <v>-94.66</v>
      </c>
      <c r="I342" t="str">
        <f t="shared" si="5"/>
        <v>Apr</v>
      </c>
      <c r="J342">
        <f>YEAR(datas[[#This Row],[Order Date]])</f>
        <v>2021</v>
      </c>
    </row>
    <row r="343" spans="1:10" ht="14.25" customHeight="1" x14ac:dyDescent="0.3">
      <c r="A343" s="1">
        <v>44297</v>
      </c>
      <c r="B343" s="2" t="s">
        <v>205</v>
      </c>
      <c r="C343" s="2" t="s">
        <v>64</v>
      </c>
      <c r="D343" s="2" t="s">
        <v>10</v>
      </c>
      <c r="E343" s="2" t="s">
        <v>30</v>
      </c>
      <c r="F343" s="2">
        <v>6.91</v>
      </c>
      <c r="G343" s="2">
        <v>3</v>
      </c>
      <c r="H343" s="2">
        <v>2.33</v>
      </c>
      <c r="I343" t="str">
        <f t="shared" si="5"/>
        <v>Apr</v>
      </c>
      <c r="J343">
        <f>YEAR(datas[[#This Row],[Order Date]])</f>
        <v>2021</v>
      </c>
    </row>
    <row r="344" spans="1:10" ht="14.25" customHeight="1" x14ac:dyDescent="0.3">
      <c r="A344" s="1">
        <v>44297</v>
      </c>
      <c r="B344" s="2" t="s">
        <v>205</v>
      </c>
      <c r="C344" s="2" t="s">
        <v>64</v>
      </c>
      <c r="D344" s="2" t="s">
        <v>28</v>
      </c>
      <c r="E344" s="2" t="s">
        <v>34</v>
      </c>
      <c r="F344" s="2">
        <v>383.98</v>
      </c>
      <c r="G344" s="2">
        <v>3</v>
      </c>
      <c r="H344" s="2">
        <v>81.59</v>
      </c>
      <c r="I344" t="str">
        <f t="shared" si="5"/>
        <v>Apr</v>
      </c>
      <c r="J344">
        <f>YEAR(datas[[#This Row],[Order Date]])</f>
        <v>2021</v>
      </c>
    </row>
    <row r="345" spans="1:10" ht="14.25" customHeight="1" x14ac:dyDescent="0.3">
      <c r="A345" s="1">
        <v>44297</v>
      </c>
      <c r="B345" s="2" t="s">
        <v>205</v>
      </c>
      <c r="C345" s="2" t="s">
        <v>64</v>
      </c>
      <c r="D345" s="2" t="s">
        <v>10</v>
      </c>
      <c r="E345" s="2" t="s">
        <v>11</v>
      </c>
      <c r="F345" s="2">
        <v>10.37</v>
      </c>
      <c r="G345" s="2">
        <v>2</v>
      </c>
      <c r="H345" s="2">
        <v>3.63</v>
      </c>
      <c r="I345" t="str">
        <f t="shared" si="5"/>
        <v>Apr</v>
      </c>
      <c r="J345">
        <f>YEAR(datas[[#This Row],[Order Date]])</f>
        <v>2021</v>
      </c>
    </row>
    <row r="346" spans="1:10" ht="14.25" customHeight="1" x14ac:dyDescent="0.3">
      <c r="A346" s="1">
        <v>44297</v>
      </c>
      <c r="B346" s="2" t="s">
        <v>205</v>
      </c>
      <c r="C346" s="2" t="s">
        <v>64</v>
      </c>
      <c r="D346" s="2" t="s">
        <v>28</v>
      </c>
      <c r="E346" s="2" t="s">
        <v>34</v>
      </c>
      <c r="F346" s="2">
        <v>335.94</v>
      </c>
      <c r="G346" s="2">
        <v>7</v>
      </c>
      <c r="H346" s="2">
        <v>41.99</v>
      </c>
      <c r="I346" t="str">
        <f t="shared" si="5"/>
        <v>Apr</v>
      </c>
      <c r="J346">
        <f>YEAR(datas[[#This Row],[Order Date]])</f>
        <v>2021</v>
      </c>
    </row>
    <row r="347" spans="1:10" ht="14.25" customHeight="1" x14ac:dyDescent="0.3">
      <c r="A347" s="1">
        <v>44297</v>
      </c>
      <c r="B347" s="2" t="s">
        <v>206</v>
      </c>
      <c r="C347" s="2" t="s">
        <v>207</v>
      </c>
      <c r="D347" s="2" t="s">
        <v>10</v>
      </c>
      <c r="E347" s="2" t="s">
        <v>16</v>
      </c>
      <c r="F347" s="2">
        <v>9.58</v>
      </c>
      <c r="G347" s="2">
        <v>1</v>
      </c>
      <c r="H347" s="2">
        <v>3.35</v>
      </c>
      <c r="I347" t="str">
        <f t="shared" si="5"/>
        <v>Apr</v>
      </c>
      <c r="J347">
        <f>YEAR(datas[[#This Row],[Order Date]])</f>
        <v>2021</v>
      </c>
    </row>
    <row r="348" spans="1:10" ht="14.25" customHeight="1" x14ac:dyDescent="0.3">
      <c r="A348" s="1">
        <v>44297</v>
      </c>
      <c r="B348" s="2" t="s">
        <v>208</v>
      </c>
      <c r="C348" s="2" t="s">
        <v>9</v>
      </c>
      <c r="D348" s="2" t="s">
        <v>28</v>
      </c>
      <c r="E348" s="2" t="s">
        <v>29</v>
      </c>
      <c r="F348" s="2">
        <v>758.35</v>
      </c>
      <c r="G348" s="2">
        <v>6</v>
      </c>
      <c r="H348" s="2">
        <v>265.42</v>
      </c>
      <c r="I348" t="str">
        <f t="shared" si="5"/>
        <v>Apr</v>
      </c>
      <c r="J348">
        <f>YEAR(datas[[#This Row],[Order Date]])</f>
        <v>2021</v>
      </c>
    </row>
    <row r="349" spans="1:10" ht="14.25" customHeight="1" x14ac:dyDescent="0.3">
      <c r="A349" s="1">
        <v>44297</v>
      </c>
      <c r="B349" s="2" t="s">
        <v>209</v>
      </c>
      <c r="C349" s="2" t="s">
        <v>210</v>
      </c>
      <c r="D349" s="2" t="s">
        <v>10</v>
      </c>
      <c r="E349" s="2" t="s">
        <v>15</v>
      </c>
      <c r="F349" s="2">
        <v>87.08</v>
      </c>
      <c r="G349" s="2">
        <v>7</v>
      </c>
      <c r="H349" s="2">
        <v>24.38</v>
      </c>
      <c r="I349" t="str">
        <f t="shared" si="5"/>
        <v>Apr</v>
      </c>
      <c r="J349">
        <f>YEAR(datas[[#This Row],[Order Date]])</f>
        <v>2021</v>
      </c>
    </row>
    <row r="350" spans="1:10" ht="14.25" customHeight="1" x14ac:dyDescent="0.3">
      <c r="A350" s="1">
        <v>44297</v>
      </c>
      <c r="B350" s="2" t="s">
        <v>209</v>
      </c>
      <c r="C350" s="2" t="s">
        <v>210</v>
      </c>
      <c r="D350" s="2" t="s">
        <v>28</v>
      </c>
      <c r="E350" s="2" t="s">
        <v>29</v>
      </c>
      <c r="F350" s="2">
        <v>105.58</v>
      </c>
      <c r="G350" s="2">
        <v>2</v>
      </c>
      <c r="H350" s="2">
        <v>9.24</v>
      </c>
      <c r="I350" t="str">
        <f t="shared" si="5"/>
        <v>Apr</v>
      </c>
      <c r="J350">
        <f>YEAR(datas[[#This Row],[Order Date]])</f>
        <v>2021</v>
      </c>
    </row>
    <row r="351" spans="1:10" ht="14.25" customHeight="1" x14ac:dyDescent="0.3">
      <c r="A351" s="1">
        <v>44297</v>
      </c>
      <c r="B351" s="2" t="s">
        <v>209</v>
      </c>
      <c r="C351" s="2" t="s">
        <v>210</v>
      </c>
      <c r="D351" s="2" t="s">
        <v>28</v>
      </c>
      <c r="E351" s="2" t="s">
        <v>34</v>
      </c>
      <c r="F351" s="2">
        <v>217.44</v>
      </c>
      <c r="G351" s="2">
        <v>6</v>
      </c>
      <c r="H351" s="2">
        <v>91.32</v>
      </c>
      <c r="I351" t="str">
        <f t="shared" si="5"/>
        <v>Apr</v>
      </c>
      <c r="J351">
        <f>YEAR(datas[[#This Row],[Order Date]])</f>
        <v>2021</v>
      </c>
    </row>
    <row r="352" spans="1:10" ht="14.25" customHeight="1" x14ac:dyDescent="0.3">
      <c r="A352" s="1">
        <v>44298</v>
      </c>
      <c r="B352" s="2" t="s">
        <v>211</v>
      </c>
      <c r="C352" s="2" t="s">
        <v>21</v>
      </c>
      <c r="D352" s="2" t="s">
        <v>28</v>
      </c>
      <c r="E352" s="2" t="s">
        <v>29</v>
      </c>
      <c r="F352" s="2">
        <v>1075.0899999999999</v>
      </c>
      <c r="G352" s="2">
        <v>14</v>
      </c>
      <c r="H352" s="2">
        <v>94.07</v>
      </c>
      <c r="I352" t="str">
        <f t="shared" si="5"/>
        <v>Apr</v>
      </c>
      <c r="J352">
        <f>YEAR(datas[[#This Row],[Order Date]])</f>
        <v>2021</v>
      </c>
    </row>
    <row r="353" spans="1:10" ht="14.25" customHeight="1" x14ac:dyDescent="0.3">
      <c r="A353" s="1">
        <v>44298</v>
      </c>
      <c r="B353" s="2" t="s">
        <v>211</v>
      </c>
      <c r="C353" s="2" t="s">
        <v>21</v>
      </c>
      <c r="D353" s="2" t="s">
        <v>28</v>
      </c>
      <c r="E353" s="2" t="s">
        <v>29</v>
      </c>
      <c r="F353" s="2">
        <v>438.37</v>
      </c>
      <c r="G353" s="2">
        <v>4</v>
      </c>
      <c r="H353" s="2">
        <v>38.36</v>
      </c>
      <c r="I353" t="str">
        <f t="shared" si="5"/>
        <v>Apr</v>
      </c>
      <c r="J353">
        <f>YEAR(datas[[#This Row],[Order Date]])</f>
        <v>2021</v>
      </c>
    </row>
    <row r="354" spans="1:10" ht="14.25" customHeight="1" x14ac:dyDescent="0.3">
      <c r="A354" s="1">
        <v>44298</v>
      </c>
      <c r="B354" s="2" t="s">
        <v>211</v>
      </c>
      <c r="C354" s="2" t="s">
        <v>21</v>
      </c>
      <c r="D354" s="2" t="s">
        <v>10</v>
      </c>
      <c r="E354" s="2" t="s">
        <v>16</v>
      </c>
      <c r="F354" s="2">
        <v>18.09</v>
      </c>
      <c r="G354" s="2">
        <v>7</v>
      </c>
      <c r="H354" s="2">
        <v>6.56</v>
      </c>
      <c r="I354" t="str">
        <f t="shared" si="5"/>
        <v>Apr</v>
      </c>
      <c r="J354">
        <f>YEAR(datas[[#This Row],[Order Date]])</f>
        <v>2021</v>
      </c>
    </row>
    <row r="355" spans="1:10" ht="14.25" customHeight="1" x14ac:dyDescent="0.3">
      <c r="A355" s="1">
        <v>44298</v>
      </c>
      <c r="B355" s="2" t="s">
        <v>211</v>
      </c>
      <c r="C355" s="2" t="s">
        <v>21</v>
      </c>
      <c r="D355" s="2" t="s">
        <v>26</v>
      </c>
      <c r="E355" s="2" t="s">
        <v>45</v>
      </c>
      <c r="F355" s="2">
        <v>308.5</v>
      </c>
      <c r="G355" s="2">
        <v>3</v>
      </c>
      <c r="H355" s="2">
        <v>-18.149999999999999</v>
      </c>
      <c r="I355" t="str">
        <f t="shared" si="5"/>
        <v>Apr</v>
      </c>
      <c r="J355">
        <f>YEAR(datas[[#This Row],[Order Date]])</f>
        <v>2021</v>
      </c>
    </row>
    <row r="356" spans="1:10" ht="14.25" customHeight="1" x14ac:dyDescent="0.3">
      <c r="A356" s="1">
        <v>44298</v>
      </c>
      <c r="B356" s="2" t="s">
        <v>212</v>
      </c>
      <c r="C356" s="2" t="s">
        <v>68</v>
      </c>
      <c r="D356" s="2" t="s">
        <v>10</v>
      </c>
      <c r="E356" s="2" t="s">
        <v>11</v>
      </c>
      <c r="F356" s="2">
        <v>32.4</v>
      </c>
      <c r="G356" s="2">
        <v>5</v>
      </c>
      <c r="H356" s="2">
        <v>15.55</v>
      </c>
      <c r="I356" t="str">
        <f t="shared" si="5"/>
        <v>Apr</v>
      </c>
      <c r="J356">
        <f>YEAR(datas[[#This Row],[Order Date]])</f>
        <v>2021</v>
      </c>
    </row>
    <row r="357" spans="1:10" ht="14.25" customHeight="1" x14ac:dyDescent="0.3">
      <c r="A357" s="1">
        <v>44298</v>
      </c>
      <c r="B357" s="2" t="s">
        <v>213</v>
      </c>
      <c r="C357" s="2" t="s">
        <v>21</v>
      </c>
      <c r="D357" s="2" t="s">
        <v>10</v>
      </c>
      <c r="E357" s="2" t="s">
        <v>19</v>
      </c>
      <c r="F357" s="2">
        <v>39.68</v>
      </c>
      <c r="G357" s="2">
        <v>2</v>
      </c>
      <c r="H357" s="2">
        <v>16.27</v>
      </c>
      <c r="I357" t="str">
        <f t="shared" si="5"/>
        <v>Apr</v>
      </c>
      <c r="J357">
        <f>YEAR(datas[[#This Row],[Order Date]])</f>
        <v>2021</v>
      </c>
    </row>
    <row r="358" spans="1:10" ht="14.25" customHeight="1" x14ac:dyDescent="0.3">
      <c r="A358" s="1">
        <v>44299</v>
      </c>
      <c r="B358" s="2" t="s">
        <v>161</v>
      </c>
      <c r="C358" s="2" t="s">
        <v>18</v>
      </c>
      <c r="D358" s="2" t="s">
        <v>10</v>
      </c>
      <c r="E358" s="2" t="s">
        <v>19</v>
      </c>
      <c r="F358" s="2">
        <v>17.86</v>
      </c>
      <c r="G358" s="2">
        <v>4</v>
      </c>
      <c r="H358" s="2">
        <v>1.1200000000000001</v>
      </c>
      <c r="I358" t="str">
        <f t="shared" si="5"/>
        <v>Apr</v>
      </c>
      <c r="J358">
        <f>YEAR(datas[[#This Row],[Order Date]])</f>
        <v>2021</v>
      </c>
    </row>
    <row r="359" spans="1:10" ht="14.25" customHeight="1" x14ac:dyDescent="0.3">
      <c r="A359" s="1">
        <v>44299</v>
      </c>
      <c r="B359" s="2" t="s">
        <v>161</v>
      </c>
      <c r="C359" s="2" t="s">
        <v>18</v>
      </c>
      <c r="D359" s="2" t="s">
        <v>10</v>
      </c>
      <c r="E359" s="2" t="s">
        <v>16</v>
      </c>
      <c r="F359" s="2">
        <v>509.97</v>
      </c>
      <c r="G359" s="2">
        <v>10</v>
      </c>
      <c r="H359" s="2">
        <v>-407.98</v>
      </c>
      <c r="I359" t="str">
        <f t="shared" si="5"/>
        <v>Apr</v>
      </c>
      <c r="J359">
        <f>YEAR(datas[[#This Row],[Order Date]])</f>
        <v>2021</v>
      </c>
    </row>
    <row r="360" spans="1:10" ht="14.25" customHeight="1" x14ac:dyDescent="0.3">
      <c r="A360" s="1">
        <v>44299</v>
      </c>
      <c r="B360" s="2" t="s">
        <v>161</v>
      </c>
      <c r="C360" s="2" t="s">
        <v>18</v>
      </c>
      <c r="D360" s="2" t="s">
        <v>10</v>
      </c>
      <c r="E360" s="2" t="s">
        <v>30</v>
      </c>
      <c r="F360" s="2">
        <v>30.99</v>
      </c>
      <c r="G360" s="2">
        <v>13</v>
      </c>
      <c r="H360" s="2">
        <v>10.07</v>
      </c>
      <c r="I360" t="str">
        <f t="shared" si="5"/>
        <v>Apr</v>
      </c>
      <c r="J360">
        <f>YEAR(datas[[#This Row],[Order Date]])</f>
        <v>2021</v>
      </c>
    </row>
    <row r="361" spans="1:10" ht="14.25" customHeight="1" x14ac:dyDescent="0.3">
      <c r="A361" s="1">
        <v>44299</v>
      </c>
      <c r="B361" s="2" t="s">
        <v>161</v>
      </c>
      <c r="C361" s="2" t="s">
        <v>18</v>
      </c>
      <c r="D361" s="2" t="s">
        <v>28</v>
      </c>
      <c r="E361" s="2" t="s">
        <v>29</v>
      </c>
      <c r="F361" s="2">
        <v>71.930000000000007</v>
      </c>
      <c r="G361" s="2">
        <v>12</v>
      </c>
      <c r="H361" s="2">
        <v>8.39</v>
      </c>
      <c r="I361" t="str">
        <f t="shared" si="5"/>
        <v>Apr</v>
      </c>
      <c r="J361">
        <f>YEAR(datas[[#This Row],[Order Date]])</f>
        <v>2021</v>
      </c>
    </row>
    <row r="362" spans="1:10" ht="14.25" customHeight="1" x14ac:dyDescent="0.3">
      <c r="A362" s="1">
        <v>44299</v>
      </c>
      <c r="B362" s="2" t="s">
        <v>214</v>
      </c>
      <c r="C362" s="2" t="s">
        <v>215</v>
      </c>
      <c r="D362" s="2" t="s">
        <v>10</v>
      </c>
      <c r="E362" s="2" t="s">
        <v>14</v>
      </c>
      <c r="F362" s="2">
        <v>7.83</v>
      </c>
      <c r="G362" s="2">
        <v>3</v>
      </c>
      <c r="H362" s="2">
        <v>3.6</v>
      </c>
      <c r="I362" t="str">
        <f t="shared" si="5"/>
        <v>Apr</v>
      </c>
      <c r="J362">
        <f>YEAR(datas[[#This Row],[Order Date]])</f>
        <v>2021</v>
      </c>
    </row>
    <row r="363" spans="1:10" ht="14.25" customHeight="1" x14ac:dyDescent="0.3">
      <c r="A363" s="1">
        <v>44301</v>
      </c>
      <c r="B363" s="2" t="s">
        <v>216</v>
      </c>
      <c r="C363" s="2" t="s">
        <v>21</v>
      </c>
      <c r="D363" s="2" t="s">
        <v>10</v>
      </c>
      <c r="E363" s="2" t="s">
        <v>53</v>
      </c>
      <c r="F363" s="2">
        <v>106.96</v>
      </c>
      <c r="G363" s="2">
        <v>2</v>
      </c>
      <c r="H363" s="2">
        <v>31.02</v>
      </c>
      <c r="I363" t="str">
        <f t="shared" si="5"/>
        <v>Apr</v>
      </c>
      <c r="J363">
        <f>YEAR(datas[[#This Row],[Order Date]])</f>
        <v>2021</v>
      </c>
    </row>
    <row r="364" spans="1:10" ht="14.25" customHeight="1" x14ac:dyDescent="0.3">
      <c r="A364" s="1">
        <v>44301</v>
      </c>
      <c r="B364" s="2" t="s">
        <v>216</v>
      </c>
      <c r="C364" s="2" t="s">
        <v>21</v>
      </c>
      <c r="D364" s="2" t="s">
        <v>26</v>
      </c>
      <c r="E364" s="2" t="s">
        <v>32</v>
      </c>
      <c r="F364" s="2">
        <v>187.76</v>
      </c>
      <c r="G364" s="2">
        <v>4</v>
      </c>
      <c r="H364" s="2">
        <v>76.98</v>
      </c>
      <c r="I364" t="str">
        <f t="shared" si="5"/>
        <v>Apr</v>
      </c>
      <c r="J364">
        <f>YEAR(datas[[#This Row],[Order Date]])</f>
        <v>2021</v>
      </c>
    </row>
    <row r="365" spans="1:10" ht="14.25" customHeight="1" x14ac:dyDescent="0.3">
      <c r="A365" s="1">
        <v>44302</v>
      </c>
      <c r="B365" s="2" t="s">
        <v>217</v>
      </c>
      <c r="C365" s="2" t="s">
        <v>115</v>
      </c>
      <c r="D365" s="2" t="s">
        <v>10</v>
      </c>
      <c r="E365" s="2" t="s">
        <v>19</v>
      </c>
      <c r="F365" s="2">
        <v>39.07</v>
      </c>
      <c r="G365" s="2">
        <v>6</v>
      </c>
      <c r="H365" s="2">
        <v>9.77</v>
      </c>
      <c r="I365" t="str">
        <f t="shared" si="5"/>
        <v>Apr</v>
      </c>
      <c r="J365">
        <f>YEAR(datas[[#This Row],[Order Date]])</f>
        <v>2021</v>
      </c>
    </row>
    <row r="366" spans="1:10" ht="14.25" customHeight="1" x14ac:dyDescent="0.3">
      <c r="A366" s="1">
        <v>44304</v>
      </c>
      <c r="B366" s="2" t="s">
        <v>218</v>
      </c>
      <c r="C366" s="2" t="s">
        <v>21</v>
      </c>
      <c r="D366" s="2" t="s">
        <v>28</v>
      </c>
      <c r="E366" s="2" t="s">
        <v>136</v>
      </c>
      <c r="F366" s="2">
        <v>287.97000000000003</v>
      </c>
      <c r="G366" s="2">
        <v>4</v>
      </c>
      <c r="H366" s="2">
        <v>97.19</v>
      </c>
      <c r="I366" t="str">
        <f t="shared" si="5"/>
        <v>Apr</v>
      </c>
      <c r="J366">
        <f>YEAR(datas[[#This Row],[Order Date]])</f>
        <v>2021</v>
      </c>
    </row>
    <row r="367" spans="1:10" ht="14.25" customHeight="1" x14ac:dyDescent="0.3">
      <c r="A367" s="1">
        <v>44304</v>
      </c>
      <c r="B367" s="2" t="s">
        <v>218</v>
      </c>
      <c r="C367" s="2" t="s">
        <v>21</v>
      </c>
      <c r="D367" s="2" t="s">
        <v>10</v>
      </c>
      <c r="E367" s="2" t="s">
        <v>19</v>
      </c>
      <c r="F367" s="2">
        <v>13.12</v>
      </c>
      <c r="G367" s="2">
        <v>4</v>
      </c>
      <c r="H367" s="2">
        <v>3.8</v>
      </c>
      <c r="I367" t="str">
        <f t="shared" si="5"/>
        <v>Apr</v>
      </c>
      <c r="J367">
        <f>YEAR(datas[[#This Row],[Order Date]])</f>
        <v>2021</v>
      </c>
    </row>
    <row r="368" spans="1:10" ht="14.25" customHeight="1" x14ac:dyDescent="0.3">
      <c r="A368" s="1">
        <v>44304</v>
      </c>
      <c r="B368" s="2" t="s">
        <v>218</v>
      </c>
      <c r="C368" s="2" t="s">
        <v>21</v>
      </c>
      <c r="D368" s="2" t="s">
        <v>10</v>
      </c>
      <c r="E368" s="2" t="s">
        <v>19</v>
      </c>
      <c r="F368" s="2">
        <v>10.75</v>
      </c>
      <c r="G368" s="2">
        <v>5</v>
      </c>
      <c r="H368" s="2">
        <v>3.55</v>
      </c>
      <c r="I368" t="str">
        <f t="shared" si="5"/>
        <v>Apr</v>
      </c>
      <c r="J368">
        <f>YEAR(datas[[#This Row],[Order Date]])</f>
        <v>2021</v>
      </c>
    </row>
    <row r="369" spans="1:10" ht="14.25" customHeight="1" x14ac:dyDescent="0.3">
      <c r="A369" s="1">
        <v>44304</v>
      </c>
      <c r="B369" s="2" t="s">
        <v>218</v>
      </c>
      <c r="C369" s="2" t="s">
        <v>21</v>
      </c>
      <c r="D369" s="2" t="s">
        <v>10</v>
      </c>
      <c r="E369" s="2" t="s">
        <v>30</v>
      </c>
      <c r="F369" s="2">
        <v>11.62</v>
      </c>
      <c r="G369" s="2">
        <v>2</v>
      </c>
      <c r="H369" s="2">
        <v>3.6</v>
      </c>
      <c r="I369" t="str">
        <f t="shared" si="5"/>
        <v>Apr</v>
      </c>
      <c r="J369">
        <f>YEAR(datas[[#This Row],[Order Date]])</f>
        <v>2021</v>
      </c>
    </row>
    <row r="370" spans="1:10" ht="14.25" customHeight="1" x14ac:dyDescent="0.3">
      <c r="A370" s="1">
        <v>44304</v>
      </c>
      <c r="B370" s="2" t="s">
        <v>170</v>
      </c>
      <c r="C370" s="2" t="s">
        <v>9</v>
      </c>
      <c r="D370" s="2" t="s">
        <v>10</v>
      </c>
      <c r="E370" s="2" t="s">
        <v>19</v>
      </c>
      <c r="F370" s="2">
        <v>2.69</v>
      </c>
      <c r="G370" s="2">
        <v>2</v>
      </c>
      <c r="H370" s="2">
        <v>1.01</v>
      </c>
      <c r="I370" t="str">
        <f t="shared" si="5"/>
        <v>Apr</v>
      </c>
      <c r="J370">
        <f>YEAR(datas[[#This Row],[Order Date]])</f>
        <v>2021</v>
      </c>
    </row>
    <row r="371" spans="1:10" ht="14.25" customHeight="1" x14ac:dyDescent="0.3">
      <c r="A371" s="1">
        <v>44304</v>
      </c>
      <c r="B371" s="2" t="s">
        <v>170</v>
      </c>
      <c r="C371" s="2" t="s">
        <v>9</v>
      </c>
      <c r="D371" s="2" t="s">
        <v>26</v>
      </c>
      <c r="E371" s="2" t="s">
        <v>27</v>
      </c>
      <c r="F371" s="2">
        <v>317.06</v>
      </c>
      <c r="G371" s="2">
        <v>3</v>
      </c>
      <c r="H371" s="2">
        <v>-18.12</v>
      </c>
      <c r="I371" t="str">
        <f t="shared" si="5"/>
        <v>Apr</v>
      </c>
      <c r="J371">
        <f>YEAR(datas[[#This Row],[Order Date]])</f>
        <v>2021</v>
      </c>
    </row>
    <row r="372" spans="1:10" ht="14.25" customHeight="1" x14ac:dyDescent="0.3">
      <c r="A372" s="1">
        <v>44304</v>
      </c>
      <c r="B372" s="2" t="s">
        <v>170</v>
      </c>
      <c r="C372" s="2" t="s">
        <v>9</v>
      </c>
      <c r="D372" s="2" t="s">
        <v>10</v>
      </c>
      <c r="E372" s="2" t="s">
        <v>41</v>
      </c>
      <c r="F372" s="2">
        <v>149.35</v>
      </c>
      <c r="G372" s="2">
        <v>3</v>
      </c>
      <c r="H372" s="2">
        <v>50.41</v>
      </c>
      <c r="I372" t="str">
        <f t="shared" si="5"/>
        <v>Apr</v>
      </c>
      <c r="J372">
        <f>YEAR(datas[[#This Row],[Order Date]])</f>
        <v>2021</v>
      </c>
    </row>
    <row r="373" spans="1:10" ht="14.25" customHeight="1" x14ac:dyDescent="0.3">
      <c r="A373" s="1">
        <v>44304</v>
      </c>
      <c r="B373" s="2" t="s">
        <v>170</v>
      </c>
      <c r="C373" s="2" t="s">
        <v>9</v>
      </c>
      <c r="D373" s="2" t="s">
        <v>28</v>
      </c>
      <c r="E373" s="2" t="s">
        <v>34</v>
      </c>
      <c r="F373" s="2">
        <v>227.98</v>
      </c>
      <c r="G373" s="2">
        <v>3</v>
      </c>
      <c r="H373" s="2">
        <v>28.5</v>
      </c>
      <c r="I373" t="str">
        <f t="shared" si="5"/>
        <v>Apr</v>
      </c>
      <c r="J373">
        <f>YEAR(datas[[#This Row],[Order Date]])</f>
        <v>2021</v>
      </c>
    </row>
    <row r="374" spans="1:10" ht="14.25" customHeight="1" x14ac:dyDescent="0.3">
      <c r="A374" s="1">
        <v>44305</v>
      </c>
      <c r="B374" s="2" t="s">
        <v>219</v>
      </c>
      <c r="C374" s="2" t="s">
        <v>21</v>
      </c>
      <c r="D374" s="2" t="s">
        <v>26</v>
      </c>
      <c r="E374" s="2" t="s">
        <v>32</v>
      </c>
      <c r="F374" s="2">
        <v>76.14</v>
      </c>
      <c r="G374" s="2">
        <v>3</v>
      </c>
      <c r="H374" s="2">
        <v>26.65</v>
      </c>
      <c r="I374" t="str">
        <f t="shared" si="5"/>
        <v>Apr</v>
      </c>
      <c r="J374">
        <f>YEAR(datas[[#This Row],[Order Date]])</f>
        <v>2021</v>
      </c>
    </row>
    <row r="375" spans="1:10" ht="14.25" customHeight="1" x14ac:dyDescent="0.3">
      <c r="A375" s="1">
        <v>44305</v>
      </c>
      <c r="B375" s="2" t="s">
        <v>220</v>
      </c>
      <c r="C375" s="2" t="s">
        <v>36</v>
      </c>
      <c r="D375" s="2" t="s">
        <v>10</v>
      </c>
      <c r="E375" s="2" t="s">
        <v>16</v>
      </c>
      <c r="F375" s="2">
        <v>58.05</v>
      </c>
      <c r="G375" s="2">
        <v>3</v>
      </c>
      <c r="H375" s="2">
        <v>26.7</v>
      </c>
      <c r="I375" t="str">
        <f t="shared" si="5"/>
        <v>Apr</v>
      </c>
      <c r="J375">
        <f>YEAR(datas[[#This Row],[Order Date]])</f>
        <v>2021</v>
      </c>
    </row>
    <row r="376" spans="1:10" ht="14.25" customHeight="1" x14ac:dyDescent="0.3">
      <c r="A376" s="1">
        <v>44305</v>
      </c>
      <c r="B376" s="2" t="s">
        <v>220</v>
      </c>
      <c r="C376" s="2" t="s">
        <v>36</v>
      </c>
      <c r="D376" s="2" t="s">
        <v>10</v>
      </c>
      <c r="E376" s="2" t="s">
        <v>11</v>
      </c>
      <c r="F376" s="2">
        <v>71.28</v>
      </c>
      <c r="G376" s="2">
        <v>11</v>
      </c>
      <c r="H376" s="2">
        <v>34.21</v>
      </c>
      <c r="I376" t="str">
        <f t="shared" si="5"/>
        <v>Apr</v>
      </c>
      <c r="J376">
        <f>YEAR(datas[[#This Row],[Order Date]])</f>
        <v>2021</v>
      </c>
    </row>
    <row r="377" spans="1:10" ht="14.25" customHeight="1" x14ac:dyDescent="0.3">
      <c r="A377" s="1">
        <v>44306</v>
      </c>
      <c r="B377" s="2" t="s">
        <v>37</v>
      </c>
      <c r="C377" s="2" t="s">
        <v>9</v>
      </c>
      <c r="D377" s="2" t="s">
        <v>26</v>
      </c>
      <c r="E377" s="2" t="s">
        <v>73</v>
      </c>
      <c r="F377" s="2">
        <v>744.1</v>
      </c>
      <c r="G377" s="2">
        <v>5</v>
      </c>
      <c r="H377" s="2">
        <v>-95.67</v>
      </c>
      <c r="I377" t="str">
        <f t="shared" si="5"/>
        <v>Apr</v>
      </c>
      <c r="J377">
        <f>YEAR(datas[[#This Row],[Order Date]])</f>
        <v>2021</v>
      </c>
    </row>
    <row r="378" spans="1:10" ht="14.25" customHeight="1" x14ac:dyDescent="0.3">
      <c r="A378" s="1">
        <v>44306</v>
      </c>
      <c r="B378" s="2" t="s">
        <v>37</v>
      </c>
      <c r="C378" s="2" t="s">
        <v>9</v>
      </c>
      <c r="D378" s="2" t="s">
        <v>10</v>
      </c>
      <c r="E378" s="2" t="s">
        <v>15</v>
      </c>
      <c r="F378" s="2">
        <v>44.84</v>
      </c>
      <c r="G378" s="2">
        <v>5</v>
      </c>
      <c r="H378" s="2">
        <v>5.61</v>
      </c>
      <c r="I378" t="str">
        <f t="shared" si="5"/>
        <v>Apr</v>
      </c>
      <c r="J378">
        <f>YEAR(datas[[#This Row],[Order Date]])</f>
        <v>2021</v>
      </c>
    </row>
    <row r="379" spans="1:10" ht="14.25" customHeight="1" x14ac:dyDescent="0.3">
      <c r="A379" s="1">
        <v>44306</v>
      </c>
      <c r="B379" s="2" t="s">
        <v>37</v>
      </c>
      <c r="C379" s="2" t="s">
        <v>9</v>
      </c>
      <c r="D379" s="2" t="s">
        <v>26</v>
      </c>
      <c r="E379" s="2" t="s">
        <v>73</v>
      </c>
      <c r="F379" s="2">
        <v>401.59</v>
      </c>
      <c r="G379" s="2">
        <v>2</v>
      </c>
      <c r="H379" s="2">
        <v>-131.94999999999999</v>
      </c>
      <c r="I379" t="str">
        <f t="shared" si="5"/>
        <v>Apr</v>
      </c>
      <c r="J379">
        <f>YEAR(datas[[#This Row],[Order Date]])</f>
        <v>2021</v>
      </c>
    </row>
    <row r="380" spans="1:10" ht="14.25" customHeight="1" x14ac:dyDescent="0.3">
      <c r="A380" s="1">
        <v>44306</v>
      </c>
      <c r="B380" s="2" t="s">
        <v>221</v>
      </c>
      <c r="C380" s="2" t="s">
        <v>21</v>
      </c>
      <c r="D380" s="2" t="s">
        <v>26</v>
      </c>
      <c r="E380" s="2" t="s">
        <v>32</v>
      </c>
      <c r="F380" s="2">
        <v>59.92</v>
      </c>
      <c r="G380" s="2">
        <v>4</v>
      </c>
      <c r="H380" s="2">
        <v>27.56</v>
      </c>
      <c r="I380" t="str">
        <f t="shared" si="5"/>
        <v>Apr</v>
      </c>
      <c r="J380">
        <f>YEAR(datas[[#This Row],[Order Date]])</f>
        <v>2021</v>
      </c>
    </row>
    <row r="381" spans="1:10" ht="14.25" customHeight="1" x14ac:dyDescent="0.3">
      <c r="A381" s="1">
        <v>44307</v>
      </c>
      <c r="B381" s="2" t="s">
        <v>222</v>
      </c>
      <c r="C381" s="2" t="s">
        <v>21</v>
      </c>
      <c r="D381" s="2" t="s">
        <v>10</v>
      </c>
      <c r="E381" s="2" t="s">
        <v>16</v>
      </c>
      <c r="F381" s="2">
        <v>16.52</v>
      </c>
      <c r="G381" s="2">
        <v>5</v>
      </c>
      <c r="H381" s="2">
        <v>5.58</v>
      </c>
      <c r="I381" t="str">
        <f t="shared" si="5"/>
        <v>Apr</v>
      </c>
      <c r="J381">
        <f>YEAR(datas[[#This Row],[Order Date]])</f>
        <v>2021</v>
      </c>
    </row>
    <row r="382" spans="1:10" ht="14.25" customHeight="1" x14ac:dyDescent="0.3">
      <c r="A382" s="1">
        <v>44307</v>
      </c>
      <c r="B382" s="2" t="s">
        <v>223</v>
      </c>
      <c r="C382" s="2" t="s">
        <v>25</v>
      </c>
      <c r="D382" s="2" t="s">
        <v>10</v>
      </c>
      <c r="E382" s="2" t="s">
        <v>15</v>
      </c>
      <c r="F382" s="2">
        <v>828.84</v>
      </c>
      <c r="G382" s="2">
        <v>6</v>
      </c>
      <c r="H382" s="2">
        <v>0</v>
      </c>
      <c r="I382" t="str">
        <f t="shared" si="5"/>
        <v>Apr</v>
      </c>
      <c r="J382">
        <f>YEAR(datas[[#This Row],[Order Date]])</f>
        <v>2021</v>
      </c>
    </row>
    <row r="383" spans="1:10" ht="14.25" customHeight="1" x14ac:dyDescent="0.3">
      <c r="A383" s="1">
        <v>44308</v>
      </c>
      <c r="B383" s="2" t="s">
        <v>224</v>
      </c>
      <c r="C383" s="2" t="s">
        <v>75</v>
      </c>
      <c r="D383" s="2" t="s">
        <v>10</v>
      </c>
      <c r="E383" s="2" t="s">
        <v>41</v>
      </c>
      <c r="F383" s="2">
        <v>247.84</v>
      </c>
      <c r="G383" s="2">
        <v>8</v>
      </c>
      <c r="H383" s="2">
        <v>121.44</v>
      </c>
      <c r="I383" t="str">
        <f t="shared" si="5"/>
        <v>Apr</v>
      </c>
      <c r="J383">
        <f>YEAR(datas[[#This Row],[Order Date]])</f>
        <v>2021</v>
      </c>
    </row>
    <row r="384" spans="1:10" ht="14.25" customHeight="1" x14ac:dyDescent="0.3">
      <c r="A384" s="1">
        <v>44308</v>
      </c>
      <c r="B384" s="2" t="s">
        <v>224</v>
      </c>
      <c r="C384" s="2" t="s">
        <v>75</v>
      </c>
      <c r="D384" s="2" t="s">
        <v>10</v>
      </c>
      <c r="E384" s="2" t="s">
        <v>16</v>
      </c>
      <c r="F384" s="2">
        <v>9.91</v>
      </c>
      <c r="G384" s="2">
        <v>3</v>
      </c>
      <c r="H384" s="2">
        <v>3.35</v>
      </c>
      <c r="I384" t="str">
        <f t="shared" si="5"/>
        <v>Apr</v>
      </c>
      <c r="J384">
        <f>YEAR(datas[[#This Row],[Order Date]])</f>
        <v>2021</v>
      </c>
    </row>
    <row r="385" spans="1:10" ht="14.25" customHeight="1" x14ac:dyDescent="0.3">
      <c r="A385" s="1">
        <v>44309</v>
      </c>
      <c r="B385" s="2" t="s">
        <v>225</v>
      </c>
      <c r="C385" s="2" t="s">
        <v>18</v>
      </c>
      <c r="D385" s="2" t="s">
        <v>10</v>
      </c>
      <c r="E385" s="2" t="s">
        <v>16</v>
      </c>
      <c r="F385" s="2">
        <v>2.5</v>
      </c>
      <c r="G385" s="2">
        <v>3</v>
      </c>
      <c r="H385" s="2">
        <v>-1.75</v>
      </c>
      <c r="I385" t="str">
        <f t="shared" si="5"/>
        <v>Apr</v>
      </c>
      <c r="J385">
        <f>YEAR(datas[[#This Row],[Order Date]])</f>
        <v>2021</v>
      </c>
    </row>
    <row r="386" spans="1:10" ht="14.25" customHeight="1" x14ac:dyDescent="0.3">
      <c r="A386" s="1">
        <v>44309</v>
      </c>
      <c r="B386" s="2" t="s">
        <v>226</v>
      </c>
      <c r="C386" s="2" t="s">
        <v>47</v>
      </c>
      <c r="D386" s="2" t="s">
        <v>26</v>
      </c>
      <c r="E386" s="2" t="s">
        <v>27</v>
      </c>
      <c r="F386" s="2">
        <v>281.37</v>
      </c>
      <c r="G386" s="2">
        <v>2</v>
      </c>
      <c r="H386" s="2">
        <v>-12.06</v>
      </c>
      <c r="I386" t="str">
        <f t="shared" si="5"/>
        <v>Apr</v>
      </c>
      <c r="J386">
        <f>YEAR(datas[[#This Row],[Order Date]])</f>
        <v>2021</v>
      </c>
    </row>
    <row r="387" spans="1:10" ht="14.25" customHeight="1" x14ac:dyDescent="0.3">
      <c r="A387" s="1">
        <v>44309</v>
      </c>
      <c r="B387" s="2" t="s">
        <v>226</v>
      </c>
      <c r="C387" s="2" t="s">
        <v>47</v>
      </c>
      <c r="D387" s="2" t="s">
        <v>10</v>
      </c>
      <c r="E387" s="2" t="s">
        <v>16</v>
      </c>
      <c r="F387" s="2">
        <v>7.49</v>
      </c>
      <c r="G387" s="2">
        <v>8</v>
      </c>
      <c r="H387" s="2">
        <v>-5.24</v>
      </c>
      <c r="I387" t="str">
        <f t="shared" ref="I387:I450" si="6">TEXT(A387,"mmm")</f>
        <v>Apr</v>
      </c>
      <c r="J387">
        <f>YEAR(datas[[#This Row],[Order Date]])</f>
        <v>2021</v>
      </c>
    </row>
    <row r="388" spans="1:10" ht="14.25" customHeight="1" x14ac:dyDescent="0.3">
      <c r="A388" s="1">
        <v>44309</v>
      </c>
      <c r="B388" s="2" t="s">
        <v>226</v>
      </c>
      <c r="C388" s="2" t="s">
        <v>47</v>
      </c>
      <c r="D388" s="2" t="s">
        <v>26</v>
      </c>
      <c r="E388" s="2" t="s">
        <v>32</v>
      </c>
      <c r="F388" s="2">
        <v>22.34</v>
      </c>
      <c r="G388" s="2">
        <v>4</v>
      </c>
      <c r="H388" s="2">
        <v>7.82</v>
      </c>
      <c r="I388" t="str">
        <f t="shared" si="6"/>
        <v>Apr</v>
      </c>
      <c r="J388">
        <f>YEAR(datas[[#This Row],[Order Date]])</f>
        <v>2021</v>
      </c>
    </row>
    <row r="389" spans="1:10" ht="14.25" customHeight="1" x14ac:dyDescent="0.3">
      <c r="A389" s="1">
        <v>44309</v>
      </c>
      <c r="B389" s="2" t="s">
        <v>88</v>
      </c>
      <c r="C389" s="2" t="s">
        <v>21</v>
      </c>
      <c r="D389" s="2" t="s">
        <v>10</v>
      </c>
      <c r="E389" s="2" t="s">
        <v>11</v>
      </c>
      <c r="F389" s="2">
        <v>48.91</v>
      </c>
      <c r="G389" s="2">
        <v>1</v>
      </c>
      <c r="H389" s="2">
        <v>22.99</v>
      </c>
      <c r="I389" t="str">
        <f t="shared" si="6"/>
        <v>Apr</v>
      </c>
      <c r="J389">
        <f>YEAR(datas[[#This Row],[Order Date]])</f>
        <v>2021</v>
      </c>
    </row>
    <row r="390" spans="1:10" ht="14.25" customHeight="1" x14ac:dyDescent="0.3">
      <c r="A390" s="1">
        <v>44311</v>
      </c>
      <c r="B390" s="2" t="s">
        <v>227</v>
      </c>
      <c r="C390" s="2" t="s">
        <v>9</v>
      </c>
      <c r="D390" s="2" t="s">
        <v>10</v>
      </c>
      <c r="E390" s="2" t="s">
        <v>11</v>
      </c>
      <c r="F390" s="2">
        <v>10.37</v>
      </c>
      <c r="G390" s="2">
        <v>2</v>
      </c>
      <c r="H390" s="2">
        <v>3.63</v>
      </c>
      <c r="I390" t="str">
        <f t="shared" si="6"/>
        <v>Apr</v>
      </c>
      <c r="J390">
        <f>YEAR(datas[[#This Row],[Order Date]])</f>
        <v>2021</v>
      </c>
    </row>
    <row r="391" spans="1:10" ht="14.25" customHeight="1" x14ac:dyDescent="0.3">
      <c r="A391" s="1">
        <v>44311</v>
      </c>
      <c r="B391" s="2" t="s">
        <v>227</v>
      </c>
      <c r="C391" s="2" t="s">
        <v>9</v>
      </c>
      <c r="D391" s="2" t="s">
        <v>10</v>
      </c>
      <c r="E391" s="2" t="s">
        <v>19</v>
      </c>
      <c r="F391" s="2">
        <v>6.24</v>
      </c>
      <c r="G391" s="2">
        <v>3</v>
      </c>
      <c r="H391" s="2">
        <v>0.55000000000000004</v>
      </c>
      <c r="I391" t="str">
        <f t="shared" si="6"/>
        <v>Apr</v>
      </c>
      <c r="J391">
        <f>YEAR(datas[[#This Row],[Order Date]])</f>
        <v>2021</v>
      </c>
    </row>
    <row r="392" spans="1:10" ht="14.25" customHeight="1" x14ac:dyDescent="0.3">
      <c r="A392" s="1">
        <v>44311</v>
      </c>
      <c r="B392" s="2" t="s">
        <v>228</v>
      </c>
      <c r="C392" s="2" t="s">
        <v>115</v>
      </c>
      <c r="D392" s="2" t="s">
        <v>28</v>
      </c>
      <c r="E392" s="2" t="s">
        <v>29</v>
      </c>
      <c r="F392" s="2">
        <v>302.38</v>
      </c>
      <c r="G392" s="2">
        <v>3</v>
      </c>
      <c r="H392" s="2">
        <v>37.799999999999997</v>
      </c>
      <c r="I392" t="str">
        <f t="shared" si="6"/>
        <v>Apr</v>
      </c>
      <c r="J392">
        <f>YEAR(datas[[#This Row],[Order Date]])</f>
        <v>2021</v>
      </c>
    </row>
    <row r="393" spans="1:10" ht="14.25" customHeight="1" x14ac:dyDescent="0.3">
      <c r="A393" s="1">
        <v>44311</v>
      </c>
      <c r="B393" s="2" t="s">
        <v>229</v>
      </c>
      <c r="C393" s="2" t="s">
        <v>21</v>
      </c>
      <c r="D393" s="2" t="s">
        <v>26</v>
      </c>
      <c r="E393" s="2" t="s">
        <v>32</v>
      </c>
      <c r="F393" s="2">
        <v>303.25</v>
      </c>
      <c r="G393" s="2">
        <v>5</v>
      </c>
      <c r="H393" s="2">
        <v>63.68</v>
      </c>
      <c r="I393" t="str">
        <f t="shared" si="6"/>
        <v>Apr</v>
      </c>
      <c r="J393">
        <f>YEAR(datas[[#This Row],[Order Date]])</f>
        <v>2021</v>
      </c>
    </row>
    <row r="394" spans="1:10" ht="14.25" customHeight="1" x14ac:dyDescent="0.3">
      <c r="A394" s="1">
        <v>44311</v>
      </c>
      <c r="B394" s="2" t="s">
        <v>229</v>
      </c>
      <c r="C394" s="2" t="s">
        <v>21</v>
      </c>
      <c r="D394" s="2" t="s">
        <v>10</v>
      </c>
      <c r="E394" s="2" t="s">
        <v>53</v>
      </c>
      <c r="F394" s="2">
        <v>270.72000000000003</v>
      </c>
      <c r="G394" s="2">
        <v>3</v>
      </c>
      <c r="H394" s="2">
        <v>78.510000000000005</v>
      </c>
      <c r="I394" t="str">
        <f t="shared" si="6"/>
        <v>Apr</v>
      </c>
      <c r="J394">
        <f>YEAR(datas[[#This Row],[Order Date]])</f>
        <v>2021</v>
      </c>
    </row>
    <row r="395" spans="1:10" ht="14.25" customHeight="1" x14ac:dyDescent="0.3">
      <c r="A395" s="1">
        <v>44311</v>
      </c>
      <c r="B395" s="2" t="s">
        <v>229</v>
      </c>
      <c r="C395" s="2" t="s">
        <v>21</v>
      </c>
      <c r="D395" s="2" t="s">
        <v>26</v>
      </c>
      <c r="E395" s="2" t="s">
        <v>27</v>
      </c>
      <c r="F395" s="2">
        <v>1487.04</v>
      </c>
      <c r="G395" s="2">
        <v>5</v>
      </c>
      <c r="H395" s="2">
        <v>148.69999999999999</v>
      </c>
      <c r="I395" t="str">
        <f t="shared" si="6"/>
        <v>Apr</v>
      </c>
      <c r="J395">
        <f>YEAR(datas[[#This Row],[Order Date]])</f>
        <v>2021</v>
      </c>
    </row>
    <row r="396" spans="1:10" ht="14.25" customHeight="1" x14ac:dyDescent="0.3">
      <c r="A396" s="1">
        <v>44312</v>
      </c>
      <c r="B396" s="2" t="s">
        <v>230</v>
      </c>
      <c r="C396" s="2" t="s">
        <v>21</v>
      </c>
      <c r="D396" s="2" t="s">
        <v>26</v>
      </c>
      <c r="E396" s="2" t="s">
        <v>27</v>
      </c>
      <c r="F396" s="2">
        <v>230.28</v>
      </c>
      <c r="G396" s="2">
        <v>3</v>
      </c>
      <c r="H396" s="2">
        <v>23.03</v>
      </c>
      <c r="I396" t="str">
        <f t="shared" si="6"/>
        <v>Apr</v>
      </c>
      <c r="J396">
        <f>YEAR(datas[[#This Row],[Order Date]])</f>
        <v>2021</v>
      </c>
    </row>
    <row r="397" spans="1:10" ht="14.25" customHeight="1" x14ac:dyDescent="0.3">
      <c r="A397" s="1">
        <v>44312</v>
      </c>
      <c r="B397" s="2" t="s">
        <v>230</v>
      </c>
      <c r="C397" s="2" t="s">
        <v>21</v>
      </c>
      <c r="D397" s="2" t="s">
        <v>10</v>
      </c>
      <c r="E397" s="2" t="s">
        <v>16</v>
      </c>
      <c r="F397" s="2">
        <v>18.29</v>
      </c>
      <c r="G397" s="2">
        <v>6</v>
      </c>
      <c r="H397" s="2">
        <v>5.72</v>
      </c>
      <c r="I397" t="str">
        <f t="shared" si="6"/>
        <v>Apr</v>
      </c>
      <c r="J397">
        <f>YEAR(datas[[#This Row],[Order Date]])</f>
        <v>2021</v>
      </c>
    </row>
    <row r="398" spans="1:10" ht="14.25" customHeight="1" x14ac:dyDescent="0.3">
      <c r="A398" s="1">
        <v>44312</v>
      </c>
      <c r="B398" s="2" t="s">
        <v>231</v>
      </c>
      <c r="C398" s="2" t="s">
        <v>21</v>
      </c>
      <c r="D398" s="2" t="s">
        <v>10</v>
      </c>
      <c r="E398" s="2" t="s">
        <v>19</v>
      </c>
      <c r="F398" s="2">
        <v>21.4</v>
      </c>
      <c r="G398" s="2">
        <v>5</v>
      </c>
      <c r="H398" s="2">
        <v>6.21</v>
      </c>
      <c r="I398" t="str">
        <f t="shared" si="6"/>
        <v>Apr</v>
      </c>
      <c r="J398">
        <f>YEAR(datas[[#This Row],[Order Date]])</f>
        <v>2021</v>
      </c>
    </row>
    <row r="399" spans="1:10" ht="14.25" customHeight="1" x14ac:dyDescent="0.3">
      <c r="A399" s="1">
        <v>44312</v>
      </c>
      <c r="B399" s="2" t="s">
        <v>231</v>
      </c>
      <c r="C399" s="2" t="s">
        <v>21</v>
      </c>
      <c r="D399" s="2" t="s">
        <v>10</v>
      </c>
      <c r="E399" s="2" t="s">
        <v>14</v>
      </c>
      <c r="F399" s="2">
        <v>12.6</v>
      </c>
      <c r="G399" s="2">
        <v>2</v>
      </c>
      <c r="H399" s="2">
        <v>5.8</v>
      </c>
      <c r="I399" t="str">
        <f t="shared" si="6"/>
        <v>Apr</v>
      </c>
      <c r="J399">
        <f>YEAR(datas[[#This Row],[Order Date]])</f>
        <v>2021</v>
      </c>
    </row>
    <row r="400" spans="1:10" ht="14.25" customHeight="1" x14ac:dyDescent="0.3">
      <c r="A400" s="1">
        <v>44314</v>
      </c>
      <c r="B400" s="2" t="s">
        <v>232</v>
      </c>
      <c r="C400" s="2" t="s">
        <v>215</v>
      </c>
      <c r="D400" s="2" t="s">
        <v>10</v>
      </c>
      <c r="E400" s="2" t="s">
        <v>16</v>
      </c>
      <c r="F400" s="2">
        <v>20.86</v>
      </c>
      <c r="G400" s="2">
        <v>2</v>
      </c>
      <c r="H400" s="2">
        <v>9.39</v>
      </c>
      <c r="I400" t="str">
        <f t="shared" si="6"/>
        <v>Apr</v>
      </c>
      <c r="J400">
        <f>YEAR(datas[[#This Row],[Order Date]])</f>
        <v>2021</v>
      </c>
    </row>
    <row r="401" spans="1:10" ht="14.25" customHeight="1" x14ac:dyDescent="0.3">
      <c r="A401" s="1">
        <v>44314</v>
      </c>
      <c r="B401" s="2" t="s">
        <v>232</v>
      </c>
      <c r="C401" s="2" t="s">
        <v>215</v>
      </c>
      <c r="D401" s="2" t="s">
        <v>10</v>
      </c>
      <c r="E401" s="2" t="s">
        <v>15</v>
      </c>
      <c r="F401" s="2">
        <v>497.61</v>
      </c>
      <c r="G401" s="2">
        <v>9</v>
      </c>
      <c r="H401" s="2">
        <v>129.38</v>
      </c>
      <c r="I401" t="str">
        <f t="shared" si="6"/>
        <v>Apr</v>
      </c>
      <c r="J401">
        <f>YEAR(datas[[#This Row],[Order Date]])</f>
        <v>2021</v>
      </c>
    </row>
    <row r="402" spans="1:10" ht="14.25" customHeight="1" x14ac:dyDescent="0.3">
      <c r="A402" s="1">
        <v>44314</v>
      </c>
      <c r="B402" s="2" t="s">
        <v>232</v>
      </c>
      <c r="C402" s="2" t="s">
        <v>215</v>
      </c>
      <c r="D402" s="2" t="s">
        <v>10</v>
      </c>
      <c r="E402" s="2" t="s">
        <v>19</v>
      </c>
      <c r="F402" s="2">
        <v>5.34</v>
      </c>
      <c r="G402" s="2">
        <v>2</v>
      </c>
      <c r="H402" s="2">
        <v>1.5</v>
      </c>
      <c r="I402" t="str">
        <f t="shared" si="6"/>
        <v>Apr</v>
      </c>
      <c r="J402">
        <f>YEAR(datas[[#This Row],[Order Date]])</f>
        <v>2021</v>
      </c>
    </row>
    <row r="403" spans="1:10" ht="14.25" customHeight="1" x14ac:dyDescent="0.3">
      <c r="A403" s="1">
        <v>44314</v>
      </c>
      <c r="B403" s="2" t="s">
        <v>232</v>
      </c>
      <c r="C403" s="2" t="s">
        <v>215</v>
      </c>
      <c r="D403" s="2" t="s">
        <v>10</v>
      </c>
      <c r="E403" s="2" t="s">
        <v>14</v>
      </c>
      <c r="F403" s="2">
        <v>3.15</v>
      </c>
      <c r="G403" s="2">
        <v>1</v>
      </c>
      <c r="H403" s="2">
        <v>1.51</v>
      </c>
      <c r="I403" t="str">
        <f t="shared" si="6"/>
        <v>Apr</v>
      </c>
      <c r="J403">
        <f>YEAR(datas[[#This Row],[Order Date]])</f>
        <v>2021</v>
      </c>
    </row>
    <row r="404" spans="1:10" ht="14.25" customHeight="1" x14ac:dyDescent="0.3">
      <c r="A404" s="1">
        <v>44314</v>
      </c>
      <c r="B404" s="2" t="s">
        <v>233</v>
      </c>
      <c r="C404" s="2" t="s">
        <v>47</v>
      </c>
      <c r="D404" s="2" t="s">
        <v>10</v>
      </c>
      <c r="E404" s="2" t="s">
        <v>14</v>
      </c>
      <c r="F404" s="2">
        <v>6.91</v>
      </c>
      <c r="G404" s="2">
        <v>3</v>
      </c>
      <c r="H404" s="2">
        <v>2.5099999999999998</v>
      </c>
      <c r="I404" t="str">
        <f t="shared" si="6"/>
        <v>Apr</v>
      </c>
      <c r="J404">
        <f>YEAR(datas[[#This Row],[Order Date]])</f>
        <v>2021</v>
      </c>
    </row>
    <row r="405" spans="1:10" ht="14.25" customHeight="1" x14ac:dyDescent="0.3">
      <c r="A405" s="1">
        <v>44314</v>
      </c>
      <c r="B405" s="2" t="s">
        <v>233</v>
      </c>
      <c r="C405" s="2" t="s">
        <v>47</v>
      </c>
      <c r="D405" s="2" t="s">
        <v>10</v>
      </c>
      <c r="E405" s="2" t="s">
        <v>15</v>
      </c>
      <c r="F405" s="2">
        <v>27.1</v>
      </c>
      <c r="G405" s="2">
        <v>3</v>
      </c>
      <c r="H405" s="2">
        <v>2.0299999999999998</v>
      </c>
      <c r="I405" t="str">
        <f t="shared" si="6"/>
        <v>Apr</v>
      </c>
      <c r="J405">
        <f>YEAR(datas[[#This Row],[Order Date]])</f>
        <v>2021</v>
      </c>
    </row>
    <row r="406" spans="1:10" ht="14.25" customHeight="1" x14ac:dyDescent="0.3">
      <c r="A406" s="1">
        <v>44314</v>
      </c>
      <c r="B406" s="2" t="s">
        <v>233</v>
      </c>
      <c r="C406" s="2" t="s">
        <v>47</v>
      </c>
      <c r="D406" s="2" t="s">
        <v>10</v>
      </c>
      <c r="E406" s="2" t="s">
        <v>15</v>
      </c>
      <c r="F406" s="2">
        <v>177.57</v>
      </c>
      <c r="G406" s="2">
        <v>2</v>
      </c>
      <c r="H406" s="2">
        <v>-37.729999999999997</v>
      </c>
      <c r="I406" t="str">
        <f t="shared" si="6"/>
        <v>Apr</v>
      </c>
      <c r="J406">
        <f>YEAR(datas[[#This Row],[Order Date]])</f>
        <v>2021</v>
      </c>
    </row>
    <row r="407" spans="1:10" ht="14.25" customHeight="1" x14ac:dyDescent="0.3">
      <c r="A407" s="1">
        <v>44314</v>
      </c>
      <c r="B407" s="2" t="s">
        <v>234</v>
      </c>
      <c r="C407" s="2" t="s">
        <v>21</v>
      </c>
      <c r="D407" s="2" t="s">
        <v>28</v>
      </c>
      <c r="E407" s="2" t="s">
        <v>29</v>
      </c>
      <c r="F407" s="2">
        <v>1679.96</v>
      </c>
      <c r="G407" s="2">
        <v>5</v>
      </c>
      <c r="H407" s="2">
        <v>126</v>
      </c>
      <c r="I407" t="str">
        <f t="shared" si="6"/>
        <v>Apr</v>
      </c>
      <c r="J407">
        <f>YEAR(datas[[#This Row],[Order Date]])</f>
        <v>2021</v>
      </c>
    </row>
    <row r="408" spans="1:10" ht="14.25" customHeight="1" x14ac:dyDescent="0.3">
      <c r="A408" s="1">
        <v>44314</v>
      </c>
      <c r="B408" s="2" t="s">
        <v>235</v>
      </c>
      <c r="C408" s="2" t="s">
        <v>75</v>
      </c>
      <c r="D408" s="2" t="s">
        <v>28</v>
      </c>
      <c r="E408" s="2" t="s">
        <v>34</v>
      </c>
      <c r="F408" s="2">
        <v>159.97999999999999</v>
      </c>
      <c r="G408" s="2">
        <v>2</v>
      </c>
      <c r="H408" s="2">
        <v>57.59</v>
      </c>
      <c r="I408" t="str">
        <f t="shared" si="6"/>
        <v>Apr</v>
      </c>
      <c r="J408">
        <f>YEAR(datas[[#This Row],[Order Date]])</f>
        <v>2021</v>
      </c>
    </row>
    <row r="409" spans="1:10" ht="14.25" customHeight="1" x14ac:dyDescent="0.3">
      <c r="A409" s="1">
        <v>44315</v>
      </c>
      <c r="B409" s="2" t="s">
        <v>236</v>
      </c>
      <c r="C409" s="2" t="s">
        <v>75</v>
      </c>
      <c r="D409" s="2" t="s">
        <v>26</v>
      </c>
      <c r="E409" s="2" t="s">
        <v>32</v>
      </c>
      <c r="F409" s="2">
        <v>17.46</v>
      </c>
      <c r="G409" s="2">
        <v>2</v>
      </c>
      <c r="H409" s="2">
        <v>5.94</v>
      </c>
      <c r="I409" t="str">
        <f t="shared" si="6"/>
        <v>Apr</v>
      </c>
      <c r="J409">
        <f>YEAR(datas[[#This Row],[Order Date]])</f>
        <v>2021</v>
      </c>
    </row>
    <row r="410" spans="1:10" ht="14.25" customHeight="1" x14ac:dyDescent="0.3">
      <c r="A410" s="1">
        <v>44315</v>
      </c>
      <c r="B410" s="2" t="s">
        <v>237</v>
      </c>
      <c r="C410" s="2" t="s">
        <v>40</v>
      </c>
      <c r="D410" s="2" t="s">
        <v>26</v>
      </c>
      <c r="E410" s="2" t="s">
        <v>27</v>
      </c>
      <c r="F410" s="2">
        <v>51.96</v>
      </c>
      <c r="G410" s="2">
        <v>2</v>
      </c>
      <c r="H410" s="2">
        <v>12.99</v>
      </c>
      <c r="I410" t="str">
        <f t="shared" si="6"/>
        <v>Apr</v>
      </c>
      <c r="J410">
        <f>YEAR(datas[[#This Row],[Order Date]])</f>
        <v>2021</v>
      </c>
    </row>
    <row r="411" spans="1:10" ht="14.25" customHeight="1" x14ac:dyDescent="0.3">
      <c r="A411" s="1">
        <v>44315</v>
      </c>
      <c r="B411" s="2" t="s">
        <v>237</v>
      </c>
      <c r="C411" s="2" t="s">
        <v>40</v>
      </c>
      <c r="D411" s="2" t="s">
        <v>10</v>
      </c>
      <c r="E411" s="2" t="s">
        <v>16</v>
      </c>
      <c r="F411" s="2">
        <v>17.940000000000001</v>
      </c>
      <c r="G411" s="2">
        <v>3</v>
      </c>
      <c r="H411" s="2">
        <v>8.61</v>
      </c>
      <c r="I411" t="str">
        <f t="shared" si="6"/>
        <v>Apr</v>
      </c>
      <c r="J411">
        <f>YEAR(datas[[#This Row],[Order Date]])</f>
        <v>2021</v>
      </c>
    </row>
    <row r="412" spans="1:10" ht="14.25" customHeight="1" x14ac:dyDescent="0.3">
      <c r="A412" s="1">
        <v>44315</v>
      </c>
      <c r="B412" s="2" t="s">
        <v>238</v>
      </c>
      <c r="C412" s="2" t="s">
        <v>62</v>
      </c>
      <c r="D412" s="2" t="s">
        <v>26</v>
      </c>
      <c r="E412" s="2" t="s">
        <v>27</v>
      </c>
      <c r="F412" s="2">
        <v>561.58000000000004</v>
      </c>
      <c r="G412" s="2">
        <v>2</v>
      </c>
      <c r="H412" s="2">
        <v>70.2</v>
      </c>
      <c r="I412" t="str">
        <f t="shared" si="6"/>
        <v>Apr</v>
      </c>
      <c r="J412">
        <f>YEAR(datas[[#This Row],[Order Date]])</f>
        <v>2021</v>
      </c>
    </row>
    <row r="413" spans="1:10" ht="14.25" customHeight="1" x14ac:dyDescent="0.3">
      <c r="A413" s="1">
        <v>44315</v>
      </c>
      <c r="B413" s="2" t="s">
        <v>238</v>
      </c>
      <c r="C413" s="2" t="s">
        <v>62</v>
      </c>
      <c r="D413" s="2" t="s">
        <v>10</v>
      </c>
      <c r="E413" s="2" t="s">
        <v>15</v>
      </c>
      <c r="F413" s="2">
        <v>99.92</v>
      </c>
      <c r="G413" s="2">
        <v>5</v>
      </c>
      <c r="H413" s="2">
        <v>-1.25</v>
      </c>
      <c r="I413" t="str">
        <f t="shared" si="6"/>
        <v>Apr</v>
      </c>
      <c r="J413">
        <f>YEAR(datas[[#This Row],[Order Date]])</f>
        <v>2021</v>
      </c>
    </row>
    <row r="414" spans="1:10" ht="14.25" customHeight="1" x14ac:dyDescent="0.3">
      <c r="A414" s="1">
        <v>44315</v>
      </c>
      <c r="B414" s="2" t="s">
        <v>239</v>
      </c>
      <c r="C414" s="2" t="s">
        <v>38</v>
      </c>
      <c r="D414" s="2" t="s">
        <v>28</v>
      </c>
      <c r="E414" s="2" t="s">
        <v>29</v>
      </c>
      <c r="F414" s="2">
        <v>19.98</v>
      </c>
      <c r="G414" s="2">
        <v>2</v>
      </c>
      <c r="H414" s="2">
        <v>5.19</v>
      </c>
      <c r="I414" t="str">
        <f t="shared" si="6"/>
        <v>Apr</v>
      </c>
      <c r="J414">
        <f>YEAR(datas[[#This Row],[Order Date]])</f>
        <v>2021</v>
      </c>
    </row>
    <row r="415" spans="1:10" ht="14.25" customHeight="1" x14ac:dyDescent="0.3">
      <c r="A415" s="1">
        <v>44316</v>
      </c>
      <c r="B415" s="2" t="s">
        <v>102</v>
      </c>
      <c r="C415" s="2" t="s">
        <v>143</v>
      </c>
      <c r="D415" s="2" t="s">
        <v>28</v>
      </c>
      <c r="E415" s="2" t="s">
        <v>34</v>
      </c>
      <c r="F415" s="2">
        <v>47.79</v>
      </c>
      <c r="G415" s="2">
        <v>3</v>
      </c>
      <c r="H415" s="2">
        <v>16.25</v>
      </c>
      <c r="I415" t="str">
        <f t="shared" si="6"/>
        <v>Apr</v>
      </c>
      <c r="J415">
        <f>YEAR(datas[[#This Row],[Order Date]])</f>
        <v>2021</v>
      </c>
    </row>
    <row r="416" spans="1:10" ht="14.25" customHeight="1" x14ac:dyDescent="0.3">
      <c r="A416" s="1">
        <v>44316</v>
      </c>
      <c r="B416" s="2" t="s">
        <v>240</v>
      </c>
      <c r="C416" s="2" t="s">
        <v>25</v>
      </c>
      <c r="D416" s="2" t="s">
        <v>10</v>
      </c>
      <c r="E416" s="2" t="s">
        <v>19</v>
      </c>
      <c r="F416" s="2">
        <v>174.95</v>
      </c>
      <c r="G416" s="2">
        <v>5</v>
      </c>
      <c r="H416" s="2">
        <v>45.49</v>
      </c>
      <c r="I416" t="str">
        <f t="shared" si="6"/>
        <v>Apr</v>
      </c>
      <c r="J416">
        <f>YEAR(datas[[#This Row],[Order Date]])</f>
        <v>2021</v>
      </c>
    </row>
    <row r="417" spans="1:10" ht="14.25" customHeight="1" x14ac:dyDescent="0.3">
      <c r="A417" s="1">
        <v>44316</v>
      </c>
      <c r="B417" s="2" t="s">
        <v>240</v>
      </c>
      <c r="C417" s="2" t="s">
        <v>25</v>
      </c>
      <c r="D417" s="2" t="s">
        <v>10</v>
      </c>
      <c r="E417" s="2" t="s">
        <v>15</v>
      </c>
      <c r="F417" s="2">
        <v>826</v>
      </c>
      <c r="G417" s="2">
        <v>5</v>
      </c>
      <c r="H417" s="2">
        <v>214.76</v>
      </c>
      <c r="I417" t="str">
        <f t="shared" si="6"/>
        <v>Apr</v>
      </c>
      <c r="J417">
        <f>YEAR(datas[[#This Row],[Order Date]])</f>
        <v>2021</v>
      </c>
    </row>
    <row r="418" spans="1:10" ht="14.25" customHeight="1" x14ac:dyDescent="0.3">
      <c r="A418" s="1">
        <v>44318</v>
      </c>
      <c r="B418" s="2" t="s">
        <v>241</v>
      </c>
      <c r="C418" s="2" t="s">
        <v>47</v>
      </c>
      <c r="D418" s="2" t="s">
        <v>10</v>
      </c>
      <c r="E418" s="2" t="s">
        <v>53</v>
      </c>
      <c r="F418" s="2">
        <v>26.14</v>
      </c>
      <c r="G418" s="2">
        <v>3</v>
      </c>
      <c r="H418" s="2">
        <v>1.96</v>
      </c>
      <c r="I418" t="str">
        <f t="shared" si="6"/>
        <v>May</v>
      </c>
      <c r="J418">
        <f>YEAR(datas[[#This Row],[Order Date]])</f>
        <v>2021</v>
      </c>
    </row>
    <row r="419" spans="1:10" ht="14.25" customHeight="1" x14ac:dyDescent="0.3">
      <c r="A419" s="1">
        <v>44318</v>
      </c>
      <c r="B419" s="2" t="s">
        <v>242</v>
      </c>
      <c r="C419" s="2" t="s">
        <v>64</v>
      </c>
      <c r="D419" s="2" t="s">
        <v>28</v>
      </c>
      <c r="E419" s="2" t="s">
        <v>243</v>
      </c>
      <c r="F419" s="2">
        <v>479.98</v>
      </c>
      <c r="G419" s="2">
        <v>2</v>
      </c>
      <c r="H419" s="2">
        <v>90</v>
      </c>
      <c r="I419" t="str">
        <f t="shared" si="6"/>
        <v>May</v>
      </c>
      <c r="J419">
        <f>YEAR(datas[[#This Row],[Order Date]])</f>
        <v>2021</v>
      </c>
    </row>
    <row r="420" spans="1:10" ht="14.25" customHeight="1" x14ac:dyDescent="0.3">
      <c r="A420" s="1">
        <v>44319</v>
      </c>
      <c r="B420" s="2" t="s">
        <v>244</v>
      </c>
      <c r="C420" s="2" t="s">
        <v>79</v>
      </c>
      <c r="D420" s="2" t="s">
        <v>10</v>
      </c>
      <c r="E420" s="2" t="s">
        <v>14</v>
      </c>
      <c r="F420" s="2">
        <v>21.56</v>
      </c>
      <c r="G420" s="2">
        <v>7</v>
      </c>
      <c r="H420" s="2">
        <v>10.35</v>
      </c>
      <c r="I420" t="str">
        <f t="shared" si="6"/>
        <v>May</v>
      </c>
      <c r="J420">
        <f>YEAR(datas[[#This Row],[Order Date]])</f>
        <v>2021</v>
      </c>
    </row>
    <row r="421" spans="1:10" ht="14.25" customHeight="1" x14ac:dyDescent="0.3">
      <c r="A421" s="1">
        <v>44319</v>
      </c>
      <c r="B421" s="2" t="s">
        <v>245</v>
      </c>
      <c r="C421" s="2" t="s">
        <v>75</v>
      </c>
      <c r="D421" s="2" t="s">
        <v>10</v>
      </c>
      <c r="E421" s="2" t="s">
        <v>16</v>
      </c>
      <c r="F421" s="2">
        <v>40.18</v>
      </c>
      <c r="G421" s="2">
        <v>3</v>
      </c>
      <c r="H421" s="2">
        <v>14.56</v>
      </c>
      <c r="I421" t="str">
        <f t="shared" si="6"/>
        <v>May</v>
      </c>
      <c r="J421">
        <f>YEAR(datas[[#This Row],[Order Date]])</f>
        <v>2021</v>
      </c>
    </row>
    <row r="422" spans="1:10" ht="14.25" customHeight="1" x14ac:dyDescent="0.3">
      <c r="A422" s="1">
        <v>44319</v>
      </c>
      <c r="B422" s="2" t="s">
        <v>245</v>
      </c>
      <c r="C422" s="2" t="s">
        <v>75</v>
      </c>
      <c r="D422" s="2" t="s">
        <v>10</v>
      </c>
      <c r="E422" s="2" t="s">
        <v>16</v>
      </c>
      <c r="F422" s="2">
        <v>10.9</v>
      </c>
      <c r="G422" s="2">
        <v>3</v>
      </c>
      <c r="H422" s="2">
        <v>3.95</v>
      </c>
      <c r="I422" t="str">
        <f t="shared" si="6"/>
        <v>May</v>
      </c>
      <c r="J422">
        <f>YEAR(datas[[#This Row],[Order Date]])</f>
        <v>2021</v>
      </c>
    </row>
    <row r="423" spans="1:10" ht="14.25" customHeight="1" x14ac:dyDescent="0.3">
      <c r="A423" s="1">
        <v>44320</v>
      </c>
      <c r="B423" s="2" t="s">
        <v>246</v>
      </c>
      <c r="C423" s="2" t="s">
        <v>60</v>
      </c>
      <c r="D423" s="2" t="s">
        <v>10</v>
      </c>
      <c r="E423" s="2" t="s">
        <v>16</v>
      </c>
      <c r="F423" s="2">
        <v>46.8</v>
      </c>
      <c r="G423" s="2">
        <v>4</v>
      </c>
      <c r="H423" s="2">
        <v>21.06</v>
      </c>
      <c r="I423" t="str">
        <f t="shared" si="6"/>
        <v>May</v>
      </c>
      <c r="J423">
        <f>YEAR(datas[[#This Row],[Order Date]])</f>
        <v>2021</v>
      </c>
    </row>
    <row r="424" spans="1:10" ht="14.25" customHeight="1" x14ac:dyDescent="0.3">
      <c r="A424" s="1">
        <v>44320</v>
      </c>
      <c r="B424" s="2" t="s">
        <v>247</v>
      </c>
      <c r="C424" s="2" t="s">
        <v>248</v>
      </c>
      <c r="D424" s="2" t="s">
        <v>26</v>
      </c>
      <c r="E424" s="2" t="s">
        <v>32</v>
      </c>
      <c r="F424" s="2">
        <v>27.46</v>
      </c>
      <c r="G424" s="2">
        <v>2</v>
      </c>
      <c r="H424" s="2">
        <v>9.89</v>
      </c>
      <c r="I424" t="str">
        <f t="shared" si="6"/>
        <v>May</v>
      </c>
      <c r="J424">
        <f>YEAR(datas[[#This Row],[Order Date]])</f>
        <v>2021</v>
      </c>
    </row>
    <row r="425" spans="1:10" ht="14.25" customHeight="1" x14ac:dyDescent="0.3">
      <c r="A425" s="1">
        <v>44320</v>
      </c>
      <c r="B425" s="2" t="s">
        <v>174</v>
      </c>
      <c r="C425" s="2" t="s">
        <v>9</v>
      </c>
      <c r="D425" s="2" t="s">
        <v>10</v>
      </c>
      <c r="E425" s="2" t="s">
        <v>19</v>
      </c>
      <c r="F425" s="2">
        <v>37.840000000000003</v>
      </c>
      <c r="G425" s="2">
        <v>2</v>
      </c>
      <c r="H425" s="2">
        <v>2.84</v>
      </c>
      <c r="I425" t="str">
        <f t="shared" si="6"/>
        <v>May</v>
      </c>
      <c r="J425">
        <f>YEAR(datas[[#This Row],[Order Date]])</f>
        <v>2021</v>
      </c>
    </row>
    <row r="426" spans="1:10" ht="14.25" customHeight="1" x14ac:dyDescent="0.3">
      <c r="A426" s="1">
        <v>44320</v>
      </c>
      <c r="B426" s="2" t="s">
        <v>174</v>
      </c>
      <c r="C426" s="2" t="s">
        <v>9</v>
      </c>
      <c r="D426" s="2" t="s">
        <v>10</v>
      </c>
      <c r="E426" s="2" t="s">
        <v>30</v>
      </c>
      <c r="F426" s="2">
        <v>5.47</v>
      </c>
      <c r="G426" s="2">
        <v>6</v>
      </c>
      <c r="H426" s="2">
        <v>1.85</v>
      </c>
      <c r="I426" t="str">
        <f t="shared" si="6"/>
        <v>May</v>
      </c>
      <c r="J426">
        <f>YEAR(datas[[#This Row],[Order Date]])</f>
        <v>2021</v>
      </c>
    </row>
    <row r="427" spans="1:10" ht="14.25" customHeight="1" x14ac:dyDescent="0.3">
      <c r="A427" s="1">
        <v>44320</v>
      </c>
      <c r="B427" s="2" t="s">
        <v>249</v>
      </c>
      <c r="C427" s="2" t="s">
        <v>82</v>
      </c>
      <c r="D427" s="2" t="s">
        <v>26</v>
      </c>
      <c r="E427" s="2" t="s">
        <v>32</v>
      </c>
      <c r="F427" s="2">
        <v>12.18</v>
      </c>
      <c r="G427" s="2">
        <v>7</v>
      </c>
      <c r="H427" s="2">
        <v>3.9</v>
      </c>
      <c r="I427" t="str">
        <f t="shared" si="6"/>
        <v>May</v>
      </c>
      <c r="J427">
        <f>YEAR(datas[[#This Row],[Order Date]])</f>
        <v>2021</v>
      </c>
    </row>
    <row r="428" spans="1:10" ht="14.25" customHeight="1" x14ac:dyDescent="0.3">
      <c r="A428" s="1">
        <v>44320</v>
      </c>
      <c r="B428" s="2" t="s">
        <v>249</v>
      </c>
      <c r="C428" s="2" t="s">
        <v>82</v>
      </c>
      <c r="D428" s="2" t="s">
        <v>10</v>
      </c>
      <c r="E428" s="2" t="s">
        <v>53</v>
      </c>
      <c r="F428" s="2">
        <v>57.68</v>
      </c>
      <c r="G428" s="2">
        <v>4</v>
      </c>
      <c r="H428" s="2">
        <v>19.03</v>
      </c>
      <c r="I428" t="str">
        <f t="shared" si="6"/>
        <v>May</v>
      </c>
      <c r="J428">
        <f>YEAR(datas[[#This Row],[Order Date]])</f>
        <v>2021</v>
      </c>
    </row>
    <row r="429" spans="1:10" ht="14.25" customHeight="1" x14ac:dyDescent="0.3">
      <c r="A429" s="1">
        <v>44321</v>
      </c>
      <c r="B429" s="2" t="s">
        <v>250</v>
      </c>
      <c r="C429" s="2" t="s">
        <v>25</v>
      </c>
      <c r="D429" s="2" t="s">
        <v>10</v>
      </c>
      <c r="E429" s="2" t="s">
        <v>11</v>
      </c>
      <c r="F429" s="2">
        <v>9.42</v>
      </c>
      <c r="G429" s="2">
        <v>3</v>
      </c>
      <c r="H429" s="2">
        <v>4.24</v>
      </c>
      <c r="I429" t="str">
        <f t="shared" si="6"/>
        <v>May</v>
      </c>
      <c r="J429">
        <f>YEAR(datas[[#This Row],[Order Date]])</f>
        <v>2021</v>
      </c>
    </row>
    <row r="430" spans="1:10" ht="14.25" customHeight="1" x14ac:dyDescent="0.3">
      <c r="A430" s="1">
        <v>44321</v>
      </c>
      <c r="B430" s="2" t="s">
        <v>250</v>
      </c>
      <c r="C430" s="2" t="s">
        <v>25</v>
      </c>
      <c r="D430" s="2" t="s">
        <v>10</v>
      </c>
      <c r="E430" s="2" t="s">
        <v>19</v>
      </c>
      <c r="F430" s="2">
        <v>6.56</v>
      </c>
      <c r="G430" s="2">
        <v>2</v>
      </c>
      <c r="H430" s="2">
        <v>1.9</v>
      </c>
      <c r="I430" t="str">
        <f t="shared" si="6"/>
        <v>May</v>
      </c>
      <c r="J430">
        <f>YEAR(datas[[#This Row],[Order Date]])</f>
        <v>2021</v>
      </c>
    </row>
    <row r="431" spans="1:10" ht="14.25" customHeight="1" x14ac:dyDescent="0.3">
      <c r="A431" s="1">
        <v>44321</v>
      </c>
      <c r="B431" s="2" t="s">
        <v>250</v>
      </c>
      <c r="C431" s="2" t="s">
        <v>25</v>
      </c>
      <c r="D431" s="2" t="s">
        <v>10</v>
      </c>
      <c r="E431" s="2" t="s">
        <v>11</v>
      </c>
      <c r="F431" s="2">
        <v>24.56</v>
      </c>
      <c r="G431" s="2">
        <v>2</v>
      </c>
      <c r="H431" s="2">
        <v>11.54</v>
      </c>
      <c r="I431" t="str">
        <f t="shared" si="6"/>
        <v>May</v>
      </c>
      <c r="J431">
        <f>YEAR(datas[[#This Row],[Order Date]])</f>
        <v>2021</v>
      </c>
    </row>
    <row r="432" spans="1:10" ht="14.25" customHeight="1" x14ac:dyDescent="0.3">
      <c r="A432" s="1">
        <v>44321</v>
      </c>
      <c r="B432" s="2" t="s">
        <v>251</v>
      </c>
      <c r="C432" s="2" t="s">
        <v>9</v>
      </c>
      <c r="D432" s="2" t="s">
        <v>26</v>
      </c>
      <c r="E432" s="2" t="s">
        <v>27</v>
      </c>
      <c r="F432" s="2">
        <v>127.87</v>
      </c>
      <c r="G432" s="2">
        <v>3</v>
      </c>
      <c r="H432" s="2">
        <v>-9.1300000000000008</v>
      </c>
      <c r="I432" t="str">
        <f t="shared" si="6"/>
        <v>May</v>
      </c>
      <c r="J432">
        <f>YEAR(datas[[#This Row],[Order Date]])</f>
        <v>2021</v>
      </c>
    </row>
    <row r="433" spans="1:10" ht="14.25" customHeight="1" x14ac:dyDescent="0.3">
      <c r="A433" s="1">
        <v>44321</v>
      </c>
      <c r="B433" s="2" t="s">
        <v>180</v>
      </c>
      <c r="C433" s="2" t="s">
        <v>13</v>
      </c>
      <c r="D433" s="2" t="s">
        <v>10</v>
      </c>
      <c r="E433" s="2" t="s">
        <v>15</v>
      </c>
      <c r="F433" s="2">
        <v>45.25</v>
      </c>
      <c r="G433" s="2">
        <v>2</v>
      </c>
      <c r="H433" s="2">
        <v>3.96</v>
      </c>
      <c r="I433" t="str">
        <f t="shared" si="6"/>
        <v>May</v>
      </c>
      <c r="J433">
        <f>YEAR(datas[[#This Row],[Order Date]])</f>
        <v>2021</v>
      </c>
    </row>
    <row r="434" spans="1:10" ht="14.25" customHeight="1" x14ac:dyDescent="0.3">
      <c r="A434" s="1">
        <v>44321</v>
      </c>
      <c r="B434" s="2" t="s">
        <v>252</v>
      </c>
      <c r="C434" s="2" t="s">
        <v>36</v>
      </c>
      <c r="D434" s="2" t="s">
        <v>10</v>
      </c>
      <c r="E434" s="2" t="s">
        <v>16</v>
      </c>
      <c r="F434" s="2">
        <v>11.88</v>
      </c>
      <c r="G434" s="2">
        <v>2</v>
      </c>
      <c r="H434" s="2">
        <v>5.35</v>
      </c>
      <c r="I434" t="str">
        <f t="shared" si="6"/>
        <v>May</v>
      </c>
      <c r="J434">
        <f>YEAR(datas[[#This Row],[Order Date]])</f>
        <v>2021</v>
      </c>
    </row>
    <row r="435" spans="1:10" ht="14.25" customHeight="1" x14ac:dyDescent="0.3">
      <c r="A435" s="1">
        <v>44321</v>
      </c>
      <c r="B435" s="2" t="s">
        <v>252</v>
      </c>
      <c r="C435" s="2" t="s">
        <v>36</v>
      </c>
      <c r="D435" s="2" t="s">
        <v>10</v>
      </c>
      <c r="E435" s="2" t="s">
        <v>11</v>
      </c>
      <c r="F435" s="2">
        <v>35.44</v>
      </c>
      <c r="G435" s="2">
        <v>1</v>
      </c>
      <c r="H435" s="2">
        <v>16.66</v>
      </c>
      <c r="I435" t="str">
        <f t="shared" si="6"/>
        <v>May</v>
      </c>
      <c r="J435">
        <f>YEAR(datas[[#This Row],[Order Date]])</f>
        <v>2021</v>
      </c>
    </row>
    <row r="436" spans="1:10" ht="14.25" customHeight="1" x14ac:dyDescent="0.3">
      <c r="A436" s="1">
        <v>44322</v>
      </c>
      <c r="B436" s="2" t="s">
        <v>253</v>
      </c>
      <c r="C436" s="2" t="s">
        <v>21</v>
      </c>
      <c r="D436" s="2" t="s">
        <v>10</v>
      </c>
      <c r="E436" s="2" t="s">
        <v>16</v>
      </c>
      <c r="F436" s="2">
        <v>140.74</v>
      </c>
      <c r="G436" s="2">
        <v>8</v>
      </c>
      <c r="H436" s="2">
        <v>52.78</v>
      </c>
      <c r="I436" t="str">
        <f t="shared" si="6"/>
        <v>May</v>
      </c>
      <c r="J436">
        <f>YEAR(datas[[#This Row],[Order Date]])</f>
        <v>2021</v>
      </c>
    </row>
    <row r="437" spans="1:10" ht="14.25" customHeight="1" x14ac:dyDescent="0.3">
      <c r="A437" s="1">
        <v>44322</v>
      </c>
      <c r="B437" s="2" t="s">
        <v>254</v>
      </c>
      <c r="C437" s="2" t="s">
        <v>21</v>
      </c>
      <c r="D437" s="2" t="s">
        <v>10</v>
      </c>
      <c r="E437" s="2" t="s">
        <v>14</v>
      </c>
      <c r="F437" s="2">
        <v>5.78</v>
      </c>
      <c r="G437" s="2">
        <v>2</v>
      </c>
      <c r="H437" s="2">
        <v>2.72</v>
      </c>
      <c r="I437" t="str">
        <f t="shared" si="6"/>
        <v>May</v>
      </c>
      <c r="J437">
        <f>YEAR(datas[[#This Row],[Order Date]])</f>
        <v>2021</v>
      </c>
    </row>
    <row r="438" spans="1:10" ht="14.25" customHeight="1" x14ac:dyDescent="0.3">
      <c r="A438" s="1">
        <v>44322</v>
      </c>
      <c r="B438" s="2" t="s">
        <v>254</v>
      </c>
      <c r="C438" s="2" t="s">
        <v>21</v>
      </c>
      <c r="D438" s="2" t="s">
        <v>10</v>
      </c>
      <c r="E438" s="2" t="s">
        <v>19</v>
      </c>
      <c r="F438" s="2">
        <v>107.94</v>
      </c>
      <c r="G438" s="2">
        <v>6</v>
      </c>
      <c r="H438" s="2">
        <v>30.22</v>
      </c>
      <c r="I438" t="str">
        <f t="shared" si="6"/>
        <v>May</v>
      </c>
      <c r="J438">
        <f>YEAR(datas[[#This Row],[Order Date]])</f>
        <v>2021</v>
      </c>
    </row>
    <row r="439" spans="1:10" ht="14.25" customHeight="1" x14ac:dyDescent="0.3">
      <c r="A439" s="1">
        <v>44323</v>
      </c>
      <c r="B439" s="2" t="s">
        <v>255</v>
      </c>
      <c r="C439" s="2" t="s">
        <v>181</v>
      </c>
      <c r="D439" s="2" t="s">
        <v>10</v>
      </c>
      <c r="E439" s="2" t="s">
        <v>16</v>
      </c>
      <c r="F439" s="2">
        <v>16.14</v>
      </c>
      <c r="G439" s="2">
        <v>3</v>
      </c>
      <c r="H439" s="2">
        <v>7.91</v>
      </c>
      <c r="I439" t="str">
        <f t="shared" si="6"/>
        <v>May</v>
      </c>
      <c r="J439">
        <f>YEAR(datas[[#This Row],[Order Date]])</f>
        <v>2021</v>
      </c>
    </row>
    <row r="440" spans="1:10" ht="14.25" customHeight="1" x14ac:dyDescent="0.3">
      <c r="A440" s="1">
        <v>44323</v>
      </c>
      <c r="B440" s="2" t="s">
        <v>255</v>
      </c>
      <c r="C440" s="2" t="s">
        <v>181</v>
      </c>
      <c r="D440" s="2" t="s">
        <v>26</v>
      </c>
      <c r="E440" s="2" t="s">
        <v>73</v>
      </c>
      <c r="F440" s="2">
        <v>194.25</v>
      </c>
      <c r="G440" s="2">
        <v>2</v>
      </c>
      <c r="H440" s="2">
        <v>-38.85</v>
      </c>
      <c r="I440" t="str">
        <f t="shared" si="6"/>
        <v>May</v>
      </c>
      <c r="J440">
        <f>YEAR(datas[[#This Row],[Order Date]])</f>
        <v>2021</v>
      </c>
    </row>
    <row r="441" spans="1:10" ht="14.25" customHeight="1" x14ac:dyDescent="0.3">
      <c r="A441" s="1">
        <v>44323</v>
      </c>
      <c r="B441" s="2" t="s">
        <v>255</v>
      </c>
      <c r="C441" s="2" t="s">
        <v>181</v>
      </c>
      <c r="D441" s="2" t="s">
        <v>10</v>
      </c>
      <c r="E441" s="2" t="s">
        <v>19</v>
      </c>
      <c r="F441" s="2">
        <v>8.64</v>
      </c>
      <c r="G441" s="2">
        <v>3</v>
      </c>
      <c r="H441" s="2">
        <v>2.5099999999999998</v>
      </c>
      <c r="I441" t="str">
        <f t="shared" si="6"/>
        <v>May</v>
      </c>
      <c r="J441">
        <f>YEAR(datas[[#This Row],[Order Date]])</f>
        <v>2021</v>
      </c>
    </row>
    <row r="442" spans="1:10" ht="14.25" customHeight="1" x14ac:dyDescent="0.3">
      <c r="A442" s="1">
        <v>44323</v>
      </c>
      <c r="B442" s="2" t="s">
        <v>255</v>
      </c>
      <c r="C442" s="2" t="s">
        <v>181</v>
      </c>
      <c r="D442" s="2" t="s">
        <v>26</v>
      </c>
      <c r="E442" s="2" t="s">
        <v>27</v>
      </c>
      <c r="F442" s="2">
        <v>872.32</v>
      </c>
      <c r="G442" s="2">
        <v>4</v>
      </c>
      <c r="H442" s="2">
        <v>244.25</v>
      </c>
      <c r="I442" t="str">
        <f t="shared" si="6"/>
        <v>May</v>
      </c>
      <c r="J442">
        <f>YEAR(datas[[#This Row],[Order Date]])</f>
        <v>2021</v>
      </c>
    </row>
    <row r="443" spans="1:10" ht="14.25" customHeight="1" x14ac:dyDescent="0.3">
      <c r="A443" s="1">
        <v>44324</v>
      </c>
      <c r="B443" s="2" t="s">
        <v>125</v>
      </c>
      <c r="C443" s="2" t="s">
        <v>18</v>
      </c>
      <c r="D443" s="2" t="s">
        <v>28</v>
      </c>
      <c r="E443" s="2" t="s">
        <v>243</v>
      </c>
      <c r="F443" s="2">
        <v>1799.97</v>
      </c>
      <c r="G443" s="2">
        <v>5</v>
      </c>
      <c r="H443" s="2">
        <v>240</v>
      </c>
      <c r="I443" t="str">
        <f t="shared" si="6"/>
        <v>May</v>
      </c>
      <c r="J443">
        <f>YEAR(datas[[#This Row],[Order Date]])</f>
        <v>2021</v>
      </c>
    </row>
    <row r="444" spans="1:10" ht="14.25" customHeight="1" x14ac:dyDescent="0.3">
      <c r="A444" s="1">
        <v>44325</v>
      </c>
      <c r="B444" s="2" t="s">
        <v>256</v>
      </c>
      <c r="C444" s="2" t="s">
        <v>21</v>
      </c>
      <c r="D444" s="2" t="s">
        <v>28</v>
      </c>
      <c r="E444" s="2" t="s">
        <v>34</v>
      </c>
      <c r="F444" s="2">
        <v>67.8</v>
      </c>
      <c r="G444" s="2">
        <v>4</v>
      </c>
      <c r="H444" s="2">
        <v>4.07</v>
      </c>
      <c r="I444" t="str">
        <f t="shared" si="6"/>
        <v>May</v>
      </c>
      <c r="J444">
        <f>YEAR(datas[[#This Row],[Order Date]])</f>
        <v>2021</v>
      </c>
    </row>
    <row r="445" spans="1:10" ht="14.25" customHeight="1" x14ac:dyDescent="0.3">
      <c r="A445" s="1">
        <v>44325</v>
      </c>
      <c r="B445" s="2" t="s">
        <v>256</v>
      </c>
      <c r="C445" s="2" t="s">
        <v>21</v>
      </c>
      <c r="D445" s="2" t="s">
        <v>28</v>
      </c>
      <c r="E445" s="2" t="s">
        <v>34</v>
      </c>
      <c r="F445" s="2">
        <v>167.97</v>
      </c>
      <c r="G445" s="2">
        <v>3</v>
      </c>
      <c r="H445" s="2">
        <v>40.31</v>
      </c>
      <c r="I445" t="str">
        <f t="shared" si="6"/>
        <v>May</v>
      </c>
      <c r="J445">
        <f>YEAR(datas[[#This Row],[Order Date]])</f>
        <v>2021</v>
      </c>
    </row>
    <row r="446" spans="1:10" ht="14.25" customHeight="1" x14ac:dyDescent="0.3">
      <c r="A446" s="1">
        <v>44325</v>
      </c>
      <c r="B446" s="2" t="s">
        <v>257</v>
      </c>
      <c r="C446" s="2" t="s">
        <v>25</v>
      </c>
      <c r="D446" s="2" t="s">
        <v>10</v>
      </c>
      <c r="E446" s="2" t="s">
        <v>15</v>
      </c>
      <c r="F446" s="2">
        <v>83.25</v>
      </c>
      <c r="G446" s="2">
        <v>3</v>
      </c>
      <c r="H446" s="2">
        <v>14.99</v>
      </c>
      <c r="I446" t="str">
        <f t="shared" si="6"/>
        <v>May</v>
      </c>
      <c r="J446">
        <f>YEAR(datas[[#This Row],[Order Date]])</f>
        <v>2021</v>
      </c>
    </row>
    <row r="447" spans="1:10" ht="14.25" customHeight="1" x14ac:dyDescent="0.3">
      <c r="A447" s="1">
        <v>44325</v>
      </c>
      <c r="B447" s="2" t="s">
        <v>257</v>
      </c>
      <c r="C447" s="2" t="s">
        <v>25</v>
      </c>
      <c r="D447" s="2" t="s">
        <v>10</v>
      </c>
      <c r="E447" s="2" t="s">
        <v>14</v>
      </c>
      <c r="F447" s="2">
        <v>9.4499999999999993</v>
      </c>
      <c r="G447" s="2">
        <v>3</v>
      </c>
      <c r="H447" s="2">
        <v>4.54</v>
      </c>
      <c r="I447" t="str">
        <f t="shared" si="6"/>
        <v>May</v>
      </c>
      <c r="J447">
        <f>YEAR(datas[[#This Row],[Order Date]])</f>
        <v>2021</v>
      </c>
    </row>
    <row r="448" spans="1:10" ht="14.25" customHeight="1" x14ac:dyDescent="0.3">
      <c r="A448" s="1">
        <v>44325</v>
      </c>
      <c r="B448" s="2" t="s">
        <v>257</v>
      </c>
      <c r="C448" s="2" t="s">
        <v>25</v>
      </c>
      <c r="D448" s="2" t="s">
        <v>10</v>
      </c>
      <c r="E448" s="2" t="s">
        <v>14</v>
      </c>
      <c r="F448" s="2">
        <v>20.65</v>
      </c>
      <c r="G448" s="2">
        <v>5</v>
      </c>
      <c r="H448" s="2">
        <v>9.5</v>
      </c>
      <c r="I448" t="str">
        <f t="shared" si="6"/>
        <v>May</v>
      </c>
      <c r="J448">
        <f>YEAR(datas[[#This Row],[Order Date]])</f>
        <v>2021</v>
      </c>
    </row>
    <row r="449" spans="1:10" ht="14.25" customHeight="1" x14ac:dyDescent="0.3">
      <c r="A449" s="1">
        <v>44325</v>
      </c>
      <c r="B449" s="2" t="s">
        <v>257</v>
      </c>
      <c r="C449" s="2" t="s">
        <v>25</v>
      </c>
      <c r="D449" s="2" t="s">
        <v>10</v>
      </c>
      <c r="E449" s="2" t="s">
        <v>11</v>
      </c>
      <c r="F449" s="2">
        <v>45.36</v>
      </c>
      <c r="G449" s="2">
        <v>7</v>
      </c>
      <c r="H449" s="2">
        <v>21.77</v>
      </c>
      <c r="I449" t="str">
        <f t="shared" si="6"/>
        <v>May</v>
      </c>
      <c r="J449">
        <f>YEAR(datas[[#This Row],[Order Date]])</f>
        <v>2021</v>
      </c>
    </row>
    <row r="450" spans="1:10" ht="14.25" customHeight="1" x14ac:dyDescent="0.3">
      <c r="A450" s="1">
        <v>44326</v>
      </c>
      <c r="B450" s="2" t="s">
        <v>234</v>
      </c>
      <c r="C450" s="2" t="s">
        <v>82</v>
      </c>
      <c r="D450" s="2" t="s">
        <v>10</v>
      </c>
      <c r="E450" s="2" t="s">
        <v>41</v>
      </c>
      <c r="F450" s="2">
        <v>158.13</v>
      </c>
      <c r="G450" s="2">
        <v>3</v>
      </c>
      <c r="H450" s="2">
        <v>77.48</v>
      </c>
      <c r="I450" t="str">
        <f t="shared" si="6"/>
        <v>May</v>
      </c>
      <c r="J450">
        <f>YEAR(datas[[#This Row],[Order Date]])</f>
        <v>2021</v>
      </c>
    </row>
    <row r="451" spans="1:10" ht="14.25" customHeight="1" x14ac:dyDescent="0.3">
      <c r="A451" s="1">
        <v>44326</v>
      </c>
      <c r="B451" s="2" t="s">
        <v>234</v>
      </c>
      <c r="C451" s="2" t="s">
        <v>82</v>
      </c>
      <c r="D451" s="2" t="s">
        <v>28</v>
      </c>
      <c r="E451" s="2" t="s">
        <v>29</v>
      </c>
      <c r="F451" s="2">
        <v>43.6</v>
      </c>
      <c r="G451" s="2">
        <v>5</v>
      </c>
      <c r="H451" s="2">
        <v>4.3600000000000003</v>
      </c>
      <c r="I451" t="str">
        <f t="shared" ref="I451:I514" si="7">TEXT(A451,"mmm")</f>
        <v>May</v>
      </c>
      <c r="J451">
        <f>YEAR(datas[[#This Row],[Order Date]])</f>
        <v>2021</v>
      </c>
    </row>
    <row r="452" spans="1:10" ht="14.25" customHeight="1" x14ac:dyDescent="0.3">
      <c r="A452" s="1">
        <v>44326</v>
      </c>
      <c r="B452" s="2" t="s">
        <v>258</v>
      </c>
      <c r="C452" s="2" t="s">
        <v>18</v>
      </c>
      <c r="D452" s="2" t="s">
        <v>26</v>
      </c>
      <c r="E452" s="2" t="s">
        <v>45</v>
      </c>
      <c r="F452" s="2">
        <v>349.97</v>
      </c>
      <c r="G452" s="2">
        <v>7</v>
      </c>
      <c r="H452" s="2">
        <v>-216.98</v>
      </c>
      <c r="I452" t="str">
        <f t="shared" si="7"/>
        <v>May</v>
      </c>
      <c r="J452">
        <f>YEAR(datas[[#This Row],[Order Date]])</f>
        <v>2021</v>
      </c>
    </row>
    <row r="453" spans="1:10" ht="14.25" customHeight="1" x14ac:dyDescent="0.3">
      <c r="A453" s="1">
        <v>44326</v>
      </c>
      <c r="B453" s="2" t="s">
        <v>258</v>
      </c>
      <c r="C453" s="2" t="s">
        <v>18</v>
      </c>
      <c r="D453" s="2" t="s">
        <v>10</v>
      </c>
      <c r="E453" s="2" t="s">
        <v>19</v>
      </c>
      <c r="F453" s="2">
        <v>22.32</v>
      </c>
      <c r="G453" s="2">
        <v>5</v>
      </c>
      <c r="H453" s="2">
        <v>5.3</v>
      </c>
      <c r="I453" t="str">
        <f t="shared" si="7"/>
        <v>May</v>
      </c>
      <c r="J453">
        <f>YEAR(datas[[#This Row],[Order Date]])</f>
        <v>2021</v>
      </c>
    </row>
    <row r="454" spans="1:10" ht="14.25" customHeight="1" x14ac:dyDescent="0.3">
      <c r="A454" s="1">
        <v>44326</v>
      </c>
      <c r="B454" s="2" t="s">
        <v>259</v>
      </c>
      <c r="C454" s="2" t="s">
        <v>21</v>
      </c>
      <c r="D454" s="2" t="s">
        <v>10</v>
      </c>
      <c r="E454" s="2" t="s">
        <v>11</v>
      </c>
      <c r="F454" s="2">
        <v>39.96</v>
      </c>
      <c r="G454" s="2">
        <v>2</v>
      </c>
      <c r="H454" s="2">
        <v>19.18</v>
      </c>
      <c r="I454" t="str">
        <f t="shared" si="7"/>
        <v>May</v>
      </c>
      <c r="J454">
        <f>YEAR(datas[[#This Row],[Order Date]])</f>
        <v>2021</v>
      </c>
    </row>
    <row r="455" spans="1:10" ht="14.25" customHeight="1" x14ac:dyDescent="0.3">
      <c r="A455" s="1">
        <v>44326</v>
      </c>
      <c r="B455" s="2" t="s">
        <v>259</v>
      </c>
      <c r="C455" s="2" t="s">
        <v>21</v>
      </c>
      <c r="D455" s="2" t="s">
        <v>28</v>
      </c>
      <c r="E455" s="2" t="s">
        <v>29</v>
      </c>
      <c r="F455" s="2">
        <v>1432</v>
      </c>
      <c r="G455" s="2">
        <v>5</v>
      </c>
      <c r="H455" s="2">
        <v>125.3</v>
      </c>
      <c r="I455" t="str">
        <f t="shared" si="7"/>
        <v>May</v>
      </c>
      <c r="J455">
        <f>YEAR(datas[[#This Row],[Order Date]])</f>
        <v>2021</v>
      </c>
    </row>
    <row r="456" spans="1:10" ht="14.25" customHeight="1" x14ac:dyDescent="0.3">
      <c r="A456" s="1">
        <v>44326</v>
      </c>
      <c r="B456" s="2" t="s">
        <v>259</v>
      </c>
      <c r="C456" s="2" t="s">
        <v>21</v>
      </c>
      <c r="D456" s="2" t="s">
        <v>10</v>
      </c>
      <c r="E456" s="2" t="s">
        <v>95</v>
      </c>
      <c r="F456" s="2">
        <v>41.04</v>
      </c>
      <c r="G456" s="2">
        <v>6</v>
      </c>
      <c r="H456" s="2">
        <v>11.08</v>
      </c>
      <c r="I456" t="str">
        <f t="shared" si="7"/>
        <v>May</v>
      </c>
      <c r="J456">
        <f>YEAR(datas[[#This Row],[Order Date]])</f>
        <v>2021</v>
      </c>
    </row>
    <row r="457" spans="1:10" ht="14.25" customHeight="1" x14ac:dyDescent="0.3">
      <c r="A457" s="1">
        <v>44326</v>
      </c>
      <c r="B457" s="2" t="s">
        <v>259</v>
      </c>
      <c r="C457" s="2" t="s">
        <v>21</v>
      </c>
      <c r="D457" s="2" t="s">
        <v>26</v>
      </c>
      <c r="E457" s="2" t="s">
        <v>27</v>
      </c>
      <c r="F457" s="2">
        <v>256.77999999999997</v>
      </c>
      <c r="G457" s="2">
        <v>1</v>
      </c>
      <c r="H457" s="2">
        <v>32.1</v>
      </c>
      <c r="I457" t="str">
        <f t="shared" si="7"/>
        <v>May</v>
      </c>
      <c r="J457">
        <f>YEAR(datas[[#This Row],[Order Date]])</f>
        <v>2021</v>
      </c>
    </row>
    <row r="458" spans="1:10" ht="14.25" customHeight="1" x14ac:dyDescent="0.3">
      <c r="A458" s="1">
        <v>44327</v>
      </c>
      <c r="B458" s="2" t="s">
        <v>260</v>
      </c>
      <c r="C458" s="2" t="s">
        <v>9</v>
      </c>
      <c r="D458" s="2" t="s">
        <v>28</v>
      </c>
      <c r="E458" s="2" t="s">
        <v>34</v>
      </c>
      <c r="F458" s="2">
        <v>58.11</v>
      </c>
      <c r="G458" s="2">
        <v>2</v>
      </c>
      <c r="H458" s="2">
        <v>7.26</v>
      </c>
      <c r="I458" t="str">
        <f t="shared" si="7"/>
        <v>May</v>
      </c>
      <c r="J458">
        <f>YEAR(datas[[#This Row],[Order Date]])</f>
        <v>2021</v>
      </c>
    </row>
    <row r="459" spans="1:10" ht="14.25" customHeight="1" x14ac:dyDescent="0.3">
      <c r="A459" s="1">
        <v>44327</v>
      </c>
      <c r="B459" s="2" t="s">
        <v>260</v>
      </c>
      <c r="C459" s="2" t="s">
        <v>9</v>
      </c>
      <c r="D459" s="2" t="s">
        <v>28</v>
      </c>
      <c r="E459" s="2" t="s">
        <v>29</v>
      </c>
      <c r="F459" s="2">
        <v>100.79</v>
      </c>
      <c r="G459" s="2">
        <v>1</v>
      </c>
      <c r="H459" s="2">
        <v>6.3</v>
      </c>
      <c r="I459" t="str">
        <f t="shared" si="7"/>
        <v>May</v>
      </c>
      <c r="J459">
        <f>YEAR(datas[[#This Row],[Order Date]])</f>
        <v>2021</v>
      </c>
    </row>
    <row r="460" spans="1:10" ht="14.25" customHeight="1" x14ac:dyDescent="0.3">
      <c r="A460" s="1">
        <v>44327</v>
      </c>
      <c r="B460" s="2" t="s">
        <v>260</v>
      </c>
      <c r="C460" s="2" t="s">
        <v>9</v>
      </c>
      <c r="D460" s="2" t="s">
        <v>26</v>
      </c>
      <c r="E460" s="2" t="s">
        <v>32</v>
      </c>
      <c r="F460" s="2">
        <v>66.11</v>
      </c>
      <c r="G460" s="2">
        <v>4</v>
      </c>
      <c r="H460" s="2">
        <v>-84.29</v>
      </c>
      <c r="I460" t="str">
        <f t="shared" si="7"/>
        <v>May</v>
      </c>
      <c r="J460">
        <f>YEAR(datas[[#This Row],[Order Date]])</f>
        <v>2021</v>
      </c>
    </row>
    <row r="461" spans="1:10" ht="14.25" customHeight="1" x14ac:dyDescent="0.3">
      <c r="A461" s="1">
        <v>44327</v>
      </c>
      <c r="B461" s="2" t="s">
        <v>261</v>
      </c>
      <c r="C461" s="2" t="s">
        <v>9</v>
      </c>
      <c r="D461" s="2" t="s">
        <v>28</v>
      </c>
      <c r="E461" s="2" t="s">
        <v>34</v>
      </c>
      <c r="F461" s="2">
        <v>46.86</v>
      </c>
      <c r="G461" s="2">
        <v>2</v>
      </c>
      <c r="H461" s="2">
        <v>7.62</v>
      </c>
      <c r="I461" t="str">
        <f t="shared" si="7"/>
        <v>May</v>
      </c>
      <c r="J461">
        <f>YEAR(datas[[#This Row],[Order Date]])</f>
        <v>2021</v>
      </c>
    </row>
    <row r="462" spans="1:10" ht="14.25" customHeight="1" x14ac:dyDescent="0.3">
      <c r="A462" s="1">
        <v>44327</v>
      </c>
      <c r="B462" s="2" t="s">
        <v>262</v>
      </c>
      <c r="C462" s="2" t="s">
        <v>75</v>
      </c>
      <c r="D462" s="2" t="s">
        <v>10</v>
      </c>
      <c r="E462" s="2" t="s">
        <v>53</v>
      </c>
      <c r="F462" s="2">
        <v>35.909999999999997</v>
      </c>
      <c r="G462" s="2">
        <v>3</v>
      </c>
      <c r="H462" s="2">
        <v>9.6999999999999993</v>
      </c>
      <c r="I462" t="str">
        <f t="shared" si="7"/>
        <v>May</v>
      </c>
      <c r="J462">
        <f>YEAR(datas[[#This Row],[Order Date]])</f>
        <v>2021</v>
      </c>
    </row>
    <row r="463" spans="1:10" ht="14.25" customHeight="1" x14ac:dyDescent="0.3">
      <c r="A463" s="1">
        <v>44327</v>
      </c>
      <c r="B463" s="2" t="s">
        <v>263</v>
      </c>
      <c r="C463" s="2" t="s">
        <v>9</v>
      </c>
      <c r="D463" s="2" t="s">
        <v>26</v>
      </c>
      <c r="E463" s="2" t="s">
        <v>27</v>
      </c>
      <c r="F463" s="2">
        <v>1212.96</v>
      </c>
      <c r="G463" s="2">
        <v>8</v>
      </c>
      <c r="H463" s="2">
        <v>-69.31</v>
      </c>
      <c r="I463" t="str">
        <f t="shared" si="7"/>
        <v>May</v>
      </c>
      <c r="J463">
        <f>YEAR(datas[[#This Row],[Order Date]])</f>
        <v>2021</v>
      </c>
    </row>
    <row r="464" spans="1:10" ht="14.25" customHeight="1" x14ac:dyDescent="0.3">
      <c r="A464" s="1">
        <v>44327</v>
      </c>
      <c r="B464" s="2" t="s">
        <v>264</v>
      </c>
      <c r="C464" s="2" t="s">
        <v>13</v>
      </c>
      <c r="D464" s="2" t="s">
        <v>10</v>
      </c>
      <c r="E464" s="2" t="s">
        <v>11</v>
      </c>
      <c r="F464" s="2">
        <v>17.47</v>
      </c>
      <c r="G464" s="2">
        <v>3</v>
      </c>
      <c r="H464" s="2">
        <v>5.68</v>
      </c>
      <c r="I464" t="str">
        <f t="shared" si="7"/>
        <v>May</v>
      </c>
      <c r="J464">
        <f>YEAR(datas[[#This Row],[Order Date]])</f>
        <v>2021</v>
      </c>
    </row>
    <row r="465" spans="1:10" ht="14.25" customHeight="1" x14ac:dyDescent="0.3">
      <c r="A465" s="1">
        <v>44327</v>
      </c>
      <c r="B465" s="2" t="s">
        <v>264</v>
      </c>
      <c r="C465" s="2" t="s">
        <v>13</v>
      </c>
      <c r="D465" s="2" t="s">
        <v>10</v>
      </c>
      <c r="E465" s="2" t="s">
        <v>16</v>
      </c>
      <c r="F465" s="2">
        <v>104.58</v>
      </c>
      <c r="G465" s="2">
        <v>9</v>
      </c>
      <c r="H465" s="2">
        <v>-172.56</v>
      </c>
      <c r="I465" t="str">
        <f t="shared" si="7"/>
        <v>May</v>
      </c>
      <c r="J465">
        <f>YEAR(datas[[#This Row],[Order Date]])</f>
        <v>2021</v>
      </c>
    </row>
    <row r="466" spans="1:10" ht="14.25" customHeight="1" x14ac:dyDescent="0.3">
      <c r="A466" s="1">
        <v>44328</v>
      </c>
      <c r="B466" s="2" t="s">
        <v>56</v>
      </c>
      <c r="C466" s="2" t="s">
        <v>79</v>
      </c>
      <c r="D466" s="2" t="s">
        <v>26</v>
      </c>
      <c r="E466" s="2" t="s">
        <v>32</v>
      </c>
      <c r="F466" s="2">
        <v>34.79</v>
      </c>
      <c r="G466" s="2">
        <v>7</v>
      </c>
      <c r="H466" s="2">
        <v>10.78</v>
      </c>
      <c r="I466" t="str">
        <f t="shared" si="7"/>
        <v>May</v>
      </c>
      <c r="J466">
        <f>YEAR(datas[[#This Row],[Order Date]])</f>
        <v>2021</v>
      </c>
    </row>
    <row r="467" spans="1:10" ht="14.25" customHeight="1" x14ac:dyDescent="0.3">
      <c r="A467" s="1">
        <v>44328</v>
      </c>
      <c r="B467" s="2" t="s">
        <v>125</v>
      </c>
      <c r="C467" s="2" t="s">
        <v>181</v>
      </c>
      <c r="D467" s="2" t="s">
        <v>26</v>
      </c>
      <c r="E467" s="2" t="s">
        <v>73</v>
      </c>
      <c r="F467" s="2">
        <v>700.06</v>
      </c>
      <c r="G467" s="2">
        <v>3</v>
      </c>
      <c r="H467" s="2">
        <v>-130.01</v>
      </c>
      <c r="I467" t="str">
        <f t="shared" si="7"/>
        <v>May</v>
      </c>
      <c r="J467">
        <f>YEAR(datas[[#This Row],[Order Date]])</f>
        <v>2021</v>
      </c>
    </row>
    <row r="468" spans="1:10" ht="14.25" customHeight="1" x14ac:dyDescent="0.3">
      <c r="A468" s="1">
        <v>44329</v>
      </c>
      <c r="B468" s="2" t="s">
        <v>265</v>
      </c>
      <c r="C468" s="2" t="s">
        <v>134</v>
      </c>
      <c r="D468" s="2" t="s">
        <v>10</v>
      </c>
      <c r="E468" s="2" t="s">
        <v>15</v>
      </c>
      <c r="F468" s="2">
        <v>55.5</v>
      </c>
      <c r="G468" s="2">
        <v>2</v>
      </c>
      <c r="H468" s="2">
        <v>9.99</v>
      </c>
      <c r="I468" t="str">
        <f t="shared" si="7"/>
        <v>May</v>
      </c>
      <c r="J468">
        <f>YEAR(datas[[#This Row],[Order Date]])</f>
        <v>2021</v>
      </c>
    </row>
    <row r="469" spans="1:10" ht="14.25" customHeight="1" x14ac:dyDescent="0.3">
      <c r="A469" s="1">
        <v>44329</v>
      </c>
      <c r="B469" s="2" t="s">
        <v>266</v>
      </c>
      <c r="C469" s="2" t="s">
        <v>64</v>
      </c>
      <c r="D469" s="2" t="s">
        <v>10</v>
      </c>
      <c r="E469" s="2" t="s">
        <v>30</v>
      </c>
      <c r="F469" s="2">
        <v>7.1</v>
      </c>
      <c r="G469" s="2">
        <v>2</v>
      </c>
      <c r="H469" s="2">
        <v>2.4</v>
      </c>
      <c r="I469" t="str">
        <f t="shared" si="7"/>
        <v>May</v>
      </c>
      <c r="J469">
        <f>YEAR(datas[[#This Row],[Order Date]])</f>
        <v>2021</v>
      </c>
    </row>
    <row r="470" spans="1:10" ht="14.25" customHeight="1" x14ac:dyDescent="0.3">
      <c r="A470" s="1">
        <v>44329</v>
      </c>
      <c r="B470" s="2" t="s">
        <v>266</v>
      </c>
      <c r="C470" s="2" t="s">
        <v>64</v>
      </c>
      <c r="D470" s="2" t="s">
        <v>10</v>
      </c>
      <c r="E470" s="2" t="s">
        <v>16</v>
      </c>
      <c r="F470" s="2">
        <v>398.35</v>
      </c>
      <c r="G470" s="2">
        <v>8</v>
      </c>
      <c r="H470" s="2">
        <v>-331.96</v>
      </c>
      <c r="I470" t="str">
        <f t="shared" si="7"/>
        <v>May</v>
      </c>
      <c r="J470">
        <f>YEAR(datas[[#This Row],[Order Date]])</f>
        <v>2021</v>
      </c>
    </row>
    <row r="471" spans="1:10" ht="14.25" customHeight="1" x14ac:dyDescent="0.3">
      <c r="A471" s="1">
        <v>44329</v>
      </c>
      <c r="B471" s="2" t="s">
        <v>267</v>
      </c>
      <c r="C471" s="2" t="s">
        <v>21</v>
      </c>
      <c r="D471" s="2" t="s">
        <v>28</v>
      </c>
      <c r="E471" s="2" t="s">
        <v>34</v>
      </c>
      <c r="F471" s="2">
        <v>149.97</v>
      </c>
      <c r="G471" s="2">
        <v>3</v>
      </c>
      <c r="H471" s="2">
        <v>52.49</v>
      </c>
      <c r="I471" t="str">
        <f t="shared" si="7"/>
        <v>May</v>
      </c>
      <c r="J471">
        <f>YEAR(datas[[#This Row],[Order Date]])</f>
        <v>2021</v>
      </c>
    </row>
    <row r="472" spans="1:10" ht="14.25" customHeight="1" x14ac:dyDescent="0.3">
      <c r="A472" s="1">
        <v>44329</v>
      </c>
      <c r="B472" s="2" t="s">
        <v>224</v>
      </c>
      <c r="C472" s="2" t="s">
        <v>21</v>
      </c>
      <c r="D472" s="2" t="s">
        <v>26</v>
      </c>
      <c r="E472" s="2" t="s">
        <v>27</v>
      </c>
      <c r="F472" s="2">
        <v>279.45999999999998</v>
      </c>
      <c r="G472" s="2">
        <v>6</v>
      </c>
      <c r="H472" s="2">
        <v>20.96</v>
      </c>
      <c r="I472" t="str">
        <f t="shared" si="7"/>
        <v>May</v>
      </c>
      <c r="J472">
        <f>YEAR(datas[[#This Row],[Order Date]])</f>
        <v>2021</v>
      </c>
    </row>
    <row r="473" spans="1:10" ht="14.25" customHeight="1" x14ac:dyDescent="0.3">
      <c r="A473" s="1">
        <v>44329</v>
      </c>
      <c r="B473" s="2" t="s">
        <v>224</v>
      </c>
      <c r="C473" s="2" t="s">
        <v>21</v>
      </c>
      <c r="D473" s="2" t="s">
        <v>10</v>
      </c>
      <c r="E473" s="2" t="s">
        <v>11</v>
      </c>
      <c r="F473" s="2">
        <v>8</v>
      </c>
      <c r="G473" s="2">
        <v>2</v>
      </c>
      <c r="H473" s="2">
        <v>3.84</v>
      </c>
      <c r="I473" t="str">
        <f t="shared" si="7"/>
        <v>May</v>
      </c>
      <c r="J473">
        <f>YEAR(datas[[#This Row],[Order Date]])</f>
        <v>2021</v>
      </c>
    </row>
    <row r="474" spans="1:10" ht="14.25" customHeight="1" x14ac:dyDescent="0.3">
      <c r="A474" s="1">
        <v>44330</v>
      </c>
      <c r="B474" s="2" t="s">
        <v>268</v>
      </c>
      <c r="C474" s="2" t="s">
        <v>64</v>
      </c>
      <c r="D474" s="2" t="s">
        <v>26</v>
      </c>
      <c r="E474" s="2" t="s">
        <v>32</v>
      </c>
      <c r="F474" s="2">
        <v>310.88</v>
      </c>
      <c r="G474" s="2">
        <v>2</v>
      </c>
      <c r="H474" s="2">
        <v>23.32</v>
      </c>
      <c r="I474" t="str">
        <f t="shared" si="7"/>
        <v>May</v>
      </c>
      <c r="J474">
        <f>YEAR(datas[[#This Row],[Order Date]])</f>
        <v>2021</v>
      </c>
    </row>
    <row r="475" spans="1:10" ht="14.25" customHeight="1" x14ac:dyDescent="0.3">
      <c r="A475" s="1">
        <v>44332</v>
      </c>
      <c r="B475" s="2" t="s">
        <v>269</v>
      </c>
      <c r="C475" s="2" t="s">
        <v>21</v>
      </c>
      <c r="D475" s="2" t="s">
        <v>26</v>
      </c>
      <c r="E475" s="2" t="s">
        <v>27</v>
      </c>
      <c r="F475" s="2">
        <v>232.88</v>
      </c>
      <c r="G475" s="2">
        <v>5</v>
      </c>
      <c r="H475" s="2">
        <v>17.47</v>
      </c>
      <c r="I475" t="str">
        <f t="shared" si="7"/>
        <v>May</v>
      </c>
      <c r="J475">
        <f>YEAR(datas[[#This Row],[Order Date]])</f>
        <v>2021</v>
      </c>
    </row>
    <row r="476" spans="1:10" ht="14.25" customHeight="1" x14ac:dyDescent="0.3">
      <c r="A476" s="1">
        <v>44332</v>
      </c>
      <c r="B476" s="2" t="s">
        <v>270</v>
      </c>
      <c r="C476" s="2" t="s">
        <v>21</v>
      </c>
      <c r="D476" s="2" t="s">
        <v>28</v>
      </c>
      <c r="E476" s="2" t="s">
        <v>34</v>
      </c>
      <c r="F476" s="2">
        <v>56.4</v>
      </c>
      <c r="G476" s="2">
        <v>3</v>
      </c>
      <c r="H476" s="2">
        <v>3.38</v>
      </c>
      <c r="I476" t="str">
        <f t="shared" si="7"/>
        <v>May</v>
      </c>
      <c r="J476">
        <f>YEAR(datas[[#This Row],[Order Date]])</f>
        <v>2021</v>
      </c>
    </row>
    <row r="477" spans="1:10" ht="14.25" customHeight="1" x14ac:dyDescent="0.3">
      <c r="A477" s="1">
        <v>44333</v>
      </c>
      <c r="B477" s="2" t="s">
        <v>271</v>
      </c>
      <c r="C477" s="2" t="s">
        <v>79</v>
      </c>
      <c r="D477" s="2" t="s">
        <v>10</v>
      </c>
      <c r="E477" s="2" t="s">
        <v>16</v>
      </c>
      <c r="F477" s="2">
        <v>91.68</v>
      </c>
      <c r="G477" s="2">
        <v>3</v>
      </c>
      <c r="H477" s="2">
        <v>45.84</v>
      </c>
      <c r="I477" t="str">
        <f t="shared" si="7"/>
        <v>May</v>
      </c>
      <c r="J477">
        <f>YEAR(datas[[#This Row],[Order Date]])</f>
        <v>2021</v>
      </c>
    </row>
    <row r="478" spans="1:10" ht="14.25" customHeight="1" x14ac:dyDescent="0.3">
      <c r="A478" s="1">
        <v>44334</v>
      </c>
      <c r="B478" s="2" t="s">
        <v>272</v>
      </c>
      <c r="C478" s="2" t="s">
        <v>47</v>
      </c>
      <c r="D478" s="2" t="s">
        <v>28</v>
      </c>
      <c r="E478" s="2" t="s">
        <v>29</v>
      </c>
      <c r="F478" s="2">
        <v>779.8</v>
      </c>
      <c r="G478" s="2">
        <v>2</v>
      </c>
      <c r="H478" s="2">
        <v>-168.96</v>
      </c>
      <c r="I478" t="str">
        <f t="shared" si="7"/>
        <v>May</v>
      </c>
      <c r="J478">
        <f>YEAR(datas[[#This Row],[Order Date]])</f>
        <v>2021</v>
      </c>
    </row>
    <row r="479" spans="1:10" ht="14.25" customHeight="1" x14ac:dyDescent="0.3">
      <c r="A479" s="1">
        <v>44334</v>
      </c>
      <c r="B479" s="2" t="s">
        <v>273</v>
      </c>
      <c r="C479" s="2" t="s">
        <v>47</v>
      </c>
      <c r="D479" s="2" t="s">
        <v>26</v>
      </c>
      <c r="E479" s="2" t="s">
        <v>32</v>
      </c>
      <c r="F479" s="2">
        <v>149.22999999999999</v>
      </c>
      <c r="G479" s="2">
        <v>3</v>
      </c>
      <c r="H479" s="2">
        <v>3.73</v>
      </c>
      <c r="I479" t="str">
        <f t="shared" si="7"/>
        <v>May</v>
      </c>
      <c r="J479">
        <f>YEAR(datas[[#This Row],[Order Date]])</f>
        <v>2021</v>
      </c>
    </row>
    <row r="480" spans="1:10" ht="14.25" customHeight="1" x14ac:dyDescent="0.3">
      <c r="A480" s="1">
        <v>44334</v>
      </c>
      <c r="B480" s="2" t="s">
        <v>273</v>
      </c>
      <c r="C480" s="2" t="s">
        <v>47</v>
      </c>
      <c r="D480" s="2" t="s">
        <v>10</v>
      </c>
      <c r="E480" s="2" t="s">
        <v>11</v>
      </c>
      <c r="F480" s="2">
        <v>15.94</v>
      </c>
      <c r="G480" s="2">
        <v>4</v>
      </c>
      <c r="H480" s="2">
        <v>5.78</v>
      </c>
      <c r="I480" t="str">
        <f t="shared" si="7"/>
        <v>May</v>
      </c>
      <c r="J480">
        <f>YEAR(datas[[#This Row],[Order Date]])</f>
        <v>2021</v>
      </c>
    </row>
    <row r="481" spans="1:10" ht="14.25" customHeight="1" x14ac:dyDescent="0.3">
      <c r="A481" s="1">
        <v>44334</v>
      </c>
      <c r="B481" s="2" t="s">
        <v>274</v>
      </c>
      <c r="C481" s="2" t="s">
        <v>9</v>
      </c>
      <c r="D481" s="2" t="s">
        <v>10</v>
      </c>
      <c r="E481" s="2" t="s">
        <v>11</v>
      </c>
      <c r="F481" s="2">
        <v>3.98</v>
      </c>
      <c r="G481" s="2">
        <v>1</v>
      </c>
      <c r="H481" s="2">
        <v>1.44</v>
      </c>
      <c r="I481" t="str">
        <f t="shared" si="7"/>
        <v>May</v>
      </c>
      <c r="J481">
        <f>YEAR(datas[[#This Row],[Order Date]])</f>
        <v>2021</v>
      </c>
    </row>
    <row r="482" spans="1:10" ht="14.25" customHeight="1" x14ac:dyDescent="0.3">
      <c r="A482" s="1">
        <v>44335</v>
      </c>
      <c r="B482" s="2" t="s">
        <v>275</v>
      </c>
      <c r="C482" s="2" t="s">
        <v>60</v>
      </c>
      <c r="D482" s="2" t="s">
        <v>10</v>
      </c>
      <c r="E482" s="2" t="s">
        <v>16</v>
      </c>
      <c r="F482" s="2">
        <v>57.42</v>
      </c>
      <c r="G482" s="2">
        <v>9</v>
      </c>
      <c r="H482" s="2">
        <v>26.41</v>
      </c>
      <c r="I482" t="str">
        <f t="shared" si="7"/>
        <v>May</v>
      </c>
      <c r="J482">
        <f>YEAR(datas[[#This Row],[Order Date]])</f>
        <v>2021</v>
      </c>
    </row>
    <row r="483" spans="1:10" ht="14.25" customHeight="1" x14ac:dyDescent="0.3">
      <c r="A483" s="1">
        <v>44335</v>
      </c>
      <c r="B483" s="2" t="s">
        <v>276</v>
      </c>
      <c r="C483" s="2" t="s">
        <v>36</v>
      </c>
      <c r="D483" s="2" t="s">
        <v>10</v>
      </c>
      <c r="E483" s="2" t="s">
        <v>95</v>
      </c>
      <c r="F483" s="2">
        <v>34.200000000000003</v>
      </c>
      <c r="G483" s="2">
        <v>5</v>
      </c>
      <c r="H483" s="2">
        <v>9.23</v>
      </c>
      <c r="I483" t="str">
        <f t="shared" si="7"/>
        <v>May</v>
      </c>
      <c r="J483">
        <f>YEAR(datas[[#This Row],[Order Date]])</f>
        <v>2021</v>
      </c>
    </row>
    <row r="484" spans="1:10" ht="14.25" customHeight="1" x14ac:dyDescent="0.3">
      <c r="A484" s="1">
        <v>44336</v>
      </c>
      <c r="B484" s="2" t="s">
        <v>277</v>
      </c>
      <c r="C484" s="2" t="s">
        <v>278</v>
      </c>
      <c r="D484" s="2" t="s">
        <v>10</v>
      </c>
      <c r="E484" s="2" t="s">
        <v>53</v>
      </c>
      <c r="F484" s="2">
        <v>33.28</v>
      </c>
      <c r="G484" s="2">
        <v>4</v>
      </c>
      <c r="H484" s="2">
        <v>9.32</v>
      </c>
      <c r="I484" t="str">
        <f t="shared" si="7"/>
        <v>May</v>
      </c>
      <c r="J484">
        <f>YEAR(datas[[#This Row],[Order Date]])</f>
        <v>2021</v>
      </c>
    </row>
    <row r="485" spans="1:10" ht="14.25" customHeight="1" x14ac:dyDescent="0.3">
      <c r="A485" s="1">
        <v>44336</v>
      </c>
      <c r="B485" s="2" t="s">
        <v>277</v>
      </c>
      <c r="C485" s="2" t="s">
        <v>278</v>
      </c>
      <c r="D485" s="2" t="s">
        <v>10</v>
      </c>
      <c r="E485" s="2" t="s">
        <v>19</v>
      </c>
      <c r="F485" s="2">
        <v>38.520000000000003</v>
      </c>
      <c r="G485" s="2">
        <v>9</v>
      </c>
      <c r="H485" s="2">
        <v>11.94</v>
      </c>
      <c r="I485" t="str">
        <f t="shared" si="7"/>
        <v>May</v>
      </c>
      <c r="J485">
        <f>YEAR(datas[[#This Row],[Order Date]])</f>
        <v>2021</v>
      </c>
    </row>
    <row r="486" spans="1:10" ht="14.25" customHeight="1" x14ac:dyDescent="0.3">
      <c r="A486" s="1">
        <v>44336</v>
      </c>
      <c r="B486" s="2" t="s">
        <v>277</v>
      </c>
      <c r="C486" s="2" t="s">
        <v>278</v>
      </c>
      <c r="D486" s="2" t="s">
        <v>26</v>
      </c>
      <c r="E486" s="2" t="s">
        <v>32</v>
      </c>
      <c r="F486" s="2">
        <v>139.86000000000001</v>
      </c>
      <c r="G486" s="2">
        <v>7</v>
      </c>
      <c r="H486" s="2">
        <v>60.14</v>
      </c>
      <c r="I486" t="str">
        <f t="shared" si="7"/>
        <v>May</v>
      </c>
      <c r="J486">
        <f>YEAR(datas[[#This Row],[Order Date]])</f>
        <v>2021</v>
      </c>
    </row>
    <row r="487" spans="1:10" ht="14.25" customHeight="1" x14ac:dyDescent="0.3">
      <c r="A487" s="1">
        <v>44336</v>
      </c>
      <c r="B487" s="2" t="s">
        <v>279</v>
      </c>
      <c r="C487" s="2" t="s">
        <v>9</v>
      </c>
      <c r="D487" s="2" t="s">
        <v>26</v>
      </c>
      <c r="E487" s="2" t="s">
        <v>32</v>
      </c>
      <c r="F487" s="2">
        <v>10.33</v>
      </c>
      <c r="G487" s="2">
        <v>3</v>
      </c>
      <c r="H487" s="2">
        <v>-5.94</v>
      </c>
      <c r="I487" t="str">
        <f t="shared" si="7"/>
        <v>May</v>
      </c>
      <c r="J487">
        <f>YEAR(datas[[#This Row],[Order Date]])</f>
        <v>2021</v>
      </c>
    </row>
    <row r="488" spans="1:10" ht="14.25" customHeight="1" x14ac:dyDescent="0.3">
      <c r="A488" s="1">
        <v>44336</v>
      </c>
      <c r="B488" s="2" t="s">
        <v>279</v>
      </c>
      <c r="C488" s="2" t="s">
        <v>9</v>
      </c>
      <c r="D488" s="2" t="s">
        <v>10</v>
      </c>
      <c r="E488" s="2" t="s">
        <v>11</v>
      </c>
      <c r="F488" s="2">
        <v>10.37</v>
      </c>
      <c r="G488" s="2">
        <v>2</v>
      </c>
      <c r="H488" s="2">
        <v>3.63</v>
      </c>
      <c r="I488" t="str">
        <f t="shared" si="7"/>
        <v>May</v>
      </c>
      <c r="J488">
        <f>YEAR(datas[[#This Row],[Order Date]])</f>
        <v>2021</v>
      </c>
    </row>
    <row r="489" spans="1:10" ht="14.25" customHeight="1" x14ac:dyDescent="0.3">
      <c r="A489" s="1">
        <v>44336</v>
      </c>
      <c r="B489" s="2" t="s">
        <v>279</v>
      </c>
      <c r="C489" s="2" t="s">
        <v>9</v>
      </c>
      <c r="D489" s="2" t="s">
        <v>28</v>
      </c>
      <c r="E489" s="2" t="s">
        <v>34</v>
      </c>
      <c r="F489" s="2">
        <v>20.78</v>
      </c>
      <c r="G489" s="2">
        <v>2</v>
      </c>
      <c r="H489" s="2">
        <v>-3.64</v>
      </c>
      <c r="I489" t="str">
        <f t="shared" si="7"/>
        <v>May</v>
      </c>
      <c r="J489">
        <f>YEAR(datas[[#This Row],[Order Date]])</f>
        <v>2021</v>
      </c>
    </row>
    <row r="490" spans="1:10" ht="14.25" customHeight="1" x14ac:dyDescent="0.3">
      <c r="A490" s="1">
        <v>44336</v>
      </c>
      <c r="B490" s="2" t="s">
        <v>279</v>
      </c>
      <c r="C490" s="2" t="s">
        <v>9</v>
      </c>
      <c r="D490" s="2" t="s">
        <v>10</v>
      </c>
      <c r="E490" s="2" t="s">
        <v>15</v>
      </c>
      <c r="F490" s="2">
        <v>66.959999999999994</v>
      </c>
      <c r="G490" s="2">
        <v>5</v>
      </c>
      <c r="H490" s="2">
        <v>-13.39</v>
      </c>
      <c r="I490" t="str">
        <f t="shared" si="7"/>
        <v>May</v>
      </c>
      <c r="J490">
        <f>YEAR(datas[[#This Row],[Order Date]])</f>
        <v>2021</v>
      </c>
    </row>
    <row r="491" spans="1:10" ht="14.25" customHeight="1" x14ac:dyDescent="0.3">
      <c r="A491" s="1">
        <v>44337</v>
      </c>
      <c r="B491" s="2" t="s">
        <v>280</v>
      </c>
      <c r="C491" s="2" t="s">
        <v>36</v>
      </c>
      <c r="D491" s="2" t="s">
        <v>10</v>
      </c>
      <c r="E491" s="2" t="s">
        <v>16</v>
      </c>
      <c r="F491" s="2">
        <v>2715.93</v>
      </c>
      <c r="G491" s="2">
        <v>7</v>
      </c>
      <c r="H491" s="2">
        <v>1276.49</v>
      </c>
      <c r="I491" t="str">
        <f t="shared" si="7"/>
        <v>May</v>
      </c>
      <c r="J491">
        <f>YEAR(datas[[#This Row],[Order Date]])</f>
        <v>2021</v>
      </c>
    </row>
    <row r="492" spans="1:10" ht="14.25" customHeight="1" x14ac:dyDescent="0.3">
      <c r="A492" s="1">
        <v>44337</v>
      </c>
      <c r="B492" s="2" t="s">
        <v>280</v>
      </c>
      <c r="C492" s="2" t="s">
        <v>36</v>
      </c>
      <c r="D492" s="2" t="s">
        <v>28</v>
      </c>
      <c r="E492" s="2" t="s">
        <v>29</v>
      </c>
      <c r="F492" s="2">
        <v>617.97</v>
      </c>
      <c r="G492" s="2">
        <v>3</v>
      </c>
      <c r="H492" s="2">
        <v>173.03</v>
      </c>
      <c r="I492" t="str">
        <f t="shared" si="7"/>
        <v>May</v>
      </c>
      <c r="J492">
        <f>YEAR(datas[[#This Row],[Order Date]])</f>
        <v>2021</v>
      </c>
    </row>
    <row r="493" spans="1:10" ht="14.25" customHeight="1" x14ac:dyDescent="0.3">
      <c r="A493" s="1">
        <v>44337</v>
      </c>
      <c r="B493" s="2" t="s">
        <v>281</v>
      </c>
      <c r="C493" s="2" t="s">
        <v>21</v>
      </c>
      <c r="D493" s="2" t="s">
        <v>10</v>
      </c>
      <c r="E493" s="2" t="s">
        <v>19</v>
      </c>
      <c r="F493" s="2">
        <v>31.84</v>
      </c>
      <c r="G493" s="2">
        <v>8</v>
      </c>
      <c r="H493" s="2">
        <v>10.51</v>
      </c>
      <c r="I493" t="str">
        <f t="shared" si="7"/>
        <v>May</v>
      </c>
      <c r="J493">
        <f>YEAR(datas[[#This Row],[Order Date]])</f>
        <v>2021</v>
      </c>
    </row>
    <row r="494" spans="1:10" ht="14.25" customHeight="1" x14ac:dyDescent="0.3">
      <c r="A494" s="1">
        <v>44337</v>
      </c>
      <c r="B494" s="2" t="s">
        <v>282</v>
      </c>
      <c r="C494" s="2" t="s">
        <v>181</v>
      </c>
      <c r="D494" s="2" t="s">
        <v>10</v>
      </c>
      <c r="E494" s="2" t="s">
        <v>16</v>
      </c>
      <c r="F494" s="2">
        <v>447.86</v>
      </c>
      <c r="G494" s="2">
        <v>7</v>
      </c>
      <c r="H494" s="2">
        <v>219.45</v>
      </c>
      <c r="I494" t="str">
        <f t="shared" si="7"/>
        <v>May</v>
      </c>
      <c r="J494">
        <f>YEAR(datas[[#This Row],[Order Date]])</f>
        <v>2021</v>
      </c>
    </row>
    <row r="495" spans="1:10" ht="14.25" customHeight="1" x14ac:dyDescent="0.3">
      <c r="A495" s="1">
        <v>44337</v>
      </c>
      <c r="B495" s="2" t="s">
        <v>282</v>
      </c>
      <c r="C495" s="2" t="s">
        <v>181</v>
      </c>
      <c r="D495" s="2" t="s">
        <v>10</v>
      </c>
      <c r="E495" s="2" t="s">
        <v>11</v>
      </c>
      <c r="F495" s="2">
        <v>17.940000000000001</v>
      </c>
      <c r="G495" s="2">
        <v>3</v>
      </c>
      <c r="H495" s="2">
        <v>8.7899999999999991</v>
      </c>
      <c r="I495" t="str">
        <f t="shared" si="7"/>
        <v>May</v>
      </c>
      <c r="J495">
        <f>YEAR(datas[[#This Row],[Order Date]])</f>
        <v>2021</v>
      </c>
    </row>
    <row r="496" spans="1:10" ht="14.25" customHeight="1" x14ac:dyDescent="0.3">
      <c r="A496" s="1">
        <v>44337</v>
      </c>
      <c r="B496" s="2" t="s">
        <v>282</v>
      </c>
      <c r="C496" s="2" t="s">
        <v>181</v>
      </c>
      <c r="D496" s="2" t="s">
        <v>10</v>
      </c>
      <c r="E496" s="2" t="s">
        <v>53</v>
      </c>
      <c r="F496" s="2">
        <v>245.88</v>
      </c>
      <c r="G496" s="2">
        <v>6</v>
      </c>
      <c r="H496" s="2">
        <v>68.849999999999994</v>
      </c>
      <c r="I496" t="str">
        <f t="shared" si="7"/>
        <v>May</v>
      </c>
      <c r="J496">
        <f>YEAR(datas[[#This Row],[Order Date]])</f>
        <v>2021</v>
      </c>
    </row>
    <row r="497" spans="1:10" ht="14.25" customHeight="1" x14ac:dyDescent="0.3">
      <c r="A497" s="1">
        <v>44337</v>
      </c>
      <c r="B497" s="2" t="s">
        <v>239</v>
      </c>
      <c r="C497" s="2" t="s">
        <v>9</v>
      </c>
      <c r="D497" s="2" t="s">
        <v>10</v>
      </c>
      <c r="E497" s="2" t="s">
        <v>41</v>
      </c>
      <c r="F497" s="2">
        <v>56.06</v>
      </c>
      <c r="G497" s="2">
        <v>6</v>
      </c>
      <c r="H497" s="2">
        <v>21.02</v>
      </c>
      <c r="I497" t="str">
        <f t="shared" si="7"/>
        <v>May</v>
      </c>
      <c r="J497">
        <f>YEAR(datas[[#This Row],[Order Date]])</f>
        <v>2021</v>
      </c>
    </row>
    <row r="498" spans="1:10" ht="14.25" customHeight="1" x14ac:dyDescent="0.3">
      <c r="A498" s="1">
        <v>44337</v>
      </c>
      <c r="B498" s="2" t="s">
        <v>239</v>
      </c>
      <c r="C498" s="2" t="s">
        <v>9</v>
      </c>
      <c r="D498" s="2" t="s">
        <v>26</v>
      </c>
      <c r="E498" s="2" t="s">
        <v>27</v>
      </c>
      <c r="F498" s="2">
        <v>107.77</v>
      </c>
      <c r="G498" s="2">
        <v>2</v>
      </c>
      <c r="H498" s="2">
        <v>-29.25</v>
      </c>
      <c r="I498" t="str">
        <f t="shared" si="7"/>
        <v>May</v>
      </c>
      <c r="J498">
        <f>YEAR(datas[[#This Row],[Order Date]])</f>
        <v>2021</v>
      </c>
    </row>
    <row r="499" spans="1:10" ht="14.25" customHeight="1" x14ac:dyDescent="0.3">
      <c r="A499" s="1">
        <v>44337</v>
      </c>
      <c r="B499" s="2" t="s">
        <v>239</v>
      </c>
      <c r="C499" s="2" t="s">
        <v>9</v>
      </c>
      <c r="D499" s="2" t="s">
        <v>10</v>
      </c>
      <c r="E499" s="2" t="s">
        <v>11</v>
      </c>
      <c r="F499" s="2">
        <v>4.83</v>
      </c>
      <c r="G499" s="2">
        <v>1</v>
      </c>
      <c r="H499" s="2">
        <v>1.63</v>
      </c>
      <c r="I499" t="str">
        <f t="shared" si="7"/>
        <v>May</v>
      </c>
      <c r="J499">
        <f>YEAR(datas[[#This Row],[Order Date]])</f>
        <v>2021</v>
      </c>
    </row>
    <row r="500" spans="1:10" ht="14.25" customHeight="1" x14ac:dyDescent="0.3">
      <c r="A500" s="1">
        <v>44337</v>
      </c>
      <c r="B500" s="2" t="s">
        <v>239</v>
      </c>
      <c r="C500" s="2" t="s">
        <v>9</v>
      </c>
      <c r="D500" s="2" t="s">
        <v>10</v>
      </c>
      <c r="E500" s="2" t="s">
        <v>16</v>
      </c>
      <c r="F500" s="2">
        <v>18.239999999999998</v>
      </c>
      <c r="G500" s="2">
        <v>3</v>
      </c>
      <c r="H500" s="2">
        <v>-31.01</v>
      </c>
      <c r="I500" t="str">
        <f t="shared" si="7"/>
        <v>May</v>
      </c>
      <c r="J500">
        <f>YEAR(datas[[#This Row],[Order Date]])</f>
        <v>2021</v>
      </c>
    </row>
    <row r="501" spans="1:10" ht="14.25" customHeight="1" x14ac:dyDescent="0.3">
      <c r="A501" s="1">
        <v>44338</v>
      </c>
      <c r="B501" s="2" t="s">
        <v>283</v>
      </c>
      <c r="C501" s="2" t="s">
        <v>198</v>
      </c>
      <c r="D501" s="2" t="s">
        <v>28</v>
      </c>
      <c r="E501" s="2" t="s">
        <v>29</v>
      </c>
      <c r="F501" s="2">
        <v>135.97999999999999</v>
      </c>
      <c r="G501" s="2">
        <v>2</v>
      </c>
      <c r="H501" s="2">
        <v>34</v>
      </c>
      <c r="I501" t="str">
        <f t="shared" si="7"/>
        <v>May</v>
      </c>
      <c r="J501">
        <f>YEAR(datas[[#This Row],[Order Date]])</f>
        <v>2021</v>
      </c>
    </row>
    <row r="502" spans="1:10" ht="14.25" customHeight="1" x14ac:dyDescent="0.3">
      <c r="A502" s="1">
        <v>44338</v>
      </c>
      <c r="B502" s="2" t="s">
        <v>283</v>
      </c>
      <c r="C502" s="2" t="s">
        <v>198</v>
      </c>
      <c r="D502" s="2" t="s">
        <v>28</v>
      </c>
      <c r="E502" s="2" t="s">
        <v>29</v>
      </c>
      <c r="F502" s="2">
        <v>44.95</v>
      </c>
      <c r="G502" s="2">
        <v>1</v>
      </c>
      <c r="H502" s="2">
        <v>12.59</v>
      </c>
      <c r="I502" t="str">
        <f t="shared" si="7"/>
        <v>May</v>
      </c>
      <c r="J502">
        <f>YEAR(datas[[#This Row],[Order Date]])</f>
        <v>2021</v>
      </c>
    </row>
    <row r="503" spans="1:10" ht="14.25" customHeight="1" x14ac:dyDescent="0.3">
      <c r="A503" s="1">
        <v>44339</v>
      </c>
      <c r="B503" s="2" t="s">
        <v>241</v>
      </c>
      <c r="C503" s="2" t="s">
        <v>18</v>
      </c>
      <c r="D503" s="2" t="s">
        <v>10</v>
      </c>
      <c r="E503" s="2" t="s">
        <v>16</v>
      </c>
      <c r="F503" s="2">
        <v>3.28</v>
      </c>
      <c r="G503" s="2">
        <v>2</v>
      </c>
      <c r="H503" s="2">
        <v>-2.63</v>
      </c>
      <c r="I503" t="str">
        <f t="shared" si="7"/>
        <v>May</v>
      </c>
      <c r="J503">
        <f>YEAR(datas[[#This Row],[Order Date]])</f>
        <v>2021</v>
      </c>
    </row>
    <row r="504" spans="1:10" ht="14.25" customHeight="1" x14ac:dyDescent="0.3">
      <c r="A504" s="1">
        <v>44339</v>
      </c>
      <c r="B504" s="2" t="s">
        <v>241</v>
      </c>
      <c r="C504" s="2" t="s">
        <v>18</v>
      </c>
      <c r="D504" s="2" t="s">
        <v>10</v>
      </c>
      <c r="E504" s="2" t="s">
        <v>19</v>
      </c>
      <c r="F504" s="2">
        <v>21.17</v>
      </c>
      <c r="G504" s="2">
        <v>9</v>
      </c>
      <c r="H504" s="2">
        <v>2.38</v>
      </c>
      <c r="I504" t="str">
        <f t="shared" si="7"/>
        <v>May</v>
      </c>
      <c r="J504">
        <f>YEAR(datas[[#This Row],[Order Date]])</f>
        <v>2021</v>
      </c>
    </row>
    <row r="505" spans="1:10" ht="14.25" customHeight="1" x14ac:dyDescent="0.3">
      <c r="A505" s="1">
        <v>44339</v>
      </c>
      <c r="B505" s="2" t="s">
        <v>241</v>
      </c>
      <c r="C505" s="2" t="s">
        <v>18</v>
      </c>
      <c r="D505" s="2" t="s">
        <v>28</v>
      </c>
      <c r="E505" s="2" t="s">
        <v>29</v>
      </c>
      <c r="F505" s="2">
        <v>55.19</v>
      </c>
      <c r="G505" s="2">
        <v>2</v>
      </c>
      <c r="H505" s="2">
        <v>-10.119999999999999</v>
      </c>
      <c r="I505" t="str">
        <f t="shared" si="7"/>
        <v>May</v>
      </c>
      <c r="J505">
        <f>YEAR(datas[[#This Row],[Order Date]])</f>
        <v>2021</v>
      </c>
    </row>
    <row r="506" spans="1:10" ht="14.25" customHeight="1" x14ac:dyDescent="0.3">
      <c r="A506" s="1">
        <v>44339</v>
      </c>
      <c r="B506" s="2" t="s">
        <v>49</v>
      </c>
      <c r="C506" s="2" t="s">
        <v>82</v>
      </c>
      <c r="D506" s="2" t="s">
        <v>10</v>
      </c>
      <c r="E506" s="2" t="s">
        <v>11</v>
      </c>
      <c r="F506" s="2">
        <v>12.96</v>
      </c>
      <c r="G506" s="2">
        <v>2</v>
      </c>
      <c r="H506" s="2">
        <v>6.22</v>
      </c>
      <c r="I506" t="str">
        <f t="shared" si="7"/>
        <v>May</v>
      </c>
      <c r="J506">
        <f>YEAR(datas[[#This Row],[Order Date]])</f>
        <v>2021</v>
      </c>
    </row>
    <row r="507" spans="1:10" ht="14.25" customHeight="1" x14ac:dyDescent="0.3">
      <c r="A507" s="1">
        <v>44339</v>
      </c>
      <c r="B507" s="2" t="s">
        <v>284</v>
      </c>
      <c r="C507" s="2" t="s">
        <v>75</v>
      </c>
      <c r="D507" s="2" t="s">
        <v>10</v>
      </c>
      <c r="E507" s="2" t="s">
        <v>16</v>
      </c>
      <c r="F507" s="2">
        <v>17.96</v>
      </c>
      <c r="G507" s="2">
        <v>5</v>
      </c>
      <c r="H507" s="2">
        <v>5.84</v>
      </c>
      <c r="I507" t="str">
        <f t="shared" si="7"/>
        <v>May</v>
      </c>
      <c r="J507">
        <f>YEAR(datas[[#This Row],[Order Date]])</f>
        <v>2021</v>
      </c>
    </row>
    <row r="508" spans="1:10" ht="14.25" customHeight="1" x14ac:dyDescent="0.3">
      <c r="A508" s="1">
        <v>44339</v>
      </c>
      <c r="B508" s="2" t="s">
        <v>284</v>
      </c>
      <c r="C508" s="2" t="s">
        <v>75</v>
      </c>
      <c r="D508" s="2" t="s">
        <v>10</v>
      </c>
      <c r="E508" s="2" t="s">
        <v>95</v>
      </c>
      <c r="F508" s="2">
        <v>5.04</v>
      </c>
      <c r="G508" s="2">
        <v>2</v>
      </c>
      <c r="H508" s="2">
        <v>0.15</v>
      </c>
      <c r="I508" t="str">
        <f t="shared" si="7"/>
        <v>May</v>
      </c>
      <c r="J508">
        <f>YEAR(datas[[#This Row],[Order Date]])</f>
        <v>2021</v>
      </c>
    </row>
    <row r="509" spans="1:10" ht="14.25" customHeight="1" x14ac:dyDescent="0.3">
      <c r="A509" s="1">
        <v>44339</v>
      </c>
      <c r="B509" s="2" t="s">
        <v>284</v>
      </c>
      <c r="C509" s="2" t="s">
        <v>75</v>
      </c>
      <c r="D509" s="2" t="s">
        <v>10</v>
      </c>
      <c r="E509" s="2" t="s">
        <v>53</v>
      </c>
      <c r="F509" s="2">
        <v>208.16</v>
      </c>
      <c r="G509" s="2">
        <v>1</v>
      </c>
      <c r="H509" s="2">
        <v>56.2</v>
      </c>
      <c r="I509" t="str">
        <f t="shared" si="7"/>
        <v>May</v>
      </c>
      <c r="J509">
        <f>YEAR(datas[[#This Row],[Order Date]])</f>
        <v>2021</v>
      </c>
    </row>
    <row r="510" spans="1:10" ht="14.25" customHeight="1" x14ac:dyDescent="0.3">
      <c r="A510" s="1">
        <v>44340</v>
      </c>
      <c r="B510" s="2" t="s">
        <v>285</v>
      </c>
      <c r="C510" s="2" t="s">
        <v>215</v>
      </c>
      <c r="D510" s="2" t="s">
        <v>10</v>
      </c>
      <c r="E510" s="2" t="s">
        <v>11</v>
      </c>
      <c r="F510" s="2">
        <v>116.28</v>
      </c>
      <c r="G510" s="2">
        <v>3</v>
      </c>
      <c r="H510" s="2">
        <v>56.98</v>
      </c>
      <c r="I510" t="str">
        <f t="shared" si="7"/>
        <v>May</v>
      </c>
      <c r="J510">
        <f>YEAR(datas[[#This Row],[Order Date]])</f>
        <v>2021</v>
      </c>
    </row>
    <row r="511" spans="1:10" ht="14.25" customHeight="1" x14ac:dyDescent="0.3">
      <c r="A511" s="1">
        <v>44341</v>
      </c>
      <c r="B511" s="2" t="s">
        <v>286</v>
      </c>
      <c r="C511" s="2" t="s">
        <v>13</v>
      </c>
      <c r="D511" s="2" t="s">
        <v>10</v>
      </c>
      <c r="E511" s="2" t="s">
        <v>53</v>
      </c>
      <c r="F511" s="2">
        <v>75.599999999999994</v>
      </c>
      <c r="G511" s="2">
        <v>2</v>
      </c>
      <c r="H511" s="2">
        <v>-166.32</v>
      </c>
      <c r="I511" t="str">
        <f t="shared" si="7"/>
        <v>May</v>
      </c>
      <c r="J511">
        <f>YEAR(datas[[#This Row],[Order Date]])</f>
        <v>2021</v>
      </c>
    </row>
    <row r="512" spans="1:10" ht="14.25" customHeight="1" x14ac:dyDescent="0.3">
      <c r="A512" s="1">
        <v>44341</v>
      </c>
      <c r="B512" s="2" t="s">
        <v>286</v>
      </c>
      <c r="C512" s="2" t="s">
        <v>13</v>
      </c>
      <c r="D512" s="2" t="s">
        <v>26</v>
      </c>
      <c r="E512" s="2" t="s">
        <v>32</v>
      </c>
      <c r="F512" s="2">
        <v>29.32</v>
      </c>
      <c r="G512" s="2">
        <v>2</v>
      </c>
      <c r="H512" s="2">
        <v>-24.19</v>
      </c>
      <c r="I512" t="str">
        <f t="shared" si="7"/>
        <v>May</v>
      </c>
      <c r="J512">
        <f>YEAR(datas[[#This Row],[Order Date]])</f>
        <v>2021</v>
      </c>
    </row>
    <row r="513" spans="1:10" ht="14.25" customHeight="1" x14ac:dyDescent="0.3">
      <c r="A513" s="1">
        <v>44341</v>
      </c>
      <c r="B513" s="2" t="s">
        <v>287</v>
      </c>
      <c r="C513" s="2" t="s">
        <v>75</v>
      </c>
      <c r="D513" s="2" t="s">
        <v>10</v>
      </c>
      <c r="E513" s="2" t="s">
        <v>11</v>
      </c>
      <c r="F513" s="2">
        <v>14.62</v>
      </c>
      <c r="G513" s="2">
        <v>2</v>
      </c>
      <c r="H513" s="2">
        <v>6.73</v>
      </c>
      <c r="I513" t="str">
        <f t="shared" si="7"/>
        <v>May</v>
      </c>
      <c r="J513">
        <f>YEAR(datas[[#This Row],[Order Date]])</f>
        <v>2021</v>
      </c>
    </row>
    <row r="514" spans="1:10" ht="14.25" customHeight="1" x14ac:dyDescent="0.3">
      <c r="A514" s="1">
        <v>44342</v>
      </c>
      <c r="B514" s="2" t="s">
        <v>94</v>
      </c>
      <c r="C514" s="2" t="s">
        <v>21</v>
      </c>
      <c r="D514" s="2" t="s">
        <v>26</v>
      </c>
      <c r="E514" s="2" t="s">
        <v>45</v>
      </c>
      <c r="F514" s="2">
        <v>290.67</v>
      </c>
      <c r="G514" s="2">
        <v>2</v>
      </c>
      <c r="H514" s="2">
        <v>27.36</v>
      </c>
      <c r="I514" t="str">
        <f t="shared" si="7"/>
        <v>May</v>
      </c>
      <c r="J514">
        <f>YEAR(datas[[#This Row],[Order Date]])</f>
        <v>2021</v>
      </c>
    </row>
    <row r="515" spans="1:10" ht="14.25" customHeight="1" x14ac:dyDescent="0.3">
      <c r="A515" s="1">
        <v>44342</v>
      </c>
      <c r="B515" s="2" t="s">
        <v>94</v>
      </c>
      <c r="C515" s="2" t="s">
        <v>21</v>
      </c>
      <c r="D515" s="2" t="s">
        <v>28</v>
      </c>
      <c r="E515" s="2" t="s">
        <v>29</v>
      </c>
      <c r="F515" s="2">
        <v>201.58</v>
      </c>
      <c r="G515" s="2">
        <v>2</v>
      </c>
      <c r="H515" s="2">
        <v>20.16</v>
      </c>
      <c r="I515" t="str">
        <f t="shared" ref="I515:I578" si="8">TEXT(A515,"mmm")</f>
        <v>May</v>
      </c>
      <c r="J515">
        <f>YEAR(datas[[#This Row],[Order Date]])</f>
        <v>2021</v>
      </c>
    </row>
    <row r="516" spans="1:10" ht="14.25" customHeight="1" x14ac:dyDescent="0.3">
      <c r="A516" s="1">
        <v>44342</v>
      </c>
      <c r="B516" s="2" t="s">
        <v>94</v>
      </c>
      <c r="C516" s="2" t="s">
        <v>21</v>
      </c>
      <c r="D516" s="2" t="s">
        <v>28</v>
      </c>
      <c r="E516" s="2" t="s">
        <v>29</v>
      </c>
      <c r="F516" s="2">
        <v>83.98</v>
      </c>
      <c r="G516" s="2">
        <v>2</v>
      </c>
      <c r="H516" s="2">
        <v>31.49</v>
      </c>
      <c r="I516" t="str">
        <f t="shared" si="8"/>
        <v>May</v>
      </c>
      <c r="J516">
        <f>YEAR(datas[[#This Row],[Order Date]])</f>
        <v>2021</v>
      </c>
    </row>
    <row r="517" spans="1:10" ht="14.25" customHeight="1" x14ac:dyDescent="0.3">
      <c r="A517" s="1">
        <v>44342</v>
      </c>
      <c r="B517" s="2" t="s">
        <v>288</v>
      </c>
      <c r="C517" s="2" t="s">
        <v>21</v>
      </c>
      <c r="D517" s="2" t="s">
        <v>26</v>
      </c>
      <c r="E517" s="2" t="s">
        <v>27</v>
      </c>
      <c r="F517" s="2">
        <v>225.3</v>
      </c>
      <c r="G517" s="2">
        <v>2</v>
      </c>
      <c r="H517" s="2">
        <v>22.53</v>
      </c>
      <c r="I517" t="str">
        <f t="shared" si="8"/>
        <v>May</v>
      </c>
      <c r="J517">
        <f>YEAR(datas[[#This Row],[Order Date]])</f>
        <v>2021</v>
      </c>
    </row>
    <row r="518" spans="1:10" ht="14.25" customHeight="1" x14ac:dyDescent="0.3">
      <c r="A518" s="1">
        <v>44342</v>
      </c>
      <c r="B518" s="2" t="s">
        <v>289</v>
      </c>
      <c r="C518" s="2" t="s">
        <v>134</v>
      </c>
      <c r="D518" s="2" t="s">
        <v>10</v>
      </c>
      <c r="E518" s="2" t="s">
        <v>11</v>
      </c>
      <c r="F518" s="2">
        <v>48.4</v>
      </c>
      <c r="G518" s="2">
        <v>5</v>
      </c>
      <c r="H518" s="2">
        <v>23.23</v>
      </c>
      <c r="I518" t="str">
        <f t="shared" si="8"/>
        <v>May</v>
      </c>
      <c r="J518">
        <f>YEAR(datas[[#This Row],[Order Date]])</f>
        <v>2021</v>
      </c>
    </row>
    <row r="519" spans="1:10" ht="14.25" customHeight="1" x14ac:dyDescent="0.3">
      <c r="A519" s="1">
        <v>44342</v>
      </c>
      <c r="B519" s="2" t="s">
        <v>209</v>
      </c>
      <c r="C519" s="2" t="s">
        <v>13</v>
      </c>
      <c r="D519" s="2" t="s">
        <v>10</v>
      </c>
      <c r="E519" s="2" t="s">
        <v>15</v>
      </c>
      <c r="F519" s="2">
        <v>102.62</v>
      </c>
      <c r="G519" s="2">
        <v>3</v>
      </c>
      <c r="H519" s="2">
        <v>7.7</v>
      </c>
      <c r="I519" t="str">
        <f t="shared" si="8"/>
        <v>May</v>
      </c>
      <c r="J519">
        <f>YEAR(datas[[#This Row],[Order Date]])</f>
        <v>2021</v>
      </c>
    </row>
    <row r="520" spans="1:10" ht="14.25" customHeight="1" x14ac:dyDescent="0.3">
      <c r="A520" s="1">
        <v>44342</v>
      </c>
      <c r="B520" s="2" t="s">
        <v>209</v>
      </c>
      <c r="C520" s="2" t="s">
        <v>13</v>
      </c>
      <c r="D520" s="2" t="s">
        <v>26</v>
      </c>
      <c r="E520" s="2" t="s">
        <v>27</v>
      </c>
      <c r="F520" s="2">
        <v>359.77</v>
      </c>
      <c r="G520" s="2">
        <v>2</v>
      </c>
      <c r="H520" s="2">
        <v>-5.14</v>
      </c>
      <c r="I520" t="str">
        <f t="shared" si="8"/>
        <v>May</v>
      </c>
      <c r="J520">
        <f>YEAR(datas[[#This Row],[Order Date]])</f>
        <v>2021</v>
      </c>
    </row>
    <row r="521" spans="1:10" ht="14.25" customHeight="1" x14ac:dyDescent="0.3">
      <c r="A521" s="1">
        <v>44342</v>
      </c>
      <c r="B521" s="2" t="s">
        <v>209</v>
      </c>
      <c r="C521" s="2" t="s">
        <v>13</v>
      </c>
      <c r="D521" s="2" t="s">
        <v>10</v>
      </c>
      <c r="E521" s="2" t="s">
        <v>19</v>
      </c>
      <c r="F521" s="2">
        <v>13.39</v>
      </c>
      <c r="G521" s="2">
        <v>3</v>
      </c>
      <c r="H521" s="2">
        <v>3.18</v>
      </c>
      <c r="I521" t="str">
        <f t="shared" si="8"/>
        <v>May</v>
      </c>
      <c r="J521">
        <f>YEAR(datas[[#This Row],[Order Date]])</f>
        <v>2021</v>
      </c>
    </row>
    <row r="522" spans="1:10" ht="14.25" customHeight="1" x14ac:dyDescent="0.3">
      <c r="A522" s="1">
        <v>44343</v>
      </c>
      <c r="B522" s="2" t="s">
        <v>290</v>
      </c>
      <c r="C522" s="2" t="s">
        <v>21</v>
      </c>
      <c r="D522" s="2" t="s">
        <v>26</v>
      </c>
      <c r="E522" s="2" t="s">
        <v>73</v>
      </c>
      <c r="F522" s="2">
        <v>567.12</v>
      </c>
      <c r="G522" s="2">
        <v>10</v>
      </c>
      <c r="H522" s="2">
        <v>-28.36</v>
      </c>
      <c r="I522" t="str">
        <f t="shared" si="8"/>
        <v>May</v>
      </c>
      <c r="J522">
        <f>YEAR(datas[[#This Row],[Order Date]])</f>
        <v>2021</v>
      </c>
    </row>
    <row r="523" spans="1:10" ht="14.25" customHeight="1" x14ac:dyDescent="0.3">
      <c r="A523" s="1">
        <v>44343</v>
      </c>
      <c r="B523" s="2" t="s">
        <v>290</v>
      </c>
      <c r="C523" s="2" t="s">
        <v>21</v>
      </c>
      <c r="D523" s="2" t="s">
        <v>10</v>
      </c>
      <c r="E523" s="2" t="s">
        <v>15</v>
      </c>
      <c r="F523" s="2">
        <v>359.32</v>
      </c>
      <c r="G523" s="2">
        <v>4</v>
      </c>
      <c r="H523" s="2">
        <v>7.19</v>
      </c>
      <c r="I523" t="str">
        <f t="shared" si="8"/>
        <v>May</v>
      </c>
      <c r="J523">
        <f>YEAR(datas[[#This Row],[Order Date]])</f>
        <v>2021</v>
      </c>
    </row>
    <row r="524" spans="1:10" ht="14.25" customHeight="1" x14ac:dyDescent="0.3">
      <c r="A524" s="1">
        <v>44343</v>
      </c>
      <c r="B524" s="2" t="s">
        <v>228</v>
      </c>
      <c r="C524" s="2" t="s">
        <v>21</v>
      </c>
      <c r="D524" s="2" t="s">
        <v>28</v>
      </c>
      <c r="E524" s="2" t="s">
        <v>29</v>
      </c>
      <c r="F524" s="2">
        <v>1113.5</v>
      </c>
      <c r="G524" s="2">
        <v>12</v>
      </c>
      <c r="H524" s="2">
        <v>125.27</v>
      </c>
      <c r="I524" t="str">
        <f t="shared" si="8"/>
        <v>May</v>
      </c>
      <c r="J524">
        <f>YEAR(datas[[#This Row],[Order Date]])</f>
        <v>2021</v>
      </c>
    </row>
    <row r="525" spans="1:10" ht="14.25" customHeight="1" x14ac:dyDescent="0.3">
      <c r="A525" s="1">
        <v>44343</v>
      </c>
      <c r="B525" s="2" t="s">
        <v>228</v>
      </c>
      <c r="C525" s="2" t="s">
        <v>21</v>
      </c>
      <c r="D525" s="2" t="s">
        <v>28</v>
      </c>
      <c r="E525" s="2" t="s">
        <v>34</v>
      </c>
      <c r="F525" s="2">
        <v>99.99</v>
      </c>
      <c r="G525" s="2">
        <v>1</v>
      </c>
      <c r="H525" s="2">
        <v>38</v>
      </c>
      <c r="I525" t="str">
        <f t="shared" si="8"/>
        <v>May</v>
      </c>
      <c r="J525">
        <f>YEAR(datas[[#This Row],[Order Date]])</f>
        <v>2021</v>
      </c>
    </row>
    <row r="526" spans="1:10" ht="14.25" customHeight="1" x14ac:dyDescent="0.3">
      <c r="A526" s="1">
        <v>44343</v>
      </c>
      <c r="B526" s="2" t="s">
        <v>291</v>
      </c>
      <c r="C526" s="2" t="s">
        <v>13</v>
      </c>
      <c r="D526" s="2" t="s">
        <v>10</v>
      </c>
      <c r="E526" s="2" t="s">
        <v>16</v>
      </c>
      <c r="F526" s="2">
        <v>17.46</v>
      </c>
      <c r="G526" s="2">
        <v>6</v>
      </c>
      <c r="H526" s="2">
        <v>-30.56</v>
      </c>
      <c r="I526" t="str">
        <f t="shared" si="8"/>
        <v>May</v>
      </c>
      <c r="J526">
        <f>YEAR(datas[[#This Row],[Order Date]])</f>
        <v>2021</v>
      </c>
    </row>
    <row r="527" spans="1:10" ht="14.25" customHeight="1" x14ac:dyDescent="0.3">
      <c r="A527" s="1">
        <v>44344</v>
      </c>
      <c r="B527" s="2" t="s">
        <v>292</v>
      </c>
      <c r="C527" s="2" t="s">
        <v>82</v>
      </c>
      <c r="D527" s="2" t="s">
        <v>28</v>
      </c>
      <c r="E527" s="2" t="s">
        <v>29</v>
      </c>
      <c r="F527" s="2">
        <v>57.41</v>
      </c>
      <c r="G527" s="2">
        <v>6</v>
      </c>
      <c r="H527" s="2">
        <v>5.74</v>
      </c>
      <c r="I527" t="str">
        <f t="shared" si="8"/>
        <v>May</v>
      </c>
      <c r="J527">
        <f>YEAR(datas[[#This Row],[Order Date]])</f>
        <v>2021</v>
      </c>
    </row>
    <row r="528" spans="1:10" ht="14.25" customHeight="1" x14ac:dyDescent="0.3">
      <c r="A528" s="1">
        <v>44344</v>
      </c>
      <c r="B528" s="2" t="s">
        <v>292</v>
      </c>
      <c r="C528" s="2" t="s">
        <v>82</v>
      </c>
      <c r="D528" s="2" t="s">
        <v>28</v>
      </c>
      <c r="E528" s="2" t="s">
        <v>34</v>
      </c>
      <c r="F528" s="2">
        <v>27.6</v>
      </c>
      <c r="G528" s="2">
        <v>4</v>
      </c>
      <c r="H528" s="2">
        <v>2.21</v>
      </c>
      <c r="I528" t="str">
        <f t="shared" si="8"/>
        <v>May</v>
      </c>
      <c r="J528">
        <f>YEAR(datas[[#This Row],[Order Date]])</f>
        <v>2021</v>
      </c>
    </row>
    <row r="529" spans="1:10" ht="14.25" customHeight="1" x14ac:dyDescent="0.3">
      <c r="A529" s="1">
        <v>44344</v>
      </c>
      <c r="B529" s="2" t="s">
        <v>293</v>
      </c>
      <c r="C529" s="2" t="s">
        <v>82</v>
      </c>
      <c r="D529" s="2" t="s">
        <v>10</v>
      </c>
      <c r="E529" s="2" t="s">
        <v>16</v>
      </c>
      <c r="F529" s="2">
        <v>136.96</v>
      </c>
      <c r="G529" s="2">
        <v>4</v>
      </c>
      <c r="H529" s="2">
        <v>51.36</v>
      </c>
      <c r="I529" t="str">
        <f t="shared" si="8"/>
        <v>May</v>
      </c>
      <c r="J529">
        <f>YEAR(datas[[#This Row],[Order Date]])</f>
        <v>2021</v>
      </c>
    </row>
    <row r="530" spans="1:10" ht="14.25" customHeight="1" x14ac:dyDescent="0.3">
      <c r="A530" s="1">
        <v>44346</v>
      </c>
      <c r="B530" s="2" t="s">
        <v>294</v>
      </c>
      <c r="C530" s="2" t="s">
        <v>36</v>
      </c>
      <c r="D530" s="2" t="s">
        <v>10</v>
      </c>
      <c r="E530" s="2" t="s">
        <v>11</v>
      </c>
      <c r="F530" s="2">
        <v>13.62</v>
      </c>
      <c r="G530" s="2">
        <v>3</v>
      </c>
      <c r="H530" s="2">
        <v>6.13</v>
      </c>
      <c r="I530" t="str">
        <f t="shared" si="8"/>
        <v>May</v>
      </c>
      <c r="J530">
        <f>YEAR(datas[[#This Row],[Order Date]])</f>
        <v>2021</v>
      </c>
    </row>
    <row r="531" spans="1:10" ht="14.25" customHeight="1" x14ac:dyDescent="0.3">
      <c r="A531" s="1">
        <v>44346</v>
      </c>
      <c r="B531" s="2" t="s">
        <v>295</v>
      </c>
      <c r="C531" s="2" t="s">
        <v>13</v>
      </c>
      <c r="D531" s="2" t="s">
        <v>26</v>
      </c>
      <c r="E531" s="2" t="s">
        <v>73</v>
      </c>
      <c r="F531" s="2">
        <v>355.46</v>
      </c>
      <c r="G531" s="2">
        <v>3</v>
      </c>
      <c r="H531" s="2">
        <v>-184.84</v>
      </c>
      <c r="I531" t="str">
        <f t="shared" si="8"/>
        <v>May</v>
      </c>
      <c r="J531">
        <f>YEAR(datas[[#This Row],[Order Date]])</f>
        <v>2021</v>
      </c>
    </row>
    <row r="532" spans="1:10" ht="14.25" customHeight="1" x14ac:dyDescent="0.3">
      <c r="A532" s="1">
        <v>44346</v>
      </c>
      <c r="B532" s="2" t="s">
        <v>296</v>
      </c>
      <c r="C532" s="2" t="s">
        <v>75</v>
      </c>
      <c r="D532" s="2" t="s">
        <v>10</v>
      </c>
      <c r="E532" s="2" t="s">
        <v>16</v>
      </c>
      <c r="F532" s="2">
        <v>70.37</v>
      </c>
      <c r="G532" s="2">
        <v>4</v>
      </c>
      <c r="H532" s="2">
        <v>26.39</v>
      </c>
      <c r="I532" t="str">
        <f t="shared" si="8"/>
        <v>May</v>
      </c>
      <c r="J532">
        <f>YEAR(datas[[#This Row],[Order Date]])</f>
        <v>2021</v>
      </c>
    </row>
    <row r="533" spans="1:10" ht="14.25" customHeight="1" x14ac:dyDescent="0.3">
      <c r="A533" s="1">
        <v>44346</v>
      </c>
      <c r="B533" s="2" t="s">
        <v>297</v>
      </c>
      <c r="C533" s="2" t="s">
        <v>75</v>
      </c>
      <c r="D533" s="2" t="s">
        <v>10</v>
      </c>
      <c r="E533" s="2" t="s">
        <v>16</v>
      </c>
      <c r="F533" s="2">
        <v>25.58</v>
      </c>
      <c r="G533" s="2">
        <v>2</v>
      </c>
      <c r="H533" s="2">
        <v>8.9499999999999993</v>
      </c>
      <c r="I533" t="str">
        <f t="shared" si="8"/>
        <v>May</v>
      </c>
      <c r="J533">
        <f>YEAR(datas[[#This Row],[Order Date]])</f>
        <v>2021</v>
      </c>
    </row>
    <row r="534" spans="1:10" ht="14.25" customHeight="1" x14ac:dyDescent="0.3">
      <c r="A534" s="1">
        <v>44346</v>
      </c>
      <c r="B534" s="2" t="s">
        <v>297</v>
      </c>
      <c r="C534" s="2" t="s">
        <v>75</v>
      </c>
      <c r="D534" s="2" t="s">
        <v>28</v>
      </c>
      <c r="E534" s="2" t="s">
        <v>29</v>
      </c>
      <c r="F534" s="2">
        <v>464</v>
      </c>
      <c r="G534" s="2">
        <v>5</v>
      </c>
      <c r="H534" s="2">
        <v>134.56</v>
      </c>
      <c r="I534" t="str">
        <f t="shared" si="8"/>
        <v>May</v>
      </c>
      <c r="J534">
        <f>YEAR(datas[[#This Row],[Order Date]])</f>
        <v>2021</v>
      </c>
    </row>
    <row r="535" spans="1:10" ht="14.25" customHeight="1" x14ac:dyDescent="0.3">
      <c r="A535" s="1">
        <v>44346</v>
      </c>
      <c r="B535" s="2" t="s">
        <v>297</v>
      </c>
      <c r="C535" s="2" t="s">
        <v>75</v>
      </c>
      <c r="D535" s="2" t="s">
        <v>10</v>
      </c>
      <c r="E535" s="2" t="s">
        <v>53</v>
      </c>
      <c r="F535" s="2">
        <v>235.95</v>
      </c>
      <c r="G535" s="2">
        <v>3</v>
      </c>
      <c r="H535" s="2">
        <v>77.86</v>
      </c>
      <c r="I535" t="str">
        <f t="shared" si="8"/>
        <v>May</v>
      </c>
      <c r="J535">
        <f>YEAR(datas[[#This Row],[Order Date]])</f>
        <v>2021</v>
      </c>
    </row>
    <row r="536" spans="1:10" ht="14.25" customHeight="1" x14ac:dyDescent="0.3">
      <c r="A536" s="1">
        <v>44346</v>
      </c>
      <c r="B536" s="2" t="s">
        <v>297</v>
      </c>
      <c r="C536" s="2" t="s">
        <v>75</v>
      </c>
      <c r="D536" s="2" t="s">
        <v>10</v>
      </c>
      <c r="E536" s="2" t="s">
        <v>11</v>
      </c>
      <c r="F536" s="2">
        <v>39.96</v>
      </c>
      <c r="G536" s="2">
        <v>4</v>
      </c>
      <c r="H536" s="2">
        <v>17.98</v>
      </c>
      <c r="I536" t="str">
        <f t="shared" si="8"/>
        <v>May</v>
      </c>
      <c r="J536">
        <f>YEAR(datas[[#This Row],[Order Date]])</f>
        <v>2021</v>
      </c>
    </row>
    <row r="537" spans="1:10" ht="14.25" customHeight="1" x14ac:dyDescent="0.3">
      <c r="A537" s="1">
        <v>44346</v>
      </c>
      <c r="B537" s="2" t="s">
        <v>298</v>
      </c>
      <c r="C537" s="2" t="s">
        <v>13</v>
      </c>
      <c r="D537" s="2" t="s">
        <v>28</v>
      </c>
      <c r="E537" s="2" t="s">
        <v>243</v>
      </c>
      <c r="F537" s="2">
        <v>719.98</v>
      </c>
      <c r="G537" s="2">
        <v>3</v>
      </c>
      <c r="H537" s="2">
        <v>135</v>
      </c>
      <c r="I537" t="str">
        <f t="shared" si="8"/>
        <v>May</v>
      </c>
      <c r="J537">
        <f>YEAR(datas[[#This Row],[Order Date]])</f>
        <v>2021</v>
      </c>
    </row>
    <row r="538" spans="1:10" ht="14.25" customHeight="1" x14ac:dyDescent="0.3">
      <c r="A538" s="1">
        <v>44347</v>
      </c>
      <c r="B538" s="2" t="s">
        <v>299</v>
      </c>
      <c r="C538" s="2" t="s">
        <v>143</v>
      </c>
      <c r="D538" s="2" t="s">
        <v>28</v>
      </c>
      <c r="E538" s="2" t="s">
        <v>29</v>
      </c>
      <c r="F538" s="2">
        <v>659.97</v>
      </c>
      <c r="G538" s="2">
        <v>3</v>
      </c>
      <c r="H538" s="2">
        <v>197.99</v>
      </c>
      <c r="I538" t="str">
        <f t="shared" si="8"/>
        <v>May</v>
      </c>
      <c r="J538">
        <f>YEAR(datas[[#This Row],[Order Date]])</f>
        <v>2021</v>
      </c>
    </row>
    <row r="539" spans="1:10" ht="14.25" customHeight="1" x14ac:dyDescent="0.3">
      <c r="A539" s="1">
        <v>44347</v>
      </c>
      <c r="B539" s="2" t="s">
        <v>299</v>
      </c>
      <c r="C539" s="2" t="s">
        <v>143</v>
      </c>
      <c r="D539" s="2" t="s">
        <v>28</v>
      </c>
      <c r="E539" s="2" t="s">
        <v>29</v>
      </c>
      <c r="F539" s="2">
        <v>113.73</v>
      </c>
      <c r="G539" s="2">
        <v>3</v>
      </c>
      <c r="H539" s="2">
        <v>32.979999999999997</v>
      </c>
      <c r="I539" t="str">
        <f t="shared" si="8"/>
        <v>May</v>
      </c>
      <c r="J539">
        <f>YEAR(datas[[#This Row],[Order Date]])</f>
        <v>2021</v>
      </c>
    </row>
    <row r="540" spans="1:10" ht="14.25" customHeight="1" x14ac:dyDescent="0.3">
      <c r="A540" s="1">
        <v>44348</v>
      </c>
      <c r="B540" s="2" t="s">
        <v>300</v>
      </c>
      <c r="C540" s="2" t="s">
        <v>140</v>
      </c>
      <c r="D540" s="2" t="s">
        <v>26</v>
      </c>
      <c r="E540" s="2" t="s">
        <v>27</v>
      </c>
      <c r="F540" s="2">
        <v>2001.86</v>
      </c>
      <c r="G540" s="2">
        <v>7</v>
      </c>
      <c r="H540" s="2">
        <v>580.54</v>
      </c>
      <c r="I540" t="str">
        <f t="shared" si="8"/>
        <v>Jun</v>
      </c>
      <c r="J540">
        <f>YEAR(datas[[#This Row],[Order Date]])</f>
        <v>2021</v>
      </c>
    </row>
    <row r="541" spans="1:10" ht="14.25" customHeight="1" x14ac:dyDescent="0.3">
      <c r="A541" s="1">
        <v>44348</v>
      </c>
      <c r="B541" s="2" t="s">
        <v>300</v>
      </c>
      <c r="C541" s="2" t="s">
        <v>140</v>
      </c>
      <c r="D541" s="2" t="s">
        <v>10</v>
      </c>
      <c r="E541" s="2" t="s">
        <v>15</v>
      </c>
      <c r="F541" s="2">
        <v>166.72</v>
      </c>
      <c r="G541" s="2">
        <v>2</v>
      </c>
      <c r="H541" s="2">
        <v>41.68</v>
      </c>
      <c r="I541" t="str">
        <f t="shared" si="8"/>
        <v>Jun</v>
      </c>
      <c r="J541">
        <f>YEAR(datas[[#This Row],[Order Date]])</f>
        <v>2021</v>
      </c>
    </row>
    <row r="542" spans="1:10" ht="14.25" customHeight="1" x14ac:dyDescent="0.3">
      <c r="A542" s="1">
        <v>44348</v>
      </c>
      <c r="B542" s="2" t="s">
        <v>300</v>
      </c>
      <c r="C542" s="2" t="s">
        <v>140</v>
      </c>
      <c r="D542" s="2" t="s">
        <v>10</v>
      </c>
      <c r="E542" s="2" t="s">
        <v>11</v>
      </c>
      <c r="F542" s="2">
        <v>47.88</v>
      </c>
      <c r="G542" s="2">
        <v>6</v>
      </c>
      <c r="H542" s="2">
        <v>23.94</v>
      </c>
      <c r="I542" t="str">
        <f t="shared" si="8"/>
        <v>Jun</v>
      </c>
      <c r="J542">
        <f>YEAR(datas[[#This Row],[Order Date]])</f>
        <v>2021</v>
      </c>
    </row>
    <row r="543" spans="1:10" ht="14.25" customHeight="1" x14ac:dyDescent="0.3">
      <c r="A543" s="1">
        <v>44348</v>
      </c>
      <c r="B543" s="2" t="s">
        <v>300</v>
      </c>
      <c r="C543" s="2" t="s">
        <v>140</v>
      </c>
      <c r="D543" s="2" t="s">
        <v>10</v>
      </c>
      <c r="E543" s="2" t="s">
        <v>53</v>
      </c>
      <c r="F543" s="2">
        <v>1503.25</v>
      </c>
      <c r="G543" s="2">
        <v>5</v>
      </c>
      <c r="H543" s="2">
        <v>496.07</v>
      </c>
      <c r="I543" t="str">
        <f t="shared" si="8"/>
        <v>Jun</v>
      </c>
      <c r="J543">
        <f>YEAR(datas[[#This Row],[Order Date]])</f>
        <v>2021</v>
      </c>
    </row>
    <row r="544" spans="1:10" ht="14.25" customHeight="1" x14ac:dyDescent="0.3">
      <c r="A544" s="1">
        <v>44348</v>
      </c>
      <c r="B544" s="2" t="s">
        <v>300</v>
      </c>
      <c r="C544" s="2" t="s">
        <v>140</v>
      </c>
      <c r="D544" s="2" t="s">
        <v>10</v>
      </c>
      <c r="E544" s="2" t="s">
        <v>11</v>
      </c>
      <c r="F544" s="2">
        <v>25.92</v>
      </c>
      <c r="G544" s="2">
        <v>4</v>
      </c>
      <c r="H544" s="2">
        <v>12.44</v>
      </c>
      <c r="I544" t="str">
        <f t="shared" si="8"/>
        <v>Jun</v>
      </c>
      <c r="J544">
        <f>YEAR(datas[[#This Row],[Order Date]])</f>
        <v>2021</v>
      </c>
    </row>
    <row r="545" spans="1:10" ht="14.25" customHeight="1" x14ac:dyDescent="0.3">
      <c r="A545" s="1">
        <v>44348</v>
      </c>
      <c r="B545" s="2" t="s">
        <v>301</v>
      </c>
      <c r="C545" s="2" t="s">
        <v>87</v>
      </c>
      <c r="D545" s="2" t="s">
        <v>10</v>
      </c>
      <c r="E545" s="2" t="s">
        <v>16</v>
      </c>
      <c r="F545" s="2">
        <v>45.48</v>
      </c>
      <c r="G545" s="2">
        <v>3</v>
      </c>
      <c r="H545" s="2">
        <v>20.92</v>
      </c>
      <c r="I545" t="str">
        <f t="shared" si="8"/>
        <v>Jun</v>
      </c>
      <c r="J545">
        <f>YEAR(datas[[#This Row],[Order Date]])</f>
        <v>2021</v>
      </c>
    </row>
    <row r="546" spans="1:10" ht="14.25" customHeight="1" x14ac:dyDescent="0.3">
      <c r="A546" s="1">
        <v>44348</v>
      </c>
      <c r="B546" s="2" t="s">
        <v>301</v>
      </c>
      <c r="C546" s="2" t="s">
        <v>87</v>
      </c>
      <c r="D546" s="2" t="s">
        <v>10</v>
      </c>
      <c r="E546" s="2" t="s">
        <v>19</v>
      </c>
      <c r="F546" s="2">
        <v>289.2</v>
      </c>
      <c r="G546" s="2">
        <v>6</v>
      </c>
      <c r="H546" s="2">
        <v>83.87</v>
      </c>
      <c r="I546" t="str">
        <f t="shared" si="8"/>
        <v>Jun</v>
      </c>
      <c r="J546">
        <f>YEAR(datas[[#This Row],[Order Date]])</f>
        <v>2021</v>
      </c>
    </row>
    <row r="547" spans="1:10" ht="14.25" customHeight="1" x14ac:dyDescent="0.3">
      <c r="A547" s="1">
        <v>44348</v>
      </c>
      <c r="B547" s="2" t="s">
        <v>302</v>
      </c>
      <c r="C547" s="2" t="s">
        <v>57</v>
      </c>
      <c r="D547" s="2" t="s">
        <v>26</v>
      </c>
      <c r="E547" s="2" t="s">
        <v>32</v>
      </c>
      <c r="F547" s="2">
        <v>22.2</v>
      </c>
      <c r="G547" s="2">
        <v>6</v>
      </c>
      <c r="H547" s="2">
        <v>9.1</v>
      </c>
      <c r="I547" t="str">
        <f t="shared" si="8"/>
        <v>Jun</v>
      </c>
      <c r="J547">
        <f>YEAR(datas[[#This Row],[Order Date]])</f>
        <v>2021</v>
      </c>
    </row>
    <row r="548" spans="1:10" ht="14.25" customHeight="1" x14ac:dyDescent="0.3">
      <c r="A548" s="1">
        <v>44348</v>
      </c>
      <c r="B548" s="2" t="s">
        <v>302</v>
      </c>
      <c r="C548" s="2" t="s">
        <v>57</v>
      </c>
      <c r="D548" s="2" t="s">
        <v>28</v>
      </c>
      <c r="E548" s="2" t="s">
        <v>29</v>
      </c>
      <c r="F548" s="2">
        <v>881.93</v>
      </c>
      <c r="G548" s="2">
        <v>7</v>
      </c>
      <c r="H548" s="2">
        <v>229.3</v>
      </c>
      <c r="I548" t="str">
        <f t="shared" si="8"/>
        <v>Jun</v>
      </c>
      <c r="J548">
        <f>YEAR(datas[[#This Row],[Order Date]])</f>
        <v>2021</v>
      </c>
    </row>
    <row r="549" spans="1:10" ht="14.25" customHeight="1" x14ac:dyDescent="0.3">
      <c r="A549" s="1">
        <v>44348</v>
      </c>
      <c r="B549" s="2" t="s">
        <v>144</v>
      </c>
      <c r="C549" s="2" t="s">
        <v>60</v>
      </c>
      <c r="D549" s="2" t="s">
        <v>10</v>
      </c>
      <c r="E549" s="2" t="s">
        <v>16</v>
      </c>
      <c r="F549" s="2">
        <v>138.56</v>
      </c>
      <c r="G549" s="2">
        <v>4</v>
      </c>
      <c r="H549" s="2">
        <v>66.510000000000005</v>
      </c>
      <c r="I549" t="str">
        <f t="shared" si="8"/>
        <v>Jun</v>
      </c>
      <c r="J549">
        <f>YEAR(datas[[#This Row],[Order Date]])</f>
        <v>2021</v>
      </c>
    </row>
    <row r="550" spans="1:10" ht="14.25" customHeight="1" x14ac:dyDescent="0.3">
      <c r="A550" s="1">
        <v>44348</v>
      </c>
      <c r="B550" s="2" t="s">
        <v>144</v>
      </c>
      <c r="C550" s="2" t="s">
        <v>60</v>
      </c>
      <c r="D550" s="2" t="s">
        <v>10</v>
      </c>
      <c r="E550" s="2" t="s">
        <v>53</v>
      </c>
      <c r="F550" s="2">
        <v>65.52</v>
      </c>
      <c r="G550" s="2">
        <v>5</v>
      </c>
      <c r="H550" s="2">
        <v>12.38</v>
      </c>
      <c r="I550" t="str">
        <f t="shared" si="8"/>
        <v>Jun</v>
      </c>
      <c r="J550">
        <f>YEAR(datas[[#This Row],[Order Date]])</f>
        <v>2021</v>
      </c>
    </row>
    <row r="551" spans="1:10" ht="14.25" customHeight="1" x14ac:dyDescent="0.3">
      <c r="A551" s="1">
        <v>44349</v>
      </c>
      <c r="B551" s="2" t="s">
        <v>132</v>
      </c>
      <c r="C551" s="2" t="s">
        <v>134</v>
      </c>
      <c r="D551" s="2" t="s">
        <v>10</v>
      </c>
      <c r="E551" s="2" t="s">
        <v>16</v>
      </c>
      <c r="F551" s="2">
        <v>59.81</v>
      </c>
      <c r="G551" s="2">
        <v>3</v>
      </c>
      <c r="H551" s="2">
        <v>19.440000000000001</v>
      </c>
      <c r="I551" t="str">
        <f t="shared" si="8"/>
        <v>Jun</v>
      </c>
      <c r="J551">
        <f>YEAR(datas[[#This Row],[Order Date]])</f>
        <v>2021</v>
      </c>
    </row>
    <row r="552" spans="1:10" ht="14.25" customHeight="1" x14ac:dyDescent="0.3">
      <c r="A552" s="1">
        <v>44349</v>
      </c>
      <c r="B552" s="2" t="s">
        <v>132</v>
      </c>
      <c r="C552" s="2" t="s">
        <v>134</v>
      </c>
      <c r="D552" s="2" t="s">
        <v>26</v>
      </c>
      <c r="E552" s="2" t="s">
        <v>32</v>
      </c>
      <c r="F552" s="2">
        <v>73.319999999999993</v>
      </c>
      <c r="G552" s="2">
        <v>6</v>
      </c>
      <c r="H552" s="2">
        <v>22</v>
      </c>
      <c r="I552" t="str">
        <f t="shared" si="8"/>
        <v>Jun</v>
      </c>
      <c r="J552">
        <f>YEAR(datas[[#This Row],[Order Date]])</f>
        <v>2021</v>
      </c>
    </row>
    <row r="553" spans="1:10" ht="14.25" customHeight="1" x14ac:dyDescent="0.3">
      <c r="A553" s="1">
        <v>44349</v>
      </c>
      <c r="B553" s="2" t="s">
        <v>212</v>
      </c>
      <c r="C553" s="2" t="s">
        <v>23</v>
      </c>
      <c r="D553" s="2" t="s">
        <v>10</v>
      </c>
      <c r="E553" s="2" t="s">
        <v>19</v>
      </c>
      <c r="F553" s="2">
        <v>8.56</v>
      </c>
      <c r="G553" s="2">
        <v>2</v>
      </c>
      <c r="H553" s="2">
        <v>2.65</v>
      </c>
      <c r="I553" t="str">
        <f t="shared" si="8"/>
        <v>Jun</v>
      </c>
      <c r="J553">
        <f>YEAR(datas[[#This Row],[Order Date]])</f>
        <v>2021</v>
      </c>
    </row>
    <row r="554" spans="1:10" ht="14.25" customHeight="1" x14ac:dyDescent="0.3">
      <c r="A554" s="1">
        <v>44349</v>
      </c>
      <c r="B554" s="2" t="s">
        <v>212</v>
      </c>
      <c r="C554" s="2" t="s">
        <v>23</v>
      </c>
      <c r="D554" s="2" t="s">
        <v>28</v>
      </c>
      <c r="E554" s="2" t="s">
        <v>29</v>
      </c>
      <c r="F554" s="2">
        <v>239.97</v>
      </c>
      <c r="G554" s="2">
        <v>3</v>
      </c>
      <c r="H554" s="2">
        <v>67.19</v>
      </c>
      <c r="I554" t="str">
        <f t="shared" si="8"/>
        <v>Jun</v>
      </c>
      <c r="J554">
        <f>YEAR(datas[[#This Row],[Order Date]])</f>
        <v>2021</v>
      </c>
    </row>
    <row r="555" spans="1:10" ht="14.25" customHeight="1" x14ac:dyDescent="0.3">
      <c r="A555" s="1">
        <v>44349</v>
      </c>
      <c r="B555" s="2" t="s">
        <v>212</v>
      </c>
      <c r="C555" s="2" t="s">
        <v>23</v>
      </c>
      <c r="D555" s="2" t="s">
        <v>10</v>
      </c>
      <c r="E555" s="2" t="s">
        <v>15</v>
      </c>
      <c r="F555" s="2">
        <v>356.94</v>
      </c>
      <c r="G555" s="2">
        <v>2</v>
      </c>
      <c r="H555" s="2">
        <v>107.08</v>
      </c>
      <c r="I555" t="str">
        <f t="shared" si="8"/>
        <v>Jun</v>
      </c>
      <c r="J555">
        <f>YEAR(datas[[#This Row],[Order Date]])</f>
        <v>2021</v>
      </c>
    </row>
    <row r="556" spans="1:10" ht="14.25" customHeight="1" x14ac:dyDescent="0.3">
      <c r="A556" s="1">
        <v>44350</v>
      </c>
      <c r="B556" s="2" t="s">
        <v>303</v>
      </c>
      <c r="C556" s="2" t="s">
        <v>82</v>
      </c>
      <c r="D556" s="2" t="s">
        <v>26</v>
      </c>
      <c r="E556" s="2" t="s">
        <v>73</v>
      </c>
      <c r="F556" s="2">
        <v>515.88</v>
      </c>
      <c r="G556" s="2">
        <v>6</v>
      </c>
      <c r="H556" s="2">
        <v>113.49</v>
      </c>
      <c r="I556" t="str">
        <f t="shared" si="8"/>
        <v>Jun</v>
      </c>
      <c r="J556">
        <f>YEAR(datas[[#This Row],[Order Date]])</f>
        <v>2021</v>
      </c>
    </row>
    <row r="557" spans="1:10" ht="14.25" customHeight="1" x14ac:dyDescent="0.3">
      <c r="A557" s="1">
        <v>44350</v>
      </c>
      <c r="B557" s="2" t="s">
        <v>304</v>
      </c>
      <c r="C557" s="2" t="s">
        <v>60</v>
      </c>
      <c r="D557" s="2" t="s">
        <v>10</v>
      </c>
      <c r="E557" s="2" t="s">
        <v>41</v>
      </c>
      <c r="F557" s="2">
        <v>15.28</v>
      </c>
      <c r="G557" s="2">
        <v>2</v>
      </c>
      <c r="H557" s="2">
        <v>7.49</v>
      </c>
      <c r="I557" t="str">
        <f t="shared" si="8"/>
        <v>Jun</v>
      </c>
      <c r="J557">
        <f>YEAR(datas[[#This Row],[Order Date]])</f>
        <v>2021</v>
      </c>
    </row>
    <row r="558" spans="1:10" ht="14.25" customHeight="1" x14ac:dyDescent="0.3">
      <c r="A558" s="1">
        <v>44350</v>
      </c>
      <c r="B558" s="2" t="s">
        <v>305</v>
      </c>
      <c r="C558" s="2" t="s">
        <v>13</v>
      </c>
      <c r="D558" s="2" t="s">
        <v>10</v>
      </c>
      <c r="E558" s="2" t="s">
        <v>14</v>
      </c>
      <c r="F558" s="2">
        <v>15.94</v>
      </c>
      <c r="G558" s="2">
        <v>4</v>
      </c>
      <c r="H558" s="2">
        <v>5.18</v>
      </c>
      <c r="I558" t="str">
        <f t="shared" si="8"/>
        <v>Jun</v>
      </c>
      <c r="J558">
        <f>YEAR(datas[[#This Row],[Order Date]])</f>
        <v>2021</v>
      </c>
    </row>
    <row r="559" spans="1:10" ht="14.25" customHeight="1" x14ac:dyDescent="0.3">
      <c r="A559" s="1">
        <v>44350</v>
      </c>
      <c r="B559" s="2" t="s">
        <v>305</v>
      </c>
      <c r="C559" s="2" t="s">
        <v>13</v>
      </c>
      <c r="D559" s="2" t="s">
        <v>26</v>
      </c>
      <c r="E559" s="2" t="s">
        <v>32</v>
      </c>
      <c r="F559" s="2">
        <v>61.54</v>
      </c>
      <c r="G559" s="2">
        <v>7</v>
      </c>
      <c r="H559" s="2">
        <v>-40</v>
      </c>
      <c r="I559" t="str">
        <f t="shared" si="8"/>
        <v>Jun</v>
      </c>
      <c r="J559">
        <f>YEAR(datas[[#This Row],[Order Date]])</f>
        <v>2021</v>
      </c>
    </row>
    <row r="560" spans="1:10" ht="14.25" customHeight="1" x14ac:dyDescent="0.3">
      <c r="A560" s="1">
        <v>44350</v>
      </c>
      <c r="B560" s="2" t="s">
        <v>305</v>
      </c>
      <c r="C560" s="2" t="s">
        <v>13</v>
      </c>
      <c r="D560" s="2" t="s">
        <v>10</v>
      </c>
      <c r="E560" s="2" t="s">
        <v>15</v>
      </c>
      <c r="F560" s="2">
        <v>132.69999999999999</v>
      </c>
      <c r="G560" s="2">
        <v>3</v>
      </c>
      <c r="H560" s="2">
        <v>9.9499999999999993</v>
      </c>
      <c r="I560" t="str">
        <f t="shared" si="8"/>
        <v>Jun</v>
      </c>
      <c r="J560">
        <f>YEAR(datas[[#This Row],[Order Date]])</f>
        <v>2021</v>
      </c>
    </row>
    <row r="561" spans="1:10" ht="14.25" customHeight="1" x14ac:dyDescent="0.3">
      <c r="A561" s="1">
        <v>44351</v>
      </c>
      <c r="B561" s="2" t="s">
        <v>173</v>
      </c>
      <c r="C561" s="2" t="s">
        <v>47</v>
      </c>
      <c r="D561" s="2" t="s">
        <v>10</v>
      </c>
      <c r="E561" s="2" t="s">
        <v>11</v>
      </c>
      <c r="F561" s="2">
        <v>16.22</v>
      </c>
      <c r="G561" s="2">
        <v>2</v>
      </c>
      <c r="H561" s="2">
        <v>5.88</v>
      </c>
      <c r="I561" t="str">
        <f t="shared" si="8"/>
        <v>Jun</v>
      </c>
      <c r="J561">
        <f>YEAR(datas[[#This Row],[Order Date]])</f>
        <v>2021</v>
      </c>
    </row>
    <row r="562" spans="1:10" ht="14.25" customHeight="1" x14ac:dyDescent="0.3">
      <c r="A562" s="1">
        <v>44351</v>
      </c>
      <c r="B562" s="2" t="s">
        <v>306</v>
      </c>
      <c r="C562" s="2" t="s">
        <v>75</v>
      </c>
      <c r="D562" s="2" t="s">
        <v>26</v>
      </c>
      <c r="E562" s="2" t="s">
        <v>32</v>
      </c>
      <c r="F562" s="2">
        <v>56.96</v>
      </c>
      <c r="G562" s="2">
        <v>2</v>
      </c>
      <c r="H562" s="2">
        <v>21.08</v>
      </c>
      <c r="I562" t="str">
        <f t="shared" si="8"/>
        <v>Jun</v>
      </c>
      <c r="J562">
        <f>YEAR(datas[[#This Row],[Order Date]])</f>
        <v>2021</v>
      </c>
    </row>
    <row r="563" spans="1:10" ht="14.25" customHeight="1" x14ac:dyDescent="0.3">
      <c r="A563" s="1">
        <v>44351</v>
      </c>
      <c r="B563" s="2" t="s">
        <v>306</v>
      </c>
      <c r="C563" s="2" t="s">
        <v>75</v>
      </c>
      <c r="D563" s="2" t="s">
        <v>10</v>
      </c>
      <c r="E563" s="2" t="s">
        <v>53</v>
      </c>
      <c r="F563" s="2">
        <v>15.56</v>
      </c>
      <c r="G563" s="2">
        <v>4</v>
      </c>
      <c r="H563" s="2">
        <v>4.05</v>
      </c>
      <c r="I563" t="str">
        <f t="shared" si="8"/>
        <v>Jun</v>
      </c>
      <c r="J563">
        <f>YEAR(datas[[#This Row],[Order Date]])</f>
        <v>2021</v>
      </c>
    </row>
    <row r="564" spans="1:10" ht="14.25" customHeight="1" x14ac:dyDescent="0.3">
      <c r="A564" s="1">
        <v>44351</v>
      </c>
      <c r="B564" s="2" t="s">
        <v>306</v>
      </c>
      <c r="C564" s="2" t="s">
        <v>75</v>
      </c>
      <c r="D564" s="2" t="s">
        <v>26</v>
      </c>
      <c r="E564" s="2" t="s">
        <v>45</v>
      </c>
      <c r="F564" s="2">
        <v>353.57</v>
      </c>
      <c r="G564" s="2">
        <v>2</v>
      </c>
      <c r="H564" s="2">
        <v>-44.2</v>
      </c>
      <c r="I564" t="str">
        <f t="shared" si="8"/>
        <v>Jun</v>
      </c>
      <c r="J564">
        <f>YEAR(datas[[#This Row],[Order Date]])</f>
        <v>2021</v>
      </c>
    </row>
    <row r="565" spans="1:10" ht="14.25" customHeight="1" x14ac:dyDescent="0.3">
      <c r="A565" s="1">
        <v>44351</v>
      </c>
      <c r="B565" s="2" t="s">
        <v>306</v>
      </c>
      <c r="C565" s="2" t="s">
        <v>75</v>
      </c>
      <c r="D565" s="2" t="s">
        <v>26</v>
      </c>
      <c r="E565" s="2" t="s">
        <v>32</v>
      </c>
      <c r="F565" s="2">
        <v>13.96</v>
      </c>
      <c r="G565" s="2">
        <v>2</v>
      </c>
      <c r="H565" s="2">
        <v>6.7</v>
      </c>
      <c r="I565" t="str">
        <f t="shared" si="8"/>
        <v>Jun</v>
      </c>
      <c r="J565">
        <f>YEAR(datas[[#This Row],[Order Date]])</f>
        <v>2021</v>
      </c>
    </row>
    <row r="566" spans="1:10" ht="14.25" customHeight="1" x14ac:dyDescent="0.3">
      <c r="A566" s="1">
        <v>44353</v>
      </c>
      <c r="B566" s="2" t="s">
        <v>307</v>
      </c>
      <c r="C566" s="2" t="s">
        <v>75</v>
      </c>
      <c r="D566" s="2" t="s">
        <v>10</v>
      </c>
      <c r="E566" s="2" t="s">
        <v>19</v>
      </c>
      <c r="F566" s="2">
        <v>13.36</v>
      </c>
      <c r="G566" s="2">
        <v>2</v>
      </c>
      <c r="H566" s="2">
        <v>4.9400000000000004</v>
      </c>
      <c r="I566" t="str">
        <f t="shared" si="8"/>
        <v>Jun</v>
      </c>
      <c r="J566">
        <f>YEAR(datas[[#This Row],[Order Date]])</f>
        <v>2021</v>
      </c>
    </row>
    <row r="567" spans="1:10" ht="14.25" customHeight="1" x14ac:dyDescent="0.3">
      <c r="A567" s="1">
        <v>44353</v>
      </c>
      <c r="B567" s="2" t="s">
        <v>308</v>
      </c>
      <c r="C567" s="2" t="s">
        <v>75</v>
      </c>
      <c r="D567" s="2" t="s">
        <v>10</v>
      </c>
      <c r="E567" s="2" t="s">
        <v>16</v>
      </c>
      <c r="F567" s="2">
        <v>149.54</v>
      </c>
      <c r="G567" s="2">
        <v>9</v>
      </c>
      <c r="H567" s="2">
        <v>50.47</v>
      </c>
      <c r="I567" t="str">
        <f t="shared" si="8"/>
        <v>Jun</v>
      </c>
      <c r="J567">
        <f>YEAR(datas[[#This Row],[Order Date]])</f>
        <v>2021</v>
      </c>
    </row>
    <row r="568" spans="1:10" ht="14.25" customHeight="1" x14ac:dyDescent="0.3">
      <c r="A568" s="1">
        <v>44353</v>
      </c>
      <c r="B568" s="2" t="s">
        <v>308</v>
      </c>
      <c r="C568" s="2" t="s">
        <v>75</v>
      </c>
      <c r="D568" s="2" t="s">
        <v>10</v>
      </c>
      <c r="E568" s="2" t="s">
        <v>95</v>
      </c>
      <c r="F568" s="2">
        <v>17.14</v>
      </c>
      <c r="G568" s="2">
        <v>2</v>
      </c>
      <c r="H568" s="2">
        <v>4.46</v>
      </c>
      <c r="I568" t="str">
        <f t="shared" si="8"/>
        <v>Jun</v>
      </c>
      <c r="J568">
        <f>YEAR(datas[[#This Row],[Order Date]])</f>
        <v>2021</v>
      </c>
    </row>
    <row r="569" spans="1:10" ht="14.25" customHeight="1" x14ac:dyDescent="0.3">
      <c r="A569" s="1">
        <v>44353</v>
      </c>
      <c r="B569" s="2" t="s">
        <v>308</v>
      </c>
      <c r="C569" s="2" t="s">
        <v>75</v>
      </c>
      <c r="D569" s="2" t="s">
        <v>26</v>
      </c>
      <c r="E569" s="2" t="s">
        <v>73</v>
      </c>
      <c r="F569" s="2">
        <v>991.76</v>
      </c>
      <c r="G569" s="2">
        <v>3</v>
      </c>
      <c r="H569" s="2">
        <v>-347.12</v>
      </c>
      <c r="I569" t="str">
        <f t="shared" si="8"/>
        <v>Jun</v>
      </c>
      <c r="J569">
        <f>YEAR(datas[[#This Row],[Order Date]])</f>
        <v>2021</v>
      </c>
    </row>
    <row r="570" spans="1:10" ht="14.25" customHeight="1" x14ac:dyDescent="0.3">
      <c r="A570" s="1">
        <v>44353</v>
      </c>
      <c r="B570" s="2" t="s">
        <v>309</v>
      </c>
      <c r="C570" s="2" t="s">
        <v>13</v>
      </c>
      <c r="D570" s="2" t="s">
        <v>10</v>
      </c>
      <c r="E570" s="2" t="s">
        <v>16</v>
      </c>
      <c r="F570" s="2">
        <v>24.59</v>
      </c>
      <c r="G570" s="2">
        <v>3</v>
      </c>
      <c r="H570" s="2">
        <v>-38.11</v>
      </c>
      <c r="I570" t="str">
        <f t="shared" si="8"/>
        <v>Jun</v>
      </c>
      <c r="J570">
        <f>YEAR(datas[[#This Row],[Order Date]])</f>
        <v>2021</v>
      </c>
    </row>
    <row r="571" spans="1:10" ht="14.25" customHeight="1" x14ac:dyDescent="0.3">
      <c r="A571" s="1">
        <v>44353</v>
      </c>
      <c r="B571" s="2" t="s">
        <v>309</v>
      </c>
      <c r="C571" s="2" t="s">
        <v>13</v>
      </c>
      <c r="D571" s="2" t="s">
        <v>10</v>
      </c>
      <c r="E571" s="2" t="s">
        <v>41</v>
      </c>
      <c r="F571" s="2">
        <v>13.98</v>
      </c>
      <c r="G571" s="2">
        <v>2</v>
      </c>
      <c r="H571" s="2">
        <v>4.72</v>
      </c>
      <c r="I571" t="str">
        <f t="shared" si="8"/>
        <v>Jun</v>
      </c>
      <c r="J571">
        <f>YEAR(datas[[#This Row],[Order Date]])</f>
        <v>2021</v>
      </c>
    </row>
    <row r="572" spans="1:10" ht="14.25" customHeight="1" x14ac:dyDescent="0.3">
      <c r="A572" s="1">
        <v>44353</v>
      </c>
      <c r="B572" s="2" t="s">
        <v>310</v>
      </c>
      <c r="C572" s="2" t="s">
        <v>9</v>
      </c>
      <c r="D572" s="2" t="s">
        <v>10</v>
      </c>
      <c r="E572" s="2" t="s">
        <v>14</v>
      </c>
      <c r="F572" s="2">
        <v>100.24</v>
      </c>
      <c r="G572" s="2">
        <v>10</v>
      </c>
      <c r="H572" s="2">
        <v>33.83</v>
      </c>
      <c r="I572" t="str">
        <f t="shared" si="8"/>
        <v>Jun</v>
      </c>
      <c r="J572">
        <f>YEAR(datas[[#This Row],[Order Date]])</f>
        <v>2021</v>
      </c>
    </row>
    <row r="573" spans="1:10" ht="14.25" customHeight="1" x14ac:dyDescent="0.3">
      <c r="A573" s="1">
        <v>44353</v>
      </c>
      <c r="B573" s="2" t="s">
        <v>212</v>
      </c>
      <c r="C573" s="2" t="s">
        <v>64</v>
      </c>
      <c r="D573" s="2" t="s">
        <v>10</v>
      </c>
      <c r="E573" s="2" t="s">
        <v>16</v>
      </c>
      <c r="F573" s="2">
        <v>1.37</v>
      </c>
      <c r="G573" s="2">
        <v>1</v>
      </c>
      <c r="H573" s="2">
        <v>-0.91</v>
      </c>
      <c r="I573" t="str">
        <f t="shared" si="8"/>
        <v>Jun</v>
      </c>
      <c r="J573">
        <f>YEAR(datas[[#This Row],[Order Date]])</f>
        <v>2021</v>
      </c>
    </row>
    <row r="574" spans="1:10" ht="14.25" customHeight="1" x14ac:dyDescent="0.3">
      <c r="A574" s="1">
        <v>44353</v>
      </c>
      <c r="B574" s="2" t="s">
        <v>212</v>
      </c>
      <c r="C574" s="2" t="s">
        <v>64</v>
      </c>
      <c r="D574" s="2" t="s">
        <v>10</v>
      </c>
      <c r="E574" s="2" t="s">
        <v>11</v>
      </c>
      <c r="F574" s="2">
        <v>62.02</v>
      </c>
      <c r="G574" s="2">
        <v>2</v>
      </c>
      <c r="H574" s="2">
        <v>22.48</v>
      </c>
      <c r="I574" t="str">
        <f t="shared" si="8"/>
        <v>Jun</v>
      </c>
      <c r="J574">
        <f>YEAR(datas[[#This Row],[Order Date]])</f>
        <v>2021</v>
      </c>
    </row>
    <row r="575" spans="1:10" ht="14.25" customHeight="1" x14ac:dyDescent="0.3">
      <c r="A575" s="1">
        <v>44354</v>
      </c>
      <c r="B575" s="2" t="s">
        <v>311</v>
      </c>
      <c r="C575" s="2" t="s">
        <v>13</v>
      </c>
      <c r="D575" s="2" t="s">
        <v>10</v>
      </c>
      <c r="E575" s="2" t="s">
        <v>16</v>
      </c>
      <c r="F575" s="2">
        <v>12.46</v>
      </c>
      <c r="G575" s="2">
        <v>3</v>
      </c>
      <c r="H575" s="2">
        <v>-20.56</v>
      </c>
      <c r="I575" t="str">
        <f t="shared" si="8"/>
        <v>Jun</v>
      </c>
      <c r="J575">
        <f>YEAR(datas[[#This Row],[Order Date]])</f>
        <v>2021</v>
      </c>
    </row>
    <row r="576" spans="1:10" ht="14.25" customHeight="1" x14ac:dyDescent="0.3">
      <c r="A576" s="1">
        <v>44354</v>
      </c>
      <c r="B576" s="2" t="s">
        <v>312</v>
      </c>
      <c r="C576" s="2" t="s">
        <v>13</v>
      </c>
      <c r="D576" s="2" t="s">
        <v>26</v>
      </c>
      <c r="E576" s="2" t="s">
        <v>73</v>
      </c>
      <c r="F576" s="2">
        <v>268.94</v>
      </c>
      <c r="G576" s="2">
        <v>3</v>
      </c>
      <c r="H576" s="2">
        <v>-209.77</v>
      </c>
      <c r="I576" t="str">
        <f t="shared" si="8"/>
        <v>Jun</v>
      </c>
      <c r="J576">
        <f>YEAR(datas[[#This Row],[Order Date]])</f>
        <v>2021</v>
      </c>
    </row>
    <row r="577" spans="1:10" ht="14.25" customHeight="1" x14ac:dyDescent="0.3">
      <c r="A577" s="1">
        <v>44355</v>
      </c>
      <c r="B577" s="2" t="s">
        <v>313</v>
      </c>
      <c r="C577" s="2" t="s">
        <v>82</v>
      </c>
      <c r="D577" s="2" t="s">
        <v>26</v>
      </c>
      <c r="E577" s="2" t="s">
        <v>27</v>
      </c>
      <c r="F577" s="2">
        <v>585.54999999999995</v>
      </c>
      <c r="G577" s="2">
        <v>3</v>
      </c>
      <c r="H577" s="2">
        <v>73.19</v>
      </c>
      <c r="I577" t="str">
        <f t="shared" si="8"/>
        <v>Jun</v>
      </c>
      <c r="J577">
        <f>YEAR(datas[[#This Row],[Order Date]])</f>
        <v>2021</v>
      </c>
    </row>
    <row r="578" spans="1:10" ht="14.25" customHeight="1" x14ac:dyDescent="0.3">
      <c r="A578" s="1">
        <v>44355</v>
      </c>
      <c r="B578" s="2" t="s">
        <v>184</v>
      </c>
      <c r="C578" s="2" t="s">
        <v>62</v>
      </c>
      <c r="D578" s="2" t="s">
        <v>26</v>
      </c>
      <c r="E578" s="2" t="s">
        <v>27</v>
      </c>
      <c r="F578" s="2">
        <v>170.35</v>
      </c>
      <c r="G578" s="2">
        <v>3</v>
      </c>
      <c r="H578" s="2">
        <v>10.65</v>
      </c>
      <c r="I578" t="str">
        <f t="shared" si="8"/>
        <v>Jun</v>
      </c>
      <c r="J578">
        <f>YEAR(datas[[#This Row],[Order Date]])</f>
        <v>2021</v>
      </c>
    </row>
    <row r="579" spans="1:10" ht="14.25" customHeight="1" x14ac:dyDescent="0.3">
      <c r="A579" s="1">
        <v>44355</v>
      </c>
      <c r="B579" s="2" t="s">
        <v>314</v>
      </c>
      <c r="C579" s="2" t="s">
        <v>75</v>
      </c>
      <c r="D579" s="2" t="s">
        <v>10</v>
      </c>
      <c r="E579" s="2" t="s">
        <v>16</v>
      </c>
      <c r="F579" s="2">
        <v>68.48</v>
      </c>
      <c r="G579" s="2">
        <v>2</v>
      </c>
      <c r="H579" s="2">
        <v>25.68</v>
      </c>
      <c r="I579" t="str">
        <f t="shared" ref="I579:I642" si="9">TEXT(A579,"mmm")</f>
        <v>Jun</v>
      </c>
      <c r="J579">
        <f>YEAR(datas[[#This Row],[Order Date]])</f>
        <v>2021</v>
      </c>
    </row>
    <row r="580" spans="1:10" ht="14.25" customHeight="1" x14ac:dyDescent="0.3">
      <c r="A580" s="1">
        <v>44355</v>
      </c>
      <c r="B580" s="2" t="s">
        <v>314</v>
      </c>
      <c r="C580" s="2" t="s">
        <v>75</v>
      </c>
      <c r="D580" s="2" t="s">
        <v>10</v>
      </c>
      <c r="E580" s="2" t="s">
        <v>15</v>
      </c>
      <c r="F580" s="2">
        <v>1676.88</v>
      </c>
      <c r="G580" s="2">
        <v>6</v>
      </c>
      <c r="H580" s="2">
        <v>83.84</v>
      </c>
      <c r="I580" t="str">
        <f t="shared" si="9"/>
        <v>Jun</v>
      </c>
      <c r="J580">
        <f>YEAR(datas[[#This Row],[Order Date]])</f>
        <v>2021</v>
      </c>
    </row>
    <row r="581" spans="1:10" ht="14.25" customHeight="1" x14ac:dyDescent="0.3">
      <c r="A581" s="1">
        <v>44356</v>
      </c>
      <c r="B581" s="2" t="s">
        <v>315</v>
      </c>
      <c r="C581" s="2" t="s">
        <v>21</v>
      </c>
      <c r="D581" s="2" t="s">
        <v>26</v>
      </c>
      <c r="E581" s="2" t="s">
        <v>32</v>
      </c>
      <c r="F581" s="2">
        <v>48.86</v>
      </c>
      <c r="G581" s="2">
        <v>7</v>
      </c>
      <c r="H581" s="2">
        <v>14.17</v>
      </c>
      <c r="I581" t="str">
        <f t="shared" si="9"/>
        <v>Jun</v>
      </c>
      <c r="J581">
        <f>YEAR(datas[[#This Row],[Order Date]])</f>
        <v>2021</v>
      </c>
    </row>
    <row r="582" spans="1:10" ht="14.25" customHeight="1" x14ac:dyDescent="0.3">
      <c r="A582" s="1">
        <v>44356</v>
      </c>
      <c r="B582" s="2" t="s">
        <v>315</v>
      </c>
      <c r="C582" s="2" t="s">
        <v>21</v>
      </c>
      <c r="D582" s="2" t="s">
        <v>10</v>
      </c>
      <c r="E582" s="2" t="s">
        <v>19</v>
      </c>
      <c r="F582" s="2">
        <v>7.28</v>
      </c>
      <c r="G582" s="2">
        <v>4</v>
      </c>
      <c r="H582" s="2">
        <v>1.97</v>
      </c>
      <c r="I582" t="str">
        <f t="shared" si="9"/>
        <v>Jun</v>
      </c>
      <c r="J582">
        <f>YEAR(datas[[#This Row],[Order Date]])</f>
        <v>2021</v>
      </c>
    </row>
    <row r="583" spans="1:10" ht="14.25" customHeight="1" x14ac:dyDescent="0.3">
      <c r="A583" s="1">
        <v>44356</v>
      </c>
      <c r="B583" s="2" t="s">
        <v>315</v>
      </c>
      <c r="C583" s="2" t="s">
        <v>21</v>
      </c>
      <c r="D583" s="2" t="s">
        <v>28</v>
      </c>
      <c r="E583" s="2" t="s">
        <v>29</v>
      </c>
      <c r="F583" s="2">
        <v>907.15</v>
      </c>
      <c r="G583" s="2">
        <v>6</v>
      </c>
      <c r="H583" s="2">
        <v>90.72</v>
      </c>
      <c r="I583" t="str">
        <f t="shared" si="9"/>
        <v>Jun</v>
      </c>
      <c r="J583">
        <f>YEAR(datas[[#This Row],[Order Date]])</f>
        <v>2021</v>
      </c>
    </row>
    <row r="584" spans="1:10" ht="14.25" customHeight="1" x14ac:dyDescent="0.3">
      <c r="A584" s="1">
        <v>44356</v>
      </c>
      <c r="B584" s="2" t="s">
        <v>315</v>
      </c>
      <c r="C584" s="2" t="s">
        <v>21</v>
      </c>
      <c r="D584" s="2" t="s">
        <v>10</v>
      </c>
      <c r="E584" s="2" t="s">
        <v>16</v>
      </c>
      <c r="F584" s="2">
        <v>18.5</v>
      </c>
      <c r="G584" s="2">
        <v>3</v>
      </c>
      <c r="H584" s="2">
        <v>5.78</v>
      </c>
      <c r="I584" t="str">
        <f t="shared" si="9"/>
        <v>Jun</v>
      </c>
      <c r="J584">
        <f>YEAR(datas[[#This Row],[Order Date]])</f>
        <v>2021</v>
      </c>
    </row>
    <row r="585" spans="1:10" ht="14.25" customHeight="1" x14ac:dyDescent="0.3">
      <c r="A585" s="1">
        <v>44356</v>
      </c>
      <c r="B585" s="2" t="s">
        <v>315</v>
      </c>
      <c r="C585" s="2" t="s">
        <v>21</v>
      </c>
      <c r="D585" s="2" t="s">
        <v>10</v>
      </c>
      <c r="E585" s="2" t="s">
        <v>53</v>
      </c>
      <c r="F585" s="2">
        <v>114.9</v>
      </c>
      <c r="G585" s="2">
        <v>5</v>
      </c>
      <c r="H585" s="2">
        <v>34.47</v>
      </c>
      <c r="I585" t="str">
        <f t="shared" si="9"/>
        <v>Jun</v>
      </c>
      <c r="J585">
        <f>YEAR(datas[[#This Row],[Order Date]])</f>
        <v>2021</v>
      </c>
    </row>
    <row r="586" spans="1:10" ht="14.25" customHeight="1" x14ac:dyDescent="0.3">
      <c r="A586" s="1">
        <v>44356</v>
      </c>
      <c r="B586" s="2" t="s">
        <v>315</v>
      </c>
      <c r="C586" s="2" t="s">
        <v>21</v>
      </c>
      <c r="D586" s="2" t="s">
        <v>26</v>
      </c>
      <c r="E586" s="2" t="s">
        <v>73</v>
      </c>
      <c r="F586" s="2">
        <v>1706.18</v>
      </c>
      <c r="G586" s="2">
        <v>9</v>
      </c>
      <c r="H586" s="2">
        <v>85.31</v>
      </c>
      <c r="I586" t="str">
        <f t="shared" si="9"/>
        <v>Jun</v>
      </c>
      <c r="J586">
        <f>YEAR(datas[[#This Row],[Order Date]])</f>
        <v>2021</v>
      </c>
    </row>
    <row r="587" spans="1:10" ht="14.25" customHeight="1" x14ac:dyDescent="0.3">
      <c r="A587" s="1">
        <v>44356</v>
      </c>
      <c r="B587" s="2" t="s">
        <v>315</v>
      </c>
      <c r="C587" s="2" t="s">
        <v>21</v>
      </c>
      <c r="D587" s="2" t="s">
        <v>28</v>
      </c>
      <c r="E587" s="2" t="s">
        <v>29</v>
      </c>
      <c r="F587" s="2">
        <v>911.42</v>
      </c>
      <c r="G587" s="2">
        <v>4</v>
      </c>
      <c r="H587" s="2">
        <v>68.36</v>
      </c>
      <c r="I587" t="str">
        <f t="shared" si="9"/>
        <v>Jun</v>
      </c>
      <c r="J587">
        <f>YEAR(datas[[#This Row],[Order Date]])</f>
        <v>2021</v>
      </c>
    </row>
    <row r="588" spans="1:10" ht="14.25" customHeight="1" x14ac:dyDescent="0.3">
      <c r="A588" s="1">
        <v>44356</v>
      </c>
      <c r="B588" s="2" t="s">
        <v>316</v>
      </c>
      <c r="C588" s="2" t="s">
        <v>9</v>
      </c>
      <c r="D588" s="2" t="s">
        <v>28</v>
      </c>
      <c r="E588" s="2" t="s">
        <v>29</v>
      </c>
      <c r="F588" s="2">
        <v>7.99</v>
      </c>
      <c r="G588" s="2">
        <v>1</v>
      </c>
      <c r="H588" s="2">
        <v>0.6</v>
      </c>
      <c r="I588" t="str">
        <f t="shared" si="9"/>
        <v>Jun</v>
      </c>
      <c r="J588">
        <f>YEAR(datas[[#This Row],[Order Date]])</f>
        <v>2021</v>
      </c>
    </row>
    <row r="589" spans="1:10" ht="14.25" customHeight="1" x14ac:dyDescent="0.3">
      <c r="A589" s="1">
        <v>44356</v>
      </c>
      <c r="B589" s="2" t="s">
        <v>316</v>
      </c>
      <c r="C589" s="2" t="s">
        <v>9</v>
      </c>
      <c r="D589" s="2" t="s">
        <v>28</v>
      </c>
      <c r="E589" s="2" t="s">
        <v>34</v>
      </c>
      <c r="F589" s="2">
        <v>63.98</v>
      </c>
      <c r="G589" s="2">
        <v>2</v>
      </c>
      <c r="H589" s="2">
        <v>10.4</v>
      </c>
      <c r="I589" t="str">
        <f t="shared" si="9"/>
        <v>Jun</v>
      </c>
      <c r="J589">
        <f>YEAR(datas[[#This Row],[Order Date]])</f>
        <v>2021</v>
      </c>
    </row>
    <row r="590" spans="1:10" ht="14.25" customHeight="1" x14ac:dyDescent="0.3">
      <c r="A590" s="1">
        <v>44356</v>
      </c>
      <c r="B590" s="2" t="s">
        <v>316</v>
      </c>
      <c r="C590" s="2" t="s">
        <v>9</v>
      </c>
      <c r="D590" s="2" t="s">
        <v>10</v>
      </c>
      <c r="E590" s="2" t="s">
        <v>19</v>
      </c>
      <c r="F590" s="2">
        <v>70.37</v>
      </c>
      <c r="G590" s="2">
        <v>2</v>
      </c>
      <c r="H590" s="2">
        <v>6.16</v>
      </c>
      <c r="I590" t="str">
        <f t="shared" si="9"/>
        <v>Jun</v>
      </c>
      <c r="J590">
        <f>YEAR(datas[[#This Row],[Order Date]])</f>
        <v>2021</v>
      </c>
    </row>
    <row r="591" spans="1:10" ht="14.25" customHeight="1" x14ac:dyDescent="0.3">
      <c r="A591" s="1">
        <v>44356</v>
      </c>
      <c r="B591" s="2" t="s">
        <v>317</v>
      </c>
      <c r="C591" s="2" t="s">
        <v>21</v>
      </c>
      <c r="D591" s="2" t="s">
        <v>10</v>
      </c>
      <c r="E591" s="2" t="s">
        <v>95</v>
      </c>
      <c r="F591" s="2">
        <v>7.36</v>
      </c>
      <c r="G591" s="2">
        <v>2</v>
      </c>
      <c r="H591" s="2">
        <v>0.15</v>
      </c>
      <c r="I591" t="str">
        <f t="shared" si="9"/>
        <v>Jun</v>
      </c>
      <c r="J591">
        <f>YEAR(datas[[#This Row],[Order Date]])</f>
        <v>2021</v>
      </c>
    </row>
    <row r="592" spans="1:10" ht="14.25" customHeight="1" x14ac:dyDescent="0.3">
      <c r="A592" s="1">
        <v>44356</v>
      </c>
      <c r="B592" s="2" t="s">
        <v>317</v>
      </c>
      <c r="C592" s="2" t="s">
        <v>21</v>
      </c>
      <c r="D592" s="2" t="s">
        <v>10</v>
      </c>
      <c r="E592" s="2" t="s">
        <v>19</v>
      </c>
      <c r="F592" s="2">
        <v>23.1</v>
      </c>
      <c r="G592" s="2">
        <v>2</v>
      </c>
      <c r="H592" s="2">
        <v>10.63</v>
      </c>
      <c r="I592" t="str">
        <f t="shared" si="9"/>
        <v>Jun</v>
      </c>
      <c r="J592">
        <f>YEAR(datas[[#This Row],[Order Date]])</f>
        <v>2021</v>
      </c>
    </row>
    <row r="593" spans="1:10" ht="14.25" customHeight="1" x14ac:dyDescent="0.3">
      <c r="A593" s="1">
        <v>44356</v>
      </c>
      <c r="B593" s="2" t="s">
        <v>318</v>
      </c>
      <c r="C593" s="2" t="s">
        <v>36</v>
      </c>
      <c r="D593" s="2" t="s">
        <v>26</v>
      </c>
      <c r="E593" s="2" t="s">
        <v>73</v>
      </c>
      <c r="F593" s="2">
        <v>1441.3</v>
      </c>
      <c r="G593" s="2">
        <v>7</v>
      </c>
      <c r="H593" s="2">
        <v>245.02</v>
      </c>
      <c r="I593" t="str">
        <f t="shared" si="9"/>
        <v>Jun</v>
      </c>
      <c r="J593">
        <f>YEAR(datas[[#This Row],[Order Date]])</f>
        <v>2021</v>
      </c>
    </row>
    <row r="594" spans="1:10" ht="14.25" customHeight="1" x14ac:dyDescent="0.3">
      <c r="A594" s="1">
        <v>44356</v>
      </c>
      <c r="B594" s="2" t="s">
        <v>150</v>
      </c>
      <c r="C594" s="2" t="s">
        <v>66</v>
      </c>
      <c r="D594" s="2" t="s">
        <v>10</v>
      </c>
      <c r="E594" s="2" t="s">
        <v>19</v>
      </c>
      <c r="F594" s="2">
        <v>18.059999999999999</v>
      </c>
      <c r="G594" s="2">
        <v>7</v>
      </c>
      <c r="H594" s="2">
        <v>4.7</v>
      </c>
      <c r="I594" t="str">
        <f t="shared" si="9"/>
        <v>Jun</v>
      </c>
      <c r="J594">
        <f>YEAR(datas[[#This Row],[Order Date]])</f>
        <v>2021</v>
      </c>
    </row>
    <row r="595" spans="1:10" ht="14.25" customHeight="1" x14ac:dyDescent="0.3">
      <c r="A595" s="1">
        <v>44356</v>
      </c>
      <c r="B595" s="2" t="s">
        <v>150</v>
      </c>
      <c r="C595" s="2" t="s">
        <v>66</v>
      </c>
      <c r="D595" s="2" t="s">
        <v>10</v>
      </c>
      <c r="E595" s="2" t="s">
        <v>11</v>
      </c>
      <c r="F595" s="2">
        <v>79.14</v>
      </c>
      <c r="G595" s="2">
        <v>3</v>
      </c>
      <c r="H595" s="2">
        <v>36.4</v>
      </c>
      <c r="I595" t="str">
        <f t="shared" si="9"/>
        <v>Jun</v>
      </c>
      <c r="J595">
        <f>YEAR(datas[[#This Row],[Order Date]])</f>
        <v>2021</v>
      </c>
    </row>
    <row r="596" spans="1:10" ht="14.25" customHeight="1" x14ac:dyDescent="0.3">
      <c r="A596" s="1">
        <v>44356</v>
      </c>
      <c r="B596" s="2" t="s">
        <v>150</v>
      </c>
      <c r="C596" s="2" t="s">
        <v>66</v>
      </c>
      <c r="D596" s="2" t="s">
        <v>26</v>
      </c>
      <c r="E596" s="2" t="s">
        <v>32</v>
      </c>
      <c r="F596" s="2">
        <v>37.4</v>
      </c>
      <c r="G596" s="2">
        <v>2</v>
      </c>
      <c r="H596" s="2">
        <v>14.21</v>
      </c>
      <c r="I596" t="str">
        <f t="shared" si="9"/>
        <v>Jun</v>
      </c>
      <c r="J596">
        <f>YEAR(datas[[#This Row],[Order Date]])</f>
        <v>2021</v>
      </c>
    </row>
    <row r="597" spans="1:10" ht="14.25" customHeight="1" x14ac:dyDescent="0.3">
      <c r="A597" s="1">
        <v>44357</v>
      </c>
      <c r="B597" s="2" t="s">
        <v>319</v>
      </c>
      <c r="C597" s="2" t="s">
        <v>60</v>
      </c>
      <c r="D597" s="2" t="s">
        <v>10</v>
      </c>
      <c r="E597" s="2" t="s">
        <v>14</v>
      </c>
      <c r="F597" s="2">
        <v>491.55</v>
      </c>
      <c r="G597" s="2">
        <v>5</v>
      </c>
      <c r="H597" s="2">
        <v>240.86</v>
      </c>
      <c r="I597" t="str">
        <f t="shared" si="9"/>
        <v>Jun</v>
      </c>
      <c r="J597">
        <f>YEAR(datas[[#This Row],[Order Date]])</f>
        <v>2021</v>
      </c>
    </row>
    <row r="598" spans="1:10" ht="14.25" customHeight="1" x14ac:dyDescent="0.3">
      <c r="A598" s="1">
        <v>44360</v>
      </c>
      <c r="B598" s="2" t="s">
        <v>129</v>
      </c>
      <c r="C598" s="2" t="s">
        <v>21</v>
      </c>
      <c r="D598" s="2" t="s">
        <v>10</v>
      </c>
      <c r="E598" s="2" t="s">
        <v>19</v>
      </c>
      <c r="F598" s="2">
        <v>14.52</v>
      </c>
      <c r="G598" s="2">
        <v>3</v>
      </c>
      <c r="H598" s="2">
        <v>4.79</v>
      </c>
      <c r="I598" t="str">
        <f t="shared" si="9"/>
        <v>Jun</v>
      </c>
      <c r="J598">
        <f>YEAR(datas[[#This Row],[Order Date]])</f>
        <v>2021</v>
      </c>
    </row>
    <row r="599" spans="1:10" ht="14.25" customHeight="1" x14ac:dyDescent="0.3">
      <c r="A599" s="1">
        <v>44361</v>
      </c>
      <c r="B599" s="2" t="s">
        <v>320</v>
      </c>
      <c r="C599" s="2" t="s">
        <v>60</v>
      </c>
      <c r="D599" s="2" t="s">
        <v>26</v>
      </c>
      <c r="E599" s="2" t="s">
        <v>45</v>
      </c>
      <c r="F599" s="2">
        <v>212.94</v>
      </c>
      <c r="G599" s="2">
        <v>3</v>
      </c>
      <c r="H599" s="2">
        <v>57.49</v>
      </c>
      <c r="I599" t="str">
        <f t="shared" si="9"/>
        <v>Jun</v>
      </c>
      <c r="J599">
        <f>YEAR(datas[[#This Row],[Order Date]])</f>
        <v>2021</v>
      </c>
    </row>
    <row r="600" spans="1:10" ht="14.25" customHeight="1" x14ac:dyDescent="0.3">
      <c r="A600" s="1">
        <v>44362</v>
      </c>
      <c r="B600" s="2" t="s">
        <v>321</v>
      </c>
      <c r="C600" s="2" t="s">
        <v>9</v>
      </c>
      <c r="D600" s="2" t="s">
        <v>26</v>
      </c>
      <c r="E600" s="2" t="s">
        <v>73</v>
      </c>
      <c r="F600" s="2">
        <v>99.92</v>
      </c>
      <c r="G600" s="2">
        <v>2</v>
      </c>
      <c r="H600" s="2">
        <v>-18.559999999999999</v>
      </c>
      <c r="I600" t="str">
        <f t="shared" si="9"/>
        <v>Jun</v>
      </c>
      <c r="J600">
        <f>YEAR(datas[[#This Row],[Order Date]])</f>
        <v>2021</v>
      </c>
    </row>
    <row r="601" spans="1:10" ht="14.25" customHeight="1" x14ac:dyDescent="0.3">
      <c r="A601" s="1">
        <v>44362</v>
      </c>
      <c r="B601" s="2" t="s">
        <v>321</v>
      </c>
      <c r="C601" s="2" t="s">
        <v>9</v>
      </c>
      <c r="D601" s="2" t="s">
        <v>26</v>
      </c>
      <c r="E601" s="2" t="s">
        <v>27</v>
      </c>
      <c r="F601" s="2">
        <v>797.94</v>
      </c>
      <c r="G601" s="2">
        <v>4</v>
      </c>
      <c r="H601" s="2">
        <v>-57</v>
      </c>
      <c r="I601" t="str">
        <f t="shared" si="9"/>
        <v>Jun</v>
      </c>
      <c r="J601">
        <f>YEAR(datas[[#This Row],[Order Date]])</f>
        <v>2021</v>
      </c>
    </row>
    <row r="602" spans="1:10" ht="14.25" customHeight="1" x14ac:dyDescent="0.3">
      <c r="A602" s="1">
        <v>44362</v>
      </c>
      <c r="B602" s="2" t="s">
        <v>321</v>
      </c>
      <c r="C602" s="2" t="s">
        <v>9</v>
      </c>
      <c r="D602" s="2" t="s">
        <v>10</v>
      </c>
      <c r="E602" s="2" t="s">
        <v>16</v>
      </c>
      <c r="F602" s="2">
        <v>8.57</v>
      </c>
      <c r="G602" s="2">
        <v>3</v>
      </c>
      <c r="H602" s="2">
        <v>-14.57</v>
      </c>
      <c r="I602" t="str">
        <f t="shared" si="9"/>
        <v>Jun</v>
      </c>
      <c r="J602">
        <f>YEAR(datas[[#This Row],[Order Date]])</f>
        <v>2021</v>
      </c>
    </row>
    <row r="603" spans="1:10" ht="14.25" customHeight="1" x14ac:dyDescent="0.3">
      <c r="A603" s="1">
        <v>44362</v>
      </c>
      <c r="B603" s="2" t="s">
        <v>322</v>
      </c>
      <c r="C603" s="2" t="s">
        <v>9</v>
      </c>
      <c r="D603" s="2" t="s">
        <v>10</v>
      </c>
      <c r="E603" s="2" t="s">
        <v>11</v>
      </c>
      <c r="F603" s="2">
        <v>36.54</v>
      </c>
      <c r="G603" s="2">
        <v>2</v>
      </c>
      <c r="H603" s="2">
        <v>11.88</v>
      </c>
      <c r="I603" t="str">
        <f t="shared" si="9"/>
        <v>Jun</v>
      </c>
      <c r="J603">
        <f>YEAR(datas[[#This Row],[Order Date]])</f>
        <v>2021</v>
      </c>
    </row>
    <row r="604" spans="1:10" ht="14.25" customHeight="1" x14ac:dyDescent="0.3">
      <c r="A604" s="1">
        <v>44363</v>
      </c>
      <c r="B604" s="2" t="s">
        <v>323</v>
      </c>
      <c r="C604" s="2" t="s">
        <v>68</v>
      </c>
      <c r="D604" s="2" t="s">
        <v>26</v>
      </c>
      <c r="E604" s="2" t="s">
        <v>27</v>
      </c>
      <c r="F604" s="2">
        <v>647.84</v>
      </c>
      <c r="G604" s="2">
        <v>8</v>
      </c>
      <c r="H604" s="2">
        <v>32.39</v>
      </c>
      <c r="I604" t="str">
        <f t="shared" si="9"/>
        <v>Jun</v>
      </c>
      <c r="J604">
        <f>YEAR(datas[[#This Row],[Order Date]])</f>
        <v>2021</v>
      </c>
    </row>
    <row r="605" spans="1:10" ht="14.25" customHeight="1" x14ac:dyDescent="0.3">
      <c r="A605" s="1">
        <v>44363</v>
      </c>
      <c r="B605" s="2" t="s">
        <v>127</v>
      </c>
      <c r="C605" s="2" t="s">
        <v>75</v>
      </c>
      <c r="D605" s="2" t="s">
        <v>10</v>
      </c>
      <c r="E605" s="2" t="s">
        <v>41</v>
      </c>
      <c r="F605" s="2">
        <v>41.4</v>
      </c>
      <c r="G605" s="2">
        <v>5</v>
      </c>
      <c r="H605" s="2">
        <v>19.46</v>
      </c>
      <c r="I605" t="str">
        <f t="shared" si="9"/>
        <v>Jun</v>
      </c>
      <c r="J605">
        <f>YEAR(datas[[#This Row],[Order Date]])</f>
        <v>2021</v>
      </c>
    </row>
    <row r="606" spans="1:10" ht="14.25" customHeight="1" x14ac:dyDescent="0.3">
      <c r="A606" s="1">
        <v>44363</v>
      </c>
      <c r="B606" s="2" t="s">
        <v>127</v>
      </c>
      <c r="C606" s="2" t="s">
        <v>75</v>
      </c>
      <c r="D606" s="2" t="s">
        <v>10</v>
      </c>
      <c r="E606" s="2" t="s">
        <v>19</v>
      </c>
      <c r="F606" s="2">
        <v>35</v>
      </c>
      <c r="G606" s="2">
        <v>4</v>
      </c>
      <c r="H606" s="2">
        <v>10.5</v>
      </c>
      <c r="I606" t="str">
        <f t="shared" si="9"/>
        <v>Jun</v>
      </c>
      <c r="J606">
        <f>YEAR(datas[[#This Row],[Order Date]])</f>
        <v>2021</v>
      </c>
    </row>
    <row r="607" spans="1:10" ht="14.25" customHeight="1" x14ac:dyDescent="0.3">
      <c r="A607" s="1">
        <v>44363</v>
      </c>
      <c r="B607" s="2" t="s">
        <v>127</v>
      </c>
      <c r="C607" s="2" t="s">
        <v>75</v>
      </c>
      <c r="D607" s="2" t="s">
        <v>10</v>
      </c>
      <c r="E607" s="2" t="s">
        <v>16</v>
      </c>
      <c r="F607" s="2">
        <v>39.549999999999997</v>
      </c>
      <c r="G607" s="2">
        <v>3</v>
      </c>
      <c r="H607" s="2">
        <v>14.34</v>
      </c>
      <c r="I607" t="str">
        <f t="shared" si="9"/>
        <v>Jun</v>
      </c>
      <c r="J607">
        <f>YEAR(datas[[#This Row],[Order Date]])</f>
        <v>2021</v>
      </c>
    </row>
    <row r="608" spans="1:10" ht="14.25" customHeight="1" x14ac:dyDescent="0.3">
      <c r="A608" s="1">
        <v>44364</v>
      </c>
      <c r="B608" s="2" t="s">
        <v>324</v>
      </c>
      <c r="C608" s="2" t="s">
        <v>38</v>
      </c>
      <c r="D608" s="2" t="s">
        <v>28</v>
      </c>
      <c r="E608" s="2" t="s">
        <v>136</v>
      </c>
      <c r="F608" s="2">
        <v>65.97</v>
      </c>
      <c r="G608" s="2">
        <v>3</v>
      </c>
      <c r="H608" s="2">
        <v>31.01</v>
      </c>
      <c r="I608" t="str">
        <f t="shared" si="9"/>
        <v>Jun</v>
      </c>
      <c r="J608">
        <f>YEAR(datas[[#This Row],[Order Date]])</f>
        <v>2021</v>
      </c>
    </row>
    <row r="609" spans="1:10" ht="14.25" customHeight="1" x14ac:dyDescent="0.3">
      <c r="A609" s="1">
        <v>44364</v>
      </c>
      <c r="B609" s="2" t="s">
        <v>325</v>
      </c>
      <c r="C609" s="2" t="s">
        <v>82</v>
      </c>
      <c r="D609" s="2" t="s">
        <v>26</v>
      </c>
      <c r="E609" s="2" t="s">
        <v>32</v>
      </c>
      <c r="F609" s="2">
        <v>6.24</v>
      </c>
      <c r="G609" s="2">
        <v>3</v>
      </c>
      <c r="H609" s="2">
        <v>2.62</v>
      </c>
      <c r="I609" t="str">
        <f t="shared" si="9"/>
        <v>Jun</v>
      </c>
      <c r="J609">
        <f>YEAR(datas[[#This Row],[Order Date]])</f>
        <v>2021</v>
      </c>
    </row>
    <row r="610" spans="1:10" ht="14.25" customHeight="1" x14ac:dyDescent="0.3">
      <c r="A610" s="1">
        <v>44364</v>
      </c>
      <c r="B610" s="2" t="s">
        <v>325</v>
      </c>
      <c r="C610" s="2" t="s">
        <v>82</v>
      </c>
      <c r="D610" s="2" t="s">
        <v>10</v>
      </c>
      <c r="E610" s="2" t="s">
        <v>30</v>
      </c>
      <c r="F610" s="2">
        <v>17.899999999999999</v>
      </c>
      <c r="G610" s="2">
        <v>5</v>
      </c>
      <c r="H610" s="2">
        <v>8.9499999999999993</v>
      </c>
      <c r="I610" t="str">
        <f t="shared" si="9"/>
        <v>Jun</v>
      </c>
      <c r="J610">
        <f>YEAR(datas[[#This Row],[Order Date]])</f>
        <v>2021</v>
      </c>
    </row>
    <row r="611" spans="1:10" ht="14.25" customHeight="1" x14ac:dyDescent="0.3">
      <c r="A611" s="1">
        <v>44364</v>
      </c>
      <c r="B611" s="2" t="s">
        <v>325</v>
      </c>
      <c r="C611" s="2" t="s">
        <v>82</v>
      </c>
      <c r="D611" s="2" t="s">
        <v>10</v>
      </c>
      <c r="E611" s="2" t="s">
        <v>16</v>
      </c>
      <c r="F611" s="2">
        <v>3266.38</v>
      </c>
      <c r="G611" s="2">
        <v>3</v>
      </c>
      <c r="H611" s="2">
        <v>1061.57</v>
      </c>
      <c r="I611" t="str">
        <f t="shared" si="9"/>
        <v>Jun</v>
      </c>
      <c r="J611">
        <f>YEAR(datas[[#This Row],[Order Date]])</f>
        <v>2021</v>
      </c>
    </row>
    <row r="612" spans="1:10" ht="14.25" customHeight="1" x14ac:dyDescent="0.3">
      <c r="A612" s="1">
        <v>44364</v>
      </c>
      <c r="B612" s="2" t="s">
        <v>326</v>
      </c>
      <c r="C612" s="2" t="s">
        <v>13</v>
      </c>
      <c r="D612" s="2" t="s">
        <v>10</v>
      </c>
      <c r="E612" s="2" t="s">
        <v>11</v>
      </c>
      <c r="F612" s="2">
        <v>62.02</v>
      </c>
      <c r="G612" s="2">
        <v>2</v>
      </c>
      <c r="H612" s="2">
        <v>22.48</v>
      </c>
      <c r="I612" t="str">
        <f t="shared" si="9"/>
        <v>Jun</v>
      </c>
      <c r="J612">
        <f>YEAR(datas[[#This Row],[Order Date]])</f>
        <v>2021</v>
      </c>
    </row>
    <row r="613" spans="1:10" ht="14.25" customHeight="1" x14ac:dyDescent="0.3">
      <c r="A613" s="1">
        <v>44365</v>
      </c>
      <c r="B613" s="2" t="s">
        <v>327</v>
      </c>
      <c r="C613" s="2" t="s">
        <v>21</v>
      </c>
      <c r="D613" s="2" t="s">
        <v>28</v>
      </c>
      <c r="E613" s="2" t="s">
        <v>29</v>
      </c>
      <c r="F613" s="2">
        <v>139.80000000000001</v>
      </c>
      <c r="G613" s="2">
        <v>5</v>
      </c>
      <c r="H613" s="2">
        <v>12.23</v>
      </c>
      <c r="I613" t="str">
        <f t="shared" si="9"/>
        <v>Jun</v>
      </c>
      <c r="J613">
        <f>YEAR(datas[[#This Row],[Order Date]])</f>
        <v>2021</v>
      </c>
    </row>
    <row r="614" spans="1:10" ht="14.25" customHeight="1" x14ac:dyDescent="0.3">
      <c r="A614" s="1">
        <v>44367</v>
      </c>
      <c r="B614" s="2" t="s">
        <v>118</v>
      </c>
      <c r="C614" s="2" t="s">
        <v>9</v>
      </c>
      <c r="D614" s="2" t="s">
        <v>28</v>
      </c>
      <c r="E614" s="2" t="s">
        <v>29</v>
      </c>
      <c r="F614" s="2">
        <v>201.58</v>
      </c>
      <c r="G614" s="2">
        <v>2</v>
      </c>
      <c r="H614" s="2">
        <v>20.16</v>
      </c>
      <c r="I614" t="str">
        <f t="shared" si="9"/>
        <v>Jun</v>
      </c>
      <c r="J614">
        <f>YEAR(datas[[#This Row],[Order Date]])</f>
        <v>2021</v>
      </c>
    </row>
    <row r="615" spans="1:10" ht="14.25" customHeight="1" x14ac:dyDescent="0.3">
      <c r="A615" s="1">
        <v>44367</v>
      </c>
      <c r="B615" s="2" t="s">
        <v>118</v>
      </c>
      <c r="C615" s="2" t="s">
        <v>9</v>
      </c>
      <c r="D615" s="2" t="s">
        <v>10</v>
      </c>
      <c r="E615" s="2" t="s">
        <v>16</v>
      </c>
      <c r="F615" s="2">
        <v>3.39</v>
      </c>
      <c r="G615" s="2">
        <v>4</v>
      </c>
      <c r="H615" s="2">
        <v>-5.09</v>
      </c>
      <c r="I615" t="str">
        <f t="shared" si="9"/>
        <v>Jun</v>
      </c>
      <c r="J615">
        <f>YEAR(datas[[#This Row],[Order Date]])</f>
        <v>2021</v>
      </c>
    </row>
    <row r="616" spans="1:10" ht="14.25" customHeight="1" x14ac:dyDescent="0.3">
      <c r="A616" s="1">
        <v>44367</v>
      </c>
      <c r="B616" s="2" t="s">
        <v>118</v>
      </c>
      <c r="C616" s="2" t="s">
        <v>9</v>
      </c>
      <c r="D616" s="2" t="s">
        <v>26</v>
      </c>
      <c r="E616" s="2" t="s">
        <v>45</v>
      </c>
      <c r="F616" s="2">
        <v>193.07</v>
      </c>
      <c r="G616" s="2">
        <v>4</v>
      </c>
      <c r="H616" s="2">
        <v>-19.87</v>
      </c>
      <c r="I616" t="str">
        <f t="shared" si="9"/>
        <v>Jun</v>
      </c>
      <c r="J616">
        <f>YEAR(datas[[#This Row],[Order Date]])</f>
        <v>2021</v>
      </c>
    </row>
    <row r="617" spans="1:10" ht="14.25" customHeight="1" x14ac:dyDescent="0.3">
      <c r="A617" s="1">
        <v>44367</v>
      </c>
      <c r="B617" s="2" t="s">
        <v>118</v>
      </c>
      <c r="C617" s="2" t="s">
        <v>9</v>
      </c>
      <c r="D617" s="2" t="s">
        <v>10</v>
      </c>
      <c r="E617" s="2" t="s">
        <v>11</v>
      </c>
      <c r="F617" s="2">
        <v>15.55</v>
      </c>
      <c r="G617" s="2">
        <v>3</v>
      </c>
      <c r="H617" s="2">
        <v>5.44</v>
      </c>
      <c r="I617" t="str">
        <f t="shared" si="9"/>
        <v>Jun</v>
      </c>
      <c r="J617">
        <f>YEAR(datas[[#This Row],[Order Date]])</f>
        <v>2021</v>
      </c>
    </row>
    <row r="618" spans="1:10" ht="14.25" customHeight="1" x14ac:dyDescent="0.3">
      <c r="A618" s="1">
        <v>44367</v>
      </c>
      <c r="B618" s="2" t="s">
        <v>118</v>
      </c>
      <c r="C618" s="2" t="s">
        <v>9</v>
      </c>
      <c r="D618" s="2" t="s">
        <v>10</v>
      </c>
      <c r="E618" s="2" t="s">
        <v>11</v>
      </c>
      <c r="F618" s="2">
        <v>11.65</v>
      </c>
      <c r="G618" s="2">
        <v>2</v>
      </c>
      <c r="H618" s="2">
        <v>4.08</v>
      </c>
      <c r="I618" t="str">
        <f t="shared" si="9"/>
        <v>Jun</v>
      </c>
      <c r="J618">
        <f>YEAR(datas[[#This Row],[Order Date]])</f>
        <v>2021</v>
      </c>
    </row>
    <row r="619" spans="1:10" ht="14.25" customHeight="1" x14ac:dyDescent="0.3">
      <c r="A619" s="1">
        <v>44367</v>
      </c>
      <c r="B619" s="2" t="s">
        <v>118</v>
      </c>
      <c r="C619" s="2" t="s">
        <v>9</v>
      </c>
      <c r="D619" s="2" t="s">
        <v>28</v>
      </c>
      <c r="E619" s="2" t="s">
        <v>136</v>
      </c>
      <c r="F619" s="2">
        <v>418.8</v>
      </c>
      <c r="G619" s="2">
        <v>2</v>
      </c>
      <c r="H619" s="2">
        <v>-97.72</v>
      </c>
      <c r="I619" t="str">
        <f t="shared" si="9"/>
        <v>Jun</v>
      </c>
      <c r="J619">
        <f>YEAR(datas[[#This Row],[Order Date]])</f>
        <v>2021</v>
      </c>
    </row>
    <row r="620" spans="1:10" ht="14.25" customHeight="1" x14ac:dyDescent="0.3">
      <c r="A620" s="1">
        <v>44367</v>
      </c>
      <c r="B620" s="2" t="s">
        <v>118</v>
      </c>
      <c r="C620" s="2" t="s">
        <v>9</v>
      </c>
      <c r="D620" s="2" t="s">
        <v>10</v>
      </c>
      <c r="E620" s="2" t="s">
        <v>15</v>
      </c>
      <c r="F620" s="2">
        <v>509.49</v>
      </c>
      <c r="G620" s="2">
        <v>7</v>
      </c>
      <c r="H620" s="2">
        <v>-127.37</v>
      </c>
      <c r="I620" t="str">
        <f t="shared" si="9"/>
        <v>Jun</v>
      </c>
      <c r="J620">
        <f>YEAR(datas[[#This Row],[Order Date]])</f>
        <v>2021</v>
      </c>
    </row>
    <row r="621" spans="1:10" ht="14.25" customHeight="1" x14ac:dyDescent="0.3">
      <c r="A621" s="1">
        <v>44367</v>
      </c>
      <c r="B621" s="2" t="s">
        <v>328</v>
      </c>
      <c r="C621" s="2" t="s">
        <v>329</v>
      </c>
      <c r="D621" s="2" t="s">
        <v>10</v>
      </c>
      <c r="E621" s="2" t="s">
        <v>53</v>
      </c>
      <c r="F621" s="2">
        <v>471.9</v>
      </c>
      <c r="G621" s="2">
        <v>6</v>
      </c>
      <c r="H621" s="2">
        <v>155.72999999999999</v>
      </c>
      <c r="I621" t="str">
        <f t="shared" si="9"/>
        <v>Jun</v>
      </c>
      <c r="J621">
        <f>YEAR(datas[[#This Row],[Order Date]])</f>
        <v>2021</v>
      </c>
    </row>
    <row r="622" spans="1:10" ht="14.25" customHeight="1" x14ac:dyDescent="0.3">
      <c r="A622" s="1">
        <v>44367</v>
      </c>
      <c r="B622" s="2" t="s">
        <v>328</v>
      </c>
      <c r="C622" s="2" t="s">
        <v>329</v>
      </c>
      <c r="D622" s="2" t="s">
        <v>10</v>
      </c>
      <c r="E622" s="2" t="s">
        <v>19</v>
      </c>
      <c r="F622" s="2">
        <v>3.52</v>
      </c>
      <c r="G622" s="2">
        <v>2</v>
      </c>
      <c r="H622" s="2">
        <v>1.69</v>
      </c>
      <c r="I622" t="str">
        <f t="shared" si="9"/>
        <v>Jun</v>
      </c>
      <c r="J622">
        <f>YEAR(datas[[#This Row],[Order Date]])</f>
        <v>2021</v>
      </c>
    </row>
    <row r="623" spans="1:10" ht="14.25" customHeight="1" x14ac:dyDescent="0.3">
      <c r="A623" s="1">
        <v>44368</v>
      </c>
      <c r="B623" s="2" t="s">
        <v>267</v>
      </c>
      <c r="C623" s="2" t="s">
        <v>36</v>
      </c>
      <c r="D623" s="2" t="s">
        <v>26</v>
      </c>
      <c r="E623" s="2" t="s">
        <v>32</v>
      </c>
      <c r="F623" s="2">
        <v>104.01</v>
      </c>
      <c r="G623" s="2">
        <v>1</v>
      </c>
      <c r="H623" s="2">
        <v>14.56</v>
      </c>
      <c r="I623" t="str">
        <f t="shared" si="9"/>
        <v>Jun</v>
      </c>
      <c r="J623">
        <f>YEAR(datas[[#This Row],[Order Date]])</f>
        <v>2021</v>
      </c>
    </row>
    <row r="624" spans="1:10" ht="14.25" customHeight="1" x14ac:dyDescent="0.3">
      <c r="A624" s="1">
        <v>44368</v>
      </c>
      <c r="B624" s="2" t="s">
        <v>267</v>
      </c>
      <c r="C624" s="2" t="s">
        <v>36</v>
      </c>
      <c r="D624" s="2" t="s">
        <v>28</v>
      </c>
      <c r="E624" s="2" t="s">
        <v>29</v>
      </c>
      <c r="F624" s="2">
        <v>284.82</v>
      </c>
      <c r="G624" s="2">
        <v>1</v>
      </c>
      <c r="H624" s="2">
        <v>74.05</v>
      </c>
      <c r="I624" t="str">
        <f t="shared" si="9"/>
        <v>Jun</v>
      </c>
      <c r="J624">
        <f>YEAR(datas[[#This Row],[Order Date]])</f>
        <v>2021</v>
      </c>
    </row>
    <row r="625" spans="1:10" ht="14.25" customHeight="1" x14ac:dyDescent="0.3">
      <c r="A625" s="1">
        <v>44368</v>
      </c>
      <c r="B625" s="2" t="s">
        <v>267</v>
      </c>
      <c r="C625" s="2" t="s">
        <v>36</v>
      </c>
      <c r="D625" s="2" t="s">
        <v>10</v>
      </c>
      <c r="E625" s="2" t="s">
        <v>15</v>
      </c>
      <c r="F625" s="2">
        <v>36.840000000000003</v>
      </c>
      <c r="G625" s="2">
        <v>3</v>
      </c>
      <c r="H625" s="2">
        <v>10.32</v>
      </c>
      <c r="I625" t="str">
        <f t="shared" si="9"/>
        <v>Jun</v>
      </c>
      <c r="J625">
        <f>YEAR(datas[[#This Row],[Order Date]])</f>
        <v>2021</v>
      </c>
    </row>
    <row r="626" spans="1:10" ht="14.25" customHeight="1" x14ac:dyDescent="0.3">
      <c r="A626" s="1">
        <v>44368</v>
      </c>
      <c r="B626" s="2" t="s">
        <v>107</v>
      </c>
      <c r="C626" s="2" t="s">
        <v>87</v>
      </c>
      <c r="D626" s="2" t="s">
        <v>28</v>
      </c>
      <c r="E626" s="2" t="s">
        <v>29</v>
      </c>
      <c r="F626" s="2">
        <v>1322.93</v>
      </c>
      <c r="G626" s="2">
        <v>7</v>
      </c>
      <c r="H626" s="2">
        <v>357.19</v>
      </c>
      <c r="I626" t="str">
        <f t="shared" si="9"/>
        <v>Jun</v>
      </c>
      <c r="J626">
        <f>YEAR(datas[[#This Row],[Order Date]])</f>
        <v>2021</v>
      </c>
    </row>
    <row r="627" spans="1:10" ht="14.25" customHeight="1" x14ac:dyDescent="0.3">
      <c r="A627" s="1">
        <v>44368</v>
      </c>
      <c r="B627" s="2" t="s">
        <v>107</v>
      </c>
      <c r="C627" s="2" t="s">
        <v>87</v>
      </c>
      <c r="D627" s="2" t="s">
        <v>10</v>
      </c>
      <c r="E627" s="2" t="s">
        <v>19</v>
      </c>
      <c r="F627" s="2">
        <v>3.76</v>
      </c>
      <c r="G627" s="2">
        <v>2</v>
      </c>
      <c r="H627" s="2">
        <v>1.0900000000000001</v>
      </c>
      <c r="I627" t="str">
        <f t="shared" si="9"/>
        <v>Jun</v>
      </c>
      <c r="J627">
        <f>YEAR(datas[[#This Row],[Order Date]])</f>
        <v>2021</v>
      </c>
    </row>
    <row r="628" spans="1:10" ht="14.25" customHeight="1" x14ac:dyDescent="0.3">
      <c r="A628" s="1">
        <v>44368</v>
      </c>
      <c r="B628" s="2" t="s">
        <v>261</v>
      </c>
      <c r="C628" s="2" t="s">
        <v>248</v>
      </c>
      <c r="D628" s="2" t="s">
        <v>10</v>
      </c>
      <c r="E628" s="2" t="s">
        <v>19</v>
      </c>
      <c r="F628" s="2">
        <v>21.4</v>
      </c>
      <c r="G628" s="2">
        <v>5</v>
      </c>
      <c r="H628" s="2">
        <v>6.21</v>
      </c>
      <c r="I628" t="str">
        <f t="shared" si="9"/>
        <v>Jun</v>
      </c>
      <c r="J628">
        <f>YEAR(datas[[#This Row],[Order Date]])</f>
        <v>2021</v>
      </c>
    </row>
    <row r="629" spans="1:10" ht="14.25" customHeight="1" x14ac:dyDescent="0.3">
      <c r="A629" s="1">
        <v>44368</v>
      </c>
      <c r="B629" s="2" t="s">
        <v>212</v>
      </c>
      <c r="C629" s="2" t="s">
        <v>126</v>
      </c>
      <c r="D629" s="2" t="s">
        <v>10</v>
      </c>
      <c r="E629" s="2" t="s">
        <v>16</v>
      </c>
      <c r="F629" s="2">
        <v>11.09</v>
      </c>
      <c r="G629" s="2">
        <v>7</v>
      </c>
      <c r="H629" s="2">
        <v>-8.1300000000000008</v>
      </c>
      <c r="I629" t="str">
        <f t="shared" si="9"/>
        <v>Jun</v>
      </c>
      <c r="J629">
        <f>YEAR(datas[[#This Row],[Order Date]])</f>
        <v>2021</v>
      </c>
    </row>
    <row r="630" spans="1:10" ht="14.25" customHeight="1" x14ac:dyDescent="0.3">
      <c r="A630" s="1">
        <v>44368</v>
      </c>
      <c r="B630" s="2" t="s">
        <v>212</v>
      </c>
      <c r="C630" s="2" t="s">
        <v>126</v>
      </c>
      <c r="D630" s="2" t="s">
        <v>10</v>
      </c>
      <c r="E630" s="2" t="s">
        <v>16</v>
      </c>
      <c r="F630" s="2">
        <v>25.16</v>
      </c>
      <c r="G630" s="2">
        <v>2</v>
      </c>
      <c r="H630" s="2">
        <v>-16.78</v>
      </c>
      <c r="I630" t="str">
        <f t="shared" si="9"/>
        <v>Jun</v>
      </c>
      <c r="J630">
        <f>YEAR(datas[[#This Row],[Order Date]])</f>
        <v>2021</v>
      </c>
    </row>
    <row r="631" spans="1:10" ht="14.25" customHeight="1" x14ac:dyDescent="0.3">
      <c r="A631" s="1">
        <v>44368</v>
      </c>
      <c r="B631" s="2" t="s">
        <v>330</v>
      </c>
      <c r="C631" s="2" t="s">
        <v>18</v>
      </c>
      <c r="D631" s="2" t="s">
        <v>10</v>
      </c>
      <c r="E631" s="2" t="s">
        <v>41</v>
      </c>
      <c r="F631" s="2">
        <v>24.9</v>
      </c>
      <c r="G631" s="2">
        <v>4</v>
      </c>
      <c r="H631" s="2">
        <v>8.4</v>
      </c>
      <c r="I631" t="str">
        <f t="shared" si="9"/>
        <v>Jun</v>
      </c>
      <c r="J631">
        <f>YEAR(datas[[#This Row],[Order Date]])</f>
        <v>2021</v>
      </c>
    </row>
    <row r="632" spans="1:10" ht="14.25" customHeight="1" x14ac:dyDescent="0.3">
      <c r="A632" s="1">
        <v>44368</v>
      </c>
      <c r="B632" s="2" t="s">
        <v>330</v>
      </c>
      <c r="C632" s="2" t="s">
        <v>18</v>
      </c>
      <c r="D632" s="2" t="s">
        <v>26</v>
      </c>
      <c r="E632" s="2" t="s">
        <v>32</v>
      </c>
      <c r="F632" s="2">
        <v>3.98</v>
      </c>
      <c r="G632" s="2">
        <v>1</v>
      </c>
      <c r="H632" s="2">
        <v>0.65</v>
      </c>
      <c r="I632" t="str">
        <f t="shared" si="9"/>
        <v>Jun</v>
      </c>
      <c r="J632">
        <f>YEAR(datas[[#This Row],[Order Date]])</f>
        <v>2021</v>
      </c>
    </row>
    <row r="633" spans="1:10" ht="14.25" customHeight="1" x14ac:dyDescent="0.3">
      <c r="A633" s="1">
        <v>44368</v>
      </c>
      <c r="B633" s="2" t="s">
        <v>330</v>
      </c>
      <c r="C633" s="2" t="s">
        <v>18</v>
      </c>
      <c r="D633" s="2" t="s">
        <v>28</v>
      </c>
      <c r="E633" s="2" t="s">
        <v>34</v>
      </c>
      <c r="F633" s="2">
        <v>95.97</v>
      </c>
      <c r="G633" s="2">
        <v>4</v>
      </c>
      <c r="H633" s="2">
        <v>28.79</v>
      </c>
      <c r="I633" t="str">
        <f t="shared" si="9"/>
        <v>Jun</v>
      </c>
      <c r="J633">
        <f>YEAR(datas[[#This Row],[Order Date]])</f>
        <v>2021</v>
      </c>
    </row>
    <row r="634" spans="1:10" ht="14.25" customHeight="1" x14ac:dyDescent="0.3">
      <c r="A634" s="1">
        <v>44368</v>
      </c>
      <c r="B634" s="2" t="s">
        <v>330</v>
      </c>
      <c r="C634" s="2" t="s">
        <v>18</v>
      </c>
      <c r="D634" s="2" t="s">
        <v>28</v>
      </c>
      <c r="E634" s="2" t="s">
        <v>136</v>
      </c>
      <c r="F634" s="2">
        <v>206.99</v>
      </c>
      <c r="G634" s="2">
        <v>3</v>
      </c>
      <c r="H634" s="2">
        <v>-172.49</v>
      </c>
      <c r="I634" t="str">
        <f t="shared" si="9"/>
        <v>Jun</v>
      </c>
      <c r="J634">
        <f>YEAR(datas[[#This Row],[Order Date]])</f>
        <v>2021</v>
      </c>
    </row>
    <row r="635" spans="1:10" ht="14.25" customHeight="1" x14ac:dyDescent="0.3">
      <c r="A635" s="1">
        <v>44368</v>
      </c>
      <c r="B635" s="2" t="s">
        <v>330</v>
      </c>
      <c r="C635" s="2" t="s">
        <v>18</v>
      </c>
      <c r="D635" s="2" t="s">
        <v>10</v>
      </c>
      <c r="E635" s="2" t="s">
        <v>53</v>
      </c>
      <c r="F635" s="2">
        <v>44.42</v>
      </c>
      <c r="G635" s="2">
        <v>2</v>
      </c>
      <c r="H635" s="2">
        <v>3.89</v>
      </c>
      <c r="I635" t="str">
        <f t="shared" si="9"/>
        <v>Jun</v>
      </c>
      <c r="J635">
        <f>YEAR(datas[[#This Row],[Order Date]])</f>
        <v>2021</v>
      </c>
    </row>
    <row r="636" spans="1:10" ht="14.25" customHeight="1" x14ac:dyDescent="0.3">
      <c r="A636" s="1">
        <v>44368</v>
      </c>
      <c r="B636" s="2" t="s">
        <v>330</v>
      </c>
      <c r="C636" s="2" t="s">
        <v>18</v>
      </c>
      <c r="D636" s="2" t="s">
        <v>10</v>
      </c>
      <c r="E636" s="2" t="s">
        <v>16</v>
      </c>
      <c r="F636" s="2">
        <v>9.01</v>
      </c>
      <c r="G636" s="2">
        <v>2</v>
      </c>
      <c r="H636" s="2">
        <v>-7.2</v>
      </c>
      <c r="I636" t="str">
        <f t="shared" si="9"/>
        <v>Jun</v>
      </c>
      <c r="J636">
        <f>YEAR(datas[[#This Row],[Order Date]])</f>
        <v>2021</v>
      </c>
    </row>
    <row r="637" spans="1:10" ht="14.25" customHeight="1" x14ac:dyDescent="0.3">
      <c r="A637" s="1">
        <v>44368</v>
      </c>
      <c r="B637" s="2" t="s">
        <v>331</v>
      </c>
      <c r="C637" s="2" t="s">
        <v>75</v>
      </c>
      <c r="D637" s="2" t="s">
        <v>10</v>
      </c>
      <c r="E637" s="2" t="s">
        <v>11</v>
      </c>
      <c r="F637" s="2">
        <v>19.649999999999999</v>
      </c>
      <c r="G637" s="2">
        <v>3</v>
      </c>
      <c r="H637" s="2">
        <v>9.0399999999999991</v>
      </c>
      <c r="I637" t="str">
        <f t="shared" si="9"/>
        <v>Jun</v>
      </c>
      <c r="J637">
        <f>YEAR(datas[[#This Row],[Order Date]])</f>
        <v>2021</v>
      </c>
    </row>
    <row r="638" spans="1:10" ht="14.25" customHeight="1" x14ac:dyDescent="0.3">
      <c r="A638" s="1">
        <v>44368</v>
      </c>
      <c r="B638" s="2" t="s">
        <v>331</v>
      </c>
      <c r="C638" s="2" t="s">
        <v>75</v>
      </c>
      <c r="D638" s="2" t="s">
        <v>28</v>
      </c>
      <c r="E638" s="2" t="s">
        <v>29</v>
      </c>
      <c r="F638" s="2">
        <v>617.97</v>
      </c>
      <c r="G638" s="2">
        <v>3</v>
      </c>
      <c r="H638" s="2">
        <v>160.66999999999999</v>
      </c>
      <c r="I638" t="str">
        <f t="shared" si="9"/>
        <v>Jun</v>
      </c>
      <c r="J638">
        <f>YEAR(datas[[#This Row],[Order Date]])</f>
        <v>2021</v>
      </c>
    </row>
    <row r="639" spans="1:10" ht="14.25" customHeight="1" x14ac:dyDescent="0.3">
      <c r="A639" s="1">
        <v>44368</v>
      </c>
      <c r="B639" s="2" t="s">
        <v>331</v>
      </c>
      <c r="C639" s="2" t="s">
        <v>75</v>
      </c>
      <c r="D639" s="2" t="s">
        <v>10</v>
      </c>
      <c r="E639" s="2" t="s">
        <v>53</v>
      </c>
      <c r="F639" s="2">
        <v>59.7</v>
      </c>
      <c r="G639" s="2">
        <v>3</v>
      </c>
      <c r="H639" s="2">
        <v>26.87</v>
      </c>
      <c r="I639" t="str">
        <f t="shared" si="9"/>
        <v>Jun</v>
      </c>
      <c r="J639">
        <f>YEAR(datas[[#This Row],[Order Date]])</f>
        <v>2021</v>
      </c>
    </row>
    <row r="640" spans="1:10" ht="14.25" customHeight="1" x14ac:dyDescent="0.3">
      <c r="A640" s="1">
        <v>44368</v>
      </c>
      <c r="B640" s="2" t="s">
        <v>296</v>
      </c>
      <c r="C640" s="2" t="s">
        <v>75</v>
      </c>
      <c r="D640" s="2" t="s">
        <v>28</v>
      </c>
      <c r="E640" s="2" t="s">
        <v>29</v>
      </c>
      <c r="F640" s="2">
        <v>1214.8499999999999</v>
      </c>
      <c r="G640" s="2">
        <v>3</v>
      </c>
      <c r="H640" s="2">
        <v>352.31</v>
      </c>
      <c r="I640" t="str">
        <f t="shared" si="9"/>
        <v>Jun</v>
      </c>
      <c r="J640">
        <f>YEAR(datas[[#This Row],[Order Date]])</f>
        <v>2021</v>
      </c>
    </row>
    <row r="641" spans="1:10" ht="14.25" customHeight="1" x14ac:dyDescent="0.3">
      <c r="A641" s="1">
        <v>44369</v>
      </c>
      <c r="B641" s="2" t="s">
        <v>332</v>
      </c>
      <c r="C641" s="2" t="s">
        <v>126</v>
      </c>
      <c r="D641" s="2" t="s">
        <v>28</v>
      </c>
      <c r="E641" s="2" t="s">
        <v>34</v>
      </c>
      <c r="F641" s="2">
        <v>196.75</v>
      </c>
      <c r="G641" s="2">
        <v>6</v>
      </c>
      <c r="H641" s="2">
        <v>56.57</v>
      </c>
      <c r="I641" t="str">
        <f t="shared" si="9"/>
        <v>Jun</v>
      </c>
      <c r="J641">
        <f>YEAR(datas[[#This Row],[Order Date]])</f>
        <v>2021</v>
      </c>
    </row>
    <row r="642" spans="1:10" ht="14.25" customHeight="1" x14ac:dyDescent="0.3">
      <c r="A642" s="1">
        <v>44369</v>
      </c>
      <c r="B642" s="2" t="s">
        <v>333</v>
      </c>
      <c r="C642" s="2" t="s">
        <v>140</v>
      </c>
      <c r="D642" s="2" t="s">
        <v>10</v>
      </c>
      <c r="E642" s="2" t="s">
        <v>15</v>
      </c>
      <c r="F642" s="2">
        <v>501.81</v>
      </c>
      <c r="G642" s="2">
        <v>3</v>
      </c>
      <c r="H642" s="2">
        <v>0</v>
      </c>
      <c r="I642" t="str">
        <f t="shared" si="9"/>
        <v>Jun</v>
      </c>
      <c r="J642">
        <f>YEAR(datas[[#This Row],[Order Date]])</f>
        <v>2021</v>
      </c>
    </row>
    <row r="643" spans="1:10" ht="14.25" customHeight="1" x14ac:dyDescent="0.3">
      <c r="A643" s="1">
        <v>44369</v>
      </c>
      <c r="B643" s="2" t="s">
        <v>333</v>
      </c>
      <c r="C643" s="2" t="s">
        <v>140</v>
      </c>
      <c r="D643" s="2" t="s">
        <v>10</v>
      </c>
      <c r="E643" s="2" t="s">
        <v>15</v>
      </c>
      <c r="F643" s="2">
        <v>161.94</v>
      </c>
      <c r="G643" s="2">
        <v>3</v>
      </c>
      <c r="H643" s="2">
        <v>9.7200000000000006</v>
      </c>
      <c r="I643" t="str">
        <f t="shared" ref="I643:I706" si="10">TEXT(A643,"mmm")</f>
        <v>Jun</v>
      </c>
      <c r="J643">
        <f>YEAR(datas[[#This Row],[Order Date]])</f>
        <v>2021</v>
      </c>
    </row>
    <row r="644" spans="1:10" ht="14.25" customHeight="1" x14ac:dyDescent="0.3">
      <c r="A644" s="1">
        <v>44369</v>
      </c>
      <c r="B644" s="2" t="s">
        <v>334</v>
      </c>
      <c r="C644" s="2" t="s">
        <v>18</v>
      </c>
      <c r="D644" s="2" t="s">
        <v>26</v>
      </c>
      <c r="E644" s="2" t="s">
        <v>27</v>
      </c>
      <c r="F644" s="2">
        <v>170.06</v>
      </c>
      <c r="G644" s="2">
        <v>3</v>
      </c>
      <c r="H644" s="2">
        <v>-4.8600000000000003</v>
      </c>
      <c r="I644" t="str">
        <f t="shared" si="10"/>
        <v>Jun</v>
      </c>
      <c r="J644">
        <f>YEAR(datas[[#This Row],[Order Date]])</f>
        <v>2021</v>
      </c>
    </row>
    <row r="645" spans="1:10" ht="14.25" customHeight="1" x14ac:dyDescent="0.3">
      <c r="A645" s="1">
        <v>44369</v>
      </c>
      <c r="B645" s="2" t="s">
        <v>334</v>
      </c>
      <c r="C645" s="2" t="s">
        <v>18</v>
      </c>
      <c r="D645" s="2" t="s">
        <v>28</v>
      </c>
      <c r="E645" s="2" t="s">
        <v>29</v>
      </c>
      <c r="F645" s="2">
        <v>82.78</v>
      </c>
      <c r="G645" s="2">
        <v>3</v>
      </c>
      <c r="H645" s="2">
        <v>-15.18</v>
      </c>
      <c r="I645" t="str">
        <f t="shared" si="10"/>
        <v>Jun</v>
      </c>
      <c r="J645">
        <f>YEAR(datas[[#This Row],[Order Date]])</f>
        <v>2021</v>
      </c>
    </row>
    <row r="646" spans="1:10" ht="14.25" customHeight="1" x14ac:dyDescent="0.3">
      <c r="A646" s="1">
        <v>44369</v>
      </c>
      <c r="B646" s="2" t="s">
        <v>334</v>
      </c>
      <c r="C646" s="2" t="s">
        <v>18</v>
      </c>
      <c r="D646" s="2" t="s">
        <v>26</v>
      </c>
      <c r="E646" s="2" t="s">
        <v>27</v>
      </c>
      <c r="F646" s="2">
        <v>853.93</v>
      </c>
      <c r="G646" s="2">
        <v>5</v>
      </c>
      <c r="H646" s="2">
        <v>0</v>
      </c>
      <c r="I646" t="str">
        <f t="shared" si="10"/>
        <v>Jun</v>
      </c>
      <c r="J646">
        <f>YEAR(datas[[#This Row],[Order Date]])</f>
        <v>2021</v>
      </c>
    </row>
    <row r="647" spans="1:10" ht="14.25" customHeight="1" x14ac:dyDescent="0.3">
      <c r="A647" s="1">
        <v>44369</v>
      </c>
      <c r="B647" s="2" t="s">
        <v>331</v>
      </c>
      <c r="C647" s="2" t="s">
        <v>55</v>
      </c>
      <c r="D647" s="2" t="s">
        <v>10</v>
      </c>
      <c r="E647" s="2" t="s">
        <v>16</v>
      </c>
      <c r="F647" s="2">
        <v>8.23</v>
      </c>
      <c r="G647" s="2">
        <v>3</v>
      </c>
      <c r="H647" s="2">
        <v>-6.03</v>
      </c>
      <c r="I647" t="str">
        <f t="shared" si="10"/>
        <v>Jun</v>
      </c>
      <c r="J647">
        <f>YEAR(datas[[#This Row],[Order Date]])</f>
        <v>2021</v>
      </c>
    </row>
    <row r="648" spans="1:10" ht="14.25" customHeight="1" x14ac:dyDescent="0.3">
      <c r="A648" s="1">
        <v>44370</v>
      </c>
      <c r="B648" s="2" t="s">
        <v>335</v>
      </c>
      <c r="C648" s="2" t="s">
        <v>18</v>
      </c>
      <c r="D648" s="2" t="s">
        <v>28</v>
      </c>
      <c r="E648" s="2" t="s">
        <v>34</v>
      </c>
      <c r="F648" s="2">
        <v>86.38</v>
      </c>
      <c r="G648" s="2">
        <v>3</v>
      </c>
      <c r="H648" s="2">
        <v>1.08</v>
      </c>
      <c r="I648" t="str">
        <f t="shared" si="10"/>
        <v>Jun</v>
      </c>
      <c r="J648">
        <f>YEAR(datas[[#This Row],[Order Date]])</f>
        <v>2021</v>
      </c>
    </row>
    <row r="649" spans="1:10" ht="14.25" customHeight="1" x14ac:dyDescent="0.3">
      <c r="A649" s="1">
        <v>44370</v>
      </c>
      <c r="B649" s="2" t="s">
        <v>336</v>
      </c>
      <c r="C649" s="2" t="s">
        <v>115</v>
      </c>
      <c r="D649" s="2" t="s">
        <v>10</v>
      </c>
      <c r="E649" s="2" t="s">
        <v>19</v>
      </c>
      <c r="F649" s="2">
        <v>20.02</v>
      </c>
      <c r="G649" s="2">
        <v>9</v>
      </c>
      <c r="H649" s="2">
        <v>1.75</v>
      </c>
      <c r="I649" t="str">
        <f t="shared" si="10"/>
        <v>Jun</v>
      </c>
      <c r="J649">
        <f>YEAR(datas[[#This Row],[Order Date]])</f>
        <v>2021</v>
      </c>
    </row>
    <row r="650" spans="1:10" ht="14.25" customHeight="1" x14ac:dyDescent="0.3">
      <c r="A650" s="1">
        <v>44370</v>
      </c>
      <c r="B650" s="2" t="s">
        <v>336</v>
      </c>
      <c r="C650" s="2" t="s">
        <v>115</v>
      </c>
      <c r="D650" s="2" t="s">
        <v>10</v>
      </c>
      <c r="E650" s="2" t="s">
        <v>95</v>
      </c>
      <c r="F650" s="2">
        <v>3.1</v>
      </c>
      <c r="G650" s="2">
        <v>1</v>
      </c>
      <c r="H650" s="2">
        <v>0.35</v>
      </c>
      <c r="I650" t="str">
        <f t="shared" si="10"/>
        <v>Jun</v>
      </c>
      <c r="J650">
        <f>YEAR(datas[[#This Row],[Order Date]])</f>
        <v>2021</v>
      </c>
    </row>
    <row r="651" spans="1:10" ht="14.25" customHeight="1" x14ac:dyDescent="0.3">
      <c r="A651" s="1">
        <v>44371</v>
      </c>
      <c r="B651" s="2" t="s">
        <v>337</v>
      </c>
      <c r="C651" s="2" t="s">
        <v>55</v>
      </c>
      <c r="D651" s="2" t="s">
        <v>26</v>
      </c>
      <c r="E651" s="2" t="s">
        <v>32</v>
      </c>
      <c r="F651" s="2">
        <v>4.2699999999999996</v>
      </c>
      <c r="G651" s="2">
        <v>2</v>
      </c>
      <c r="H651" s="2">
        <v>0.96</v>
      </c>
      <c r="I651" t="str">
        <f t="shared" si="10"/>
        <v>Jun</v>
      </c>
      <c r="J651">
        <f>YEAR(datas[[#This Row],[Order Date]])</f>
        <v>2021</v>
      </c>
    </row>
    <row r="652" spans="1:10" ht="14.25" customHeight="1" x14ac:dyDescent="0.3">
      <c r="A652" s="1">
        <v>44372</v>
      </c>
      <c r="B652" s="2" t="s">
        <v>338</v>
      </c>
      <c r="C652" s="2" t="s">
        <v>21</v>
      </c>
      <c r="D652" s="2" t="s">
        <v>26</v>
      </c>
      <c r="E652" s="2" t="s">
        <v>73</v>
      </c>
      <c r="F652" s="2">
        <v>447.84</v>
      </c>
      <c r="G652" s="2">
        <v>5</v>
      </c>
      <c r="H652" s="2">
        <v>11.2</v>
      </c>
      <c r="I652" t="str">
        <f t="shared" si="10"/>
        <v>Jun</v>
      </c>
      <c r="J652">
        <f>YEAR(datas[[#This Row],[Order Date]])</f>
        <v>2021</v>
      </c>
    </row>
    <row r="653" spans="1:10" ht="14.25" customHeight="1" x14ac:dyDescent="0.3">
      <c r="A653" s="1">
        <v>44372</v>
      </c>
      <c r="B653" s="2" t="s">
        <v>339</v>
      </c>
      <c r="C653" s="2" t="s">
        <v>52</v>
      </c>
      <c r="D653" s="2" t="s">
        <v>28</v>
      </c>
      <c r="E653" s="2" t="s">
        <v>29</v>
      </c>
      <c r="F653" s="2">
        <v>263.95999999999998</v>
      </c>
      <c r="G653" s="2">
        <v>5</v>
      </c>
      <c r="H653" s="2">
        <v>19.8</v>
      </c>
      <c r="I653" t="str">
        <f t="shared" si="10"/>
        <v>Jun</v>
      </c>
      <c r="J653">
        <f>YEAR(datas[[#This Row],[Order Date]])</f>
        <v>2021</v>
      </c>
    </row>
    <row r="654" spans="1:10" ht="14.25" customHeight="1" x14ac:dyDescent="0.3">
      <c r="A654" s="1">
        <v>44372</v>
      </c>
      <c r="B654" s="2" t="s">
        <v>339</v>
      </c>
      <c r="C654" s="2" t="s">
        <v>52</v>
      </c>
      <c r="D654" s="2" t="s">
        <v>10</v>
      </c>
      <c r="E654" s="2" t="s">
        <v>19</v>
      </c>
      <c r="F654" s="2">
        <v>71.63</v>
      </c>
      <c r="G654" s="2">
        <v>11</v>
      </c>
      <c r="H654" s="2">
        <v>17.91</v>
      </c>
      <c r="I654" t="str">
        <f t="shared" si="10"/>
        <v>Jun</v>
      </c>
      <c r="J654">
        <f>YEAR(datas[[#This Row],[Order Date]])</f>
        <v>2021</v>
      </c>
    </row>
    <row r="655" spans="1:10" ht="14.25" customHeight="1" x14ac:dyDescent="0.3">
      <c r="A655" s="1">
        <v>44372</v>
      </c>
      <c r="B655" s="2" t="s">
        <v>339</v>
      </c>
      <c r="C655" s="2" t="s">
        <v>52</v>
      </c>
      <c r="D655" s="2" t="s">
        <v>10</v>
      </c>
      <c r="E655" s="2" t="s">
        <v>19</v>
      </c>
      <c r="F655" s="2">
        <v>9.33</v>
      </c>
      <c r="G655" s="2">
        <v>1</v>
      </c>
      <c r="H655" s="2">
        <v>0.82</v>
      </c>
      <c r="I655" t="str">
        <f t="shared" si="10"/>
        <v>Jun</v>
      </c>
      <c r="J655">
        <f>YEAR(datas[[#This Row],[Order Date]])</f>
        <v>2021</v>
      </c>
    </row>
    <row r="656" spans="1:10" ht="14.25" customHeight="1" x14ac:dyDescent="0.3">
      <c r="A656" s="1">
        <v>44374</v>
      </c>
      <c r="B656" s="2" t="s">
        <v>340</v>
      </c>
      <c r="C656" s="2" t="s">
        <v>143</v>
      </c>
      <c r="D656" s="2" t="s">
        <v>10</v>
      </c>
      <c r="E656" s="2" t="s">
        <v>15</v>
      </c>
      <c r="F656" s="2">
        <v>306.2</v>
      </c>
      <c r="G656" s="2">
        <v>5</v>
      </c>
      <c r="H656" s="2">
        <v>0</v>
      </c>
      <c r="I656" t="str">
        <f t="shared" si="10"/>
        <v>Jun</v>
      </c>
      <c r="J656">
        <f>YEAR(datas[[#This Row],[Order Date]])</f>
        <v>2021</v>
      </c>
    </row>
    <row r="657" spans="1:10" ht="14.25" customHeight="1" x14ac:dyDescent="0.3">
      <c r="A657" s="1">
        <v>44374</v>
      </c>
      <c r="B657" s="2" t="s">
        <v>340</v>
      </c>
      <c r="C657" s="2" t="s">
        <v>143</v>
      </c>
      <c r="D657" s="2" t="s">
        <v>26</v>
      </c>
      <c r="E657" s="2" t="s">
        <v>73</v>
      </c>
      <c r="F657" s="2">
        <v>85.98</v>
      </c>
      <c r="G657" s="2">
        <v>1</v>
      </c>
      <c r="H657" s="2">
        <v>22.35</v>
      </c>
      <c r="I657" t="str">
        <f t="shared" si="10"/>
        <v>Jun</v>
      </c>
      <c r="J657">
        <f>YEAR(datas[[#This Row],[Order Date]])</f>
        <v>2021</v>
      </c>
    </row>
    <row r="658" spans="1:10" ht="14.25" customHeight="1" x14ac:dyDescent="0.3">
      <c r="A658" s="1">
        <v>44374</v>
      </c>
      <c r="B658" s="2" t="s">
        <v>340</v>
      </c>
      <c r="C658" s="2" t="s">
        <v>143</v>
      </c>
      <c r="D658" s="2" t="s">
        <v>28</v>
      </c>
      <c r="E658" s="2" t="s">
        <v>34</v>
      </c>
      <c r="F658" s="2">
        <v>223.96</v>
      </c>
      <c r="G658" s="2">
        <v>4</v>
      </c>
      <c r="H658" s="2">
        <v>53.75</v>
      </c>
      <c r="I658" t="str">
        <f t="shared" si="10"/>
        <v>Jun</v>
      </c>
      <c r="J658">
        <f>YEAR(datas[[#This Row],[Order Date]])</f>
        <v>2021</v>
      </c>
    </row>
    <row r="659" spans="1:10" ht="14.25" customHeight="1" x14ac:dyDescent="0.3">
      <c r="A659" s="1">
        <v>44375</v>
      </c>
      <c r="B659" s="2" t="s">
        <v>341</v>
      </c>
      <c r="C659" s="2" t="s">
        <v>18</v>
      </c>
      <c r="D659" s="2" t="s">
        <v>10</v>
      </c>
      <c r="E659" s="2" t="s">
        <v>11</v>
      </c>
      <c r="F659" s="2">
        <v>41.47</v>
      </c>
      <c r="G659" s="2">
        <v>8</v>
      </c>
      <c r="H659" s="2">
        <v>14.52</v>
      </c>
      <c r="I659" t="str">
        <f t="shared" si="10"/>
        <v>Jun</v>
      </c>
      <c r="J659">
        <f>YEAR(datas[[#This Row],[Order Date]])</f>
        <v>2021</v>
      </c>
    </row>
    <row r="660" spans="1:10" ht="14.25" customHeight="1" x14ac:dyDescent="0.3">
      <c r="A660" s="1">
        <v>44375</v>
      </c>
      <c r="B660" s="2" t="s">
        <v>341</v>
      </c>
      <c r="C660" s="2" t="s">
        <v>18</v>
      </c>
      <c r="D660" s="2" t="s">
        <v>10</v>
      </c>
      <c r="E660" s="2" t="s">
        <v>16</v>
      </c>
      <c r="F660" s="2">
        <v>3.17</v>
      </c>
      <c r="G660" s="2">
        <v>3</v>
      </c>
      <c r="H660" s="2">
        <v>-2.4300000000000002</v>
      </c>
      <c r="I660" t="str">
        <f t="shared" si="10"/>
        <v>Jun</v>
      </c>
      <c r="J660">
        <f>YEAR(datas[[#This Row],[Order Date]])</f>
        <v>2021</v>
      </c>
    </row>
    <row r="661" spans="1:10" ht="14.25" customHeight="1" x14ac:dyDescent="0.3">
      <c r="A661" s="1">
        <v>44375</v>
      </c>
      <c r="B661" s="2" t="s">
        <v>341</v>
      </c>
      <c r="C661" s="2" t="s">
        <v>18</v>
      </c>
      <c r="D661" s="2" t="s">
        <v>26</v>
      </c>
      <c r="E661" s="2" t="s">
        <v>27</v>
      </c>
      <c r="F661" s="2">
        <v>1228.47</v>
      </c>
      <c r="G661" s="2">
        <v>5</v>
      </c>
      <c r="H661" s="2">
        <v>0</v>
      </c>
      <c r="I661" t="str">
        <f t="shared" si="10"/>
        <v>Jun</v>
      </c>
      <c r="J661">
        <f>YEAR(datas[[#This Row],[Order Date]])</f>
        <v>2021</v>
      </c>
    </row>
    <row r="662" spans="1:10" ht="14.25" customHeight="1" x14ac:dyDescent="0.3">
      <c r="A662" s="1">
        <v>44375</v>
      </c>
      <c r="B662" s="2" t="s">
        <v>341</v>
      </c>
      <c r="C662" s="2" t="s">
        <v>18</v>
      </c>
      <c r="D662" s="2" t="s">
        <v>10</v>
      </c>
      <c r="E662" s="2" t="s">
        <v>16</v>
      </c>
      <c r="F662" s="2">
        <v>31.09</v>
      </c>
      <c r="G662" s="2">
        <v>3</v>
      </c>
      <c r="H662" s="2">
        <v>-22.8</v>
      </c>
      <c r="I662" t="str">
        <f t="shared" si="10"/>
        <v>Jun</v>
      </c>
      <c r="J662">
        <f>YEAR(datas[[#This Row],[Order Date]])</f>
        <v>2021</v>
      </c>
    </row>
    <row r="663" spans="1:10" ht="14.25" customHeight="1" x14ac:dyDescent="0.3">
      <c r="A663" s="1">
        <v>44375</v>
      </c>
      <c r="B663" s="2" t="s">
        <v>341</v>
      </c>
      <c r="C663" s="2" t="s">
        <v>18</v>
      </c>
      <c r="D663" s="2" t="s">
        <v>10</v>
      </c>
      <c r="E663" s="2" t="s">
        <v>11</v>
      </c>
      <c r="F663" s="2">
        <v>335.52</v>
      </c>
      <c r="G663" s="2">
        <v>4</v>
      </c>
      <c r="H663" s="2">
        <v>117.43</v>
      </c>
      <c r="I663" t="str">
        <f t="shared" si="10"/>
        <v>Jun</v>
      </c>
      <c r="J663">
        <f>YEAR(datas[[#This Row],[Order Date]])</f>
        <v>2021</v>
      </c>
    </row>
    <row r="664" spans="1:10" ht="14.25" customHeight="1" x14ac:dyDescent="0.3">
      <c r="A664" s="1">
        <v>44375</v>
      </c>
      <c r="B664" s="2" t="s">
        <v>342</v>
      </c>
      <c r="C664" s="2" t="s">
        <v>60</v>
      </c>
      <c r="D664" s="2" t="s">
        <v>10</v>
      </c>
      <c r="E664" s="2" t="s">
        <v>30</v>
      </c>
      <c r="F664" s="2">
        <v>6.08</v>
      </c>
      <c r="G664" s="2">
        <v>1</v>
      </c>
      <c r="H664" s="2">
        <v>3.04</v>
      </c>
      <c r="I664" t="str">
        <f t="shared" si="10"/>
        <v>Jun</v>
      </c>
      <c r="J664">
        <f>YEAR(datas[[#This Row],[Order Date]])</f>
        <v>2021</v>
      </c>
    </row>
    <row r="665" spans="1:10" ht="14.25" customHeight="1" x14ac:dyDescent="0.3">
      <c r="A665" s="1">
        <v>44376</v>
      </c>
      <c r="B665" s="2" t="s">
        <v>343</v>
      </c>
      <c r="C665" s="2" t="s">
        <v>47</v>
      </c>
      <c r="D665" s="2" t="s">
        <v>10</v>
      </c>
      <c r="E665" s="2" t="s">
        <v>19</v>
      </c>
      <c r="F665" s="2">
        <v>32.76</v>
      </c>
      <c r="G665" s="2">
        <v>7</v>
      </c>
      <c r="H665" s="2">
        <v>3.69</v>
      </c>
      <c r="I665" t="str">
        <f t="shared" si="10"/>
        <v>Jun</v>
      </c>
      <c r="J665">
        <f>YEAR(datas[[#This Row],[Order Date]])</f>
        <v>2021</v>
      </c>
    </row>
    <row r="666" spans="1:10" ht="14.25" customHeight="1" x14ac:dyDescent="0.3">
      <c r="A666" s="1">
        <v>44376</v>
      </c>
      <c r="B666" s="2" t="s">
        <v>299</v>
      </c>
      <c r="C666" s="2" t="s">
        <v>75</v>
      </c>
      <c r="D666" s="2" t="s">
        <v>10</v>
      </c>
      <c r="E666" s="2" t="s">
        <v>16</v>
      </c>
      <c r="F666" s="2">
        <v>13.92</v>
      </c>
      <c r="G666" s="2">
        <v>3</v>
      </c>
      <c r="H666" s="2">
        <v>4.87</v>
      </c>
      <c r="I666" t="str">
        <f t="shared" si="10"/>
        <v>Jun</v>
      </c>
      <c r="J666">
        <f>YEAR(datas[[#This Row],[Order Date]])</f>
        <v>2021</v>
      </c>
    </row>
    <row r="667" spans="1:10" ht="14.25" customHeight="1" x14ac:dyDescent="0.3">
      <c r="A667" s="1">
        <v>44377</v>
      </c>
      <c r="B667" s="2" t="s">
        <v>344</v>
      </c>
      <c r="C667" s="2" t="s">
        <v>75</v>
      </c>
      <c r="D667" s="2" t="s">
        <v>10</v>
      </c>
      <c r="E667" s="2" t="s">
        <v>16</v>
      </c>
      <c r="F667" s="2">
        <v>334.77</v>
      </c>
      <c r="G667" s="2">
        <v>7</v>
      </c>
      <c r="H667" s="2">
        <v>108.8</v>
      </c>
      <c r="I667" t="str">
        <f t="shared" si="10"/>
        <v>Jun</v>
      </c>
      <c r="J667">
        <f>YEAR(datas[[#This Row],[Order Date]])</f>
        <v>2021</v>
      </c>
    </row>
    <row r="668" spans="1:10" ht="14.25" customHeight="1" x14ac:dyDescent="0.3">
      <c r="A668" s="1">
        <v>44377</v>
      </c>
      <c r="B668" s="2" t="s">
        <v>345</v>
      </c>
      <c r="C668" s="2" t="s">
        <v>13</v>
      </c>
      <c r="D668" s="2" t="s">
        <v>10</v>
      </c>
      <c r="E668" s="2" t="s">
        <v>19</v>
      </c>
      <c r="F668" s="2">
        <v>5.25</v>
      </c>
      <c r="G668" s="2">
        <v>4</v>
      </c>
      <c r="H668" s="2">
        <v>1.64</v>
      </c>
      <c r="I668" t="str">
        <f t="shared" si="10"/>
        <v>Jun</v>
      </c>
      <c r="J668">
        <f>YEAR(datas[[#This Row],[Order Date]])</f>
        <v>2021</v>
      </c>
    </row>
    <row r="669" spans="1:10" ht="14.25" customHeight="1" x14ac:dyDescent="0.3">
      <c r="A669" s="1">
        <v>44377</v>
      </c>
      <c r="B669" s="2" t="s">
        <v>346</v>
      </c>
      <c r="C669" s="2" t="s">
        <v>21</v>
      </c>
      <c r="D669" s="2" t="s">
        <v>10</v>
      </c>
      <c r="E669" s="2" t="s">
        <v>19</v>
      </c>
      <c r="F669" s="2">
        <v>32.4</v>
      </c>
      <c r="G669" s="2">
        <v>5</v>
      </c>
      <c r="H669" s="2">
        <v>10.37</v>
      </c>
      <c r="I669" t="str">
        <f t="shared" si="10"/>
        <v>Jun</v>
      </c>
      <c r="J669">
        <f>YEAR(datas[[#This Row],[Order Date]])</f>
        <v>2021</v>
      </c>
    </row>
    <row r="670" spans="1:10" ht="14.25" customHeight="1" x14ac:dyDescent="0.3">
      <c r="A670" s="1">
        <v>44377</v>
      </c>
      <c r="B670" s="2" t="s">
        <v>347</v>
      </c>
      <c r="C670" s="2" t="s">
        <v>9</v>
      </c>
      <c r="D670" s="2" t="s">
        <v>10</v>
      </c>
      <c r="E670" s="2" t="s">
        <v>11</v>
      </c>
      <c r="F670" s="2">
        <v>25.92</v>
      </c>
      <c r="G670" s="2">
        <v>5</v>
      </c>
      <c r="H670" s="2">
        <v>9.07</v>
      </c>
      <c r="I670" t="str">
        <f t="shared" si="10"/>
        <v>Jun</v>
      </c>
      <c r="J670">
        <f>YEAR(datas[[#This Row],[Order Date]])</f>
        <v>2021</v>
      </c>
    </row>
    <row r="671" spans="1:10" ht="14.25" customHeight="1" x14ac:dyDescent="0.3">
      <c r="A671" s="1">
        <v>44377</v>
      </c>
      <c r="B671" s="2" t="s">
        <v>347</v>
      </c>
      <c r="C671" s="2" t="s">
        <v>9</v>
      </c>
      <c r="D671" s="2" t="s">
        <v>10</v>
      </c>
      <c r="E671" s="2" t="s">
        <v>30</v>
      </c>
      <c r="F671" s="2">
        <v>21.31</v>
      </c>
      <c r="G671" s="2">
        <v>6</v>
      </c>
      <c r="H671" s="2">
        <v>7.19</v>
      </c>
      <c r="I671" t="str">
        <f t="shared" si="10"/>
        <v>Jun</v>
      </c>
      <c r="J671">
        <f>YEAR(datas[[#This Row],[Order Date]])</f>
        <v>2021</v>
      </c>
    </row>
    <row r="672" spans="1:10" ht="14.25" customHeight="1" x14ac:dyDescent="0.3">
      <c r="A672" s="1">
        <v>44377</v>
      </c>
      <c r="B672" s="2" t="s">
        <v>242</v>
      </c>
      <c r="C672" s="2" t="s">
        <v>75</v>
      </c>
      <c r="D672" s="2" t="s">
        <v>10</v>
      </c>
      <c r="E672" s="2" t="s">
        <v>16</v>
      </c>
      <c r="F672" s="2">
        <v>2.69</v>
      </c>
      <c r="G672" s="2">
        <v>1</v>
      </c>
      <c r="H672" s="2">
        <v>0.84</v>
      </c>
      <c r="I672" t="str">
        <f t="shared" si="10"/>
        <v>Jun</v>
      </c>
      <c r="J672">
        <f>YEAR(datas[[#This Row],[Order Date]])</f>
        <v>2021</v>
      </c>
    </row>
    <row r="673" spans="1:10" ht="14.25" customHeight="1" x14ac:dyDescent="0.3">
      <c r="A673" s="1">
        <v>44377</v>
      </c>
      <c r="B673" s="2" t="s">
        <v>242</v>
      </c>
      <c r="C673" s="2" t="s">
        <v>75</v>
      </c>
      <c r="D673" s="2" t="s">
        <v>10</v>
      </c>
      <c r="E673" s="2" t="s">
        <v>19</v>
      </c>
      <c r="F673" s="2">
        <v>6.6</v>
      </c>
      <c r="G673" s="2">
        <v>3</v>
      </c>
      <c r="H673" s="2">
        <v>2.9</v>
      </c>
      <c r="I673" t="str">
        <f t="shared" si="10"/>
        <v>Jun</v>
      </c>
      <c r="J673">
        <f>YEAR(datas[[#This Row],[Order Date]])</f>
        <v>2021</v>
      </c>
    </row>
    <row r="674" spans="1:10" ht="14.25" customHeight="1" x14ac:dyDescent="0.3">
      <c r="A674" s="1">
        <v>44377</v>
      </c>
      <c r="B674" s="2" t="s">
        <v>348</v>
      </c>
      <c r="C674" s="2" t="s">
        <v>115</v>
      </c>
      <c r="D674" s="2" t="s">
        <v>10</v>
      </c>
      <c r="E674" s="2" t="s">
        <v>11</v>
      </c>
      <c r="F674" s="2">
        <v>310.69</v>
      </c>
      <c r="G674" s="2">
        <v>7</v>
      </c>
      <c r="H674" s="2">
        <v>108.74</v>
      </c>
      <c r="I674" t="str">
        <f t="shared" si="10"/>
        <v>Jun</v>
      </c>
      <c r="J674">
        <f>YEAR(datas[[#This Row],[Order Date]])</f>
        <v>2021</v>
      </c>
    </row>
    <row r="675" spans="1:10" ht="14.25" customHeight="1" x14ac:dyDescent="0.3">
      <c r="A675" s="1">
        <v>44378</v>
      </c>
      <c r="B675" s="2" t="s">
        <v>171</v>
      </c>
      <c r="C675" s="2" t="s">
        <v>82</v>
      </c>
      <c r="D675" s="2" t="s">
        <v>10</v>
      </c>
      <c r="E675" s="2" t="s">
        <v>16</v>
      </c>
      <c r="F675" s="2">
        <v>19.920000000000002</v>
      </c>
      <c r="G675" s="2">
        <v>5</v>
      </c>
      <c r="H675" s="2">
        <v>6.97</v>
      </c>
      <c r="I675" t="str">
        <f t="shared" si="10"/>
        <v>Jul</v>
      </c>
      <c r="J675">
        <f>YEAR(datas[[#This Row],[Order Date]])</f>
        <v>2021</v>
      </c>
    </row>
    <row r="676" spans="1:10" ht="14.25" customHeight="1" x14ac:dyDescent="0.3">
      <c r="A676" s="1">
        <v>44378</v>
      </c>
      <c r="B676" s="2" t="s">
        <v>297</v>
      </c>
      <c r="C676" s="2" t="s">
        <v>64</v>
      </c>
      <c r="D676" s="2" t="s">
        <v>28</v>
      </c>
      <c r="E676" s="2" t="s">
        <v>29</v>
      </c>
      <c r="F676" s="2">
        <v>575.91999999999996</v>
      </c>
      <c r="G676" s="2">
        <v>2</v>
      </c>
      <c r="H676" s="2">
        <v>71.989999999999995</v>
      </c>
      <c r="I676" t="str">
        <f t="shared" si="10"/>
        <v>Jul</v>
      </c>
      <c r="J676">
        <f>YEAR(datas[[#This Row],[Order Date]])</f>
        <v>2021</v>
      </c>
    </row>
    <row r="677" spans="1:10" ht="14.25" customHeight="1" x14ac:dyDescent="0.3">
      <c r="A677" s="1">
        <v>44378</v>
      </c>
      <c r="B677" s="2" t="s">
        <v>297</v>
      </c>
      <c r="C677" s="2" t="s">
        <v>64</v>
      </c>
      <c r="D677" s="2" t="s">
        <v>10</v>
      </c>
      <c r="E677" s="2" t="s">
        <v>16</v>
      </c>
      <c r="F677" s="2">
        <v>5.18</v>
      </c>
      <c r="G677" s="2">
        <v>6</v>
      </c>
      <c r="H677" s="2">
        <v>-3.63</v>
      </c>
      <c r="I677" t="str">
        <f t="shared" si="10"/>
        <v>Jul</v>
      </c>
      <c r="J677">
        <f>YEAR(datas[[#This Row],[Order Date]])</f>
        <v>2021</v>
      </c>
    </row>
    <row r="678" spans="1:10" ht="14.25" customHeight="1" x14ac:dyDescent="0.3">
      <c r="A678" s="1">
        <v>44379</v>
      </c>
      <c r="B678" s="2" t="s">
        <v>349</v>
      </c>
      <c r="C678" s="2" t="s">
        <v>87</v>
      </c>
      <c r="D678" s="2" t="s">
        <v>28</v>
      </c>
      <c r="E678" s="2" t="s">
        <v>29</v>
      </c>
      <c r="F678" s="2">
        <v>73.98</v>
      </c>
      <c r="G678" s="2">
        <v>2</v>
      </c>
      <c r="H678" s="2">
        <v>19.97</v>
      </c>
      <c r="I678" t="str">
        <f t="shared" si="10"/>
        <v>Jul</v>
      </c>
      <c r="J678">
        <f>YEAR(datas[[#This Row],[Order Date]])</f>
        <v>2021</v>
      </c>
    </row>
    <row r="679" spans="1:10" ht="14.25" customHeight="1" x14ac:dyDescent="0.3">
      <c r="A679" s="1">
        <v>44379</v>
      </c>
      <c r="B679" s="2" t="s">
        <v>349</v>
      </c>
      <c r="C679" s="2" t="s">
        <v>87</v>
      </c>
      <c r="D679" s="2" t="s">
        <v>10</v>
      </c>
      <c r="E679" s="2" t="s">
        <v>19</v>
      </c>
      <c r="F679" s="2">
        <v>5.58</v>
      </c>
      <c r="G679" s="2">
        <v>1</v>
      </c>
      <c r="H679" s="2">
        <v>2.1800000000000002</v>
      </c>
      <c r="I679" t="str">
        <f t="shared" si="10"/>
        <v>Jul</v>
      </c>
      <c r="J679">
        <f>YEAR(datas[[#This Row],[Order Date]])</f>
        <v>2021</v>
      </c>
    </row>
    <row r="680" spans="1:10" ht="14.25" customHeight="1" x14ac:dyDescent="0.3">
      <c r="A680" s="1">
        <v>44381</v>
      </c>
      <c r="B680" s="2" t="s">
        <v>184</v>
      </c>
      <c r="C680" s="2" t="s">
        <v>126</v>
      </c>
      <c r="D680" s="2" t="s">
        <v>10</v>
      </c>
      <c r="E680" s="2" t="s">
        <v>11</v>
      </c>
      <c r="F680" s="2">
        <v>177.54</v>
      </c>
      <c r="G680" s="2">
        <v>4</v>
      </c>
      <c r="H680" s="2">
        <v>62.14</v>
      </c>
      <c r="I680" t="str">
        <f t="shared" si="10"/>
        <v>Jul</v>
      </c>
      <c r="J680">
        <f>YEAR(datas[[#This Row],[Order Date]])</f>
        <v>2021</v>
      </c>
    </row>
    <row r="681" spans="1:10" ht="14.25" customHeight="1" x14ac:dyDescent="0.3">
      <c r="A681" s="1">
        <v>44381</v>
      </c>
      <c r="B681" s="2" t="s">
        <v>184</v>
      </c>
      <c r="C681" s="2" t="s">
        <v>126</v>
      </c>
      <c r="D681" s="2" t="s">
        <v>10</v>
      </c>
      <c r="E681" s="2" t="s">
        <v>53</v>
      </c>
      <c r="F681" s="2">
        <v>32.43</v>
      </c>
      <c r="G681" s="2">
        <v>2</v>
      </c>
      <c r="H681" s="2">
        <v>3.24</v>
      </c>
      <c r="I681" t="str">
        <f t="shared" si="10"/>
        <v>Jul</v>
      </c>
      <c r="J681">
        <f>YEAR(datas[[#This Row],[Order Date]])</f>
        <v>2021</v>
      </c>
    </row>
    <row r="682" spans="1:10" ht="14.25" customHeight="1" x14ac:dyDescent="0.3">
      <c r="A682" s="1">
        <v>44381</v>
      </c>
      <c r="B682" s="2" t="s">
        <v>350</v>
      </c>
      <c r="C682" s="2" t="s">
        <v>36</v>
      </c>
      <c r="D682" s="2" t="s">
        <v>10</v>
      </c>
      <c r="E682" s="2" t="s">
        <v>11</v>
      </c>
      <c r="F682" s="2">
        <v>21.84</v>
      </c>
      <c r="G682" s="2">
        <v>3</v>
      </c>
      <c r="H682" s="2">
        <v>10.92</v>
      </c>
      <c r="I682" t="str">
        <f t="shared" si="10"/>
        <v>Jul</v>
      </c>
      <c r="J682">
        <f>YEAR(datas[[#This Row],[Order Date]])</f>
        <v>2021</v>
      </c>
    </row>
    <row r="683" spans="1:10" ht="14.25" customHeight="1" x14ac:dyDescent="0.3">
      <c r="A683" s="1">
        <v>44381</v>
      </c>
      <c r="B683" s="2" t="s">
        <v>350</v>
      </c>
      <c r="C683" s="2" t="s">
        <v>36</v>
      </c>
      <c r="D683" s="2" t="s">
        <v>10</v>
      </c>
      <c r="E683" s="2" t="s">
        <v>16</v>
      </c>
      <c r="F683" s="2">
        <v>15.6</v>
      </c>
      <c r="G683" s="2">
        <v>5</v>
      </c>
      <c r="H683" s="2">
        <v>7.64</v>
      </c>
      <c r="I683" t="str">
        <f t="shared" si="10"/>
        <v>Jul</v>
      </c>
      <c r="J683">
        <f>YEAR(datas[[#This Row],[Order Date]])</f>
        <v>2021</v>
      </c>
    </row>
    <row r="684" spans="1:10" ht="14.25" customHeight="1" x14ac:dyDescent="0.3">
      <c r="A684" s="1">
        <v>44382</v>
      </c>
      <c r="B684" s="2" t="s">
        <v>351</v>
      </c>
      <c r="C684" s="2" t="s">
        <v>143</v>
      </c>
      <c r="D684" s="2" t="s">
        <v>28</v>
      </c>
      <c r="E684" s="2" t="s">
        <v>34</v>
      </c>
      <c r="F684" s="2">
        <v>479.97</v>
      </c>
      <c r="G684" s="2">
        <v>3</v>
      </c>
      <c r="H684" s="2">
        <v>163.19</v>
      </c>
      <c r="I684" t="str">
        <f t="shared" si="10"/>
        <v>Jul</v>
      </c>
      <c r="J684">
        <f>YEAR(datas[[#This Row],[Order Date]])</f>
        <v>2021</v>
      </c>
    </row>
    <row r="685" spans="1:10" ht="14.25" customHeight="1" x14ac:dyDescent="0.3">
      <c r="A685" s="1">
        <v>44382</v>
      </c>
      <c r="B685" s="2" t="s">
        <v>351</v>
      </c>
      <c r="C685" s="2" t="s">
        <v>143</v>
      </c>
      <c r="D685" s="2" t="s">
        <v>10</v>
      </c>
      <c r="E685" s="2" t="s">
        <v>14</v>
      </c>
      <c r="F685" s="2">
        <v>14.62</v>
      </c>
      <c r="G685" s="2">
        <v>2</v>
      </c>
      <c r="H685" s="2">
        <v>6.87</v>
      </c>
      <c r="I685" t="str">
        <f t="shared" si="10"/>
        <v>Jul</v>
      </c>
      <c r="J685">
        <f>YEAR(datas[[#This Row],[Order Date]])</f>
        <v>2021</v>
      </c>
    </row>
    <row r="686" spans="1:10" ht="14.25" customHeight="1" x14ac:dyDescent="0.3">
      <c r="A686" s="1">
        <v>44382</v>
      </c>
      <c r="B686" s="2" t="s">
        <v>351</v>
      </c>
      <c r="C686" s="2" t="s">
        <v>143</v>
      </c>
      <c r="D686" s="2" t="s">
        <v>10</v>
      </c>
      <c r="E686" s="2" t="s">
        <v>11</v>
      </c>
      <c r="F686" s="2">
        <v>19.440000000000001</v>
      </c>
      <c r="G686" s="2">
        <v>3</v>
      </c>
      <c r="H686" s="2">
        <v>9.33</v>
      </c>
      <c r="I686" t="str">
        <f t="shared" si="10"/>
        <v>Jul</v>
      </c>
      <c r="J686">
        <f>YEAR(datas[[#This Row],[Order Date]])</f>
        <v>2021</v>
      </c>
    </row>
    <row r="687" spans="1:10" ht="14.25" customHeight="1" x14ac:dyDescent="0.3">
      <c r="A687" s="1">
        <v>44382</v>
      </c>
      <c r="B687" s="2" t="s">
        <v>352</v>
      </c>
      <c r="C687" s="2" t="s">
        <v>9</v>
      </c>
      <c r="D687" s="2" t="s">
        <v>10</v>
      </c>
      <c r="E687" s="2" t="s">
        <v>15</v>
      </c>
      <c r="F687" s="2">
        <v>220.78</v>
      </c>
      <c r="G687" s="2">
        <v>3</v>
      </c>
      <c r="H687" s="2">
        <v>-44.16</v>
      </c>
      <c r="I687" t="str">
        <f t="shared" si="10"/>
        <v>Jul</v>
      </c>
      <c r="J687">
        <f>YEAR(datas[[#This Row],[Order Date]])</f>
        <v>2021</v>
      </c>
    </row>
    <row r="688" spans="1:10" ht="14.25" customHeight="1" x14ac:dyDescent="0.3">
      <c r="A688" s="1">
        <v>44382</v>
      </c>
      <c r="B688" s="2" t="s">
        <v>352</v>
      </c>
      <c r="C688" s="2" t="s">
        <v>9</v>
      </c>
      <c r="D688" s="2" t="s">
        <v>10</v>
      </c>
      <c r="E688" s="2" t="s">
        <v>15</v>
      </c>
      <c r="F688" s="2">
        <v>281.42</v>
      </c>
      <c r="G688" s="2">
        <v>11</v>
      </c>
      <c r="H688" s="2">
        <v>-35.18</v>
      </c>
      <c r="I688" t="str">
        <f t="shared" si="10"/>
        <v>Jul</v>
      </c>
      <c r="J688">
        <f>YEAR(datas[[#This Row],[Order Date]])</f>
        <v>2021</v>
      </c>
    </row>
    <row r="689" spans="1:10" ht="14.25" customHeight="1" x14ac:dyDescent="0.3">
      <c r="A689" s="1">
        <v>44382</v>
      </c>
      <c r="B689" s="2" t="s">
        <v>353</v>
      </c>
      <c r="C689" s="2" t="s">
        <v>21</v>
      </c>
      <c r="D689" s="2" t="s">
        <v>10</v>
      </c>
      <c r="E689" s="2" t="s">
        <v>16</v>
      </c>
      <c r="F689" s="2">
        <v>180.96</v>
      </c>
      <c r="G689" s="2">
        <v>6</v>
      </c>
      <c r="H689" s="2">
        <v>67.86</v>
      </c>
      <c r="I689" t="str">
        <f t="shared" si="10"/>
        <v>Jul</v>
      </c>
      <c r="J689">
        <f>YEAR(datas[[#This Row],[Order Date]])</f>
        <v>2021</v>
      </c>
    </row>
    <row r="690" spans="1:10" ht="14.25" customHeight="1" x14ac:dyDescent="0.3">
      <c r="A690" s="1">
        <v>44382</v>
      </c>
      <c r="B690" s="2" t="s">
        <v>51</v>
      </c>
      <c r="C690" s="2" t="s">
        <v>62</v>
      </c>
      <c r="D690" s="2" t="s">
        <v>10</v>
      </c>
      <c r="E690" s="2" t="s">
        <v>19</v>
      </c>
      <c r="F690" s="2">
        <v>4.37</v>
      </c>
      <c r="G690" s="2">
        <v>3</v>
      </c>
      <c r="H690" s="2">
        <v>0.38</v>
      </c>
      <c r="I690" t="str">
        <f t="shared" si="10"/>
        <v>Jul</v>
      </c>
      <c r="J690">
        <f>YEAR(datas[[#This Row],[Order Date]])</f>
        <v>2021</v>
      </c>
    </row>
    <row r="691" spans="1:10" ht="14.25" customHeight="1" x14ac:dyDescent="0.3">
      <c r="A691" s="1">
        <v>44382</v>
      </c>
      <c r="B691" s="2" t="s">
        <v>354</v>
      </c>
      <c r="C691" s="2" t="s">
        <v>64</v>
      </c>
      <c r="D691" s="2" t="s">
        <v>26</v>
      </c>
      <c r="E691" s="2" t="s">
        <v>32</v>
      </c>
      <c r="F691" s="2">
        <v>19.52</v>
      </c>
      <c r="G691" s="2">
        <v>2</v>
      </c>
      <c r="H691" s="2">
        <v>5.37</v>
      </c>
      <c r="I691" t="str">
        <f t="shared" si="10"/>
        <v>Jul</v>
      </c>
      <c r="J691">
        <f>YEAR(datas[[#This Row],[Order Date]])</f>
        <v>2021</v>
      </c>
    </row>
    <row r="692" spans="1:10" ht="14.25" customHeight="1" x14ac:dyDescent="0.3">
      <c r="A692" s="1">
        <v>44382</v>
      </c>
      <c r="B692" s="2" t="s">
        <v>354</v>
      </c>
      <c r="C692" s="2" t="s">
        <v>64</v>
      </c>
      <c r="D692" s="2" t="s">
        <v>10</v>
      </c>
      <c r="E692" s="2" t="s">
        <v>16</v>
      </c>
      <c r="F692" s="2">
        <v>9.81</v>
      </c>
      <c r="G692" s="2">
        <v>5</v>
      </c>
      <c r="H692" s="2">
        <v>-6.87</v>
      </c>
      <c r="I692" t="str">
        <f t="shared" si="10"/>
        <v>Jul</v>
      </c>
      <c r="J692">
        <f>YEAR(datas[[#This Row],[Order Date]])</f>
        <v>2021</v>
      </c>
    </row>
    <row r="693" spans="1:10" ht="14.25" customHeight="1" x14ac:dyDescent="0.3">
      <c r="A693" s="1">
        <v>44382</v>
      </c>
      <c r="B693" s="2" t="s">
        <v>354</v>
      </c>
      <c r="C693" s="2" t="s">
        <v>64</v>
      </c>
      <c r="D693" s="2" t="s">
        <v>26</v>
      </c>
      <c r="E693" s="2" t="s">
        <v>32</v>
      </c>
      <c r="F693" s="2">
        <v>213.22</v>
      </c>
      <c r="G693" s="2">
        <v>3</v>
      </c>
      <c r="H693" s="2">
        <v>15.99</v>
      </c>
      <c r="I693" t="str">
        <f t="shared" si="10"/>
        <v>Jul</v>
      </c>
      <c r="J693">
        <f>YEAR(datas[[#This Row],[Order Date]])</f>
        <v>2021</v>
      </c>
    </row>
    <row r="694" spans="1:10" ht="14.25" customHeight="1" x14ac:dyDescent="0.3">
      <c r="A694" s="1">
        <v>44383</v>
      </c>
      <c r="B694" s="2" t="s">
        <v>355</v>
      </c>
      <c r="C694" s="2" t="s">
        <v>75</v>
      </c>
      <c r="D694" s="2" t="s">
        <v>28</v>
      </c>
      <c r="E694" s="2" t="s">
        <v>243</v>
      </c>
      <c r="F694" s="2">
        <v>559.99</v>
      </c>
      <c r="G694" s="2">
        <v>1</v>
      </c>
      <c r="H694" s="2">
        <v>175</v>
      </c>
      <c r="I694" t="str">
        <f t="shared" si="10"/>
        <v>Jul</v>
      </c>
      <c r="J694">
        <f>YEAR(datas[[#This Row],[Order Date]])</f>
        <v>2021</v>
      </c>
    </row>
    <row r="695" spans="1:10" ht="14.25" customHeight="1" x14ac:dyDescent="0.3">
      <c r="A695" s="1">
        <v>44383</v>
      </c>
      <c r="B695" s="2" t="s">
        <v>356</v>
      </c>
      <c r="C695" s="2" t="s">
        <v>21</v>
      </c>
      <c r="D695" s="2" t="s">
        <v>26</v>
      </c>
      <c r="E695" s="2" t="s">
        <v>27</v>
      </c>
      <c r="F695" s="2">
        <v>478.48</v>
      </c>
      <c r="G695" s="2">
        <v>2</v>
      </c>
      <c r="H695" s="2">
        <v>47.85</v>
      </c>
      <c r="I695" t="str">
        <f t="shared" si="10"/>
        <v>Jul</v>
      </c>
      <c r="J695">
        <f>YEAR(datas[[#This Row],[Order Date]])</f>
        <v>2021</v>
      </c>
    </row>
    <row r="696" spans="1:10" ht="14.25" customHeight="1" x14ac:dyDescent="0.3">
      <c r="A696" s="1">
        <v>44384</v>
      </c>
      <c r="B696" s="2" t="s">
        <v>218</v>
      </c>
      <c r="C696" s="2" t="s">
        <v>18</v>
      </c>
      <c r="D696" s="2" t="s">
        <v>26</v>
      </c>
      <c r="E696" s="2" t="s">
        <v>27</v>
      </c>
      <c r="F696" s="2">
        <v>172.19</v>
      </c>
      <c r="G696" s="2">
        <v>2</v>
      </c>
      <c r="H696" s="2">
        <v>-46.74</v>
      </c>
      <c r="I696" t="str">
        <f t="shared" si="10"/>
        <v>Jul</v>
      </c>
      <c r="J696">
        <f>YEAR(datas[[#This Row],[Order Date]])</f>
        <v>2021</v>
      </c>
    </row>
    <row r="697" spans="1:10" ht="14.25" customHeight="1" x14ac:dyDescent="0.3">
      <c r="A697" s="1">
        <v>44384</v>
      </c>
      <c r="B697" s="2" t="s">
        <v>218</v>
      </c>
      <c r="C697" s="2" t="s">
        <v>18</v>
      </c>
      <c r="D697" s="2" t="s">
        <v>26</v>
      </c>
      <c r="E697" s="2" t="s">
        <v>32</v>
      </c>
      <c r="F697" s="2">
        <v>69.010000000000005</v>
      </c>
      <c r="G697" s="2">
        <v>2</v>
      </c>
      <c r="H697" s="2">
        <v>12.08</v>
      </c>
      <c r="I697" t="str">
        <f t="shared" si="10"/>
        <v>Jul</v>
      </c>
      <c r="J697">
        <f>YEAR(datas[[#This Row],[Order Date]])</f>
        <v>2021</v>
      </c>
    </row>
    <row r="698" spans="1:10" ht="14.25" customHeight="1" x14ac:dyDescent="0.3">
      <c r="A698" s="1">
        <v>44385</v>
      </c>
      <c r="B698" s="2" t="s">
        <v>357</v>
      </c>
      <c r="C698" s="2" t="s">
        <v>75</v>
      </c>
      <c r="D698" s="2" t="s">
        <v>26</v>
      </c>
      <c r="E698" s="2" t="s">
        <v>27</v>
      </c>
      <c r="F698" s="2">
        <v>63.88</v>
      </c>
      <c r="G698" s="2">
        <v>1</v>
      </c>
      <c r="H698" s="2">
        <v>10.65</v>
      </c>
      <c r="I698" t="str">
        <f t="shared" si="10"/>
        <v>Jul</v>
      </c>
      <c r="J698">
        <f>YEAR(datas[[#This Row],[Order Date]])</f>
        <v>2021</v>
      </c>
    </row>
    <row r="699" spans="1:10" ht="14.25" customHeight="1" x14ac:dyDescent="0.3">
      <c r="A699" s="1">
        <v>44385</v>
      </c>
      <c r="B699" s="2" t="s">
        <v>358</v>
      </c>
      <c r="C699" s="2" t="s">
        <v>21</v>
      </c>
      <c r="D699" s="2" t="s">
        <v>26</v>
      </c>
      <c r="E699" s="2" t="s">
        <v>73</v>
      </c>
      <c r="F699" s="2">
        <v>502.49</v>
      </c>
      <c r="G699" s="2">
        <v>3</v>
      </c>
      <c r="H699" s="2">
        <v>-87.94</v>
      </c>
      <c r="I699" t="str">
        <f t="shared" si="10"/>
        <v>Jul</v>
      </c>
      <c r="J699">
        <f>YEAR(datas[[#This Row],[Order Date]])</f>
        <v>2021</v>
      </c>
    </row>
    <row r="700" spans="1:10" ht="14.25" customHeight="1" x14ac:dyDescent="0.3">
      <c r="A700" s="1">
        <v>44385</v>
      </c>
      <c r="B700" s="2" t="s">
        <v>358</v>
      </c>
      <c r="C700" s="2" t="s">
        <v>21</v>
      </c>
      <c r="D700" s="2" t="s">
        <v>10</v>
      </c>
      <c r="E700" s="2" t="s">
        <v>16</v>
      </c>
      <c r="F700" s="2">
        <v>196.7</v>
      </c>
      <c r="G700" s="2">
        <v>6</v>
      </c>
      <c r="H700" s="2">
        <v>68.849999999999994</v>
      </c>
      <c r="I700" t="str">
        <f t="shared" si="10"/>
        <v>Jul</v>
      </c>
      <c r="J700">
        <f>YEAR(datas[[#This Row],[Order Date]])</f>
        <v>2021</v>
      </c>
    </row>
    <row r="701" spans="1:10" ht="14.25" customHeight="1" x14ac:dyDescent="0.3">
      <c r="A701" s="1">
        <v>44386</v>
      </c>
      <c r="B701" s="2" t="s">
        <v>359</v>
      </c>
      <c r="C701" s="2" t="s">
        <v>9</v>
      </c>
      <c r="D701" s="2" t="s">
        <v>10</v>
      </c>
      <c r="E701" s="2" t="s">
        <v>11</v>
      </c>
      <c r="F701" s="2">
        <v>10.37</v>
      </c>
      <c r="G701" s="2">
        <v>2</v>
      </c>
      <c r="H701" s="2">
        <v>3.63</v>
      </c>
      <c r="I701" t="str">
        <f t="shared" si="10"/>
        <v>Jul</v>
      </c>
      <c r="J701">
        <f>YEAR(datas[[#This Row],[Order Date]])</f>
        <v>2021</v>
      </c>
    </row>
    <row r="702" spans="1:10" ht="14.25" customHeight="1" x14ac:dyDescent="0.3">
      <c r="A702" s="1">
        <v>44386</v>
      </c>
      <c r="B702" s="2" t="s">
        <v>359</v>
      </c>
      <c r="C702" s="2" t="s">
        <v>9</v>
      </c>
      <c r="D702" s="2" t="s">
        <v>10</v>
      </c>
      <c r="E702" s="2" t="s">
        <v>11</v>
      </c>
      <c r="F702" s="2">
        <v>14.35</v>
      </c>
      <c r="G702" s="2">
        <v>3</v>
      </c>
      <c r="H702" s="2">
        <v>4.49</v>
      </c>
      <c r="I702" t="str">
        <f t="shared" si="10"/>
        <v>Jul</v>
      </c>
      <c r="J702">
        <f>YEAR(datas[[#This Row],[Order Date]])</f>
        <v>2021</v>
      </c>
    </row>
    <row r="703" spans="1:10" ht="14.25" customHeight="1" x14ac:dyDescent="0.3">
      <c r="A703" s="1">
        <v>44386</v>
      </c>
      <c r="B703" s="2" t="s">
        <v>360</v>
      </c>
      <c r="C703" s="2" t="s">
        <v>21</v>
      </c>
      <c r="D703" s="2" t="s">
        <v>10</v>
      </c>
      <c r="E703" s="2" t="s">
        <v>14</v>
      </c>
      <c r="F703" s="2">
        <v>2.88</v>
      </c>
      <c r="G703" s="2">
        <v>1</v>
      </c>
      <c r="H703" s="2">
        <v>1.41</v>
      </c>
      <c r="I703" t="str">
        <f t="shared" si="10"/>
        <v>Jul</v>
      </c>
      <c r="J703">
        <f>YEAR(datas[[#This Row],[Order Date]])</f>
        <v>2021</v>
      </c>
    </row>
    <row r="704" spans="1:10" ht="14.25" customHeight="1" x14ac:dyDescent="0.3">
      <c r="A704" s="1">
        <v>44386</v>
      </c>
      <c r="B704" s="2" t="s">
        <v>360</v>
      </c>
      <c r="C704" s="2" t="s">
        <v>21</v>
      </c>
      <c r="D704" s="2" t="s">
        <v>10</v>
      </c>
      <c r="E704" s="2" t="s">
        <v>16</v>
      </c>
      <c r="F704" s="2">
        <v>41.9</v>
      </c>
      <c r="G704" s="2">
        <v>6</v>
      </c>
      <c r="H704" s="2">
        <v>14.14</v>
      </c>
      <c r="I704" t="str">
        <f t="shared" si="10"/>
        <v>Jul</v>
      </c>
      <c r="J704">
        <f>YEAR(datas[[#This Row],[Order Date]])</f>
        <v>2021</v>
      </c>
    </row>
    <row r="705" spans="1:10" ht="14.25" customHeight="1" x14ac:dyDescent="0.3">
      <c r="A705" s="1">
        <v>44386</v>
      </c>
      <c r="B705" s="2" t="s">
        <v>360</v>
      </c>
      <c r="C705" s="2" t="s">
        <v>21</v>
      </c>
      <c r="D705" s="2" t="s">
        <v>10</v>
      </c>
      <c r="E705" s="2" t="s">
        <v>15</v>
      </c>
      <c r="F705" s="2">
        <v>23.92</v>
      </c>
      <c r="G705" s="2">
        <v>4</v>
      </c>
      <c r="H705" s="2">
        <v>4.07</v>
      </c>
      <c r="I705" t="str">
        <f t="shared" si="10"/>
        <v>Jul</v>
      </c>
      <c r="J705">
        <f>YEAR(datas[[#This Row],[Order Date]])</f>
        <v>2021</v>
      </c>
    </row>
    <row r="706" spans="1:10" ht="14.25" customHeight="1" x14ac:dyDescent="0.3">
      <c r="A706" s="1">
        <v>44386</v>
      </c>
      <c r="B706" s="2" t="s">
        <v>361</v>
      </c>
      <c r="C706" s="2" t="s">
        <v>21</v>
      </c>
      <c r="D706" s="2" t="s">
        <v>10</v>
      </c>
      <c r="E706" s="2" t="s">
        <v>16</v>
      </c>
      <c r="F706" s="2">
        <v>14.3</v>
      </c>
      <c r="G706" s="2">
        <v>6</v>
      </c>
      <c r="H706" s="2">
        <v>4.6500000000000004</v>
      </c>
      <c r="I706" t="str">
        <f t="shared" si="10"/>
        <v>Jul</v>
      </c>
      <c r="J706">
        <f>YEAR(datas[[#This Row],[Order Date]])</f>
        <v>2021</v>
      </c>
    </row>
    <row r="707" spans="1:10" ht="14.25" customHeight="1" x14ac:dyDescent="0.3">
      <c r="A707" s="1">
        <v>44386</v>
      </c>
      <c r="B707" s="2" t="s">
        <v>361</v>
      </c>
      <c r="C707" s="2" t="s">
        <v>21</v>
      </c>
      <c r="D707" s="2" t="s">
        <v>26</v>
      </c>
      <c r="E707" s="2" t="s">
        <v>45</v>
      </c>
      <c r="F707" s="2">
        <v>119.83</v>
      </c>
      <c r="G707" s="2">
        <v>1</v>
      </c>
      <c r="H707" s="2">
        <v>7.05</v>
      </c>
      <c r="I707" t="str">
        <f t="shared" ref="I707:I770" si="11">TEXT(A707,"mmm")</f>
        <v>Jul</v>
      </c>
      <c r="J707">
        <f>YEAR(datas[[#This Row],[Order Date]])</f>
        <v>2021</v>
      </c>
    </row>
    <row r="708" spans="1:10" ht="14.25" customHeight="1" x14ac:dyDescent="0.3">
      <c r="A708" s="1">
        <v>44386</v>
      </c>
      <c r="B708" s="2" t="s">
        <v>361</v>
      </c>
      <c r="C708" s="2" t="s">
        <v>21</v>
      </c>
      <c r="D708" s="2" t="s">
        <v>10</v>
      </c>
      <c r="E708" s="2" t="s">
        <v>19</v>
      </c>
      <c r="F708" s="2">
        <v>5.56</v>
      </c>
      <c r="G708" s="2">
        <v>2</v>
      </c>
      <c r="H708" s="2">
        <v>2.2200000000000002</v>
      </c>
      <c r="I708" t="str">
        <f t="shared" si="11"/>
        <v>Jul</v>
      </c>
      <c r="J708">
        <f>YEAR(datas[[#This Row],[Order Date]])</f>
        <v>2021</v>
      </c>
    </row>
    <row r="709" spans="1:10" ht="14.25" customHeight="1" x14ac:dyDescent="0.3">
      <c r="A709" s="1">
        <v>44386</v>
      </c>
      <c r="B709" s="2" t="s">
        <v>361</v>
      </c>
      <c r="C709" s="2" t="s">
        <v>21</v>
      </c>
      <c r="D709" s="2" t="s">
        <v>10</v>
      </c>
      <c r="E709" s="2" t="s">
        <v>11</v>
      </c>
      <c r="F709" s="2">
        <v>32.4</v>
      </c>
      <c r="G709" s="2">
        <v>5</v>
      </c>
      <c r="H709" s="2">
        <v>15.55</v>
      </c>
      <c r="I709" t="str">
        <f t="shared" si="11"/>
        <v>Jul</v>
      </c>
      <c r="J709">
        <f>YEAR(datas[[#This Row],[Order Date]])</f>
        <v>2021</v>
      </c>
    </row>
    <row r="710" spans="1:10" ht="14.25" customHeight="1" x14ac:dyDescent="0.3">
      <c r="A710" s="1">
        <v>44388</v>
      </c>
      <c r="B710" s="2" t="s">
        <v>238</v>
      </c>
      <c r="C710" s="2" t="s">
        <v>87</v>
      </c>
      <c r="D710" s="2" t="s">
        <v>10</v>
      </c>
      <c r="E710" s="2" t="s">
        <v>11</v>
      </c>
      <c r="F710" s="2">
        <v>177.2</v>
      </c>
      <c r="G710" s="2">
        <v>5</v>
      </c>
      <c r="H710" s="2">
        <v>83.28</v>
      </c>
      <c r="I710" t="str">
        <f t="shared" si="11"/>
        <v>Jul</v>
      </c>
      <c r="J710">
        <f>YEAR(datas[[#This Row],[Order Date]])</f>
        <v>2021</v>
      </c>
    </row>
    <row r="711" spans="1:10" ht="14.25" customHeight="1" x14ac:dyDescent="0.3">
      <c r="A711" s="1">
        <v>44388</v>
      </c>
      <c r="B711" s="2" t="s">
        <v>238</v>
      </c>
      <c r="C711" s="2" t="s">
        <v>87</v>
      </c>
      <c r="D711" s="2" t="s">
        <v>28</v>
      </c>
      <c r="E711" s="2" t="s">
        <v>29</v>
      </c>
      <c r="F711" s="2">
        <v>197.97</v>
      </c>
      <c r="G711" s="2">
        <v>3</v>
      </c>
      <c r="H711" s="2">
        <v>57.41</v>
      </c>
      <c r="I711" t="str">
        <f t="shared" si="11"/>
        <v>Jul</v>
      </c>
      <c r="J711">
        <f>YEAR(datas[[#This Row],[Order Date]])</f>
        <v>2021</v>
      </c>
    </row>
    <row r="712" spans="1:10" ht="14.25" customHeight="1" x14ac:dyDescent="0.3">
      <c r="A712" s="1">
        <v>44388</v>
      </c>
      <c r="B712" s="2" t="s">
        <v>238</v>
      </c>
      <c r="C712" s="2" t="s">
        <v>87</v>
      </c>
      <c r="D712" s="2" t="s">
        <v>26</v>
      </c>
      <c r="E712" s="2" t="s">
        <v>27</v>
      </c>
      <c r="F712" s="2">
        <v>854.94</v>
      </c>
      <c r="G712" s="2">
        <v>3</v>
      </c>
      <c r="H712" s="2">
        <v>213.74</v>
      </c>
      <c r="I712" t="str">
        <f t="shared" si="11"/>
        <v>Jul</v>
      </c>
      <c r="J712">
        <f>YEAR(datas[[#This Row],[Order Date]])</f>
        <v>2021</v>
      </c>
    </row>
    <row r="713" spans="1:10" ht="14.25" customHeight="1" x14ac:dyDescent="0.3">
      <c r="A713" s="1">
        <v>44388</v>
      </c>
      <c r="B713" s="2" t="s">
        <v>238</v>
      </c>
      <c r="C713" s="2" t="s">
        <v>87</v>
      </c>
      <c r="D713" s="2" t="s">
        <v>26</v>
      </c>
      <c r="E713" s="2" t="s">
        <v>32</v>
      </c>
      <c r="F713" s="2">
        <v>124.11</v>
      </c>
      <c r="G713" s="2">
        <v>9</v>
      </c>
      <c r="H713" s="2">
        <v>52.13</v>
      </c>
      <c r="I713" t="str">
        <f t="shared" si="11"/>
        <v>Jul</v>
      </c>
      <c r="J713">
        <f>YEAR(datas[[#This Row],[Order Date]])</f>
        <v>2021</v>
      </c>
    </row>
    <row r="714" spans="1:10" ht="14.25" customHeight="1" x14ac:dyDescent="0.3">
      <c r="A714" s="1">
        <v>44388</v>
      </c>
      <c r="B714" s="2" t="s">
        <v>238</v>
      </c>
      <c r="C714" s="2" t="s">
        <v>87</v>
      </c>
      <c r="D714" s="2" t="s">
        <v>10</v>
      </c>
      <c r="E714" s="2" t="s">
        <v>14</v>
      </c>
      <c r="F714" s="2">
        <v>14.4</v>
      </c>
      <c r="G714" s="2">
        <v>5</v>
      </c>
      <c r="H714" s="2">
        <v>7.06</v>
      </c>
      <c r="I714" t="str">
        <f t="shared" si="11"/>
        <v>Jul</v>
      </c>
      <c r="J714">
        <f>YEAR(datas[[#This Row],[Order Date]])</f>
        <v>2021</v>
      </c>
    </row>
    <row r="715" spans="1:10" ht="14.25" customHeight="1" x14ac:dyDescent="0.3">
      <c r="A715" s="1">
        <v>44388</v>
      </c>
      <c r="B715" s="2" t="s">
        <v>97</v>
      </c>
      <c r="C715" s="2" t="s">
        <v>9</v>
      </c>
      <c r="D715" s="2" t="s">
        <v>28</v>
      </c>
      <c r="E715" s="2" t="s">
        <v>29</v>
      </c>
      <c r="F715" s="2">
        <v>575.97</v>
      </c>
      <c r="G715" s="2">
        <v>4</v>
      </c>
      <c r="H715" s="2">
        <v>43.2</v>
      </c>
      <c r="I715" t="str">
        <f t="shared" si="11"/>
        <v>Jul</v>
      </c>
      <c r="J715">
        <f>YEAR(datas[[#This Row],[Order Date]])</f>
        <v>2021</v>
      </c>
    </row>
    <row r="716" spans="1:10" ht="14.25" customHeight="1" x14ac:dyDescent="0.3">
      <c r="A716" s="1">
        <v>44388</v>
      </c>
      <c r="B716" s="2" t="s">
        <v>97</v>
      </c>
      <c r="C716" s="2" t="s">
        <v>9</v>
      </c>
      <c r="D716" s="2" t="s">
        <v>10</v>
      </c>
      <c r="E716" s="2" t="s">
        <v>11</v>
      </c>
      <c r="F716" s="2">
        <v>10.37</v>
      </c>
      <c r="G716" s="2">
        <v>2</v>
      </c>
      <c r="H716" s="2">
        <v>3.63</v>
      </c>
      <c r="I716" t="str">
        <f t="shared" si="11"/>
        <v>Jul</v>
      </c>
      <c r="J716">
        <f>YEAR(datas[[#This Row],[Order Date]])</f>
        <v>2021</v>
      </c>
    </row>
    <row r="717" spans="1:10" ht="14.25" customHeight="1" x14ac:dyDescent="0.3">
      <c r="A717" s="1">
        <v>44388</v>
      </c>
      <c r="B717" s="2" t="s">
        <v>362</v>
      </c>
      <c r="C717" s="2" t="s">
        <v>75</v>
      </c>
      <c r="D717" s="2" t="s">
        <v>10</v>
      </c>
      <c r="E717" s="2" t="s">
        <v>11</v>
      </c>
      <c r="F717" s="2">
        <v>49.12</v>
      </c>
      <c r="G717" s="2">
        <v>4</v>
      </c>
      <c r="H717" s="2">
        <v>23.09</v>
      </c>
      <c r="I717" t="str">
        <f t="shared" si="11"/>
        <v>Jul</v>
      </c>
      <c r="J717">
        <f>YEAR(datas[[#This Row],[Order Date]])</f>
        <v>2021</v>
      </c>
    </row>
    <row r="718" spans="1:10" ht="14.25" customHeight="1" x14ac:dyDescent="0.3">
      <c r="A718" s="1">
        <v>44388</v>
      </c>
      <c r="B718" s="2" t="s">
        <v>362</v>
      </c>
      <c r="C718" s="2" t="s">
        <v>75</v>
      </c>
      <c r="D718" s="2" t="s">
        <v>10</v>
      </c>
      <c r="E718" s="2" t="s">
        <v>16</v>
      </c>
      <c r="F718" s="2">
        <v>18.28</v>
      </c>
      <c r="G718" s="2">
        <v>5</v>
      </c>
      <c r="H718" s="2">
        <v>6.4</v>
      </c>
      <c r="I718" t="str">
        <f t="shared" si="11"/>
        <v>Jul</v>
      </c>
      <c r="J718">
        <f>YEAR(datas[[#This Row],[Order Date]])</f>
        <v>2021</v>
      </c>
    </row>
    <row r="719" spans="1:10" ht="14.25" customHeight="1" x14ac:dyDescent="0.3">
      <c r="A719" s="1">
        <v>44388</v>
      </c>
      <c r="B719" s="2" t="s">
        <v>363</v>
      </c>
      <c r="C719" s="2" t="s">
        <v>75</v>
      </c>
      <c r="D719" s="2" t="s">
        <v>28</v>
      </c>
      <c r="E719" s="2" t="s">
        <v>29</v>
      </c>
      <c r="F719" s="2">
        <v>164.85</v>
      </c>
      <c r="G719" s="2">
        <v>3</v>
      </c>
      <c r="H719" s="2">
        <v>47.81</v>
      </c>
      <c r="I719" t="str">
        <f t="shared" si="11"/>
        <v>Jul</v>
      </c>
      <c r="J719">
        <f>YEAR(datas[[#This Row],[Order Date]])</f>
        <v>2021</v>
      </c>
    </row>
    <row r="720" spans="1:10" ht="14.25" customHeight="1" x14ac:dyDescent="0.3">
      <c r="A720" s="1">
        <v>44389</v>
      </c>
      <c r="B720" s="2" t="s">
        <v>364</v>
      </c>
      <c r="C720" s="2" t="s">
        <v>21</v>
      </c>
      <c r="D720" s="2" t="s">
        <v>10</v>
      </c>
      <c r="E720" s="2" t="s">
        <v>16</v>
      </c>
      <c r="F720" s="2">
        <v>7.71</v>
      </c>
      <c r="G720" s="2">
        <v>2</v>
      </c>
      <c r="H720" s="2">
        <v>2.8</v>
      </c>
      <c r="I720" t="str">
        <f t="shared" si="11"/>
        <v>Jul</v>
      </c>
      <c r="J720">
        <f>YEAR(datas[[#This Row],[Order Date]])</f>
        <v>2021</v>
      </c>
    </row>
    <row r="721" spans="1:10" ht="14.25" customHeight="1" x14ac:dyDescent="0.3">
      <c r="A721" s="1">
        <v>44389</v>
      </c>
      <c r="B721" s="2" t="s">
        <v>364</v>
      </c>
      <c r="C721" s="2" t="s">
        <v>21</v>
      </c>
      <c r="D721" s="2" t="s">
        <v>26</v>
      </c>
      <c r="E721" s="2" t="s">
        <v>73</v>
      </c>
      <c r="F721" s="2">
        <v>698.35</v>
      </c>
      <c r="G721" s="2">
        <v>3</v>
      </c>
      <c r="H721" s="2">
        <v>-17.46</v>
      </c>
      <c r="I721" t="str">
        <f t="shared" si="11"/>
        <v>Jul</v>
      </c>
      <c r="J721">
        <f>YEAR(datas[[#This Row],[Order Date]])</f>
        <v>2021</v>
      </c>
    </row>
    <row r="722" spans="1:10" ht="14.25" customHeight="1" x14ac:dyDescent="0.3">
      <c r="A722" s="1">
        <v>44389</v>
      </c>
      <c r="B722" s="2" t="s">
        <v>214</v>
      </c>
      <c r="C722" s="2" t="s">
        <v>21</v>
      </c>
      <c r="D722" s="2" t="s">
        <v>10</v>
      </c>
      <c r="E722" s="2" t="s">
        <v>15</v>
      </c>
      <c r="F722" s="2">
        <v>249.75</v>
      </c>
      <c r="G722" s="2">
        <v>9</v>
      </c>
      <c r="H722" s="2">
        <v>44.96</v>
      </c>
      <c r="I722" t="str">
        <f t="shared" si="11"/>
        <v>Jul</v>
      </c>
      <c r="J722">
        <f>YEAR(datas[[#This Row],[Order Date]])</f>
        <v>2021</v>
      </c>
    </row>
    <row r="723" spans="1:10" ht="14.25" customHeight="1" x14ac:dyDescent="0.3">
      <c r="A723" s="1">
        <v>44389</v>
      </c>
      <c r="B723" s="2" t="s">
        <v>214</v>
      </c>
      <c r="C723" s="2" t="s">
        <v>21</v>
      </c>
      <c r="D723" s="2" t="s">
        <v>28</v>
      </c>
      <c r="E723" s="2" t="s">
        <v>29</v>
      </c>
      <c r="F723" s="2">
        <v>255.94</v>
      </c>
      <c r="G723" s="2">
        <v>8</v>
      </c>
      <c r="H723" s="2">
        <v>28.79</v>
      </c>
      <c r="I723" t="str">
        <f t="shared" si="11"/>
        <v>Jul</v>
      </c>
      <c r="J723">
        <f>YEAR(datas[[#This Row],[Order Date]])</f>
        <v>2021</v>
      </c>
    </row>
    <row r="724" spans="1:10" ht="14.25" customHeight="1" x14ac:dyDescent="0.3">
      <c r="A724" s="1">
        <v>44389</v>
      </c>
      <c r="B724" s="2" t="s">
        <v>120</v>
      </c>
      <c r="C724" s="2" t="s">
        <v>82</v>
      </c>
      <c r="D724" s="2" t="s">
        <v>26</v>
      </c>
      <c r="E724" s="2" t="s">
        <v>27</v>
      </c>
      <c r="F724" s="2">
        <v>123.14</v>
      </c>
      <c r="G724" s="2">
        <v>4</v>
      </c>
      <c r="H724" s="2">
        <v>13.85</v>
      </c>
      <c r="I724" t="str">
        <f t="shared" si="11"/>
        <v>Jul</v>
      </c>
      <c r="J724">
        <f>YEAR(datas[[#This Row],[Order Date]])</f>
        <v>2021</v>
      </c>
    </row>
    <row r="725" spans="1:10" ht="14.25" customHeight="1" x14ac:dyDescent="0.3">
      <c r="A725" s="1">
        <v>44389</v>
      </c>
      <c r="B725" s="2" t="s">
        <v>120</v>
      </c>
      <c r="C725" s="2" t="s">
        <v>82</v>
      </c>
      <c r="D725" s="2" t="s">
        <v>10</v>
      </c>
      <c r="E725" s="2" t="s">
        <v>16</v>
      </c>
      <c r="F725" s="2">
        <v>11.26</v>
      </c>
      <c r="G725" s="2">
        <v>4</v>
      </c>
      <c r="H725" s="2">
        <v>3.8</v>
      </c>
      <c r="I725" t="str">
        <f t="shared" si="11"/>
        <v>Jul</v>
      </c>
      <c r="J725">
        <f>YEAR(datas[[#This Row],[Order Date]])</f>
        <v>2021</v>
      </c>
    </row>
    <row r="726" spans="1:10" ht="14.25" customHeight="1" x14ac:dyDescent="0.3">
      <c r="A726" s="1">
        <v>44389</v>
      </c>
      <c r="B726" s="2" t="s">
        <v>365</v>
      </c>
      <c r="C726" s="2" t="s">
        <v>13</v>
      </c>
      <c r="D726" s="2" t="s">
        <v>10</v>
      </c>
      <c r="E726" s="2" t="s">
        <v>11</v>
      </c>
      <c r="F726" s="2">
        <v>35.86</v>
      </c>
      <c r="G726" s="2">
        <v>9</v>
      </c>
      <c r="H726" s="2">
        <v>13</v>
      </c>
      <c r="I726" t="str">
        <f t="shared" si="11"/>
        <v>Jul</v>
      </c>
      <c r="J726">
        <f>YEAR(datas[[#This Row],[Order Date]])</f>
        <v>2021</v>
      </c>
    </row>
    <row r="727" spans="1:10" ht="14.25" customHeight="1" x14ac:dyDescent="0.3">
      <c r="A727" s="1">
        <v>44389</v>
      </c>
      <c r="B727" s="2" t="s">
        <v>365</v>
      </c>
      <c r="C727" s="2" t="s">
        <v>13</v>
      </c>
      <c r="D727" s="2" t="s">
        <v>28</v>
      </c>
      <c r="E727" s="2" t="s">
        <v>34</v>
      </c>
      <c r="F727" s="2">
        <v>23.84</v>
      </c>
      <c r="G727" s="2">
        <v>4</v>
      </c>
      <c r="H727" s="2">
        <v>3.28</v>
      </c>
      <c r="I727" t="str">
        <f t="shared" si="11"/>
        <v>Jul</v>
      </c>
      <c r="J727">
        <f>YEAR(datas[[#This Row],[Order Date]])</f>
        <v>2021</v>
      </c>
    </row>
    <row r="728" spans="1:10" ht="14.25" customHeight="1" x14ac:dyDescent="0.3">
      <c r="A728" s="1">
        <v>44389</v>
      </c>
      <c r="B728" s="2" t="s">
        <v>366</v>
      </c>
      <c r="C728" s="2" t="s">
        <v>9</v>
      </c>
      <c r="D728" s="2" t="s">
        <v>26</v>
      </c>
      <c r="E728" s="2" t="s">
        <v>27</v>
      </c>
      <c r="F728" s="2">
        <v>512.36</v>
      </c>
      <c r="G728" s="2">
        <v>3</v>
      </c>
      <c r="H728" s="2">
        <v>-14.64</v>
      </c>
      <c r="I728" t="str">
        <f t="shared" si="11"/>
        <v>Jul</v>
      </c>
      <c r="J728">
        <f>YEAR(datas[[#This Row],[Order Date]])</f>
        <v>2021</v>
      </c>
    </row>
    <row r="729" spans="1:10" ht="14.25" customHeight="1" x14ac:dyDescent="0.3">
      <c r="A729" s="1">
        <v>44389</v>
      </c>
      <c r="B729" s="2" t="s">
        <v>366</v>
      </c>
      <c r="C729" s="2" t="s">
        <v>9</v>
      </c>
      <c r="D729" s="2" t="s">
        <v>10</v>
      </c>
      <c r="E729" s="2" t="s">
        <v>30</v>
      </c>
      <c r="F729" s="2">
        <v>3.49</v>
      </c>
      <c r="G729" s="2">
        <v>2</v>
      </c>
      <c r="H729" s="2">
        <v>0.56999999999999995</v>
      </c>
      <c r="I729" t="str">
        <f t="shared" si="11"/>
        <v>Jul</v>
      </c>
      <c r="J729">
        <f>YEAR(datas[[#This Row],[Order Date]])</f>
        <v>2021</v>
      </c>
    </row>
    <row r="730" spans="1:10" ht="14.25" customHeight="1" x14ac:dyDescent="0.3">
      <c r="A730" s="1">
        <v>44389</v>
      </c>
      <c r="B730" s="2" t="s">
        <v>366</v>
      </c>
      <c r="C730" s="2" t="s">
        <v>9</v>
      </c>
      <c r="D730" s="2" t="s">
        <v>10</v>
      </c>
      <c r="E730" s="2" t="s">
        <v>19</v>
      </c>
      <c r="F730" s="2">
        <v>22.29</v>
      </c>
      <c r="G730" s="2">
        <v>7</v>
      </c>
      <c r="H730" s="2">
        <v>3.9</v>
      </c>
      <c r="I730" t="str">
        <f t="shared" si="11"/>
        <v>Jul</v>
      </c>
      <c r="J730">
        <f>YEAR(datas[[#This Row],[Order Date]])</f>
        <v>2021</v>
      </c>
    </row>
    <row r="731" spans="1:10" ht="14.25" customHeight="1" x14ac:dyDescent="0.3">
      <c r="A731" s="1">
        <v>44389</v>
      </c>
      <c r="B731" s="2" t="s">
        <v>366</v>
      </c>
      <c r="C731" s="2" t="s">
        <v>9</v>
      </c>
      <c r="D731" s="2" t="s">
        <v>10</v>
      </c>
      <c r="E731" s="2" t="s">
        <v>11</v>
      </c>
      <c r="F731" s="2">
        <v>16.03</v>
      </c>
      <c r="G731" s="2">
        <v>3</v>
      </c>
      <c r="H731" s="2">
        <v>5.61</v>
      </c>
      <c r="I731" t="str">
        <f t="shared" si="11"/>
        <v>Jul</v>
      </c>
      <c r="J731">
        <f>YEAR(datas[[#This Row],[Order Date]])</f>
        <v>2021</v>
      </c>
    </row>
    <row r="732" spans="1:10" ht="14.25" customHeight="1" x14ac:dyDescent="0.3">
      <c r="A732" s="1">
        <v>44390</v>
      </c>
      <c r="B732" s="2" t="s">
        <v>339</v>
      </c>
      <c r="C732" s="2" t="s">
        <v>21</v>
      </c>
      <c r="D732" s="2" t="s">
        <v>26</v>
      </c>
      <c r="E732" s="2" t="s">
        <v>73</v>
      </c>
      <c r="F732" s="2">
        <v>351.22</v>
      </c>
      <c r="G732" s="2">
        <v>3</v>
      </c>
      <c r="H732" s="2">
        <v>4.3899999999999997</v>
      </c>
      <c r="I732" t="str">
        <f t="shared" si="11"/>
        <v>Jul</v>
      </c>
      <c r="J732">
        <f>YEAR(datas[[#This Row],[Order Date]])</f>
        <v>2021</v>
      </c>
    </row>
    <row r="733" spans="1:10" ht="14.25" customHeight="1" x14ac:dyDescent="0.3">
      <c r="A733" s="1">
        <v>44391</v>
      </c>
      <c r="B733" s="2" t="s">
        <v>367</v>
      </c>
      <c r="C733" s="2" t="s">
        <v>13</v>
      </c>
      <c r="D733" s="2" t="s">
        <v>10</v>
      </c>
      <c r="E733" s="2" t="s">
        <v>16</v>
      </c>
      <c r="F733" s="2">
        <v>29.93</v>
      </c>
      <c r="G733" s="2">
        <v>7</v>
      </c>
      <c r="H733" s="2">
        <v>-46.39</v>
      </c>
      <c r="I733" t="str">
        <f t="shared" si="11"/>
        <v>Jul</v>
      </c>
      <c r="J733">
        <f>YEAR(datas[[#This Row],[Order Date]])</f>
        <v>2021</v>
      </c>
    </row>
    <row r="734" spans="1:10" ht="14.25" customHeight="1" x14ac:dyDescent="0.3">
      <c r="A734" s="1">
        <v>44391</v>
      </c>
      <c r="B734" s="2" t="s">
        <v>367</v>
      </c>
      <c r="C734" s="2" t="s">
        <v>13</v>
      </c>
      <c r="D734" s="2" t="s">
        <v>28</v>
      </c>
      <c r="E734" s="2" t="s">
        <v>29</v>
      </c>
      <c r="F734" s="2">
        <v>38.270000000000003</v>
      </c>
      <c r="G734" s="2">
        <v>4</v>
      </c>
      <c r="H734" s="2">
        <v>3.83</v>
      </c>
      <c r="I734" t="str">
        <f t="shared" si="11"/>
        <v>Jul</v>
      </c>
      <c r="J734">
        <f>YEAR(datas[[#This Row],[Order Date]])</f>
        <v>2021</v>
      </c>
    </row>
    <row r="735" spans="1:10" ht="14.25" customHeight="1" x14ac:dyDescent="0.3">
      <c r="A735" s="1">
        <v>44391</v>
      </c>
      <c r="B735" s="2" t="s">
        <v>368</v>
      </c>
      <c r="C735" s="2" t="s">
        <v>55</v>
      </c>
      <c r="D735" s="2" t="s">
        <v>10</v>
      </c>
      <c r="E735" s="2" t="s">
        <v>15</v>
      </c>
      <c r="F735" s="2">
        <v>55.92</v>
      </c>
      <c r="G735" s="2">
        <v>5</v>
      </c>
      <c r="H735" s="2">
        <v>6.29</v>
      </c>
      <c r="I735" t="str">
        <f t="shared" si="11"/>
        <v>Jul</v>
      </c>
      <c r="J735">
        <f>YEAR(datas[[#This Row],[Order Date]])</f>
        <v>2021</v>
      </c>
    </row>
    <row r="736" spans="1:10" ht="14.25" customHeight="1" x14ac:dyDescent="0.3">
      <c r="A736" s="1">
        <v>44391</v>
      </c>
      <c r="B736" s="2" t="s">
        <v>93</v>
      </c>
      <c r="C736" s="2" t="s">
        <v>18</v>
      </c>
      <c r="D736" s="2" t="s">
        <v>28</v>
      </c>
      <c r="E736" s="2" t="s">
        <v>29</v>
      </c>
      <c r="F736" s="2">
        <v>13.49</v>
      </c>
      <c r="G736" s="2">
        <v>1</v>
      </c>
      <c r="H736" s="2">
        <v>-2.25</v>
      </c>
      <c r="I736" t="str">
        <f t="shared" si="11"/>
        <v>Jul</v>
      </c>
      <c r="J736">
        <f>YEAR(datas[[#This Row],[Order Date]])</f>
        <v>2021</v>
      </c>
    </row>
    <row r="737" spans="1:10" ht="14.25" customHeight="1" x14ac:dyDescent="0.3">
      <c r="A737" s="1">
        <v>44391</v>
      </c>
      <c r="B737" s="2" t="s">
        <v>93</v>
      </c>
      <c r="C737" s="2" t="s">
        <v>18</v>
      </c>
      <c r="D737" s="2" t="s">
        <v>28</v>
      </c>
      <c r="E737" s="2" t="s">
        <v>29</v>
      </c>
      <c r="F737" s="2">
        <v>23.99</v>
      </c>
      <c r="G737" s="2">
        <v>2</v>
      </c>
      <c r="H737" s="2">
        <v>-13.99</v>
      </c>
      <c r="I737" t="str">
        <f t="shared" si="11"/>
        <v>Jul</v>
      </c>
      <c r="J737">
        <f>YEAR(datas[[#This Row],[Order Date]])</f>
        <v>2021</v>
      </c>
    </row>
    <row r="738" spans="1:10" ht="14.25" customHeight="1" x14ac:dyDescent="0.3">
      <c r="A738" s="1">
        <v>44391</v>
      </c>
      <c r="B738" s="2" t="s">
        <v>93</v>
      </c>
      <c r="C738" s="2" t="s">
        <v>18</v>
      </c>
      <c r="D738" s="2" t="s">
        <v>26</v>
      </c>
      <c r="E738" s="2" t="s">
        <v>32</v>
      </c>
      <c r="F738" s="2">
        <v>31.98</v>
      </c>
      <c r="G738" s="2">
        <v>2</v>
      </c>
      <c r="H738" s="2">
        <v>1.2</v>
      </c>
      <c r="I738" t="str">
        <f t="shared" si="11"/>
        <v>Jul</v>
      </c>
      <c r="J738">
        <f>YEAR(datas[[#This Row],[Order Date]])</f>
        <v>2021</v>
      </c>
    </row>
    <row r="739" spans="1:10" ht="14.25" customHeight="1" x14ac:dyDescent="0.3">
      <c r="A739" s="1">
        <v>44391</v>
      </c>
      <c r="B739" s="2" t="s">
        <v>93</v>
      </c>
      <c r="C739" s="2" t="s">
        <v>18</v>
      </c>
      <c r="D739" s="2" t="s">
        <v>10</v>
      </c>
      <c r="E739" s="2" t="s">
        <v>19</v>
      </c>
      <c r="F739" s="2">
        <v>41.58</v>
      </c>
      <c r="G739" s="2">
        <v>2</v>
      </c>
      <c r="H739" s="2">
        <v>4.68</v>
      </c>
      <c r="I739" t="str">
        <f t="shared" si="11"/>
        <v>Jul</v>
      </c>
      <c r="J739">
        <f>YEAR(datas[[#This Row],[Order Date]])</f>
        <v>2021</v>
      </c>
    </row>
    <row r="740" spans="1:10" ht="14.25" customHeight="1" x14ac:dyDescent="0.3">
      <c r="A740" s="1">
        <v>44391</v>
      </c>
      <c r="B740" s="2" t="s">
        <v>369</v>
      </c>
      <c r="C740" s="2" t="s">
        <v>38</v>
      </c>
      <c r="D740" s="2" t="s">
        <v>10</v>
      </c>
      <c r="E740" s="2" t="s">
        <v>53</v>
      </c>
      <c r="F740" s="2">
        <v>39.479999999999997</v>
      </c>
      <c r="G740" s="2">
        <v>1</v>
      </c>
      <c r="H740" s="2">
        <v>11.05</v>
      </c>
      <c r="I740" t="str">
        <f t="shared" si="11"/>
        <v>Jul</v>
      </c>
      <c r="J740">
        <f>YEAR(datas[[#This Row],[Order Date]])</f>
        <v>2021</v>
      </c>
    </row>
    <row r="741" spans="1:10" ht="14.25" customHeight="1" x14ac:dyDescent="0.3">
      <c r="A741" s="1">
        <v>44391</v>
      </c>
      <c r="B741" s="2" t="s">
        <v>370</v>
      </c>
      <c r="C741" s="2" t="s">
        <v>75</v>
      </c>
      <c r="D741" s="2" t="s">
        <v>10</v>
      </c>
      <c r="E741" s="2" t="s">
        <v>19</v>
      </c>
      <c r="F741" s="2">
        <v>17.940000000000001</v>
      </c>
      <c r="G741" s="2">
        <v>3</v>
      </c>
      <c r="H741" s="2">
        <v>4.49</v>
      </c>
      <c r="I741" t="str">
        <f t="shared" si="11"/>
        <v>Jul</v>
      </c>
      <c r="J741">
        <f>YEAR(datas[[#This Row],[Order Date]])</f>
        <v>2021</v>
      </c>
    </row>
    <row r="742" spans="1:10" ht="14.25" customHeight="1" x14ac:dyDescent="0.3">
      <c r="A742" s="1">
        <v>44392</v>
      </c>
      <c r="B742" s="2" t="s">
        <v>263</v>
      </c>
      <c r="C742" s="2" t="s">
        <v>71</v>
      </c>
      <c r="D742" s="2" t="s">
        <v>28</v>
      </c>
      <c r="E742" s="2" t="s">
        <v>34</v>
      </c>
      <c r="F742" s="2">
        <v>2.97</v>
      </c>
      <c r="G742" s="2">
        <v>3</v>
      </c>
      <c r="H742" s="2">
        <v>1.31</v>
      </c>
      <c r="I742" t="str">
        <f t="shared" si="11"/>
        <v>Jul</v>
      </c>
      <c r="J742">
        <f>YEAR(datas[[#This Row],[Order Date]])</f>
        <v>2021</v>
      </c>
    </row>
    <row r="743" spans="1:10" ht="14.25" customHeight="1" x14ac:dyDescent="0.3">
      <c r="A743" s="1">
        <v>44392</v>
      </c>
      <c r="B743" s="2" t="s">
        <v>263</v>
      </c>
      <c r="C743" s="2" t="s">
        <v>71</v>
      </c>
      <c r="D743" s="2" t="s">
        <v>10</v>
      </c>
      <c r="E743" s="2" t="s">
        <v>30</v>
      </c>
      <c r="F743" s="2">
        <v>6.54</v>
      </c>
      <c r="G743" s="2">
        <v>3</v>
      </c>
      <c r="H743" s="2">
        <v>2.68</v>
      </c>
      <c r="I743" t="str">
        <f t="shared" si="11"/>
        <v>Jul</v>
      </c>
      <c r="J743">
        <f>YEAR(datas[[#This Row],[Order Date]])</f>
        <v>2021</v>
      </c>
    </row>
    <row r="744" spans="1:10" ht="14.25" customHeight="1" x14ac:dyDescent="0.3">
      <c r="A744" s="1">
        <v>44395</v>
      </c>
      <c r="B744" s="2" t="s">
        <v>371</v>
      </c>
      <c r="C744" s="2" t="s">
        <v>55</v>
      </c>
      <c r="D744" s="2" t="s">
        <v>26</v>
      </c>
      <c r="E744" s="2" t="s">
        <v>27</v>
      </c>
      <c r="F744" s="2">
        <v>259.14</v>
      </c>
      <c r="G744" s="2">
        <v>4</v>
      </c>
      <c r="H744" s="2">
        <v>-25.91</v>
      </c>
      <c r="I744" t="str">
        <f t="shared" si="11"/>
        <v>Jul</v>
      </c>
      <c r="J744">
        <f>YEAR(datas[[#This Row],[Order Date]])</f>
        <v>2021</v>
      </c>
    </row>
    <row r="745" spans="1:10" ht="14.25" customHeight="1" x14ac:dyDescent="0.3">
      <c r="A745" s="1">
        <v>44395</v>
      </c>
      <c r="B745" s="2" t="s">
        <v>372</v>
      </c>
      <c r="C745" s="2" t="s">
        <v>75</v>
      </c>
      <c r="D745" s="2" t="s">
        <v>10</v>
      </c>
      <c r="E745" s="2" t="s">
        <v>16</v>
      </c>
      <c r="F745" s="2">
        <v>13.9</v>
      </c>
      <c r="G745" s="2">
        <v>2</v>
      </c>
      <c r="H745" s="2">
        <v>4.5199999999999996</v>
      </c>
      <c r="I745" t="str">
        <f t="shared" si="11"/>
        <v>Jul</v>
      </c>
      <c r="J745">
        <f>YEAR(datas[[#This Row],[Order Date]])</f>
        <v>2021</v>
      </c>
    </row>
    <row r="746" spans="1:10" ht="14.25" customHeight="1" x14ac:dyDescent="0.3">
      <c r="A746" s="1">
        <v>44396</v>
      </c>
      <c r="B746" s="2" t="s">
        <v>373</v>
      </c>
      <c r="C746" s="2" t="s">
        <v>248</v>
      </c>
      <c r="D746" s="2" t="s">
        <v>28</v>
      </c>
      <c r="E746" s="2" t="s">
        <v>29</v>
      </c>
      <c r="F746" s="2">
        <v>359.98</v>
      </c>
      <c r="G746" s="2">
        <v>2</v>
      </c>
      <c r="H746" s="2">
        <v>93.59</v>
      </c>
      <c r="I746" t="str">
        <f t="shared" si="11"/>
        <v>Jul</v>
      </c>
      <c r="J746">
        <f>YEAR(datas[[#This Row],[Order Date]])</f>
        <v>2021</v>
      </c>
    </row>
    <row r="747" spans="1:10" ht="14.25" customHeight="1" x14ac:dyDescent="0.3">
      <c r="A747" s="1">
        <v>44396</v>
      </c>
      <c r="B747" s="2" t="s">
        <v>373</v>
      </c>
      <c r="C747" s="2" t="s">
        <v>248</v>
      </c>
      <c r="D747" s="2" t="s">
        <v>26</v>
      </c>
      <c r="E747" s="2" t="s">
        <v>73</v>
      </c>
      <c r="F747" s="2">
        <v>70.56</v>
      </c>
      <c r="G747" s="2">
        <v>1</v>
      </c>
      <c r="H747" s="2">
        <v>-4.03</v>
      </c>
      <c r="I747" t="str">
        <f t="shared" si="11"/>
        <v>Jul</v>
      </c>
      <c r="J747">
        <f>YEAR(datas[[#This Row],[Order Date]])</f>
        <v>2021</v>
      </c>
    </row>
    <row r="748" spans="1:10" ht="14.25" customHeight="1" x14ac:dyDescent="0.3">
      <c r="A748" s="1">
        <v>44396</v>
      </c>
      <c r="B748" s="2" t="s">
        <v>373</v>
      </c>
      <c r="C748" s="2" t="s">
        <v>248</v>
      </c>
      <c r="D748" s="2" t="s">
        <v>10</v>
      </c>
      <c r="E748" s="2" t="s">
        <v>16</v>
      </c>
      <c r="F748" s="2">
        <v>20.88</v>
      </c>
      <c r="G748" s="2">
        <v>2</v>
      </c>
      <c r="H748" s="2">
        <v>9.6</v>
      </c>
      <c r="I748" t="str">
        <f t="shared" si="11"/>
        <v>Jul</v>
      </c>
      <c r="J748">
        <f>YEAR(datas[[#This Row],[Order Date]])</f>
        <v>2021</v>
      </c>
    </row>
    <row r="749" spans="1:10" ht="14.25" customHeight="1" x14ac:dyDescent="0.3">
      <c r="A749" s="1">
        <v>44396</v>
      </c>
      <c r="B749" s="2" t="s">
        <v>373</v>
      </c>
      <c r="C749" s="2" t="s">
        <v>248</v>
      </c>
      <c r="D749" s="2" t="s">
        <v>10</v>
      </c>
      <c r="E749" s="2" t="s">
        <v>16</v>
      </c>
      <c r="F749" s="2">
        <v>3.81</v>
      </c>
      <c r="G749" s="2">
        <v>1</v>
      </c>
      <c r="H749" s="2">
        <v>1.83</v>
      </c>
      <c r="I749" t="str">
        <f t="shared" si="11"/>
        <v>Jul</v>
      </c>
      <c r="J749">
        <f>YEAR(datas[[#This Row],[Order Date]])</f>
        <v>2021</v>
      </c>
    </row>
    <row r="750" spans="1:10" ht="14.25" customHeight="1" x14ac:dyDescent="0.3">
      <c r="A750" s="1">
        <v>44396</v>
      </c>
      <c r="B750" s="2" t="s">
        <v>374</v>
      </c>
      <c r="C750" s="2" t="s">
        <v>210</v>
      </c>
      <c r="D750" s="2" t="s">
        <v>10</v>
      </c>
      <c r="E750" s="2" t="s">
        <v>16</v>
      </c>
      <c r="F750" s="2">
        <v>6.1</v>
      </c>
      <c r="G750" s="2">
        <v>2</v>
      </c>
      <c r="H750" s="2">
        <v>2.21</v>
      </c>
      <c r="I750" t="str">
        <f t="shared" si="11"/>
        <v>Jul</v>
      </c>
      <c r="J750">
        <f>YEAR(datas[[#This Row],[Order Date]])</f>
        <v>2021</v>
      </c>
    </row>
    <row r="751" spans="1:10" ht="14.25" customHeight="1" x14ac:dyDescent="0.3">
      <c r="A751" s="1">
        <v>44397</v>
      </c>
      <c r="B751" s="2" t="s">
        <v>375</v>
      </c>
      <c r="C751" s="2" t="s">
        <v>9</v>
      </c>
      <c r="D751" s="2" t="s">
        <v>10</v>
      </c>
      <c r="E751" s="2" t="s">
        <v>15</v>
      </c>
      <c r="F751" s="2">
        <v>342.86</v>
      </c>
      <c r="G751" s="2">
        <v>3</v>
      </c>
      <c r="H751" s="2">
        <v>38.57</v>
      </c>
      <c r="I751" t="str">
        <f t="shared" si="11"/>
        <v>Jul</v>
      </c>
      <c r="J751">
        <f>YEAR(datas[[#This Row],[Order Date]])</f>
        <v>2021</v>
      </c>
    </row>
    <row r="752" spans="1:10" ht="14.25" customHeight="1" x14ac:dyDescent="0.3">
      <c r="A752" s="1">
        <v>44397</v>
      </c>
      <c r="B752" s="2" t="s">
        <v>375</v>
      </c>
      <c r="C752" s="2" t="s">
        <v>9</v>
      </c>
      <c r="D752" s="2" t="s">
        <v>26</v>
      </c>
      <c r="E752" s="2" t="s">
        <v>32</v>
      </c>
      <c r="F752" s="2">
        <v>16.739999999999998</v>
      </c>
      <c r="G752" s="2">
        <v>5</v>
      </c>
      <c r="H752" s="2">
        <v>-14.23</v>
      </c>
      <c r="I752" t="str">
        <f t="shared" si="11"/>
        <v>Jul</v>
      </c>
      <c r="J752">
        <f>YEAR(datas[[#This Row],[Order Date]])</f>
        <v>2021</v>
      </c>
    </row>
    <row r="753" spans="1:10" ht="14.25" customHeight="1" x14ac:dyDescent="0.3">
      <c r="A753" s="1">
        <v>44397</v>
      </c>
      <c r="B753" s="2" t="s">
        <v>375</v>
      </c>
      <c r="C753" s="2" t="s">
        <v>9</v>
      </c>
      <c r="D753" s="2" t="s">
        <v>26</v>
      </c>
      <c r="E753" s="2" t="s">
        <v>27</v>
      </c>
      <c r="F753" s="2">
        <v>981.37</v>
      </c>
      <c r="G753" s="2">
        <v>2</v>
      </c>
      <c r="H753" s="2">
        <v>-140.19999999999999</v>
      </c>
      <c r="I753" t="str">
        <f t="shared" si="11"/>
        <v>Jul</v>
      </c>
      <c r="J753">
        <f>YEAR(datas[[#This Row],[Order Date]])</f>
        <v>2021</v>
      </c>
    </row>
    <row r="754" spans="1:10" ht="14.25" customHeight="1" x14ac:dyDescent="0.3">
      <c r="A754" s="1">
        <v>44397</v>
      </c>
      <c r="B754" s="2" t="s">
        <v>376</v>
      </c>
      <c r="C754" s="2" t="s">
        <v>47</v>
      </c>
      <c r="D754" s="2" t="s">
        <v>10</v>
      </c>
      <c r="E754" s="2" t="s">
        <v>15</v>
      </c>
      <c r="F754" s="2">
        <v>25.98</v>
      </c>
      <c r="G754" s="2">
        <v>1</v>
      </c>
      <c r="H754" s="2">
        <v>-5.2</v>
      </c>
      <c r="I754" t="str">
        <f t="shared" si="11"/>
        <v>Jul</v>
      </c>
      <c r="J754">
        <f>YEAR(datas[[#This Row],[Order Date]])</f>
        <v>2021</v>
      </c>
    </row>
    <row r="755" spans="1:10" ht="14.25" customHeight="1" x14ac:dyDescent="0.3">
      <c r="A755" s="1">
        <v>44397</v>
      </c>
      <c r="B755" s="2" t="s">
        <v>376</v>
      </c>
      <c r="C755" s="2" t="s">
        <v>47</v>
      </c>
      <c r="D755" s="2" t="s">
        <v>10</v>
      </c>
      <c r="E755" s="2" t="s">
        <v>16</v>
      </c>
      <c r="F755" s="2">
        <v>27.36</v>
      </c>
      <c r="G755" s="2">
        <v>3</v>
      </c>
      <c r="H755" s="2">
        <v>-21.89</v>
      </c>
      <c r="I755" t="str">
        <f t="shared" si="11"/>
        <v>Jul</v>
      </c>
      <c r="J755">
        <f>YEAR(datas[[#This Row],[Order Date]])</f>
        <v>2021</v>
      </c>
    </row>
    <row r="756" spans="1:10" ht="14.25" customHeight="1" x14ac:dyDescent="0.3">
      <c r="A756" s="1">
        <v>44397</v>
      </c>
      <c r="B756" s="2" t="s">
        <v>377</v>
      </c>
      <c r="C756" s="2" t="s">
        <v>21</v>
      </c>
      <c r="D756" s="2" t="s">
        <v>10</v>
      </c>
      <c r="E756" s="2" t="s">
        <v>11</v>
      </c>
      <c r="F756" s="2">
        <v>104.85</v>
      </c>
      <c r="G756" s="2">
        <v>1</v>
      </c>
      <c r="H756" s="2">
        <v>50.33</v>
      </c>
      <c r="I756" t="str">
        <f t="shared" si="11"/>
        <v>Jul</v>
      </c>
      <c r="J756">
        <f>YEAR(datas[[#This Row],[Order Date]])</f>
        <v>2021</v>
      </c>
    </row>
    <row r="757" spans="1:10" ht="14.25" customHeight="1" x14ac:dyDescent="0.3">
      <c r="A757" s="1">
        <v>44397</v>
      </c>
      <c r="B757" s="2" t="s">
        <v>377</v>
      </c>
      <c r="C757" s="2" t="s">
        <v>21</v>
      </c>
      <c r="D757" s="2" t="s">
        <v>10</v>
      </c>
      <c r="E757" s="2" t="s">
        <v>16</v>
      </c>
      <c r="F757" s="2">
        <v>8.6999999999999993</v>
      </c>
      <c r="G757" s="2">
        <v>2</v>
      </c>
      <c r="H757" s="2">
        <v>3.16</v>
      </c>
      <c r="I757" t="str">
        <f t="shared" si="11"/>
        <v>Jul</v>
      </c>
      <c r="J757">
        <f>YEAR(datas[[#This Row],[Order Date]])</f>
        <v>2021</v>
      </c>
    </row>
    <row r="758" spans="1:10" ht="14.25" customHeight="1" x14ac:dyDescent="0.3">
      <c r="A758" s="1">
        <v>44397</v>
      </c>
      <c r="B758" s="2" t="s">
        <v>377</v>
      </c>
      <c r="C758" s="2" t="s">
        <v>21</v>
      </c>
      <c r="D758" s="2" t="s">
        <v>10</v>
      </c>
      <c r="E758" s="2" t="s">
        <v>11</v>
      </c>
      <c r="F758" s="2">
        <v>19.920000000000002</v>
      </c>
      <c r="G758" s="2">
        <v>4</v>
      </c>
      <c r="H758" s="2">
        <v>9.76</v>
      </c>
      <c r="I758" t="str">
        <f t="shared" si="11"/>
        <v>Jul</v>
      </c>
      <c r="J758">
        <f>YEAR(datas[[#This Row],[Order Date]])</f>
        <v>2021</v>
      </c>
    </row>
    <row r="759" spans="1:10" ht="14.25" customHeight="1" x14ac:dyDescent="0.3">
      <c r="A759" s="1">
        <v>44397</v>
      </c>
      <c r="B759" s="2" t="s">
        <v>377</v>
      </c>
      <c r="C759" s="2" t="s">
        <v>21</v>
      </c>
      <c r="D759" s="2" t="s">
        <v>26</v>
      </c>
      <c r="E759" s="2" t="s">
        <v>32</v>
      </c>
      <c r="F759" s="2">
        <v>43.02</v>
      </c>
      <c r="G759" s="2">
        <v>3</v>
      </c>
      <c r="H759" s="2">
        <v>15.49</v>
      </c>
      <c r="I759" t="str">
        <f t="shared" si="11"/>
        <v>Jul</v>
      </c>
      <c r="J759">
        <f>YEAR(datas[[#This Row],[Order Date]])</f>
        <v>2021</v>
      </c>
    </row>
    <row r="760" spans="1:10" ht="14.25" customHeight="1" x14ac:dyDescent="0.3">
      <c r="A760" s="1">
        <v>44397</v>
      </c>
      <c r="B760" s="2" t="s">
        <v>378</v>
      </c>
      <c r="C760" s="2" t="s">
        <v>21</v>
      </c>
      <c r="D760" s="2" t="s">
        <v>10</v>
      </c>
      <c r="E760" s="2" t="s">
        <v>16</v>
      </c>
      <c r="F760" s="2">
        <v>89.71</v>
      </c>
      <c r="G760" s="2">
        <v>6</v>
      </c>
      <c r="H760" s="2">
        <v>30.28</v>
      </c>
      <c r="I760" t="str">
        <f t="shared" si="11"/>
        <v>Jul</v>
      </c>
      <c r="J760">
        <f>YEAR(datas[[#This Row],[Order Date]])</f>
        <v>2021</v>
      </c>
    </row>
    <row r="761" spans="1:10" ht="14.25" customHeight="1" x14ac:dyDescent="0.3">
      <c r="A761" s="1">
        <v>44397</v>
      </c>
      <c r="B761" s="2" t="s">
        <v>378</v>
      </c>
      <c r="C761" s="2" t="s">
        <v>21</v>
      </c>
      <c r="D761" s="2" t="s">
        <v>10</v>
      </c>
      <c r="E761" s="2" t="s">
        <v>11</v>
      </c>
      <c r="F761" s="2">
        <v>22.83</v>
      </c>
      <c r="G761" s="2">
        <v>3</v>
      </c>
      <c r="H761" s="2">
        <v>10.73</v>
      </c>
      <c r="I761" t="str">
        <f t="shared" si="11"/>
        <v>Jul</v>
      </c>
      <c r="J761">
        <f>YEAR(datas[[#This Row],[Order Date]])</f>
        <v>2021</v>
      </c>
    </row>
    <row r="762" spans="1:10" ht="14.25" customHeight="1" x14ac:dyDescent="0.3">
      <c r="A762" s="1">
        <v>44397</v>
      </c>
      <c r="B762" s="2" t="s">
        <v>161</v>
      </c>
      <c r="C762" s="2" t="s">
        <v>21</v>
      </c>
      <c r="D762" s="2" t="s">
        <v>28</v>
      </c>
      <c r="E762" s="2" t="s">
        <v>34</v>
      </c>
      <c r="F762" s="2">
        <v>41.94</v>
      </c>
      <c r="G762" s="2">
        <v>2</v>
      </c>
      <c r="H762" s="2">
        <v>15.1</v>
      </c>
      <c r="I762" t="str">
        <f t="shared" si="11"/>
        <v>Jul</v>
      </c>
      <c r="J762">
        <f>YEAR(datas[[#This Row],[Order Date]])</f>
        <v>2021</v>
      </c>
    </row>
    <row r="763" spans="1:10" ht="14.25" customHeight="1" x14ac:dyDescent="0.3">
      <c r="A763" s="1">
        <v>44397</v>
      </c>
      <c r="B763" s="2" t="s">
        <v>161</v>
      </c>
      <c r="C763" s="2" t="s">
        <v>21</v>
      </c>
      <c r="D763" s="2" t="s">
        <v>10</v>
      </c>
      <c r="E763" s="2" t="s">
        <v>11</v>
      </c>
      <c r="F763" s="2">
        <v>11.96</v>
      </c>
      <c r="G763" s="2">
        <v>2</v>
      </c>
      <c r="H763" s="2">
        <v>5.86</v>
      </c>
      <c r="I763" t="str">
        <f t="shared" si="11"/>
        <v>Jul</v>
      </c>
      <c r="J763">
        <f>YEAR(datas[[#This Row],[Order Date]])</f>
        <v>2021</v>
      </c>
    </row>
    <row r="764" spans="1:10" ht="14.25" customHeight="1" x14ac:dyDescent="0.3">
      <c r="A764" s="1">
        <v>44397</v>
      </c>
      <c r="B764" s="2" t="s">
        <v>161</v>
      </c>
      <c r="C764" s="2" t="s">
        <v>21</v>
      </c>
      <c r="D764" s="2" t="s">
        <v>10</v>
      </c>
      <c r="E764" s="2" t="s">
        <v>19</v>
      </c>
      <c r="F764" s="2">
        <v>13.12</v>
      </c>
      <c r="G764" s="2">
        <v>4</v>
      </c>
      <c r="H764" s="2">
        <v>3.8</v>
      </c>
      <c r="I764" t="str">
        <f t="shared" si="11"/>
        <v>Jul</v>
      </c>
      <c r="J764">
        <f>YEAR(datas[[#This Row],[Order Date]])</f>
        <v>2021</v>
      </c>
    </row>
    <row r="765" spans="1:10" ht="14.25" customHeight="1" x14ac:dyDescent="0.3">
      <c r="A765" s="1">
        <v>44397</v>
      </c>
      <c r="B765" s="2" t="s">
        <v>161</v>
      </c>
      <c r="C765" s="2" t="s">
        <v>21</v>
      </c>
      <c r="D765" s="2" t="s">
        <v>10</v>
      </c>
      <c r="E765" s="2" t="s">
        <v>15</v>
      </c>
      <c r="F765" s="2">
        <v>535.41</v>
      </c>
      <c r="G765" s="2">
        <v>3</v>
      </c>
      <c r="H765" s="2">
        <v>160.62</v>
      </c>
      <c r="I765" t="str">
        <f t="shared" si="11"/>
        <v>Jul</v>
      </c>
      <c r="J765">
        <f>YEAR(datas[[#This Row],[Order Date]])</f>
        <v>2021</v>
      </c>
    </row>
    <row r="766" spans="1:10" ht="14.25" customHeight="1" x14ac:dyDescent="0.3">
      <c r="A766" s="1">
        <v>44398</v>
      </c>
      <c r="B766" s="2" t="s">
        <v>379</v>
      </c>
      <c r="C766" s="2" t="s">
        <v>21</v>
      </c>
      <c r="D766" s="2" t="s">
        <v>10</v>
      </c>
      <c r="E766" s="2" t="s">
        <v>19</v>
      </c>
      <c r="F766" s="2">
        <v>99.2</v>
      </c>
      <c r="G766" s="2">
        <v>5</v>
      </c>
      <c r="H766" s="2">
        <v>25.79</v>
      </c>
      <c r="I766" t="str">
        <f t="shared" si="11"/>
        <v>Jul</v>
      </c>
      <c r="J766">
        <f>YEAR(datas[[#This Row],[Order Date]])</f>
        <v>2021</v>
      </c>
    </row>
    <row r="767" spans="1:10" ht="14.25" customHeight="1" x14ac:dyDescent="0.3">
      <c r="A767" s="1">
        <v>44398</v>
      </c>
      <c r="B767" s="2" t="s">
        <v>379</v>
      </c>
      <c r="C767" s="2" t="s">
        <v>21</v>
      </c>
      <c r="D767" s="2" t="s">
        <v>26</v>
      </c>
      <c r="E767" s="2" t="s">
        <v>27</v>
      </c>
      <c r="F767" s="2">
        <v>801.57</v>
      </c>
      <c r="G767" s="2">
        <v>2</v>
      </c>
      <c r="H767" s="2">
        <v>50.1</v>
      </c>
      <c r="I767" t="str">
        <f t="shared" si="11"/>
        <v>Jul</v>
      </c>
      <c r="J767">
        <f>YEAR(datas[[#This Row],[Order Date]])</f>
        <v>2021</v>
      </c>
    </row>
    <row r="768" spans="1:10" ht="14.25" customHeight="1" x14ac:dyDescent="0.3">
      <c r="A768" s="1">
        <v>44398</v>
      </c>
      <c r="B768" s="2" t="s">
        <v>379</v>
      </c>
      <c r="C768" s="2" t="s">
        <v>21</v>
      </c>
      <c r="D768" s="2" t="s">
        <v>26</v>
      </c>
      <c r="E768" s="2" t="s">
        <v>73</v>
      </c>
      <c r="F768" s="2">
        <v>272.85000000000002</v>
      </c>
      <c r="G768" s="2">
        <v>1</v>
      </c>
      <c r="H768" s="2">
        <v>27.28</v>
      </c>
      <c r="I768" t="str">
        <f t="shared" si="11"/>
        <v>Jul</v>
      </c>
      <c r="J768">
        <f>YEAR(datas[[#This Row],[Order Date]])</f>
        <v>2021</v>
      </c>
    </row>
    <row r="769" spans="1:10" ht="14.25" customHeight="1" x14ac:dyDescent="0.3">
      <c r="A769" s="1">
        <v>44398</v>
      </c>
      <c r="B769" s="2" t="s">
        <v>380</v>
      </c>
      <c r="C769" s="2" t="s">
        <v>9</v>
      </c>
      <c r="D769" s="2" t="s">
        <v>10</v>
      </c>
      <c r="E769" s="2" t="s">
        <v>53</v>
      </c>
      <c r="F769" s="2">
        <v>4.99</v>
      </c>
      <c r="G769" s="2">
        <v>3</v>
      </c>
      <c r="H769" s="2">
        <v>-12.98</v>
      </c>
      <c r="I769" t="str">
        <f t="shared" si="11"/>
        <v>Jul</v>
      </c>
      <c r="J769">
        <f>YEAR(datas[[#This Row],[Order Date]])</f>
        <v>2021</v>
      </c>
    </row>
    <row r="770" spans="1:10" ht="14.25" customHeight="1" x14ac:dyDescent="0.3">
      <c r="A770" s="1">
        <v>44398</v>
      </c>
      <c r="B770" s="2" t="s">
        <v>380</v>
      </c>
      <c r="C770" s="2" t="s">
        <v>9</v>
      </c>
      <c r="D770" s="2" t="s">
        <v>10</v>
      </c>
      <c r="E770" s="2" t="s">
        <v>41</v>
      </c>
      <c r="F770" s="2">
        <v>87.92</v>
      </c>
      <c r="G770" s="2">
        <v>5</v>
      </c>
      <c r="H770" s="2">
        <v>29.67</v>
      </c>
      <c r="I770" t="str">
        <f t="shared" si="11"/>
        <v>Jul</v>
      </c>
      <c r="J770">
        <f>YEAR(datas[[#This Row],[Order Date]])</f>
        <v>2021</v>
      </c>
    </row>
    <row r="771" spans="1:10" ht="14.25" customHeight="1" x14ac:dyDescent="0.3">
      <c r="A771" s="1">
        <v>44398</v>
      </c>
      <c r="B771" s="2" t="s">
        <v>380</v>
      </c>
      <c r="C771" s="2" t="s">
        <v>9</v>
      </c>
      <c r="D771" s="2" t="s">
        <v>26</v>
      </c>
      <c r="E771" s="2" t="s">
        <v>27</v>
      </c>
      <c r="F771" s="2">
        <v>657.93</v>
      </c>
      <c r="G771" s="2">
        <v>5</v>
      </c>
      <c r="H771" s="2">
        <v>-93.99</v>
      </c>
      <c r="I771" t="str">
        <f t="shared" ref="I771:I834" si="12">TEXT(A771,"mmm")</f>
        <v>Jul</v>
      </c>
      <c r="J771">
        <f>YEAR(datas[[#This Row],[Order Date]])</f>
        <v>2021</v>
      </c>
    </row>
    <row r="772" spans="1:10" ht="14.25" customHeight="1" x14ac:dyDescent="0.3">
      <c r="A772" s="1">
        <v>44398</v>
      </c>
      <c r="B772" s="2" t="s">
        <v>380</v>
      </c>
      <c r="C772" s="2" t="s">
        <v>9</v>
      </c>
      <c r="D772" s="2" t="s">
        <v>10</v>
      </c>
      <c r="E772" s="2" t="s">
        <v>16</v>
      </c>
      <c r="F772" s="2">
        <v>1.04</v>
      </c>
      <c r="G772" s="2">
        <v>1</v>
      </c>
      <c r="H772" s="2">
        <v>-1.83</v>
      </c>
      <c r="I772" t="str">
        <f t="shared" si="12"/>
        <v>Jul</v>
      </c>
      <c r="J772">
        <f>YEAR(datas[[#This Row],[Order Date]])</f>
        <v>2021</v>
      </c>
    </row>
    <row r="773" spans="1:10" ht="14.25" customHeight="1" x14ac:dyDescent="0.3">
      <c r="A773" s="1">
        <v>44398</v>
      </c>
      <c r="B773" s="2" t="s">
        <v>256</v>
      </c>
      <c r="C773" s="2" t="s">
        <v>381</v>
      </c>
      <c r="D773" s="2" t="s">
        <v>28</v>
      </c>
      <c r="E773" s="2" t="s">
        <v>29</v>
      </c>
      <c r="F773" s="2">
        <v>35.979999999999997</v>
      </c>
      <c r="G773" s="2">
        <v>2</v>
      </c>
      <c r="H773" s="2">
        <v>10.07</v>
      </c>
      <c r="I773" t="str">
        <f t="shared" si="12"/>
        <v>Jul</v>
      </c>
      <c r="J773">
        <f>YEAR(datas[[#This Row],[Order Date]])</f>
        <v>2021</v>
      </c>
    </row>
    <row r="774" spans="1:10" ht="14.25" customHeight="1" x14ac:dyDescent="0.3">
      <c r="A774" s="1">
        <v>44399</v>
      </c>
      <c r="B774" s="2" t="s">
        <v>382</v>
      </c>
      <c r="C774" s="2" t="s">
        <v>75</v>
      </c>
      <c r="D774" s="2" t="s">
        <v>10</v>
      </c>
      <c r="E774" s="2" t="s">
        <v>19</v>
      </c>
      <c r="F774" s="2">
        <v>5.96</v>
      </c>
      <c r="G774" s="2">
        <v>2</v>
      </c>
      <c r="H774" s="2">
        <v>1.67</v>
      </c>
      <c r="I774" t="str">
        <f t="shared" si="12"/>
        <v>Jul</v>
      </c>
      <c r="J774">
        <f>YEAR(datas[[#This Row],[Order Date]])</f>
        <v>2021</v>
      </c>
    </row>
    <row r="775" spans="1:10" ht="14.25" customHeight="1" x14ac:dyDescent="0.3">
      <c r="A775" s="1">
        <v>44399</v>
      </c>
      <c r="B775" s="2" t="s">
        <v>382</v>
      </c>
      <c r="C775" s="2" t="s">
        <v>75</v>
      </c>
      <c r="D775" s="2" t="s">
        <v>28</v>
      </c>
      <c r="E775" s="2" t="s">
        <v>34</v>
      </c>
      <c r="F775" s="2">
        <v>159.97999999999999</v>
      </c>
      <c r="G775" s="2">
        <v>2</v>
      </c>
      <c r="H775" s="2">
        <v>57.59</v>
      </c>
      <c r="I775" t="str">
        <f t="shared" si="12"/>
        <v>Jul</v>
      </c>
      <c r="J775">
        <f>YEAR(datas[[#This Row],[Order Date]])</f>
        <v>2021</v>
      </c>
    </row>
    <row r="776" spans="1:10" ht="14.25" customHeight="1" x14ac:dyDescent="0.3">
      <c r="A776" s="1">
        <v>44399</v>
      </c>
      <c r="B776" s="2" t="s">
        <v>267</v>
      </c>
      <c r="C776" s="2" t="s">
        <v>21</v>
      </c>
      <c r="D776" s="2" t="s">
        <v>10</v>
      </c>
      <c r="E776" s="2" t="s">
        <v>19</v>
      </c>
      <c r="F776" s="2">
        <v>11.52</v>
      </c>
      <c r="G776" s="2">
        <v>4</v>
      </c>
      <c r="H776" s="2">
        <v>3.23</v>
      </c>
      <c r="I776" t="str">
        <f t="shared" si="12"/>
        <v>Jul</v>
      </c>
      <c r="J776">
        <f>YEAR(datas[[#This Row],[Order Date]])</f>
        <v>2021</v>
      </c>
    </row>
    <row r="777" spans="1:10" ht="14.25" customHeight="1" x14ac:dyDescent="0.3">
      <c r="A777" s="1">
        <v>44399</v>
      </c>
      <c r="B777" s="2" t="s">
        <v>267</v>
      </c>
      <c r="C777" s="2" t="s">
        <v>21</v>
      </c>
      <c r="D777" s="2" t="s">
        <v>26</v>
      </c>
      <c r="E777" s="2" t="s">
        <v>27</v>
      </c>
      <c r="F777" s="2">
        <v>717.72</v>
      </c>
      <c r="G777" s="2">
        <v>3</v>
      </c>
      <c r="H777" s="2">
        <v>71.77</v>
      </c>
      <c r="I777" t="str">
        <f t="shared" si="12"/>
        <v>Jul</v>
      </c>
      <c r="J777">
        <f>YEAR(datas[[#This Row],[Order Date]])</f>
        <v>2021</v>
      </c>
    </row>
    <row r="778" spans="1:10" ht="14.25" customHeight="1" x14ac:dyDescent="0.3">
      <c r="A778" s="1">
        <v>44399</v>
      </c>
      <c r="B778" s="2" t="s">
        <v>267</v>
      </c>
      <c r="C778" s="2" t="s">
        <v>21</v>
      </c>
      <c r="D778" s="2" t="s">
        <v>10</v>
      </c>
      <c r="E778" s="2" t="s">
        <v>15</v>
      </c>
      <c r="F778" s="2">
        <v>236.5</v>
      </c>
      <c r="G778" s="2">
        <v>10</v>
      </c>
      <c r="H778" s="2">
        <v>68.59</v>
      </c>
      <c r="I778" t="str">
        <f t="shared" si="12"/>
        <v>Jul</v>
      </c>
      <c r="J778">
        <f>YEAR(datas[[#This Row],[Order Date]])</f>
        <v>2021</v>
      </c>
    </row>
    <row r="779" spans="1:10" ht="14.25" customHeight="1" x14ac:dyDescent="0.3">
      <c r="A779" s="1">
        <v>44399</v>
      </c>
      <c r="B779" s="2" t="s">
        <v>267</v>
      </c>
      <c r="C779" s="2" t="s">
        <v>21</v>
      </c>
      <c r="D779" s="2" t="s">
        <v>26</v>
      </c>
      <c r="E779" s="2" t="s">
        <v>73</v>
      </c>
      <c r="F779" s="2">
        <v>170.35</v>
      </c>
      <c r="G779" s="2">
        <v>3</v>
      </c>
      <c r="H779" s="2">
        <v>19.16</v>
      </c>
      <c r="I779" t="str">
        <f t="shared" si="12"/>
        <v>Jul</v>
      </c>
      <c r="J779">
        <f>YEAR(datas[[#This Row],[Order Date]])</f>
        <v>2021</v>
      </c>
    </row>
    <row r="780" spans="1:10" ht="14.25" customHeight="1" x14ac:dyDescent="0.3">
      <c r="A780" s="1">
        <v>44399</v>
      </c>
      <c r="B780" s="2" t="s">
        <v>383</v>
      </c>
      <c r="C780" s="2" t="s">
        <v>21</v>
      </c>
      <c r="D780" s="2" t="s">
        <v>10</v>
      </c>
      <c r="E780" s="2" t="s">
        <v>19</v>
      </c>
      <c r="F780" s="2">
        <v>19.68</v>
      </c>
      <c r="G780" s="2">
        <v>6</v>
      </c>
      <c r="H780" s="2">
        <v>6.49</v>
      </c>
      <c r="I780" t="str">
        <f t="shared" si="12"/>
        <v>Jul</v>
      </c>
      <c r="J780">
        <f>YEAR(datas[[#This Row],[Order Date]])</f>
        <v>2021</v>
      </c>
    </row>
    <row r="781" spans="1:10" ht="14.25" customHeight="1" x14ac:dyDescent="0.3">
      <c r="A781" s="1">
        <v>44399</v>
      </c>
      <c r="B781" s="2" t="s">
        <v>384</v>
      </c>
      <c r="C781" s="2" t="s">
        <v>9</v>
      </c>
      <c r="D781" s="2" t="s">
        <v>10</v>
      </c>
      <c r="E781" s="2" t="s">
        <v>15</v>
      </c>
      <c r="F781" s="2">
        <v>26.63</v>
      </c>
      <c r="G781" s="2">
        <v>1</v>
      </c>
      <c r="H781" s="2">
        <v>1.33</v>
      </c>
      <c r="I781" t="str">
        <f t="shared" si="12"/>
        <v>Jul</v>
      </c>
      <c r="J781">
        <f>YEAR(datas[[#This Row],[Order Date]])</f>
        <v>2021</v>
      </c>
    </row>
    <row r="782" spans="1:10" ht="14.25" customHeight="1" x14ac:dyDescent="0.3">
      <c r="A782" s="1">
        <v>44400</v>
      </c>
      <c r="B782" s="2" t="s">
        <v>385</v>
      </c>
      <c r="C782" s="2" t="s">
        <v>55</v>
      </c>
      <c r="D782" s="2" t="s">
        <v>10</v>
      </c>
      <c r="E782" s="2" t="s">
        <v>16</v>
      </c>
      <c r="F782" s="2">
        <v>8.16</v>
      </c>
      <c r="G782" s="2">
        <v>5</v>
      </c>
      <c r="H782" s="2">
        <v>-5.71</v>
      </c>
      <c r="I782" t="str">
        <f t="shared" si="12"/>
        <v>Jul</v>
      </c>
      <c r="J782">
        <f>YEAR(datas[[#This Row],[Order Date]])</f>
        <v>2021</v>
      </c>
    </row>
    <row r="783" spans="1:10" ht="14.25" customHeight="1" x14ac:dyDescent="0.3">
      <c r="A783" s="1">
        <v>44400</v>
      </c>
      <c r="B783" s="2" t="s">
        <v>385</v>
      </c>
      <c r="C783" s="2" t="s">
        <v>55</v>
      </c>
      <c r="D783" s="2" t="s">
        <v>28</v>
      </c>
      <c r="E783" s="2" t="s">
        <v>34</v>
      </c>
      <c r="F783" s="2">
        <v>1023.94</v>
      </c>
      <c r="G783" s="2">
        <v>8</v>
      </c>
      <c r="H783" s="2">
        <v>179.19</v>
      </c>
      <c r="I783" t="str">
        <f t="shared" si="12"/>
        <v>Jul</v>
      </c>
      <c r="J783">
        <f>YEAR(datas[[#This Row],[Order Date]])</f>
        <v>2021</v>
      </c>
    </row>
    <row r="784" spans="1:10" ht="14.25" customHeight="1" x14ac:dyDescent="0.3">
      <c r="A784" s="1">
        <v>44400</v>
      </c>
      <c r="B784" s="2" t="s">
        <v>385</v>
      </c>
      <c r="C784" s="2" t="s">
        <v>55</v>
      </c>
      <c r="D784" s="2" t="s">
        <v>10</v>
      </c>
      <c r="E784" s="2" t="s">
        <v>19</v>
      </c>
      <c r="F784" s="2">
        <v>9.24</v>
      </c>
      <c r="G784" s="2">
        <v>1</v>
      </c>
      <c r="H784" s="2">
        <v>0.92</v>
      </c>
      <c r="I784" t="str">
        <f t="shared" si="12"/>
        <v>Jul</v>
      </c>
      <c r="J784">
        <f>YEAR(datas[[#This Row],[Order Date]])</f>
        <v>2021</v>
      </c>
    </row>
    <row r="785" spans="1:10" ht="14.25" customHeight="1" x14ac:dyDescent="0.3">
      <c r="A785" s="1">
        <v>44400</v>
      </c>
      <c r="B785" s="2" t="s">
        <v>385</v>
      </c>
      <c r="C785" s="2" t="s">
        <v>55</v>
      </c>
      <c r="D785" s="2" t="s">
        <v>28</v>
      </c>
      <c r="E785" s="2" t="s">
        <v>34</v>
      </c>
      <c r="F785" s="2">
        <v>479.04</v>
      </c>
      <c r="G785" s="2">
        <v>10</v>
      </c>
      <c r="H785" s="2">
        <v>-29.94</v>
      </c>
      <c r="I785" t="str">
        <f t="shared" si="12"/>
        <v>Jul</v>
      </c>
      <c r="J785">
        <f>YEAR(datas[[#This Row],[Order Date]])</f>
        <v>2021</v>
      </c>
    </row>
    <row r="786" spans="1:10" ht="14.25" customHeight="1" x14ac:dyDescent="0.3">
      <c r="A786" s="1">
        <v>44400</v>
      </c>
      <c r="B786" s="2" t="s">
        <v>265</v>
      </c>
      <c r="C786" s="2" t="s">
        <v>75</v>
      </c>
      <c r="D786" s="2" t="s">
        <v>28</v>
      </c>
      <c r="E786" s="2" t="s">
        <v>34</v>
      </c>
      <c r="F786" s="2">
        <v>99.98</v>
      </c>
      <c r="G786" s="2">
        <v>2</v>
      </c>
      <c r="H786" s="2">
        <v>8</v>
      </c>
      <c r="I786" t="str">
        <f t="shared" si="12"/>
        <v>Jul</v>
      </c>
      <c r="J786">
        <f>YEAR(datas[[#This Row],[Order Date]])</f>
        <v>2021</v>
      </c>
    </row>
    <row r="787" spans="1:10" ht="14.25" customHeight="1" x14ac:dyDescent="0.3">
      <c r="A787" s="1">
        <v>44400</v>
      </c>
      <c r="B787" s="2" t="s">
        <v>386</v>
      </c>
      <c r="C787" s="2" t="s">
        <v>21</v>
      </c>
      <c r="D787" s="2" t="s">
        <v>28</v>
      </c>
      <c r="E787" s="2" t="s">
        <v>29</v>
      </c>
      <c r="F787" s="2">
        <v>604.75</v>
      </c>
      <c r="G787" s="2">
        <v>6</v>
      </c>
      <c r="H787" s="2">
        <v>60.48</v>
      </c>
      <c r="I787" t="str">
        <f t="shared" si="12"/>
        <v>Jul</v>
      </c>
      <c r="J787">
        <f>YEAR(datas[[#This Row],[Order Date]])</f>
        <v>2021</v>
      </c>
    </row>
    <row r="788" spans="1:10" ht="14.25" customHeight="1" x14ac:dyDescent="0.3">
      <c r="A788" s="1">
        <v>44400</v>
      </c>
      <c r="B788" s="2" t="s">
        <v>386</v>
      </c>
      <c r="C788" s="2" t="s">
        <v>21</v>
      </c>
      <c r="D788" s="2" t="s">
        <v>10</v>
      </c>
      <c r="E788" s="2" t="s">
        <v>95</v>
      </c>
      <c r="F788" s="2">
        <v>40.700000000000003</v>
      </c>
      <c r="G788" s="2">
        <v>5</v>
      </c>
      <c r="H788" s="2">
        <v>11.8</v>
      </c>
      <c r="I788" t="str">
        <f t="shared" si="12"/>
        <v>Jul</v>
      </c>
      <c r="J788">
        <f>YEAR(datas[[#This Row],[Order Date]])</f>
        <v>2021</v>
      </c>
    </row>
    <row r="789" spans="1:10" ht="14.25" customHeight="1" x14ac:dyDescent="0.3">
      <c r="A789" s="1">
        <v>44400</v>
      </c>
      <c r="B789" s="2" t="s">
        <v>386</v>
      </c>
      <c r="C789" s="2" t="s">
        <v>21</v>
      </c>
      <c r="D789" s="2" t="s">
        <v>28</v>
      </c>
      <c r="E789" s="2" t="s">
        <v>29</v>
      </c>
      <c r="F789" s="2">
        <v>302.38</v>
      </c>
      <c r="G789" s="2">
        <v>3</v>
      </c>
      <c r="H789" s="2">
        <v>37.799999999999997</v>
      </c>
      <c r="I789" t="str">
        <f t="shared" si="12"/>
        <v>Jul</v>
      </c>
      <c r="J789">
        <f>YEAR(datas[[#This Row],[Order Date]])</f>
        <v>2021</v>
      </c>
    </row>
    <row r="790" spans="1:10" ht="14.25" customHeight="1" x14ac:dyDescent="0.3">
      <c r="A790" s="1">
        <v>44400</v>
      </c>
      <c r="B790" s="2" t="s">
        <v>386</v>
      </c>
      <c r="C790" s="2" t="s">
        <v>21</v>
      </c>
      <c r="D790" s="2" t="s">
        <v>28</v>
      </c>
      <c r="E790" s="2" t="s">
        <v>34</v>
      </c>
      <c r="F790" s="2">
        <v>45</v>
      </c>
      <c r="G790" s="2">
        <v>3</v>
      </c>
      <c r="H790" s="2">
        <v>4.95</v>
      </c>
      <c r="I790" t="str">
        <f t="shared" si="12"/>
        <v>Jul</v>
      </c>
      <c r="J790">
        <f>YEAR(datas[[#This Row],[Order Date]])</f>
        <v>2021</v>
      </c>
    </row>
    <row r="791" spans="1:10" ht="14.25" customHeight="1" x14ac:dyDescent="0.3">
      <c r="A791" s="1">
        <v>44402</v>
      </c>
      <c r="B791" s="2" t="s">
        <v>387</v>
      </c>
      <c r="C791" s="2" t="s">
        <v>21</v>
      </c>
      <c r="D791" s="2" t="s">
        <v>10</v>
      </c>
      <c r="E791" s="2" t="s">
        <v>15</v>
      </c>
      <c r="F791" s="2">
        <v>53.72</v>
      </c>
      <c r="G791" s="2">
        <v>4</v>
      </c>
      <c r="H791" s="2">
        <v>15.04</v>
      </c>
      <c r="I791" t="str">
        <f t="shared" si="12"/>
        <v>Jul</v>
      </c>
      <c r="J791">
        <f>YEAR(datas[[#This Row],[Order Date]])</f>
        <v>2021</v>
      </c>
    </row>
    <row r="792" spans="1:10" ht="14.25" customHeight="1" x14ac:dyDescent="0.3">
      <c r="A792" s="1">
        <v>44402</v>
      </c>
      <c r="B792" s="2" t="s">
        <v>387</v>
      </c>
      <c r="C792" s="2" t="s">
        <v>21</v>
      </c>
      <c r="D792" s="2" t="s">
        <v>10</v>
      </c>
      <c r="E792" s="2" t="s">
        <v>95</v>
      </c>
      <c r="F792" s="2">
        <v>8187.65</v>
      </c>
      <c r="G792" s="2">
        <v>5</v>
      </c>
      <c r="H792" s="2">
        <v>327.51</v>
      </c>
      <c r="I792" t="str">
        <f t="shared" si="12"/>
        <v>Jul</v>
      </c>
      <c r="J792">
        <f>YEAR(datas[[#This Row],[Order Date]])</f>
        <v>2021</v>
      </c>
    </row>
    <row r="793" spans="1:10" ht="14.25" customHeight="1" x14ac:dyDescent="0.3">
      <c r="A793" s="1">
        <v>44402</v>
      </c>
      <c r="B793" s="2" t="s">
        <v>387</v>
      </c>
      <c r="C793" s="2" t="s">
        <v>21</v>
      </c>
      <c r="D793" s="2" t="s">
        <v>26</v>
      </c>
      <c r="E793" s="2" t="s">
        <v>32</v>
      </c>
      <c r="F793" s="2">
        <v>77.92</v>
      </c>
      <c r="G793" s="2">
        <v>8</v>
      </c>
      <c r="H793" s="2">
        <v>34.28</v>
      </c>
      <c r="I793" t="str">
        <f t="shared" si="12"/>
        <v>Jul</v>
      </c>
      <c r="J793">
        <f>YEAR(datas[[#This Row],[Order Date]])</f>
        <v>2021</v>
      </c>
    </row>
    <row r="794" spans="1:10" ht="14.25" customHeight="1" x14ac:dyDescent="0.3">
      <c r="A794" s="1">
        <v>44402</v>
      </c>
      <c r="B794" s="2" t="s">
        <v>109</v>
      </c>
      <c r="C794" s="2" t="s">
        <v>21</v>
      </c>
      <c r="D794" s="2" t="s">
        <v>10</v>
      </c>
      <c r="E794" s="2" t="s">
        <v>11</v>
      </c>
      <c r="F794" s="2">
        <v>6.48</v>
      </c>
      <c r="G794" s="2">
        <v>1</v>
      </c>
      <c r="H794" s="2">
        <v>3.18</v>
      </c>
      <c r="I794" t="str">
        <f t="shared" si="12"/>
        <v>Jul</v>
      </c>
      <c r="J794">
        <f>YEAR(datas[[#This Row],[Order Date]])</f>
        <v>2021</v>
      </c>
    </row>
    <row r="795" spans="1:10" ht="14.25" customHeight="1" x14ac:dyDescent="0.3">
      <c r="A795" s="1">
        <v>44402</v>
      </c>
      <c r="B795" s="2" t="s">
        <v>109</v>
      </c>
      <c r="C795" s="2" t="s">
        <v>21</v>
      </c>
      <c r="D795" s="2" t="s">
        <v>10</v>
      </c>
      <c r="E795" s="2" t="s">
        <v>95</v>
      </c>
      <c r="F795" s="2">
        <v>15.52</v>
      </c>
      <c r="G795" s="2">
        <v>4</v>
      </c>
      <c r="H795" s="2">
        <v>4.5</v>
      </c>
      <c r="I795" t="str">
        <f t="shared" si="12"/>
        <v>Jul</v>
      </c>
      <c r="J795">
        <f>YEAR(datas[[#This Row],[Order Date]])</f>
        <v>2021</v>
      </c>
    </row>
    <row r="796" spans="1:10" ht="14.25" customHeight="1" x14ac:dyDescent="0.3">
      <c r="A796" s="1">
        <v>44403</v>
      </c>
      <c r="B796" s="2" t="s">
        <v>388</v>
      </c>
      <c r="C796" s="2" t="s">
        <v>13</v>
      </c>
      <c r="D796" s="2" t="s">
        <v>10</v>
      </c>
      <c r="E796" s="2" t="s">
        <v>15</v>
      </c>
      <c r="F796" s="2">
        <v>123.55</v>
      </c>
      <c r="G796" s="2">
        <v>3</v>
      </c>
      <c r="H796" s="2">
        <v>-29.34</v>
      </c>
      <c r="I796" t="str">
        <f t="shared" si="12"/>
        <v>Jul</v>
      </c>
      <c r="J796">
        <f>YEAR(datas[[#This Row],[Order Date]])</f>
        <v>2021</v>
      </c>
    </row>
    <row r="797" spans="1:10" ht="14.25" customHeight="1" x14ac:dyDescent="0.3">
      <c r="A797" s="1">
        <v>44403</v>
      </c>
      <c r="B797" s="2" t="s">
        <v>170</v>
      </c>
      <c r="C797" s="2" t="s">
        <v>66</v>
      </c>
      <c r="D797" s="2" t="s">
        <v>28</v>
      </c>
      <c r="E797" s="2" t="s">
        <v>29</v>
      </c>
      <c r="F797" s="2">
        <v>911.98</v>
      </c>
      <c r="G797" s="2">
        <v>2</v>
      </c>
      <c r="H797" s="2">
        <v>114</v>
      </c>
      <c r="I797" t="str">
        <f t="shared" si="12"/>
        <v>Jul</v>
      </c>
      <c r="J797">
        <f>YEAR(datas[[#This Row],[Order Date]])</f>
        <v>2021</v>
      </c>
    </row>
    <row r="798" spans="1:10" ht="14.25" customHeight="1" x14ac:dyDescent="0.3">
      <c r="A798" s="1">
        <v>44403</v>
      </c>
      <c r="B798" s="2" t="s">
        <v>170</v>
      </c>
      <c r="C798" s="2" t="s">
        <v>66</v>
      </c>
      <c r="D798" s="2" t="s">
        <v>26</v>
      </c>
      <c r="E798" s="2" t="s">
        <v>27</v>
      </c>
      <c r="F798" s="2">
        <v>674.35</v>
      </c>
      <c r="G798" s="2">
        <v>3</v>
      </c>
      <c r="H798" s="2">
        <v>-109.58</v>
      </c>
      <c r="I798" t="str">
        <f t="shared" si="12"/>
        <v>Jul</v>
      </c>
      <c r="J798">
        <f>YEAR(datas[[#This Row],[Order Date]])</f>
        <v>2021</v>
      </c>
    </row>
    <row r="799" spans="1:10" ht="14.25" customHeight="1" x14ac:dyDescent="0.3">
      <c r="A799" s="1">
        <v>44403</v>
      </c>
      <c r="B799" s="2" t="s">
        <v>170</v>
      </c>
      <c r="C799" s="2" t="s">
        <v>66</v>
      </c>
      <c r="D799" s="2" t="s">
        <v>26</v>
      </c>
      <c r="E799" s="2" t="s">
        <v>32</v>
      </c>
      <c r="F799" s="2">
        <v>134.01</v>
      </c>
      <c r="G799" s="2">
        <v>9</v>
      </c>
      <c r="H799" s="2">
        <v>36.18</v>
      </c>
      <c r="I799" t="str">
        <f t="shared" si="12"/>
        <v>Jul</v>
      </c>
      <c r="J799">
        <f>YEAR(datas[[#This Row],[Order Date]])</f>
        <v>2021</v>
      </c>
    </row>
    <row r="800" spans="1:10" ht="14.25" customHeight="1" x14ac:dyDescent="0.3">
      <c r="A800" s="1">
        <v>44403</v>
      </c>
      <c r="B800" s="2" t="s">
        <v>170</v>
      </c>
      <c r="C800" s="2" t="s">
        <v>66</v>
      </c>
      <c r="D800" s="2" t="s">
        <v>28</v>
      </c>
      <c r="E800" s="2" t="s">
        <v>34</v>
      </c>
      <c r="F800" s="2">
        <v>170.97</v>
      </c>
      <c r="G800" s="2">
        <v>3</v>
      </c>
      <c r="H800" s="2">
        <v>70.099999999999994</v>
      </c>
      <c r="I800" t="str">
        <f t="shared" si="12"/>
        <v>Jul</v>
      </c>
      <c r="J800">
        <f>YEAR(datas[[#This Row],[Order Date]])</f>
        <v>2021</v>
      </c>
    </row>
    <row r="801" spans="1:10" ht="14.25" customHeight="1" x14ac:dyDescent="0.3">
      <c r="A801" s="1">
        <v>44403</v>
      </c>
      <c r="B801" s="2" t="s">
        <v>22</v>
      </c>
      <c r="C801" s="2" t="s">
        <v>134</v>
      </c>
      <c r="D801" s="2" t="s">
        <v>28</v>
      </c>
      <c r="E801" s="2" t="s">
        <v>34</v>
      </c>
      <c r="F801" s="2">
        <v>111.93</v>
      </c>
      <c r="G801" s="2">
        <v>7</v>
      </c>
      <c r="H801" s="2">
        <v>34.700000000000003</v>
      </c>
      <c r="I801" t="str">
        <f t="shared" si="12"/>
        <v>Jul</v>
      </c>
      <c r="J801">
        <f>YEAR(datas[[#This Row],[Order Date]])</f>
        <v>2021</v>
      </c>
    </row>
    <row r="802" spans="1:10" ht="14.25" customHeight="1" x14ac:dyDescent="0.3">
      <c r="A802" s="1">
        <v>44403</v>
      </c>
      <c r="B802" s="2" t="s">
        <v>389</v>
      </c>
      <c r="C802" s="2" t="s">
        <v>23</v>
      </c>
      <c r="D802" s="2" t="s">
        <v>26</v>
      </c>
      <c r="E802" s="2" t="s">
        <v>27</v>
      </c>
      <c r="F802" s="2">
        <v>67.88</v>
      </c>
      <c r="G802" s="2">
        <v>2</v>
      </c>
      <c r="H802" s="2">
        <v>18.329999999999998</v>
      </c>
      <c r="I802" t="str">
        <f t="shared" si="12"/>
        <v>Jul</v>
      </c>
      <c r="J802">
        <f>YEAR(datas[[#This Row],[Order Date]])</f>
        <v>2021</v>
      </c>
    </row>
    <row r="803" spans="1:10" ht="14.25" customHeight="1" x14ac:dyDescent="0.3">
      <c r="A803" s="1">
        <v>44403</v>
      </c>
      <c r="B803" s="2" t="s">
        <v>389</v>
      </c>
      <c r="C803" s="2" t="s">
        <v>23</v>
      </c>
      <c r="D803" s="2" t="s">
        <v>10</v>
      </c>
      <c r="E803" s="2" t="s">
        <v>14</v>
      </c>
      <c r="F803" s="2">
        <v>162.88999999999999</v>
      </c>
      <c r="G803" s="2">
        <v>13</v>
      </c>
      <c r="H803" s="2">
        <v>76.56</v>
      </c>
      <c r="I803" t="str">
        <f t="shared" si="12"/>
        <v>Jul</v>
      </c>
      <c r="J803">
        <f>YEAR(datas[[#This Row],[Order Date]])</f>
        <v>2021</v>
      </c>
    </row>
    <row r="804" spans="1:10" ht="14.25" customHeight="1" x14ac:dyDescent="0.3">
      <c r="A804" s="1">
        <v>44403</v>
      </c>
      <c r="B804" s="2" t="s">
        <v>389</v>
      </c>
      <c r="C804" s="2" t="s">
        <v>23</v>
      </c>
      <c r="D804" s="2" t="s">
        <v>26</v>
      </c>
      <c r="E804" s="2" t="s">
        <v>32</v>
      </c>
      <c r="F804" s="2">
        <v>25.71</v>
      </c>
      <c r="G804" s="2">
        <v>3</v>
      </c>
      <c r="H804" s="2">
        <v>9.26</v>
      </c>
      <c r="I804" t="str">
        <f t="shared" si="12"/>
        <v>Jul</v>
      </c>
      <c r="J804">
        <f>YEAR(datas[[#This Row],[Order Date]])</f>
        <v>2021</v>
      </c>
    </row>
    <row r="805" spans="1:10" ht="14.25" customHeight="1" x14ac:dyDescent="0.3">
      <c r="A805" s="1">
        <v>44403</v>
      </c>
      <c r="B805" s="2" t="s">
        <v>390</v>
      </c>
      <c r="C805" s="2" t="s">
        <v>9</v>
      </c>
      <c r="D805" s="2" t="s">
        <v>10</v>
      </c>
      <c r="E805" s="2" t="s">
        <v>16</v>
      </c>
      <c r="F805" s="2">
        <v>2177.58</v>
      </c>
      <c r="G805" s="2">
        <v>8</v>
      </c>
      <c r="H805" s="2">
        <v>-3701.89</v>
      </c>
      <c r="I805" t="str">
        <f t="shared" si="12"/>
        <v>Jul</v>
      </c>
      <c r="J805">
        <f>YEAR(datas[[#This Row],[Order Date]])</f>
        <v>2021</v>
      </c>
    </row>
    <row r="806" spans="1:10" ht="14.25" customHeight="1" x14ac:dyDescent="0.3">
      <c r="A806" s="1">
        <v>44403</v>
      </c>
      <c r="B806" s="2" t="s">
        <v>390</v>
      </c>
      <c r="C806" s="2" t="s">
        <v>9</v>
      </c>
      <c r="D806" s="2" t="s">
        <v>26</v>
      </c>
      <c r="E806" s="2" t="s">
        <v>32</v>
      </c>
      <c r="F806" s="2">
        <v>17.5</v>
      </c>
      <c r="G806" s="2">
        <v>3</v>
      </c>
      <c r="H806" s="2">
        <v>-10.06</v>
      </c>
      <c r="I806" t="str">
        <f t="shared" si="12"/>
        <v>Jul</v>
      </c>
      <c r="J806">
        <f>YEAR(datas[[#This Row],[Order Date]])</f>
        <v>2021</v>
      </c>
    </row>
    <row r="807" spans="1:10" ht="14.25" customHeight="1" x14ac:dyDescent="0.3">
      <c r="A807" s="1">
        <v>44403</v>
      </c>
      <c r="B807" s="2" t="s">
        <v>390</v>
      </c>
      <c r="C807" s="2" t="s">
        <v>9</v>
      </c>
      <c r="D807" s="2" t="s">
        <v>10</v>
      </c>
      <c r="E807" s="2" t="s">
        <v>16</v>
      </c>
      <c r="F807" s="2">
        <v>16.78</v>
      </c>
      <c r="G807" s="2">
        <v>4</v>
      </c>
      <c r="H807" s="2">
        <v>-26.85</v>
      </c>
      <c r="I807" t="str">
        <f t="shared" si="12"/>
        <v>Jul</v>
      </c>
      <c r="J807">
        <f>YEAR(datas[[#This Row],[Order Date]])</f>
        <v>2021</v>
      </c>
    </row>
    <row r="808" spans="1:10" ht="14.25" customHeight="1" x14ac:dyDescent="0.3">
      <c r="A808" s="1">
        <v>44403</v>
      </c>
      <c r="B808" s="2" t="s">
        <v>390</v>
      </c>
      <c r="C808" s="2" t="s">
        <v>9</v>
      </c>
      <c r="D808" s="2" t="s">
        <v>28</v>
      </c>
      <c r="E808" s="2" t="s">
        <v>34</v>
      </c>
      <c r="F808" s="2">
        <v>431.14</v>
      </c>
      <c r="G808" s="2">
        <v>9</v>
      </c>
      <c r="H808" s="2">
        <v>-26.95</v>
      </c>
      <c r="I808" t="str">
        <f t="shared" si="12"/>
        <v>Jul</v>
      </c>
      <c r="J808">
        <f>YEAR(datas[[#This Row],[Order Date]])</f>
        <v>2021</v>
      </c>
    </row>
    <row r="809" spans="1:10" ht="14.25" customHeight="1" x14ac:dyDescent="0.3">
      <c r="A809" s="1">
        <v>44403</v>
      </c>
      <c r="B809" s="2" t="s">
        <v>390</v>
      </c>
      <c r="C809" s="2" t="s">
        <v>9</v>
      </c>
      <c r="D809" s="2" t="s">
        <v>10</v>
      </c>
      <c r="E809" s="2" t="s">
        <v>16</v>
      </c>
      <c r="F809" s="2">
        <v>8.8800000000000008</v>
      </c>
      <c r="G809" s="2">
        <v>5</v>
      </c>
      <c r="H809" s="2">
        <v>-13.32</v>
      </c>
      <c r="I809" t="str">
        <f t="shared" si="12"/>
        <v>Jul</v>
      </c>
      <c r="J809">
        <f>YEAR(datas[[#This Row],[Order Date]])</f>
        <v>2021</v>
      </c>
    </row>
    <row r="810" spans="1:10" ht="14.25" customHeight="1" x14ac:dyDescent="0.3">
      <c r="A810" s="1">
        <v>44403</v>
      </c>
      <c r="B810" s="2" t="s">
        <v>390</v>
      </c>
      <c r="C810" s="2" t="s">
        <v>9</v>
      </c>
      <c r="D810" s="2" t="s">
        <v>10</v>
      </c>
      <c r="E810" s="2" t="s">
        <v>53</v>
      </c>
      <c r="F810" s="2">
        <v>4.84</v>
      </c>
      <c r="G810" s="2">
        <v>2</v>
      </c>
      <c r="H810" s="2">
        <v>-12.09</v>
      </c>
      <c r="I810" t="str">
        <f t="shared" si="12"/>
        <v>Jul</v>
      </c>
      <c r="J810">
        <f>YEAR(datas[[#This Row],[Order Date]])</f>
        <v>2021</v>
      </c>
    </row>
    <row r="811" spans="1:10" ht="14.25" customHeight="1" x14ac:dyDescent="0.3">
      <c r="A811" s="1">
        <v>44404</v>
      </c>
      <c r="B811" s="2" t="s">
        <v>111</v>
      </c>
      <c r="C811" s="2" t="s">
        <v>21</v>
      </c>
      <c r="D811" s="2" t="s">
        <v>28</v>
      </c>
      <c r="E811" s="2" t="s">
        <v>34</v>
      </c>
      <c r="F811" s="2">
        <v>238</v>
      </c>
      <c r="G811" s="2">
        <v>2</v>
      </c>
      <c r="H811" s="2">
        <v>38.08</v>
      </c>
      <c r="I811" t="str">
        <f t="shared" si="12"/>
        <v>Jul</v>
      </c>
      <c r="J811">
        <f>YEAR(datas[[#This Row],[Order Date]])</f>
        <v>2021</v>
      </c>
    </row>
    <row r="812" spans="1:10" ht="14.25" customHeight="1" x14ac:dyDescent="0.3">
      <c r="A812" s="1">
        <v>44404</v>
      </c>
      <c r="B812" s="2" t="s">
        <v>391</v>
      </c>
      <c r="C812" s="2" t="s">
        <v>75</v>
      </c>
      <c r="D812" s="2" t="s">
        <v>10</v>
      </c>
      <c r="E812" s="2" t="s">
        <v>11</v>
      </c>
      <c r="F812" s="2">
        <v>65.78</v>
      </c>
      <c r="G812" s="2">
        <v>11</v>
      </c>
      <c r="H812" s="2">
        <v>32.229999999999997</v>
      </c>
      <c r="I812" t="str">
        <f t="shared" si="12"/>
        <v>Jul</v>
      </c>
      <c r="J812">
        <f>YEAR(datas[[#This Row],[Order Date]])</f>
        <v>2021</v>
      </c>
    </row>
    <row r="813" spans="1:10" ht="14.25" customHeight="1" x14ac:dyDescent="0.3">
      <c r="A813" s="1">
        <v>44404</v>
      </c>
      <c r="B813" s="2" t="s">
        <v>392</v>
      </c>
      <c r="C813" s="2" t="s">
        <v>21</v>
      </c>
      <c r="D813" s="2" t="s">
        <v>10</v>
      </c>
      <c r="E813" s="2" t="s">
        <v>15</v>
      </c>
      <c r="F813" s="2">
        <v>276.27999999999997</v>
      </c>
      <c r="G813" s="2">
        <v>2</v>
      </c>
      <c r="H813" s="2">
        <v>0</v>
      </c>
      <c r="I813" t="str">
        <f t="shared" si="12"/>
        <v>Jul</v>
      </c>
      <c r="J813">
        <f>YEAR(datas[[#This Row],[Order Date]])</f>
        <v>2021</v>
      </c>
    </row>
    <row r="814" spans="1:10" ht="14.25" customHeight="1" x14ac:dyDescent="0.3">
      <c r="A814" s="1">
        <v>44405</v>
      </c>
      <c r="B814" s="2" t="s">
        <v>127</v>
      </c>
      <c r="C814" s="2" t="s">
        <v>64</v>
      </c>
      <c r="D814" s="2" t="s">
        <v>10</v>
      </c>
      <c r="E814" s="2" t="s">
        <v>30</v>
      </c>
      <c r="F814" s="2">
        <v>14.32</v>
      </c>
      <c r="G814" s="2">
        <v>5</v>
      </c>
      <c r="H814" s="2">
        <v>5.19</v>
      </c>
      <c r="I814" t="str">
        <f t="shared" si="12"/>
        <v>Jul</v>
      </c>
      <c r="J814">
        <f>YEAR(datas[[#This Row],[Order Date]])</f>
        <v>2021</v>
      </c>
    </row>
    <row r="815" spans="1:10" ht="14.25" customHeight="1" x14ac:dyDescent="0.3">
      <c r="A815" s="1">
        <v>44405</v>
      </c>
      <c r="B815" s="2" t="s">
        <v>127</v>
      </c>
      <c r="C815" s="2" t="s">
        <v>64</v>
      </c>
      <c r="D815" s="2" t="s">
        <v>26</v>
      </c>
      <c r="E815" s="2" t="s">
        <v>32</v>
      </c>
      <c r="F815" s="2">
        <v>129.88999999999999</v>
      </c>
      <c r="G815" s="2">
        <v>6</v>
      </c>
      <c r="H815" s="2">
        <v>12.99</v>
      </c>
      <c r="I815" t="str">
        <f t="shared" si="12"/>
        <v>Jul</v>
      </c>
      <c r="J815">
        <f>YEAR(datas[[#This Row],[Order Date]])</f>
        <v>2021</v>
      </c>
    </row>
    <row r="816" spans="1:10" ht="14.25" customHeight="1" x14ac:dyDescent="0.3">
      <c r="A816" s="1">
        <v>44405</v>
      </c>
      <c r="B816" s="2" t="s">
        <v>127</v>
      </c>
      <c r="C816" s="2" t="s">
        <v>64</v>
      </c>
      <c r="D816" s="2" t="s">
        <v>10</v>
      </c>
      <c r="E816" s="2" t="s">
        <v>41</v>
      </c>
      <c r="F816" s="2">
        <v>48.94</v>
      </c>
      <c r="G816" s="2">
        <v>7</v>
      </c>
      <c r="H816" s="2">
        <v>16.52</v>
      </c>
      <c r="I816" t="str">
        <f t="shared" si="12"/>
        <v>Jul</v>
      </c>
      <c r="J816">
        <f>YEAR(datas[[#This Row],[Order Date]])</f>
        <v>2021</v>
      </c>
    </row>
    <row r="817" spans="1:10" ht="14.25" customHeight="1" x14ac:dyDescent="0.3">
      <c r="A817" s="1">
        <v>44407</v>
      </c>
      <c r="B817" s="2" t="s">
        <v>393</v>
      </c>
      <c r="C817" s="2" t="s">
        <v>82</v>
      </c>
      <c r="D817" s="2" t="s">
        <v>26</v>
      </c>
      <c r="E817" s="2" t="s">
        <v>45</v>
      </c>
      <c r="F817" s="2">
        <v>1367.84</v>
      </c>
      <c r="G817" s="2">
        <v>8</v>
      </c>
      <c r="H817" s="2">
        <v>259.89</v>
      </c>
      <c r="I817" t="str">
        <f t="shared" si="12"/>
        <v>Jul</v>
      </c>
      <c r="J817">
        <f>YEAR(datas[[#This Row],[Order Date]])</f>
        <v>2021</v>
      </c>
    </row>
    <row r="818" spans="1:10" ht="14.25" customHeight="1" x14ac:dyDescent="0.3">
      <c r="A818" s="1">
        <v>44409</v>
      </c>
      <c r="B818" s="2" t="s">
        <v>370</v>
      </c>
      <c r="C818" s="2" t="s">
        <v>115</v>
      </c>
      <c r="D818" s="2" t="s">
        <v>10</v>
      </c>
      <c r="E818" s="2" t="s">
        <v>14</v>
      </c>
      <c r="F818" s="2">
        <v>17.54</v>
      </c>
      <c r="G818" s="2">
        <v>3</v>
      </c>
      <c r="H818" s="2">
        <v>5.92</v>
      </c>
      <c r="I818" t="str">
        <f t="shared" si="12"/>
        <v>Aug</v>
      </c>
      <c r="J818">
        <f>YEAR(datas[[#This Row],[Order Date]])</f>
        <v>2021</v>
      </c>
    </row>
    <row r="819" spans="1:10" ht="14.25" customHeight="1" x14ac:dyDescent="0.3">
      <c r="A819" s="1">
        <v>44409</v>
      </c>
      <c r="B819" s="2" t="s">
        <v>370</v>
      </c>
      <c r="C819" s="2" t="s">
        <v>115</v>
      </c>
      <c r="D819" s="2" t="s">
        <v>26</v>
      </c>
      <c r="E819" s="2" t="s">
        <v>32</v>
      </c>
      <c r="F819" s="2">
        <v>44.13</v>
      </c>
      <c r="G819" s="2">
        <v>4</v>
      </c>
      <c r="H819" s="2">
        <v>12.14</v>
      </c>
      <c r="I819" t="str">
        <f t="shared" si="12"/>
        <v>Aug</v>
      </c>
      <c r="J819">
        <f>YEAR(datas[[#This Row],[Order Date]])</f>
        <v>2021</v>
      </c>
    </row>
    <row r="820" spans="1:10" ht="14.25" customHeight="1" x14ac:dyDescent="0.3">
      <c r="A820" s="1">
        <v>44409</v>
      </c>
      <c r="B820" s="2" t="s">
        <v>370</v>
      </c>
      <c r="C820" s="2" t="s">
        <v>115</v>
      </c>
      <c r="D820" s="2" t="s">
        <v>10</v>
      </c>
      <c r="E820" s="2" t="s">
        <v>53</v>
      </c>
      <c r="F820" s="2">
        <v>62.92</v>
      </c>
      <c r="G820" s="2">
        <v>1</v>
      </c>
      <c r="H820" s="2">
        <v>10.220000000000001</v>
      </c>
      <c r="I820" t="str">
        <f t="shared" si="12"/>
        <v>Aug</v>
      </c>
      <c r="J820">
        <f>YEAR(datas[[#This Row],[Order Date]])</f>
        <v>2021</v>
      </c>
    </row>
    <row r="821" spans="1:10" ht="14.25" customHeight="1" x14ac:dyDescent="0.3">
      <c r="A821" s="1">
        <v>44409</v>
      </c>
      <c r="B821" s="2" t="s">
        <v>370</v>
      </c>
      <c r="C821" s="2" t="s">
        <v>115</v>
      </c>
      <c r="D821" s="2" t="s">
        <v>10</v>
      </c>
      <c r="E821" s="2" t="s">
        <v>11</v>
      </c>
      <c r="F821" s="2">
        <v>78.3</v>
      </c>
      <c r="G821" s="2">
        <v>2</v>
      </c>
      <c r="H821" s="2">
        <v>29.36</v>
      </c>
      <c r="I821" t="str">
        <f t="shared" si="12"/>
        <v>Aug</v>
      </c>
      <c r="J821">
        <f>YEAR(datas[[#This Row],[Order Date]])</f>
        <v>2021</v>
      </c>
    </row>
    <row r="822" spans="1:10" ht="14.25" customHeight="1" x14ac:dyDescent="0.3">
      <c r="A822" s="1">
        <v>44409</v>
      </c>
      <c r="B822" s="2" t="s">
        <v>394</v>
      </c>
      <c r="C822" s="2" t="s">
        <v>21</v>
      </c>
      <c r="D822" s="2" t="s">
        <v>10</v>
      </c>
      <c r="E822" s="2" t="s">
        <v>16</v>
      </c>
      <c r="F822" s="2">
        <v>19.75</v>
      </c>
      <c r="G822" s="2">
        <v>3</v>
      </c>
      <c r="H822" s="2">
        <v>6.91</v>
      </c>
      <c r="I822" t="str">
        <f t="shared" si="12"/>
        <v>Aug</v>
      </c>
      <c r="J822">
        <f>YEAR(datas[[#This Row],[Order Date]])</f>
        <v>2021</v>
      </c>
    </row>
    <row r="823" spans="1:10" ht="14.25" customHeight="1" x14ac:dyDescent="0.3">
      <c r="A823" s="1">
        <v>44409</v>
      </c>
      <c r="B823" s="2" t="s">
        <v>395</v>
      </c>
      <c r="C823" s="2" t="s">
        <v>18</v>
      </c>
      <c r="D823" s="2" t="s">
        <v>10</v>
      </c>
      <c r="E823" s="2" t="s">
        <v>30</v>
      </c>
      <c r="F823" s="2">
        <v>5.68</v>
      </c>
      <c r="G823" s="2">
        <v>2</v>
      </c>
      <c r="H823" s="2">
        <v>1.92</v>
      </c>
      <c r="I823" t="str">
        <f t="shared" si="12"/>
        <v>Aug</v>
      </c>
      <c r="J823">
        <f>YEAR(datas[[#This Row],[Order Date]])</f>
        <v>2021</v>
      </c>
    </row>
    <row r="824" spans="1:10" ht="14.25" customHeight="1" x14ac:dyDescent="0.3">
      <c r="A824" s="1">
        <v>44410</v>
      </c>
      <c r="B824" s="2" t="s">
        <v>396</v>
      </c>
      <c r="C824" s="2" t="s">
        <v>91</v>
      </c>
      <c r="D824" s="2" t="s">
        <v>10</v>
      </c>
      <c r="E824" s="2" t="s">
        <v>16</v>
      </c>
      <c r="F824" s="2">
        <v>26.7</v>
      </c>
      <c r="G824" s="2">
        <v>5</v>
      </c>
      <c r="H824" s="2">
        <v>12.55</v>
      </c>
      <c r="I824" t="str">
        <f t="shared" si="12"/>
        <v>Aug</v>
      </c>
      <c r="J824">
        <f>YEAR(datas[[#This Row],[Order Date]])</f>
        <v>2021</v>
      </c>
    </row>
    <row r="825" spans="1:10" ht="14.25" customHeight="1" x14ac:dyDescent="0.3">
      <c r="A825" s="1">
        <v>44410</v>
      </c>
      <c r="B825" s="2" t="s">
        <v>396</v>
      </c>
      <c r="C825" s="2" t="s">
        <v>91</v>
      </c>
      <c r="D825" s="2" t="s">
        <v>28</v>
      </c>
      <c r="E825" s="2" t="s">
        <v>34</v>
      </c>
      <c r="F825" s="2">
        <v>21.2</v>
      </c>
      <c r="G825" s="2">
        <v>2</v>
      </c>
      <c r="H825" s="2">
        <v>9.1199999999999992</v>
      </c>
      <c r="I825" t="str">
        <f t="shared" si="12"/>
        <v>Aug</v>
      </c>
      <c r="J825">
        <f>YEAR(datas[[#This Row],[Order Date]])</f>
        <v>2021</v>
      </c>
    </row>
    <row r="826" spans="1:10" ht="14.25" customHeight="1" x14ac:dyDescent="0.3">
      <c r="A826" s="1">
        <v>44410</v>
      </c>
      <c r="B826" s="2" t="s">
        <v>396</v>
      </c>
      <c r="C826" s="2" t="s">
        <v>91</v>
      </c>
      <c r="D826" s="2" t="s">
        <v>10</v>
      </c>
      <c r="E826" s="2" t="s">
        <v>15</v>
      </c>
      <c r="F826" s="2">
        <v>838.38</v>
      </c>
      <c r="G826" s="2">
        <v>2</v>
      </c>
      <c r="H826" s="2">
        <v>226.36</v>
      </c>
      <c r="I826" t="str">
        <f t="shared" si="12"/>
        <v>Aug</v>
      </c>
      <c r="J826">
        <f>YEAR(datas[[#This Row],[Order Date]])</f>
        <v>2021</v>
      </c>
    </row>
    <row r="827" spans="1:10" ht="14.25" customHeight="1" x14ac:dyDescent="0.3">
      <c r="A827" s="1">
        <v>44411</v>
      </c>
      <c r="B827" s="2" t="s">
        <v>272</v>
      </c>
      <c r="C827" s="2" t="s">
        <v>126</v>
      </c>
      <c r="D827" s="2" t="s">
        <v>26</v>
      </c>
      <c r="E827" s="2" t="s">
        <v>73</v>
      </c>
      <c r="F827" s="2">
        <v>218.75</v>
      </c>
      <c r="G827" s="2">
        <v>2</v>
      </c>
      <c r="H827" s="2">
        <v>-161.88</v>
      </c>
      <c r="I827" t="str">
        <f t="shared" si="12"/>
        <v>Aug</v>
      </c>
      <c r="J827">
        <f>YEAR(datas[[#This Row],[Order Date]])</f>
        <v>2021</v>
      </c>
    </row>
    <row r="828" spans="1:10" ht="14.25" customHeight="1" x14ac:dyDescent="0.3">
      <c r="A828" s="1">
        <v>44411</v>
      </c>
      <c r="B828" s="2" t="s">
        <v>272</v>
      </c>
      <c r="C828" s="2" t="s">
        <v>126</v>
      </c>
      <c r="D828" s="2" t="s">
        <v>10</v>
      </c>
      <c r="E828" s="2" t="s">
        <v>53</v>
      </c>
      <c r="F828" s="2">
        <v>2.6</v>
      </c>
      <c r="G828" s="2">
        <v>1</v>
      </c>
      <c r="H828" s="2">
        <v>0.28999999999999998</v>
      </c>
      <c r="I828" t="str">
        <f t="shared" si="12"/>
        <v>Aug</v>
      </c>
      <c r="J828">
        <f>YEAR(datas[[#This Row],[Order Date]])</f>
        <v>2021</v>
      </c>
    </row>
    <row r="829" spans="1:10" ht="14.25" customHeight="1" x14ac:dyDescent="0.3">
      <c r="A829" s="1">
        <v>44411</v>
      </c>
      <c r="B829" s="2" t="s">
        <v>397</v>
      </c>
      <c r="C829" s="2" t="s">
        <v>75</v>
      </c>
      <c r="D829" s="2" t="s">
        <v>10</v>
      </c>
      <c r="E829" s="2" t="s">
        <v>11</v>
      </c>
      <c r="F829" s="2">
        <v>39.96</v>
      </c>
      <c r="G829" s="2">
        <v>2</v>
      </c>
      <c r="H829" s="2">
        <v>18.78</v>
      </c>
      <c r="I829" t="str">
        <f t="shared" si="12"/>
        <v>Aug</v>
      </c>
      <c r="J829">
        <f>YEAR(datas[[#This Row],[Order Date]])</f>
        <v>2021</v>
      </c>
    </row>
    <row r="830" spans="1:10" ht="14.25" customHeight="1" x14ac:dyDescent="0.3">
      <c r="A830" s="1">
        <v>44411</v>
      </c>
      <c r="B830" s="2" t="s">
        <v>397</v>
      </c>
      <c r="C830" s="2" t="s">
        <v>75</v>
      </c>
      <c r="D830" s="2" t="s">
        <v>10</v>
      </c>
      <c r="E830" s="2" t="s">
        <v>95</v>
      </c>
      <c r="F830" s="2">
        <v>102.3</v>
      </c>
      <c r="G830" s="2">
        <v>10</v>
      </c>
      <c r="H830" s="2">
        <v>26.6</v>
      </c>
      <c r="I830" t="str">
        <f t="shared" si="12"/>
        <v>Aug</v>
      </c>
      <c r="J830">
        <f>YEAR(datas[[#This Row],[Order Date]])</f>
        <v>2021</v>
      </c>
    </row>
    <row r="831" spans="1:10" ht="14.25" customHeight="1" x14ac:dyDescent="0.3">
      <c r="A831" s="1">
        <v>44411</v>
      </c>
      <c r="B831" s="2" t="s">
        <v>397</v>
      </c>
      <c r="C831" s="2" t="s">
        <v>75</v>
      </c>
      <c r="D831" s="2" t="s">
        <v>10</v>
      </c>
      <c r="E831" s="2" t="s">
        <v>15</v>
      </c>
      <c r="F831" s="2">
        <v>21.36</v>
      </c>
      <c r="G831" s="2">
        <v>2</v>
      </c>
      <c r="H831" s="2">
        <v>5.77</v>
      </c>
      <c r="I831" t="str">
        <f t="shared" si="12"/>
        <v>Aug</v>
      </c>
      <c r="J831">
        <f>YEAR(datas[[#This Row],[Order Date]])</f>
        <v>2021</v>
      </c>
    </row>
    <row r="832" spans="1:10" ht="14.25" customHeight="1" x14ac:dyDescent="0.3">
      <c r="A832" s="1">
        <v>44411</v>
      </c>
      <c r="B832" s="2" t="s">
        <v>360</v>
      </c>
      <c r="C832" s="2" t="s">
        <v>55</v>
      </c>
      <c r="D832" s="2" t="s">
        <v>10</v>
      </c>
      <c r="E832" s="2" t="s">
        <v>11</v>
      </c>
      <c r="F832" s="2">
        <v>93.02</v>
      </c>
      <c r="G832" s="2">
        <v>3</v>
      </c>
      <c r="H832" s="2">
        <v>33.72</v>
      </c>
      <c r="I832" t="str">
        <f t="shared" si="12"/>
        <v>Aug</v>
      </c>
      <c r="J832">
        <f>YEAR(datas[[#This Row],[Order Date]])</f>
        <v>2021</v>
      </c>
    </row>
    <row r="833" spans="1:10" ht="14.25" customHeight="1" x14ac:dyDescent="0.3">
      <c r="A833" s="1">
        <v>44412</v>
      </c>
      <c r="B833" s="2" t="s">
        <v>398</v>
      </c>
      <c r="C833" s="2" t="s">
        <v>134</v>
      </c>
      <c r="D833" s="2" t="s">
        <v>10</v>
      </c>
      <c r="E833" s="2" t="s">
        <v>53</v>
      </c>
      <c r="F833" s="2">
        <v>1089.75</v>
      </c>
      <c r="G833" s="2">
        <v>3</v>
      </c>
      <c r="H833" s="2">
        <v>305.13</v>
      </c>
      <c r="I833" t="str">
        <f t="shared" si="12"/>
        <v>Aug</v>
      </c>
      <c r="J833">
        <f>YEAR(datas[[#This Row],[Order Date]])</f>
        <v>2021</v>
      </c>
    </row>
    <row r="834" spans="1:10" ht="14.25" customHeight="1" x14ac:dyDescent="0.3">
      <c r="A834" s="1">
        <v>44412</v>
      </c>
      <c r="B834" s="2" t="s">
        <v>398</v>
      </c>
      <c r="C834" s="2" t="s">
        <v>134</v>
      </c>
      <c r="D834" s="2" t="s">
        <v>10</v>
      </c>
      <c r="E834" s="2" t="s">
        <v>11</v>
      </c>
      <c r="F834" s="2">
        <v>447.84</v>
      </c>
      <c r="G834" s="2">
        <v>8</v>
      </c>
      <c r="H834" s="2">
        <v>219.44</v>
      </c>
      <c r="I834" t="str">
        <f t="shared" si="12"/>
        <v>Aug</v>
      </c>
      <c r="J834">
        <f>YEAR(datas[[#This Row],[Order Date]])</f>
        <v>2021</v>
      </c>
    </row>
    <row r="835" spans="1:10" ht="14.25" customHeight="1" x14ac:dyDescent="0.3">
      <c r="A835" s="1">
        <v>44412</v>
      </c>
      <c r="B835" s="2" t="s">
        <v>398</v>
      </c>
      <c r="C835" s="2" t="s">
        <v>134</v>
      </c>
      <c r="D835" s="2" t="s">
        <v>10</v>
      </c>
      <c r="E835" s="2" t="s">
        <v>19</v>
      </c>
      <c r="F835" s="2">
        <v>16.399999999999999</v>
      </c>
      <c r="G835" s="2">
        <v>5</v>
      </c>
      <c r="H835" s="2">
        <v>4.26</v>
      </c>
      <c r="I835" t="str">
        <f t="shared" ref="I835:I898" si="13">TEXT(A835,"mmm")</f>
        <v>Aug</v>
      </c>
      <c r="J835">
        <f>YEAR(datas[[#This Row],[Order Date]])</f>
        <v>2021</v>
      </c>
    </row>
    <row r="836" spans="1:10" ht="14.25" customHeight="1" x14ac:dyDescent="0.3">
      <c r="A836" s="1">
        <v>44412</v>
      </c>
      <c r="B836" s="2" t="s">
        <v>398</v>
      </c>
      <c r="C836" s="2" t="s">
        <v>134</v>
      </c>
      <c r="D836" s="2" t="s">
        <v>28</v>
      </c>
      <c r="E836" s="2" t="s">
        <v>29</v>
      </c>
      <c r="F836" s="2">
        <v>399.96</v>
      </c>
      <c r="G836" s="2">
        <v>5</v>
      </c>
      <c r="H836" s="2">
        <v>35</v>
      </c>
      <c r="I836" t="str">
        <f t="shared" si="13"/>
        <v>Aug</v>
      </c>
      <c r="J836">
        <f>YEAR(datas[[#This Row],[Order Date]])</f>
        <v>2021</v>
      </c>
    </row>
    <row r="837" spans="1:10" ht="14.25" customHeight="1" x14ac:dyDescent="0.3">
      <c r="A837" s="1">
        <v>44412</v>
      </c>
      <c r="B837" s="2" t="s">
        <v>398</v>
      </c>
      <c r="C837" s="2" t="s">
        <v>134</v>
      </c>
      <c r="D837" s="2" t="s">
        <v>10</v>
      </c>
      <c r="E837" s="2" t="s">
        <v>15</v>
      </c>
      <c r="F837" s="2">
        <v>158.9</v>
      </c>
      <c r="G837" s="2">
        <v>5</v>
      </c>
      <c r="H837" s="2">
        <v>7.95</v>
      </c>
      <c r="I837" t="str">
        <f t="shared" si="13"/>
        <v>Aug</v>
      </c>
      <c r="J837">
        <f>YEAR(datas[[#This Row],[Order Date]])</f>
        <v>2021</v>
      </c>
    </row>
    <row r="838" spans="1:10" ht="14.25" customHeight="1" x14ac:dyDescent="0.3">
      <c r="A838" s="1">
        <v>44412</v>
      </c>
      <c r="B838" s="2" t="s">
        <v>398</v>
      </c>
      <c r="C838" s="2" t="s">
        <v>134</v>
      </c>
      <c r="D838" s="2" t="s">
        <v>10</v>
      </c>
      <c r="E838" s="2" t="s">
        <v>16</v>
      </c>
      <c r="F838" s="2">
        <v>13.18</v>
      </c>
      <c r="G838" s="2">
        <v>1</v>
      </c>
      <c r="H838" s="2">
        <v>4.78</v>
      </c>
      <c r="I838" t="str">
        <f t="shared" si="13"/>
        <v>Aug</v>
      </c>
      <c r="J838">
        <f>YEAR(datas[[#This Row],[Order Date]])</f>
        <v>2021</v>
      </c>
    </row>
    <row r="839" spans="1:10" ht="14.25" customHeight="1" x14ac:dyDescent="0.3">
      <c r="A839" s="1">
        <v>44412</v>
      </c>
      <c r="B839" s="2" t="s">
        <v>94</v>
      </c>
      <c r="C839" s="2" t="s">
        <v>399</v>
      </c>
      <c r="D839" s="2" t="s">
        <v>10</v>
      </c>
      <c r="E839" s="2" t="s">
        <v>53</v>
      </c>
      <c r="F839" s="2">
        <v>101.96</v>
      </c>
      <c r="G839" s="2">
        <v>2</v>
      </c>
      <c r="H839" s="2">
        <v>27.53</v>
      </c>
      <c r="I839" t="str">
        <f t="shared" si="13"/>
        <v>Aug</v>
      </c>
      <c r="J839">
        <f>YEAR(datas[[#This Row],[Order Date]])</f>
        <v>2021</v>
      </c>
    </row>
    <row r="840" spans="1:10" ht="14.25" customHeight="1" x14ac:dyDescent="0.3">
      <c r="A840" s="1">
        <v>44412</v>
      </c>
      <c r="B840" s="2" t="s">
        <v>94</v>
      </c>
      <c r="C840" s="2" t="s">
        <v>399</v>
      </c>
      <c r="D840" s="2" t="s">
        <v>10</v>
      </c>
      <c r="E840" s="2" t="s">
        <v>11</v>
      </c>
      <c r="F840" s="2">
        <v>259.74</v>
      </c>
      <c r="G840" s="2">
        <v>13</v>
      </c>
      <c r="H840" s="2">
        <v>124.68</v>
      </c>
      <c r="I840" t="str">
        <f t="shared" si="13"/>
        <v>Aug</v>
      </c>
      <c r="J840">
        <f>YEAR(datas[[#This Row],[Order Date]])</f>
        <v>2021</v>
      </c>
    </row>
    <row r="841" spans="1:10" ht="14.25" customHeight="1" x14ac:dyDescent="0.3">
      <c r="A841" s="1">
        <v>44412</v>
      </c>
      <c r="B841" s="2" t="s">
        <v>94</v>
      </c>
      <c r="C841" s="2" t="s">
        <v>399</v>
      </c>
      <c r="D841" s="2" t="s">
        <v>28</v>
      </c>
      <c r="E841" s="2" t="s">
        <v>34</v>
      </c>
      <c r="F841" s="2">
        <v>255.42</v>
      </c>
      <c r="G841" s="2">
        <v>9</v>
      </c>
      <c r="H841" s="2">
        <v>104.72</v>
      </c>
      <c r="I841" t="str">
        <f t="shared" si="13"/>
        <v>Aug</v>
      </c>
      <c r="J841">
        <f>YEAR(datas[[#This Row],[Order Date]])</f>
        <v>2021</v>
      </c>
    </row>
    <row r="842" spans="1:10" ht="14.25" customHeight="1" x14ac:dyDescent="0.3">
      <c r="A842" s="1">
        <v>44413</v>
      </c>
      <c r="B842" s="2" t="s">
        <v>400</v>
      </c>
      <c r="C842" s="2" t="s">
        <v>21</v>
      </c>
      <c r="D842" s="2" t="s">
        <v>10</v>
      </c>
      <c r="E842" s="2" t="s">
        <v>11</v>
      </c>
      <c r="F842" s="2">
        <v>20.94</v>
      </c>
      <c r="G842" s="2">
        <v>3</v>
      </c>
      <c r="H842" s="2">
        <v>9.84</v>
      </c>
      <c r="I842" t="str">
        <f t="shared" si="13"/>
        <v>Aug</v>
      </c>
      <c r="J842">
        <f>YEAR(datas[[#This Row],[Order Date]])</f>
        <v>2021</v>
      </c>
    </row>
    <row r="843" spans="1:10" ht="14.25" customHeight="1" x14ac:dyDescent="0.3">
      <c r="A843" s="1">
        <v>44413</v>
      </c>
      <c r="B843" s="2" t="s">
        <v>400</v>
      </c>
      <c r="C843" s="2" t="s">
        <v>21</v>
      </c>
      <c r="D843" s="2" t="s">
        <v>10</v>
      </c>
      <c r="E843" s="2" t="s">
        <v>11</v>
      </c>
      <c r="F843" s="2">
        <v>110.96</v>
      </c>
      <c r="G843" s="2">
        <v>2</v>
      </c>
      <c r="H843" s="2">
        <v>53.26</v>
      </c>
      <c r="I843" t="str">
        <f t="shared" si="13"/>
        <v>Aug</v>
      </c>
      <c r="J843">
        <f>YEAR(datas[[#This Row],[Order Date]])</f>
        <v>2021</v>
      </c>
    </row>
    <row r="844" spans="1:10" ht="14.25" customHeight="1" x14ac:dyDescent="0.3">
      <c r="A844" s="1">
        <v>44413</v>
      </c>
      <c r="B844" s="2" t="s">
        <v>400</v>
      </c>
      <c r="C844" s="2" t="s">
        <v>21</v>
      </c>
      <c r="D844" s="2" t="s">
        <v>26</v>
      </c>
      <c r="E844" s="2" t="s">
        <v>27</v>
      </c>
      <c r="F844" s="2">
        <v>340.14</v>
      </c>
      <c r="G844" s="2">
        <v>7</v>
      </c>
      <c r="H844" s="2">
        <v>21.26</v>
      </c>
      <c r="I844" t="str">
        <f t="shared" si="13"/>
        <v>Aug</v>
      </c>
      <c r="J844">
        <f>YEAR(datas[[#This Row],[Order Date]])</f>
        <v>2021</v>
      </c>
    </row>
    <row r="845" spans="1:10" ht="14.25" customHeight="1" x14ac:dyDescent="0.3">
      <c r="A845" s="1">
        <v>44413</v>
      </c>
      <c r="B845" s="2" t="s">
        <v>401</v>
      </c>
      <c r="C845" s="2" t="s">
        <v>21</v>
      </c>
      <c r="D845" s="2" t="s">
        <v>28</v>
      </c>
      <c r="E845" s="2" t="s">
        <v>34</v>
      </c>
      <c r="F845" s="2">
        <v>16.36</v>
      </c>
      <c r="G845" s="2">
        <v>1</v>
      </c>
      <c r="H845" s="2">
        <v>1.64</v>
      </c>
      <c r="I845" t="str">
        <f t="shared" si="13"/>
        <v>Aug</v>
      </c>
      <c r="J845">
        <f>YEAR(datas[[#This Row],[Order Date]])</f>
        <v>2021</v>
      </c>
    </row>
    <row r="846" spans="1:10" ht="14.25" customHeight="1" x14ac:dyDescent="0.3">
      <c r="A846" s="1">
        <v>44413</v>
      </c>
      <c r="B846" s="2" t="s">
        <v>401</v>
      </c>
      <c r="C846" s="2" t="s">
        <v>21</v>
      </c>
      <c r="D846" s="2" t="s">
        <v>10</v>
      </c>
      <c r="E846" s="2" t="s">
        <v>15</v>
      </c>
      <c r="F846" s="2">
        <v>15.78</v>
      </c>
      <c r="G846" s="2">
        <v>2</v>
      </c>
      <c r="H846" s="2">
        <v>0.63</v>
      </c>
      <c r="I846" t="str">
        <f t="shared" si="13"/>
        <v>Aug</v>
      </c>
      <c r="J846">
        <f>YEAR(datas[[#This Row],[Order Date]])</f>
        <v>2021</v>
      </c>
    </row>
    <row r="847" spans="1:10" ht="14.25" customHeight="1" x14ac:dyDescent="0.3">
      <c r="A847" s="1">
        <v>44413</v>
      </c>
      <c r="B847" s="2" t="s">
        <v>401</v>
      </c>
      <c r="C847" s="2" t="s">
        <v>21</v>
      </c>
      <c r="D847" s="2" t="s">
        <v>10</v>
      </c>
      <c r="E847" s="2" t="s">
        <v>19</v>
      </c>
      <c r="F847" s="2">
        <v>45.98</v>
      </c>
      <c r="G847" s="2">
        <v>2</v>
      </c>
      <c r="H847" s="2">
        <v>12.87</v>
      </c>
      <c r="I847" t="str">
        <f t="shared" si="13"/>
        <v>Aug</v>
      </c>
      <c r="J847">
        <f>YEAR(datas[[#This Row],[Order Date]])</f>
        <v>2021</v>
      </c>
    </row>
    <row r="848" spans="1:10" ht="14.25" customHeight="1" x14ac:dyDescent="0.3">
      <c r="A848" s="1">
        <v>44413</v>
      </c>
      <c r="B848" s="2" t="s">
        <v>402</v>
      </c>
      <c r="C848" s="2" t="s">
        <v>248</v>
      </c>
      <c r="D848" s="2" t="s">
        <v>10</v>
      </c>
      <c r="E848" s="2" t="s">
        <v>53</v>
      </c>
      <c r="F848" s="2">
        <v>79.47</v>
      </c>
      <c r="G848" s="2">
        <v>3</v>
      </c>
      <c r="H848" s="2">
        <v>22.25</v>
      </c>
      <c r="I848" t="str">
        <f t="shared" si="13"/>
        <v>Aug</v>
      </c>
      <c r="J848">
        <f>YEAR(datas[[#This Row],[Order Date]])</f>
        <v>2021</v>
      </c>
    </row>
    <row r="849" spans="1:10" ht="14.25" customHeight="1" x14ac:dyDescent="0.3">
      <c r="A849" s="1">
        <v>44413</v>
      </c>
      <c r="B849" s="2" t="s">
        <v>402</v>
      </c>
      <c r="C849" s="2" t="s">
        <v>248</v>
      </c>
      <c r="D849" s="2" t="s">
        <v>10</v>
      </c>
      <c r="E849" s="2" t="s">
        <v>19</v>
      </c>
      <c r="F849" s="2">
        <v>4.5599999999999996</v>
      </c>
      <c r="G849" s="2">
        <v>2</v>
      </c>
      <c r="H849" s="2">
        <v>2.0099999999999998</v>
      </c>
      <c r="I849" t="str">
        <f t="shared" si="13"/>
        <v>Aug</v>
      </c>
      <c r="J849">
        <f>YEAR(datas[[#This Row],[Order Date]])</f>
        <v>2021</v>
      </c>
    </row>
    <row r="850" spans="1:10" ht="14.25" customHeight="1" x14ac:dyDescent="0.3">
      <c r="A850" s="1">
        <v>44413</v>
      </c>
      <c r="B850" s="2" t="s">
        <v>402</v>
      </c>
      <c r="C850" s="2" t="s">
        <v>248</v>
      </c>
      <c r="D850" s="2" t="s">
        <v>26</v>
      </c>
      <c r="E850" s="2" t="s">
        <v>27</v>
      </c>
      <c r="F850" s="2">
        <v>1133.3499999999999</v>
      </c>
      <c r="G850" s="2">
        <v>5</v>
      </c>
      <c r="H850" s="2">
        <v>294.67</v>
      </c>
      <c r="I850" t="str">
        <f t="shared" si="13"/>
        <v>Aug</v>
      </c>
      <c r="J850">
        <f>YEAR(datas[[#This Row],[Order Date]])</f>
        <v>2021</v>
      </c>
    </row>
    <row r="851" spans="1:10" ht="14.25" customHeight="1" x14ac:dyDescent="0.3">
      <c r="A851" s="1">
        <v>44413</v>
      </c>
      <c r="B851" s="2" t="s">
        <v>217</v>
      </c>
      <c r="C851" s="2" t="s">
        <v>75</v>
      </c>
      <c r="D851" s="2" t="s">
        <v>28</v>
      </c>
      <c r="E851" s="2" t="s">
        <v>29</v>
      </c>
      <c r="F851" s="2">
        <v>135.99</v>
      </c>
      <c r="G851" s="2">
        <v>1</v>
      </c>
      <c r="H851" s="2">
        <v>36.72</v>
      </c>
      <c r="I851" t="str">
        <f t="shared" si="13"/>
        <v>Aug</v>
      </c>
      <c r="J851">
        <f>YEAR(datas[[#This Row],[Order Date]])</f>
        <v>2021</v>
      </c>
    </row>
    <row r="852" spans="1:10" ht="14.25" customHeight="1" x14ac:dyDescent="0.3">
      <c r="A852" s="1">
        <v>44413</v>
      </c>
      <c r="B852" s="2" t="s">
        <v>217</v>
      </c>
      <c r="C852" s="2" t="s">
        <v>75</v>
      </c>
      <c r="D852" s="2" t="s">
        <v>10</v>
      </c>
      <c r="E852" s="2" t="s">
        <v>19</v>
      </c>
      <c r="F852" s="2">
        <v>15.96</v>
      </c>
      <c r="G852" s="2">
        <v>7</v>
      </c>
      <c r="H852" s="2">
        <v>7.02</v>
      </c>
      <c r="I852" t="str">
        <f t="shared" si="13"/>
        <v>Aug</v>
      </c>
      <c r="J852">
        <f>YEAR(datas[[#This Row],[Order Date]])</f>
        <v>2021</v>
      </c>
    </row>
    <row r="853" spans="1:10" ht="14.25" customHeight="1" x14ac:dyDescent="0.3">
      <c r="A853" s="1">
        <v>44413</v>
      </c>
      <c r="B853" s="2" t="s">
        <v>403</v>
      </c>
      <c r="C853" s="2" t="s">
        <v>9</v>
      </c>
      <c r="D853" s="2" t="s">
        <v>26</v>
      </c>
      <c r="E853" s="2" t="s">
        <v>73</v>
      </c>
      <c r="F853" s="2">
        <v>489.23</v>
      </c>
      <c r="G853" s="2">
        <v>2</v>
      </c>
      <c r="H853" s="2">
        <v>41.93</v>
      </c>
      <c r="I853" t="str">
        <f t="shared" si="13"/>
        <v>Aug</v>
      </c>
      <c r="J853">
        <f>YEAR(datas[[#This Row],[Order Date]])</f>
        <v>2021</v>
      </c>
    </row>
    <row r="854" spans="1:10" ht="14.25" customHeight="1" x14ac:dyDescent="0.3">
      <c r="A854" s="1">
        <v>44414</v>
      </c>
      <c r="B854" s="2" t="s">
        <v>404</v>
      </c>
      <c r="C854" s="2" t="s">
        <v>43</v>
      </c>
      <c r="D854" s="2" t="s">
        <v>28</v>
      </c>
      <c r="E854" s="2" t="s">
        <v>34</v>
      </c>
      <c r="F854" s="2">
        <v>62.91</v>
      </c>
      <c r="G854" s="2">
        <v>3</v>
      </c>
      <c r="H854" s="2">
        <v>22.65</v>
      </c>
      <c r="I854" t="str">
        <f t="shared" si="13"/>
        <v>Aug</v>
      </c>
      <c r="J854">
        <f>YEAR(datas[[#This Row],[Order Date]])</f>
        <v>2021</v>
      </c>
    </row>
    <row r="855" spans="1:10" ht="14.25" customHeight="1" x14ac:dyDescent="0.3">
      <c r="A855" s="1">
        <v>44414</v>
      </c>
      <c r="B855" s="2" t="s">
        <v>405</v>
      </c>
      <c r="C855" s="2" t="s">
        <v>75</v>
      </c>
      <c r="D855" s="2" t="s">
        <v>28</v>
      </c>
      <c r="E855" s="2" t="s">
        <v>34</v>
      </c>
      <c r="F855" s="2">
        <v>199.98</v>
      </c>
      <c r="G855" s="2">
        <v>2</v>
      </c>
      <c r="H855" s="2">
        <v>83.99</v>
      </c>
      <c r="I855" t="str">
        <f t="shared" si="13"/>
        <v>Aug</v>
      </c>
      <c r="J855">
        <f>YEAR(datas[[#This Row],[Order Date]])</f>
        <v>2021</v>
      </c>
    </row>
    <row r="856" spans="1:10" ht="14.25" customHeight="1" x14ac:dyDescent="0.3">
      <c r="A856" s="1">
        <v>44416</v>
      </c>
      <c r="B856" s="2" t="s">
        <v>406</v>
      </c>
      <c r="C856" s="2" t="s">
        <v>21</v>
      </c>
      <c r="D856" s="2" t="s">
        <v>10</v>
      </c>
      <c r="E856" s="2" t="s">
        <v>53</v>
      </c>
      <c r="F856" s="2">
        <v>76.12</v>
      </c>
      <c r="G856" s="2">
        <v>2</v>
      </c>
      <c r="H856" s="2">
        <v>22.07</v>
      </c>
      <c r="I856" t="str">
        <f t="shared" si="13"/>
        <v>Aug</v>
      </c>
      <c r="J856">
        <f>YEAR(datas[[#This Row],[Order Date]])</f>
        <v>2021</v>
      </c>
    </row>
    <row r="857" spans="1:10" ht="14.25" customHeight="1" x14ac:dyDescent="0.3">
      <c r="A857" s="1">
        <v>44416</v>
      </c>
      <c r="B857" s="2" t="s">
        <v>406</v>
      </c>
      <c r="C857" s="2" t="s">
        <v>21</v>
      </c>
      <c r="D857" s="2" t="s">
        <v>28</v>
      </c>
      <c r="E857" s="2" t="s">
        <v>243</v>
      </c>
      <c r="F857" s="2">
        <v>1199.98</v>
      </c>
      <c r="G857" s="2">
        <v>3</v>
      </c>
      <c r="H857" s="2">
        <v>434.99</v>
      </c>
      <c r="I857" t="str">
        <f t="shared" si="13"/>
        <v>Aug</v>
      </c>
      <c r="J857">
        <f>YEAR(datas[[#This Row],[Order Date]])</f>
        <v>2021</v>
      </c>
    </row>
    <row r="858" spans="1:10" ht="14.25" customHeight="1" x14ac:dyDescent="0.3">
      <c r="A858" s="1">
        <v>44416</v>
      </c>
      <c r="B858" s="2" t="s">
        <v>406</v>
      </c>
      <c r="C858" s="2" t="s">
        <v>21</v>
      </c>
      <c r="D858" s="2" t="s">
        <v>28</v>
      </c>
      <c r="E858" s="2" t="s">
        <v>29</v>
      </c>
      <c r="F858" s="2">
        <v>445.96</v>
      </c>
      <c r="G858" s="2">
        <v>5</v>
      </c>
      <c r="H858" s="2">
        <v>55.75</v>
      </c>
      <c r="I858" t="str">
        <f t="shared" si="13"/>
        <v>Aug</v>
      </c>
      <c r="J858">
        <f>YEAR(datas[[#This Row],[Order Date]])</f>
        <v>2021</v>
      </c>
    </row>
    <row r="859" spans="1:10" ht="14.25" customHeight="1" x14ac:dyDescent="0.3">
      <c r="A859" s="1">
        <v>44416</v>
      </c>
      <c r="B859" s="2" t="s">
        <v>406</v>
      </c>
      <c r="C859" s="2" t="s">
        <v>21</v>
      </c>
      <c r="D859" s="2" t="s">
        <v>26</v>
      </c>
      <c r="E859" s="2" t="s">
        <v>32</v>
      </c>
      <c r="F859" s="2">
        <v>327.76</v>
      </c>
      <c r="G859" s="2">
        <v>8</v>
      </c>
      <c r="H859" s="2">
        <v>91.77</v>
      </c>
      <c r="I859" t="str">
        <f t="shared" si="13"/>
        <v>Aug</v>
      </c>
      <c r="J859">
        <f>YEAR(datas[[#This Row],[Order Date]])</f>
        <v>2021</v>
      </c>
    </row>
    <row r="860" spans="1:10" ht="14.25" customHeight="1" x14ac:dyDescent="0.3">
      <c r="A860" s="1">
        <v>44416</v>
      </c>
      <c r="B860" s="2" t="s">
        <v>407</v>
      </c>
      <c r="C860" s="2" t="s">
        <v>55</v>
      </c>
      <c r="D860" s="2" t="s">
        <v>26</v>
      </c>
      <c r="E860" s="2" t="s">
        <v>32</v>
      </c>
      <c r="F860" s="2">
        <v>121.38</v>
      </c>
      <c r="G860" s="2">
        <v>4</v>
      </c>
      <c r="H860" s="2">
        <v>-3.03</v>
      </c>
      <c r="I860" t="str">
        <f t="shared" si="13"/>
        <v>Aug</v>
      </c>
      <c r="J860">
        <f>YEAR(datas[[#This Row],[Order Date]])</f>
        <v>2021</v>
      </c>
    </row>
    <row r="861" spans="1:10" ht="14.25" customHeight="1" x14ac:dyDescent="0.3">
      <c r="A861" s="1">
        <v>44416</v>
      </c>
      <c r="B861" s="2" t="s">
        <v>407</v>
      </c>
      <c r="C861" s="2" t="s">
        <v>55</v>
      </c>
      <c r="D861" s="2" t="s">
        <v>28</v>
      </c>
      <c r="E861" s="2" t="s">
        <v>34</v>
      </c>
      <c r="F861" s="2">
        <v>95.98</v>
      </c>
      <c r="G861" s="2">
        <v>3</v>
      </c>
      <c r="H861" s="2">
        <v>-10.8</v>
      </c>
      <c r="I861" t="str">
        <f t="shared" si="13"/>
        <v>Aug</v>
      </c>
      <c r="J861">
        <f>YEAR(datas[[#This Row],[Order Date]])</f>
        <v>2021</v>
      </c>
    </row>
    <row r="862" spans="1:10" ht="14.25" customHeight="1" x14ac:dyDescent="0.3">
      <c r="A862" s="1">
        <v>44416</v>
      </c>
      <c r="B862" s="2" t="s">
        <v>102</v>
      </c>
      <c r="C862" s="2" t="s">
        <v>21</v>
      </c>
      <c r="D862" s="2" t="s">
        <v>10</v>
      </c>
      <c r="E862" s="2" t="s">
        <v>15</v>
      </c>
      <c r="F862" s="2">
        <v>423.28</v>
      </c>
      <c r="G862" s="2">
        <v>11</v>
      </c>
      <c r="H862" s="2">
        <v>110.05</v>
      </c>
      <c r="I862" t="str">
        <f t="shared" si="13"/>
        <v>Aug</v>
      </c>
      <c r="J862">
        <f>YEAR(datas[[#This Row],[Order Date]])</f>
        <v>2021</v>
      </c>
    </row>
    <row r="863" spans="1:10" ht="14.25" customHeight="1" x14ac:dyDescent="0.3">
      <c r="A863" s="1">
        <v>44416</v>
      </c>
      <c r="B863" s="2" t="s">
        <v>408</v>
      </c>
      <c r="C863" s="2" t="s">
        <v>60</v>
      </c>
      <c r="D863" s="2" t="s">
        <v>28</v>
      </c>
      <c r="E863" s="2" t="s">
        <v>243</v>
      </c>
      <c r="F863" s="2">
        <v>549.99</v>
      </c>
      <c r="G863" s="2">
        <v>1</v>
      </c>
      <c r="H863" s="2">
        <v>275</v>
      </c>
      <c r="I863" t="str">
        <f t="shared" si="13"/>
        <v>Aug</v>
      </c>
      <c r="J863">
        <f>YEAR(datas[[#This Row],[Order Date]])</f>
        <v>2021</v>
      </c>
    </row>
    <row r="864" spans="1:10" ht="14.25" customHeight="1" x14ac:dyDescent="0.3">
      <c r="A864" s="1">
        <v>44416</v>
      </c>
      <c r="B864" s="2" t="s">
        <v>408</v>
      </c>
      <c r="C864" s="2" t="s">
        <v>60</v>
      </c>
      <c r="D864" s="2" t="s">
        <v>10</v>
      </c>
      <c r="E864" s="2" t="s">
        <v>53</v>
      </c>
      <c r="F864" s="2">
        <v>167.54</v>
      </c>
      <c r="G864" s="2">
        <v>3</v>
      </c>
      <c r="H864" s="2">
        <v>37.229999999999997</v>
      </c>
      <c r="I864" t="str">
        <f t="shared" si="13"/>
        <v>Aug</v>
      </c>
      <c r="J864">
        <f>YEAR(datas[[#This Row],[Order Date]])</f>
        <v>2021</v>
      </c>
    </row>
    <row r="865" spans="1:10" ht="14.25" customHeight="1" x14ac:dyDescent="0.3">
      <c r="A865" s="1">
        <v>44416</v>
      </c>
      <c r="B865" s="2" t="s">
        <v>408</v>
      </c>
      <c r="C865" s="2" t="s">
        <v>60</v>
      </c>
      <c r="D865" s="2" t="s">
        <v>10</v>
      </c>
      <c r="E865" s="2" t="s">
        <v>41</v>
      </c>
      <c r="F865" s="2">
        <v>38.340000000000003</v>
      </c>
      <c r="G865" s="2">
        <v>3</v>
      </c>
      <c r="H865" s="2">
        <v>17.25</v>
      </c>
      <c r="I865" t="str">
        <f t="shared" si="13"/>
        <v>Aug</v>
      </c>
      <c r="J865">
        <f>YEAR(datas[[#This Row],[Order Date]])</f>
        <v>2021</v>
      </c>
    </row>
    <row r="866" spans="1:10" ht="14.25" customHeight="1" x14ac:dyDescent="0.3">
      <c r="A866" s="1">
        <v>44416</v>
      </c>
      <c r="B866" s="2" t="s">
        <v>408</v>
      </c>
      <c r="C866" s="2" t="s">
        <v>60</v>
      </c>
      <c r="D866" s="2" t="s">
        <v>26</v>
      </c>
      <c r="E866" s="2" t="s">
        <v>32</v>
      </c>
      <c r="F866" s="2">
        <v>53.88</v>
      </c>
      <c r="G866" s="2">
        <v>6</v>
      </c>
      <c r="H866" s="2">
        <v>22.63</v>
      </c>
      <c r="I866" t="str">
        <f t="shared" si="13"/>
        <v>Aug</v>
      </c>
      <c r="J866">
        <f>YEAR(datas[[#This Row],[Order Date]])</f>
        <v>2021</v>
      </c>
    </row>
    <row r="867" spans="1:10" ht="14.25" customHeight="1" x14ac:dyDescent="0.3">
      <c r="A867" s="1">
        <v>44416</v>
      </c>
      <c r="B867" s="2" t="s">
        <v>408</v>
      </c>
      <c r="C867" s="2" t="s">
        <v>60</v>
      </c>
      <c r="D867" s="2" t="s">
        <v>28</v>
      </c>
      <c r="E867" s="2" t="s">
        <v>29</v>
      </c>
      <c r="F867" s="2">
        <v>299.98</v>
      </c>
      <c r="G867" s="2">
        <v>2</v>
      </c>
      <c r="H867" s="2">
        <v>83.99</v>
      </c>
      <c r="I867" t="str">
        <f t="shared" si="13"/>
        <v>Aug</v>
      </c>
      <c r="J867">
        <f>YEAR(datas[[#This Row],[Order Date]])</f>
        <v>2021</v>
      </c>
    </row>
    <row r="868" spans="1:10" ht="14.25" customHeight="1" x14ac:dyDescent="0.3">
      <c r="A868" s="1">
        <v>44416</v>
      </c>
      <c r="B868" s="2" t="s">
        <v>409</v>
      </c>
      <c r="C868" s="2" t="s">
        <v>64</v>
      </c>
      <c r="D868" s="2" t="s">
        <v>26</v>
      </c>
      <c r="E868" s="2" t="s">
        <v>45</v>
      </c>
      <c r="F868" s="2">
        <v>155.46</v>
      </c>
      <c r="G868" s="2">
        <v>4</v>
      </c>
      <c r="H868" s="2">
        <v>-7.77</v>
      </c>
      <c r="I868" t="str">
        <f t="shared" si="13"/>
        <v>Aug</v>
      </c>
      <c r="J868">
        <f>YEAR(datas[[#This Row],[Order Date]])</f>
        <v>2021</v>
      </c>
    </row>
    <row r="869" spans="1:10" ht="14.25" customHeight="1" x14ac:dyDescent="0.3">
      <c r="A869" s="1">
        <v>44417</v>
      </c>
      <c r="B869" s="2" t="s">
        <v>410</v>
      </c>
      <c r="C869" s="2" t="s">
        <v>64</v>
      </c>
      <c r="D869" s="2" t="s">
        <v>28</v>
      </c>
      <c r="E869" s="2" t="s">
        <v>29</v>
      </c>
      <c r="F869" s="2">
        <v>178.38</v>
      </c>
      <c r="G869" s="2">
        <v>2</v>
      </c>
      <c r="H869" s="2">
        <v>22.3</v>
      </c>
      <c r="I869" t="str">
        <f t="shared" si="13"/>
        <v>Aug</v>
      </c>
      <c r="J869">
        <f>YEAR(datas[[#This Row],[Order Date]])</f>
        <v>2021</v>
      </c>
    </row>
    <row r="870" spans="1:10" ht="14.25" customHeight="1" x14ac:dyDescent="0.3">
      <c r="A870" s="1">
        <v>44417</v>
      </c>
      <c r="B870" s="2" t="s">
        <v>410</v>
      </c>
      <c r="C870" s="2" t="s">
        <v>64</v>
      </c>
      <c r="D870" s="2" t="s">
        <v>10</v>
      </c>
      <c r="E870" s="2" t="s">
        <v>11</v>
      </c>
      <c r="F870" s="2">
        <v>15.55</v>
      </c>
      <c r="G870" s="2">
        <v>3</v>
      </c>
      <c r="H870" s="2">
        <v>5.44</v>
      </c>
      <c r="I870" t="str">
        <f t="shared" si="13"/>
        <v>Aug</v>
      </c>
      <c r="J870">
        <f>YEAR(datas[[#This Row],[Order Date]])</f>
        <v>2021</v>
      </c>
    </row>
    <row r="871" spans="1:10" ht="14.25" customHeight="1" x14ac:dyDescent="0.3">
      <c r="A871" s="1">
        <v>44417</v>
      </c>
      <c r="B871" s="2" t="s">
        <v>411</v>
      </c>
      <c r="C871" s="2" t="s">
        <v>21</v>
      </c>
      <c r="D871" s="2" t="s">
        <v>10</v>
      </c>
      <c r="E871" s="2" t="s">
        <v>14</v>
      </c>
      <c r="F871" s="2">
        <v>20.88</v>
      </c>
      <c r="G871" s="2">
        <v>8</v>
      </c>
      <c r="H871" s="2">
        <v>9.6</v>
      </c>
      <c r="I871" t="str">
        <f t="shared" si="13"/>
        <v>Aug</v>
      </c>
      <c r="J871">
        <f>YEAR(datas[[#This Row],[Order Date]])</f>
        <v>2021</v>
      </c>
    </row>
    <row r="872" spans="1:10" ht="14.25" customHeight="1" x14ac:dyDescent="0.3">
      <c r="A872" s="1">
        <v>44417</v>
      </c>
      <c r="B872" s="2" t="s">
        <v>412</v>
      </c>
      <c r="C872" s="2" t="s">
        <v>82</v>
      </c>
      <c r="D872" s="2" t="s">
        <v>28</v>
      </c>
      <c r="E872" s="2" t="s">
        <v>29</v>
      </c>
      <c r="F872" s="2">
        <v>1091.17</v>
      </c>
      <c r="G872" s="2">
        <v>4</v>
      </c>
      <c r="H872" s="2">
        <v>68.2</v>
      </c>
      <c r="I872" t="str">
        <f t="shared" si="13"/>
        <v>Aug</v>
      </c>
      <c r="J872">
        <f>YEAR(datas[[#This Row],[Order Date]])</f>
        <v>2021</v>
      </c>
    </row>
    <row r="873" spans="1:10" ht="14.25" customHeight="1" x14ac:dyDescent="0.3">
      <c r="A873" s="1">
        <v>44417</v>
      </c>
      <c r="B873" s="2" t="s">
        <v>412</v>
      </c>
      <c r="C873" s="2" t="s">
        <v>82</v>
      </c>
      <c r="D873" s="2" t="s">
        <v>28</v>
      </c>
      <c r="E873" s="2" t="s">
        <v>29</v>
      </c>
      <c r="F873" s="2">
        <v>219.17</v>
      </c>
      <c r="G873" s="2">
        <v>2</v>
      </c>
      <c r="H873" s="2">
        <v>-43.83</v>
      </c>
      <c r="I873" t="str">
        <f t="shared" si="13"/>
        <v>Aug</v>
      </c>
      <c r="J873">
        <f>YEAR(datas[[#This Row],[Order Date]])</f>
        <v>2021</v>
      </c>
    </row>
    <row r="874" spans="1:10" ht="14.25" customHeight="1" x14ac:dyDescent="0.3">
      <c r="A874" s="1">
        <v>44417</v>
      </c>
      <c r="B874" s="2" t="s">
        <v>413</v>
      </c>
      <c r="C874" s="2" t="s">
        <v>82</v>
      </c>
      <c r="D874" s="2" t="s">
        <v>10</v>
      </c>
      <c r="E874" s="2" t="s">
        <v>16</v>
      </c>
      <c r="F874" s="2">
        <v>2060.7399999999998</v>
      </c>
      <c r="G874" s="2">
        <v>7</v>
      </c>
      <c r="H874" s="2">
        <v>643.98</v>
      </c>
      <c r="I874" t="str">
        <f t="shared" si="13"/>
        <v>Aug</v>
      </c>
      <c r="J874">
        <f>YEAR(datas[[#This Row],[Order Date]])</f>
        <v>2021</v>
      </c>
    </row>
    <row r="875" spans="1:10" ht="14.25" customHeight="1" x14ac:dyDescent="0.3">
      <c r="A875" s="1">
        <v>44417</v>
      </c>
      <c r="B875" s="2" t="s">
        <v>414</v>
      </c>
      <c r="C875" s="2" t="s">
        <v>21</v>
      </c>
      <c r="D875" s="2" t="s">
        <v>10</v>
      </c>
      <c r="E875" s="2" t="s">
        <v>11</v>
      </c>
      <c r="F875" s="2">
        <v>5.98</v>
      </c>
      <c r="G875" s="2">
        <v>1</v>
      </c>
      <c r="H875" s="2">
        <v>2.69</v>
      </c>
      <c r="I875" t="str">
        <f t="shared" si="13"/>
        <v>Aug</v>
      </c>
      <c r="J875">
        <f>YEAR(datas[[#This Row],[Order Date]])</f>
        <v>2021</v>
      </c>
    </row>
    <row r="876" spans="1:10" ht="14.25" customHeight="1" x14ac:dyDescent="0.3">
      <c r="A876" s="1">
        <v>44417</v>
      </c>
      <c r="B876" s="2" t="s">
        <v>378</v>
      </c>
      <c r="C876" s="2" t="s">
        <v>55</v>
      </c>
      <c r="D876" s="2" t="s">
        <v>10</v>
      </c>
      <c r="E876" s="2" t="s">
        <v>30</v>
      </c>
      <c r="F876" s="2">
        <v>4.46</v>
      </c>
      <c r="G876" s="2">
        <v>3</v>
      </c>
      <c r="H876" s="2">
        <v>-0.95</v>
      </c>
      <c r="I876" t="str">
        <f t="shared" si="13"/>
        <v>Aug</v>
      </c>
      <c r="J876">
        <f>YEAR(datas[[#This Row],[Order Date]])</f>
        <v>2021</v>
      </c>
    </row>
    <row r="877" spans="1:10" ht="14.25" customHeight="1" x14ac:dyDescent="0.3">
      <c r="A877" s="1">
        <v>44417</v>
      </c>
      <c r="B877" s="2" t="s">
        <v>378</v>
      </c>
      <c r="C877" s="2" t="s">
        <v>55</v>
      </c>
      <c r="D877" s="2" t="s">
        <v>10</v>
      </c>
      <c r="E877" s="2" t="s">
        <v>16</v>
      </c>
      <c r="F877" s="2">
        <v>9.35</v>
      </c>
      <c r="G877" s="2">
        <v>5</v>
      </c>
      <c r="H877" s="2">
        <v>-6.54</v>
      </c>
      <c r="I877" t="str">
        <f t="shared" si="13"/>
        <v>Aug</v>
      </c>
      <c r="J877">
        <f>YEAR(datas[[#This Row],[Order Date]])</f>
        <v>2021</v>
      </c>
    </row>
    <row r="878" spans="1:10" ht="14.25" customHeight="1" x14ac:dyDescent="0.3">
      <c r="A878" s="1">
        <v>44419</v>
      </c>
      <c r="B878" s="2" t="s">
        <v>259</v>
      </c>
      <c r="C878" s="2" t="s">
        <v>82</v>
      </c>
      <c r="D878" s="2" t="s">
        <v>26</v>
      </c>
      <c r="E878" s="2" t="s">
        <v>32</v>
      </c>
      <c r="F878" s="2">
        <v>12.35</v>
      </c>
      <c r="G878" s="2">
        <v>1</v>
      </c>
      <c r="H878" s="2">
        <v>5.43</v>
      </c>
      <c r="I878" t="str">
        <f t="shared" si="13"/>
        <v>Aug</v>
      </c>
      <c r="J878">
        <f>YEAR(datas[[#This Row],[Order Date]])</f>
        <v>2021</v>
      </c>
    </row>
    <row r="879" spans="1:10" ht="14.25" customHeight="1" x14ac:dyDescent="0.3">
      <c r="A879" s="1">
        <v>44419</v>
      </c>
      <c r="B879" s="2" t="s">
        <v>259</v>
      </c>
      <c r="C879" s="2" t="s">
        <v>82</v>
      </c>
      <c r="D879" s="2" t="s">
        <v>10</v>
      </c>
      <c r="E879" s="2" t="s">
        <v>19</v>
      </c>
      <c r="F879" s="2">
        <v>40.97</v>
      </c>
      <c r="G879" s="2">
        <v>1</v>
      </c>
      <c r="H879" s="2">
        <v>10.65</v>
      </c>
      <c r="I879" t="str">
        <f t="shared" si="13"/>
        <v>Aug</v>
      </c>
      <c r="J879">
        <f>YEAR(datas[[#This Row],[Order Date]])</f>
        <v>2021</v>
      </c>
    </row>
    <row r="880" spans="1:10" ht="14.25" customHeight="1" x14ac:dyDescent="0.3">
      <c r="A880" s="1">
        <v>44419</v>
      </c>
      <c r="B880" s="2" t="s">
        <v>259</v>
      </c>
      <c r="C880" s="2" t="s">
        <v>82</v>
      </c>
      <c r="D880" s="2" t="s">
        <v>10</v>
      </c>
      <c r="E880" s="2" t="s">
        <v>30</v>
      </c>
      <c r="F880" s="2">
        <v>22.96</v>
      </c>
      <c r="G880" s="2">
        <v>2</v>
      </c>
      <c r="H880" s="2">
        <v>10.79</v>
      </c>
      <c r="I880" t="str">
        <f t="shared" si="13"/>
        <v>Aug</v>
      </c>
      <c r="J880">
        <f>YEAR(datas[[#This Row],[Order Date]])</f>
        <v>2021</v>
      </c>
    </row>
    <row r="881" spans="1:10" ht="14.25" customHeight="1" x14ac:dyDescent="0.3">
      <c r="A881" s="1">
        <v>44419</v>
      </c>
      <c r="B881" s="2" t="s">
        <v>387</v>
      </c>
      <c r="C881" s="2" t="s">
        <v>75</v>
      </c>
      <c r="D881" s="2" t="s">
        <v>10</v>
      </c>
      <c r="E881" s="2" t="s">
        <v>15</v>
      </c>
      <c r="F881" s="2">
        <v>375.34</v>
      </c>
      <c r="G881" s="2">
        <v>1</v>
      </c>
      <c r="H881" s="2">
        <v>18.77</v>
      </c>
      <c r="I881" t="str">
        <f t="shared" si="13"/>
        <v>Aug</v>
      </c>
      <c r="J881">
        <f>YEAR(datas[[#This Row],[Order Date]])</f>
        <v>2021</v>
      </c>
    </row>
    <row r="882" spans="1:10" ht="14.25" customHeight="1" x14ac:dyDescent="0.3">
      <c r="A882" s="1">
        <v>44420</v>
      </c>
      <c r="B882" s="2" t="s">
        <v>415</v>
      </c>
      <c r="C882" s="2" t="s">
        <v>87</v>
      </c>
      <c r="D882" s="2" t="s">
        <v>10</v>
      </c>
      <c r="E882" s="2" t="s">
        <v>16</v>
      </c>
      <c r="F882" s="2">
        <v>196.21</v>
      </c>
      <c r="G882" s="2">
        <v>7</v>
      </c>
      <c r="H882" s="2">
        <v>98.11</v>
      </c>
      <c r="I882" t="str">
        <f t="shared" si="13"/>
        <v>Aug</v>
      </c>
      <c r="J882">
        <f>YEAR(datas[[#This Row],[Order Date]])</f>
        <v>2021</v>
      </c>
    </row>
    <row r="883" spans="1:10" ht="14.25" customHeight="1" x14ac:dyDescent="0.3">
      <c r="A883" s="1">
        <v>44420</v>
      </c>
      <c r="B883" s="2" t="s">
        <v>416</v>
      </c>
      <c r="C883" s="2" t="s">
        <v>21</v>
      </c>
      <c r="D883" s="2" t="s">
        <v>28</v>
      </c>
      <c r="E883" s="2" t="s">
        <v>29</v>
      </c>
      <c r="F883" s="2">
        <v>806.34</v>
      </c>
      <c r="G883" s="2">
        <v>8</v>
      </c>
      <c r="H883" s="2">
        <v>50.4</v>
      </c>
      <c r="I883" t="str">
        <f t="shared" si="13"/>
        <v>Aug</v>
      </c>
      <c r="J883">
        <f>YEAR(datas[[#This Row],[Order Date]])</f>
        <v>2021</v>
      </c>
    </row>
    <row r="884" spans="1:10" ht="14.25" customHeight="1" x14ac:dyDescent="0.3">
      <c r="A884" s="1">
        <v>44420</v>
      </c>
      <c r="B884" s="2" t="s">
        <v>416</v>
      </c>
      <c r="C884" s="2" t="s">
        <v>21</v>
      </c>
      <c r="D884" s="2" t="s">
        <v>26</v>
      </c>
      <c r="E884" s="2" t="s">
        <v>32</v>
      </c>
      <c r="F884" s="2">
        <v>85.44</v>
      </c>
      <c r="G884" s="2">
        <v>3</v>
      </c>
      <c r="H884" s="2">
        <v>31.61</v>
      </c>
      <c r="I884" t="str">
        <f t="shared" si="13"/>
        <v>Aug</v>
      </c>
      <c r="J884">
        <f>YEAR(datas[[#This Row],[Order Date]])</f>
        <v>2021</v>
      </c>
    </row>
    <row r="885" spans="1:10" ht="14.25" customHeight="1" x14ac:dyDescent="0.3">
      <c r="A885" s="1">
        <v>44420</v>
      </c>
      <c r="B885" s="2" t="s">
        <v>417</v>
      </c>
      <c r="C885" s="2" t="s">
        <v>64</v>
      </c>
      <c r="D885" s="2" t="s">
        <v>10</v>
      </c>
      <c r="E885" s="2" t="s">
        <v>11</v>
      </c>
      <c r="F885" s="2">
        <v>31.1</v>
      </c>
      <c r="G885" s="2">
        <v>6</v>
      </c>
      <c r="H885" s="2">
        <v>10.89</v>
      </c>
      <c r="I885" t="str">
        <f t="shared" si="13"/>
        <v>Aug</v>
      </c>
      <c r="J885">
        <f>YEAR(datas[[#This Row],[Order Date]])</f>
        <v>2021</v>
      </c>
    </row>
    <row r="886" spans="1:10" ht="14.25" customHeight="1" x14ac:dyDescent="0.3">
      <c r="A886" s="1">
        <v>44420</v>
      </c>
      <c r="B886" s="2" t="s">
        <v>417</v>
      </c>
      <c r="C886" s="2" t="s">
        <v>64</v>
      </c>
      <c r="D886" s="2" t="s">
        <v>10</v>
      </c>
      <c r="E886" s="2" t="s">
        <v>19</v>
      </c>
      <c r="F886" s="2">
        <v>47.96</v>
      </c>
      <c r="G886" s="2">
        <v>5</v>
      </c>
      <c r="H886" s="2">
        <v>4.2</v>
      </c>
      <c r="I886" t="str">
        <f t="shared" si="13"/>
        <v>Aug</v>
      </c>
      <c r="J886">
        <f>YEAR(datas[[#This Row],[Order Date]])</f>
        <v>2021</v>
      </c>
    </row>
    <row r="887" spans="1:10" ht="14.25" customHeight="1" x14ac:dyDescent="0.3">
      <c r="A887" s="1">
        <v>44420</v>
      </c>
      <c r="B887" s="2" t="s">
        <v>417</v>
      </c>
      <c r="C887" s="2" t="s">
        <v>64</v>
      </c>
      <c r="D887" s="2" t="s">
        <v>28</v>
      </c>
      <c r="E887" s="2" t="s">
        <v>34</v>
      </c>
      <c r="F887" s="2">
        <v>158.93</v>
      </c>
      <c r="G887" s="2">
        <v>7</v>
      </c>
      <c r="H887" s="2">
        <v>41.72</v>
      </c>
      <c r="I887" t="str">
        <f t="shared" si="13"/>
        <v>Aug</v>
      </c>
      <c r="J887">
        <f>YEAR(datas[[#This Row],[Order Date]])</f>
        <v>2021</v>
      </c>
    </row>
    <row r="888" spans="1:10" ht="14.25" customHeight="1" x14ac:dyDescent="0.3">
      <c r="A888" s="1">
        <v>44420</v>
      </c>
      <c r="B888" s="2" t="s">
        <v>417</v>
      </c>
      <c r="C888" s="2" t="s">
        <v>64</v>
      </c>
      <c r="D888" s="2" t="s">
        <v>10</v>
      </c>
      <c r="E888" s="2" t="s">
        <v>53</v>
      </c>
      <c r="F888" s="2">
        <v>211.25</v>
      </c>
      <c r="G888" s="2">
        <v>6</v>
      </c>
      <c r="H888" s="2">
        <v>15.84</v>
      </c>
      <c r="I888" t="str">
        <f t="shared" si="13"/>
        <v>Aug</v>
      </c>
      <c r="J888">
        <f>YEAR(datas[[#This Row],[Order Date]])</f>
        <v>2021</v>
      </c>
    </row>
    <row r="889" spans="1:10" ht="14.25" customHeight="1" x14ac:dyDescent="0.3">
      <c r="A889" s="1">
        <v>44420</v>
      </c>
      <c r="B889" s="2" t="s">
        <v>417</v>
      </c>
      <c r="C889" s="2" t="s">
        <v>64</v>
      </c>
      <c r="D889" s="2" t="s">
        <v>10</v>
      </c>
      <c r="E889" s="2" t="s">
        <v>95</v>
      </c>
      <c r="F889" s="2">
        <v>5.55</v>
      </c>
      <c r="G889" s="2">
        <v>2</v>
      </c>
      <c r="H889" s="2">
        <v>-1.04</v>
      </c>
      <c r="I889" t="str">
        <f t="shared" si="13"/>
        <v>Aug</v>
      </c>
      <c r="J889">
        <f>YEAR(datas[[#This Row],[Order Date]])</f>
        <v>2021</v>
      </c>
    </row>
    <row r="890" spans="1:10" ht="14.25" customHeight="1" x14ac:dyDescent="0.3">
      <c r="A890" s="1">
        <v>44420</v>
      </c>
      <c r="B890" s="2" t="s">
        <v>417</v>
      </c>
      <c r="C890" s="2" t="s">
        <v>64</v>
      </c>
      <c r="D890" s="2" t="s">
        <v>10</v>
      </c>
      <c r="E890" s="2" t="s">
        <v>14</v>
      </c>
      <c r="F890" s="2">
        <v>2.95</v>
      </c>
      <c r="G890" s="2">
        <v>1</v>
      </c>
      <c r="H890" s="2">
        <v>1</v>
      </c>
      <c r="I890" t="str">
        <f t="shared" si="13"/>
        <v>Aug</v>
      </c>
      <c r="J890">
        <f>YEAR(datas[[#This Row],[Order Date]])</f>
        <v>2021</v>
      </c>
    </row>
    <row r="891" spans="1:10" ht="14.25" customHeight="1" x14ac:dyDescent="0.3">
      <c r="A891" s="1">
        <v>44420</v>
      </c>
      <c r="B891" s="2" t="s">
        <v>236</v>
      </c>
      <c r="C891" s="2" t="s">
        <v>23</v>
      </c>
      <c r="D891" s="2" t="s">
        <v>10</v>
      </c>
      <c r="E891" s="2" t="s">
        <v>16</v>
      </c>
      <c r="F891" s="2">
        <v>14.04</v>
      </c>
      <c r="G891" s="2">
        <v>3</v>
      </c>
      <c r="H891" s="2">
        <v>6.74</v>
      </c>
      <c r="I891" t="str">
        <f t="shared" si="13"/>
        <v>Aug</v>
      </c>
      <c r="J891">
        <f>YEAR(datas[[#This Row],[Order Date]])</f>
        <v>2021</v>
      </c>
    </row>
    <row r="892" spans="1:10" ht="14.25" customHeight="1" x14ac:dyDescent="0.3">
      <c r="A892" s="1">
        <v>44420</v>
      </c>
      <c r="B892" s="2" t="s">
        <v>236</v>
      </c>
      <c r="C892" s="2" t="s">
        <v>23</v>
      </c>
      <c r="D892" s="2" t="s">
        <v>28</v>
      </c>
      <c r="E892" s="2" t="s">
        <v>34</v>
      </c>
      <c r="F892" s="2">
        <v>272.61</v>
      </c>
      <c r="G892" s="2">
        <v>13</v>
      </c>
      <c r="H892" s="2">
        <v>98.14</v>
      </c>
      <c r="I892" t="str">
        <f t="shared" si="13"/>
        <v>Aug</v>
      </c>
      <c r="J892">
        <f>YEAR(datas[[#This Row],[Order Date]])</f>
        <v>2021</v>
      </c>
    </row>
    <row r="893" spans="1:10" ht="14.25" customHeight="1" x14ac:dyDescent="0.3">
      <c r="A893" s="1">
        <v>44423</v>
      </c>
      <c r="B893" s="2" t="s">
        <v>418</v>
      </c>
      <c r="C893" s="2" t="s">
        <v>9</v>
      </c>
      <c r="D893" s="2" t="s">
        <v>10</v>
      </c>
      <c r="E893" s="2" t="s">
        <v>16</v>
      </c>
      <c r="F893" s="2">
        <v>30.96</v>
      </c>
      <c r="G893" s="2">
        <v>8</v>
      </c>
      <c r="H893" s="2">
        <v>-52.63</v>
      </c>
      <c r="I893" t="str">
        <f t="shared" si="13"/>
        <v>Aug</v>
      </c>
      <c r="J893">
        <f>YEAR(datas[[#This Row],[Order Date]])</f>
        <v>2021</v>
      </c>
    </row>
    <row r="894" spans="1:10" ht="14.25" customHeight="1" x14ac:dyDescent="0.3">
      <c r="A894" s="1">
        <v>44423</v>
      </c>
      <c r="B894" s="2" t="s">
        <v>419</v>
      </c>
      <c r="C894" s="2" t="s">
        <v>248</v>
      </c>
      <c r="D894" s="2" t="s">
        <v>10</v>
      </c>
      <c r="E894" s="2" t="s">
        <v>16</v>
      </c>
      <c r="F894" s="2">
        <v>62.94</v>
      </c>
      <c r="G894" s="2">
        <v>3</v>
      </c>
      <c r="H894" s="2">
        <v>30.21</v>
      </c>
      <c r="I894" t="str">
        <f t="shared" si="13"/>
        <v>Aug</v>
      </c>
      <c r="J894">
        <f>YEAR(datas[[#This Row],[Order Date]])</f>
        <v>2021</v>
      </c>
    </row>
    <row r="895" spans="1:10" ht="14.25" customHeight="1" x14ac:dyDescent="0.3">
      <c r="A895" s="1">
        <v>44423</v>
      </c>
      <c r="B895" s="2" t="s">
        <v>419</v>
      </c>
      <c r="C895" s="2" t="s">
        <v>64</v>
      </c>
      <c r="D895" s="2" t="s">
        <v>10</v>
      </c>
      <c r="E895" s="2" t="s">
        <v>11</v>
      </c>
      <c r="F895" s="2">
        <v>91.36</v>
      </c>
      <c r="G895" s="2">
        <v>5</v>
      </c>
      <c r="H895" s="2">
        <v>29.69</v>
      </c>
      <c r="I895" t="str">
        <f t="shared" si="13"/>
        <v>Aug</v>
      </c>
      <c r="J895">
        <f>YEAR(datas[[#This Row],[Order Date]])</f>
        <v>2021</v>
      </c>
    </row>
    <row r="896" spans="1:10" ht="14.25" customHeight="1" x14ac:dyDescent="0.3">
      <c r="A896" s="1">
        <v>44423</v>
      </c>
      <c r="B896" s="2" t="s">
        <v>419</v>
      </c>
      <c r="C896" s="2" t="s">
        <v>64</v>
      </c>
      <c r="D896" s="2" t="s">
        <v>10</v>
      </c>
      <c r="E896" s="2" t="s">
        <v>53</v>
      </c>
      <c r="F896" s="2">
        <v>152.24</v>
      </c>
      <c r="G896" s="2">
        <v>5</v>
      </c>
      <c r="H896" s="2">
        <v>17.13</v>
      </c>
      <c r="I896" t="str">
        <f t="shared" si="13"/>
        <v>Aug</v>
      </c>
      <c r="J896">
        <f>YEAR(datas[[#This Row],[Order Date]])</f>
        <v>2021</v>
      </c>
    </row>
    <row r="897" spans="1:10" ht="14.25" customHeight="1" x14ac:dyDescent="0.3">
      <c r="A897" s="1">
        <v>44423</v>
      </c>
      <c r="B897" s="2" t="s">
        <v>44</v>
      </c>
      <c r="C897" s="2" t="s">
        <v>21</v>
      </c>
      <c r="D897" s="2" t="s">
        <v>10</v>
      </c>
      <c r="E897" s="2" t="s">
        <v>53</v>
      </c>
      <c r="F897" s="2">
        <v>152.91</v>
      </c>
      <c r="G897" s="2">
        <v>3</v>
      </c>
      <c r="H897" s="2">
        <v>42.81</v>
      </c>
      <c r="I897" t="str">
        <f t="shared" si="13"/>
        <v>Aug</v>
      </c>
      <c r="J897">
        <f>YEAR(datas[[#This Row],[Order Date]])</f>
        <v>2021</v>
      </c>
    </row>
    <row r="898" spans="1:10" ht="14.25" customHeight="1" x14ac:dyDescent="0.3">
      <c r="A898" s="1">
        <v>44423</v>
      </c>
      <c r="B898" s="2" t="s">
        <v>44</v>
      </c>
      <c r="C898" s="2" t="s">
        <v>21</v>
      </c>
      <c r="D898" s="2" t="s">
        <v>10</v>
      </c>
      <c r="E898" s="2" t="s">
        <v>11</v>
      </c>
      <c r="F898" s="2">
        <v>92.94</v>
      </c>
      <c r="G898" s="2">
        <v>3</v>
      </c>
      <c r="H898" s="2">
        <v>41.82</v>
      </c>
      <c r="I898" t="str">
        <f t="shared" si="13"/>
        <v>Aug</v>
      </c>
      <c r="J898">
        <f>YEAR(datas[[#This Row],[Order Date]])</f>
        <v>2021</v>
      </c>
    </row>
    <row r="899" spans="1:10" ht="14.25" customHeight="1" x14ac:dyDescent="0.3">
      <c r="A899" s="1">
        <v>44423</v>
      </c>
      <c r="B899" s="2" t="s">
        <v>44</v>
      </c>
      <c r="C899" s="2" t="s">
        <v>21</v>
      </c>
      <c r="D899" s="2" t="s">
        <v>10</v>
      </c>
      <c r="E899" s="2" t="s">
        <v>16</v>
      </c>
      <c r="F899" s="2">
        <v>17.86</v>
      </c>
      <c r="G899" s="2">
        <v>4</v>
      </c>
      <c r="H899" s="2">
        <v>6.25</v>
      </c>
      <c r="I899" t="str">
        <f t="shared" ref="I899:I962" si="14">TEXT(A899,"mmm")</f>
        <v>Aug</v>
      </c>
      <c r="J899">
        <f>YEAR(datas[[#This Row],[Order Date]])</f>
        <v>2021</v>
      </c>
    </row>
    <row r="900" spans="1:10" ht="14.25" customHeight="1" x14ac:dyDescent="0.3">
      <c r="A900" s="1">
        <v>44423</v>
      </c>
      <c r="B900" s="2" t="s">
        <v>44</v>
      </c>
      <c r="C900" s="2" t="s">
        <v>21</v>
      </c>
      <c r="D900" s="2" t="s">
        <v>10</v>
      </c>
      <c r="E900" s="2" t="s">
        <v>16</v>
      </c>
      <c r="F900" s="2">
        <v>46.44</v>
      </c>
      <c r="G900" s="2">
        <v>3</v>
      </c>
      <c r="H900" s="2">
        <v>15.09</v>
      </c>
      <c r="I900" t="str">
        <f t="shared" si="14"/>
        <v>Aug</v>
      </c>
      <c r="J900">
        <f>YEAR(datas[[#This Row],[Order Date]])</f>
        <v>2021</v>
      </c>
    </row>
    <row r="901" spans="1:10" ht="14.25" customHeight="1" x14ac:dyDescent="0.3">
      <c r="A901" s="1">
        <v>44423</v>
      </c>
      <c r="B901" s="2" t="s">
        <v>44</v>
      </c>
      <c r="C901" s="2" t="s">
        <v>21</v>
      </c>
      <c r="D901" s="2" t="s">
        <v>26</v>
      </c>
      <c r="E901" s="2" t="s">
        <v>27</v>
      </c>
      <c r="F901" s="2">
        <v>195.14</v>
      </c>
      <c r="G901" s="2">
        <v>4</v>
      </c>
      <c r="H901" s="2">
        <v>-12.2</v>
      </c>
      <c r="I901" t="str">
        <f t="shared" si="14"/>
        <v>Aug</v>
      </c>
      <c r="J901">
        <f>YEAR(datas[[#This Row],[Order Date]])</f>
        <v>2021</v>
      </c>
    </row>
    <row r="902" spans="1:10" ht="14.25" customHeight="1" x14ac:dyDescent="0.3">
      <c r="A902" s="1">
        <v>44424</v>
      </c>
      <c r="B902" s="2" t="s">
        <v>420</v>
      </c>
      <c r="C902" s="2" t="s">
        <v>18</v>
      </c>
      <c r="D902" s="2" t="s">
        <v>26</v>
      </c>
      <c r="E902" s="2" t="s">
        <v>73</v>
      </c>
      <c r="F902" s="2">
        <v>853.09</v>
      </c>
      <c r="G902" s="2">
        <v>6</v>
      </c>
      <c r="H902" s="2">
        <v>-227.49</v>
      </c>
      <c r="I902" t="str">
        <f t="shared" si="14"/>
        <v>Aug</v>
      </c>
      <c r="J902">
        <f>YEAR(datas[[#This Row],[Order Date]])</f>
        <v>2021</v>
      </c>
    </row>
    <row r="903" spans="1:10" ht="14.25" customHeight="1" x14ac:dyDescent="0.3">
      <c r="A903" s="1">
        <v>44425</v>
      </c>
      <c r="B903" s="2" t="s">
        <v>187</v>
      </c>
      <c r="C903" s="2" t="s">
        <v>9</v>
      </c>
      <c r="D903" s="2" t="s">
        <v>10</v>
      </c>
      <c r="E903" s="2" t="s">
        <v>11</v>
      </c>
      <c r="F903" s="2">
        <v>15.55</v>
      </c>
      <c r="G903" s="2">
        <v>3</v>
      </c>
      <c r="H903" s="2">
        <v>5.44</v>
      </c>
      <c r="I903" t="str">
        <f t="shared" si="14"/>
        <v>Aug</v>
      </c>
      <c r="J903">
        <f>YEAR(datas[[#This Row],[Order Date]])</f>
        <v>2021</v>
      </c>
    </row>
    <row r="904" spans="1:10" ht="14.25" customHeight="1" x14ac:dyDescent="0.3">
      <c r="A904" s="1">
        <v>44425</v>
      </c>
      <c r="B904" s="2" t="s">
        <v>421</v>
      </c>
      <c r="C904" s="2" t="s">
        <v>57</v>
      </c>
      <c r="D904" s="2" t="s">
        <v>10</v>
      </c>
      <c r="E904" s="2" t="s">
        <v>11</v>
      </c>
      <c r="F904" s="2">
        <v>114.2</v>
      </c>
      <c r="G904" s="2">
        <v>5</v>
      </c>
      <c r="H904" s="2">
        <v>52.53</v>
      </c>
      <c r="I904" t="str">
        <f t="shared" si="14"/>
        <v>Aug</v>
      </c>
      <c r="J904">
        <f>YEAR(datas[[#This Row],[Order Date]])</f>
        <v>2021</v>
      </c>
    </row>
    <row r="905" spans="1:10" ht="14.25" customHeight="1" x14ac:dyDescent="0.3">
      <c r="A905" s="1">
        <v>44425</v>
      </c>
      <c r="B905" s="2" t="s">
        <v>421</v>
      </c>
      <c r="C905" s="2" t="s">
        <v>57</v>
      </c>
      <c r="D905" s="2" t="s">
        <v>10</v>
      </c>
      <c r="E905" s="2" t="s">
        <v>16</v>
      </c>
      <c r="F905" s="2">
        <v>17.96</v>
      </c>
      <c r="G905" s="2">
        <v>4</v>
      </c>
      <c r="H905" s="2">
        <v>8.26</v>
      </c>
      <c r="I905" t="str">
        <f t="shared" si="14"/>
        <v>Aug</v>
      </c>
      <c r="J905">
        <f>YEAR(datas[[#This Row],[Order Date]])</f>
        <v>2021</v>
      </c>
    </row>
    <row r="906" spans="1:10" ht="14.25" customHeight="1" x14ac:dyDescent="0.3">
      <c r="A906" s="1">
        <v>44425</v>
      </c>
      <c r="B906" s="2" t="s">
        <v>421</v>
      </c>
      <c r="C906" s="2" t="s">
        <v>57</v>
      </c>
      <c r="D906" s="2" t="s">
        <v>10</v>
      </c>
      <c r="E906" s="2" t="s">
        <v>30</v>
      </c>
      <c r="F906" s="2">
        <v>12.67</v>
      </c>
      <c r="G906" s="2">
        <v>7</v>
      </c>
      <c r="H906" s="2">
        <v>4.5599999999999996</v>
      </c>
      <c r="I906" t="str">
        <f t="shared" si="14"/>
        <v>Aug</v>
      </c>
      <c r="J906">
        <f>YEAR(datas[[#This Row],[Order Date]])</f>
        <v>2021</v>
      </c>
    </row>
    <row r="907" spans="1:10" ht="14.25" customHeight="1" x14ac:dyDescent="0.3">
      <c r="A907" s="1">
        <v>44425</v>
      </c>
      <c r="B907" s="2" t="s">
        <v>421</v>
      </c>
      <c r="C907" s="2" t="s">
        <v>57</v>
      </c>
      <c r="D907" s="2" t="s">
        <v>28</v>
      </c>
      <c r="E907" s="2" t="s">
        <v>34</v>
      </c>
      <c r="F907" s="2">
        <v>339.96</v>
      </c>
      <c r="G907" s="2">
        <v>4</v>
      </c>
      <c r="H907" s="2">
        <v>122.39</v>
      </c>
      <c r="I907" t="str">
        <f t="shared" si="14"/>
        <v>Aug</v>
      </c>
      <c r="J907">
        <f>YEAR(datas[[#This Row],[Order Date]])</f>
        <v>2021</v>
      </c>
    </row>
    <row r="908" spans="1:10" ht="14.25" customHeight="1" x14ac:dyDescent="0.3">
      <c r="A908" s="1">
        <v>44427</v>
      </c>
      <c r="B908" s="2" t="s">
        <v>299</v>
      </c>
      <c r="C908" s="2" t="s">
        <v>47</v>
      </c>
      <c r="D908" s="2" t="s">
        <v>10</v>
      </c>
      <c r="E908" s="2" t="s">
        <v>19</v>
      </c>
      <c r="F908" s="2">
        <v>10.72</v>
      </c>
      <c r="G908" s="2">
        <v>2</v>
      </c>
      <c r="H908" s="2">
        <v>1.74</v>
      </c>
      <c r="I908" t="str">
        <f t="shared" si="14"/>
        <v>Aug</v>
      </c>
      <c r="J908">
        <f>YEAR(datas[[#This Row],[Order Date]])</f>
        <v>2021</v>
      </c>
    </row>
    <row r="909" spans="1:10" ht="14.25" customHeight="1" x14ac:dyDescent="0.3">
      <c r="A909" s="1">
        <v>44427</v>
      </c>
      <c r="B909" s="2" t="s">
        <v>350</v>
      </c>
      <c r="C909" s="2" t="s">
        <v>47</v>
      </c>
      <c r="D909" s="2" t="s">
        <v>10</v>
      </c>
      <c r="E909" s="2" t="s">
        <v>16</v>
      </c>
      <c r="F909" s="2">
        <v>76.78</v>
      </c>
      <c r="G909" s="2">
        <v>4</v>
      </c>
      <c r="H909" s="2">
        <v>-58.86</v>
      </c>
      <c r="I909" t="str">
        <f t="shared" si="14"/>
        <v>Aug</v>
      </c>
      <c r="J909">
        <f>YEAR(datas[[#This Row],[Order Date]])</f>
        <v>2021</v>
      </c>
    </row>
    <row r="910" spans="1:10" ht="14.25" customHeight="1" x14ac:dyDescent="0.3">
      <c r="A910" s="1">
        <v>44427</v>
      </c>
      <c r="B910" s="2" t="s">
        <v>350</v>
      </c>
      <c r="C910" s="2" t="s">
        <v>47</v>
      </c>
      <c r="D910" s="2" t="s">
        <v>10</v>
      </c>
      <c r="E910" s="2" t="s">
        <v>95</v>
      </c>
      <c r="F910" s="2">
        <v>9.18</v>
      </c>
      <c r="G910" s="2">
        <v>2</v>
      </c>
      <c r="H910" s="2">
        <v>1.1499999999999999</v>
      </c>
      <c r="I910" t="str">
        <f t="shared" si="14"/>
        <v>Aug</v>
      </c>
      <c r="J910">
        <f>YEAR(datas[[#This Row],[Order Date]])</f>
        <v>2021</v>
      </c>
    </row>
    <row r="911" spans="1:10" ht="14.25" customHeight="1" x14ac:dyDescent="0.3">
      <c r="A911" s="1">
        <v>44427</v>
      </c>
      <c r="B911" s="2" t="s">
        <v>422</v>
      </c>
      <c r="C911" s="2" t="s">
        <v>57</v>
      </c>
      <c r="D911" s="2" t="s">
        <v>26</v>
      </c>
      <c r="E911" s="2" t="s">
        <v>45</v>
      </c>
      <c r="F911" s="2">
        <v>638.82000000000005</v>
      </c>
      <c r="G911" s="2">
        <v>9</v>
      </c>
      <c r="H911" s="2">
        <v>172.48</v>
      </c>
      <c r="I911" t="str">
        <f t="shared" si="14"/>
        <v>Aug</v>
      </c>
      <c r="J911">
        <f>YEAR(datas[[#This Row],[Order Date]])</f>
        <v>2021</v>
      </c>
    </row>
    <row r="912" spans="1:10" ht="14.25" customHeight="1" x14ac:dyDescent="0.3">
      <c r="A912" s="1">
        <v>44427</v>
      </c>
      <c r="B912" s="2" t="s">
        <v>51</v>
      </c>
      <c r="C912" s="2" t="s">
        <v>21</v>
      </c>
      <c r="D912" s="2" t="s">
        <v>26</v>
      </c>
      <c r="E912" s="2" t="s">
        <v>32</v>
      </c>
      <c r="F912" s="2">
        <v>289.24</v>
      </c>
      <c r="G912" s="2">
        <v>7</v>
      </c>
      <c r="H912" s="2">
        <v>26.03</v>
      </c>
      <c r="I912" t="str">
        <f t="shared" si="14"/>
        <v>Aug</v>
      </c>
      <c r="J912">
        <f>YEAR(datas[[#This Row],[Order Date]])</f>
        <v>2021</v>
      </c>
    </row>
    <row r="913" spans="1:10" ht="14.25" customHeight="1" x14ac:dyDescent="0.3">
      <c r="A913" s="1">
        <v>44427</v>
      </c>
      <c r="B913" s="2" t="s">
        <v>51</v>
      </c>
      <c r="C913" s="2" t="s">
        <v>21</v>
      </c>
      <c r="D913" s="2" t="s">
        <v>10</v>
      </c>
      <c r="E913" s="2" t="s">
        <v>16</v>
      </c>
      <c r="F913" s="2">
        <v>69.459999999999994</v>
      </c>
      <c r="G913" s="2">
        <v>2</v>
      </c>
      <c r="H913" s="2">
        <v>22.57</v>
      </c>
      <c r="I913" t="str">
        <f t="shared" si="14"/>
        <v>Aug</v>
      </c>
      <c r="J913">
        <f>YEAR(datas[[#This Row],[Order Date]])</f>
        <v>2021</v>
      </c>
    </row>
    <row r="914" spans="1:10" ht="14.25" customHeight="1" x14ac:dyDescent="0.3">
      <c r="A914" s="1">
        <v>44427</v>
      </c>
      <c r="B914" s="2" t="s">
        <v>249</v>
      </c>
      <c r="C914" s="2" t="s">
        <v>23</v>
      </c>
      <c r="D914" s="2" t="s">
        <v>10</v>
      </c>
      <c r="E914" s="2" t="s">
        <v>15</v>
      </c>
      <c r="F914" s="2">
        <v>344.91</v>
      </c>
      <c r="G914" s="2">
        <v>3</v>
      </c>
      <c r="H914" s="2">
        <v>10.35</v>
      </c>
      <c r="I914" t="str">
        <f t="shared" si="14"/>
        <v>Aug</v>
      </c>
      <c r="J914">
        <f>YEAR(datas[[#This Row],[Order Date]])</f>
        <v>2021</v>
      </c>
    </row>
    <row r="915" spans="1:10" ht="14.25" customHeight="1" x14ac:dyDescent="0.3">
      <c r="A915" s="1">
        <v>44428</v>
      </c>
      <c r="B915" s="2" t="s">
        <v>423</v>
      </c>
      <c r="C915" s="2" t="s">
        <v>13</v>
      </c>
      <c r="D915" s="2" t="s">
        <v>26</v>
      </c>
      <c r="E915" s="2" t="s">
        <v>27</v>
      </c>
      <c r="F915" s="2">
        <v>421.37</v>
      </c>
      <c r="G915" s="2">
        <v>2</v>
      </c>
      <c r="H915" s="2">
        <v>-6.02</v>
      </c>
      <c r="I915" t="str">
        <f t="shared" si="14"/>
        <v>Aug</v>
      </c>
      <c r="J915">
        <f>YEAR(datas[[#This Row],[Order Date]])</f>
        <v>2021</v>
      </c>
    </row>
    <row r="916" spans="1:10" ht="14.25" customHeight="1" x14ac:dyDescent="0.3">
      <c r="A916" s="1">
        <v>44428</v>
      </c>
      <c r="B916" s="2" t="s">
        <v>386</v>
      </c>
      <c r="C916" s="2" t="s">
        <v>36</v>
      </c>
      <c r="D916" s="2" t="s">
        <v>26</v>
      </c>
      <c r="E916" s="2" t="s">
        <v>27</v>
      </c>
      <c r="F916" s="2">
        <v>500.24</v>
      </c>
      <c r="G916" s="2">
        <v>13</v>
      </c>
      <c r="H916" s="2">
        <v>145.07</v>
      </c>
      <c r="I916" t="str">
        <f t="shared" si="14"/>
        <v>Aug</v>
      </c>
      <c r="J916">
        <f>YEAR(datas[[#This Row],[Order Date]])</f>
        <v>2021</v>
      </c>
    </row>
    <row r="917" spans="1:10" ht="14.25" customHeight="1" x14ac:dyDescent="0.3">
      <c r="A917" s="1">
        <v>44428</v>
      </c>
      <c r="B917" s="2" t="s">
        <v>386</v>
      </c>
      <c r="C917" s="2" t="s">
        <v>36</v>
      </c>
      <c r="D917" s="2" t="s">
        <v>10</v>
      </c>
      <c r="E917" s="2" t="s">
        <v>11</v>
      </c>
      <c r="F917" s="2">
        <v>20.12</v>
      </c>
      <c r="G917" s="2">
        <v>2</v>
      </c>
      <c r="H917" s="2">
        <v>9.26</v>
      </c>
      <c r="I917" t="str">
        <f t="shared" si="14"/>
        <v>Aug</v>
      </c>
      <c r="J917">
        <f>YEAR(datas[[#This Row],[Order Date]])</f>
        <v>2021</v>
      </c>
    </row>
    <row r="918" spans="1:10" ht="14.25" customHeight="1" x14ac:dyDescent="0.3">
      <c r="A918" s="1">
        <v>44428</v>
      </c>
      <c r="B918" s="2" t="s">
        <v>386</v>
      </c>
      <c r="C918" s="2" t="s">
        <v>36</v>
      </c>
      <c r="D918" s="2" t="s">
        <v>10</v>
      </c>
      <c r="E918" s="2" t="s">
        <v>16</v>
      </c>
      <c r="F918" s="2">
        <v>896.99</v>
      </c>
      <c r="G918" s="2">
        <v>1</v>
      </c>
      <c r="H918" s="2">
        <v>421.59</v>
      </c>
      <c r="I918" t="str">
        <f t="shared" si="14"/>
        <v>Aug</v>
      </c>
      <c r="J918">
        <f>YEAR(datas[[#This Row],[Order Date]])</f>
        <v>2021</v>
      </c>
    </row>
    <row r="919" spans="1:10" ht="14.25" customHeight="1" x14ac:dyDescent="0.3">
      <c r="A919" s="1">
        <v>44430</v>
      </c>
      <c r="B919" s="2" t="s">
        <v>424</v>
      </c>
      <c r="C919" s="2" t="s">
        <v>47</v>
      </c>
      <c r="D919" s="2" t="s">
        <v>10</v>
      </c>
      <c r="E919" s="2" t="s">
        <v>19</v>
      </c>
      <c r="F919" s="2">
        <v>3.91</v>
      </c>
      <c r="G919" s="2">
        <v>1</v>
      </c>
      <c r="H919" s="2">
        <v>1.03</v>
      </c>
      <c r="I919" t="str">
        <f t="shared" si="14"/>
        <v>Aug</v>
      </c>
      <c r="J919">
        <f>YEAR(datas[[#This Row],[Order Date]])</f>
        <v>2021</v>
      </c>
    </row>
    <row r="920" spans="1:10" ht="14.25" customHeight="1" x14ac:dyDescent="0.3">
      <c r="A920" s="1">
        <v>44430</v>
      </c>
      <c r="B920" s="2" t="s">
        <v>425</v>
      </c>
      <c r="C920" s="2" t="s">
        <v>64</v>
      </c>
      <c r="D920" s="2" t="s">
        <v>10</v>
      </c>
      <c r="E920" s="2" t="s">
        <v>95</v>
      </c>
      <c r="F920" s="2">
        <v>7.63</v>
      </c>
      <c r="G920" s="2">
        <v>3</v>
      </c>
      <c r="H920" s="2">
        <v>-1.81</v>
      </c>
      <c r="I920" t="str">
        <f t="shared" si="14"/>
        <v>Aug</v>
      </c>
      <c r="J920">
        <f>YEAR(datas[[#This Row],[Order Date]])</f>
        <v>2021</v>
      </c>
    </row>
    <row r="921" spans="1:10" ht="14.25" customHeight="1" x14ac:dyDescent="0.3">
      <c r="A921" s="1">
        <v>44430</v>
      </c>
      <c r="B921" s="2" t="s">
        <v>326</v>
      </c>
      <c r="C921" s="2" t="s">
        <v>91</v>
      </c>
      <c r="D921" s="2" t="s">
        <v>10</v>
      </c>
      <c r="E921" s="2" t="s">
        <v>11</v>
      </c>
      <c r="F921" s="2">
        <v>11.56</v>
      </c>
      <c r="G921" s="2">
        <v>2</v>
      </c>
      <c r="H921" s="2">
        <v>5.66</v>
      </c>
      <c r="I921" t="str">
        <f t="shared" si="14"/>
        <v>Aug</v>
      </c>
      <c r="J921">
        <f>YEAR(datas[[#This Row],[Order Date]])</f>
        <v>2021</v>
      </c>
    </row>
    <row r="922" spans="1:10" ht="14.25" customHeight="1" x14ac:dyDescent="0.3">
      <c r="A922" s="1">
        <v>44431</v>
      </c>
      <c r="B922" s="2" t="s">
        <v>426</v>
      </c>
      <c r="C922" s="2" t="s">
        <v>75</v>
      </c>
      <c r="D922" s="2" t="s">
        <v>10</v>
      </c>
      <c r="E922" s="2" t="s">
        <v>11</v>
      </c>
      <c r="F922" s="2">
        <v>25.92</v>
      </c>
      <c r="G922" s="2">
        <v>4</v>
      </c>
      <c r="H922" s="2">
        <v>12.44</v>
      </c>
      <c r="I922" t="str">
        <f t="shared" si="14"/>
        <v>Aug</v>
      </c>
      <c r="J922">
        <f>YEAR(datas[[#This Row],[Order Date]])</f>
        <v>2021</v>
      </c>
    </row>
    <row r="923" spans="1:10" ht="14.25" customHeight="1" x14ac:dyDescent="0.3">
      <c r="A923" s="1">
        <v>44431</v>
      </c>
      <c r="B923" s="2" t="s">
        <v>426</v>
      </c>
      <c r="C923" s="2" t="s">
        <v>75</v>
      </c>
      <c r="D923" s="2" t="s">
        <v>10</v>
      </c>
      <c r="E923" s="2" t="s">
        <v>11</v>
      </c>
      <c r="F923" s="2">
        <v>45.92</v>
      </c>
      <c r="G923" s="2">
        <v>4</v>
      </c>
      <c r="H923" s="2">
        <v>22.5</v>
      </c>
      <c r="I923" t="str">
        <f t="shared" si="14"/>
        <v>Aug</v>
      </c>
      <c r="J923">
        <f>YEAR(datas[[#This Row],[Order Date]])</f>
        <v>2021</v>
      </c>
    </row>
    <row r="924" spans="1:10" ht="14.25" customHeight="1" x14ac:dyDescent="0.3">
      <c r="A924" s="1">
        <v>44431</v>
      </c>
      <c r="B924" s="2" t="s">
        <v>427</v>
      </c>
      <c r="C924" s="2" t="s">
        <v>21</v>
      </c>
      <c r="D924" s="2" t="s">
        <v>10</v>
      </c>
      <c r="E924" s="2" t="s">
        <v>16</v>
      </c>
      <c r="F924" s="2">
        <v>49.57</v>
      </c>
      <c r="G924" s="2">
        <v>2</v>
      </c>
      <c r="H924" s="2">
        <v>17.350000000000001</v>
      </c>
      <c r="I924" t="str">
        <f t="shared" si="14"/>
        <v>Aug</v>
      </c>
      <c r="J924">
        <f>YEAR(datas[[#This Row],[Order Date]])</f>
        <v>2021</v>
      </c>
    </row>
    <row r="925" spans="1:10" ht="14.25" customHeight="1" x14ac:dyDescent="0.3">
      <c r="A925" s="1">
        <v>44431</v>
      </c>
      <c r="B925" s="2" t="s">
        <v>428</v>
      </c>
      <c r="C925" s="2" t="s">
        <v>126</v>
      </c>
      <c r="D925" s="2" t="s">
        <v>10</v>
      </c>
      <c r="E925" s="2" t="s">
        <v>11</v>
      </c>
      <c r="F925" s="2">
        <v>15.55</v>
      </c>
      <c r="G925" s="2">
        <v>3</v>
      </c>
      <c r="H925" s="2">
        <v>5.44</v>
      </c>
      <c r="I925" t="str">
        <f t="shared" si="14"/>
        <v>Aug</v>
      </c>
      <c r="J925">
        <f>YEAR(datas[[#This Row],[Order Date]])</f>
        <v>2021</v>
      </c>
    </row>
    <row r="926" spans="1:10" ht="14.25" customHeight="1" x14ac:dyDescent="0.3">
      <c r="A926" s="1">
        <v>44431</v>
      </c>
      <c r="B926" s="2" t="s">
        <v>428</v>
      </c>
      <c r="C926" s="2" t="s">
        <v>126</v>
      </c>
      <c r="D926" s="2" t="s">
        <v>10</v>
      </c>
      <c r="E926" s="2" t="s">
        <v>95</v>
      </c>
      <c r="F926" s="2">
        <v>6.8</v>
      </c>
      <c r="G926" s="2">
        <v>1</v>
      </c>
      <c r="H926" s="2">
        <v>0.51</v>
      </c>
      <c r="I926" t="str">
        <f t="shared" si="14"/>
        <v>Aug</v>
      </c>
      <c r="J926">
        <f>YEAR(datas[[#This Row],[Order Date]])</f>
        <v>2021</v>
      </c>
    </row>
    <row r="927" spans="1:10" ht="14.25" customHeight="1" x14ac:dyDescent="0.3">
      <c r="A927" s="1">
        <v>44431</v>
      </c>
      <c r="B927" s="2" t="s">
        <v>428</v>
      </c>
      <c r="C927" s="2" t="s">
        <v>126</v>
      </c>
      <c r="D927" s="2" t="s">
        <v>26</v>
      </c>
      <c r="E927" s="2" t="s">
        <v>32</v>
      </c>
      <c r="F927" s="2">
        <v>4.22</v>
      </c>
      <c r="G927" s="2">
        <v>3</v>
      </c>
      <c r="H927" s="2">
        <v>1.27</v>
      </c>
      <c r="I927" t="str">
        <f t="shared" si="14"/>
        <v>Aug</v>
      </c>
      <c r="J927">
        <f>YEAR(datas[[#This Row],[Order Date]])</f>
        <v>2021</v>
      </c>
    </row>
    <row r="928" spans="1:10" ht="14.25" customHeight="1" x14ac:dyDescent="0.3">
      <c r="A928" s="1">
        <v>44431</v>
      </c>
      <c r="B928" s="2" t="s">
        <v>428</v>
      </c>
      <c r="C928" s="2" t="s">
        <v>126</v>
      </c>
      <c r="D928" s="2" t="s">
        <v>28</v>
      </c>
      <c r="E928" s="2" t="s">
        <v>29</v>
      </c>
      <c r="F928" s="2">
        <v>143.63999999999999</v>
      </c>
      <c r="G928" s="2">
        <v>9</v>
      </c>
      <c r="H928" s="2">
        <v>10.77</v>
      </c>
      <c r="I928" t="str">
        <f t="shared" si="14"/>
        <v>Aug</v>
      </c>
      <c r="J928">
        <f>YEAR(datas[[#This Row],[Order Date]])</f>
        <v>2021</v>
      </c>
    </row>
    <row r="929" spans="1:10" ht="14.25" customHeight="1" x14ac:dyDescent="0.3">
      <c r="A929" s="1">
        <v>44431</v>
      </c>
      <c r="B929" s="2" t="s">
        <v>428</v>
      </c>
      <c r="C929" s="2" t="s">
        <v>126</v>
      </c>
      <c r="D929" s="2" t="s">
        <v>10</v>
      </c>
      <c r="E929" s="2" t="s">
        <v>11</v>
      </c>
      <c r="F929" s="2">
        <v>31.1</v>
      </c>
      <c r="G929" s="2">
        <v>6</v>
      </c>
      <c r="H929" s="2">
        <v>10.89</v>
      </c>
      <c r="I929" t="str">
        <f t="shared" si="14"/>
        <v>Aug</v>
      </c>
      <c r="J929">
        <f>YEAR(datas[[#This Row],[Order Date]])</f>
        <v>2021</v>
      </c>
    </row>
    <row r="930" spans="1:10" ht="14.25" customHeight="1" x14ac:dyDescent="0.3">
      <c r="A930" s="1">
        <v>44431</v>
      </c>
      <c r="B930" s="2" t="s">
        <v>428</v>
      </c>
      <c r="C930" s="2" t="s">
        <v>126</v>
      </c>
      <c r="D930" s="2" t="s">
        <v>10</v>
      </c>
      <c r="E930" s="2" t="s">
        <v>11</v>
      </c>
      <c r="F930" s="2">
        <v>223.06</v>
      </c>
      <c r="G930" s="2">
        <v>9</v>
      </c>
      <c r="H930" s="2">
        <v>69.709999999999994</v>
      </c>
      <c r="I930" t="str">
        <f t="shared" si="14"/>
        <v>Aug</v>
      </c>
      <c r="J930">
        <f>YEAR(datas[[#This Row],[Order Date]])</f>
        <v>2021</v>
      </c>
    </row>
    <row r="931" spans="1:10" ht="14.25" customHeight="1" x14ac:dyDescent="0.3">
      <c r="A931" s="1">
        <v>44431</v>
      </c>
      <c r="B931" s="2" t="s">
        <v>301</v>
      </c>
      <c r="C931" s="2" t="s">
        <v>60</v>
      </c>
      <c r="D931" s="2" t="s">
        <v>10</v>
      </c>
      <c r="E931" s="2" t="s">
        <v>11</v>
      </c>
      <c r="F931" s="2">
        <v>19.440000000000001</v>
      </c>
      <c r="G931" s="2">
        <v>3</v>
      </c>
      <c r="H931" s="2">
        <v>9.5299999999999994</v>
      </c>
      <c r="I931" t="str">
        <f t="shared" si="14"/>
        <v>Aug</v>
      </c>
      <c r="J931">
        <f>YEAR(datas[[#This Row],[Order Date]])</f>
        <v>2021</v>
      </c>
    </row>
    <row r="932" spans="1:10" ht="14.25" customHeight="1" x14ac:dyDescent="0.3">
      <c r="A932" s="1">
        <v>44432</v>
      </c>
      <c r="B932" s="2" t="s">
        <v>427</v>
      </c>
      <c r="C932" s="2" t="s">
        <v>210</v>
      </c>
      <c r="D932" s="2" t="s">
        <v>10</v>
      </c>
      <c r="E932" s="2" t="s">
        <v>16</v>
      </c>
      <c r="F932" s="2">
        <v>8.2899999999999991</v>
      </c>
      <c r="G932" s="2">
        <v>2</v>
      </c>
      <c r="H932" s="2">
        <v>2.69</v>
      </c>
      <c r="I932" t="str">
        <f t="shared" si="14"/>
        <v>Aug</v>
      </c>
      <c r="J932">
        <f>YEAR(datas[[#This Row],[Order Date]])</f>
        <v>2021</v>
      </c>
    </row>
    <row r="933" spans="1:10" ht="14.25" customHeight="1" x14ac:dyDescent="0.3">
      <c r="A933" s="1">
        <v>44432</v>
      </c>
      <c r="B933" s="2" t="s">
        <v>429</v>
      </c>
      <c r="C933" s="2" t="s">
        <v>75</v>
      </c>
      <c r="D933" s="2" t="s">
        <v>26</v>
      </c>
      <c r="E933" s="2" t="s">
        <v>32</v>
      </c>
      <c r="F933" s="2">
        <v>13.28</v>
      </c>
      <c r="G933" s="2">
        <v>2</v>
      </c>
      <c r="H933" s="2">
        <v>6.37</v>
      </c>
      <c r="I933" t="str">
        <f t="shared" si="14"/>
        <v>Aug</v>
      </c>
      <c r="J933">
        <f>YEAR(datas[[#This Row],[Order Date]])</f>
        <v>2021</v>
      </c>
    </row>
    <row r="934" spans="1:10" ht="14.25" customHeight="1" x14ac:dyDescent="0.3">
      <c r="A934" s="1">
        <v>44432</v>
      </c>
      <c r="B934" s="2" t="s">
        <v>429</v>
      </c>
      <c r="C934" s="2" t="s">
        <v>75</v>
      </c>
      <c r="D934" s="2" t="s">
        <v>10</v>
      </c>
      <c r="E934" s="2" t="s">
        <v>16</v>
      </c>
      <c r="F934" s="2">
        <v>12.67</v>
      </c>
      <c r="G934" s="2">
        <v>3</v>
      </c>
      <c r="H934" s="2">
        <v>4.4400000000000004</v>
      </c>
      <c r="I934" t="str">
        <f t="shared" si="14"/>
        <v>Aug</v>
      </c>
      <c r="J934">
        <f>YEAR(datas[[#This Row],[Order Date]])</f>
        <v>2021</v>
      </c>
    </row>
    <row r="935" spans="1:10" ht="14.25" customHeight="1" x14ac:dyDescent="0.3">
      <c r="A935" s="1">
        <v>44432</v>
      </c>
      <c r="B935" s="2" t="s">
        <v>430</v>
      </c>
      <c r="C935" s="2" t="s">
        <v>25</v>
      </c>
      <c r="D935" s="2" t="s">
        <v>10</v>
      </c>
      <c r="E935" s="2" t="s">
        <v>95</v>
      </c>
      <c r="F935" s="2">
        <v>25.5</v>
      </c>
      <c r="G935" s="2">
        <v>3</v>
      </c>
      <c r="H935" s="2">
        <v>6.63</v>
      </c>
      <c r="I935" t="str">
        <f t="shared" si="14"/>
        <v>Aug</v>
      </c>
      <c r="J935">
        <f>YEAR(datas[[#This Row],[Order Date]])</f>
        <v>2021</v>
      </c>
    </row>
    <row r="936" spans="1:10" ht="14.25" customHeight="1" x14ac:dyDescent="0.3">
      <c r="A936" s="1">
        <v>44433</v>
      </c>
      <c r="B936" s="2" t="s">
        <v>431</v>
      </c>
      <c r="C936" s="2" t="s">
        <v>47</v>
      </c>
      <c r="D936" s="2" t="s">
        <v>10</v>
      </c>
      <c r="E936" s="2" t="s">
        <v>30</v>
      </c>
      <c r="F936" s="2">
        <v>40.1</v>
      </c>
      <c r="G936" s="2">
        <v>14</v>
      </c>
      <c r="H936" s="2">
        <v>14.53</v>
      </c>
      <c r="I936" t="str">
        <f t="shared" si="14"/>
        <v>Aug</v>
      </c>
      <c r="J936">
        <f>YEAR(datas[[#This Row],[Order Date]])</f>
        <v>2021</v>
      </c>
    </row>
    <row r="937" spans="1:10" ht="14.25" customHeight="1" x14ac:dyDescent="0.3">
      <c r="A937" s="1">
        <v>44433</v>
      </c>
      <c r="B937" s="2" t="s">
        <v>431</v>
      </c>
      <c r="C937" s="2" t="s">
        <v>47</v>
      </c>
      <c r="D937" s="2" t="s">
        <v>10</v>
      </c>
      <c r="E937" s="2" t="s">
        <v>41</v>
      </c>
      <c r="F937" s="2">
        <v>4.72</v>
      </c>
      <c r="G937" s="2">
        <v>2</v>
      </c>
      <c r="H937" s="2">
        <v>1.65</v>
      </c>
      <c r="I937" t="str">
        <f t="shared" si="14"/>
        <v>Aug</v>
      </c>
      <c r="J937">
        <f>YEAR(datas[[#This Row],[Order Date]])</f>
        <v>2021</v>
      </c>
    </row>
    <row r="938" spans="1:10" ht="14.25" customHeight="1" x14ac:dyDescent="0.3">
      <c r="A938" s="1">
        <v>44433</v>
      </c>
      <c r="B938" s="2" t="s">
        <v>431</v>
      </c>
      <c r="C938" s="2" t="s">
        <v>47</v>
      </c>
      <c r="D938" s="2" t="s">
        <v>10</v>
      </c>
      <c r="E938" s="2" t="s">
        <v>11</v>
      </c>
      <c r="F938" s="2">
        <v>23.98</v>
      </c>
      <c r="G938" s="2">
        <v>3</v>
      </c>
      <c r="H938" s="2">
        <v>7.49</v>
      </c>
      <c r="I938" t="str">
        <f t="shared" si="14"/>
        <v>Aug</v>
      </c>
      <c r="J938">
        <f>YEAR(datas[[#This Row],[Order Date]])</f>
        <v>2021</v>
      </c>
    </row>
    <row r="939" spans="1:10" ht="14.25" customHeight="1" x14ac:dyDescent="0.3">
      <c r="A939" s="1">
        <v>44433</v>
      </c>
      <c r="B939" s="2" t="s">
        <v>431</v>
      </c>
      <c r="C939" s="2" t="s">
        <v>47</v>
      </c>
      <c r="D939" s="2" t="s">
        <v>10</v>
      </c>
      <c r="E939" s="2" t="s">
        <v>41</v>
      </c>
      <c r="F939" s="2">
        <v>130.46</v>
      </c>
      <c r="G939" s="2">
        <v>6</v>
      </c>
      <c r="H939" s="2">
        <v>44.03</v>
      </c>
      <c r="I939" t="str">
        <f t="shared" si="14"/>
        <v>Aug</v>
      </c>
      <c r="J939">
        <f>YEAR(datas[[#This Row],[Order Date]])</f>
        <v>2021</v>
      </c>
    </row>
    <row r="940" spans="1:10" ht="14.25" customHeight="1" x14ac:dyDescent="0.3">
      <c r="A940" s="1">
        <v>44433</v>
      </c>
      <c r="B940" s="2" t="s">
        <v>432</v>
      </c>
      <c r="C940" s="2" t="s">
        <v>21</v>
      </c>
      <c r="D940" s="2" t="s">
        <v>26</v>
      </c>
      <c r="E940" s="2" t="s">
        <v>32</v>
      </c>
      <c r="F940" s="2">
        <v>6.28</v>
      </c>
      <c r="G940" s="2">
        <v>1</v>
      </c>
      <c r="H940" s="2">
        <v>2.64</v>
      </c>
      <c r="I940" t="str">
        <f t="shared" si="14"/>
        <v>Aug</v>
      </c>
      <c r="J940">
        <f>YEAR(datas[[#This Row],[Order Date]])</f>
        <v>2021</v>
      </c>
    </row>
    <row r="941" spans="1:10" ht="14.25" customHeight="1" x14ac:dyDescent="0.3">
      <c r="A941" s="1">
        <v>44433</v>
      </c>
      <c r="B941" s="2" t="s">
        <v>432</v>
      </c>
      <c r="C941" s="2" t="s">
        <v>21</v>
      </c>
      <c r="D941" s="2" t="s">
        <v>28</v>
      </c>
      <c r="E941" s="2" t="s">
        <v>34</v>
      </c>
      <c r="F941" s="2">
        <v>95.1</v>
      </c>
      <c r="G941" s="2">
        <v>5</v>
      </c>
      <c r="H941" s="2">
        <v>30.43</v>
      </c>
      <c r="I941" t="str">
        <f t="shared" si="14"/>
        <v>Aug</v>
      </c>
      <c r="J941">
        <f>YEAR(datas[[#This Row],[Order Date]])</f>
        <v>2021</v>
      </c>
    </row>
    <row r="942" spans="1:10" ht="14.25" customHeight="1" x14ac:dyDescent="0.3">
      <c r="A942" s="1">
        <v>44433</v>
      </c>
      <c r="B942" s="2" t="s">
        <v>432</v>
      </c>
      <c r="C942" s="2" t="s">
        <v>21</v>
      </c>
      <c r="D942" s="2" t="s">
        <v>10</v>
      </c>
      <c r="E942" s="2" t="s">
        <v>11</v>
      </c>
      <c r="F942" s="2">
        <v>25.92</v>
      </c>
      <c r="G942" s="2">
        <v>4</v>
      </c>
      <c r="H942" s="2">
        <v>12.44</v>
      </c>
      <c r="I942" t="str">
        <f t="shared" si="14"/>
        <v>Aug</v>
      </c>
      <c r="J942">
        <f>YEAR(datas[[#This Row],[Order Date]])</f>
        <v>2021</v>
      </c>
    </row>
    <row r="943" spans="1:10" ht="14.25" customHeight="1" x14ac:dyDescent="0.3">
      <c r="A943" s="1">
        <v>44433</v>
      </c>
      <c r="B943" s="2" t="s">
        <v>432</v>
      </c>
      <c r="C943" s="2" t="s">
        <v>21</v>
      </c>
      <c r="D943" s="2" t="s">
        <v>10</v>
      </c>
      <c r="E943" s="2" t="s">
        <v>15</v>
      </c>
      <c r="F943" s="2">
        <v>48.84</v>
      </c>
      <c r="G943" s="2">
        <v>4</v>
      </c>
      <c r="H943" s="2">
        <v>13.19</v>
      </c>
      <c r="I943" t="str">
        <f t="shared" si="14"/>
        <v>Aug</v>
      </c>
      <c r="J943">
        <f>YEAR(datas[[#This Row],[Order Date]])</f>
        <v>2021</v>
      </c>
    </row>
    <row r="944" spans="1:10" ht="14.25" customHeight="1" x14ac:dyDescent="0.3">
      <c r="A944" s="1">
        <v>44433</v>
      </c>
      <c r="B944" s="2" t="s">
        <v>433</v>
      </c>
      <c r="C944" s="2" t="s">
        <v>82</v>
      </c>
      <c r="D944" s="2" t="s">
        <v>28</v>
      </c>
      <c r="E944" s="2" t="s">
        <v>29</v>
      </c>
      <c r="F944" s="2">
        <v>1007.94</v>
      </c>
      <c r="G944" s="2">
        <v>7</v>
      </c>
      <c r="H944" s="2">
        <v>75.599999999999994</v>
      </c>
      <c r="I944" t="str">
        <f t="shared" si="14"/>
        <v>Aug</v>
      </c>
      <c r="J944">
        <f>YEAR(datas[[#This Row],[Order Date]])</f>
        <v>2021</v>
      </c>
    </row>
    <row r="945" spans="1:10" ht="14.25" customHeight="1" x14ac:dyDescent="0.3">
      <c r="A945" s="1">
        <v>44433</v>
      </c>
      <c r="B945" s="2" t="s">
        <v>434</v>
      </c>
      <c r="C945" s="2" t="s">
        <v>9</v>
      </c>
      <c r="D945" s="2" t="s">
        <v>10</v>
      </c>
      <c r="E945" s="2" t="s">
        <v>16</v>
      </c>
      <c r="F945" s="2">
        <v>25.68</v>
      </c>
      <c r="G945" s="2">
        <v>3</v>
      </c>
      <c r="H945" s="2">
        <v>-39.799999999999997</v>
      </c>
      <c r="I945" t="str">
        <f t="shared" si="14"/>
        <v>Aug</v>
      </c>
      <c r="J945">
        <f>YEAR(datas[[#This Row],[Order Date]])</f>
        <v>2021</v>
      </c>
    </row>
    <row r="946" spans="1:10" ht="14.25" customHeight="1" x14ac:dyDescent="0.3">
      <c r="A946" s="1">
        <v>44433</v>
      </c>
      <c r="B946" s="2" t="s">
        <v>434</v>
      </c>
      <c r="C946" s="2" t="s">
        <v>9</v>
      </c>
      <c r="D946" s="2" t="s">
        <v>10</v>
      </c>
      <c r="E946" s="2" t="s">
        <v>16</v>
      </c>
      <c r="F946" s="2">
        <v>12.38</v>
      </c>
      <c r="G946" s="2">
        <v>3</v>
      </c>
      <c r="H946" s="2">
        <v>-19.809999999999999</v>
      </c>
      <c r="I946" t="str">
        <f t="shared" si="14"/>
        <v>Aug</v>
      </c>
      <c r="J946">
        <f>YEAR(datas[[#This Row],[Order Date]])</f>
        <v>2021</v>
      </c>
    </row>
    <row r="947" spans="1:10" ht="14.25" customHeight="1" x14ac:dyDescent="0.3">
      <c r="A947" s="1">
        <v>44433</v>
      </c>
      <c r="B947" s="2" t="s">
        <v>48</v>
      </c>
      <c r="C947" s="2" t="s">
        <v>47</v>
      </c>
      <c r="D947" s="2" t="s">
        <v>10</v>
      </c>
      <c r="E947" s="2" t="s">
        <v>16</v>
      </c>
      <c r="F947" s="2">
        <v>6.53</v>
      </c>
      <c r="G947" s="2">
        <v>4</v>
      </c>
      <c r="H947" s="2">
        <v>-4.57</v>
      </c>
      <c r="I947" t="str">
        <f t="shared" si="14"/>
        <v>Aug</v>
      </c>
      <c r="J947">
        <f>YEAR(datas[[#This Row],[Order Date]])</f>
        <v>2021</v>
      </c>
    </row>
    <row r="948" spans="1:10" ht="14.25" customHeight="1" x14ac:dyDescent="0.3">
      <c r="A948" s="1">
        <v>44433</v>
      </c>
      <c r="B948" s="2" t="s">
        <v>48</v>
      </c>
      <c r="C948" s="2" t="s">
        <v>47</v>
      </c>
      <c r="D948" s="2" t="s">
        <v>10</v>
      </c>
      <c r="E948" s="2" t="s">
        <v>16</v>
      </c>
      <c r="F948" s="2">
        <v>2.86</v>
      </c>
      <c r="G948" s="2">
        <v>3</v>
      </c>
      <c r="H948" s="2">
        <v>-2.29</v>
      </c>
      <c r="I948" t="str">
        <f t="shared" si="14"/>
        <v>Aug</v>
      </c>
      <c r="J948">
        <f>YEAR(datas[[#This Row],[Order Date]])</f>
        <v>2021</v>
      </c>
    </row>
    <row r="949" spans="1:10" ht="14.25" customHeight="1" x14ac:dyDescent="0.3">
      <c r="A949" s="1">
        <v>44433</v>
      </c>
      <c r="B949" s="2" t="s">
        <v>48</v>
      </c>
      <c r="C949" s="2" t="s">
        <v>47</v>
      </c>
      <c r="D949" s="2" t="s">
        <v>10</v>
      </c>
      <c r="E949" s="2" t="s">
        <v>16</v>
      </c>
      <c r="F949" s="2">
        <v>20.86</v>
      </c>
      <c r="G949" s="2">
        <v>8</v>
      </c>
      <c r="H949" s="2">
        <v>-16.68</v>
      </c>
      <c r="I949" t="str">
        <f t="shared" si="14"/>
        <v>Aug</v>
      </c>
      <c r="J949">
        <f>YEAR(datas[[#This Row],[Order Date]])</f>
        <v>2021</v>
      </c>
    </row>
    <row r="950" spans="1:10" ht="14.25" customHeight="1" x14ac:dyDescent="0.3">
      <c r="A950" s="1">
        <v>44434</v>
      </c>
      <c r="B950" s="2" t="s">
        <v>435</v>
      </c>
      <c r="C950" s="2" t="s">
        <v>21</v>
      </c>
      <c r="D950" s="2" t="s">
        <v>28</v>
      </c>
      <c r="E950" s="2" t="s">
        <v>34</v>
      </c>
      <c r="F950" s="2">
        <v>176.8</v>
      </c>
      <c r="G950" s="2">
        <v>8</v>
      </c>
      <c r="H950" s="2">
        <v>22.98</v>
      </c>
      <c r="I950" t="str">
        <f t="shared" si="14"/>
        <v>Aug</v>
      </c>
      <c r="J950">
        <f>YEAR(datas[[#This Row],[Order Date]])</f>
        <v>2021</v>
      </c>
    </row>
    <row r="951" spans="1:10" ht="14.25" customHeight="1" x14ac:dyDescent="0.3">
      <c r="A951" s="1">
        <v>44434</v>
      </c>
      <c r="B951" s="2" t="s">
        <v>436</v>
      </c>
      <c r="C951" s="2" t="s">
        <v>38</v>
      </c>
      <c r="D951" s="2" t="s">
        <v>26</v>
      </c>
      <c r="E951" s="2" t="s">
        <v>32</v>
      </c>
      <c r="F951" s="2">
        <v>10.68</v>
      </c>
      <c r="G951" s="2">
        <v>4</v>
      </c>
      <c r="H951" s="2">
        <v>4.0599999999999996</v>
      </c>
      <c r="I951" t="str">
        <f t="shared" si="14"/>
        <v>Aug</v>
      </c>
      <c r="J951">
        <f>YEAR(datas[[#This Row],[Order Date]])</f>
        <v>2021</v>
      </c>
    </row>
    <row r="952" spans="1:10" ht="14.25" customHeight="1" x14ac:dyDescent="0.3">
      <c r="A952" s="1">
        <v>44434</v>
      </c>
      <c r="B952" s="2" t="s">
        <v>436</v>
      </c>
      <c r="C952" s="2" t="s">
        <v>38</v>
      </c>
      <c r="D952" s="2" t="s">
        <v>10</v>
      </c>
      <c r="E952" s="2" t="s">
        <v>11</v>
      </c>
      <c r="F952" s="2">
        <v>17.34</v>
      </c>
      <c r="G952" s="2">
        <v>3</v>
      </c>
      <c r="H952" s="2">
        <v>8.5</v>
      </c>
      <c r="I952" t="str">
        <f t="shared" si="14"/>
        <v>Aug</v>
      </c>
      <c r="J952">
        <f>YEAR(datas[[#This Row],[Order Date]])</f>
        <v>2021</v>
      </c>
    </row>
    <row r="953" spans="1:10" ht="14.25" customHeight="1" x14ac:dyDescent="0.3">
      <c r="A953" s="1">
        <v>44434</v>
      </c>
      <c r="B953" s="2" t="s">
        <v>436</v>
      </c>
      <c r="C953" s="2" t="s">
        <v>38</v>
      </c>
      <c r="D953" s="2" t="s">
        <v>10</v>
      </c>
      <c r="E953" s="2" t="s">
        <v>11</v>
      </c>
      <c r="F953" s="2">
        <v>3.38</v>
      </c>
      <c r="G953" s="2">
        <v>1</v>
      </c>
      <c r="H953" s="2">
        <v>1.55</v>
      </c>
      <c r="I953" t="str">
        <f t="shared" si="14"/>
        <v>Aug</v>
      </c>
      <c r="J953">
        <f>YEAR(datas[[#This Row],[Order Date]])</f>
        <v>2021</v>
      </c>
    </row>
    <row r="954" spans="1:10" ht="14.25" customHeight="1" x14ac:dyDescent="0.3">
      <c r="A954" s="1">
        <v>44434</v>
      </c>
      <c r="B954" s="2" t="s">
        <v>437</v>
      </c>
      <c r="C954" s="2" t="s">
        <v>38</v>
      </c>
      <c r="D954" s="2" t="s">
        <v>10</v>
      </c>
      <c r="E954" s="2" t="s">
        <v>19</v>
      </c>
      <c r="F954" s="2">
        <v>8.64</v>
      </c>
      <c r="G954" s="2">
        <v>3</v>
      </c>
      <c r="H954" s="2">
        <v>2.5099999999999998</v>
      </c>
      <c r="I954" t="str">
        <f t="shared" si="14"/>
        <v>Aug</v>
      </c>
      <c r="J954">
        <f>YEAR(datas[[#This Row],[Order Date]])</f>
        <v>2021</v>
      </c>
    </row>
    <row r="955" spans="1:10" ht="14.25" customHeight="1" x14ac:dyDescent="0.3">
      <c r="A955" s="1">
        <v>44434</v>
      </c>
      <c r="B955" s="2" t="s">
        <v>437</v>
      </c>
      <c r="C955" s="2" t="s">
        <v>38</v>
      </c>
      <c r="D955" s="2" t="s">
        <v>28</v>
      </c>
      <c r="E955" s="2" t="s">
        <v>34</v>
      </c>
      <c r="F955" s="2">
        <v>149.97</v>
      </c>
      <c r="G955" s="2">
        <v>3</v>
      </c>
      <c r="H955" s="2">
        <v>52.49</v>
      </c>
      <c r="I955" t="str">
        <f t="shared" si="14"/>
        <v>Aug</v>
      </c>
      <c r="J955">
        <f>YEAR(datas[[#This Row],[Order Date]])</f>
        <v>2021</v>
      </c>
    </row>
    <row r="956" spans="1:10" ht="14.25" customHeight="1" x14ac:dyDescent="0.3">
      <c r="A956" s="1">
        <v>44435</v>
      </c>
      <c r="B956" s="2" t="s">
        <v>438</v>
      </c>
      <c r="C956" s="2" t="s">
        <v>21</v>
      </c>
      <c r="D956" s="2" t="s">
        <v>10</v>
      </c>
      <c r="E956" s="2" t="s">
        <v>19</v>
      </c>
      <c r="F956" s="2">
        <v>8.56</v>
      </c>
      <c r="G956" s="2">
        <v>2</v>
      </c>
      <c r="H956" s="2">
        <v>2.48</v>
      </c>
      <c r="I956" t="str">
        <f t="shared" si="14"/>
        <v>Aug</v>
      </c>
      <c r="J956">
        <f>YEAR(datas[[#This Row],[Order Date]])</f>
        <v>2021</v>
      </c>
    </row>
    <row r="957" spans="1:10" ht="14.25" customHeight="1" x14ac:dyDescent="0.3">
      <c r="A957" s="1">
        <v>44435</v>
      </c>
      <c r="B957" s="2" t="s">
        <v>438</v>
      </c>
      <c r="C957" s="2" t="s">
        <v>21</v>
      </c>
      <c r="D957" s="2" t="s">
        <v>28</v>
      </c>
      <c r="E957" s="2" t="s">
        <v>29</v>
      </c>
      <c r="F957" s="2">
        <v>213.48</v>
      </c>
      <c r="G957" s="2">
        <v>3</v>
      </c>
      <c r="H957" s="2">
        <v>16.010000000000002</v>
      </c>
      <c r="I957" t="str">
        <f t="shared" si="14"/>
        <v>Aug</v>
      </c>
      <c r="J957">
        <f>YEAR(datas[[#This Row],[Order Date]])</f>
        <v>2021</v>
      </c>
    </row>
    <row r="958" spans="1:10" ht="14.25" customHeight="1" x14ac:dyDescent="0.3">
      <c r="A958" s="1">
        <v>44435</v>
      </c>
      <c r="B958" s="2" t="s">
        <v>438</v>
      </c>
      <c r="C958" s="2" t="s">
        <v>21</v>
      </c>
      <c r="D958" s="2" t="s">
        <v>10</v>
      </c>
      <c r="E958" s="2" t="s">
        <v>16</v>
      </c>
      <c r="F958" s="2">
        <v>22.72</v>
      </c>
      <c r="G958" s="2">
        <v>4</v>
      </c>
      <c r="H958" s="2">
        <v>7.38</v>
      </c>
      <c r="I958" t="str">
        <f t="shared" si="14"/>
        <v>Aug</v>
      </c>
      <c r="J958">
        <f>YEAR(datas[[#This Row],[Order Date]])</f>
        <v>2021</v>
      </c>
    </row>
    <row r="959" spans="1:10" ht="14.25" customHeight="1" x14ac:dyDescent="0.3">
      <c r="A959" s="1">
        <v>44435</v>
      </c>
      <c r="B959" s="2" t="s">
        <v>439</v>
      </c>
      <c r="C959" s="2" t="s">
        <v>36</v>
      </c>
      <c r="D959" s="2" t="s">
        <v>28</v>
      </c>
      <c r="E959" s="2" t="s">
        <v>29</v>
      </c>
      <c r="F959" s="2">
        <v>579.95000000000005</v>
      </c>
      <c r="G959" s="2">
        <v>5</v>
      </c>
      <c r="H959" s="2">
        <v>168.19</v>
      </c>
      <c r="I959" t="str">
        <f t="shared" si="14"/>
        <v>Aug</v>
      </c>
      <c r="J959">
        <f>YEAR(datas[[#This Row],[Order Date]])</f>
        <v>2021</v>
      </c>
    </row>
    <row r="960" spans="1:10" ht="14.25" customHeight="1" x14ac:dyDescent="0.3">
      <c r="A960" s="1">
        <v>44435</v>
      </c>
      <c r="B960" s="2" t="s">
        <v>439</v>
      </c>
      <c r="C960" s="2" t="s">
        <v>36</v>
      </c>
      <c r="D960" s="2" t="s">
        <v>26</v>
      </c>
      <c r="E960" s="2" t="s">
        <v>32</v>
      </c>
      <c r="F960" s="2">
        <v>29.12</v>
      </c>
      <c r="G960" s="2">
        <v>4</v>
      </c>
      <c r="H960" s="2">
        <v>12.52</v>
      </c>
      <c r="I960" t="str">
        <f t="shared" si="14"/>
        <v>Aug</v>
      </c>
      <c r="J960">
        <f>YEAR(datas[[#This Row],[Order Date]])</f>
        <v>2021</v>
      </c>
    </row>
    <row r="961" spans="1:10" ht="14.25" customHeight="1" x14ac:dyDescent="0.3">
      <c r="A961" s="1">
        <v>44435</v>
      </c>
      <c r="B961" s="2" t="s">
        <v>439</v>
      </c>
      <c r="C961" s="2" t="s">
        <v>36</v>
      </c>
      <c r="D961" s="2" t="s">
        <v>26</v>
      </c>
      <c r="E961" s="2" t="s">
        <v>73</v>
      </c>
      <c r="F961" s="2">
        <v>1202.94</v>
      </c>
      <c r="G961" s="2">
        <v>3</v>
      </c>
      <c r="H961" s="2">
        <v>300.74</v>
      </c>
      <c r="I961" t="str">
        <f t="shared" si="14"/>
        <v>Aug</v>
      </c>
      <c r="J961">
        <f>YEAR(datas[[#This Row],[Order Date]])</f>
        <v>2021</v>
      </c>
    </row>
    <row r="962" spans="1:10" ht="14.25" customHeight="1" x14ac:dyDescent="0.3">
      <c r="A962" s="1">
        <v>44435</v>
      </c>
      <c r="B962" s="2" t="s">
        <v>46</v>
      </c>
      <c r="C962" s="2" t="s">
        <v>36</v>
      </c>
      <c r="D962" s="2" t="s">
        <v>10</v>
      </c>
      <c r="E962" s="2" t="s">
        <v>11</v>
      </c>
      <c r="F962" s="2">
        <v>13.36</v>
      </c>
      <c r="G962" s="2">
        <v>2</v>
      </c>
      <c r="H962" s="2">
        <v>6.41</v>
      </c>
      <c r="I962" t="str">
        <f t="shared" si="14"/>
        <v>Aug</v>
      </c>
      <c r="J962">
        <f>YEAR(datas[[#This Row],[Order Date]])</f>
        <v>2021</v>
      </c>
    </row>
    <row r="963" spans="1:10" ht="14.25" customHeight="1" x14ac:dyDescent="0.3">
      <c r="A963" s="1">
        <v>44437</v>
      </c>
      <c r="B963" s="2" t="s">
        <v>440</v>
      </c>
      <c r="C963" s="2" t="s">
        <v>21</v>
      </c>
      <c r="D963" s="2" t="s">
        <v>10</v>
      </c>
      <c r="E963" s="2" t="s">
        <v>11</v>
      </c>
      <c r="F963" s="2">
        <v>109.92</v>
      </c>
      <c r="G963" s="2">
        <v>2</v>
      </c>
      <c r="H963" s="2">
        <v>53.86</v>
      </c>
      <c r="I963" t="str">
        <f t="shared" ref="I963:I1026" si="15">TEXT(A963,"mmm")</f>
        <v>Aug</v>
      </c>
      <c r="J963">
        <f>YEAR(datas[[#This Row],[Order Date]])</f>
        <v>2021</v>
      </c>
    </row>
    <row r="964" spans="1:10" ht="14.25" customHeight="1" x14ac:dyDescent="0.3">
      <c r="A964" s="1">
        <v>44437</v>
      </c>
      <c r="B964" s="2" t="s">
        <v>440</v>
      </c>
      <c r="C964" s="2" t="s">
        <v>21</v>
      </c>
      <c r="D964" s="2" t="s">
        <v>10</v>
      </c>
      <c r="E964" s="2" t="s">
        <v>11</v>
      </c>
      <c r="F964" s="2">
        <v>13.36</v>
      </c>
      <c r="G964" s="2">
        <v>2</v>
      </c>
      <c r="H964" s="2">
        <v>6.41</v>
      </c>
      <c r="I964" t="str">
        <f t="shared" si="15"/>
        <v>Aug</v>
      </c>
      <c r="J964">
        <f>YEAR(datas[[#This Row],[Order Date]])</f>
        <v>2021</v>
      </c>
    </row>
    <row r="965" spans="1:10" ht="14.25" customHeight="1" x14ac:dyDescent="0.3">
      <c r="A965" s="1">
        <v>44437</v>
      </c>
      <c r="B965" s="2" t="s">
        <v>441</v>
      </c>
      <c r="C965" s="2" t="s">
        <v>64</v>
      </c>
      <c r="D965" s="2" t="s">
        <v>10</v>
      </c>
      <c r="E965" s="2" t="s">
        <v>41</v>
      </c>
      <c r="F965" s="2">
        <v>29.81</v>
      </c>
      <c r="G965" s="2">
        <v>2</v>
      </c>
      <c r="H965" s="2">
        <v>10.81</v>
      </c>
      <c r="I965" t="str">
        <f t="shared" si="15"/>
        <v>Aug</v>
      </c>
      <c r="J965">
        <f>YEAR(datas[[#This Row],[Order Date]])</f>
        <v>2021</v>
      </c>
    </row>
    <row r="966" spans="1:10" ht="14.25" customHeight="1" x14ac:dyDescent="0.3">
      <c r="A966" s="1">
        <v>44437</v>
      </c>
      <c r="B966" s="2" t="s">
        <v>441</v>
      </c>
      <c r="C966" s="2" t="s">
        <v>64</v>
      </c>
      <c r="D966" s="2" t="s">
        <v>10</v>
      </c>
      <c r="E966" s="2" t="s">
        <v>16</v>
      </c>
      <c r="F966" s="2">
        <v>505.18</v>
      </c>
      <c r="G966" s="2">
        <v>4</v>
      </c>
      <c r="H966" s="2">
        <v>-336.78</v>
      </c>
      <c r="I966" t="str">
        <f t="shared" si="15"/>
        <v>Aug</v>
      </c>
      <c r="J966">
        <f>YEAR(datas[[#This Row],[Order Date]])</f>
        <v>2021</v>
      </c>
    </row>
    <row r="967" spans="1:10" ht="14.25" customHeight="1" x14ac:dyDescent="0.3">
      <c r="A967" s="1">
        <v>44437</v>
      </c>
      <c r="B967" s="2" t="s">
        <v>441</v>
      </c>
      <c r="C967" s="2" t="s">
        <v>64</v>
      </c>
      <c r="D967" s="2" t="s">
        <v>26</v>
      </c>
      <c r="E967" s="2" t="s">
        <v>73</v>
      </c>
      <c r="F967" s="2">
        <v>174.06</v>
      </c>
      <c r="G967" s="2">
        <v>3</v>
      </c>
      <c r="H967" s="2">
        <v>-110.76</v>
      </c>
      <c r="I967" t="str">
        <f t="shared" si="15"/>
        <v>Aug</v>
      </c>
      <c r="J967">
        <f>YEAR(datas[[#This Row],[Order Date]])</f>
        <v>2021</v>
      </c>
    </row>
    <row r="968" spans="1:10" ht="14.25" customHeight="1" x14ac:dyDescent="0.3">
      <c r="A968" s="1">
        <v>44438</v>
      </c>
      <c r="B968" s="2" t="s">
        <v>442</v>
      </c>
      <c r="C968" s="2" t="s">
        <v>248</v>
      </c>
      <c r="D968" s="2" t="s">
        <v>10</v>
      </c>
      <c r="E968" s="2" t="s">
        <v>16</v>
      </c>
      <c r="F968" s="2">
        <v>25.3</v>
      </c>
      <c r="G968" s="2">
        <v>5</v>
      </c>
      <c r="H968" s="2">
        <v>11.89</v>
      </c>
      <c r="I968" t="str">
        <f t="shared" si="15"/>
        <v>Aug</v>
      </c>
      <c r="J968">
        <f>YEAR(datas[[#This Row],[Order Date]])</f>
        <v>2021</v>
      </c>
    </row>
    <row r="969" spans="1:10" ht="14.25" customHeight="1" x14ac:dyDescent="0.3">
      <c r="A969" s="1">
        <v>44438</v>
      </c>
      <c r="B969" s="2" t="s">
        <v>442</v>
      </c>
      <c r="C969" s="2" t="s">
        <v>248</v>
      </c>
      <c r="D969" s="2" t="s">
        <v>10</v>
      </c>
      <c r="E969" s="2" t="s">
        <v>15</v>
      </c>
      <c r="F969" s="2">
        <v>95.94</v>
      </c>
      <c r="G969" s="2">
        <v>3</v>
      </c>
      <c r="H969" s="2">
        <v>9.59</v>
      </c>
      <c r="I969" t="str">
        <f t="shared" si="15"/>
        <v>Aug</v>
      </c>
      <c r="J969">
        <f>YEAR(datas[[#This Row],[Order Date]])</f>
        <v>2021</v>
      </c>
    </row>
    <row r="970" spans="1:10" ht="14.25" customHeight="1" x14ac:dyDescent="0.3">
      <c r="A970" s="1">
        <v>44439</v>
      </c>
      <c r="B970" s="2" t="s">
        <v>443</v>
      </c>
      <c r="C970" s="2" t="s">
        <v>167</v>
      </c>
      <c r="D970" s="2" t="s">
        <v>28</v>
      </c>
      <c r="E970" s="2" t="s">
        <v>34</v>
      </c>
      <c r="F970" s="2">
        <v>92.52</v>
      </c>
      <c r="G970" s="2">
        <v>9</v>
      </c>
      <c r="H970" s="2">
        <v>18.5</v>
      </c>
      <c r="I970" t="str">
        <f t="shared" si="15"/>
        <v>Aug</v>
      </c>
      <c r="J970">
        <f>YEAR(datas[[#This Row],[Order Date]])</f>
        <v>2021</v>
      </c>
    </row>
    <row r="971" spans="1:10" ht="14.25" customHeight="1" x14ac:dyDescent="0.3">
      <c r="A971" s="1">
        <v>44440</v>
      </c>
      <c r="B971" s="2" t="s">
        <v>444</v>
      </c>
      <c r="C971" s="2" t="s">
        <v>21</v>
      </c>
      <c r="D971" s="2" t="s">
        <v>10</v>
      </c>
      <c r="E971" s="2" t="s">
        <v>19</v>
      </c>
      <c r="F971" s="2">
        <v>53.94</v>
      </c>
      <c r="G971" s="2">
        <v>3</v>
      </c>
      <c r="H971" s="2">
        <v>15.64</v>
      </c>
      <c r="I971" t="str">
        <f t="shared" si="15"/>
        <v>Sep</v>
      </c>
      <c r="J971">
        <f>YEAR(datas[[#This Row],[Order Date]])</f>
        <v>2021</v>
      </c>
    </row>
    <row r="972" spans="1:10" ht="14.25" customHeight="1" x14ac:dyDescent="0.3">
      <c r="A972" s="1">
        <v>44440</v>
      </c>
      <c r="B972" s="2" t="s">
        <v>372</v>
      </c>
      <c r="C972" s="2" t="s">
        <v>9</v>
      </c>
      <c r="D972" s="2" t="s">
        <v>10</v>
      </c>
      <c r="E972" s="2" t="s">
        <v>16</v>
      </c>
      <c r="F972" s="2">
        <v>3.65</v>
      </c>
      <c r="G972" s="2">
        <v>3</v>
      </c>
      <c r="H972" s="2">
        <v>-6.02</v>
      </c>
      <c r="I972" t="str">
        <f t="shared" si="15"/>
        <v>Sep</v>
      </c>
      <c r="J972">
        <f>YEAR(datas[[#This Row],[Order Date]])</f>
        <v>2021</v>
      </c>
    </row>
    <row r="973" spans="1:10" ht="14.25" customHeight="1" x14ac:dyDescent="0.3">
      <c r="A973" s="1">
        <v>44440</v>
      </c>
      <c r="B973" s="2" t="s">
        <v>372</v>
      </c>
      <c r="C973" s="2" t="s">
        <v>9</v>
      </c>
      <c r="D973" s="2" t="s">
        <v>10</v>
      </c>
      <c r="E973" s="2" t="s">
        <v>11</v>
      </c>
      <c r="F973" s="2">
        <v>31.1</v>
      </c>
      <c r="G973" s="2">
        <v>6</v>
      </c>
      <c r="H973" s="2">
        <v>10.89</v>
      </c>
      <c r="I973" t="str">
        <f t="shared" si="15"/>
        <v>Sep</v>
      </c>
      <c r="J973">
        <f>YEAR(datas[[#This Row],[Order Date]])</f>
        <v>2021</v>
      </c>
    </row>
    <row r="974" spans="1:10" ht="14.25" customHeight="1" x14ac:dyDescent="0.3">
      <c r="A974" s="1">
        <v>44440</v>
      </c>
      <c r="B974" s="2" t="s">
        <v>422</v>
      </c>
      <c r="C974" s="2" t="s">
        <v>75</v>
      </c>
      <c r="D974" s="2" t="s">
        <v>10</v>
      </c>
      <c r="E974" s="2" t="s">
        <v>16</v>
      </c>
      <c r="F974" s="2">
        <v>23.74</v>
      </c>
      <c r="G974" s="2">
        <v>2</v>
      </c>
      <c r="H974" s="2">
        <v>8.31</v>
      </c>
      <c r="I974" t="str">
        <f t="shared" si="15"/>
        <v>Sep</v>
      </c>
      <c r="J974">
        <f>YEAR(datas[[#This Row],[Order Date]])</f>
        <v>2021</v>
      </c>
    </row>
    <row r="975" spans="1:10" ht="14.25" customHeight="1" x14ac:dyDescent="0.3">
      <c r="A975" s="1">
        <v>44440</v>
      </c>
      <c r="B975" s="2" t="s">
        <v>422</v>
      </c>
      <c r="C975" s="2" t="s">
        <v>75</v>
      </c>
      <c r="D975" s="2" t="s">
        <v>28</v>
      </c>
      <c r="E975" s="2" t="s">
        <v>34</v>
      </c>
      <c r="F975" s="2">
        <v>357</v>
      </c>
      <c r="G975" s="2">
        <v>3</v>
      </c>
      <c r="H975" s="2">
        <v>57.12</v>
      </c>
      <c r="I975" t="str">
        <f t="shared" si="15"/>
        <v>Sep</v>
      </c>
      <c r="J975">
        <f>YEAR(datas[[#This Row],[Order Date]])</f>
        <v>2021</v>
      </c>
    </row>
    <row r="976" spans="1:10" ht="14.25" customHeight="1" x14ac:dyDescent="0.3">
      <c r="A976" s="1">
        <v>44441</v>
      </c>
      <c r="B976" s="2" t="s">
        <v>240</v>
      </c>
      <c r="C976" s="2" t="s">
        <v>75</v>
      </c>
      <c r="D976" s="2" t="s">
        <v>10</v>
      </c>
      <c r="E976" s="2" t="s">
        <v>53</v>
      </c>
      <c r="F976" s="2">
        <v>19.899999999999999</v>
      </c>
      <c r="G976" s="2">
        <v>1</v>
      </c>
      <c r="H976" s="2">
        <v>8.9600000000000009</v>
      </c>
      <c r="I976" t="str">
        <f t="shared" si="15"/>
        <v>Sep</v>
      </c>
      <c r="J976">
        <f>YEAR(datas[[#This Row],[Order Date]])</f>
        <v>2021</v>
      </c>
    </row>
    <row r="977" spans="1:10" ht="14.25" customHeight="1" x14ac:dyDescent="0.3">
      <c r="A977" s="1">
        <v>44441</v>
      </c>
      <c r="B977" s="2" t="s">
        <v>240</v>
      </c>
      <c r="C977" s="2" t="s">
        <v>75</v>
      </c>
      <c r="D977" s="2" t="s">
        <v>26</v>
      </c>
      <c r="E977" s="2" t="s">
        <v>32</v>
      </c>
      <c r="F977" s="2">
        <v>70.709999999999994</v>
      </c>
      <c r="G977" s="2">
        <v>1</v>
      </c>
      <c r="H977" s="2">
        <v>4.95</v>
      </c>
      <c r="I977" t="str">
        <f t="shared" si="15"/>
        <v>Sep</v>
      </c>
      <c r="J977">
        <f>YEAR(datas[[#This Row],[Order Date]])</f>
        <v>2021</v>
      </c>
    </row>
    <row r="978" spans="1:10" ht="14.25" customHeight="1" x14ac:dyDescent="0.3">
      <c r="A978" s="1">
        <v>44441</v>
      </c>
      <c r="B978" s="2" t="s">
        <v>120</v>
      </c>
      <c r="C978" s="2" t="s">
        <v>75</v>
      </c>
      <c r="D978" s="2" t="s">
        <v>10</v>
      </c>
      <c r="E978" s="2" t="s">
        <v>19</v>
      </c>
      <c r="F978" s="2">
        <v>21.24</v>
      </c>
      <c r="G978" s="2">
        <v>3</v>
      </c>
      <c r="H978" s="2">
        <v>8.07</v>
      </c>
      <c r="I978" t="str">
        <f t="shared" si="15"/>
        <v>Sep</v>
      </c>
      <c r="J978">
        <f>YEAR(datas[[#This Row],[Order Date]])</f>
        <v>2021</v>
      </c>
    </row>
    <row r="979" spans="1:10" ht="14.25" customHeight="1" x14ac:dyDescent="0.3">
      <c r="A979" s="1">
        <v>44441</v>
      </c>
      <c r="B979" s="2" t="s">
        <v>445</v>
      </c>
      <c r="C979" s="2" t="s">
        <v>75</v>
      </c>
      <c r="D979" s="2" t="s">
        <v>10</v>
      </c>
      <c r="E979" s="2" t="s">
        <v>19</v>
      </c>
      <c r="F979" s="2">
        <v>57.75</v>
      </c>
      <c r="G979" s="2">
        <v>5</v>
      </c>
      <c r="H979" s="2">
        <v>16.170000000000002</v>
      </c>
      <c r="I979" t="str">
        <f t="shared" si="15"/>
        <v>Sep</v>
      </c>
      <c r="J979">
        <f>YEAR(datas[[#This Row],[Order Date]])</f>
        <v>2021</v>
      </c>
    </row>
    <row r="980" spans="1:10" ht="14.25" customHeight="1" x14ac:dyDescent="0.3">
      <c r="A980" s="1">
        <v>44441</v>
      </c>
      <c r="B980" s="2" t="s">
        <v>445</v>
      </c>
      <c r="C980" s="2" t="s">
        <v>75</v>
      </c>
      <c r="D980" s="2" t="s">
        <v>10</v>
      </c>
      <c r="E980" s="2" t="s">
        <v>11</v>
      </c>
      <c r="F980" s="2">
        <v>14.94</v>
      </c>
      <c r="G980" s="2">
        <v>3</v>
      </c>
      <c r="H980" s="2">
        <v>7.02</v>
      </c>
      <c r="I980" t="str">
        <f t="shared" si="15"/>
        <v>Sep</v>
      </c>
      <c r="J980">
        <f>YEAR(datas[[#This Row],[Order Date]])</f>
        <v>2021</v>
      </c>
    </row>
    <row r="981" spans="1:10" ht="14.25" customHeight="1" x14ac:dyDescent="0.3">
      <c r="A981" s="1">
        <v>44441</v>
      </c>
      <c r="B981" s="2" t="s">
        <v>164</v>
      </c>
      <c r="C981" s="2" t="s">
        <v>13</v>
      </c>
      <c r="D981" s="2" t="s">
        <v>28</v>
      </c>
      <c r="E981" s="2" t="s">
        <v>34</v>
      </c>
      <c r="F981" s="2">
        <v>239.98</v>
      </c>
      <c r="G981" s="2">
        <v>3</v>
      </c>
      <c r="H981" s="2">
        <v>53.99</v>
      </c>
      <c r="I981" t="str">
        <f t="shared" si="15"/>
        <v>Sep</v>
      </c>
      <c r="J981">
        <f>YEAR(datas[[#This Row],[Order Date]])</f>
        <v>2021</v>
      </c>
    </row>
    <row r="982" spans="1:10" ht="14.25" customHeight="1" x14ac:dyDescent="0.3">
      <c r="A982" s="1">
        <v>44441</v>
      </c>
      <c r="B982" s="2" t="s">
        <v>410</v>
      </c>
      <c r="C982" s="2" t="s">
        <v>9</v>
      </c>
      <c r="D982" s="2" t="s">
        <v>28</v>
      </c>
      <c r="E982" s="2" t="s">
        <v>136</v>
      </c>
      <c r="F982" s="2">
        <v>559.71</v>
      </c>
      <c r="G982" s="2">
        <v>3</v>
      </c>
      <c r="H982" s="2">
        <v>-121.27</v>
      </c>
      <c r="I982" t="str">
        <f t="shared" si="15"/>
        <v>Sep</v>
      </c>
      <c r="J982">
        <f>YEAR(datas[[#This Row],[Order Date]])</f>
        <v>2021</v>
      </c>
    </row>
    <row r="983" spans="1:10" ht="14.25" customHeight="1" x14ac:dyDescent="0.3">
      <c r="A983" s="1">
        <v>44441</v>
      </c>
      <c r="B983" s="2" t="s">
        <v>92</v>
      </c>
      <c r="C983" s="2" t="s">
        <v>57</v>
      </c>
      <c r="D983" s="2" t="s">
        <v>10</v>
      </c>
      <c r="E983" s="2" t="s">
        <v>16</v>
      </c>
      <c r="F983" s="2">
        <v>1793.98</v>
      </c>
      <c r="G983" s="2">
        <v>2</v>
      </c>
      <c r="H983" s="2">
        <v>843.17</v>
      </c>
      <c r="I983" t="str">
        <f t="shared" si="15"/>
        <v>Sep</v>
      </c>
      <c r="J983">
        <f>YEAR(datas[[#This Row],[Order Date]])</f>
        <v>2021</v>
      </c>
    </row>
    <row r="984" spans="1:10" ht="14.25" customHeight="1" x14ac:dyDescent="0.3">
      <c r="A984" s="1">
        <v>44441</v>
      </c>
      <c r="B984" s="2" t="s">
        <v>307</v>
      </c>
      <c r="C984" s="2" t="s">
        <v>13</v>
      </c>
      <c r="D984" s="2" t="s">
        <v>28</v>
      </c>
      <c r="E984" s="2" t="s">
        <v>34</v>
      </c>
      <c r="F984" s="2">
        <v>475.94</v>
      </c>
      <c r="G984" s="2">
        <v>7</v>
      </c>
      <c r="H984" s="2">
        <v>95.19</v>
      </c>
      <c r="I984" t="str">
        <f t="shared" si="15"/>
        <v>Sep</v>
      </c>
      <c r="J984">
        <f>YEAR(datas[[#This Row],[Order Date]])</f>
        <v>2021</v>
      </c>
    </row>
    <row r="985" spans="1:10" ht="14.25" customHeight="1" x14ac:dyDescent="0.3">
      <c r="A985" s="1">
        <v>44442</v>
      </c>
      <c r="B985" s="2" t="s">
        <v>220</v>
      </c>
      <c r="C985" s="2" t="s">
        <v>75</v>
      </c>
      <c r="D985" s="2" t="s">
        <v>10</v>
      </c>
      <c r="E985" s="2" t="s">
        <v>14</v>
      </c>
      <c r="F985" s="2">
        <v>14.4</v>
      </c>
      <c r="G985" s="2">
        <v>5</v>
      </c>
      <c r="H985" s="2">
        <v>7.06</v>
      </c>
      <c r="I985" t="str">
        <f t="shared" si="15"/>
        <v>Sep</v>
      </c>
      <c r="J985">
        <f>YEAR(datas[[#This Row],[Order Date]])</f>
        <v>2021</v>
      </c>
    </row>
    <row r="986" spans="1:10" ht="14.25" customHeight="1" x14ac:dyDescent="0.3">
      <c r="A986" s="1">
        <v>44442</v>
      </c>
      <c r="B986" s="2" t="s">
        <v>446</v>
      </c>
      <c r="C986" s="2" t="s">
        <v>9</v>
      </c>
      <c r="D986" s="2" t="s">
        <v>10</v>
      </c>
      <c r="E986" s="2" t="s">
        <v>16</v>
      </c>
      <c r="F986" s="2">
        <v>7.68</v>
      </c>
      <c r="G986" s="2">
        <v>5</v>
      </c>
      <c r="H986" s="2">
        <v>-11.52</v>
      </c>
      <c r="I986" t="str">
        <f t="shared" si="15"/>
        <v>Sep</v>
      </c>
      <c r="J986">
        <f>YEAR(datas[[#This Row],[Order Date]])</f>
        <v>2021</v>
      </c>
    </row>
    <row r="987" spans="1:10" ht="14.25" customHeight="1" x14ac:dyDescent="0.3">
      <c r="A987" s="1">
        <v>44444</v>
      </c>
      <c r="B987" s="2" t="s">
        <v>447</v>
      </c>
      <c r="C987" s="2" t="s">
        <v>47</v>
      </c>
      <c r="D987" s="2" t="s">
        <v>10</v>
      </c>
      <c r="E987" s="2" t="s">
        <v>15</v>
      </c>
      <c r="F987" s="2">
        <v>264.32</v>
      </c>
      <c r="G987" s="2">
        <v>2</v>
      </c>
      <c r="H987" s="2">
        <v>19.82</v>
      </c>
      <c r="I987" t="str">
        <f t="shared" si="15"/>
        <v>Sep</v>
      </c>
      <c r="J987">
        <f>YEAR(datas[[#This Row],[Order Date]])</f>
        <v>2021</v>
      </c>
    </row>
    <row r="988" spans="1:10" ht="14.25" customHeight="1" x14ac:dyDescent="0.3">
      <c r="A988" s="1">
        <v>44444</v>
      </c>
      <c r="B988" s="2" t="s">
        <v>448</v>
      </c>
      <c r="C988" s="2" t="s">
        <v>64</v>
      </c>
      <c r="D988" s="2" t="s">
        <v>26</v>
      </c>
      <c r="E988" s="2" t="s">
        <v>32</v>
      </c>
      <c r="F988" s="2">
        <v>31.98</v>
      </c>
      <c r="G988" s="2">
        <v>2</v>
      </c>
      <c r="H988" s="2">
        <v>2</v>
      </c>
      <c r="I988" t="str">
        <f t="shared" si="15"/>
        <v>Sep</v>
      </c>
      <c r="J988">
        <f>YEAR(datas[[#This Row],[Order Date]])</f>
        <v>2021</v>
      </c>
    </row>
    <row r="989" spans="1:10" ht="14.25" customHeight="1" x14ac:dyDescent="0.3">
      <c r="A989" s="1">
        <v>44445</v>
      </c>
      <c r="B989" s="2" t="s">
        <v>449</v>
      </c>
      <c r="C989" s="2" t="s">
        <v>21</v>
      </c>
      <c r="D989" s="2" t="s">
        <v>26</v>
      </c>
      <c r="E989" s="2" t="s">
        <v>32</v>
      </c>
      <c r="F989" s="2">
        <v>41.88</v>
      </c>
      <c r="G989" s="2">
        <v>6</v>
      </c>
      <c r="H989" s="2">
        <v>12.15</v>
      </c>
      <c r="I989" t="str">
        <f t="shared" si="15"/>
        <v>Sep</v>
      </c>
      <c r="J989">
        <f>YEAR(datas[[#This Row],[Order Date]])</f>
        <v>2021</v>
      </c>
    </row>
    <row r="990" spans="1:10" ht="14.25" customHeight="1" x14ac:dyDescent="0.3">
      <c r="A990" s="1">
        <v>44445</v>
      </c>
      <c r="B990" s="2" t="s">
        <v>449</v>
      </c>
      <c r="C990" s="2" t="s">
        <v>21</v>
      </c>
      <c r="D990" s="2" t="s">
        <v>10</v>
      </c>
      <c r="E990" s="2" t="s">
        <v>14</v>
      </c>
      <c r="F990" s="2">
        <v>58.48</v>
      </c>
      <c r="G990" s="2">
        <v>8</v>
      </c>
      <c r="H990" s="2">
        <v>27.49</v>
      </c>
      <c r="I990" t="str">
        <f t="shared" si="15"/>
        <v>Sep</v>
      </c>
      <c r="J990">
        <f>YEAR(datas[[#This Row],[Order Date]])</f>
        <v>2021</v>
      </c>
    </row>
    <row r="991" spans="1:10" ht="14.25" customHeight="1" x14ac:dyDescent="0.3">
      <c r="A991" s="1">
        <v>44446</v>
      </c>
      <c r="B991" s="2" t="s">
        <v>257</v>
      </c>
      <c r="C991" s="2" t="s">
        <v>18</v>
      </c>
      <c r="D991" s="2" t="s">
        <v>10</v>
      </c>
      <c r="E991" s="2" t="s">
        <v>15</v>
      </c>
      <c r="F991" s="2">
        <v>64.78</v>
      </c>
      <c r="G991" s="2">
        <v>1</v>
      </c>
      <c r="H991" s="2">
        <v>-14.58</v>
      </c>
      <c r="I991" t="str">
        <f t="shared" si="15"/>
        <v>Sep</v>
      </c>
      <c r="J991">
        <f>YEAR(datas[[#This Row],[Order Date]])</f>
        <v>2021</v>
      </c>
    </row>
    <row r="992" spans="1:10" ht="14.25" customHeight="1" x14ac:dyDescent="0.3">
      <c r="A992" s="1">
        <v>44446</v>
      </c>
      <c r="B992" s="2" t="s">
        <v>257</v>
      </c>
      <c r="C992" s="2" t="s">
        <v>18</v>
      </c>
      <c r="D992" s="2" t="s">
        <v>28</v>
      </c>
      <c r="E992" s="2" t="s">
        <v>29</v>
      </c>
      <c r="F992" s="2">
        <v>32.380000000000003</v>
      </c>
      <c r="G992" s="2">
        <v>3</v>
      </c>
      <c r="H992" s="2">
        <v>4.32</v>
      </c>
      <c r="I992" t="str">
        <f t="shared" si="15"/>
        <v>Sep</v>
      </c>
      <c r="J992">
        <f>YEAR(datas[[#This Row],[Order Date]])</f>
        <v>2021</v>
      </c>
    </row>
    <row r="993" spans="1:10" ht="14.25" customHeight="1" x14ac:dyDescent="0.3">
      <c r="A993" s="1">
        <v>44446</v>
      </c>
      <c r="B993" s="2" t="s">
        <v>257</v>
      </c>
      <c r="C993" s="2" t="s">
        <v>18</v>
      </c>
      <c r="D993" s="2" t="s">
        <v>26</v>
      </c>
      <c r="E993" s="2" t="s">
        <v>32</v>
      </c>
      <c r="F993" s="2">
        <v>42.37</v>
      </c>
      <c r="G993" s="2">
        <v>2</v>
      </c>
      <c r="H993" s="2">
        <v>8.4700000000000006</v>
      </c>
      <c r="I993" t="str">
        <f t="shared" si="15"/>
        <v>Sep</v>
      </c>
      <c r="J993">
        <f>YEAR(datas[[#This Row],[Order Date]])</f>
        <v>2021</v>
      </c>
    </row>
    <row r="994" spans="1:10" ht="14.25" customHeight="1" x14ac:dyDescent="0.3">
      <c r="A994" s="1">
        <v>44446</v>
      </c>
      <c r="B994" s="2" t="s">
        <v>257</v>
      </c>
      <c r="C994" s="2" t="s">
        <v>18</v>
      </c>
      <c r="D994" s="2" t="s">
        <v>28</v>
      </c>
      <c r="E994" s="2" t="s">
        <v>136</v>
      </c>
      <c r="F994" s="2">
        <v>399.54</v>
      </c>
      <c r="G994" s="2">
        <v>4</v>
      </c>
      <c r="H994" s="2">
        <v>-559.36</v>
      </c>
      <c r="I994" t="str">
        <f t="shared" si="15"/>
        <v>Sep</v>
      </c>
      <c r="J994">
        <f>YEAR(datas[[#This Row],[Order Date]])</f>
        <v>2021</v>
      </c>
    </row>
    <row r="995" spans="1:10" ht="14.25" customHeight="1" x14ac:dyDescent="0.3">
      <c r="A995" s="1">
        <v>44446</v>
      </c>
      <c r="B995" s="2" t="s">
        <v>63</v>
      </c>
      <c r="C995" s="2" t="s">
        <v>329</v>
      </c>
      <c r="D995" s="2" t="s">
        <v>26</v>
      </c>
      <c r="E995" s="2" t="s">
        <v>32</v>
      </c>
      <c r="F995" s="2">
        <v>57.69</v>
      </c>
      <c r="G995" s="2">
        <v>3</v>
      </c>
      <c r="H995" s="2">
        <v>23.65</v>
      </c>
      <c r="I995" t="str">
        <f t="shared" si="15"/>
        <v>Sep</v>
      </c>
      <c r="J995">
        <f>YEAR(datas[[#This Row],[Order Date]])</f>
        <v>2021</v>
      </c>
    </row>
    <row r="996" spans="1:10" ht="14.25" customHeight="1" x14ac:dyDescent="0.3">
      <c r="A996" s="1">
        <v>44446</v>
      </c>
      <c r="B996" s="2" t="s">
        <v>63</v>
      </c>
      <c r="C996" s="2" t="s">
        <v>329</v>
      </c>
      <c r="D996" s="2" t="s">
        <v>10</v>
      </c>
      <c r="E996" s="2" t="s">
        <v>16</v>
      </c>
      <c r="F996" s="2">
        <v>42.81</v>
      </c>
      <c r="G996" s="2">
        <v>3</v>
      </c>
      <c r="H996" s="2">
        <v>20.12</v>
      </c>
      <c r="I996" t="str">
        <f t="shared" si="15"/>
        <v>Sep</v>
      </c>
      <c r="J996">
        <f>YEAR(datas[[#This Row],[Order Date]])</f>
        <v>2021</v>
      </c>
    </row>
    <row r="997" spans="1:10" ht="14.25" customHeight="1" x14ac:dyDescent="0.3">
      <c r="A997" s="1">
        <v>44446</v>
      </c>
      <c r="B997" s="2" t="s">
        <v>63</v>
      </c>
      <c r="C997" s="2" t="s">
        <v>329</v>
      </c>
      <c r="D997" s="2" t="s">
        <v>10</v>
      </c>
      <c r="E997" s="2" t="s">
        <v>11</v>
      </c>
      <c r="F997" s="2">
        <v>12.96</v>
      </c>
      <c r="G997" s="2">
        <v>2</v>
      </c>
      <c r="H997" s="2">
        <v>6.22</v>
      </c>
      <c r="I997" t="str">
        <f t="shared" si="15"/>
        <v>Sep</v>
      </c>
      <c r="J997">
        <f>YEAR(datas[[#This Row],[Order Date]])</f>
        <v>2021</v>
      </c>
    </row>
    <row r="998" spans="1:10" ht="14.25" customHeight="1" x14ac:dyDescent="0.3">
      <c r="A998" s="1">
        <v>44446</v>
      </c>
      <c r="B998" s="2" t="s">
        <v>63</v>
      </c>
      <c r="C998" s="2" t="s">
        <v>329</v>
      </c>
      <c r="D998" s="2" t="s">
        <v>26</v>
      </c>
      <c r="E998" s="2" t="s">
        <v>32</v>
      </c>
      <c r="F998" s="2">
        <v>821.88</v>
      </c>
      <c r="G998" s="2">
        <v>6</v>
      </c>
      <c r="H998" s="2">
        <v>213.69</v>
      </c>
      <c r="I998" t="str">
        <f t="shared" si="15"/>
        <v>Sep</v>
      </c>
      <c r="J998">
        <f>YEAR(datas[[#This Row],[Order Date]])</f>
        <v>2021</v>
      </c>
    </row>
    <row r="999" spans="1:10" ht="14.25" customHeight="1" x14ac:dyDescent="0.3">
      <c r="A999" s="1">
        <v>44446</v>
      </c>
      <c r="B999" s="2" t="s">
        <v>63</v>
      </c>
      <c r="C999" s="2" t="s">
        <v>329</v>
      </c>
      <c r="D999" s="2" t="s">
        <v>28</v>
      </c>
      <c r="E999" s="2" t="s">
        <v>29</v>
      </c>
      <c r="F999" s="2">
        <v>104.85</v>
      </c>
      <c r="G999" s="2">
        <v>3</v>
      </c>
      <c r="H999" s="2">
        <v>28.31</v>
      </c>
      <c r="I999" t="str">
        <f t="shared" si="15"/>
        <v>Sep</v>
      </c>
      <c r="J999">
        <f>YEAR(datas[[#This Row],[Order Date]])</f>
        <v>2021</v>
      </c>
    </row>
    <row r="1000" spans="1:10" ht="14.25" customHeight="1" x14ac:dyDescent="0.3">
      <c r="A1000" s="1">
        <v>44446</v>
      </c>
      <c r="B1000" s="2" t="s">
        <v>450</v>
      </c>
      <c r="C1000" s="2" t="s">
        <v>75</v>
      </c>
      <c r="D1000" s="2" t="s">
        <v>28</v>
      </c>
      <c r="E1000" s="2" t="s">
        <v>29</v>
      </c>
      <c r="F1000" s="2">
        <v>377.97</v>
      </c>
      <c r="G1000" s="2">
        <v>3</v>
      </c>
      <c r="H1000" s="2">
        <v>109.61</v>
      </c>
      <c r="I1000" t="str">
        <f t="shared" si="15"/>
        <v>Sep</v>
      </c>
      <c r="J1000">
        <f>YEAR(datas[[#This Row],[Order Date]])</f>
        <v>2021</v>
      </c>
    </row>
    <row r="1001" spans="1:10" ht="14.25" customHeight="1" x14ac:dyDescent="0.3">
      <c r="A1001" s="1">
        <v>44446</v>
      </c>
      <c r="B1001" s="2" t="s">
        <v>451</v>
      </c>
      <c r="C1001" s="2" t="s">
        <v>9</v>
      </c>
      <c r="D1001" s="2" t="s">
        <v>28</v>
      </c>
      <c r="E1001" s="2" t="s">
        <v>29</v>
      </c>
      <c r="F1001" s="2">
        <v>196.78</v>
      </c>
      <c r="G1001" s="2">
        <v>3</v>
      </c>
      <c r="H1001" s="2">
        <v>14.76</v>
      </c>
      <c r="I1001" t="str">
        <f t="shared" si="15"/>
        <v>Sep</v>
      </c>
      <c r="J1001">
        <f>YEAR(datas[[#This Row],[Order Date]])</f>
        <v>2021</v>
      </c>
    </row>
    <row r="1002" spans="1:10" ht="14.25" customHeight="1" x14ac:dyDescent="0.3">
      <c r="A1002" s="1">
        <v>44446</v>
      </c>
      <c r="B1002" s="2" t="s">
        <v>451</v>
      </c>
      <c r="C1002" s="2" t="s">
        <v>9</v>
      </c>
      <c r="D1002" s="2" t="s">
        <v>10</v>
      </c>
      <c r="E1002" s="2" t="s">
        <v>16</v>
      </c>
      <c r="F1002" s="2">
        <v>2.92</v>
      </c>
      <c r="G1002" s="2">
        <v>2</v>
      </c>
      <c r="H1002" s="2">
        <v>-4.82</v>
      </c>
      <c r="I1002" t="str">
        <f t="shared" si="15"/>
        <v>Sep</v>
      </c>
      <c r="J1002">
        <f>YEAR(datas[[#This Row],[Order Date]])</f>
        <v>2021</v>
      </c>
    </row>
    <row r="1003" spans="1:10" ht="14.25" customHeight="1" x14ac:dyDescent="0.3">
      <c r="A1003" s="1">
        <v>44446</v>
      </c>
      <c r="B1003" s="2" t="s">
        <v>451</v>
      </c>
      <c r="C1003" s="2" t="s">
        <v>9</v>
      </c>
      <c r="D1003" s="2" t="s">
        <v>26</v>
      </c>
      <c r="E1003" s="2" t="s">
        <v>73</v>
      </c>
      <c r="F1003" s="2">
        <v>200.8</v>
      </c>
      <c r="G1003" s="2">
        <v>1</v>
      </c>
      <c r="H1003" s="2">
        <v>-22.95</v>
      </c>
      <c r="I1003" t="str">
        <f t="shared" si="15"/>
        <v>Sep</v>
      </c>
      <c r="J1003">
        <f>YEAR(datas[[#This Row],[Order Date]])</f>
        <v>2021</v>
      </c>
    </row>
    <row r="1004" spans="1:10" ht="14.25" customHeight="1" x14ac:dyDescent="0.3">
      <c r="A1004" s="1">
        <v>44446</v>
      </c>
      <c r="B1004" s="2" t="s">
        <v>451</v>
      </c>
      <c r="C1004" s="2" t="s">
        <v>9</v>
      </c>
      <c r="D1004" s="2" t="s">
        <v>28</v>
      </c>
      <c r="E1004" s="2" t="s">
        <v>34</v>
      </c>
      <c r="F1004" s="2">
        <v>46.69</v>
      </c>
      <c r="G1004" s="2">
        <v>4</v>
      </c>
      <c r="H1004" s="2">
        <v>-2.92</v>
      </c>
      <c r="I1004" t="str">
        <f t="shared" si="15"/>
        <v>Sep</v>
      </c>
      <c r="J1004">
        <f>YEAR(datas[[#This Row],[Order Date]])</f>
        <v>2021</v>
      </c>
    </row>
    <row r="1005" spans="1:10" ht="14.25" customHeight="1" x14ac:dyDescent="0.3">
      <c r="A1005" s="1">
        <v>44446</v>
      </c>
      <c r="B1005" s="2" t="s">
        <v>451</v>
      </c>
      <c r="C1005" s="2" t="s">
        <v>9</v>
      </c>
      <c r="D1005" s="2" t="s">
        <v>10</v>
      </c>
      <c r="E1005" s="2" t="s">
        <v>19</v>
      </c>
      <c r="F1005" s="2">
        <v>21.86</v>
      </c>
      <c r="G1005" s="2">
        <v>3</v>
      </c>
      <c r="H1005" s="2">
        <v>3.55</v>
      </c>
      <c r="I1005" t="str">
        <f t="shared" si="15"/>
        <v>Sep</v>
      </c>
      <c r="J1005">
        <f>YEAR(datas[[#This Row],[Order Date]])</f>
        <v>2021</v>
      </c>
    </row>
    <row r="1006" spans="1:10" ht="14.25" customHeight="1" x14ac:dyDescent="0.3">
      <c r="A1006" s="1">
        <v>44446</v>
      </c>
      <c r="B1006" s="2" t="s">
        <v>135</v>
      </c>
      <c r="C1006" s="2" t="s">
        <v>329</v>
      </c>
      <c r="D1006" s="2" t="s">
        <v>26</v>
      </c>
      <c r="E1006" s="2" t="s">
        <v>73</v>
      </c>
      <c r="F1006" s="2">
        <v>429.9</v>
      </c>
      <c r="G1006" s="2">
        <v>5</v>
      </c>
      <c r="H1006" s="2">
        <v>111.77</v>
      </c>
      <c r="I1006" t="str">
        <f t="shared" si="15"/>
        <v>Sep</v>
      </c>
      <c r="J1006">
        <f>YEAR(datas[[#This Row],[Order Date]])</f>
        <v>2021</v>
      </c>
    </row>
    <row r="1007" spans="1:10" ht="14.25" customHeight="1" x14ac:dyDescent="0.3">
      <c r="A1007" s="1">
        <v>44446</v>
      </c>
      <c r="B1007" s="2" t="s">
        <v>135</v>
      </c>
      <c r="C1007" s="2" t="s">
        <v>329</v>
      </c>
      <c r="D1007" s="2" t="s">
        <v>10</v>
      </c>
      <c r="E1007" s="2" t="s">
        <v>16</v>
      </c>
      <c r="F1007" s="2">
        <v>32.06</v>
      </c>
      <c r="G1007" s="2">
        <v>2</v>
      </c>
      <c r="H1007" s="2">
        <v>15.39</v>
      </c>
      <c r="I1007" t="str">
        <f t="shared" si="15"/>
        <v>Sep</v>
      </c>
      <c r="J1007">
        <f>YEAR(datas[[#This Row],[Order Date]])</f>
        <v>2021</v>
      </c>
    </row>
    <row r="1008" spans="1:10" ht="14.25" customHeight="1" x14ac:dyDescent="0.3">
      <c r="A1008" s="1">
        <v>44446</v>
      </c>
      <c r="B1008" s="2" t="s">
        <v>135</v>
      </c>
      <c r="C1008" s="2" t="s">
        <v>329</v>
      </c>
      <c r="D1008" s="2" t="s">
        <v>26</v>
      </c>
      <c r="E1008" s="2" t="s">
        <v>27</v>
      </c>
      <c r="F1008" s="2">
        <v>161.96</v>
      </c>
      <c r="G1008" s="2">
        <v>2</v>
      </c>
      <c r="H1008" s="2">
        <v>45.35</v>
      </c>
      <c r="I1008" t="str">
        <f t="shared" si="15"/>
        <v>Sep</v>
      </c>
      <c r="J1008">
        <f>YEAR(datas[[#This Row],[Order Date]])</f>
        <v>2021</v>
      </c>
    </row>
    <row r="1009" spans="1:10" ht="14.25" customHeight="1" x14ac:dyDescent="0.3">
      <c r="A1009" s="1">
        <v>44446</v>
      </c>
      <c r="B1009" s="2" t="s">
        <v>135</v>
      </c>
      <c r="C1009" s="2" t="s">
        <v>329</v>
      </c>
      <c r="D1009" s="2" t="s">
        <v>10</v>
      </c>
      <c r="E1009" s="2" t="s">
        <v>15</v>
      </c>
      <c r="F1009" s="2">
        <v>19.86</v>
      </c>
      <c r="G1009" s="2">
        <v>2</v>
      </c>
      <c r="H1009" s="2">
        <v>5.76</v>
      </c>
      <c r="I1009" t="str">
        <f t="shared" si="15"/>
        <v>Sep</v>
      </c>
      <c r="J1009">
        <f>YEAR(datas[[#This Row],[Order Date]])</f>
        <v>2021</v>
      </c>
    </row>
    <row r="1010" spans="1:10" ht="14.25" customHeight="1" x14ac:dyDescent="0.3">
      <c r="A1010" s="1">
        <v>44446</v>
      </c>
      <c r="B1010" s="2" t="s">
        <v>452</v>
      </c>
      <c r="C1010" s="2" t="s">
        <v>21</v>
      </c>
      <c r="D1010" s="2" t="s">
        <v>10</v>
      </c>
      <c r="E1010" s="2" t="s">
        <v>95</v>
      </c>
      <c r="F1010" s="2">
        <v>27.36</v>
      </c>
      <c r="G1010" s="2">
        <v>4</v>
      </c>
      <c r="H1010" s="2">
        <v>7.39</v>
      </c>
      <c r="I1010" t="str">
        <f t="shared" si="15"/>
        <v>Sep</v>
      </c>
      <c r="J1010">
        <f>YEAR(datas[[#This Row],[Order Date]])</f>
        <v>2021</v>
      </c>
    </row>
    <row r="1011" spans="1:10" ht="14.25" customHeight="1" x14ac:dyDescent="0.3">
      <c r="A1011" s="1">
        <v>44446</v>
      </c>
      <c r="B1011" s="2" t="s">
        <v>452</v>
      </c>
      <c r="C1011" s="2" t="s">
        <v>21</v>
      </c>
      <c r="D1011" s="2" t="s">
        <v>10</v>
      </c>
      <c r="E1011" s="2" t="s">
        <v>11</v>
      </c>
      <c r="F1011" s="2">
        <v>20.56</v>
      </c>
      <c r="G1011" s="2">
        <v>2</v>
      </c>
      <c r="H1011" s="2">
        <v>9.66</v>
      </c>
      <c r="I1011" t="str">
        <f t="shared" si="15"/>
        <v>Sep</v>
      </c>
      <c r="J1011">
        <f>YEAR(datas[[#This Row],[Order Date]])</f>
        <v>2021</v>
      </c>
    </row>
    <row r="1012" spans="1:10" ht="14.25" customHeight="1" x14ac:dyDescent="0.3">
      <c r="A1012" s="1">
        <v>44446</v>
      </c>
      <c r="B1012" s="2" t="s">
        <v>452</v>
      </c>
      <c r="C1012" s="2" t="s">
        <v>21</v>
      </c>
      <c r="D1012" s="2" t="s">
        <v>10</v>
      </c>
      <c r="E1012" s="2" t="s">
        <v>16</v>
      </c>
      <c r="F1012" s="2">
        <v>83.92</v>
      </c>
      <c r="G1012" s="2">
        <v>5</v>
      </c>
      <c r="H1012" s="2">
        <v>31.47</v>
      </c>
      <c r="I1012" t="str">
        <f t="shared" si="15"/>
        <v>Sep</v>
      </c>
      <c r="J1012">
        <f>YEAR(datas[[#This Row],[Order Date]])</f>
        <v>2021</v>
      </c>
    </row>
    <row r="1013" spans="1:10" ht="14.25" customHeight="1" x14ac:dyDescent="0.3">
      <c r="A1013" s="1">
        <v>44446</v>
      </c>
      <c r="B1013" s="2" t="s">
        <v>295</v>
      </c>
      <c r="C1013" s="2" t="s">
        <v>13</v>
      </c>
      <c r="D1013" s="2" t="s">
        <v>10</v>
      </c>
      <c r="E1013" s="2" t="s">
        <v>30</v>
      </c>
      <c r="F1013" s="2">
        <v>13.16</v>
      </c>
      <c r="G1013" s="2">
        <v>5</v>
      </c>
      <c r="H1013" s="2">
        <v>4.1100000000000003</v>
      </c>
      <c r="I1013" t="str">
        <f t="shared" si="15"/>
        <v>Sep</v>
      </c>
      <c r="J1013">
        <f>YEAR(datas[[#This Row],[Order Date]])</f>
        <v>2021</v>
      </c>
    </row>
    <row r="1014" spans="1:10" ht="14.25" customHeight="1" x14ac:dyDescent="0.3">
      <c r="A1014" s="1">
        <v>44446</v>
      </c>
      <c r="B1014" s="2" t="s">
        <v>295</v>
      </c>
      <c r="C1014" s="2" t="s">
        <v>13</v>
      </c>
      <c r="D1014" s="2" t="s">
        <v>10</v>
      </c>
      <c r="E1014" s="2" t="s">
        <v>16</v>
      </c>
      <c r="F1014" s="2">
        <v>3.83</v>
      </c>
      <c r="G1014" s="2">
        <v>3</v>
      </c>
      <c r="H1014" s="2">
        <v>-6.51</v>
      </c>
      <c r="I1014" t="str">
        <f t="shared" si="15"/>
        <v>Sep</v>
      </c>
      <c r="J1014">
        <f>YEAR(datas[[#This Row],[Order Date]])</f>
        <v>2021</v>
      </c>
    </row>
    <row r="1015" spans="1:10" ht="14.25" customHeight="1" x14ac:dyDescent="0.3">
      <c r="A1015" s="1">
        <v>44446</v>
      </c>
      <c r="B1015" s="2" t="s">
        <v>295</v>
      </c>
      <c r="C1015" s="2" t="s">
        <v>13</v>
      </c>
      <c r="D1015" s="2" t="s">
        <v>10</v>
      </c>
      <c r="E1015" s="2" t="s">
        <v>16</v>
      </c>
      <c r="F1015" s="2">
        <v>304.99</v>
      </c>
      <c r="G1015" s="2">
        <v>5</v>
      </c>
      <c r="H1015" s="2">
        <v>-533.73</v>
      </c>
      <c r="I1015" t="str">
        <f t="shared" si="15"/>
        <v>Sep</v>
      </c>
      <c r="J1015">
        <f>YEAR(datas[[#This Row],[Order Date]])</f>
        <v>2021</v>
      </c>
    </row>
    <row r="1016" spans="1:10" ht="14.25" customHeight="1" x14ac:dyDescent="0.3">
      <c r="A1016" s="1">
        <v>44447</v>
      </c>
      <c r="B1016" s="2" t="s">
        <v>453</v>
      </c>
      <c r="C1016" s="2" t="s">
        <v>9</v>
      </c>
      <c r="D1016" s="2" t="s">
        <v>10</v>
      </c>
      <c r="E1016" s="2" t="s">
        <v>19</v>
      </c>
      <c r="F1016" s="2">
        <v>9.94</v>
      </c>
      <c r="G1016" s="2">
        <v>3</v>
      </c>
      <c r="H1016" s="2">
        <v>2.73</v>
      </c>
      <c r="I1016" t="str">
        <f t="shared" si="15"/>
        <v>Sep</v>
      </c>
      <c r="J1016">
        <f>YEAR(datas[[#This Row],[Order Date]])</f>
        <v>2021</v>
      </c>
    </row>
    <row r="1017" spans="1:10" ht="14.25" customHeight="1" x14ac:dyDescent="0.3">
      <c r="A1017" s="1">
        <v>44447</v>
      </c>
      <c r="B1017" s="2" t="s">
        <v>453</v>
      </c>
      <c r="C1017" s="2" t="s">
        <v>9</v>
      </c>
      <c r="D1017" s="2" t="s">
        <v>28</v>
      </c>
      <c r="E1017" s="2" t="s">
        <v>136</v>
      </c>
      <c r="F1017" s="2">
        <v>8159.95</v>
      </c>
      <c r="G1017" s="2">
        <v>8</v>
      </c>
      <c r="H1017" s="2">
        <v>-1359.99</v>
      </c>
      <c r="I1017" t="str">
        <f t="shared" si="15"/>
        <v>Sep</v>
      </c>
      <c r="J1017">
        <f>YEAR(datas[[#This Row],[Order Date]])</f>
        <v>2021</v>
      </c>
    </row>
    <row r="1018" spans="1:10" ht="14.25" customHeight="1" x14ac:dyDescent="0.3">
      <c r="A1018" s="1">
        <v>44447</v>
      </c>
      <c r="B1018" s="2" t="s">
        <v>453</v>
      </c>
      <c r="C1018" s="2" t="s">
        <v>9</v>
      </c>
      <c r="D1018" s="2" t="s">
        <v>10</v>
      </c>
      <c r="E1018" s="2" t="s">
        <v>15</v>
      </c>
      <c r="F1018" s="2">
        <v>275.93</v>
      </c>
      <c r="G1018" s="2">
        <v>3</v>
      </c>
      <c r="H1018" s="2">
        <v>-58.63</v>
      </c>
      <c r="I1018" t="str">
        <f t="shared" si="15"/>
        <v>Sep</v>
      </c>
      <c r="J1018">
        <f>YEAR(datas[[#This Row],[Order Date]])</f>
        <v>2021</v>
      </c>
    </row>
    <row r="1019" spans="1:10" ht="14.25" customHeight="1" x14ac:dyDescent="0.3">
      <c r="A1019" s="1">
        <v>44447</v>
      </c>
      <c r="B1019" s="2" t="s">
        <v>453</v>
      </c>
      <c r="C1019" s="2" t="s">
        <v>9</v>
      </c>
      <c r="D1019" s="2" t="s">
        <v>26</v>
      </c>
      <c r="E1019" s="2" t="s">
        <v>27</v>
      </c>
      <c r="F1019" s="2">
        <v>1740.06</v>
      </c>
      <c r="G1019" s="2">
        <v>9</v>
      </c>
      <c r="H1019" s="2">
        <v>-24.86</v>
      </c>
      <c r="I1019" t="str">
        <f t="shared" si="15"/>
        <v>Sep</v>
      </c>
      <c r="J1019">
        <f>YEAR(datas[[#This Row],[Order Date]])</f>
        <v>2021</v>
      </c>
    </row>
    <row r="1020" spans="1:10" ht="14.25" customHeight="1" x14ac:dyDescent="0.3">
      <c r="A1020" s="1">
        <v>44447</v>
      </c>
      <c r="B1020" s="2" t="s">
        <v>453</v>
      </c>
      <c r="C1020" s="2" t="s">
        <v>9</v>
      </c>
      <c r="D1020" s="2" t="s">
        <v>10</v>
      </c>
      <c r="E1020" s="2" t="s">
        <v>19</v>
      </c>
      <c r="F1020" s="2">
        <v>32.06</v>
      </c>
      <c r="G1020" s="2">
        <v>6</v>
      </c>
      <c r="H1020" s="2">
        <v>6.81</v>
      </c>
      <c r="I1020" t="str">
        <f t="shared" si="15"/>
        <v>Sep</v>
      </c>
      <c r="J1020">
        <f>YEAR(datas[[#This Row],[Order Date]])</f>
        <v>2021</v>
      </c>
    </row>
    <row r="1021" spans="1:10" ht="14.25" customHeight="1" x14ac:dyDescent="0.3">
      <c r="A1021" s="1">
        <v>44447</v>
      </c>
      <c r="B1021" s="2" t="s">
        <v>453</v>
      </c>
      <c r="C1021" s="2" t="s">
        <v>9</v>
      </c>
      <c r="D1021" s="2" t="s">
        <v>10</v>
      </c>
      <c r="E1021" s="2" t="s">
        <v>53</v>
      </c>
      <c r="F1021" s="2">
        <v>177.98</v>
      </c>
      <c r="G1021" s="2">
        <v>5</v>
      </c>
      <c r="H1021" s="2">
        <v>-453.85</v>
      </c>
      <c r="I1021" t="str">
        <f t="shared" si="15"/>
        <v>Sep</v>
      </c>
      <c r="J1021">
        <f>YEAR(datas[[#This Row],[Order Date]])</f>
        <v>2021</v>
      </c>
    </row>
    <row r="1022" spans="1:10" ht="14.25" customHeight="1" x14ac:dyDescent="0.3">
      <c r="A1022" s="1">
        <v>44447</v>
      </c>
      <c r="B1022" s="2" t="s">
        <v>453</v>
      </c>
      <c r="C1022" s="2" t="s">
        <v>9</v>
      </c>
      <c r="D1022" s="2" t="s">
        <v>28</v>
      </c>
      <c r="E1022" s="2" t="s">
        <v>29</v>
      </c>
      <c r="F1022" s="2">
        <v>143.97999999999999</v>
      </c>
      <c r="G1022" s="2">
        <v>3</v>
      </c>
      <c r="H1022" s="2">
        <v>9</v>
      </c>
      <c r="I1022" t="str">
        <f t="shared" si="15"/>
        <v>Sep</v>
      </c>
      <c r="J1022">
        <f>YEAR(datas[[#This Row],[Order Date]])</f>
        <v>2021</v>
      </c>
    </row>
    <row r="1023" spans="1:10" ht="14.25" customHeight="1" x14ac:dyDescent="0.3">
      <c r="A1023" s="1">
        <v>44447</v>
      </c>
      <c r="B1023" s="2" t="s">
        <v>403</v>
      </c>
      <c r="C1023" s="2" t="s">
        <v>21</v>
      </c>
      <c r="D1023" s="2" t="s">
        <v>28</v>
      </c>
      <c r="E1023" s="2" t="s">
        <v>34</v>
      </c>
      <c r="F1023" s="2">
        <v>49.98</v>
      </c>
      <c r="G1023" s="2">
        <v>2</v>
      </c>
      <c r="H1023" s="2">
        <v>8.5</v>
      </c>
      <c r="I1023" t="str">
        <f t="shared" si="15"/>
        <v>Sep</v>
      </c>
      <c r="J1023">
        <f>YEAR(datas[[#This Row],[Order Date]])</f>
        <v>2021</v>
      </c>
    </row>
    <row r="1024" spans="1:10" ht="14.25" customHeight="1" x14ac:dyDescent="0.3">
      <c r="A1024" s="1">
        <v>44447</v>
      </c>
      <c r="B1024" s="2" t="s">
        <v>454</v>
      </c>
      <c r="C1024" s="2" t="s">
        <v>9</v>
      </c>
      <c r="D1024" s="2" t="s">
        <v>10</v>
      </c>
      <c r="E1024" s="2" t="s">
        <v>16</v>
      </c>
      <c r="F1024" s="2">
        <v>51.18</v>
      </c>
      <c r="G1024" s="2">
        <v>4</v>
      </c>
      <c r="H1024" s="2">
        <v>-79.34</v>
      </c>
      <c r="I1024" t="str">
        <f t="shared" si="15"/>
        <v>Sep</v>
      </c>
      <c r="J1024">
        <f>YEAR(datas[[#This Row],[Order Date]])</f>
        <v>2021</v>
      </c>
    </row>
    <row r="1025" spans="1:10" ht="14.25" customHeight="1" x14ac:dyDescent="0.3">
      <c r="A1025" s="1">
        <v>44447</v>
      </c>
      <c r="B1025" s="2" t="s">
        <v>455</v>
      </c>
      <c r="C1025" s="2" t="s">
        <v>23</v>
      </c>
      <c r="D1025" s="2" t="s">
        <v>28</v>
      </c>
      <c r="E1025" s="2" t="s">
        <v>34</v>
      </c>
      <c r="F1025" s="2">
        <v>32.97</v>
      </c>
      <c r="G1025" s="2">
        <v>3</v>
      </c>
      <c r="H1025" s="2">
        <v>12.86</v>
      </c>
      <c r="I1025" t="str">
        <f t="shared" si="15"/>
        <v>Sep</v>
      </c>
      <c r="J1025">
        <f>YEAR(datas[[#This Row],[Order Date]])</f>
        <v>2021</v>
      </c>
    </row>
    <row r="1026" spans="1:10" ht="14.25" customHeight="1" x14ac:dyDescent="0.3">
      <c r="A1026" s="1">
        <v>44447</v>
      </c>
      <c r="B1026" s="2" t="s">
        <v>455</v>
      </c>
      <c r="C1026" s="2" t="s">
        <v>23</v>
      </c>
      <c r="D1026" s="2" t="s">
        <v>28</v>
      </c>
      <c r="E1026" s="2" t="s">
        <v>34</v>
      </c>
      <c r="F1026" s="2">
        <v>83.88</v>
      </c>
      <c r="G1026" s="2">
        <v>4</v>
      </c>
      <c r="H1026" s="2">
        <v>30.2</v>
      </c>
      <c r="I1026" t="str">
        <f t="shared" si="15"/>
        <v>Sep</v>
      </c>
      <c r="J1026">
        <f>YEAR(datas[[#This Row],[Order Date]])</f>
        <v>2021</v>
      </c>
    </row>
    <row r="1027" spans="1:10" ht="14.25" customHeight="1" x14ac:dyDescent="0.3">
      <c r="A1027" s="1">
        <v>44447</v>
      </c>
      <c r="B1027" s="2" t="s">
        <v>353</v>
      </c>
      <c r="C1027" s="2" t="s">
        <v>21</v>
      </c>
      <c r="D1027" s="2" t="s">
        <v>10</v>
      </c>
      <c r="E1027" s="2" t="s">
        <v>53</v>
      </c>
      <c r="F1027" s="2">
        <v>56.65</v>
      </c>
      <c r="G1027" s="2">
        <v>5</v>
      </c>
      <c r="H1027" s="2">
        <v>24.36</v>
      </c>
      <c r="I1027" t="str">
        <f t="shared" ref="I1027:I1090" si="16">TEXT(A1027,"mmm")</f>
        <v>Sep</v>
      </c>
      <c r="J1027">
        <f>YEAR(datas[[#This Row],[Order Date]])</f>
        <v>2021</v>
      </c>
    </row>
    <row r="1028" spans="1:10" ht="14.25" customHeight="1" x14ac:dyDescent="0.3">
      <c r="A1028" s="1">
        <v>44447</v>
      </c>
      <c r="B1028" s="2" t="s">
        <v>353</v>
      </c>
      <c r="C1028" s="2" t="s">
        <v>21</v>
      </c>
      <c r="D1028" s="2" t="s">
        <v>10</v>
      </c>
      <c r="E1028" s="2" t="s">
        <v>15</v>
      </c>
      <c r="F1028" s="2">
        <v>14.97</v>
      </c>
      <c r="G1028" s="2">
        <v>1</v>
      </c>
      <c r="H1028" s="2">
        <v>4.1900000000000004</v>
      </c>
      <c r="I1028" t="str">
        <f t="shared" si="16"/>
        <v>Sep</v>
      </c>
      <c r="J1028">
        <f>YEAR(datas[[#This Row],[Order Date]])</f>
        <v>2021</v>
      </c>
    </row>
    <row r="1029" spans="1:10" ht="14.25" customHeight="1" x14ac:dyDescent="0.3">
      <c r="A1029" s="1">
        <v>44447</v>
      </c>
      <c r="B1029" s="2" t="s">
        <v>353</v>
      </c>
      <c r="C1029" s="2" t="s">
        <v>21</v>
      </c>
      <c r="D1029" s="2" t="s">
        <v>10</v>
      </c>
      <c r="E1029" s="2" t="s">
        <v>30</v>
      </c>
      <c r="F1029" s="2">
        <v>4.0199999999999996</v>
      </c>
      <c r="G1029" s="2">
        <v>2</v>
      </c>
      <c r="H1029" s="2">
        <v>1.97</v>
      </c>
      <c r="I1029" t="str">
        <f t="shared" si="16"/>
        <v>Sep</v>
      </c>
      <c r="J1029">
        <f>YEAR(datas[[#This Row],[Order Date]])</f>
        <v>2021</v>
      </c>
    </row>
    <row r="1030" spans="1:10" ht="14.25" customHeight="1" x14ac:dyDescent="0.3">
      <c r="A1030" s="1">
        <v>44447</v>
      </c>
      <c r="B1030" s="2" t="s">
        <v>273</v>
      </c>
      <c r="C1030" s="2" t="s">
        <v>36</v>
      </c>
      <c r="D1030" s="2" t="s">
        <v>10</v>
      </c>
      <c r="E1030" s="2" t="s">
        <v>30</v>
      </c>
      <c r="F1030" s="2">
        <v>45</v>
      </c>
      <c r="G1030" s="2">
        <v>9</v>
      </c>
      <c r="H1030" s="2">
        <v>21.6</v>
      </c>
      <c r="I1030" t="str">
        <f t="shared" si="16"/>
        <v>Sep</v>
      </c>
      <c r="J1030">
        <f>YEAR(datas[[#This Row],[Order Date]])</f>
        <v>2021</v>
      </c>
    </row>
    <row r="1031" spans="1:10" ht="14.25" customHeight="1" x14ac:dyDescent="0.3">
      <c r="A1031" s="1">
        <v>44447</v>
      </c>
      <c r="B1031" s="2" t="s">
        <v>273</v>
      </c>
      <c r="C1031" s="2" t="s">
        <v>36</v>
      </c>
      <c r="D1031" s="2" t="s">
        <v>28</v>
      </c>
      <c r="E1031" s="2" t="s">
        <v>136</v>
      </c>
      <c r="F1031" s="2">
        <v>209.97</v>
      </c>
      <c r="G1031" s="2">
        <v>3</v>
      </c>
      <c r="H1031" s="2">
        <v>90.29</v>
      </c>
      <c r="I1031" t="str">
        <f t="shared" si="16"/>
        <v>Sep</v>
      </c>
      <c r="J1031">
        <f>YEAR(datas[[#This Row],[Order Date]])</f>
        <v>2021</v>
      </c>
    </row>
    <row r="1032" spans="1:10" ht="14.25" customHeight="1" x14ac:dyDescent="0.3">
      <c r="A1032" s="1">
        <v>44447</v>
      </c>
      <c r="B1032" s="2" t="s">
        <v>456</v>
      </c>
      <c r="C1032" s="2" t="s">
        <v>75</v>
      </c>
      <c r="D1032" s="2" t="s">
        <v>10</v>
      </c>
      <c r="E1032" s="2" t="s">
        <v>53</v>
      </c>
      <c r="F1032" s="2">
        <v>16.78</v>
      </c>
      <c r="G1032" s="2">
        <v>2</v>
      </c>
      <c r="H1032" s="2">
        <v>4.2</v>
      </c>
      <c r="I1032" t="str">
        <f t="shared" si="16"/>
        <v>Sep</v>
      </c>
      <c r="J1032">
        <f>YEAR(datas[[#This Row],[Order Date]])</f>
        <v>2021</v>
      </c>
    </row>
    <row r="1033" spans="1:10" ht="14.25" customHeight="1" x14ac:dyDescent="0.3">
      <c r="A1033" s="1">
        <v>44447</v>
      </c>
      <c r="B1033" s="2" t="s">
        <v>457</v>
      </c>
      <c r="C1033" s="2" t="s">
        <v>82</v>
      </c>
      <c r="D1033" s="2" t="s">
        <v>10</v>
      </c>
      <c r="E1033" s="2" t="s">
        <v>19</v>
      </c>
      <c r="F1033" s="2">
        <v>5.88</v>
      </c>
      <c r="G1033" s="2">
        <v>2</v>
      </c>
      <c r="H1033" s="2">
        <v>2.65</v>
      </c>
      <c r="I1033" t="str">
        <f t="shared" si="16"/>
        <v>Sep</v>
      </c>
      <c r="J1033">
        <f>YEAR(datas[[#This Row],[Order Date]])</f>
        <v>2021</v>
      </c>
    </row>
    <row r="1034" spans="1:10" ht="14.25" customHeight="1" x14ac:dyDescent="0.3">
      <c r="A1034" s="1">
        <v>44447</v>
      </c>
      <c r="B1034" s="2" t="s">
        <v>457</v>
      </c>
      <c r="C1034" s="2" t="s">
        <v>82</v>
      </c>
      <c r="D1034" s="2" t="s">
        <v>26</v>
      </c>
      <c r="E1034" s="2" t="s">
        <v>27</v>
      </c>
      <c r="F1034" s="2">
        <v>975.92</v>
      </c>
      <c r="G1034" s="2">
        <v>5</v>
      </c>
      <c r="H1034" s="2">
        <v>121.99</v>
      </c>
      <c r="I1034" t="str">
        <f t="shared" si="16"/>
        <v>Sep</v>
      </c>
      <c r="J1034">
        <f>YEAR(datas[[#This Row],[Order Date]])</f>
        <v>2021</v>
      </c>
    </row>
    <row r="1035" spans="1:10" ht="14.25" customHeight="1" x14ac:dyDescent="0.3">
      <c r="A1035" s="1">
        <v>44447</v>
      </c>
      <c r="B1035" s="2" t="s">
        <v>457</v>
      </c>
      <c r="C1035" s="2" t="s">
        <v>82</v>
      </c>
      <c r="D1035" s="2" t="s">
        <v>10</v>
      </c>
      <c r="E1035" s="2" t="s">
        <v>19</v>
      </c>
      <c r="F1035" s="2">
        <v>303.83999999999997</v>
      </c>
      <c r="G1035" s="2">
        <v>8</v>
      </c>
      <c r="H1035" s="2">
        <v>91.15</v>
      </c>
      <c r="I1035" t="str">
        <f t="shared" si="16"/>
        <v>Sep</v>
      </c>
      <c r="J1035">
        <f>YEAR(datas[[#This Row],[Order Date]])</f>
        <v>2021</v>
      </c>
    </row>
    <row r="1036" spans="1:10" ht="14.25" customHeight="1" x14ac:dyDescent="0.3">
      <c r="A1036" s="1">
        <v>44447</v>
      </c>
      <c r="B1036" s="2" t="s">
        <v>457</v>
      </c>
      <c r="C1036" s="2" t="s">
        <v>82</v>
      </c>
      <c r="D1036" s="2" t="s">
        <v>10</v>
      </c>
      <c r="E1036" s="2" t="s">
        <v>15</v>
      </c>
      <c r="F1036" s="2">
        <v>485.88</v>
      </c>
      <c r="G1036" s="2">
        <v>6</v>
      </c>
      <c r="H1036" s="2">
        <v>19.440000000000001</v>
      </c>
      <c r="I1036" t="str">
        <f t="shared" si="16"/>
        <v>Sep</v>
      </c>
      <c r="J1036">
        <f>YEAR(datas[[#This Row],[Order Date]])</f>
        <v>2021</v>
      </c>
    </row>
    <row r="1037" spans="1:10" ht="14.25" customHeight="1" x14ac:dyDescent="0.3">
      <c r="A1037" s="1">
        <v>44447</v>
      </c>
      <c r="B1037" s="2" t="s">
        <v>458</v>
      </c>
      <c r="C1037" s="2" t="s">
        <v>9</v>
      </c>
      <c r="D1037" s="2" t="s">
        <v>10</v>
      </c>
      <c r="E1037" s="2" t="s">
        <v>11</v>
      </c>
      <c r="F1037" s="2">
        <v>17.899999999999999</v>
      </c>
      <c r="G1037" s="2">
        <v>2</v>
      </c>
      <c r="H1037" s="2">
        <v>6.27</v>
      </c>
      <c r="I1037" t="str">
        <f t="shared" si="16"/>
        <v>Sep</v>
      </c>
      <c r="J1037">
        <f>YEAR(datas[[#This Row],[Order Date]])</f>
        <v>2021</v>
      </c>
    </row>
    <row r="1038" spans="1:10" ht="14.25" customHeight="1" x14ac:dyDescent="0.3">
      <c r="A1038" s="1">
        <v>44447</v>
      </c>
      <c r="B1038" s="2" t="s">
        <v>458</v>
      </c>
      <c r="C1038" s="2" t="s">
        <v>9</v>
      </c>
      <c r="D1038" s="2" t="s">
        <v>26</v>
      </c>
      <c r="E1038" s="2" t="s">
        <v>27</v>
      </c>
      <c r="F1038" s="2">
        <v>966.7</v>
      </c>
      <c r="G1038" s="2">
        <v>5</v>
      </c>
      <c r="H1038" s="2">
        <v>-13.81</v>
      </c>
      <c r="I1038" t="str">
        <f t="shared" si="16"/>
        <v>Sep</v>
      </c>
      <c r="J1038">
        <f>YEAR(datas[[#This Row],[Order Date]])</f>
        <v>2021</v>
      </c>
    </row>
    <row r="1039" spans="1:10" ht="14.25" customHeight="1" x14ac:dyDescent="0.3">
      <c r="A1039" s="1">
        <v>44447</v>
      </c>
      <c r="B1039" s="2" t="s">
        <v>458</v>
      </c>
      <c r="C1039" s="2" t="s">
        <v>9</v>
      </c>
      <c r="D1039" s="2" t="s">
        <v>10</v>
      </c>
      <c r="E1039" s="2" t="s">
        <v>11</v>
      </c>
      <c r="F1039" s="2">
        <v>182.11</v>
      </c>
      <c r="G1039" s="2">
        <v>6</v>
      </c>
      <c r="H1039" s="2">
        <v>61.46</v>
      </c>
      <c r="I1039" t="str">
        <f t="shared" si="16"/>
        <v>Sep</v>
      </c>
      <c r="J1039">
        <f>YEAR(datas[[#This Row],[Order Date]])</f>
        <v>2021</v>
      </c>
    </row>
    <row r="1040" spans="1:10" ht="14.25" customHeight="1" x14ac:dyDescent="0.3">
      <c r="A1040" s="1">
        <v>44447</v>
      </c>
      <c r="B1040" s="2" t="s">
        <v>437</v>
      </c>
      <c r="C1040" s="2" t="s">
        <v>75</v>
      </c>
      <c r="D1040" s="2" t="s">
        <v>26</v>
      </c>
      <c r="E1040" s="2" t="s">
        <v>27</v>
      </c>
      <c r="F1040" s="2">
        <v>172.76</v>
      </c>
      <c r="G1040" s="2">
        <v>2</v>
      </c>
      <c r="H1040" s="2">
        <v>13.44</v>
      </c>
      <c r="I1040" t="str">
        <f t="shared" si="16"/>
        <v>Sep</v>
      </c>
      <c r="J1040">
        <f>YEAR(datas[[#This Row],[Order Date]])</f>
        <v>2021</v>
      </c>
    </row>
    <row r="1041" spans="1:10" ht="14.25" customHeight="1" x14ac:dyDescent="0.3">
      <c r="A1041" s="1">
        <v>44447</v>
      </c>
      <c r="B1041" s="2" t="s">
        <v>437</v>
      </c>
      <c r="C1041" s="2" t="s">
        <v>75</v>
      </c>
      <c r="D1041" s="2" t="s">
        <v>10</v>
      </c>
      <c r="E1041" s="2" t="s">
        <v>19</v>
      </c>
      <c r="F1041" s="2">
        <v>3.52</v>
      </c>
      <c r="G1041" s="2">
        <v>2</v>
      </c>
      <c r="H1041" s="2">
        <v>1.69</v>
      </c>
      <c r="I1041" t="str">
        <f t="shared" si="16"/>
        <v>Sep</v>
      </c>
      <c r="J1041">
        <f>YEAR(datas[[#This Row],[Order Date]])</f>
        <v>2021</v>
      </c>
    </row>
    <row r="1042" spans="1:10" ht="14.25" customHeight="1" x14ac:dyDescent="0.3">
      <c r="A1042" s="1">
        <v>44447</v>
      </c>
      <c r="B1042" s="2" t="s">
        <v>54</v>
      </c>
      <c r="C1042" s="2" t="s">
        <v>21</v>
      </c>
      <c r="D1042" s="2" t="s">
        <v>10</v>
      </c>
      <c r="E1042" s="2" t="s">
        <v>16</v>
      </c>
      <c r="F1042" s="2">
        <v>8.61</v>
      </c>
      <c r="G1042" s="2">
        <v>2</v>
      </c>
      <c r="H1042" s="2">
        <v>3.01</v>
      </c>
      <c r="I1042" t="str">
        <f t="shared" si="16"/>
        <v>Sep</v>
      </c>
      <c r="J1042">
        <f>YEAR(datas[[#This Row],[Order Date]])</f>
        <v>2021</v>
      </c>
    </row>
    <row r="1043" spans="1:10" ht="14.25" customHeight="1" x14ac:dyDescent="0.3">
      <c r="A1043" s="1">
        <v>44448</v>
      </c>
      <c r="B1043" s="2" t="s">
        <v>459</v>
      </c>
      <c r="C1043" s="2" t="s">
        <v>60</v>
      </c>
      <c r="D1043" s="2" t="s">
        <v>10</v>
      </c>
      <c r="E1043" s="2" t="s">
        <v>14</v>
      </c>
      <c r="F1043" s="2">
        <v>103.6</v>
      </c>
      <c r="G1043" s="2">
        <v>7</v>
      </c>
      <c r="H1043" s="2">
        <v>51.8</v>
      </c>
      <c r="I1043" t="str">
        <f t="shared" si="16"/>
        <v>Sep</v>
      </c>
      <c r="J1043">
        <f>YEAR(datas[[#This Row],[Order Date]])</f>
        <v>2021</v>
      </c>
    </row>
    <row r="1044" spans="1:10" ht="14.25" customHeight="1" x14ac:dyDescent="0.3">
      <c r="A1044" s="1">
        <v>44448</v>
      </c>
      <c r="B1044" s="2" t="s">
        <v>460</v>
      </c>
      <c r="C1044" s="2" t="s">
        <v>181</v>
      </c>
      <c r="D1044" s="2" t="s">
        <v>10</v>
      </c>
      <c r="E1044" s="2" t="s">
        <v>11</v>
      </c>
      <c r="F1044" s="2">
        <v>166.44</v>
      </c>
      <c r="G1044" s="2">
        <v>3</v>
      </c>
      <c r="H1044" s="2">
        <v>79.89</v>
      </c>
      <c r="I1044" t="str">
        <f t="shared" si="16"/>
        <v>Sep</v>
      </c>
      <c r="J1044">
        <f>YEAR(datas[[#This Row],[Order Date]])</f>
        <v>2021</v>
      </c>
    </row>
    <row r="1045" spans="1:10" ht="14.25" customHeight="1" x14ac:dyDescent="0.3">
      <c r="A1045" s="1">
        <v>44448</v>
      </c>
      <c r="B1045" s="2" t="s">
        <v>460</v>
      </c>
      <c r="C1045" s="2" t="s">
        <v>181</v>
      </c>
      <c r="D1045" s="2" t="s">
        <v>26</v>
      </c>
      <c r="E1045" s="2" t="s">
        <v>27</v>
      </c>
      <c r="F1045" s="2">
        <v>785.88</v>
      </c>
      <c r="G1045" s="2">
        <v>6</v>
      </c>
      <c r="H1045" s="2">
        <v>212.19</v>
      </c>
      <c r="I1045" t="str">
        <f t="shared" si="16"/>
        <v>Sep</v>
      </c>
      <c r="J1045">
        <f>YEAR(datas[[#This Row],[Order Date]])</f>
        <v>2021</v>
      </c>
    </row>
    <row r="1046" spans="1:10" ht="14.25" customHeight="1" x14ac:dyDescent="0.3">
      <c r="A1046" s="1">
        <v>44448</v>
      </c>
      <c r="B1046" s="2" t="s">
        <v>460</v>
      </c>
      <c r="C1046" s="2" t="s">
        <v>181</v>
      </c>
      <c r="D1046" s="2" t="s">
        <v>10</v>
      </c>
      <c r="E1046" s="2" t="s">
        <v>11</v>
      </c>
      <c r="F1046" s="2">
        <v>26.2</v>
      </c>
      <c r="G1046" s="2">
        <v>2</v>
      </c>
      <c r="H1046" s="2">
        <v>12.84</v>
      </c>
      <c r="I1046" t="str">
        <f t="shared" si="16"/>
        <v>Sep</v>
      </c>
      <c r="J1046">
        <f>YEAR(datas[[#This Row],[Order Date]])</f>
        <v>2021</v>
      </c>
    </row>
    <row r="1047" spans="1:10" ht="14.25" customHeight="1" x14ac:dyDescent="0.3">
      <c r="A1047" s="1">
        <v>44448</v>
      </c>
      <c r="B1047" s="2" t="s">
        <v>460</v>
      </c>
      <c r="C1047" s="2" t="s">
        <v>181</v>
      </c>
      <c r="D1047" s="2" t="s">
        <v>10</v>
      </c>
      <c r="E1047" s="2" t="s">
        <v>15</v>
      </c>
      <c r="F1047" s="2">
        <v>1325.85</v>
      </c>
      <c r="G1047" s="2">
        <v>5</v>
      </c>
      <c r="H1047" s="2">
        <v>238.65</v>
      </c>
      <c r="I1047" t="str">
        <f t="shared" si="16"/>
        <v>Sep</v>
      </c>
      <c r="J1047">
        <f>YEAR(datas[[#This Row],[Order Date]])</f>
        <v>2021</v>
      </c>
    </row>
    <row r="1048" spans="1:10" ht="14.25" customHeight="1" x14ac:dyDescent="0.3">
      <c r="A1048" s="1">
        <v>44448</v>
      </c>
      <c r="B1048" s="2" t="s">
        <v>461</v>
      </c>
      <c r="C1048" s="2" t="s">
        <v>18</v>
      </c>
      <c r="D1048" s="2" t="s">
        <v>10</v>
      </c>
      <c r="E1048" s="2" t="s">
        <v>11</v>
      </c>
      <c r="F1048" s="2">
        <v>15.55</v>
      </c>
      <c r="G1048" s="2">
        <v>3</v>
      </c>
      <c r="H1048" s="2">
        <v>5.44</v>
      </c>
      <c r="I1048" t="str">
        <f t="shared" si="16"/>
        <v>Sep</v>
      </c>
      <c r="J1048">
        <f>YEAR(datas[[#This Row],[Order Date]])</f>
        <v>2021</v>
      </c>
    </row>
    <row r="1049" spans="1:10" ht="14.25" customHeight="1" x14ac:dyDescent="0.3">
      <c r="A1049" s="1">
        <v>44448</v>
      </c>
      <c r="B1049" s="2" t="s">
        <v>461</v>
      </c>
      <c r="C1049" s="2" t="s">
        <v>18</v>
      </c>
      <c r="D1049" s="2" t="s">
        <v>28</v>
      </c>
      <c r="E1049" s="2" t="s">
        <v>34</v>
      </c>
      <c r="F1049" s="2">
        <v>64.7</v>
      </c>
      <c r="G1049" s="2">
        <v>6</v>
      </c>
      <c r="H1049" s="2">
        <v>-4.8499999999999996</v>
      </c>
      <c r="I1049" t="str">
        <f t="shared" si="16"/>
        <v>Sep</v>
      </c>
      <c r="J1049">
        <f>YEAR(datas[[#This Row],[Order Date]])</f>
        <v>2021</v>
      </c>
    </row>
    <row r="1050" spans="1:10" ht="14.25" customHeight="1" x14ac:dyDescent="0.3">
      <c r="A1050" s="1">
        <v>44448</v>
      </c>
      <c r="B1050" s="2" t="s">
        <v>461</v>
      </c>
      <c r="C1050" s="2" t="s">
        <v>18</v>
      </c>
      <c r="D1050" s="2" t="s">
        <v>26</v>
      </c>
      <c r="E1050" s="2" t="s">
        <v>32</v>
      </c>
      <c r="F1050" s="2">
        <v>17.47</v>
      </c>
      <c r="G1050" s="2">
        <v>3</v>
      </c>
      <c r="H1050" s="2">
        <v>5.0199999999999996</v>
      </c>
      <c r="I1050" t="str">
        <f t="shared" si="16"/>
        <v>Sep</v>
      </c>
      <c r="J1050">
        <f>YEAR(datas[[#This Row],[Order Date]])</f>
        <v>2021</v>
      </c>
    </row>
    <row r="1051" spans="1:10" ht="14.25" customHeight="1" x14ac:dyDescent="0.3">
      <c r="A1051" s="1">
        <v>44448</v>
      </c>
      <c r="B1051" s="2" t="s">
        <v>461</v>
      </c>
      <c r="C1051" s="2" t="s">
        <v>18</v>
      </c>
      <c r="D1051" s="2" t="s">
        <v>28</v>
      </c>
      <c r="E1051" s="2" t="s">
        <v>29</v>
      </c>
      <c r="F1051" s="2">
        <v>135.52000000000001</v>
      </c>
      <c r="G1051" s="2">
        <v>1</v>
      </c>
      <c r="H1051" s="2">
        <v>-31.62</v>
      </c>
      <c r="I1051" t="str">
        <f t="shared" si="16"/>
        <v>Sep</v>
      </c>
      <c r="J1051">
        <f>YEAR(datas[[#This Row],[Order Date]])</f>
        <v>2021</v>
      </c>
    </row>
    <row r="1052" spans="1:10" ht="14.25" customHeight="1" x14ac:dyDescent="0.3">
      <c r="A1052" s="1">
        <v>44448</v>
      </c>
      <c r="B1052" s="2" t="s">
        <v>462</v>
      </c>
      <c r="C1052" s="2" t="s">
        <v>115</v>
      </c>
      <c r="D1052" s="2" t="s">
        <v>28</v>
      </c>
      <c r="E1052" s="2" t="s">
        <v>136</v>
      </c>
      <c r="F1052" s="2">
        <v>1299.99</v>
      </c>
      <c r="G1052" s="2">
        <v>2</v>
      </c>
      <c r="H1052" s="2">
        <v>-572</v>
      </c>
      <c r="I1052" t="str">
        <f t="shared" si="16"/>
        <v>Sep</v>
      </c>
      <c r="J1052">
        <f>YEAR(datas[[#This Row],[Order Date]])</f>
        <v>2021</v>
      </c>
    </row>
    <row r="1053" spans="1:10" ht="14.25" customHeight="1" x14ac:dyDescent="0.3">
      <c r="A1053" s="1">
        <v>44448</v>
      </c>
      <c r="B1053" s="2" t="s">
        <v>219</v>
      </c>
      <c r="C1053" s="2" t="s">
        <v>47</v>
      </c>
      <c r="D1053" s="2" t="s">
        <v>26</v>
      </c>
      <c r="E1053" s="2" t="s">
        <v>32</v>
      </c>
      <c r="F1053" s="2">
        <v>60.67</v>
      </c>
      <c r="G1053" s="2">
        <v>6</v>
      </c>
      <c r="H1053" s="2">
        <v>12.89</v>
      </c>
      <c r="I1053" t="str">
        <f t="shared" si="16"/>
        <v>Sep</v>
      </c>
      <c r="J1053">
        <f>YEAR(datas[[#This Row],[Order Date]])</f>
        <v>2021</v>
      </c>
    </row>
    <row r="1054" spans="1:10" ht="14.25" customHeight="1" x14ac:dyDescent="0.3">
      <c r="A1054" s="1">
        <v>44448</v>
      </c>
      <c r="B1054" s="2" t="s">
        <v>219</v>
      </c>
      <c r="C1054" s="2" t="s">
        <v>47</v>
      </c>
      <c r="D1054" s="2" t="s">
        <v>10</v>
      </c>
      <c r="E1054" s="2" t="s">
        <v>19</v>
      </c>
      <c r="F1054" s="2">
        <v>30.82</v>
      </c>
      <c r="G1054" s="2">
        <v>9</v>
      </c>
      <c r="H1054" s="2">
        <v>2.7</v>
      </c>
      <c r="I1054" t="str">
        <f t="shared" si="16"/>
        <v>Sep</v>
      </c>
      <c r="J1054">
        <f>YEAR(datas[[#This Row],[Order Date]])</f>
        <v>2021</v>
      </c>
    </row>
    <row r="1055" spans="1:10" ht="14.25" customHeight="1" x14ac:dyDescent="0.3">
      <c r="A1055" s="1">
        <v>44448</v>
      </c>
      <c r="B1055" s="2" t="s">
        <v>463</v>
      </c>
      <c r="C1055" s="2" t="s">
        <v>13</v>
      </c>
      <c r="D1055" s="2" t="s">
        <v>10</v>
      </c>
      <c r="E1055" s="2" t="s">
        <v>11</v>
      </c>
      <c r="F1055" s="2">
        <v>10.9</v>
      </c>
      <c r="G1055" s="2">
        <v>3</v>
      </c>
      <c r="H1055" s="2">
        <v>3.41</v>
      </c>
      <c r="I1055" t="str">
        <f t="shared" si="16"/>
        <v>Sep</v>
      </c>
      <c r="J1055">
        <f>YEAR(datas[[#This Row],[Order Date]])</f>
        <v>2021</v>
      </c>
    </row>
    <row r="1056" spans="1:10" ht="14.25" customHeight="1" x14ac:dyDescent="0.3">
      <c r="A1056" s="1">
        <v>44449</v>
      </c>
      <c r="B1056" s="2" t="s">
        <v>227</v>
      </c>
      <c r="C1056" s="2" t="s">
        <v>36</v>
      </c>
      <c r="D1056" s="2" t="s">
        <v>10</v>
      </c>
      <c r="E1056" s="2" t="s">
        <v>16</v>
      </c>
      <c r="F1056" s="2">
        <v>9.64</v>
      </c>
      <c r="G1056" s="2">
        <v>2</v>
      </c>
      <c r="H1056" s="2">
        <v>4.72</v>
      </c>
      <c r="I1056" t="str">
        <f t="shared" si="16"/>
        <v>Sep</v>
      </c>
      <c r="J1056">
        <f>YEAR(datas[[#This Row],[Order Date]])</f>
        <v>2021</v>
      </c>
    </row>
    <row r="1057" spans="1:10" ht="14.25" customHeight="1" x14ac:dyDescent="0.3">
      <c r="A1057" s="1">
        <v>44449</v>
      </c>
      <c r="B1057" s="2" t="s">
        <v>120</v>
      </c>
      <c r="C1057" s="2" t="s">
        <v>52</v>
      </c>
      <c r="D1057" s="2" t="s">
        <v>10</v>
      </c>
      <c r="E1057" s="2" t="s">
        <v>41</v>
      </c>
      <c r="F1057" s="2">
        <v>21.73</v>
      </c>
      <c r="G1057" s="2">
        <v>7</v>
      </c>
      <c r="H1057" s="2">
        <v>7.6</v>
      </c>
      <c r="I1057" t="str">
        <f t="shared" si="16"/>
        <v>Sep</v>
      </c>
      <c r="J1057">
        <f>YEAR(datas[[#This Row],[Order Date]])</f>
        <v>2021</v>
      </c>
    </row>
    <row r="1058" spans="1:10" ht="14.25" customHeight="1" x14ac:dyDescent="0.3">
      <c r="A1058" s="1">
        <v>44449</v>
      </c>
      <c r="B1058" s="2" t="s">
        <v>120</v>
      </c>
      <c r="C1058" s="2" t="s">
        <v>52</v>
      </c>
      <c r="D1058" s="2" t="s">
        <v>26</v>
      </c>
      <c r="E1058" s="2" t="s">
        <v>27</v>
      </c>
      <c r="F1058" s="2">
        <v>1487.04</v>
      </c>
      <c r="G1058" s="2">
        <v>5</v>
      </c>
      <c r="H1058" s="2">
        <v>148.69999999999999</v>
      </c>
      <c r="I1058" t="str">
        <f t="shared" si="16"/>
        <v>Sep</v>
      </c>
      <c r="J1058">
        <f>YEAR(datas[[#This Row],[Order Date]])</f>
        <v>2021</v>
      </c>
    </row>
    <row r="1059" spans="1:10" ht="14.25" customHeight="1" x14ac:dyDescent="0.3">
      <c r="A1059" s="1">
        <v>44449</v>
      </c>
      <c r="B1059" s="2" t="s">
        <v>464</v>
      </c>
      <c r="C1059" s="2" t="s">
        <v>87</v>
      </c>
      <c r="D1059" s="2" t="s">
        <v>10</v>
      </c>
      <c r="E1059" s="2" t="s">
        <v>53</v>
      </c>
      <c r="F1059" s="2">
        <v>81.92</v>
      </c>
      <c r="G1059" s="2">
        <v>4</v>
      </c>
      <c r="H1059" s="2">
        <v>22.12</v>
      </c>
      <c r="I1059" t="str">
        <f t="shared" si="16"/>
        <v>Sep</v>
      </c>
      <c r="J1059">
        <f>YEAR(datas[[#This Row],[Order Date]])</f>
        <v>2021</v>
      </c>
    </row>
    <row r="1060" spans="1:10" ht="14.25" customHeight="1" x14ac:dyDescent="0.3">
      <c r="A1060" s="1">
        <v>44449</v>
      </c>
      <c r="B1060" s="2" t="s">
        <v>464</v>
      </c>
      <c r="C1060" s="2" t="s">
        <v>87</v>
      </c>
      <c r="D1060" s="2" t="s">
        <v>26</v>
      </c>
      <c r="E1060" s="2" t="s">
        <v>32</v>
      </c>
      <c r="F1060" s="2">
        <v>254.9</v>
      </c>
      <c r="G1060" s="2">
        <v>5</v>
      </c>
      <c r="H1060" s="2">
        <v>76.47</v>
      </c>
      <c r="I1060" t="str">
        <f t="shared" si="16"/>
        <v>Sep</v>
      </c>
      <c r="J1060">
        <f>YEAR(datas[[#This Row],[Order Date]])</f>
        <v>2021</v>
      </c>
    </row>
    <row r="1061" spans="1:10" ht="14.25" customHeight="1" x14ac:dyDescent="0.3">
      <c r="A1061" s="1">
        <v>44450</v>
      </c>
      <c r="B1061" s="2" t="s">
        <v>465</v>
      </c>
      <c r="C1061" s="2" t="s">
        <v>21</v>
      </c>
      <c r="D1061" s="2" t="s">
        <v>26</v>
      </c>
      <c r="E1061" s="2" t="s">
        <v>32</v>
      </c>
      <c r="F1061" s="2">
        <v>127.95</v>
      </c>
      <c r="G1061" s="2">
        <v>3</v>
      </c>
      <c r="H1061" s="2">
        <v>21.75</v>
      </c>
      <c r="I1061" t="str">
        <f t="shared" si="16"/>
        <v>Sep</v>
      </c>
      <c r="J1061">
        <f>YEAR(datas[[#This Row],[Order Date]])</f>
        <v>2021</v>
      </c>
    </row>
    <row r="1062" spans="1:10" ht="14.25" customHeight="1" x14ac:dyDescent="0.3">
      <c r="A1062" s="1">
        <v>44451</v>
      </c>
      <c r="B1062" s="2" t="s">
        <v>69</v>
      </c>
      <c r="C1062" s="2" t="s">
        <v>75</v>
      </c>
      <c r="D1062" s="2" t="s">
        <v>28</v>
      </c>
      <c r="E1062" s="2" t="s">
        <v>136</v>
      </c>
      <c r="F1062" s="2">
        <v>69.989999999999995</v>
      </c>
      <c r="G1062" s="2">
        <v>1</v>
      </c>
      <c r="H1062" s="2">
        <v>30.1</v>
      </c>
      <c r="I1062" t="str">
        <f t="shared" si="16"/>
        <v>Sep</v>
      </c>
      <c r="J1062">
        <f>YEAR(datas[[#This Row],[Order Date]])</f>
        <v>2021</v>
      </c>
    </row>
    <row r="1063" spans="1:10" ht="14.25" customHeight="1" x14ac:dyDescent="0.3">
      <c r="A1063" s="1">
        <v>44451</v>
      </c>
      <c r="B1063" s="2" t="s">
        <v>466</v>
      </c>
      <c r="C1063" s="2" t="s">
        <v>115</v>
      </c>
      <c r="D1063" s="2" t="s">
        <v>10</v>
      </c>
      <c r="E1063" s="2" t="s">
        <v>11</v>
      </c>
      <c r="F1063" s="2">
        <v>10.37</v>
      </c>
      <c r="G1063" s="2">
        <v>2</v>
      </c>
      <c r="H1063" s="2">
        <v>3.63</v>
      </c>
      <c r="I1063" t="str">
        <f t="shared" si="16"/>
        <v>Sep</v>
      </c>
      <c r="J1063">
        <f>YEAR(datas[[#This Row],[Order Date]])</f>
        <v>2021</v>
      </c>
    </row>
    <row r="1064" spans="1:10" ht="14.25" customHeight="1" x14ac:dyDescent="0.3">
      <c r="A1064" s="1">
        <v>44451</v>
      </c>
      <c r="B1064" s="2" t="s">
        <v>466</v>
      </c>
      <c r="C1064" s="2" t="s">
        <v>115</v>
      </c>
      <c r="D1064" s="2" t="s">
        <v>10</v>
      </c>
      <c r="E1064" s="2" t="s">
        <v>53</v>
      </c>
      <c r="F1064" s="2">
        <v>166.84</v>
      </c>
      <c r="G1064" s="2">
        <v>5</v>
      </c>
      <c r="H1064" s="2">
        <v>18.77</v>
      </c>
      <c r="I1064" t="str">
        <f t="shared" si="16"/>
        <v>Sep</v>
      </c>
      <c r="J1064">
        <f>YEAR(datas[[#This Row],[Order Date]])</f>
        <v>2021</v>
      </c>
    </row>
    <row r="1065" spans="1:10" ht="14.25" customHeight="1" x14ac:dyDescent="0.3">
      <c r="A1065" s="1">
        <v>44451</v>
      </c>
      <c r="B1065" s="2" t="s">
        <v>466</v>
      </c>
      <c r="C1065" s="2" t="s">
        <v>115</v>
      </c>
      <c r="D1065" s="2" t="s">
        <v>28</v>
      </c>
      <c r="E1065" s="2" t="s">
        <v>34</v>
      </c>
      <c r="F1065" s="2">
        <v>15.22</v>
      </c>
      <c r="G1065" s="2">
        <v>1</v>
      </c>
      <c r="H1065" s="2">
        <v>2.2799999999999998</v>
      </c>
      <c r="I1065" t="str">
        <f t="shared" si="16"/>
        <v>Sep</v>
      </c>
      <c r="J1065">
        <f>YEAR(datas[[#This Row],[Order Date]])</f>
        <v>2021</v>
      </c>
    </row>
    <row r="1066" spans="1:10" ht="14.25" customHeight="1" x14ac:dyDescent="0.3">
      <c r="A1066" s="1">
        <v>44451</v>
      </c>
      <c r="B1066" s="2" t="s">
        <v>467</v>
      </c>
      <c r="C1066" s="2" t="s">
        <v>9</v>
      </c>
      <c r="D1066" s="2" t="s">
        <v>10</v>
      </c>
      <c r="E1066" s="2" t="s">
        <v>16</v>
      </c>
      <c r="F1066" s="2">
        <v>5.18</v>
      </c>
      <c r="G1066" s="2">
        <v>5</v>
      </c>
      <c r="H1066" s="2">
        <v>-8.0299999999999994</v>
      </c>
      <c r="I1066" t="str">
        <f t="shared" si="16"/>
        <v>Sep</v>
      </c>
      <c r="J1066">
        <f>YEAR(datas[[#This Row],[Order Date]])</f>
        <v>2021</v>
      </c>
    </row>
    <row r="1067" spans="1:10" ht="14.25" customHeight="1" x14ac:dyDescent="0.3">
      <c r="A1067" s="1">
        <v>44451</v>
      </c>
      <c r="B1067" s="2" t="s">
        <v>258</v>
      </c>
      <c r="C1067" s="2" t="s">
        <v>47</v>
      </c>
      <c r="D1067" s="2" t="s">
        <v>10</v>
      </c>
      <c r="E1067" s="2" t="s">
        <v>16</v>
      </c>
      <c r="F1067" s="2">
        <v>63.92</v>
      </c>
      <c r="G1067" s="2">
        <v>7</v>
      </c>
      <c r="H1067" s="2">
        <v>-46.88</v>
      </c>
      <c r="I1067" t="str">
        <f t="shared" si="16"/>
        <v>Sep</v>
      </c>
      <c r="J1067">
        <f>YEAR(datas[[#This Row],[Order Date]])</f>
        <v>2021</v>
      </c>
    </row>
    <row r="1068" spans="1:10" ht="14.25" customHeight="1" x14ac:dyDescent="0.3">
      <c r="A1068" s="1">
        <v>44451</v>
      </c>
      <c r="B1068" s="2" t="s">
        <v>468</v>
      </c>
      <c r="C1068" s="2" t="s">
        <v>469</v>
      </c>
      <c r="D1068" s="2" t="s">
        <v>10</v>
      </c>
      <c r="E1068" s="2" t="s">
        <v>95</v>
      </c>
      <c r="F1068" s="2">
        <v>357.93</v>
      </c>
      <c r="G1068" s="2">
        <v>3</v>
      </c>
      <c r="H1068" s="2">
        <v>7.16</v>
      </c>
      <c r="I1068" t="str">
        <f t="shared" si="16"/>
        <v>Sep</v>
      </c>
      <c r="J1068">
        <f>YEAR(datas[[#This Row],[Order Date]])</f>
        <v>2021</v>
      </c>
    </row>
    <row r="1069" spans="1:10" ht="14.25" customHeight="1" x14ac:dyDescent="0.3">
      <c r="A1069" s="1">
        <v>44451</v>
      </c>
      <c r="B1069" s="2" t="s">
        <v>468</v>
      </c>
      <c r="C1069" s="2" t="s">
        <v>469</v>
      </c>
      <c r="D1069" s="2" t="s">
        <v>28</v>
      </c>
      <c r="E1069" s="2" t="s">
        <v>34</v>
      </c>
      <c r="F1069" s="2">
        <v>57.4</v>
      </c>
      <c r="G1069" s="2">
        <v>5</v>
      </c>
      <c r="H1069" s="2">
        <v>10.91</v>
      </c>
      <c r="I1069" t="str">
        <f t="shared" si="16"/>
        <v>Sep</v>
      </c>
      <c r="J1069">
        <f>YEAR(datas[[#This Row],[Order Date]])</f>
        <v>2021</v>
      </c>
    </row>
    <row r="1070" spans="1:10" ht="14.25" customHeight="1" x14ac:dyDescent="0.3">
      <c r="A1070" s="1">
        <v>44451</v>
      </c>
      <c r="B1070" s="2" t="s">
        <v>468</v>
      </c>
      <c r="C1070" s="2" t="s">
        <v>469</v>
      </c>
      <c r="D1070" s="2" t="s">
        <v>10</v>
      </c>
      <c r="E1070" s="2" t="s">
        <v>16</v>
      </c>
      <c r="F1070" s="2">
        <v>331.96</v>
      </c>
      <c r="G1070" s="2">
        <v>2</v>
      </c>
      <c r="H1070" s="2">
        <v>149.38</v>
      </c>
      <c r="I1070" t="str">
        <f t="shared" si="16"/>
        <v>Sep</v>
      </c>
      <c r="J1070">
        <f>YEAR(datas[[#This Row],[Order Date]])</f>
        <v>2021</v>
      </c>
    </row>
    <row r="1071" spans="1:10" ht="14.25" customHeight="1" x14ac:dyDescent="0.3">
      <c r="A1071" s="1">
        <v>44451</v>
      </c>
      <c r="B1071" s="2" t="s">
        <v>468</v>
      </c>
      <c r="C1071" s="2" t="s">
        <v>469</v>
      </c>
      <c r="D1071" s="2" t="s">
        <v>26</v>
      </c>
      <c r="E1071" s="2" t="s">
        <v>32</v>
      </c>
      <c r="F1071" s="2">
        <v>40.56</v>
      </c>
      <c r="G1071" s="2">
        <v>2</v>
      </c>
      <c r="H1071" s="2">
        <v>12.98</v>
      </c>
      <c r="I1071" t="str">
        <f t="shared" si="16"/>
        <v>Sep</v>
      </c>
      <c r="J1071">
        <f>YEAR(datas[[#This Row],[Order Date]])</f>
        <v>2021</v>
      </c>
    </row>
    <row r="1072" spans="1:10" ht="14.25" customHeight="1" x14ac:dyDescent="0.3">
      <c r="A1072" s="1">
        <v>44451</v>
      </c>
      <c r="B1072" s="2" t="s">
        <v>470</v>
      </c>
      <c r="C1072" s="2" t="s">
        <v>75</v>
      </c>
      <c r="D1072" s="2" t="s">
        <v>26</v>
      </c>
      <c r="E1072" s="2" t="s">
        <v>27</v>
      </c>
      <c r="F1072" s="2">
        <v>3785.29</v>
      </c>
      <c r="G1072" s="2">
        <v>6</v>
      </c>
      <c r="H1072" s="2">
        <v>420.59</v>
      </c>
      <c r="I1072" t="str">
        <f t="shared" si="16"/>
        <v>Sep</v>
      </c>
      <c r="J1072">
        <f>YEAR(datas[[#This Row],[Order Date]])</f>
        <v>2021</v>
      </c>
    </row>
    <row r="1073" spans="1:10" ht="14.25" customHeight="1" x14ac:dyDescent="0.3">
      <c r="A1073" s="1">
        <v>44452</v>
      </c>
      <c r="B1073" s="2" t="s">
        <v>471</v>
      </c>
      <c r="C1073" s="2" t="s">
        <v>115</v>
      </c>
      <c r="D1073" s="2" t="s">
        <v>10</v>
      </c>
      <c r="E1073" s="2" t="s">
        <v>16</v>
      </c>
      <c r="F1073" s="2">
        <v>18.649999999999999</v>
      </c>
      <c r="G1073" s="2">
        <v>7</v>
      </c>
      <c r="H1073" s="2">
        <v>-12.43</v>
      </c>
      <c r="I1073" t="str">
        <f t="shared" si="16"/>
        <v>Sep</v>
      </c>
      <c r="J1073">
        <f>YEAR(datas[[#This Row],[Order Date]])</f>
        <v>2021</v>
      </c>
    </row>
    <row r="1074" spans="1:10" ht="14.25" customHeight="1" x14ac:dyDescent="0.3">
      <c r="A1074" s="1">
        <v>44452</v>
      </c>
      <c r="B1074" s="2" t="s">
        <v>472</v>
      </c>
      <c r="C1074" s="2" t="s">
        <v>18</v>
      </c>
      <c r="D1074" s="2" t="s">
        <v>10</v>
      </c>
      <c r="E1074" s="2" t="s">
        <v>11</v>
      </c>
      <c r="F1074" s="2">
        <v>15.55</v>
      </c>
      <c r="G1074" s="2">
        <v>3</v>
      </c>
      <c r="H1074" s="2">
        <v>5.44</v>
      </c>
      <c r="I1074" t="str">
        <f t="shared" si="16"/>
        <v>Sep</v>
      </c>
      <c r="J1074">
        <f>YEAR(datas[[#This Row],[Order Date]])</f>
        <v>2021</v>
      </c>
    </row>
    <row r="1075" spans="1:10" ht="14.25" customHeight="1" x14ac:dyDescent="0.3">
      <c r="A1075" s="1">
        <v>44452</v>
      </c>
      <c r="B1075" s="2" t="s">
        <v>472</v>
      </c>
      <c r="C1075" s="2" t="s">
        <v>18</v>
      </c>
      <c r="D1075" s="2" t="s">
        <v>28</v>
      </c>
      <c r="E1075" s="2" t="s">
        <v>34</v>
      </c>
      <c r="F1075" s="2">
        <v>252</v>
      </c>
      <c r="G1075" s="2">
        <v>5</v>
      </c>
      <c r="H1075" s="2">
        <v>53.55</v>
      </c>
      <c r="I1075" t="str">
        <f t="shared" si="16"/>
        <v>Sep</v>
      </c>
      <c r="J1075">
        <f>YEAR(datas[[#This Row],[Order Date]])</f>
        <v>2021</v>
      </c>
    </row>
    <row r="1076" spans="1:10" ht="14.25" customHeight="1" x14ac:dyDescent="0.3">
      <c r="A1076" s="1">
        <v>44452</v>
      </c>
      <c r="B1076" s="2" t="s">
        <v>352</v>
      </c>
      <c r="C1076" s="2" t="s">
        <v>75</v>
      </c>
      <c r="D1076" s="2" t="s">
        <v>10</v>
      </c>
      <c r="E1076" s="2" t="s">
        <v>19</v>
      </c>
      <c r="F1076" s="2">
        <v>5.46</v>
      </c>
      <c r="G1076" s="2">
        <v>3</v>
      </c>
      <c r="H1076" s="2">
        <v>1.47</v>
      </c>
      <c r="I1076" t="str">
        <f t="shared" si="16"/>
        <v>Sep</v>
      </c>
      <c r="J1076">
        <f>YEAR(datas[[#This Row],[Order Date]])</f>
        <v>2021</v>
      </c>
    </row>
    <row r="1077" spans="1:10" ht="14.25" customHeight="1" x14ac:dyDescent="0.3">
      <c r="A1077" s="1">
        <v>44452</v>
      </c>
      <c r="B1077" s="2" t="s">
        <v>473</v>
      </c>
      <c r="C1077" s="2" t="s">
        <v>55</v>
      </c>
      <c r="D1077" s="2" t="s">
        <v>10</v>
      </c>
      <c r="E1077" s="2" t="s">
        <v>15</v>
      </c>
      <c r="F1077" s="2">
        <v>79.400000000000006</v>
      </c>
      <c r="G1077" s="2">
        <v>5</v>
      </c>
      <c r="H1077" s="2">
        <v>5.96</v>
      </c>
      <c r="I1077" t="str">
        <f t="shared" si="16"/>
        <v>Sep</v>
      </c>
      <c r="J1077">
        <f>YEAR(datas[[#This Row],[Order Date]])</f>
        <v>2021</v>
      </c>
    </row>
    <row r="1078" spans="1:10" ht="14.25" customHeight="1" x14ac:dyDescent="0.3">
      <c r="A1078" s="1">
        <v>44452</v>
      </c>
      <c r="B1078" s="2" t="s">
        <v>356</v>
      </c>
      <c r="C1078" s="2" t="s">
        <v>9</v>
      </c>
      <c r="D1078" s="2" t="s">
        <v>26</v>
      </c>
      <c r="E1078" s="2" t="s">
        <v>27</v>
      </c>
      <c r="F1078" s="2">
        <v>340.12</v>
      </c>
      <c r="G1078" s="2">
        <v>6</v>
      </c>
      <c r="H1078" s="2">
        <v>-9.7200000000000006</v>
      </c>
      <c r="I1078" t="str">
        <f t="shared" si="16"/>
        <v>Sep</v>
      </c>
      <c r="J1078">
        <f>YEAR(datas[[#This Row],[Order Date]])</f>
        <v>2021</v>
      </c>
    </row>
    <row r="1079" spans="1:10" ht="14.25" customHeight="1" x14ac:dyDescent="0.3">
      <c r="A1079" s="1">
        <v>44452</v>
      </c>
      <c r="B1079" s="2" t="s">
        <v>422</v>
      </c>
      <c r="C1079" s="2" t="s">
        <v>47</v>
      </c>
      <c r="D1079" s="2" t="s">
        <v>10</v>
      </c>
      <c r="E1079" s="2" t="s">
        <v>16</v>
      </c>
      <c r="F1079" s="2">
        <v>2.5</v>
      </c>
      <c r="G1079" s="2">
        <v>3</v>
      </c>
      <c r="H1079" s="2">
        <v>-2</v>
      </c>
      <c r="I1079" t="str">
        <f t="shared" si="16"/>
        <v>Sep</v>
      </c>
      <c r="J1079">
        <f>YEAR(datas[[#This Row],[Order Date]])</f>
        <v>2021</v>
      </c>
    </row>
    <row r="1080" spans="1:10" ht="14.25" customHeight="1" x14ac:dyDescent="0.3">
      <c r="A1080" s="1">
        <v>44452</v>
      </c>
      <c r="B1080" s="2" t="s">
        <v>285</v>
      </c>
      <c r="C1080" s="2" t="s">
        <v>82</v>
      </c>
      <c r="D1080" s="2" t="s">
        <v>10</v>
      </c>
      <c r="E1080" s="2" t="s">
        <v>30</v>
      </c>
      <c r="F1080" s="2">
        <v>5.7</v>
      </c>
      <c r="G1080" s="2">
        <v>5</v>
      </c>
      <c r="H1080" s="2">
        <v>2.68</v>
      </c>
      <c r="I1080" t="str">
        <f t="shared" si="16"/>
        <v>Sep</v>
      </c>
      <c r="J1080">
        <f>YEAR(datas[[#This Row],[Order Date]])</f>
        <v>2021</v>
      </c>
    </row>
    <row r="1081" spans="1:10" ht="14.25" customHeight="1" x14ac:dyDescent="0.3">
      <c r="A1081" s="1">
        <v>44452</v>
      </c>
      <c r="B1081" s="2" t="s">
        <v>285</v>
      </c>
      <c r="C1081" s="2" t="s">
        <v>82</v>
      </c>
      <c r="D1081" s="2" t="s">
        <v>26</v>
      </c>
      <c r="E1081" s="2" t="s">
        <v>32</v>
      </c>
      <c r="F1081" s="2">
        <v>14.19</v>
      </c>
      <c r="G1081" s="2">
        <v>3</v>
      </c>
      <c r="H1081" s="2">
        <v>5.53</v>
      </c>
      <c r="I1081" t="str">
        <f t="shared" si="16"/>
        <v>Sep</v>
      </c>
      <c r="J1081">
        <f>YEAR(datas[[#This Row],[Order Date]])</f>
        <v>2021</v>
      </c>
    </row>
    <row r="1082" spans="1:10" ht="14.25" customHeight="1" x14ac:dyDescent="0.3">
      <c r="A1082" s="1">
        <v>44452</v>
      </c>
      <c r="B1082" s="2" t="s">
        <v>285</v>
      </c>
      <c r="C1082" s="2" t="s">
        <v>82</v>
      </c>
      <c r="D1082" s="2" t="s">
        <v>10</v>
      </c>
      <c r="E1082" s="2" t="s">
        <v>95</v>
      </c>
      <c r="F1082" s="2">
        <v>7.3</v>
      </c>
      <c r="G1082" s="2">
        <v>2</v>
      </c>
      <c r="H1082" s="2">
        <v>2.19</v>
      </c>
      <c r="I1082" t="str">
        <f t="shared" si="16"/>
        <v>Sep</v>
      </c>
      <c r="J1082">
        <f>YEAR(datas[[#This Row],[Order Date]])</f>
        <v>2021</v>
      </c>
    </row>
    <row r="1083" spans="1:10" ht="14.25" customHeight="1" x14ac:dyDescent="0.3">
      <c r="A1083" s="1">
        <v>44452</v>
      </c>
      <c r="B1083" s="2" t="s">
        <v>285</v>
      </c>
      <c r="C1083" s="2" t="s">
        <v>82</v>
      </c>
      <c r="D1083" s="2" t="s">
        <v>28</v>
      </c>
      <c r="E1083" s="2" t="s">
        <v>34</v>
      </c>
      <c r="F1083" s="2">
        <v>199.98</v>
      </c>
      <c r="G1083" s="2">
        <v>2</v>
      </c>
      <c r="H1083" s="2">
        <v>75.989999999999995</v>
      </c>
      <c r="I1083" t="str">
        <f t="shared" si="16"/>
        <v>Sep</v>
      </c>
      <c r="J1083">
        <f>YEAR(datas[[#This Row],[Order Date]])</f>
        <v>2021</v>
      </c>
    </row>
    <row r="1084" spans="1:10" ht="14.25" customHeight="1" x14ac:dyDescent="0.3">
      <c r="A1084" s="1">
        <v>44452</v>
      </c>
      <c r="B1084" s="2" t="s">
        <v>285</v>
      </c>
      <c r="C1084" s="2" t="s">
        <v>82</v>
      </c>
      <c r="D1084" s="2" t="s">
        <v>28</v>
      </c>
      <c r="E1084" s="2" t="s">
        <v>34</v>
      </c>
      <c r="F1084" s="2">
        <v>144.96</v>
      </c>
      <c r="G1084" s="2">
        <v>4</v>
      </c>
      <c r="H1084" s="2">
        <v>60.88</v>
      </c>
      <c r="I1084" t="str">
        <f t="shared" si="16"/>
        <v>Sep</v>
      </c>
      <c r="J1084">
        <f>YEAR(datas[[#This Row],[Order Date]])</f>
        <v>2021</v>
      </c>
    </row>
    <row r="1085" spans="1:10" ht="14.25" customHeight="1" x14ac:dyDescent="0.3">
      <c r="A1085" s="1">
        <v>44452</v>
      </c>
      <c r="B1085" s="2" t="s">
        <v>285</v>
      </c>
      <c r="C1085" s="2" t="s">
        <v>82</v>
      </c>
      <c r="D1085" s="2" t="s">
        <v>28</v>
      </c>
      <c r="E1085" s="2" t="s">
        <v>34</v>
      </c>
      <c r="F1085" s="2">
        <v>118</v>
      </c>
      <c r="G1085" s="2">
        <v>2</v>
      </c>
      <c r="H1085" s="2">
        <v>20.059999999999999</v>
      </c>
      <c r="I1085" t="str">
        <f t="shared" si="16"/>
        <v>Sep</v>
      </c>
      <c r="J1085">
        <f>YEAR(datas[[#This Row],[Order Date]])</f>
        <v>2021</v>
      </c>
    </row>
    <row r="1086" spans="1:10" ht="14.25" customHeight="1" x14ac:dyDescent="0.3">
      <c r="A1086" s="1">
        <v>44452</v>
      </c>
      <c r="B1086" s="2" t="s">
        <v>285</v>
      </c>
      <c r="C1086" s="2" t="s">
        <v>82</v>
      </c>
      <c r="D1086" s="2" t="s">
        <v>10</v>
      </c>
      <c r="E1086" s="2" t="s">
        <v>11</v>
      </c>
      <c r="F1086" s="2">
        <v>48.94</v>
      </c>
      <c r="G1086" s="2">
        <v>1</v>
      </c>
      <c r="H1086" s="2">
        <v>24.47</v>
      </c>
      <c r="I1086" t="str">
        <f t="shared" si="16"/>
        <v>Sep</v>
      </c>
      <c r="J1086">
        <f>YEAR(datas[[#This Row],[Order Date]])</f>
        <v>2021</v>
      </c>
    </row>
    <row r="1087" spans="1:10" ht="14.25" customHeight="1" x14ac:dyDescent="0.3">
      <c r="A1087" s="1">
        <v>44452</v>
      </c>
      <c r="B1087" s="2" t="s">
        <v>285</v>
      </c>
      <c r="C1087" s="2" t="s">
        <v>82</v>
      </c>
      <c r="D1087" s="2" t="s">
        <v>10</v>
      </c>
      <c r="E1087" s="2" t="s">
        <v>53</v>
      </c>
      <c r="F1087" s="2">
        <v>22.66</v>
      </c>
      <c r="G1087" s="2">
        <v>2</v>
      </c>
      <c r="H1087" s="2">
        <v>9.74</v>
      </c>
      <c r="I1087" t="str">
        <f t="shared" si="16"/>
        <v>Sep</v>
      </c>
      <c r="J1087">
        <f>YEAR(datas[[#This Row],[Order Date]])</f>
        <v>2021</v>
      </c>
    </row>
    <row r="1088" spans="1:10" ht="14.25" customHeight="1" x14ac:dyDescent="0.3">
      <c r="A1088" s="1">
        <v>44453</v>
      </c>
      <c r="B1088" s="2" t="s">
        <v>474</v>
      </c>
      <c r="C1088" s="2" t="s">
        <v>13</v>
      </c>
      <c r="D1088" s="2" t="s">
        <v>10</v>
      </c>
      <c r="E1088" s="2" t="s">
        <v>53</v>
      </c>
      <c r="F1088" s="2">
        <v>52.45</v>
      </c>
      <c r="G1088" s="2">
        <v>2</v>
      </c>
      <c r="H1088" s="2">
        <v>-131.12</v>
      </c>
      <c r="I1088" t="str">
        <f t="shared" si="16"/>
        <v>Sep</v>
      </c>
      <c r="J1088">
        <f>YEAR(datas[[#This Row],[Order Date]])</f>
        <v>2021</v>
      </c>
    </row>
    <row r="1089" spans="1:10" ht="14.25" customHeight="1" x14ac:dyDescent="0.3">
      <c r="A1089" s="1">
        <v>44453</v>
      </c>
      <c r="B1089" s="2" t="s">
        <v>474</v>
      </c>
      <c r="C1089" s="2" t="s">
        <v>13</v>
      </c>
      <c r="D1089" s="2" t="s">
        <v>10</v>
      </c>
      <c r="E1089" s="2" t="s">
        <v>14</v>
      </c>
      <c r="F1089" s="2">
        <v>20.16</v>
      </c>
      <c r="G1089" s="2">
        <v>4</v>
      </c>
      <c r="H1089" s="2">
        <v>6.55</v>
      </c>
      <c r="I1089" t="str">
        <f t="shared" si="16"/>
        <v>Sep</v>
      </c>
      <c r="J1089">
        <f>YEAR(datas[[#This Row],[Order Date]])</f>
        <v>2021</v>
      </c>
    </row>
    <row r="1090" spans="1:10" ht="14.25" customHeight="1" x14ac:dyDescent="0.3">
      <c r="A1090" s="1">
        <v>44453</v>
      </c>
      <c r="B1090" s="2" t="s">
        <v>475</v>
      </c>
      <c r="C1090" s="2" t="s">
        <v>75</v>
      </c>
      <c r="D1090" s="2" t="s">
        <v>10</v>
      </c>
      <c r="E1090" s="2" t="s">
        <v>15</v>
      </c>
      <c r="F1090" s="2">
        <v>449.15</v>
      </c>
      <c r="G1090" s="2">
        <v>5</v>
      </c>
      <c r="H1090" s="2">
        <v>8.98</v>
      </c>
      <c r="I1090" t="str">
        <f t="shared" si="16"/>
        <v>Sep</v>
      </c>
      <c r="J1090">
        <f>YEAR(datas[[#This Row],[Order Date]])</f>
        <v>2021</v>
      </c>
    </row>
    <row r="1091" spans="1:10" ht="14.25" customHeight="1" x14ac:dyDescent="0.3">
      <c r="A1091" s="1">
        <v>44453</v>
      </c>
      <c r="B1091" s="2" t="s">
        <v>475</v>
      </c>
      <c r="C1091" s="2" t="s">
        <v>75</v>
      </c>
      <c r="D1091" s="2" t="s">
        <v>10</v>
      </c>
      <c r="E1091" s="2" t="s">
        <v>41</v>
      </c>
      <c r="F1091" s="2">
        <v>11.07</v>
      </c>
      <c r="G1091" s="2">
        <v>3</v>
      </c>
      <c r="H1091" s="2">
        <v>5.09</v>
      </c>
      <c r="I1091" t="str">
        <f t="shared" ref="I1091:I1154" si="17">TEXT(A1091,"mmm")</f>
        <v>Sep</v>
      </c>
      <c r="J1091">
        <f>YEAR(datas[[#This Row],[Order Date]])</f>
        <v>2021</v>
      </c>
    </row>
    <row r="1092" spans="1:10" ht="14.25" customHeight="1" x14ac:dyDescent="0.3">
      <c r="A1092" s="1">
        <v>44453</v>
      </c>
      <c r="B1092" s="2" t="s">
        <v>341</v>
      </c>
      <c r="C1092" s="2" t="s">
        <v>64</v>
      </c>
      <c r="D1092" s="2" t="s">
        <v>10</v>
      </c>
      <c r="E1092" s="2" t="s">
        <v>53</v>
      </c>
      <c r="F1092" s="2">
        <v>13</v>
      </c>
      <c r="G1092" s="2">
        <v>5</v>
      </c>
      <c r="H1092" s="2">
        <v>1.3</v>
      </c>
      <c r="I1092" t="str">
        <f t="shared" si="17"/>
        <v>Sep</v>
      </c>
      <c r="J1092">
        <f>YEAR(datas[[#This Row],[Order Date]])</f>
        <v>2021</v>
      </c>
    </row>
    <row r="1093" spans="1:10" ht="14.25" customHeight="1" x14ac:dyDescent="0.3">
      <c r="A1093" s="1">
        <v>44453</v>
      </c>
      <c r="B1093" s="2" t="s">
        <v>341</v>
      </c>
      <c r="C1093" s="2" t="s">
        <v>64</v>
      </c>
      <c r="D1093" s="2" t="s">
        <v>26</v>
      </c>
      <c r="E1093" s="2" t="s">
        <v>32</v>
      </c>
      <c r="F1093" s="2">
        <v>13.13</v>
      </c>
      <c r="G1093" s="2">
        <v>3</v>
      </c>
      <c r="H1093" s="2">
        <v>3.77</v>
      </c>
      <c r="I1093" t="str">
        <f t="shared" si="17"/>
        <v>Sep</v>
      </c>
      <c r="J1093">
        <f>YEAR(datas[[#This Row],[Order Date]])</f>
        <v>2021</v>
      </c>
    </row>
    <row r="1094" spans="1:10" ht="14.25" customHeight="1" x14ac:dyDescent="0.3">
      <c r="A1094" s="1">
        <v>44453</v>
      </c>
      <c r="B1094" s="2" t="s">
        <v>476</v>
      </c>
      <c r="C1094" s="2" t="s">
        <v>23</v>
      </c>
      <c r="D1094" s="2" t="s">
        <v>26</v>
      </c>
      <c r="E1094" s="2" t="s">
        <v>32</v>
      </c>
      <c r="F1094" s="2">
        <v>142.4</v>
      </c>
      <c r="G1094" s="2">
        <v>5</v>
      </c>
      <c r="H1094" s="2">
        <v>52.69</v>
      </c>
      <c r="I1094" t="str">
        <f t="shared" si="17"/>
        <v>Sep</v>
      </c>
      <c r="J1094">
        <f>YEAR(datas[[#This Row],[Order Date]])</f>
        <v>2021</v>
      </c>
    </row>
    <row r="1095" spans="1:10" ht="14.25" customHeight="1" x14ac:dyDescent="0.3">
      <c r="A1095" s="1">
        <v>44453</v>
      </c>
      <c r="B1095" s="2" t="s">
        <v>476</v>
      </c>
      <c r="C1095" s="2" t="s">
        <v>23</v>
      </c>
      <c r="D1095" s="2" t="s">
        <v>10</v>
      </c>
      <c r="E1095" s="2" t="s">
        <v>16</v>
      </c>
      <c r="F1095" s="2">
        <v>7.16</v>
      </c>
      <c r="G1095" s="2">
        <v>2</v>
      </c>
      <c r="H1095" s="2">
        <v>3.44</v>
      </c>
      <c r="I1095" t="str">
        <f t="shared" si="17"/>
        <v>Sep</v>
      </c>
      <c r="J1095">
        <f>YEAR(datas[[#This Row],[Order Date]])</f>
        <v>2021</v>
      </c>
    </row>
    <row r="1096" spans="1:10" ht="14.25" customHeight="1" x14ac:dyDescent="0.3">
      <c r="A1096" s="1">
        <v>44453</v>
      </c>
      <c r="B1096" s="2" t="s">
        <v>477</v>
      </c>
      <c r="C1096" s="2" t="s">
        <v>75</v>
      </c>
      <c r="D1096" s="2" t="s">
        <v>26</v>
      </c>
      <c r="E1096" s="2" t="s">
        <v>73</v>
      </c>
      <c r="F1096" s="2">
        <v>464.29</v>
      </c>
      <c r="G1096" s="2">
        <v>9</v>
      </c>
      <c r="H1096" s="2">
        <v>-108.33</v>
      </c>
      <c r="I1096" t="str">
        <f t="shared" si="17"/>
        <v>Sep</v>
      </c>
      <c r="J1096">
        <f>YEAR(datas[[#This Row],[Order Date]])</f>
        <v>2021</v>
      </c>
    </row>
    <row r="1097" spans="1:10" ht="14.25" customHeight="1" x14ac:dyDescent="0.3">
      <c r="A1097" s="1">
        <v>44453</v>
      </c>
      <c r="B1097" s="2" t="s">
        <v>477</v>
      </c>
      <c r="C1097" s="2" t="s">
        <v>75</v>
      </c>
      <c r="D1097" s="2" t="s">
        <v>10</v>
      </c>
      <c r="E1097" s="2" t="s">
        <v>41</v>
      </c>
      <c r="F1097" s="2">
        <v>68.459999999999994</v>
      </c>
      <c r="G1097" s="2">
        <v>7</v>
      </c>
      <c r="H1097" s="2">
        <v>31.49</v>
      </c>
      <c r="I1097" t="str">
        <f t="shared" si="17"/>
        <v>Sep</v>
      </c>
      <c r="J1097">
        <f>YEAR(datas[[#This Row],[Order Date]])</f>
        <v>2021</v>
      </c>
    </row>
    <row r="1098" spans="1:10" ht="14.25" customHeight="1" x14ac:dyDescent="0.3">
      <c r="A1098" s="1">
        <v>44453</v>
      </c>
      <c r="B1098" s="2" t="s">
        <v>477</v>
      </c>
      <c r="C1098" s="2" t="s">
        <v>75</v>
      </c>
      <c r="D1098" s="2" t="s">
        <v>28</v>
      </c>
      <c r="E1098" s="2" t="s">
        <v>136</v>
      </c>
      <c r="F1098" s="2">
        <v>2799.96</v>
      </c>
      <c r="G1098" s="2">
        <v>4</v>
      </c>
      <c r="H1098" s="2">
        <v>1371.98</v>
      </c>
      <c r="I1098" t="str">
        <f t="shared" si="17"/>
        <v>Sep</v>
      </c>
      <c r="J1098">
        <f>YEAR(datas[[#This Row],[Order Date]])</f>
        <v>2021</v>
      </c>
    </row>
    <row r="1099" spans="1:10" ht="14.25" customHeight="1" x14ac:dyDescent="0.3">
      <c r="A1099" s="1">
        <v>44453</v>
      </c>
      <c r="B1099" s="2" t="s">
        <v>477</v>
      </c>
      <c r="C1099" s="2" t="s">
        <v>75</v>
      </c>
      <c r="D1099" s="2" t="s">
        <v>10</v>
      </c>
      <c r="E1099" s="2" t="s">
        <v>53</v>
      </c>
      <c r="F1099" s="2">
        <v>601.29999999999995</v>
      </c>
      <c r="G1099" s="2">
        <v>2</v>
      </c>
      <c r="H1099" s="2">
        <v>198.43</v>
      </c>
      <c r="I1099" t="str">
        <f t="shared" si="17"/>
        <v>Sep</v>
      </c>
      <c r="J1099">
        <f>YEAR(datas[[#This Row],[Order Date]])</f>
        <v>2021</v>
      </c>
    </row>
    <row r="1100" spans="1:10" ht="14.25" customHeight="1" x14ac:dyDescent="0.3">
      <c r="A1100" s="1">
        <v>44453</v>
      </c>
      <c r="B1100" s="2" t="s">
        <v>477</v>
      </c>
      <c r="C1100" s="2" t="s">
        <v>75</v>
      </c>
      <c r="D1100" s="2" t="s">
        <v>28</v>
      </c>
      <c r="E1100" s="2" t="s">
        <v>29</v>
      </c>
      <c r="F1100" s="2">
        <v>16.989999999999998</v>
      </c>
      <c r="G1100" s="2">
        <v>1</v>
      </c>
      <c r="H1100" s="2">
        <v>4.42</v>
      </c>
      <c r="I1100" t="str">
        <f t="shared" si="17"/>
        <v>Sep</v>
      </c>
      <c r="J1100">
        <f>YEAR(datas[[#This Row],[Order Date]])</f>
        <v>2021</v>
      </c>
    </row>
    <row r="1101" spans="1:10" ht="14.25" customHeight="1" x14ac:dyDescent="0.3">
      <c r="A1101" s="1">
        <v>44453</v>
      </c>
      <c r="B1101" s="2" t="s">
        <v>477</v>
      </c>
      <c r="C1101" s="2" t="s">
        <v>75</v>
      </c>
      <c r="D1101" s="2" t="s">
        <v>28</v>
      </c>
      <c r="E1101" s="2" t="s">
        <v>29</v>
      </c>
      <c r="F1101" s="2">
        <v>287.97000000000003</v>
      </c>
      <c r="G1101" s="2">
        <v>3</v>
      </c>
      <c r="H1101" s="2">
        <v>80.63</v>
      </c>
      <c r="I1101" t="str">
        <f t="shared" si="17"/>
        <v>Sep</v>
      </c>
      <c r="J1101">
        <f>YEAR(datas[[#This Row],[Order Date]])</f>
        <v>2021</v>
      </c>
    </row>
    <row r="1102" spans="1:10" ht="14.25" customHeight="1" x14ac:dyDescent="0.3">
      <c r="A1102" s="1">
        <v>44453</v>
      </c>
      <c r="B1102" s="2" t="s">
        <v>477</v>
      </c>
      <c r="C1102" s="2" t="s">
        <v>75</v>
      </c>
      <c r="D1102" s="2" t="s">
        <v>10</v>
      </c>
      <c r="E1102" s="2" t="s">
        <v>11</v>
      </c>
      <c r="F1102" s="2">
        <v>44.82</v>
      </c>
      <c r="G1102" s="2">
        <v>9</v>
      </c>
      <c r="H1102" s="2">
        <v>21.07</v>
      </c>
      <c r="I1102" t="str">
        <f t="shared" si="17"/>
        <v>Sep</v>
      </c>
      <c r="J1102">
        <f>YEAR(datas[[#This Row],[Order Date]])</f>
        <v>2021</v>
      </c>
    </row>
    <row r="1103" spans="1:10" ht="14.25" customHeight="1" x14ac:dyDescent="0.3">
      <c r="A1103" s="1">
        <v>44453</v>
      </c>
      <c r="B1103" s="2" t="s">
        <v>194</v>
      </c>
      <c r="C1103" s="2" t="s">
        <v>9</v>
      </c>
      <c r="D1103" s="2" t="s">
        <v>10</v>
      </c>
      <c r="E1103" s="2" t="s">
        <v>30</v>
      </c>
      <c r="F1103" s="2">
        <v>6.05</v>
      </c>
      <c r="G1103" s="2">
        <v>4</v>
      </c>
      <c r="H1103" s="2">
        <v>-1.36</v>
      </c>
      <c r="I1103" t="str">
        <f t="shared" si="17"/>
        <v>Sep</v>
      </c>
      <c r="J1103">
        <f>YEAR(datas[[#This Row],[Order Date]])</f>
        <v>2021</v>
      </c>
    </row>
    <row r="1104" spans="1:10" ht="14.25" customHeight="1" x14ac:dyDescent="0.3">
      <c r="A1104" s="1">
        <v>44453</v>
      </c>
      <c r="B1104" s="2" t="s">
        <v>194</v>
      </c>
      <c r="C1104" s="2" t="s">
        <v>9</v>
      </c>
      <c r="D1104" s="2" t="s">
        <v>10</v>
      </c>
      <c r="E1104" s="2" t="s">
        <v>11</v>
      </c>
      <c r="F1104" s="2">
        <v>6.85</v>
      </c>
      <c r="G1104" s="2">
        <v>2</v>
      </c>
      <c r="H1104" s="2">
        <v>2.14</v>
      </c>
      <c r="I1104" t="str">
        <f t="shared" si="17"/>
        <v>Sep</v>
      </c>
      <c r="J1104">
        <f>YEAR(datas[[#This Row],[Order Date]])</f>
        <v>2021</v>
      </c>
    </row>
    <row r="1105" spans="1:10" ht="14.25" customHeight="1" x14ac:dyDescent="0.3">
      <c r="A1105" s="1">
        <v>44453</v>
      </c>
      <c r="B1105" s="2" t="s">
        <v>194</v>
      </c>
      <c r="C1105" s="2" t="s">
        <v>9</v>
      </c>
      <c r="D1105" s="2" t="s">
        <v>26</v>
      </c>
      <c r="E1105" s="2" t="s">
        <v>32</v>
      </c>
      <c r="F1105" s="2">
        <v>9.9600000000000009</v>
      </c>
      <c r="G1105" s="2">
        <v>5</v>
      </c>
      <c r="H1105" s="2">
        <v>-6.72</v>
      </c>
      <c r="I1105" t="str">
        <f t="shared" si="17"/>
        <v>Sep</v>
      </c>
      <c r="J1105">
        <f>YEAR(datas[[#This Row],[Order Date]])</f>
        <v>2021</v>
      </c>
    </row>
    <row r="1106" spans="1:10" ht="14.25" customHeight="1" x14ac:dyDescent="0.3">
      <c r="A1106" s="1">
        <v>44453</v>
      </c>
      <c r="B1106" s="2" t="s">
        <v>194</v>
      </c>
      <c r="C1106" s="2" t="s">
        <v>9</v>
      </c>
      <c r="D1106" s="2" t="s">
        <v>10</v>
      </c>
      <c r="E1106" s="2" t="s">
        <v>16</v>
      </c>
      <c r="F1106" s="2">
        <v>8.5500000000000007</v>
      </c>
      <c r="G1106" s="2">
        <v>2</v>
      </c>
      <c r="H1106" s="2">
        <v>-13.68</v>
      </c>
      <c r="I1106" t="str">
        <f t="shared" si="17"/>
        <v>Sep</v>
      </c>
      <c r="J1106">
        <f>YEAR(datas[[#This Row],[Order Date]])</f>
        <v>2021</v>
      </c>
    </row>
    <row r="1107" spans="1:10" ht="14.25" customHeight="1" x14ac:dyDescent="0.3">
      <c r="A1107" s="1">
        <v>44454</v>
      </c>
      <c r="B1107" s="2" t="s">
        <v>478</v>
      </c>
      <c r="C1107" s="2" t="s">
        <v>18</v>
      </c>
      <c r="D1107" s="2" t="s">
        <v>26</v>
      </c>
      <c r="E1107" s="2" t="s">
        <v>32</v>
      </c>
      <c r="F1107" s="2">
        <v>103.94</v>
      </c>
      <c r="G1107" s="2">
        <v>4</v>
      </c>
      <c r="H1107" s="2">
        <v>16.89</v>
      </c>
      <c r="I1107" t="str">
        <f t="shared" si="17"/>
        <v>Sep</v>
      </c>
      <c r="J1107">
        <f>YEAR(datas[[#This Row],[Order Date]])</f>
        <v>2021</v>
      </c>
    </row>
    <row r="1108" spans="1:10" ht="14.25" customHeight="1" x14ac:dyDescent="0.3">
      <c r="A1108" s="1">
        <v>44454</v>
      </c>
      <c r="B1108" s="2" t="s">
        <v>175</v>
      </c>
      <c r="C1108" s="2" t="s">
        <v>75</v>
      </c>
      <c r="D1108" s="2" t="s">
        <v>10</v>
      </c>
      <c r="E1108" s="2" t="s">
        <v>11</v>
      </c>
      <c r="F1108" s="2">
        <v>14.94</v>
      </c>
      <c r="G1108" s="2">
        <v>3</v>
      </c>
      <c r="H1108" s="2">
        <v>7.02</v>
      </c>
      <c r="I1108" t="str">
        <f t="shared" si="17"/>
        <v>Sep</v>
      </c>
      <c r="J1108">
        <f>YEAR(datas[[#This Row],[Order Date]])</f>
        <v>2021</v>
      </c>
    </row>
    <row r="1109" spans="1:10" ht="14.25" customHeight="1" x14ac:dyDescent="0.3">
      <c r="A1109" s="1">
        <v>44454</v>
      </c>
      <c r="B1109" s="2" t="s">
        <v>175</v>
      </c>
      <c r="C1109" s="2" t="s">
        <v>75</v>
      </c>
      <c r="D1109" s="2" t="s">
        <v>26</v>
      </c>
      <c r="E1109" s="2" t="s">
        <v>32</v>
      </c>
      <c r="F1109" s="2">
        <v>14.56</v>
      </c>
      <c r="G1109" s="2">
        <v>2</v>
      </c>
      <c r="H1109" s="2">
        <v>6.26</v>
      </c>
      <c r="I1109" t="str">
        <f t="shared" si="17"/>
        <v>Sep</v>
      </c>
      <c r="J1109">
        <f>YEAR(datas[[#This Row],[Order Date]])</f>
        <v>2021</v>
      </c>
    </row>
    <row r="1110" spans="1:10" ht="14.25" customHeight="1" x14ac:dyDescent="0.3">
      <c r="A1110" s="1">
        <v>44455</v>
      </c>
      <c r="B1110" s="2" t="s">
        <v>277</v>
      </c>
      <c r="C1110" s="2" t="s">
        <v>75</v>
      </c>
      <c r="D1110" s="2" t="s">
        <v>10</v>
      </c>
      <c r="E1110" s="2" t="s">
        <v>16</v>
      </c>
      <c r="F1110" s="2">
        <v>33.549999999999997</v>
      </c>
      <c r="G1110" s="2">
        <v>1</v>
      </c>
      <c r="H1110" s="2">
        <v>12.58</v>
      </c>
      <c r="I1110" t="str">
        <f t="shared" si="17"/>
        <v>Sep</v>
      </c>
      <c r="J1110">
        <f>YEAR(datas[[#This Row],[Order Date]])</f>
        <v>2021</v>
      </c>
    </row>
    <row r="1111" spans="1:10" ht="14.25" customHeight="1" x14ac:dyDescent="0.3">
      <c r="A1111" s="1">
        <v>44456</v>
      </c>
      <c r="B1111" s="2" t="s">
        <v>479</v>
      </c>
      <c r="C1111" s="2" t="s">
        <v>18</v>
      </c>
      <c r="D1111" s="2" t="s">
        <v>10</v>
      </c>
      <c r="E1111" s="2" t="s">
        <v>16</v>
      </c>
      <c r="F1111" s="2">
        <v>5.89</v>
      </c>
      <c r="G1111" s="2">
        <v>4</v>
      </c>
      <c r="H1111" s="2">
        <v>-4.12</v>
      </c>
      <c r="I1111" t="str">
        <f t="shared" si="17"/>
        <v>Sep</v>
      </c>
      <c r="J1111">
        <f>YEAR(datas[[#This Row],[Order Date]])</f>
        <v>2021</v>
      </c>
    </row>
    <row r="1112" spans="1:10" ht="14.25" customHeight="1" x14ac:dyDescent="0.3">
      <c r="A1112" s="1">
        <v>44456</v>
      </c>
      <c r="B1112" s="2" t="s">
        <v>458</v>
      </c>
      <c r="C1112" s="2" t="s">
        <v>115</v>
      </c>
      <c r="D1112" s="2" t="s">
        <v>28</v>
      </c>
      <c r="E1112" s="2" t="s">
        <v>34</v>
      </c>
      <c r="F1112" s="2">
        <v>47.98</v>
      </c>
      <c r="G1112" s="2">
        <v>2</v>
      </c>
      <c r="H1112" s="2">
        <v>13.2</v>
      </c>
      <c r="I1112" t="str">
        <f t="shared" si="17"/>
        <v>Sep</v>
      </c>
      <c r="J1112">
        <f>YEAR(datas[[#This Row],[Order Date]])</f>
        <v>2021</v>
      </c>
    </row>
    <row r="1113" spans="1:10" ht="14.25" customHeight="1" x14ac:dyDescent="0.3">
      <c r="A1113" s="1">
        <v>44456</v>
      </c>
      <c r="B1113" s="2" t="s">
        <v>458</v>
      </c>
      <c r="C1113" s="2" t="s">
        <v>115</v>
      </c>
      <c r="D1113" s="2" t="s">
        <v>10</v>
      </c>
      <c r="E1113" s="2" t="s">
        <v>11</v>
      </c>
      <c r="F1113" s="2">
        <v>4.62</v>
      </c>
      <c r="G1113" s="2">
        <v>1</v>
      </c>
      <c r="H1113" s="2">
        <v>1.68</v>
      </c>
      <c r="I1113" t="str">
        <f t="shared" si="17"/>
        <v>Sep</v>
      </c>
      <c r="J1113">
        <f>YEAR(datas[[#This Row],[Order Date]])</f>
        <v>2021</v>
      </c>
    </row>
    <row r="1114" spans="1:10" ht="14.25" customHeight="1" x14ac:dyDescent="0.3">
      <c r="A1114" s="1">
        <v>44456</v>
      </c>
      <c r="B1114" s="2" t="s">
        <v>139</v>
      </c>
      <c r="C1114" s="2" t="s">
        <v>82</v>
      </c>
      <c r="D1114" s="2" t="s">
        <v>10</v>
      </c>
      <c r="E1114" s="2" t="s">
        <v>15</v>
      </c>
      <c r="F1114" s="2">
        <v>30.28</v>
      </c>
      <c r="G1114" s="2">
        <v>2</v>
      </c>
      <c r="H1114" s="2">
        <v>1.21</v>
      </c>
      <c r="I1114" t="str">
        <f t="shared" si="17"/>
        <v>Sep</v>
      </c>
      <c r="J1114">
        <f>YEAR(datas[[#This Row],[Order Date]])</f>
        <v>2021</v>
      </c>
    </row>
    <row r="1115" spans="1:10" ht="14.25" customHeight="1" x14ac:dyDescent="0.3">
      <c r="A1115" s="1">
        <v>44456</v>
      </c>
      <c r="B1115" s="2" t="s">
        <v>139</v>
      </c>
      <c r="C1115" s="2" t="s">
        <v>82</v>
      </c>
      <c r="D1115" s="2" t="s">
        <v>10</v>
      </c>
      <c r="E1115" s="2" t="s">
        <v>15</v>
      </c>
      <c r="F1115" s="2">
        <v>57.93</v>
      </c>
      <c r="G1115" s="2">
        <v>3</v>
      </c>
      <c r="H1115" s="2">
        <v>16.22</v>
      </c>
      <c r="I1115" t="str">
        <f t="shared" si="17"/>
        <v>Sep</v>
      </c>
      <c r="J1115">
        <f>YEAR(datas[[#This Row],[Order Date]])</f>
        <v>2021</v>
      </c>
    </row>
    <row r="1116" spans="1:10" ht="14.25" customHeight="1" x14ac:dyDescent="0.3">
      <c r="A1116" s="1">
        <v>44456</v>
      </c>
      <c r="B1116" s="2" t="s">
        <v>139</v>
      </c>
      <c r="C1116" s="2" t="s">
        <v>82</v>
      </c>
      <c r="D1116" s="2" t="s">
        <v>26</v>
      </c>
      <c r="E1116" s="2" t="s">
        <v>32</v>
      </c>
      <c r="F1116" s="2">
        <v>35.340000000000003</v>
      </c>
      <c r="G1116" s="2">
        <v>2</v>
      </c>
      <c r="H1116" s="2">
        <v>13.43</v>
      </c>
      <c r="I1116" t="str">
        <f t="shared" si="17"/>
        <v>Sep</v>
      </c>
      <c r="J1116">
        <f>YEAR(datas[[#This Row],[Order Date]])</f>
        <v>2021</v>
      </c>
    </row>
    <row r="1117" spans="1:10" ht="14.25" customHeight="1" x14ac:dyDescent="0.3">
      <c r="A1117" s="1">
        <v>44456</v>
      </c>
      <c r="B1117" s="2" t="s">
        <v>139</v>
      </c>
      <c r="C1117" s="2" t="s">
        <v>82</v>
      </c>
      <c r="D1117" s="2" t="s">
        <v>10</v>
      </c>
      <c r="E1117" s="2" t="s">
        <v>16</v>
      </c>
      <c r="F1117" s="2">
        <v>137.24</v>
      </c>
      <c r="G1117" s="2">
        <v>5</v>
      </c>
      <c r="H1117" s="2">
        <v>46.32</v>
      </c>
      <c r="I1117" t="str">
        <f t="shared" si="17"/>
        <v>Sep</v>
      </c>
      <c r="J1117">
        <f>YEAR(datas[[#This Row],[Order Date]])</f>
        <v>2021</v>
      </c>
    </row>
    <row r="1118" spans="1:10" ht="14.25" customHeight="1" x14ac:dyDescent="0.3">
      <c r="A1118" s="1">
        <v>44456</v>
      </c>
      <c r="B1118" s="2" t="s">
        <v>312</v>
      </c>
      <c r="C1118" s="2" t="s">
        <v>21</v>
      </c>
      <c r="D1118" s="2" t="s">
        <v>10</v>
      </c>
      <c r="E1118" s="2" t="s">
        <v>41</v>
      </c>
      <c r="F1118" s="2">
        <v>182.94</v>
      </c>
      <c r="G1118" s="2">
        <v>3</v>
      </c>
      <c r="H1118" s="2">
        <v>85.98</v>
      </c>
      <c r="I1118" t="str">
        <f t="shared" si="17"/>
        <v>Sep</v>
      </c>
      <c r="J1118">
        <f>YEAR(datas[[#This Row],[Order Date]])</f>
        <v>2021</v>
      </c>
    </row>
    <row r="1119" spans="1:10" ht="14.25" customHeight="1" x14ac:dyDescent="0.3">
      <c r="A1119" s="1">
        <v>44456</v>
      </c>
      <c r="B1119" s="2" t="s">
        <v>480</v>
      </c>
      <c r="C1119" s="2" t="s">
        <v>52</v>
      </c>
      <c r="D1119" s="2" t="s">
        <v>10</v>
      </c>
      <c r="E1119" s="2" t="s">
        <v>19</v>
      </c>
      <c r="F1119" s="2">
        <v>5.25</v>
      </c>
      <c r="G1119" s="2">
        <v>2</v>
      </c>
      <c r="H1119" s="2">
        <v>0.46</v>
      </c>
      <c r="I1119" t="str">
        <f t="shared" si="17"/>
        <v>Sep</v>
      </c>
      <c r="J1119">
        <f>YEAR(datas[[#This Row],[Order Date]])</f>
        <v>2021</v>
      </c>
    </row>
    <row r="1120" spans="1:10" ht="14.25" customHeight="1" x14ac:dyDescent="0.3">
      <c r="A1120" s="1">
        <v>44456</v>
      </c>
      <c r="B1120" s="2" t="s">
        <v>480</v>
      </c>
      <c r="C1120" s="2" t="s">
        <v>52</v>
      </c>
      <c r="D1120" s="2" t="s">
        <v>10</v>
      </c>
      <c r="E1120" s="2" t="s">
        <v>19</v>
      </c>
      <c r="F1120" s="2">
        <v>38.26</v>
      </c>
      <c r="G1120" s="2">
        <v>3</v>
      </c>
      <c r="H1120" s="2">
        <v>4.78</v>
      </c>
      <c r="I1120" t="str">
        <f t="shared" si="17"/>
        <v>Sep</v>
      </c>
      <c r="J1120">
        <f>YEAR(datas[[#This Row],[Order Date]])</f>
        <v>2021</v>
      </c>
    </row>
    <row r="1121" spans="1:10" ht="14.25" customHeight="1" x14ac:dyDescent="0.3">
      <c r="A1121" s="1">
        <v>44456</v>
      </c>
      <c r="B1121" s="2" t="s">
        <v>480</v>
      </c>
      <c r="C1121" s="2" t="s">
        <v>52</v>
      </c>
      <c r="D1121" s="2" t="s">
        <v>10</v>
      </c>
      <c r="E1121" s="2" t="s">
        <v>11</v>
      </c>
      <c r="F1121" s="2">
        <v>40.24</v>
      </c>
      <c r="G1121" s="2">
        <v>5</v>
      </c>
      <c r="H1121" s="2">
        <v>13.08</v>
      </c>
      <c r="I1121" t="str">
        <f t="shared" si="17"/>
        <v>Sep</v>
      </c>
      <c r="J1121">
        <f>YEAR(datas[[#This Row],[Order Date]])</f>
        <v>2021</v>
      </c>
    </row>
    <row r="1122" spans="1:10" ht="14.25" customHeight="1" x14ac:dyDescent="0.3">
      <c r="A1122" s="1">
        <v>44456</v>
      </c>
      <c r="B1122" s="2" t="s">
        <v>480</v>
      </c>
      <c r="C1122" s="2" t="s">
        <v>52</v>
      </c>
      <c r="D1122" s="2" t="s">
        <v>28</v>
      </c>
      <c r="E1122" s="2" t="s">
        <v>136</v>
      </c>
      <c r="F1122" s="2">
        <v>29.93</v>
      </c>
      <c r="G1122" s="2">
        <v>5</v>
      </c>
      <c r="H1122" s="2">
        <v>-21.95</v>
      </c>
      <c r="I1122" t="str">
        <f t="shared" si="17"/>
        <v>Sep</v>
      </c>
      <c r="J1122">
        <f>YEAR(datas[[#This Row],[Order Date]])</f>
        <v>2021</v>
      </c>
    </row>
    <row r="1123" spans="1:10" ht="14.25" customHeight="1" x14ac:dyDescent="0.3">
      <c r="A1123" s="1">
        <v>44456</v>
      </c>
      <c r="B1123" s="2" t="s">
        <v>480</v>
      </c>
      <c r="C1123" s="2" t="s">
        <v>52</v>
      </c>
      <c r="D1123" s="2" t="s">
        <v>10</v>
      </c>
      <c r="E1123" s="2" t="s">
        <v>11</v>
      </c>
      <c r="F1123" s="2">
        <v>148.69999999999999</v>
      </c>
      <c r="G1123" s="2">
        <v>6</v>
      </c>
      <c r="H1123" s="2">
        <v>46.47</v>
      </c>
      <c r="I1123" t="str">
        <f t="shared" si="17"/>
        <v>Sep</v>
      </c>
      <c r="J1123">
        <f>YEAR(datas[[#This Row],[Order Date]])</f>
        <v>2021</v>
      </c>
    </row>
    <row r="1124" spans="1:10" ht="14.25" customHeight="1" x14ac:dyDescent="0.3">
      <c r="A1124" s="1">
        <v>44456</v>
      </c>
      <c r="B1124" s="2" t="s">
        <v>480</v>
      </c>
      <c r="C1124" s="2" t="s">
        <v>52</v>
      </c>
      <c r="D1124" s="2" t="s">
        <v>28</v>
      </c>
      <c r="E1124" s="2" t="s">
        <v>34</v>
      </c>
      <c r="F1124" s="2">
        <v>55.92</v>
      </c>
      <c r="G1124" s="2">
        <v>10</v>
      </c>
      <c r="H1124" s="2">
        <v>16.78</v>
      </c>
      <c r="I1124" t="str">
        <f t="shared" si="17"/>
        <v>Sep</v>
      </c>
      <c r="J1124">
        <f>YEAR(datas[[#This Row],[Order Date]])</f>
        <v>2021</v>
      </c>
    </row>
    <row r="1125" spans="1:10" ht="14.25" customHeight="1" x14ac:dyDescent="0.3">
      <c r="A1125" s="1">
        <v>44458</v>
      </c>
      <c r="B1125" s="2" t="s">
        <v>257</v>
      </c>
      <c r="C1125" s="2" t="s">
        <v>9</v>
      </c>
      <c r="D1125" s="2" t="s">
        <v>28</v>
      </c>
      <c r="E1125" s="2" t="s">
        <v>136</v>
      </c>
      <c r="F1125" s="2">
        <v>3059.98</v>
      </c>
      <c r="G1125" s="2">
        <v>3</v>
      </c>
      <c r="H1125" s="2">
        <v>-510</v>
      </c>
      <c r="I1125" t="str">
        <f t="shared" si="17"/>
        <v>Sep</v>
      </c>
      <c r="J1125">
        <f>YEAR(datas[[#This Row],[Order Date]])</f>
        <v>2021</v>
      </c>
    </row>
    <row r="1126" spans="1:10" ht="14.25" customHeight="1" x14ac:dyDescent="0.3">
      <c r="A1126" s="1">
        <v>44458</v>
      </c>
      <c r="B1126" s="2" t="s">
        <v>257</v>
      </c>
      <c r="C1126" s="2" t="s">
        <v>9</v>
      </c>
      <c r="D1126" s="2" t="s">
        <v>28</v>
      </c>
      <c r="E1126" s="2" t="s">
        <v>136</v>
      </c>
      <c r="F1126" s="2">
        <v>2519.96</v>
      </c>
      <c r="G1126" s="2">
        <v>7</v>
      </c>
      <c r="H1126" s="2">
        <v>-252</v>
      </c>
      <c r="I1126" t="str">
        <f t="shared" si="17"/>
        <v>Sep</v>
      </c>
      <c r="J1126">
        <f>YEAR(datas[[#This Row],[Order Date]])</f>
        <v>2021</v>
      </c>
    </row>
    <row r="1127" spans="1:10" ht="14.25" customHeight="1" x14ac:dyDescent="0.3">
      <c r="A1127" s="1">
        <v>44458</v>
      </c>
      <c r="B1127" s="2" t="s">
        <v>481</v>
      </c>
      <c r="C1127" s="2" t="s">
        <v>21</v>
      </c>
      <c r="D1127" s="2" t="s">
        <v>10</v>
      </c>
      <c r="E1127" s="2" t="s">
        <v>30</v>
      </c>
      <c r="F1127" s="2">
        <v>7.16</v>
      </c>
      <c r="G1127" s="2">
        <v>2</v>
      </c>
      <c r="H1127" s="2">
        <v>3.58</v>
      </c>
      <c r="I1127" t="str">
        <f t="shared" si="17"/>
        <v>Sep</v>
      </c>
      <c r="J1127">
        <f>YEAR(datas[[#This Row],[Order Date]])</f>
        <v>2021</v>
      </c>
    </row>
    <row r="1128" spans="1:10" ht="14.25" customHeight="1" x14ac:dyDescent="0.3">
      <c r="A1128" s="1">
        <v>44458</v>
      </c>
      <c r="B1128" s="2" t="s">
        <v>218</v>
      </c>
      <c r="C1128" s="2" t="s">
        <v>115</v>
      </c>
      <c r="D1128" s="2" t="s">
        <v>10</v>
      </c>
      <c r="E1128" s="2" t="s">
        <v>15</v>
      </c>
      <c r="F1128" s="2">
        <v>67.34</v>
      </c>
      <c r="G1128" s="2">
        <v>6</v>
      </c>
      <c r="H1128" s="2">
        <v>7.58</v>
      </c>
      <c r="I1128" t="str">
        <f t="shared" si="17"/>
        <v>Sep</v>
      </c>
      <c r="J1128">
        <f>YEAR(datas[[#This Row],[Order Date]])</f>
        <v>2021</v>
      </c>
    </row>
    <row r="1129" spans="1:10" ht="14.25" customHeight="1" x14ac:dyDescent="0.3">
      <c r="A1129" s="1">
        <v>44458</v>
      </c>
      <c r="B1129" s="2" t="s">
        <v>218</v>
      </c>
      <c r="C1129" s="2" t="s">
        <v>115</v>
      </c>
      <c r="D1129" s="2" t="s">
        <v>28</v>
      </c>
      <c r="E1129" s="2" t="s">
        <v>136</v>
      </c>
      <c r="F1129" s="2">
        <v>2624.99</v>
      </c>
      <c r="G1129" s="2">
        <v>3</v>
      </c>
      <c r="H1129" s="2">
        <v>-944.99</v>
      </c>
      <c r="I1129" t="str">
        <f t="shared" si="17"/>
        <v>Sep</v>
      </c>
      <c r="J1129">
        <f>YEAR(datas[[#This Row],[Order Date]])</f>
        <v>2021</v>
      </c>
    </row>
    <row r="1130" spans="1:10" ht="14.25" customHeight="1" x14ac:dyDescent="0.3">
      <c r="A1130" s="1">
        <v>44458</v>
      </c>
      <c r="B1130" s="2" t="s">
        <v>249</v>
      </c>
      <c r="C1130" s="2" t="s">
        <v>75</v>
      </c>
      <c r="D1130" s="2" t="s">
        <v>26</v>
      </c>
      <c r="E1130" s="2" t="s">
        <v>27</v>
      </c>
      <c r="F1130" s="2">
        <v>887.1</v>
      </c>
      <c r="G1130" s="2">
        <v>7</v>
      </c>
      <c r="H1130" s="2">
        <v>177.42</v>
      </c>
      <c r="I1130" t="str">
        <f t="shared" si="17"/>
        <v>Sep</v>
      </c>
      <c r="J1130">
        <f>YEAR(datas[[#This Row],[Order Date]])</f>
        <v>2021</v>
      </c>
    </row>
    <row r="1131" spans="1:10" ht="14.25" customHeight="1" x14ac:dyDescent="0.3">
      <c r="A1131" s="1">
        <v>44458</v>
      </c>
      <c r="B1131" s="2" t="s">
        <v>482</v>
      </c>
      <c r="C1131" s="2" t="s">
        <v>82</v>
      </c>
      <c r="D1131" s="2" t="s">
        <v>10</v>
      </c>
      <c r="E1131" s="2" t="s">
        <v>15</v>
      </c>
      <c r="F1131" s="2">
        <v>92.52</v>
      </c>
      <c r="G1131" s="2">
        <v>6</v>
      </c>
      <c r="H1131" s="2">
        <v>24.98</v>
      </c>
      <c r="I1131" t="str">
        <f t="shared" si="17"/>
        <v>Sep</v>
      </c>
      <c r="J1131">
        <f>YEAR(datas[[#This Row],[Order Date]])</f>
        <v>2021</v>
      </c>
    </row>
    <row r="1132" spans="1:10" ht="14.25" customHeight="1" x14ac:dyDescent="0.3">
      <c r="A1132" s="1">
        <v>44458</v>
      </c>
      <c r="B1132" s="2" t="s">
        <v>483</v>
      </c>
      <c r="C1132" s="2" t="s">
        <v>21</v>
      </c>
      <c r="D1132" s="2" t="s">
        <v>10</v>
      </c>
      <c r="E1132" s="2" t="s">
        <v>30</v>
      </c>
      <c r="F1132" s="2">
        <v>5.67</v>
      </c>
      <c r="G1132" s="2">
        <v>3</v>
      </c>
      <c r="H1132" s="2">
        <v>0.11</v>
      </c>
      <c r="I1132" t="str">
        <f t="shared" si="17"/>
        <v>Sep</v>
      </c>
      <c r="J1132">
        <f>YEAR(datas[[#This Row],[Order Date]])</f>
        <v>2021</v>
      </c>
    </row>
    <row r="1133" spans="1:10" ht="14.25" customHeight="1" x14ac:dyDescent="0.3">
      <c r="A1133" s="1">
        <v>44458</v>
      </c>
      <c r="B1133" s="2" t="s">
        <v>85</v>
      </c>
      <c r="C1133" s="2" t="s">
        <v>55</v>
      </c>
      <c r="D1133" s="2" t="s">
        <v>26</v>
      </c>
      <c r="E1133" s="2" t="s">
        <v>73</v>
      </c>
      <c r="F1133" s="2">
        <v>73.92</v>
      </c>
      <c r="G1133" s="2">
        <v>1</v>
      </c>
      <c r="H1133" s="2">
        <v>-45.83</v>
      </c>
      <c r="I1133" t="str">
        <f t="shared" si="17"/>
        <v>Sep</v>
      </c>
      <c r="J1133">
        <f>YEAR(datas[[#This Row],[Order Date]])</f>
        <v>2021</v>
      </c>
    </row>
    <row r="1134" spans="1:10" ht="14.25" customHeight="1" x14ac:dyDescent="0.3">
      <c r="A1134" s="1">
        <v>44459</v>
      </c>
      <c r="B1134" s="2" t="s">
        <v>484</v>
      </c>
      <c r="C1134" s="2" t="s">
        <v>13</v>
      </c>
      <c r="D1134" s="2" t="s">
        <v>26</v>
      </c>
      <c r="E1134" s="2" t="s">
        <v>73</v>
      </c>
      <c r="F1134" s="2">
        <v>617.70000000000005</v>
      </c>
      <c r="G1134" s="2">
        <v>6</v>
      </c>
      <c r="H1134" s="2">
        <v>-407.68</v>
      </c>
      <c r="I1134" t="str">
        <f t="shared" si="17"/>
        <v>Sep</v>
      </c>
      <c r="J1134">
        <f>YEAR(datas[[#This Row],[Order Date]])</f>
        <v>2021</v>
      </c>
    </row>
    <row r="1135" spans="1:10" ht="14.25" customHeight="1" x14ac:dyDescent="0.3">
      <c r="A1135" s="1">
        <v>44459</v>
      </c>
      <c r="B1135" s="2" t="s">
        <v>485</v>
      </c>
      <c r="C1135" s="2" t="s">
        <v>21</v>
      </c>
      <c r="D1135" s="2" t="s">
        <v>10</v>
      </c>
      <c r="E1135" s="2" t="s">
        <v>14</v>
      </c>
      <c r="F1135" s="2">
        <v>9.9600000000000009</v>
      </c>
      <c r="G1135" s="2">
        <v>2</v>
      </c>
      <c r="H1135" s="2">
        <v>4.58</v>
      </c>
      <c r="I1135" t="str">
        <f t="shared" si="17"/>
        <v>Sep</v>
      </c>
      <c r="J1135">
        <f>YEAR(datas[[#This Row],[Order Date]])</f>
        <v>2021</v>
      </c>
    </row>
    <row r="1136" spans="1:10" ht="14.25" customHeight="1" x14ac:dyDescent="0.3">
      <c r="A1136" s="1">
        <v>44459</v>
      </c>
      <c r="B1136" s="2" t="s">
        <v>485</v>
      </c>
      <c r="C1136" s="2" t="s">
        <v>21</v>
      </c>
      <c r="D1136" s="2" t="s">
        <v>10</v>
      </c>
      <c r="E1136" s="2" t="s">
        <v>11</v>
      </c>
      <c r="F1136" s="2">
        <v>21.72</v>
      </c>
      <c r="G1136" s="2">
        <v>4</v>
      </c>
      <c r="H1136" s="2">
        <v>10.64</v>
      </c>
      <c r="I1136" t="str">
        <f t="shared" si="17"/>
        <v>Sep</v>
      </c>
      <c r="J1136">
        <f>YEAR(datas[[#This Row],[Order Date]])</f>
        <v>2021</v>
      </c>
    </row>
    <row r="1137" spans="1:10" ht="14.25" customHeight="1" x14ac:dyDescent="0.3">
      <c r="A1137" s="1">
        <v>44459</v>
      </c>
      <c r="B1137" s="2" t="s">
        <v>223</v>
      </c>
      <c r="C1137" s="2" t="s">
        <v>64</v>
      </c>
      <c r="D1137" s="2" t="s">
        <v>10</v>
      </c>
      <c r="E1137" s="2" t="s">
        <v>19</v>
      </c>
      <c r="F1137" s="2">
        <v>2.82</v>
      </c>
      <c r="G1137" s="2">
        <v>2</v>
      </c>
      <c r="H1137" s="2">
        <v>0.99</v>
      </c>
      <c r="I1137" t="str">
        <f t="shared" si="17"/>
        <v>Sep</v>
      </c>
      <c r="J1137">
        <f>YEAR(datas[[#This Row],[Order Date]])</f>
        <v>2021</v>
      </c>
    </row>
    <row r="1138" spans="1:10" ht="14.25" customHeight="1" x14ac:dyDescent="0.3">
      <c r="A1138" s="1">
        <v>44459</v>
      </c>
      <c r="B1138" s="2" t="s">
        <v>486</v>
      </c>
      <c r="C1138" s="2" t="s">
        <v>21</v>
      </c>
      <c r="D1138" s="2" t="s">
        <v>10</v>
      </c>
      <c r="E1138" s="2" t="s">
        <v>53</v>
      </c>
      <c r="F1138" s="2">
        <v>43.92</v>
      </c>
      <c r="G1138" s="2">
        <v>4</v>
      </c>
      <c r="H1138" s="2">
        <v>11.86</v>
      </c>
      <c r="I1138" t="str">
        <f t="shared" si="17"/>
        <v>Sep</v>
      </c>
      <c r="J1138">
        <f>YEAR(datas[[#This Row],[Order Date]])</f>
        <v>2021</v>
      </c>
    </row>
    <row r="1139" spans="1:10" ht="14.25" customHeight="1" x14ac:dyDescent="0.3">
      <c r="A1139" s="1">
        <v>44459</v>
      </c>
      <c r="B1139" s="2" t="s">
        <v>486</v>
      </c>
      <c r="C1139" s="2" t="s">
        <v>21</v>
      </c>
      <c r="D1139" s="2" t="s">
        <v>10</v>
      </c>
      <c r="E1139" s="2" t="s">
        <v>16</v>
      </c>
      <c r="F1139" s="2">
        <v>20.23</v>
      </c>
      <c r="G1139" s="2">
        <v>3</v>
      </c>
      <c r="H1139" s="2">
        <v>6.58</v>
      </c>
      <c r="I1139" t="str">
        <f t="shared" si="17"/>
        <v>Sep</v>
      </c>
      <c r="J1139">
        <f>YEAR(datas[[#This Row],[Order Date]])</f>
        <v>2021</v>
      </c>
    </row>
    <row r="1140" spans="1:10" ht="14.25" customHeight="1" x14ac:dyDescent="0.3">
      <c r="A1140" s="1">
        <v>44459</v>
      </c>
      <c r="B1140" s="2" t="s">
        <v>487</v>
      </c>
      <c r="C1140" s="2" t="s">
        <v>215</v>
      </c>
      <c r="D1140" s="2" t="s">
        <v>26</v>
      </c>
      <c r="E1140" s="2" t="s">
        <v>32</v>
      </c>
      <c r="F1140" s="2">
        <v>164.22</v>
      </c>
      <c r="G1140" s="2">
        <v>3</v>
      </c>
      <c r="H1140" s="2">
        <v>50.91</v>
      </c>
      <c r="I1140" t="str">
        <f t="shared" si="17"/>
        <v>Sep</v>
      </c>
      <c r="J1140">
        <f>YEAR(datas[[#This Row],[Order Date]])</f>
        <v>2021</v>
      </c>
    </row>
    <row r="1141" spans="1:10" ht="14.25" customHeight="1" x14ac:dyDescent="0.3">
      <c r="A1141" s="1">
        <v>44459</v>
      </c>
      <c r="B1141" s="2" t="s">
        <v>487</v>
      </c>
      <c r="C1141" s="2" t="s">
        <v>215</v>
      </c>
      <c r="D1141" s="2" t="s">
        <v>26</v>
      </c>
      <c r="E1141" s="2" t="s">
        <v>45</v>
      </c>
      <c r="F1141" s="2">
        <v>362.94</v>
      </c>
      <c r="G1141" s="2">
        <v>3</v>
      </c>
      <c r="H1141" s="2">
        <v>36.29</v>
      </c>
      <c r="I1141" t="str">
        <f t="shared" si="17"/>
        <v>Sep</v>
      </c>
      <c r="J1141">
        <f>YEAR(datas[[#This Row],[Order Date]])</f>
        <v>2021</v>
      </c>
    </row>
    <row r="1142" spans="1:10" ht="14.25" customHeight="1" x14ac:dyDescent="0.3">
      <c r="A1142" s="1">
        <v>44459</v>
      </c>
      <c r="B1142" s="2" t="s">
        <v>487</v>
      </c>
      <c r="C1142" s="2" t="s">
        <v>215</v>
      </c>
      <c r="D1142" s="2" t="s">
        <v>28</v>
      </c>
      <c r="E1142" s="2" t="s">
        <v>34</v>
      </c>
      <c r="F1142" s="2">
        <v>59.98</v>
      </c>
      <c r="G1142" s="2">
        <v>2</v>
      </c>
      <c r="H1142" s="2">
        <v>26.39</v>
      </c>
      <c r="I1142" t="str">
        <f t="shared" si="17"/>
        <v>Sep</v>
      </c>
      <c r="J1142">
        <f>YEAR(datas[[#This Row],[Order Date]])</f>
        <v>2021</v>
      </c>
    </row>
    <row r="1143" spans="1:10" ht="14.25" customHeight="1" x14ac:dyDescent="0.3">
      <c r="A1143" s="1">
        <v>44459</v>
      </c>
      <c r="B1143" s="2" t="s">
        <v>488</v>
      </c>
      <c r="C1143" s="2" t="s">
        <v>13</v>
      </c>
      <c r="D1143" s="2" t="s">
        <v>26</v>
      </c>
      <c r="E1143" s="2" t="s">
        <v>45</v>
      </c>
      <c r="F1143" s="2">
        <v>493.43</v>
      </c>
      <c r="G1143" s="2">
        <v>5</v>
      </c>
      <c r="H1143" s="2">
        <v>-70.489999999999995</v>
      </c>
      <c r="I1143" t="str">
        <f t="shared" si="17"/>
        <v>Sep</v>
      </c>
      <c r="J1143">
        <f>YEAR(datas[[#This Row],[Order Date]])</f>
        <v>2021</v>
      </c>
    </row>
    <row r="1144" spans="1:10" ht="14.25" customHeight="1" x14ac:dyDescent="0.3">
      <c r="A1144" s="1">
        <v>44459</v>
      </c>
      <c r="B1144" s="2" t="s">
        <v>488</v>
      </c>
      <c r="C1144" s="2" t="s">
        <v>13</v>
      </c>
      <c r="D1144" s="2" t="s">
        <v>28</v>
      </c>
      <c r="E1144" s="2" t="s">
        <v>29</v>
      </c>
      <c r="F1144" s="2">
        <v>11.12</v>
      </c>
      <c r="G1144" s="2">
        <v>2</v>
      </c>
      <c r="H1144" s="2">
        <v>3.48</v>
      </c>
      <c r="I1144" t="str">
        <f t="shared" si="17"/>
        <v>Sep</v>
      </c>
      <c r="J1144">
        <f>YEAR(datas[[#This Row],[Order Date]])</f>
        <v>2021</v>
      </c>
    </row>
    <row r="1145" spans="1:10" ht="14.25" customHeight="1" x14ac:dyDescent="0.3">
      <c r="A1145" s="1">
        <v>44459</v>
      </c>
      <c r="B1145" s="2" t="s">
        <v>489</v>
      </c>
      <c r="C1145" s="2" t="s">
        <v>21</v>
      </c>
      <c r="D1145" s="2" t="s">
        <v>10</v>
      </c>
      <c r="E1145" s="2" t="s">
        <v>11</v>
      </c>
      <c r="F1145" s="2">
        <v>8.56</v>
      </c>
      <c r="G1145" s="2">
        <v>2</v>
      </c>
      <c r="H1145" s="2">
        <v>3.85</v>
      </c>
      <c r="I1145" t="str">
        <f t="shared" si="17"/>
        <v>Sep</v>
      </c>
      <c r="J1145">
        <f>YEAR(datas[[#This Row],[Order Date]])</f>
        <v>2021</v>
      </c>
    </row>
    <row r="1146" spans="1:10" ht="14.25" customHeight="1" x14ac:dyDescent="0.3">
      <c r="A1146" s="1">
        <v>44459</v>
      </c>
      <c r="B1146" s="2" t="s">
        <v>433</v>
      </c>
      <c r="C1146" s="2" t="s">
        <v>75</v>
      </c>
      <c r="D1146" s="2" t="s">
        <v>28</v>
      </c>
      <c r="E1146" s="2" t="s">
        <v>29</v>
      </c>
      <c r="F1146" s="2">
        <v>629.95000000000005</v>
      </c>
      <c r="G1146" s="2">
        <v>5</v>
      </c>
      <c r="H1146" s="2">
        <v>157.49</v>
      </c>
      <c r="I1146" t="str">
        <f t="shared" si="17"/>
        <v>Sep</v>
      </c>
      <c r="J1146">
        <f>YEAR(datas[[#This Row],[Order Date]])</f>
        <v>2021</v>
      </c>
    </row>
    <row r="1147" spans="1:10" ht="14.25" customHeight="1" x14ac:dyDescent="0.3">
      <c r="A1147" s="1">
        <v>44459</v>
      </c>
      <c r="B1147" s="2" t="s">
        <v>433</v>
      </c>
      <c r="C1147" s="2" t="s">
        <v>75</v>
      </c>
      <c r="D1147" s="2" t="s">
        <v>26</v>
      </c>
      <c r="E1147" s="2" t="s">
        <v>27</v>
      </c>
      <c r="F1147" s="2">
        <v>631.78</v>
      </c>
      <c r="G1147" s="2">
        <v>2</v>
      </c>
      <c r="H1147" s="2">
        <v>140.4</v>
      </c>
      <c r="I1147" t="str">
        <f t="shared" si="17"/>
        <v>Sep</v>
      </c>
      <c r="J1147">
        <f>YEAR(datas[[#This Row],[Order Date]])</f>
        <v>2021</v>
      </c>
    </row>
    <row r="1148" spans="1:10" ht="14.25" customHeight="1" x14ac:dyDescent="0.3">
      <c r="A1148" s="1">
        <v>44459</v>
      </c>
      <c r="B1148" s="2" t="s">
        <v>433</v>
      </c>
      <c r="C1148" s="2" t="s">
        <v>75</v>
      </c>
      <c r="D1148" s="2" t="s">
        <v>26</v>
      </c>
      <c r="E1148" s="2" t="s">
        <v>45</v>
      </c>
      <c r="F1148" s="2">
        <v>801.57</v>
      </c>
      <c r="G1148" s="2">
        <v>2</v>
      </c>
      <c r="H1148" s="2">
        <v>-10.02</v>
      </c>
      <c r="I1148" t="str">
        <f t="shared" si="17"/>
        <v>Sep</v>
      </c>
      <c r="J1148">
        <f>YEAR(datas[[#This Row],[Order Date]])</f>
        <v>2021</v>
      </c>
    </row>
    <row r="1149" spans="1:10" ht="14.25" customHeight="1" x14ac:dyDescent="0.3">
      <c r="A1149" s="1">
        <v>44459</v>
      </c>
      <c r="B1149" s="2" t="s">
        <v>433</v>
      </c>
      <c r="C1149" s="2" t="s">
        <v>75</v>
      </c>
      <c r="D1149" s="2" t="s">
        <v>10</v>
      </c>
      <c r="E1149" s="2" t="s">
        <v>14</v>
      </c>
      <c r="F1149" s="2">
        <v>75.180000000000007</v>
      </c>
      <c r="G1149" s="2">
        <v>6</v>
      </c>
      <c r="H1149" s="2">
        <v>35.33</v>
      </c>
      <c r="I1149" t="str">
        <f t="shared" si="17"/>
        <v>Sep</v>
      </c>
      <c r="J1149">
        <f>YEAR(datas[[#This Row],[Order Date]])</f>
        <v>2021</v>
      </c>
    </row>
    <row r="1150" spans="1:10" ht="14.25" customHeight="1" x14ac:dyDescent="0.3">
      <c r="A1150" s="1">
        <v>44459</v>
      </c>
      <c r="B1150" s="2" t="s">
        <v>433</v>
      </c>
      <c r="C1150" s="2" t="s">
        <v>75</v>
      </c>
      <c r="D1150" s="2" t="s">
        <v>10</v>
      </c>
      <c r="E1150" s="2" t="s">
        <v>53</v>
      </c>
      <c r="F1150" s="2">
        <v>30.98</v>
      </c>
      <c r="G1150" s="2">
        <v>1</v>
      </c>
      <c r="H1150" s="2">
        <v>8.0500000000000007</v>
      </c>
      <c r="I1150" t="str">
        <f t="shared" si="17"/>
        <v>Sep</v>
      </c>
      <c r="J1150">
        <f>YEAR(datas[[#This Row],[Order Date]])</f>
        <v>2021</v>
      </c>
    </row>
    <row r="1151" spans="1:10" ht="14.25" customHeight="1" x14ac:dyDescent="0.3">
      <c r="A1151" s="1">
        <v>44459</v>
      </c>
      <c r="B1151" s="2" t="s">
        <v>433</v>
      </c>
      <c r="C1151" s="2" t="s">
        <v>75</v>
      </c>
      <c r="D1151" s="2" t="s">
        <v>28</v>
      </c>
      <c r="E1151" s="2" t="s">
        <v>29</v>
      </c>
      <c r="F1151" s="2">
        <v>1349.91</v>
      </c>
      <c r="G1151" s="2">
        <v>9</v>
      </c>
      <c r="H1151" s="2">
        <v>661.46</v>
      </c>
      <c r="I1151" t="str">
        <f t="shared" si="17"/>
        <v>Sep</v>
      </c>
      <c r="J1151">
        <f>YEAR(datas[[#This Row],[Order Date]])</f>
        <v>2021</v>
      </c>
    </row>
    <row r="1152" spans="1:10" ht="14.25" customHeight="1" x14ac:dyDescent="0.3">
      <c r="A1152" s="1">
        <v>44460</v>
      </c>
      <c r="B1152" s="2" t="s">
        <v>490</v>
      </c>
      <c r="C1152" s="2" t="s">
        <v>82</v>
      </c>
      <c r="D1152" s="2" t="s">
        <v>28</v>
      </c>
      <c r="E1152" s="2" t="s">
        <v>29</v>
      </c>
      <c r="F1152" s="2">
        <v>246.38</v>
      </c>
      <c r="G1152" s="2">
        <v>2</v>
      </c>
      <c r="H1152" s="2">
        <v>27.72</v>
      </c>
      <c r="I1152" t="str">
        <f t="shared" si="17"/>
        <v>Sep</v>
      </c>
      <c r="J1152">
        <f>YEAR(datas[[#This Row],[Order Date]])</f>
        <v>2021</v>
      </c>
    </row>
    <row r="1153" spans="1:10" ht="14.25" customHeight="1" x14ac:dyDescent="0.3">
      <c r="A1153" s="1">
        <v>44460</v>
      </c>
      <c r="B1153" s="2" t="s">
        <v>490</v>
      </c>
      <c r="C1153" s="2" t="s">
        <v>82</v>
      </c>
      <c r="D1153" s="2" t="s">
        <v>28</v>
      </c>
      <c r="E1153" s="2" t="s">
        <v>243</v>
      </c>
      <c r="F1153" s="2">
        <v>1799.97</v>
      </c>
      <c r="G1153" s="2">
        <v>3</v>
      </c>
      <c r="H1153" s="2">
        <v>701.99</v>
      </c>
      <c r="I1153" t="str">
        <f t="shared" si="17"/>
        <v>Sep</v>
      </c>
      <c r="J1153">
        <f>YEAR(datas[[#This Row],[Order Date]])</f>
        <v>2021</v>
      </c>
    </row>
    <row r="1154" spans="1:10" ht="14.25" customHeight="1" x14ac:dyDescent="0.3">
      <c r="A1154" s="1">
        <v>44460</v>
      </c>
      <c r="B1154" s="2" t="s">
        <v>359</v>
      </c>
      <c r="C1154" s="2" t="s">
        <v>381</v>
      </c>
      <c r="D1154" s="2" t="s">
        <v>10</v>
      </c>
      <c r="E1154" s="2" t="s">
        <v>53</v>
      </c>
      <c r="F1154" s="2">
        <v>25.96</v>
      </c>
      <c r="G1154" s="2">
        <v>2</v>
      </c>
      <c r="H1154" s="2">
        <v>7.53</v>
      </c>
      <c r="I1154" t="str">
        <f t="shared" si="17"/>
        <v>Sep</v>
      </c>
      <c r="J1154">
        <f>YEAR(datas[[#This Row],[Order Date]])</f>
        <v>2021</v>
      </c>
    </row>
    <row r="1155" spans="1:10" ht="14.25" customHeight="1" x14ac:dyDescent="0.3">
      <c r="A1155" s="1">
        <v>44460</v>
      </c>
      <c r="B1155" s="2" t="s">
        <v>359</v>
      </c>
      <c r="C1155" s="2" t="s">
        <v>381</v>
      </c>
      <c r="D1155" s="2" t="s">
        <v>10</v>
      </c>
      <c r="E1155" s="2" t="s">
        <v>53</v>
      </c>
      <c r="F1155" s="2">
        <v>36.270000000000003</v>
      </c>
      <c r="G1155" s="2">
        <v>3</v>
      </c>
      <c r="H1155" s="2">
        <v>10.88</v>
      </c>
      <c r="I1155" t="str">
        <f t="shared" ref="I1155:I1218" si="18">TEXT(A1155,"mmm")</f>
        <v>Sep</v>
      </c>
      <c r="J1155">
        <f>YEAR(datas[[#This Row],[Order Date]])</f>
        <v>2021</v>
      </c>
    </row>
    <row r="1156" spans="1:10" ht="14.25" customHeight="1" x14ac:dyDescent="0.3">
      <c r="A1156" s="1">
        <v>44460</v>
      </c>
      <c r="B1156" s="2" t="s">
        <v>359</v>
      </c>
      <c r="C1156" s="2" t="s">
        <v>381</v>
      </c>
      <c r="D1156" s="2" t="s">
        <v>10</v>
      </c>
      <c r="E1156" s="2" t="s">
        <v>11</v>
      </c>
      <c r="F1156" s="2">
        <v>6.48</v>
      </c>
      <c r="G1156" s="2">
        <v>1</v>
      </c>
      <c r="H1156" s="2">
        <v>3.11</v>
      </c>
      <c r="I1156" t="str">
        <f t="shared" si="18"/>
        <v>Sep</v>
      </c>
      <c r="J1156">
        <f>YEAR(datas[[#This Row],[Order Date]])</f>
        <v>2021</v>
      </c>
    </row>
    <row r="1157" spans="1:10" ht="14.25" customHeight="1" x14ac:dyDescent="0.3">
      <c r="A1157" s="1">
        <v>44460</v>
      </c>
      <c r="B1157" s="2" t="s">
        <v>288</v>
      </c>
      <c r="C1157" s="2" t="s">
        <v>21</v>
      </c>
      <c r="D1157" s="2" t="s">
        <v>10</v>
      </c>
      <c r="E1157" s="2" t="s">
        <v>41</v>
      </c>
      <c r="F1157" s="2">
        <v>15.56</v>
      </c>
      <c r="G1157" s="2">
        <v>2</v>
      </c>
      <c r="H1157" s="2">
        <v>7.31</v>
      </c>
      <c r="I1157" t="str">
        <f t="shared" si="18"/>
        <v>Sep</v>
      </c>
      <c r="J1157">
        <f>YEAR(datas[[#This Row],[Order Date]])</f>
        <v>2021</v>
      </c>
    </row>
    <row r="1158" spans="1:10" ht="14.25" customHeight="1" x14ac:dyDescent="0.3">
      <c r="A1158" s="1">
        <v>44460</v>
      </c>
      <c r="B1158" s="2" t="s">
        <v>288</v>
      </c>
      <c r="C1158" s="2" t="s">
        <v>21</v>
      </c>
      <c r="D1158" s="2" t="s">
        <v>10</v>
      </c>
      <c r="E1158" s="2" t="s">
        <v>41</v>
      </c>
      <c r="F1158" s="2">
        <v>78.349999999999994</v>
      </c>
      <c r="G1158" s="2">
        <v>5</v>
      </c>
      <c r="H1158" s="2">
        <v>36.82</v>
      </c>
      <c r="I1158" t="str">
        <f t="shared" si="18"/>
        <v>Sep</v>
      </c>
      <c r="J1158">
        <f>YEAR(datas[[#This Row],[Order Date]])</f>
        <v>2021</v>
      </c>
    </row>
    <row r="1159" spans="1:10" ht="14.25" customHeight="1" x14ac:dyDescent="0.3">
      <c r="A1159" s="1">
        <v>44460</v>
      </c>
      <c r="B1159" s="2" t="s">
        <v>288</v>
      </c>
      <c r="C1159" s="2" t="s">
        <v>21</v>
      </c>
      <c r="D1159" s="2" t="s">
        <v>10</v>
      </c>
      <c r="E1159" s="2" t="s">
        <v>19</v>
      </c>
      <c r="F1159" s="2">
        <v>59.52</v>
      </c>
      <c r="G1159" s="2">
        <v>3</v>
      </c>
      <c r="H1159" s="2">
        <v>15.48</v>
      </c>
      <c r="I1159" t="str">
        <f t="shared" si="18"/>
        <v>Sep</v>
      </c>
      <c r="J1159">
        <f>YEAR(datas[[#This Row],[Order Date]])</f>
        <v>2021</v>
      </c>
    </row>
    <row r="1160" spans="1:10" ht="14.25" customHeight="1" x14ac:dyDescent="0.3">
      <c r="A1160" s="1">
        <v>44460</v>
      </c>
      <c r="B1160" s="2" t="s">
        <v>288</v>
      </c>
      <c r="C1160" s="2" t="s">
        <v>21</v>
      </c>
      <c r="D1160" s="2" t="s">
        <v>10</v>
      </c>
      <c r="E1160" s="2" t="s">
        <v>11</v>
      </c>
      <c r="F1160" s="2">
        <v>38.520000000000003</v>
      </c>
      <c r="G1160" s="2">
        <v>9</v>
      </c>
      <c r="H1160" s="2">
        <v>17.329999999999998</v>
      </c>
      <c r="I1160" t="str">
        <f t="shared" si="18"/>
        <v>Sep</v>
      </c>
      <c r="J1160">
        <f>YEAR(datas[[#This Row],[Order Date]])</f>
        <v>2021</v>
      </c>
    </row>
    <row r="1161" spans="1:10" ht="14.25" customHeight="1" x14ac:dyDescent="0.3">
      <c r="A1161" s="1">
        <v>44460</v>
      </c>
      <c r="B1161" s="2" t="s">
        <v>288</v>
      </c>
      <c r="C1161" s="2" t="s">
        <v>21</v>
      </c>
      <c r="D1161" s="2" t="s">
        <v>28</v>
      </c>
      <c r="E1161" s="2" t="s">
        <v>29</v>
      </c>
      <c r="F1161" s="2">
        <v>239.98</v>
      </c>
      <c r="G1161" s="2">
        <v>2</v>
      </c>
      <c r="H1161" s="2">
        <v>24</v>
      </c>
      <c r="I1161" t="str">
        <f t="shared" si="18"/>
        <v>Sep</v>
      </c>
      <c r="J1161">
        <f>YEAR(datas[[#This Row],[Order Date]])</f>
        <v>2021</v>
      </c>
    </row>
    <row r="1162" spans="1:10" ht="14.25" customHeight="1" x14ac:dyDescent="0.3">
      <c r="A1162" s="1">
        <v>44460</v>
      </c>
      <c r="B1162" s="2" t="s">
        <v>288</v>
      </c>
      <c r="C1162" s="2" t="s">
        <v>21</v>
      </c>
      <c r="D1162" s="2" t="s">
        <v>10</v>
      </c>
      <c r="E1162" s="2" t="s">
        <v>11</v>
      </c>
      <c r="F1162" s="2">
        <v>19.350000000000001</v>
      </c>
      <c r="G1162" s="2">
        <v>3</v>
      </c>
      <c r="H1162" s="2">
        <v>9.48</v>
      </c>
      <c r="I1162" t="str">
        <f t="shared" si="18"/>
        <v>Sep</v>
      </c>
      <c r="J1162">
        <f>YEAR(datas[[#This Row],[Order Date]])</f>
        <v>2021</v>
      </c>
    </row>
    <row r="1163" spans="1:10" ht="14.25" customHeight="1" x14ac:dyDescent="0.3">
      <c r="A1163" s="1">
        <v>44460</v>
      </c>
      <c r="B1163" s="2" t="s">
        <v>408</v>
      </c>
      <c r="C1163" s="2" t="s">
        <v>18</v>
      </c>
      <c r="D1163" s="2" t="s">
        <v>10</v>
      </c>
      <c r="E1163" s="2" t="s">
        <v>11</v>
      </c>
      <c r="F1163" s="2">
        <v>11.35</v>
      </c>
      <c r="G1163" s="2">
        <v>3</v>
      </c>
      <c r="H1163" s="2">
        <v>4.12</v>
      </c>
      <c r="I1163" t="str">
        <f t="shared" si="18"/>
        <v>Sep</v>
      </c>
      <c r="J1163">
        <f>YEAR(datas[[#This Row],[Order Date]])</f>
        <v>2021</v>
      </c>
    </row>
    <row r="1164" spans="1:10" ht="14.25" customHeight="1" x14ac:dyDescent="0.3">
      <c r="A1164" s="1">
        <v>44460</v>
      </c>
      <c r="B1164" s="2" t="s">
        <v>408</v>
      </c>
      <c r="C1164" s="2" t="s">
        <v>18</v>
      </c>
      <c r="D1164" s="2" t="s">
        <v>10</v>
      </c>
      <c r="E1164" s="2" t="s">
        <v>14</v>
      </c>
      <c r="F1164" s="2">
        <v>20.81</v>
      </c>
      <c r="G1164" s="2">
        <v>9</v>
      </c>
      <c r="H1164" s="2">
        <v>7.02</v>
      </c>
      <c r="I1164" t="str">
        <f t="shared" si="18"/>
        <v>Sep</v>
      </c>
      <c r="J1164">
        <f>YEAR(datas[[#This Row],[Order Date]])</f>
        <v>2021</v>
      </c>
    </row>
    <row r="1165" spans="1:10" ht="14.25" customHeight="1" x14ac:dyDescent="0.3">
      <c r="A1165" s="1">
        <v>44460</v>
      </c>
      <c r="B1165" s="2" t="s">
        <v>244</v>
      </c>
      <c r="C1165" s="2" t="s">
        <v>9</v>
      </c>
      <c r="D1165" s="2" t="s">
        <v>26</v>
      </c>
      <c r="E1165" s="2" t="s">
        <v>32</v>
      </c>
      <c r="F1165" s="2">
        <v>8.5399999999999991</v>
      </c>
      <c r="G1165" s="2">
        <v>2</v>
      </c>
      <c r="H1165" s="2">
        <v>-7.48</v>
      </c>
      <c r="I1165" t="str">
        <f t="shared" si="18"/>
        <v>Sep</v>
      </c>
      <c r="J1165">
        <f>YEAR(datas[[#This Row],[Order Date]])</f>
        <v>2021</v>
      </c>
    </row>
    <row r="1166" spans="1:10" ht="14.25" customHeight="1" x14ac:dyDescent="0.3">
      <c r="A1166" s="1">
        <v>44460</v>
      </c>
      <c r="B1166" s="2" t="s">
        <v>491</v>
      </c>
      <c r="C1166" s="2" t="s">
        <v>18</v>
      </c>
      <c r="D1166" s="2" t="s">
        <v>10</v>
      </c>
      <c r="E1166" s="2" t="s">
        <v>16</v>
      </c>
      <c r="F1166" s="2">
        <v>6.57</v>
      </c>
      <c r="G1166" s="2">
        <v>3</v>
      </c>
      <c r="H1166" s="2">
        <v>-5.04</v>
      </c>
      <c r="I1166" t="str">
        <f t="shared" si="18"/>
        <v>Sep</v>
      </c>
      <c r="J1166">
        <f>YEAR(datas[[#This Row],[Order Date]])</f>
        <v>2021</v>
      </c>
    </row>
    <row r="1167" spans="1:10" ht="14.25" customHeight="1" x14ac:dyDescent="0.3">
      <c r="A1167" s="1">
        <v>44460</v>
      </c>
      <c r="B1167" s="2" t="s">
        <v>492</v>
      </c>
      <c r="C1167" s="2" t="s">
        <v>75</v>
      </c>
      <c r="D1167" s="2" t="s">
        <v>10</v>
      </c>
      <c r="E1167" s="2" t="s">
        <v>19</v>
      </c>
      <c r="F1167" s="2">
        <v>66.03</v>
      </c>
      <c r="G1167" s="2">
        <v>3</v>
      </c>
      <c r="H1167" s="2">
        <v>17.170000000000002</v>
      </c>
      <c r="I1167" t="str">
        <f t="shared" si="18"/>
        <v>Sep</v>
      </c>
      <c r="J1167">
        <f>YEAR(datas[[#This Row],[Order Date]])</f>
        <v>2021</v>
      </c>
    </row>
    <row r="1168" spans="1:10" ht="14.25" customHeight="1" x14ac:dyDescent="0.3">
      <c r="A1168" s="1">
        <v>44461</v>
      </c>
      <c r="B1168" s="2" t="s">
        <v>459</v>
      </c>
      <c r="C1168" s="2" t="s">
        <v>64</v>
      </c>
      <c r="D1168" s="2" t="s">
        <v>10</v>
      </c>
      <c r="E1168" s="2" t="s">
        <v>14</v>
      </c>
      <c r="F1168" s="2">
        <v>4.6100000000000003</v>
      </c>
      <c r="G1168" s="2">
        <v>2</v>
      </c>
      <c r="H1168" s="2">
        <v>1.67</v>
      </c>
      <c r="I1168" t="str">
        <f t="shared" si="18"/>
        <v>Sep</v>
      </c>
      <c r="J1168">
        <f>YEAR(datas[[#This Row],[Order Date]])</f>
        <v>2021</v>
      </c>
    </row>
    <row r="1169" spans="1:10" ht="14.25" customHeight="1" x14ac:dyDescent="0.3">
      <c r="A1169" s="1">
        <v>44461</v>
      </c>
      <c r="B1169" s="2" t="s">
        <v>493</v>
      </c>
      <c r="C1169" s="2" t="s">
        <v>13</v>
      </c>
      <c r="D1169" s="2" t="s">
        <v>10</v>
      </c>
      <c r="E1169" s="2" t="s">
        <v>15</v>
      </c>
      <c r="F1169" s="2">
        <v>331.54</v>
      </c>
      <c r="G1169" s="2">
        <v>3</v>
      </c>
      <c r="H1169" s="2">
        <v>-82.88</v>
      </c>
      <c r="I1169" t="str">
        <f t="shared" si="18"/>
        <v>Sep</v>
      </c>
      <c r="J1169">
        <f>YEAR(datas[[#This Row],[Order Date]])</f>
        <v>2021</v>
      </c>
    </row>
    <row r="1170" spans="1:10" ht="14.25" customHeight="1" x14ac:dyDescent="0.3">
      <c r="A1170" s="1">
        <v>44461</v>
      </c>
      <c r="B1170" s="2" t="s">
        <v>206</v>
      </c>
      <c r="C1170" s="2" t="s">
        <v>21</v>
      </c>
      <c r="D1170" s="2" t="s">
        <v>10</v>
      </c>
      <c r="E1170" s="2" t="s">
        <v>15</v>
      </c>
      <c r="F1170" s="2">
        <v>169.45</v>
      </c>
      <c r="G1170" s="2">
        <v>5</v>
      </c>
      <c r="H1170" s="2">
        <v>42.36</v>
      </c>
      <c r="I1170" t="str">
        <f t="shared" si="18"/>
        <v>Sep</v>
      </c>
      <c r="J1170">
        <f>YEAR(datas[[#This Row],[Order Date]])</f>
        <v>2021</v>
      </c>
    </row>
    <row r="1171" spans="1:10" ht="14.25" customHeight="1" x14ac:dyDescent="0.3">
      <c r="A1171" s="1">
        <v>44461</v>
      </c>
      <c r="B1171" s="2" t="s">
        <v>206</v>
      </c>
      <c r="C1171" s="2" t="s">
        <v>21</v>
      </c>
      <c r="D1171" s="2" t="s">
        <v>10</v>
      </c>
      <c r="E1171" s="2" t="s">
        <v>15</v>
      </c>
      <c r="F1171" s="2">
        <v>40.68</v>
      </c>
      <c r="G1171" s="2">
        <v>2</v>
      </c>
      <c r="H1171" s="2">
        <v>0.41</v>
      </c>
      <c r="I1171" t="str">
        <f t="shared" si="18"/>
        <v>Sep</v>
      </c>
      <c r="J1171">
        <f>YEAR(datas[[#This Row],[Order Date]])</f>
        <v>2021</v>
      </c>
    </row>
    <row r="1172" spans="1:10" ht="14.25" customHeight="1" x14ac:dyDescent="0.3">
      <c r="A1172" s="1">
        <v>44461</v>
      </c>
      <c r="B1172" s="2" t="s">
        <v>494</v>
      </c>
      <c r="C1172" s="2" t="s">
        <v>75</v>
      </c>
      <c r="D1172" s="2" t="s">
        <v>26</v>
      </c>
      <c r="E1172" s="2" t="s">
        <v>32</v>
      </c>
      <c r="F1172" s="2">
        <v>97.44</v>
      </c>
      <c r="G1172" s="2">
        <v>3</v>
      </c>
      <c r="H1172" s="2">
        <v>35.08</v>
      </c>
      <c r="I1172" t="str">
        <f t="shared" si="18"/>
        <v>Sep</v>
      </c>
      <c r="J1172">
        <f>YEAR(datas[[#This Row],[Order Date]])</f>
        <v>2021</v>
      </c>
    </row>
    <row r="1173" spans="1:10" ht="14.25" customHeight="1" x14ac:dyDescent="0.3">
      <c r="A1173" s="1">
        <v>44461</v>
      </c>
      <c r="B1173" s="2" t="s">
        <v>494</v>
      </c>
      <c r="C1173" s="2" t="s">
        <v>75</v>
      </c>
      <c r="D1173" s="2" t="s">
        <v>10</v>
      </c>
      <c r="E1173" s="2" t="s">
        <v>16</v>
      </c>
      <c r="F1173" s="2">
        <v>3.98</v>
      </c>
      <c r="G1173" s="2">
        <v>1</v>
      </c>
      <c r="H1173" s="2">
        <v>1.39</v>
      </c>
      <c r="I1173" t="str">
        <f t="shared" si="18"/>
        <v>Sep</v>
      </c>
      <c r="J1173">
        <f>YEAR(datas[[#This Row],[Order Date]])</f>
        <v>2021</v>
      </c>
    </row>
    <row r="1174" spans="1:10" ht="14.25" customHeight="1" x14ac:dyDescent="0.3">
      <c r="A1174" s="1">
        <v>44461</v>
      </c>
      <c r="B1174" s="2" t="s">
        <v>494</v>
      </c>
      <c r="C1174" s="2" t="s">
        <v>75</v>
      </c>
      <c r="D1174" s="2" t="s">
        <v>10</v>
      </c>
      <c r="E1174" s="2" t="s">
        <v>19</v>
      </c>
      <c r="F1174" s="2">
        <v>13.04</v>
      </c>
      <c r="G1174" s="2">
        <v>4</v>
      </c>
      <c r="H1174" s="2">
        <v>5.74</v>
      </c>
      <c r="I1174" t="str">
        <f t="shared" si="18"/>
        <v>Sep</v>
      </c>
      <c r="J1174">
        <f>YEAR(datas[[#This Row],[Order Date]])</f>
        <v>2021</v>
      </c>
    </row>
    <row r="1175" spans="1:10" ht="14.25" customHeight="1" x14ac:dyDescent="0.3">
      <c r="A1175" s="1">
        <v>44461</v>
      </c>
      <c r="B1175" s="2" t="s">
        <v>494</v>
      </c>
      <c r="C1175" s="2" t="s">
        <v>75</v>
      </c>
      <c r="D1175" s="2" t="s">
        <v>26</v>
      </c>
      <c r="E1175" s="2" t="s">
        <v>27</v>
      </c>
      <c r="F1175" s="2">
        <v>579.53</v>
      </c>
      <c r="G1175" s="2">
        <v>4</v>
      </c>
      <c r="H1175" s="2">
        <v>83.71</v>
      </c>
      <c r="I1175" t="str">
        <f t="shared" si="18"/>
        <v>Sep</v>
      </c>
      <c r="J1175">
        <f>YEAR(datas[[#This Row],[Order Date]])</f>
        <v>2021</v>
      </c>
    </row>
    <row r="1176" spans="1:10" ht="14.25" customHeight="1" x14ac:dyDescent="0.3">
      <c r="A1176" s="1">
        <v>44462</v>
      </c>
      <c r="B1176" s="2" t="s">
        <v>359</v>
      </c>
      <c r="C1176" s="2" t="s">
        <v>21</v>
      </c>
      <c r="D1176" s="2" t="s">
        <v>26</v>
      </c>
      <c r="E1176" s="2" t="s">
        <v>45</v>
      </c>
      <c r="F1176" s="2">
        <v>436</v>
      </c>
      <c r="G1176" s="2">
        <v>3</v>
      </c>
      <c r="H1176" s="2">
        <v>20.52</v>
      </c>
      <c r="I1176" t="str">
        <f t="shared" si="18"/>
        <v>Sep</v>
      </c>
      <c r="J1176">
        <f>YEAR(datas[[#This Row],[Order Date]])</f>
        <v>2021</v>
      </c>
    </row>
    <row r="1177" spans="1:10" ht="14.25" customHeight="1" x14ac:dyDescent="0.3">
      <c r="A1177" s="1">
        <v>44462</v>
      </c>
      <c r="B1177" s="2" t="s">
        <v>359</v>
      </c>
      <c r="C1177" s="2" t="s">
        <v>21</v>
      </c>
      <c r="D1177" s="2" t="s">
        <v>28</v>
      </c>
      <c r="E1177" s="2" t="s">
        <v>29</v>
      </c>
      <c r="F1177" s="2">
        <v>83.98</v>
      </c>
      <c r="G1177" s="2">
        <v>2</v>
      </c>
      <c r="H1177" s="2">
        <v>31.49</v>
      </c>
      <c r="I1177" t="str">
        <f t="shared" si="18"/>
        <v>Sep</v>
      </c>
      <c r="J1177">
        <f>YEAR(datas[[#This Row],[Order Date]])</f>
        <v>2021</v>
      </c>
    </row>
    <row r="1178" spans="1:10" ht="14.25" customHeight="1" x14ac:dyDescent="0.3">
      <c r="A1178" s="1">
        <v>44462</v>
      </c>
      <c r="B1178" s="2" t="s">
        <v>93</v>
      </c>
      <c r="C1178" s="2" t="s">
        <v>75</v>
      </c>
      <c r="D1178" s="2" t="s">
        <v>10</v>
      </c>
      <c r="E1178" s="2" t="s">
        <v>16</v>
      </c>
      <c r="F1178" s="2">
        <v>139.44</v>
      </c>
      <c r="G1178" s="2">
        <v>3</v>
      </c>
      <c r="H1178" s="2">
        <v>47.06</v>
      </c>
      <c r="I1178" t="str">
        <f t="shared" si="18"/>
        <v>Sep</v>
      </c>
      <c r="J1178">
        <f>YEAR(datas[[#This Row],[Order Date]])</f>
        <v>2021</v>
      </c>
    </row>
    <row r="1179" spans="1:10" ht="14.25" customHeight="1" x14ac:dyDescent="0.3">
      <c r="A1179" s="1">
        <v>44462</v>
      </c>
      <c r="B1179" s="2" t="s">
        <v>92</v>
      </c>
      <c r="C1179" s="2" t="s">
        <v>140</v>
      </c>
      <c r="D1179" s="2" t="s">
        <v>10</v>
      </c>
      <c r="E1179" s="2" t="s">
        <v>11</v>
      </c>
      <c r="F1179" s="2">
        <v>32.4</v>
      </c>
      <c r="G1179" s="2">
        <v>5</v>
      </c>
      <c r="H1179" s="2">
        <v>15.55</v>
      </c>
      <c r="I1179" t="str">
        <f t="shared" si="18"/>
        <v>Sep</v>
      </c>
      <c r="J1179">
        <f>YEAR(datas[[#This Row],[Order Date]])</f>
        <v>2021</v>
      </c>
    </row>
    <row r="1180" spans="1:10" ht="14.25" customHeight="1" x14ac:dyDescent="0.3">
      <c r="A1180" s="1">
        <v>44462</v>
      </c>
      <c r="B1180" s="2" t="s">
        <v>92</v>
      </c>
      <c r="C1180" s="2" t="s">
        <v>140</v>
      </c>
      <c r="D1180" s="2" t="s">
        <v>10</v>
      </c>
      <c r="E1180" s="2" t="s">
        <v>15</v>
      </c>
      <c r="F1180" s="2">
        <v>404.9</v>
      </c>
      <c r="G1180" s="2">
        <v>5</v>
      </c>
      <c r="H1180" s="2">
        <v>16.2</v>
      </c>
      <c r="I1180" t="str">
        <f t="shared" si="18"/>
        <v>Sep</v>
      </c>
      <c r="J1180">
        <f>YEAR(datas[[#This Row],[Order Date]])</f>
        <v>2021</v>
      </c>
    </row>
    <row r="1181" spans="1:10" ht="14.25" customHeight="1" x14ac:dyDescent="0.3">
      <c r="A1181" s="1">
        <v>44462</v>
      </c>
      <c r="B1181" s="2" t="s">
        <v>92</v>
      </c>
      <c r="C1181" s="2" t="s">
        <v>140</v>
      </c>
      <c r="D1181" s="2" t="s">
        <v>10</v>
      </c>
      <c r="E1181" s="2" t="s">
        <v>16</v>
      </c>
      <c r="F1181" s="2">
        <v>9449.9500000000007</v>
      </c>
      <c r="G1181" s="2">
        <v>5</v>
      </c>
      <c r="H1181" s="2">
        <v>4630.4799999999996</v>
      </c>
      <c r="I1181" t="str">
        <f t="shared" si="18"/>
        <v>Sep</v>
      </c>
      <c r="J1181">
        <f>YEAR(datas[[#This Row],[Order Date]])</f>
        <v>2021</v>
      </c>
    </row>
    <row r="1182" spans="1:10" ht="14.25" customHeight="1" x14ac:dyDescent="0.3">
      <c r="A1182" s="1">
        <v>44462</v>
      </c>
      <c r="B1182" s="2" t="s">
        <v>92</v>
      </c>
      <c r="C1182" s="2" t="s">
        <v>140</v>
      </c>
      <c r="D1182" s="2" t="s">
        <v>10</v>
      </c>
      <c r="E1182" s="2" t="s">
        <v>16</v>
      </c>
      <c r="F1182" s="2">
        <v>12.94</v>
      </c>
      <c r="G1182" s="2">
        <v>2</v>
      </c>
      <c r="H1182" s="2">
        <v>6.47</v>
      </c>
      <c r="I1182" t="str">
        <f t="shared" si="18"/>
        <v>Sep</v>
      </c>
      <c r="J1182">
        <f>YEAR(datas[[#This Row],[Order Date]])</f>
        <v>2021</v>
      </c>
    </row>
    <row r="1183" spans="1:10" ht="14.25" customHeight="1" x14ac:dyDescent="0.3">
      <c r="A1183" s="1">
        <v>44462</v>
      </c>
      <c r="B1183" s="2" t="s">
        <v>483</v>
      </c>
      <c r="C1183" s="2" t="s">
        <v>47</v>
      </c>
      <c r="D1183" s="2" t="s">
        <v>10</v>
      </c>
      <c r="E1183" s="2" t="s">
        <v>11</v>
      </c>
      <c r="F1183" s="2">
        <v>28.8</v>
      </c>
      <c r="G1183" s="2">
        <v>9</v>
      </c>
      <c r="H1183" s="2">
        <v>10.08</v>
      </c>
      <c r="I1183" t="str">
        <f t="shared" si="18"/>
        <v>Sep</v>
      </c>
      <c r="J1183">
        <f>YEAR(datas[[#This Row],[Order Date]])</f>
        <v>2021</v>
      </c>
    </row>
    <row r="1184" spans="1:10" ht="14.25" customHeight="1" x14ac:dyDescent="0.3">
      <c r="A1184" s="1">
        <v>44462</v>
      </c>
      <c r="B1184" s="2" t="s">
        <v>495</v>
      </c>
      <c r="C1184" s="2" t="s">
        <v>38</v>
      </c>
      <c r="D1184" s="2" t="s">
        <v>10</v>
      </c>
      <c r="E1184" s="2" t="s">
        <v>16</v>
      </c>
      <c r="F1184" s="2">
        <v>11.12</v>
      </c>
      <c r="G1184" s="2">
        <v>4</v>
      </c>
      <c r="H1184" s="2">
        <v>5.45</v>
      </c>
      <c r="I1184" t="str">
        <f t="shared" si="18"/>
        <v>Sep</v>
      </c>
      <c r="J1184">
        <f>YEAR(datas[[#This Row],[Order Date]])</f>
        <v>2021</v>
      </c>
    </row>
    <row r="1185" spans="1:10" ht="14.25" customHeight="1" x14ac:dyDescent="0.3">
      <c r="A1185" s="1">
        <v>44462</v>
      </c>
      <c r="B1185" s="2" t="s">
        <v>496</v>
      </c>
      <c r="C1185" s="2" t="s">
        <v>75</v>
      </c>
      <c r="D1185" s="2" t="s">
        <v>10</v>
      </c>
      <c r="E1185" s="2" t="s">
        <v>16</v>
      </c>
      <c r="F1185" s="2">
        <v>18.46</v>
      </c>
      <c r="G1185" s="2">
        <v>4</v>
      </c>
      <c r="H1185" s="2">
        <v>6.92</v>
      </c>
      <c r="I1185" t="str">
        <f t="shared" si="18"/>
        <v>Sep</v>
      </c>
      <c r="J1185">
        <f>YEAR(datas[[#This Row],[Order Date]])</f>
        <v>2021</v>
      </c>
    </row>
    <row r="1186" spans="1:10" ht="14.25" customHeight="1" x14ac:dyDescent="0.3">
      <c r="A1186" s="1">
        <v>44462</v>
      </c>
      <c r="B1186" s="2" t="s">
        <v>497</v>
      </c>
      <c r="C1186" s="2" t="s">
        <v>38</v>
      </c>
      <c r="D1186" s="2" t="s">
        <v>10</v>
      </c>
      <c r="E1186" s="2" t="s">
        <v>19</v>
      </c>
      <c r="F1186" s="2">
        <v>9.84</v>
      </c>
      <c r="G1186" s="2">
        <v>3</v>
      </c>
      <c r="H1186" s="2">
        <v>2.85</v>
      </c>
      <c r="I1186" t="str">
        <f t="shared" si="18"/>
        <v>Sep</v>
      </c>
      <c r="J1186">
        <f>YEAR(datas[[#This Row],[Order Date]])</f>
        <v>2021</v>
      </c>
    </row>
    <row r="1187" spans="1:10" ht="14.25" customHeight="1" x14ac:dyDescent="0.3">
      <c r="A1187" s="1">
        <v>44462</v>
      </c>
      <c r="B1187" s="2" t="s">
        <v>497</v>
      </c>
      <c r="C1187" s="2" t="s">
        <v>38</v>
      </c>
      <c r="D1187" s="2" t="s">
        <v>10</v>
      </c>
      <c r="E1187" s="2" t="s">
        <v>16</v>
      </c>
      <c r="F1187" s="2">
        <v>34.5</v>
      </c>
      <c r="G1187" s="2">
        <v>3</v>
      </c>
      <c r="H1187" s="2">
        <v>15.53</v>
      </c>
      <c r="I1187" t="str">
        <f t="shared" si="18"/>
        <v>Sep</v>
      </c>
      <c r="J1187">
        <f>YEAR(datas[[#This Row],[Order Date]])</f>
        <v>2021</v>
      </c>
    </row>
    <row r="1188" spans="1:10" ht="14.25" customHeight="1" x14ac:dyDescent="0.3">
      <c r="A1188" s="1">
        <v>44463</v>
      </c>
      <c r="B1188" s="2" t="s">
        <v>498</v>
      </c>
      <c r="C1188" s="2" t="s">
        <v>21</v>
      </c>
      <c r="D1188" s="2" t="s">
        <v>10</v>
      </c>
      <c r="E1188" s="2" t="s">
        <v>15</v>
      </c>
      <c r="F1188" s="2">
        <v>211.96</v>
      </c>
      <c r="G1188" s="2">
        <v>4</v>
      </c>
      <c r="H1188" s="2">
        <v>8.48</v>
      </c>
      <c r="I1188" t="str">
        <f t="shared" si="18"/>
        <v>Sep</v>
      </c>
      <c r="J1188">
        <f>YEAR(datas[[#This Row],[Order Date]])</f>
        <v>2021</v>
      </c>
    </row>
    <row r="1189" spans="1:10" ht="14.25" customHeight="1" x14ac:dyDescent="0.3">
      <c r="A1189" s="1">
        <v>44464</v>
      </c>
      <c r="B1189" s="2" t="s">
        <v>499</v>
      </c>
      <c r="C1189" s="2" t="s">
        <v>9</v>
      </c>
      <c r="D1189" s="2" t="s">
        <v>10</v>
      </c>
      <c r="E1189" s="2" t="s">
        <v>11</v>
      </c>
      <c r="F1189" s="2">
        <v>33.79</v>
      </c>
      <c r="G1189" s="2">
        <v>8</v>
      </c>
      <c r="H1189" s="2">
        <v>10.56</v>
      </c>
      <c r="I1189" t="str">
        <f t="shared" si="18"/>
        <v>Sep</v>
      </c>
      <c r="J1189">
        <f>YEAR(datas[[#This Row],[Order Date]])</f>
        <v>2021</v>
      </c>
    </row>
    <row r="1190" spans="1:10" ht="14.25" customHeight="1" x14ac:dyDescent="0.3">
      <c r="A1190" s="1">
        <v>44464</v>
      </c>
      <c r="B1190" s="2" t="s">
        <v>499</v>
      </c>
      <c r="C1190" s="2" t="s">
        <v>9</v>
      </c>
      <c r="D1190" s="2" t="s">
        <v>26</v>
      </c>
      <c r="E1190" s="2" t="s">
        <v>45</v>
      </c>
      <c r="F1190" s="2">
        <v>300.52999999999997</v>
      </c>
      <c r="G1190" s="2">
        <v>2</v>
      </c>
      <c r="H1190" s="2">
        <v>-97.23</v>
      </c>
      <c r="I1190" t="str">
        <f t="shared" si="18"/>
        <v>Sep</v>
      </c>
      <c r="J1190">
        <f>YEAR(datas[[#This Row],[Order Date]])</f>
        <v>2021</v>
      </c>
    </row>
    <row r="1191" spans="1:10" ht="14.25" customHeight="1" x14ac:dyDescent="0.3">
      <c r="A1191" s="1">
        <v>44464</v>
      </c>
      <c r="B1191" s="2" t="s">
        <v>499</v>
      </c>
      <c r="C1191" s="2" t="s">
        <v>9</v>
      </c>
      <c r="D1191" s="2" t="s">
        <v>10</v>
      </c>
      <c r="E1191" s="2" t="s">
        <v>16</v>
      </c>
      <c r="F1191" s="2">
        <v>2.72</v>
      </c>
      <c r="G1191" s="2">
        <v>2</v>
      </c>
      <c r="H1191" s="2">
        <v>-4.3600000000000003</v>
      </c>
      <c r="I1191" t="str">
        <f t="shared" si="18"/>
        <v>Sep</v>
      </c>
      <c r="J1191">
        <f>YEAR(datas[[#This Row],[Order Date]])</f>
        <v>2021</v>
      </c>
    </row>
    <row r="1192" spans="1:10" ht="14.25" customHeight="1" x14ac:dyDescent="0.3">
      <c r="A1192" s="1">
        <v>44464</v>
      </c>
      <c r="B1192" s="2" t="s">
        <v>499</v>
      </c>
      <c r="C1192" s="2" t="s">
        <v>9</v>
      </c>
      <c r="D1192" s="2" t="s">
        <v>10</v>
      </c>
      <c r="E1192" s="2" t="s">
        <v>41</v>
      </c>
      <c r="F1192" s="2">
        <v>3.26</v>
      </c>
      <c r="G1192" s="2">
        <v>2</v>
      </c>
      <c r="H1192" s="2">
        <v>1.1000000000000001</v>
      </c>
      <c r="I1192" t="str">
        <f t="shared" si="18"/>
        <v>Sep</v>
      </c>
      <c r="J1192">
        <f>YEAR(datas[[#This Row],[Order Date]])</f>
        <v>2021</v>
      </c>
    </row>
    <row r="1193" spans="1:10" ht="14.25" customHeight="1" x14ac:dyDescent="0.3">
      <c r="A1193" s="1">
        <v>44464</v>
      </c>
      <c r="B1193" s="2" t="s">
        <v>500</v>
      </c>
      <c r="C1193" s="2" t="s">
        <v>126</v>
      </c>
      <c r="D1193" s="2" t="s">
        <v>10</v>
      </c>
      <c r="E1193" s="2" t="s">
        <v>19</v>
      </c>
      <c r="F1193" s="2">
        <v>14.58</v>
      </c>
      <c r="G1193" s="2">
        <v>2</v>
      </c>
      <c r="H1193" s="2">
        <v>2.37</v>
      </c>
      <c r="I1193" t="str">
        <f t="shared" si="18"/>
        <v>Sep</v>
      </c>
      <c r="J1193">
        <f>YEAR(datas[[#This Row],[Order Date]])</f>
        <v>2021</v>
      </c>
    </row>
    <row r="1194" spans="1:10" ht="14.25" customHeight="1" x14ac:dyDescent="0.3">
      <c r="A1194" s="1">
        <v>44465</v>
      </c>
      <c r="B1194" s="2" t="s">
        <v>458</v>
      </c>
      <c r="C1194" s="2" t="s">
        <v>21</v>
      </c>
      <c r="D1194" s="2" t="s">
        <v>26</v>
      </c>
      <c r="E1194" s="2" t="s">
        <v>27</v>
      </c>
      <c r="F1194" s="2">
        <v>145.57</v>
      </c>
      <c r="G1194" s="2">
        <v>2</v>
      </c>
      <c r="H1194" s="2">
        <v>0</v>
      </c>
      <c r="I1194" t="str">
        <f t="shared" si="18"/>
        <v>Sep</v>
      </c>
      <c r="J1194">
        <f>YEAR(datas[[#This Row],[Order Date]])</f>
        <v>2021</v>
      </c>
    </row>
    <row r="1195" spans="1:10" ht="14.25" customHeight="1" x14ac:dyDescent="0.3">
      <c r="A1195" s="1">
        <v>44465</v>
      </c>
      <c r="B1195" s="2" t="s">
        <v>489</v>
      </c>
      <c r="C1195" s="2" t="s">
        <v>9</v>
      </c>
      <c r="D1195" s="2" t="s">
        <v>10</v>
      </c>
      <c r="E1195" s="2" t="s">
        <v>16</v>
      </c>
      <c r="F1195" s="2">
        <v>0.88</v>
      </c>
      <c r="G1195" s="2">
        <v>1</v>
      </c>
      <c r="H1195" s="2">
        <v>-1.4</v>
      </c>
      <c r="I1195" t="str">
        <f t="shared" si="18"/>
        <v>Sep</v>
      </c>
      <c r="J1195">
        <f>YEAR(datas[[#This Row],[Order Date]])</f>
        <v>2021</v>
      </c>
    </row>
    <row r="1196" spans="1:10" ht="14.25" customHeight="1" x14ac:dyDescent="0.3">
      <c r="A1196" s="1">
        <v>44465</v>
      </c>
      <c r="B1196" s="2" t="s">
        <v>501</v>
      </c>
      <c r="C1196" s="2" t="s">
        <v>18</v>
      </c>
      <c r="D1196" s="2" t="s">
        <v>10</v>
      </c>
      <c r="E1196" s="2" t="s">
        <v>53</v>
      </c>
      <c r="F1196" s="2">
        <v>143.94999999999999</v>
      </c>
      <c r="G1196" s="2">
        <v>3</v>
      </c>
      <c r="H1196" s="2">
        <v>14.4</v>
      </c>
      <c r="I1196" t="str">
        <f t="shared" si="18"/>
        <v>Sep</v>
      </c>
      <c r="J1196">
        <f>YEAR(datas[[#This Row],[Order Date]])</f>
        <v>2021</v>
      </c>
    </row>
    <row r="1197" spans="1:10" ht="14.25" customHeight="1" x14ac:dyDescent="0.3">
      <c r="A1197" s="1">
        <v>44465</v>
      </c>
      <c r="B1197" s="2" t="s">
        <v>502</v>
      </c>
      <c r="C1197" s="2" t="s">
        <v>82</v>
      </c>
      <c r="D1197" s="2" t="s">
        <v>10</v>
      </c>
      <c r="E1197" s="2" t="s">
        <v>15</v>
      </c>
      <c r="F1197" s="2">
        <v>310.12</v>
      </c>
      <c r="G1197" s="2">
        <v>2</v>
      </c>
      <c r="H1197" s="2">
        <v>80.63</v>
      </c>
      <c r="I1197" t="str">
        <f t="shared" si="18"/>
        <v>Sep</v>
      </c>
      <c r="J1197">
        <f>YEAR(datas[[#This Row],[Order Date]])</f>
        <v>2021</v>
      </c>
    </row>
    <row r="1198" spans="1:10" ht="14.25" customHeight="1" x14ac:dyDescent="0.3">
      <c r="A1198" s="1">
        <v>44465</v>
      </c>
      <c r="B1198" s="2" t="s">
        <v>503</v>
      </c>
      <c r="C1198" s="2" t="s">
        <v>21</v>
      </c>
      <c r="D1198" s="2" t="s">
        <v>26</v>
      </c>
      <c r="E1198" s="2" t="s">
        <v>27</v>
      </c>
      <c r="F1198" s="2">
        <v>585.54999999999995</v>
      </c>
      <c r="G1198" s="2">
        <v>3</v>
      </c>
      <c r="H1198" s="2">
        <v>73.19</v>
      </c>
      <c r="I1198" t="str">
        <f t="shared" si="18"/>
        <v>Sep</v>
      </c>
      <c r="J1198">
        <f>YEAR(datas[[#This Row],[Order Date]])</f>
        <v>2021</v>
      </c>
    </row>
    <row r="1199" spans="1:10" ht="14.25" customHeight="1" x14ac:dyDescent="0.3">
      <c r="A1199" s="1">
        <v>44465</v>
      </c>
      <c r="B1199" s="2" t="s">
        <v>503</v>
      </c>
      <c r="C1199" s="2" t="s">
        <v>21</v>
      </c>
      <c r="D1199" s="2" t="s">
        <v>10</v>
      </c>
      <c r="E1199" s="2" t="s">
        <v>11</v>
      </c>
      <c r="F1199" s="2">
        <v>19.440000000000001</v>
      </c>
      <c r="G1199" s="2">
        <v>3</v>
      </c>
      <c r="H1199" s="2">
        <v>9.33</v>
      </c>
      <c r="I1199" t="str">
        <f t="shared" si="18"/>
        <v>Sep</v>
      </c>
      <c r="J1199">
        <f>YEAR(datas[[#This Row],[Order Date]])</f>
        <v>2021</v>
      </c>
    </row>
    <row r="1200" spans="1:10" ht="14.25" customHeight="1" x14ac:dyDescent="0.3">
      <c r="A1200" s="1">
        <v>44465</v>
      </c>
      <c r="B1200" s="2" t="s">
        <v>123</v>
      </c>
      <c r="C1200" s="2" t="s">
        <v>18</v>
      </c>
      <c r="D1200" s="2" t="s">
        <v>10</v>
      </c>
      <c r="E1200" s="2" t="s">
        <v>16</v>
      </c>
      <c r="F1200" s="2">
        <v>5.97</v>
      </c>
      <c r="G1200" s="2">
        <v>5</v>
      </c>
      <c r="H1200" s="2">
        <v>-4.58</v>
      </c>
      <c r="I1200" t="str">
        <f t="shared" si="18"/>
        <v>Sep</v>
      </c>
      <c r="J1200">
        <f>YEAR(datas[[#This Row],[Order Date]])</f>
        <v>2021</v>
      </c>
    </row>
    <row r="1201" spans="1:10" ht="14.25" customHeight="1" x14ac:dyDescent="0.3">
      <c r="A1201" s="1">
        <v>44465</v>
      </c>
      <c r="B1201" s="2" t="s">
        <v>123</v>
      </c>
      <c r="C1201" s="2" t="s">
        <v>18</v>
      </c>
      <c r="D1201" s="2" t="s">
        <v>26</v>
      </c>
      <c r="E1201" s="2" t="s">
        <v>32</v>
      </c>
      <c r="F1201" s="2">
        <v>21.18</v>
      </c>
      <c r="G1201" s="2">
        <v>1</v>
      </c>
      <c r="H1201" s="2">
        <v>4.7699999999999996</v>
      </c>
      <c r="I1201" t="str">
        <f t="shared" si="18"/>
        <v>Sep</v>
      </c>
      <c r="J1201">
        <f>YEAR(datas[[#This Row],[Order Date]])</f>
        <v>2021</v>
      </c>
    </row>
    <row r="1202" spans="1:10" ht="14.25" customHeight="1" x14ac:dyDescent="0.3">
      <c r="A1202" s="1">
        <v>44465</v>
      </c>
      <c r="B1202" s="2" t="s">
        <v>123</v>
      </c>
      <c r="C1202" s="2" t="s">
        <v>18</v>
      </c>
      <c r="D1202" s="2" t="s">
        <v>10</v>
      </c>
      <c r="E1202" s="2" t="s">
        <v>53</v>
      </c>
      <c r="F1202" s="2">
        <v>41.38</v>
      </c>
      <c r="G1202" s="2">
        <v>6</v>
      </c>
      <c r="H1202" s="2">
        <v>3.1</v>
      </c>
      <c r="I1202" t="str">
        <f t="shared" si="18"/>
        <v>Sep</v>
      </c>
      <c r="J1202">
        <f>YEAR(datas[[#This Row],[Order Date]])</f>
        <v>2021</v>
      </c>
    </row>
    <row r="1203" spans="1:10" ht="14.25" customHeight="1" x14ac:dyDescent="0.3">
      <c r="A1203" s="1">
        <v>44465</v>
      </c>
      <c r="B1203" s="2" t="s">
        <v>227</v>
      </c>
      <c r="C1203" s="2" t="s">
        <v>47</v>
      </c>
      <c r="D1203" s="2" t="s">
        <v>10</v>
      </c>
      <c r="E1203" s="2" t="s">
        <v>53</v>
      </c>
      <c r="F1203" s="2">
        <v>16.7</v>
      </c>
      <c r="G1203" s="2">
        <v>6</v>
      </c>
      <c r="H1203" s="2">
        <v>1.25</v>
      </c>
      <c r="I1203" t="str">
        <f t="shared" si="18"/>
        <v>Sep</v>
      </c>
      <c r="J1203">
        <f>YEAR(datas[[#This Row],[Order Date]])</f>
        <v>2021</v>
      </c>
    </row>
    <row r="1204" spans="1:10" ht="14.25" customHeight="1" x14ac:dyDescent="0.3">
      <c r="A1204" s="1">
        <v>44465</v>
      </c>
      <c r="B1204" s="2" t="s">
        <v>227</v>
      </c>
      <c r="C1204" s="2" t="s">
        <v>47</v>
      </c>
      <c r="D1204" s="2" t="s">
        <v>28</v>
      </c>
      <c r="E1204" s="2" t="s">
        <v>34</v>
      </c>
      <c r="F1204" s="2">
        <v>3.15</v>
      </c>
      <c r="G1204" s="2">
        <v>2</v>
      </c>
      <c r="H1204" s="2">
        <v>0.47</v>
      </c>
      <c r="I1204" t="str">
        <f t="shared" si="18"/>
        <v>Sep</v>
      </c>
      <c r="J1204">
        <f>YEAR(datas[[#This Row],[Order Date]])</f>
        <v>2021</v>
      </c>
    </row>
    <row r="1205" spans="1:10" ht="14.25" customHeight="1" x14ac:dyDescent="0.3">
      <c r="A1205" s="1">
        <v>44465</v>
      </c>
      <c r="B1205" s="2" t="s">
        <v>227</v>
      </c>
      <c r="C1205" s="2" t="s">
        <v>47</v>
      </c>
      <c r="D1205" s="2" t="s">
        <v>10</v>
      </c>
      <c r="E1205" s="2" t="s">
        <v>11</v>
      </c>
      <c r="F1205" s="2">
        <v>32.9</v>
      </c>
      <c r="G1205" s="2">
        <v>4</v>
      </c>
      <c r="H1205" s="2">
        <v>11.1</v>
      </c>
      <c r="I1205" t="str">
        <f t="shared" si="18"/>
        <v>Sep</v>
      </c>
      <c r="J1205">
        <f>YEAR(datas[[#This Row],[Order Date]])</f>
        <v>2021</v>
      </c>
    </row>
    <row r="1206" spans="1:10" ht="14.25" customHeight="1" x14ac:dyDescent="0.3">
      <c r="A1206" s="1">
        <v>44465</v>
      </c>
      <c r="B1206" s="2" t="s">
        <v>46</v>
      </c>
      <c r="C1206" s="2" t="s">
        <v>13</v>
      </c>
      <c r="D1206" s="2" t="s">
        <v>28</v>
      </c>
      <c r="E1206" s="2" t="s">
        <v>34</v>
      </c>
      <c r="F1206" s="2">
        <v>153.82</v>
      </c>
      <c r="G1206" s="2">
        <v>11</v>
      </c>
      <c r="H1206" s="2">
        <v>38.46</v>
      </c>
      <c r="I1206" t="str">
        <f t="shared" si="18"/>
        <v>Sep</v>
      </c>
      <c r="J1206">
        <f>YEAR(datas[[#This Row],[Order Date]])</f>
        <v>2021</v>
      </c>
    </row>
    <row r="1207" spans="1:10" ht="14.25" customHeight="1" x14ac:dyDescent="0.3">
      <c r="A1207" s="1">
        <v>44466</v>
      </c>
      <c r="B1207" s="2" t="s">
        <v>150</v>
      </c>
      <c r="C1207" s="2" t="s">
        <v>87</v>
      </c>
      <c r="D1207" s="2" t="s">
        <v>26</v>
      </c>
      <c r="E1207" s="2" t="s">
        <v>32</v>
      </c>
      <c r="F1207" s="2">
        <v>87.54</v>
      </c>
      <c r="G1207" s="2">
        <v>3</v>
      </c>
      <c r="H1207" s="2">
        <v>37.64</v>
      </c>
      <c r="I1207" t="str">
        <f t="shared" si="18"/>
        <v>Sep</v>
      </c>
      <c r="J1207">
        <f>YEAR(datas[[#This Row],[Order Date]])</f>
        <v>2021</v>
      </c>
    </row>
    <row r="1208" spans="1:10" ht="14.25" customHeight="1" x14ac:dyDescent="0.3">
      <c r="A1208" s="1">
        <v>44466</v>
      </c>
      <c r="B1208" s="2" t="s">
        <v>504</v>
      </c>
      <c r="C1208" s="2" t="s">
        <v>21</v>
      </c>
      <c r="D1208" s="2" t="s">
        <v>26</v>
      </c>
      <c r="E1208" s="2" t="s">
        <v>27</v>
      </c>
      <c r="F1208" s="2">
        <v>603.91999999999996</v>
      </c>
      <c r="G1208" s="2">
        <v>5</v>
      </c>
      <c r="H1208" s="2">
        <v>45.29</v>
      </c>
      <c r="I1208" t="str">
        <f t="shared" si="18"/>
        <v>Sep</v>
      </c>
      <c r="J1208">
        <f>YEAR(datas[[#This Row],[Order Date]])</f>
        <v>2021</v>
      </c>
    </row>
    <row r="1209" spans="1:10" ht="14.25" customHeight="1" x14ac:dyDescent="0.3">
      <c r="A1209" s="1">
        <v>44466</v>
      </c>
      <c r="B1209" s="2" t="s">
        <v>504</v>
      </c>
      <c r="C1209" s="2" t="s">
        <v>21</v>
      </c>
      <c r="D1209" s="2" t="s">
        <v>10</v>
      </c>
      <c r="E1209" s="2" t="s">
        <v>11</v>
      </c>
      <c r="F1209" s="2">
        <v>81.98</v>
      </c>
      <c r="G1209" s="2">
        <v>2</v>
      </c>
      <c r="H1209" s="2">
        <v>40.17</v>
      </c>
      <c r="I1209" t="str">
        <f t="shared" si="18"/>
        <v>Sep</v>
      </c>
      <c r="J1209">
        <f>YEAR(datas[[#This Row],[Order Date]])</f>
        <v>2021</v>
      </c>
    </row>
    <row r="1210" spans="1:10" ht="14.25" customHeight="1" x14ac:dyDescent="0.3">
      <c r="A1210" s="1">
        <v>44467</v>
      </c>
      <c r="B1210" s="2" t="s">
        <v>505</v>
      </c>
      <c r="C1210" s="2" t="s">
        <v>181</v>
      </c>
      <c r="D1210" s="2" t="s">
        <v>10</v>
      </c>
      <c r="E1210" s="2" t="s">
        <v>15</v>
      </c>
      <c r="F1210" s="2">
        <v>46.26</v>
      </c>
      <c r="G1210" s="2">
        <v>3</v>
      </c>
      <c r="H1210" s="2">
        <v>12.49</v>
      </c>
      <c r="I1210" t="str">
        <f t="shared" si="18"/>
        <v>Sep</v>
      </c>
      <c r="J1210">
        <f>YEAR(datas[[#This Row],[Order Date]])</f>
        <v>2021</v>
      </c>
    </row>
    <row r="1211" spans="1:10" ht="14.25" customHeight="1" x14ac:dyDescent="0.3">
      <c r="A1211" s="1">
        <v>44467</v>
      </c>
      <c r="B1211" s="2" t="s">
        <v>506</v>
      </c>
      <c r="C1211" s="2" t="s">
        <v>115</v>
      </c>
      <c r="D1211" s="2" t="s">
        <v>10</v>
      </c>
      <c r="E1211" s="2" t="s">
        <v>11</v>
      </c>
      <c r="F1211" s="2">
        <v>96.26</v>
      </c>
      <c r="G1211" s="2">
        <v>8</v>
      </c>
      <c r="H1211" s="2">
        <v>31.28</v>
      </c>
      <c r="I1211" t="str">
        <f t="shared" si="18"/>
        <v>Sep</v>
      </c>
      <c r="J1211">
        <f>YEAR(datas[[#This Row],[Order Date]])</f>
        <v>2021</v>
      </c>
    </row>
    <row r="1212" spans="1:10" ht="14.25" customHeight="1" x14ac:dyDescent="0.3">
      <c r="A1212" s="1">
        <v>44467</v>
      </c>
      <c r="B1212" s="2" t="s">
        <v>506</v>
      </c>
      <c r="C1212" s="2" t="s">
        <v>115</v>
      </c>
      <c r="D1212" s="2" t="s">
        <v>10</v>
      </c>
      <c r="E1212" s="2" t="s">
        <v>11</v>
      </c>
      <c r="F1212" s="2">
        <v>10.69</v>
      </c>
      <c r="G1212" s="2">
        <v>2</v>
      </c>
      <c r="H1212" s="2">
        <v>3.74</v>
      </c>
      <c r="I1212" t="str">
        <f t="shared" si="18"/>
        <v>Sep</v>
      </c>
      <c r="J1212">
        <f>YEAR(datas[[#This Row],[Order Date]])</f>
        <v>2021</v>
      </c>
    </row>
    <row r="1213" spans="1:10" ht="14.25" customHeight="1" x14ac:dyDescent="0.3">
      <c r="A1213" s="1">
        <v>44467</v>
      </c>
      <c r="B1213" s="2" t="s">
        <v>59</v>
      </c>
      <c r="C1213" s="2" t="s">
        <v>64</v>
      </c>
      <c r="D1213" s="2" t="s">
        <v>26</v>
      </c>
      <c r="E1213" s="2" t="s">
        <v>32</v>
      </c>
      <c r="F1213" s="2">
        <v>337.09</v>
      </c>
      <c r="G1213" s="2">
        <v>4</v>
      </c>
      <c r="H1213" s="2">
        <v>16.850000000000001</v>
      </c>
      <c r="I1213" t="str">
        <f t="shared" si="18"/>
        <v>Sep</v>
      </c>
      <c r="J1213">
        <f>YEAR(datas[[#This Row],[Order Date]])</f>
        <v>2021</v>
      </c>
    </row>
    <row r="1214" spans="1:10" ht="14.25" customHeight="1" x14ac:dyDescent="0.3">
      <c r="A1214" s="1">
        <v>44468</v>
      </c>
      <c r="B1214" s="2" t="s">
        <v>428</v>
      </c>
      <c r="C1214" s="2" t="s">
        <v>21</v>
      </c>
      <c r="D1214" s="2" t="s">
        <v>26</v>
      </c>
      <c r="E1214" s="2" t="s">
        <v>32</v>
      </c>
      <c r="F1214" s="2">
        <v>204.6</v>
      </c>
      <c r="G1214" s="2">
        <v>2</v>
      </c>
      <c r="H1214" s="2">
        <v>53.2</v>
      </c>
      <c r="I1214" t="str">
        <f t="shared" si="18"/>
        <v>Sep</v>
      </c>
      <c r="J1214">
        <f>YEAR(datas[[#This Row],[Order Date]])</f>
        <v>2021</v>
      </c>
    </row>
    <row r="1215" spans="1:10" ht="14.25" customHeight="1" x14ac:dyDescent="0.3">
      <c r="A1215" s="1">
        <v>44468</v>
      </c>
      <c r="B1215" s="2" t="s">
        <v>428</v>
      </c>
      <c r="C1215" s="2" t="s">
        <v>21</v>
      </c>
      <c r="D1215" s="2" t="s">
        <v>10</v>
      </c>
      <c r="E1215" s="2" t="s">
        <v>30</v>
      </c>
      <c r="F1215" s="2">
        <v>8.7200000000000006</v>
      </c>
      <c r="G1215" s="2">
        <v>4</v>
      </c>
      <c r="H1215" s="2">
        <v>2.88</v>
      </c>
      <c r="I1215" t="str">
        <f t="shared" si="18"/>
        <v>Sep</v>
      </c>
      <c r="J1215">
        <f>YEAR(datas[[#This Row],[Order Date]])</f>
        <v>2021</v>
      </c>
    </row>
    <row r="1216" spans="1:10" ht="14.25" customHeight="1" x14ac:dyDescent="0.3">
      <c r="A1216" s="1">
        <v>44468</v>
      </c>
      <c r="B1216" s="2" t="s">
        <v>428</v>
      </c>
      <c r="C1216" s="2" t="s">
        <v>21</v>
      </c>
      <c r="D1216" s="2" t="s">
        <v>10</v>
      </c>
      <c r="E1216" s="2" t="s">
        <v>11</v>
      </c>
      <c r="F1216" s="2">
        <v>6.48</v>
      </c>
      <c r="G1216" s="2">
        <v>1</v>
      </c>
      <c r="H1216" s="2">
        <v>3.11</v>
      </c>
      <c r="I1216" t="str">
        <f t="shared" si="18"/>
        <v>Sep</v>
      </c>
      <c r="J1216">
        <f>YEAR(datas[[#This Row],[Order Date]])</f>
        <v>2021</v>
      </c>
    </row>
    <row r="1217" spans="1:10" ht="14.25" customHeight="1" x14ac:dyDescent="0.3">
      <c r="A1217" s="1">
        <v>44468</v>
      </c>
      <c r="B1217" s="2" t="s">
        <v>428</v>
      </c>
      <c r="C1217" s="2" t="s">
        <v>21</v>
      </c>
      <c r="D1217" s="2" t="s">
        <v>28</v>
      </c>
      <c r="E1217" s="2" t="s">
        <v>136</v>
      </c>
      <c r="F1217" s="2">
        <v>686.32</v>
      </c>
      <c r="G1217" s="2">
        <v>2</v>
      </c>
      <c r="H1217" s="2">
        <v>223.05</v>
      </c>
      <c r="I1217" t="str">
        <f t="shared" si="18"/>
        <v>Sep</v>
      </c>
      <c r="J1217">
        <f>YEAR(datas[[#This Row],[Order Date]])</f>
        <v>2021</v>
      </c>
    </row>
    <row r="1218" spans="1:10" ht="14.25" customHeight="1" x14ac:dyDescent="0.3">
      <c r="A1218" s="1">
        <v>44468</v>
      </c>
      <c r="B1218" s="2" t="s">
        <v>428</v>
      </c>
      <c r="C1218" s="2" t="s">
        <v>21</v>
      </c>
      <c r="D1218" s="2" t="s">
        <v>10</v>
      </c>
      <c r="E1218" s="2" t="s">
        <v>15</v>
      </c>
      <c r="F1218" s="2">
        <v>62.18</v>
      </c>
      <c r="G1218" s="2">
        <v>1</v>
      </c>
      <c r="H1218" s="2">
        <v>16.79</v>
      </c>
      <c r="I1218" t="str">
        <f t="shared" si="18"/>
        <v>Sep</v>
      </c>
      <c r="J1218">
        <f>YEAR(datas[[#This Row],[Order Date]])</f>
        <v>2021</v>
      </c>
    </row>
    <row r="1219" spans="1:10" ht="14.25" customHeight="1" x14ac:dyDescent="0.3">
      <c r="A1219" s="1">
        <v>44468</v>
      </c>
      <c r="B1219" s="2" t="s">
        <v>507</v>
      </c>
      <c r="C1219" s="2" t="s">
        <v>18</v>
      </c>
      <c r="D1219" s="2" t="s">
        <v>10</v>
      </c>
      <c r="E1219" s="2" t="s">
        <v>19</v>
      </c>
      <c r="F1219" s="2">
        <v>4.22</v>
      </c>
      <c r="G1219" s="2">
        <v>3</v>
      </c>
      <c r="H1219" s="2">
        <v>1.48</v>
      </c>
      <c r="I1219" t="str">
        <f t="shared" ref="I1219:I1282" si="19">TEXT(A1219,"mmm")</f>
        <v>Sep</v>
      </c>
      <c r="J1219">
        <f>YEAR(datas[[#This Row],[Order Date]])</f>
        <v>2021</v>
      </c>
    </row>
    <row r="1220" spans="1:10" ht="14.25" customHeight="1" x14ac:dyDescent="0.3">
      <c r="A1220" s="1">
        <v>44468</v>
      </c>
      <c r="B1220" s="2" t="s">
        <v>507</v>
      </c>
      <c r="C1220" s="2" t="s">
        <v>18</v>
      </c>
      <c r="D1220" s="2" t="s">
        <v>26</v>
      </c>
      <c r="E1220" s="2" t="s">
        <v>73</v>
      </c>
      <c r="F1220" s="2">
        <v>409.27</v>
      </c>
      <c r="G1220" s="2">
        <v>2</v>
      </c>
      <c r="H1220" s="2">
        <v>-81.849999999999994</v>
      </c>
      <c r="I1220" t="str">
        <f t="shared" si="19"/>
        <v>Sep</v>
      </c>
      <c r="J1220">
        <f>YEAR(datas[[#This Row],[Order Date]])</f>
        <v>2021</v>
      </c>
    </row>
    <row r="1221" spans="1:10" ht="14.25" customHeight="1" x14ac:dyDescent="0.3">
      <c r="A1221" s="1">
        <v>44468</v>
      </c>
      <c r="B1221" s="2" t="s">
        <v>507</v>
      </c>
      <c r="C1221" s="2" t="s">
        <v>18</v>
      </c>
      <c r="D1221" s="2" t="s">
        <v>10</v>
      </c>
      <c r="E1221" s="2" t="s">
        <v>14</v>
      </c>
      <c r="F1221" s="2">
        <v>55.44</v>
      </c>
      <c r="G1221" s="2">
        <v>11</v>
      </c>
      <c r="H1221" s="2">
        <v>18.02</v>
      </c>
      <c r="I1221" t="str">
        <f t="shared" si="19"/>
        <v>Sep</v>
      </c>
      <c r="J1221">
        <f>YEAR(datas[[#This Row],[Order Date]])</f>
        <v>2021</v>
      </c>
    </row>
    <row r="1222" spans="1:10" ht="14.25" customHeight="1" x14ac:dyDescent="0.3">
      <c r="A1222" s="1">
        <v>44468</v>
      </c>
      <c r="B1222" s="2" t="s">
        <v>507</v>
      </c>
      <c r="C1222" s="2" t="s">
        <v>18</v>
      </c>
      <c r="D1222" s="2" t="s">
        <v>10</v>
      </c>
      <c r="E1222" s="2" t="s">
        <v>11</v>
      </c>
      <c r="F1222" s="2">
        <v>20.93</v>
      </c>
      <c r="G1222" s="2">
        <v>4</v>
      </c>
      <c r="H1222" s="2">
        <v>6.8</v>
      </c>
      <c r="I1222" t="str">
        <f t="shared" si="19"/>
        <v>Sep</v>
      </c>
      <c r="J1222">
        <f>YEAR(datas[[#This Row],[Order Date]])</f>
        <v>2021</v>
      </c>
    </row>
    <row r="1223" spans="1:10" ht="14.25" customHeight="1" x14ac:dyDescent="0.3">
      <c r="A1223" s="1">
        <v>44468</v>
      </c>
      <c r="B1223" s="2" t="s">
        <v>507</v>
      </c>
      <c r="C1223" s="2" t="s">
        <v>18</v>
      </c>
      <c r="D1223" s="2" t="s">
        <v>10</v>
      </c>
      <c r="E1223" s="2" t="s">
        <v>15</v>
      </c>
      <c r="F1223" s="2">
        <v>1801.63</v>
      </c>
      <c r="G1223" s="2">
        <v>6</v>
      </c>
      <c r="H1223" s="2">
        <v>-337.81</v>
      </c>
      <c r="I1223" t="str">
        <f t="shared" si="19"/>
        <v>Sep</v>
      </c>
      <c r="J1223">
        <f>YEAR(datas[[#This Row],[Order Date]])</f>
        <v>2021</v>
      </c>
    </row>
    <row r="1224" spans="1:10" ht="14.25" customHeight="1" x14ac:dyDescent="0.3">
      <c r="A1224" s="1">
        <v>44468</v>
      </c>
      <c r="B1224" s="2" t="s">
        <v>507</v>
      </c>
      <c r="C1224" s="2" t="s">
        <v>18</v>
      </c>
      <c r="D1224" s="2" t="s">
        <v>26</v>
      </c>
      <c r="E1224" s="2" t="s">
        <v>73</v>
      </c>
      <c r="F1224" s="2">
        <v>67.180000000000007</v>
      </c>
      <c r="G1224" s="2">
        <v>1</v>
      </c>
      <c r="H1224" s="2">
        <v>-20.149999999999999</v>
      </c>
      <c r="I1224" t="str">
        <f t="shared" si="19"/>
        <v>Sep</v>
      </c>
      <c r="J1224">
        <f>YEAR(datas[[#This Row],[Order Date]])</f>
        <v>2021</v>
      </c>
    </row>
    <row r="1225" spans="1:10" ht="14.25" customHeight="1" x14ac:dyDescent="0.3">
      <c r="A1225" s="1">
        <v>44468</v>
      </c>
      <c r="B1225" s="2" t="s">
        <v>437</v>
      </c>
      <c r="C1225" s="2" t="s">
        <v>82</v>
      </c>
      <c r="D1225" s="2" t="s">
        <v>26</v>
      </c>
      <c r="E1225" s="2" t="s">
        <v>32</v>
      </c>
      <c r="F1225" s="2">
        <v>6.16</v>
      </c>
      <c r="G1225" s="2">
        <v>2</v>
      </c>
      <c r="H1225" s="2">
        <v>2.96</v>
      </c>
      <c r="I1225" t="str">
        <f t="shared" si="19"/>
        <v>Sep</v>
      </c>
      <c r="J1225">
        <f>YEAR(datas[[#This Row],[Order Date]])</f>
        <v>2021</v>
      </c>
    </row>
    <row r="1226" spans="1:10" ht="14.25" customHeight="1" x14ac:dyDescent="0.3">
      <c r="A1226" s="1">
        <v>44468</v>
      </c>
      <c r="B1226" s="2" t="s">
        <v>437</v>
      </c>
      <c r="C1226" s="2" t="s">
        <v>82</v>
      </c>
      <c r="D1226" s="2" t="s">
        <v>26</v>
      </c>
      <c r="E1226" s="2" t="s">
        <v>73</v>
      </c>
      <c r="F1226" s="2">
        <v>2348.8200000000002</v>
      </c>
      <c r="G1226" s="2">
        <v>9</v>
      </c>
      <c r="H1226" s="2">
        <v>399.3</v>
      </c>
      <c r="I1226" t="str">
        <f t="shared" si="19"/>
        <v>Sep</v>
      </c>
      <c r="J1226">
        <f>YEAR(datas[[#This Row],[Order Date]])</f>
        <v>2021</v>
      </c>
    </row>
    <row r="1227" spans="1:10" ht="14.25" customHeight="1" x14ac:dyDescent="0.3">
      <c r="A1227" s="1">
        <v>44468</v>
      </c>
      <c r="B1227" s="2" t="s">
        <v>508</v>
      </c>
      <c r="C1227" s="2" t="s">
        <v>75</v>
      </c>
      <c r="D1227" s="2" t="s">
        <v>10</v>
      </c>
      <c r="E1227" s="2" t="s">
        <v>15</v>
      </c>
      <c r="F1227" s="2">
        <v>1395.54</v>
      </c>
      <c r="G1227" s="2">
        <v>9</v>
      </c>
      <c r="H1227" s="2">
        <v>362.84</v>
      </c>
      <c r="I1227" t="str">
        <f t="shared" si="19"/>
        <v>Sep</v>
      </c>
      <c r="J1227">
        <f>YEAR(datas[[#This Row],[Order Date]])</f>
        <v>2021</v>
      </c>
    </row>
    <row r="1228" spans="1:10" ht="14.25" customHeight="1" x14ac:dyDescent="0.3">
      <c r="A1228" s="1">
        <v>44468</v>
      </c>
      <c r="B1228" s="2" t="s">
        <v>508</v>
      </c>
      <c r="C1228" s="2" t="s">
        <v>75</v>
      </c>
      <c r="D1228" s="2" t="s">
        <v>26</v>
      </c>
      <c r="E1228" s="2" t="s">
        <v>32</v>
      </c>
      <c r="F1228" s="2">
        <v>117.36</v>
      </c>
      <c r="G1228" s="2">
        <v>4</v>
      </c>
      <c r="H1228" s="2">
        <v>36.380000000000003</v>
      </c>
      <c r="I1228" t="str">
        <f t="shared" si="19"/>
        <v>Sep</v>
      </c>
      <c r="J1228">
        <f>YEAR(datas[[#This Row],[Order Date]])</f>
        <v>2021</v>
      </c>
    </row>
    <row r="1229" spans="1:10" ht="14.25" customHeight="1" x14ac:dyDescent="0.3">
      <c r="A1229" s="1">
        <v>44468</v>
      </c>
      <c r="B1229" s="2" t="s">
        <v>508</v>
      </c>
      <c r="C1229" s="2" t="s">
        <v>75</v>
      </c>
      <c r="D1229" s="2" t="s">
        <v>10</v>
      </c>
      <c r="E1229" s="2" t="s">
        <v>14</v>
      </c>
      <c r="F1229" s="2">
        <v>18.899999999999999</v>
      </c>
      <c r="G1229" s="2">
        <v>3</v>
      </c>
      <c r="H1229" s="2">
        <v>8.69</v>
      </c>
      <c r="I1229" t="str">
        <f t="shared" si="19"/>
        <v>Sep</v>
      </c>
      <c r="J1229">
        <f>YEAR(datas[[#This Row],[Order Date]])</f>
        <v>2021</v>
      </c>
    </row>
    <row r="1230" spans="1:10" ht="14.25" customHeight="1" x14ac:dyDescent="0.3">
      <c r="A1230" s="1">
        <v>44468</v>
      </c>
      <c r="B1230" s="2" t="s">
        <v>508</v>
      </c>
      <c r="C1230" s="2" t="s">
        <v>75</v>
      </c>
      <c r="D1230" s="2" t="s">
        <v>10</v>
      </c>
      <c r="E1230" s="2" t="s">
        <v>11</v>
      </c>
      <c r="F1230" s="2">
        <v>77.52</v>
      </c>
      <c r="G1230" s="2">
        <v>2</v>
      </c>
      <c r="H1230" s="2">
        <v>37.979999999999997</v>
      </c>
      <c r="I1230" t="str">
        <f t="shared" si="19"/>
        <v>Sep</v>
      </c>
      <c r="J1230">
        <f>YEAR(datas[[#This Row],[Order Date]])</f>
        <v>2021</v>
      </c>
    </row>
    <row r="1231" spans="1:10" ht="14.25" customHeight="1" x14ac:dyDescent="0.3">
      <c r="A1231" s="1">
        <v>44468</v>
      </c>
      <c r="B1231" s="2" t="s">
        <v>509</v>
      </c>
      <c r="C1231" s="2" t="s">
        <v>82</v>
      </c>
      <c r="D1231" s="2" t="s">
        <v>10</v>
      </c>
      <c r="E1231" s="2" t="s">
        <v>16</v>
      </c>
      <c r="F1231" s="2">
        <v>10.050000000000001</v>
      </c>
      <c r="G1231" s="2">
        <v>2</v>
      </c>
      <c r="H1231" s="2">
        <v>3.14</v>
      </c>
      <c r="I1231" t="str">
        <f t="shared" si="19"/>
        <v>Sep</v>
      </c>
      <c r="J1231">
        <f>YEAR(datas[[#This Row],[Order Date]])</f>
        <v>2021</v>
      </c>
    </row>
    <row r="1232" spans="1:10" ht="14.25" customHeight="1" x14ac:dyDescent="0.3">
      <c r="A1232" s="1">
        <v>44468</v>
      </c>
      <c r="B1232" s="2" t="s">
        <v>509</v>
      </c>
      <c r="C1232" s="2" t="s">
        <v>82</v>
      </c>
      <c r="D1232" s="2" t="s">
        <v>10</v>
      </c>
      <c r="E1232" s="2" t="s">
        <v>15</v>
      </c>
      <c r="F1232" s="2">
        <v>807.75</v>
      </c>
      <c r="G1232" s="2">
        <v>5</v>
      </c>
      <c r="H1232" s="2">
        <v>153.47</v>
      </c>
      <c r="I1232" t="str">
        <f t="shared" si="19"/>
        <v>Sep</v>
      </c>
      <c r="J1232">
        <f>YEAR(datas[[#This Row],[Order Date]])</f>
        <v>2021</v>
      </c>
    </row>
    <row r="1233" spans="1:10" ht="14.25" customHeight="1" x14ac:dyDescent="0.3">
      <c r="A1233" s="1">
        <v>44469</v>
      </c>
      <c r="B1233" s="2" t="s">
        <v>345</v>
      </c>
      <c r="C1233" s="2" t="s">
        <v>75</v>
      </c>
      <c r="D1233" s="2" t="s">
        <v>10</v>
      </c>
      <c r="E1233" s="2" t="s">
        <v>11</v>
      </c>
      <c r="F1233" s="2">
        <v>48.94</v>
      </c>
      <c r="G1233" s="2">
        <v>1</v>
      </c>
      <c r="H1233" s="2">
        <v>24.47</v>
      </c>
      <c r="I1233" t="str">
        <f t="shared" si="19"/>
        <v>Sep</v>
      </c>
      <c r="J1233">
        <f>YEAR(datas[[#This Row],[Order Date]])</f>
        <v>2021</v>
      </c>
    </row>
    <row r="1234" spans="1:10" ht="14.25" customHeight="1" x14ac:dyDescent="0.3">
      <c r="A1234" s="1">
        <v>44469</v>
      </c>
      <c r="B1234" s="2" t="s">
        <v>416</v>
      </c>
      <c r="C1234" s="2" t="s">
        <v>64</v>
      </c>
      <c r="D1234" s="2" t="s">
        <v>10</v>
      </c>
      <c r="E1234" s="2" t="s">
        <v>11</v>
      </c>
      <c r="F1234" s="2">
        <v>15.55</v>
      </c>
      <c r="G1234" s="2">
        <v>3</v>
      </c>
      <c r="H1234" s="2">
        <v>5.44</v>
      </c>
      <c r="I1234" t="str">
        <f t="shared" si="19"/>
        <v>Sep</v>
      </c>
      <c r="J1234">
        <f>YEAR(datas[[#This Row],[Order Date]])</f>
        <v>2021</v>
      </c>
    </row>
    <row r="1235" spans="1:10" ht="14.25" customHeight="1" x14ac:dyDescent="0.3">
      <c r="A1235" s="1">
        <v>44469</v>
      </c>
      <c r="B1235" s="2" t="s">
        <v>510</v>
      </c>
      <c r="C1235" s="2" t="s">
        <v>62</v>
      </c>
      <c r="D1235" s="2" t="s">
        <v>10</v>
      </c>
      <c r="E1235" s="2" t="s">
        <v>53</v>
      </c>
      <c r="F1235" s="2">
        <v>69.22</v>
      </c>
      <c r="G1235" s="2">
        <v>6</v>
      </c>
      <c r="H1235" s="2">
        <v>11.25</v>
      </c>
      <c r="I1235" t="str">
        <f t="shared" si="19"/>
        <v>Sep</v>
      </c>
      <c r="J1235">
        <f>YEAR(datas[[#This Row],[Order Date]])</f>
        <v>2021</v>
      </c>
    </row>
    <row r="1236" spans="1:10" ht="14.25" customHeight="1" x14ac:dyDescent="0.3">
      <c r="A1236" s="1">
        <v>44469</v>
      </c>
      <c r="B1236" s="2" t="s">
        <v>511</v>
      </c>
      <c r="C1236" s="2" t="s">
        <v>82</v>
      </c>
      <c r="D1236" s="2" t="s">
        <v>10</v>
      </c>
      <c r="E1236" s="2" t="s">
        <v>16</v>
      </c>
      <c r="F1236" s="2">
        <v>43.18</v>
      </c>
      <c r="G1236" s="2">
        <v>7</v>
      </c>
      <c r="H1236" s="2">
        <v>13.49</v>
      </c>
      <c r="I1236" t="str">
        <f t="shared" si="19"/>
        <v>Sep</v>
      </c>
      <c r="J1236">
        <f>YEAR(datas[[#This Row],[Order Date]])</f>
        <v>2021</v>
      </c>
    </row>
    <row r="1237" spans="1:10" ht="14.25" customHeight="1" x14ac:dyDescent="0.3">
      <c r="A1237" s="1">
        <v>44469</v>
      </c>
      <c r="B1237" s="2" t="s">
        <v>290</v>
      </c>
      <c r="C1237" s="2" t="s">
        <v>75</v>
      </c>
      <c r="D1237" s="2" t="s">
        <v>26</v>
      </c>
      <c r="E1237" s="2" t="s">
        <v>32</v>
      </c>
      <c r="F1237" s="2">
        <v>15.24</v>
      </c>
      <c r="G1237" s="2">
        <v>3</v>
      </c>
      <c r="H1237" s="2">
        <v>5.18</v>
      </c>
      <c r="I1237" t="str">
        <f t="shared" si="19"/>
        <v>Sep</v>
      </c>
      <c r="J1237">
        <f>YEAR(datas[[#This Row],[Order Date]])</f>
        <v>2021</v>
      </c>
    </row>
    <row r="1238" spans="1:10" ht="14.25" customHeight="1" x14ac:dyDescent="0.3">
      <c r="A1238" s="1">
        <v>44469</v>
      </c>
      <c r="B1238" s="2" t="s">
        <v>512</v>
      </c>
      <c r="C1238" s="2" t="s">
        <v>47</v>
      </c>
      <c r="D1238" s="2" t="s">
        <v>10</v>
      </c>
      <c r="E1238" s="2" t="s">
        <v>53</v>
      </c>
      <c r="F1238" s="2">
        <v>795.41</v>
      </c>
      <c r="G1238" s="2">
        <v>6</v>
      </c>
      <c r="H1238" s="2">
        <v>59.66</v>
      </c>
      <c r="I1238" t="str">
        <f t="shared" si="19"/>
        <v>Sep</v>
      </c>
      <c r="J1238">
        <f>YEAR(datas[[#This Row],[Order Date]])</f>
        <v>2021</v>
      </c>
    </row>
    <row r="1239" spans="1:10" ht="14.25" customHeight="1" x14ac:dyDescent="0.3">
      <c r="A1239" s="1">
        <v>44470</v>
      </c>
      <c r="B1239" s="2" t="s">
        <v>137</v>
      </c>
      <c r="C1239" s="2" t="s">
        <v>66</v>
      </c>
      <c r="D1239" s="2" t="s">
        <v>10</v>
      </c>
      <c r="E1239" s="2" t="s">
        <v>30</v>
      </c>
      <c r="F1239" s="2">
        <v>4.71</v>
      </c>
      <c r="G1239" s="2">
        <v>1</v>
      </c>
      <c r="H1239" s="2">
        <v>0</v>
      </c>
      <c r="I1239" t="str">
        <f t="shared" si="19"/>
        <v>Oct</v>
      </c>
      <c r="J1239">
        <f>YEAR(datas[[#This Row],[Order Date]])</f>
        <v>2021</v>
      </c>
    </row>
    <row r="1240" spans="1:10" ht="14.25" customHeight="1" x14ac:dyDescent="0.3">
      <c r="A1240" s="1">
        <v>44471</v>
      </c>
      <c r="B1240" s="2" t="s">
        <v>513</v>
      </c>
      <c r="C1240" s="2" t="s">
        <v>55</v>
      </c>
      <c r="D1240" s="2" t="s">
        <v>10</v>
      </c>
      <c r="E1240" s="2" t="s">
        <v>11</v>
      </c>
      <c r="F1240" s="2">
        <v>9.41</v>
      </c>
      <c r="G1240" s="2">
        <v>2</v>
      </c>
      <c r="H1240" s="2">
        <v>3.41</v>
      </c>
      <c r="I1240" t="str">
        <f t="shared" si="19"/>
        <v>Oct</v>
      </c>
      <c r="J1240">
        <f>YEAR(datas[[#This Row],[Order Date]])</f>
        <v>2021</v>
      </c>
    </row>
    <row r="1241" spans="1:10" ht="14.25" customHeight="1" x14ac:dyDescent="0.3">
      <c r="A1241" s="1">
        <v>44471</v>
      </c>
      <c r="B1241" s="2" t="s">
        <v>513</v>
      </c>
      <c r="C1241" s="2" t="s">
        <v>55</v>
      </c>
      <c r="D1241" s="2" t="s">
        <v>10</v>
      </c>
      <c r="E1241" s="2" t="s">
        <v>30</v>
      </c>
      <c r="F1241" s="2">
        <v>4.67</v>
      </c>
      <c r="G1241" s="2">
        <v>2</v>
      </c>
      <c r="H1241" s="2">
        <v>1.46</v>
      </c>
      <c r="I1241" t="str">
        <f t="shared" si="19"/>
        <v>Oct</v>
      </c>
      <c r="J1241">
        <f>YEAR(datas[[#This Row],[Order Date]])</f>
        <v>2021</v>
      </c>
    </row>
    <row r="1242" spans="1:10" ht="14.25" customHeight="1" x14ac:dyDescent="0.3">
      <c r="A1242" s="1">
        <v>44471</v>
      </c>
      <c r="B1242" s="2" t="s">
        <v>513</v>
      </c>
      <c r="C1242" s="2" t="s">
        <v>55</v>
      </c>
      <c r="D1242" s="2" t="s">
        <v>28</v>
      </c>
      <c r="E1242" s="2" t="s">
        <v>29</v>
      </c>
      <c r="F1242" s="2">
        <v>318.39999999999998</v>
      </c>
      <c r="G1242" s="2">
        <v>2</v>
      </c>
      <c r="H1242" s="2">
        <v>107.46</v>
      </c>
      <c r="I1242" t="str">
        <f t="shared" si="19"/>
        <v>Oct</v>
      </c>
      <c r="J1242">
        <f>YEAR(datas[[#This Row],[Order Date]])</f>
        <v>2021</v>
      </c>
    </row>
    <row r="1243" spans="1:10" ht="14.25" customHeight="1" x14ac:dyDescent="0.3">
      <c r="A1243" s="1">
        <v>44471</v>
      </c>
      <c r="B1243" s="2" t="s">
        <v>513</v>
      </c>
      <c r="C1243" s="2" t="s">
        <v>55</v>
      </c>
      <c r="D1243" s="2" t="s">
        <v>10</v>
      </c>
      <c r="E1243" s="2" t="s">
        <v>41</v>
      </c>
      <c r="F1243" s="2">
        <v>12.77</v>
      </c>
      <c r="G1243" s="2">
        <v>6</v>
      </c>
      <c r="H1243" s="2">
        <v>4.63</v>
      </c>
      <c r="I1243" t="str">
        <f t="shared" si="19"/>
        <v>Oct</v>
      </c>
      <c r="J1243">
        <f>YEAR(datas[[#This Row],[Order Date]])</f>
        <v>2021</v>
      </c>
    </row>
    <row r="1244" spans="1:10" ht="14.25" customHeight="1" x14ac:dyDescent="0.3">
      <c r="A1244" s="1">
        <v>44471</v>
      </c>
      <c r="B1244" s="2" t="s">
        <v>513</v>
      </c>
      <c r="C1244" s="2" t="s">
        <v>55</v>
      </c>
      <c r="D1244" s="2" t="s">
        <v>10</v>
      </c>
      <c r="E1244" s="2" t="s">
        <v>95</v>
      </c>
      <c r="F1244" s="2">
        <v>15.36</v>
      </c>
      <c r="G1244" s="2">
        <v>2</v>
      </c>
      <c r="H1244" s="2">
        <v>-3.26</v>
      </c>
      <c r="I1244" t="str">
        <f t="shared" si="19"/>
        <v>Oct</v>
      </c>
      <c r="J1244">
        <f>YEAR(datas[[#This Row],[Order Date]])</f>
        <v>2021</v>
      </c>
    </row>
    <row r="1245" spans="1:10" ht="14.25" customHeight="1" x14ac:dyDescent="0.3">
      <c r="A1245" s="1">
        <v>44471</v>
      </c>
      <c r="B1245" s="2" t="s">
        <v>513</v>
      </c>
      <c r="C1245" s="2" t="s">
        <v>55</v>
      </c>
      <c r="D1245" s="2" t="s">
        <v>28</v>
      </c>
      <c r="E1245" s="2" t="s">
        <v>29</v>
      </c>
      <c r="F1245" s="2">
        <v>230.38</v>
      </c>
      <c r="G1245" s="2">
        <v>3</v>
      </c>
      <c r="H1245" s="2">
        <v>20.16</v>
      </c>
      <c r="I1245" t="str">
        <f t="shared" si="19"/>
        <v>Oct</v>
      </c>
      <c r="J1245">
        <f>YEAR(datas[[#This Row],[Order Date]])</f>
        <v>2021</v>
      </c>
    </row>
    <row r="1246" spans="1:10" ht="14.25" customHeight="1" x14ac:dyDescent="0.3">
      <c r="A1246" s="1">
        <v>44471</v>
      </c>
      <c r="B1246" s="2" t="s">
        <v>513</v>
      </c>
      <c r="C1246" s="2" t="s">
        <v>55</v>
      </c>
      <c r="D1246" s="2" t="s">
        <v>28</v>
      </c>
      <c r="E1246" s="2" t="s">
        <v>34</v>
      </c>
      <c r="F1246" s="2">
        <v>7.16</v>
      </c>
      <c r="G1246" s="2">
        <v>1</v>
      </c>
      <c r="H1246" s="2">
        <v>-0.09</v>
      </c>
      <c r="I1246" t="str">
        <f t="shared" si="19"/>
        <v>Oct</v>
      </c>
      <c r="J1246">
        <f>YEAR(datas[[#This Row],[Order Date]])</f>
        <v>2021</v>
      </c>
    </row>
    <row r="1247" spans="1:10" ht="14.25" customHeight="1" x14ac:dyDescent="0.3">
      <c r="A1247" s="1">
        <v>44472</v>
      </c>
      <c r="B1247" s="2" t="s">
        <v>514</v>
      </c>
      <c r="C1247" s="2" t="s">
        <v>13</v>
      </c>
      <c r="D1247" s="2" t="s">
        <v>26</v>
      </c>
      <c r="E1247" s="2" t="s">
        <v>27</v>
      </c>
      <c r="F1247" s="2">
        <v>258.27999999999997</v>
      </c>
      <c r="G1247" s="2">
        <v>3</v>
      </c>
      <c r="H1247" s="2">
        <v>-70.099999999999994</v>
      </c>
      <c r="I1247" t="str">
        <f t="shared" si="19"/>
        <v>Oct</v>
      </c>
      <c r="J1247">
        <f>YEAR(datas[[#This Row],[Order Date]])</f>
        <v>2021</v>
      </c>
    </row>
    <row r="1248" spans="1:10" ht="14.25" customHeight="1" x14ac:dyDescent="0.3">
      <c r="A1248" s="1">
        <v>44472</v>
      </c>
      <c r="B1248" s="2" t="s">
        <v>515</v>
      </c>
      <c r="C1248" s="2" t="s">
        <v>21</v>
      </c>
      <c r="D1248" s="2" t="s">
        <v>26</v>
      </c>
      <c r="E1248" s="2" t="s">
        <v>73</v>
      </c>
      <c r="F1248" s="2">
        <v>143.43</v>
      </c>
      <c r="G1248" s="2">
        <v>1</v>
      </c>
      <c r="H1248" s="2">
        <v>3.59</v>
      </c>
      <c r="I1248" t="str">
        <f t="shared" si="19"/>
        <v>Oct</v>
      </c>
      <c r="J1248">
        <f>YEAR(datas[[#This Row],[Order Date]])</f>
        <v>2021</v>
      </c>
    </row>
    <row r="1249" spans="1:10" ht="14.25" customHeight="1" x14ac:dyDescent="0.3">
      <c r="A1249" s="1">
        <v>44472</v>
      </c>
      <c r="B1249" s="2" t="s">
        <v>515</v>
      </c>
      <c r="C1249" s="2" t="s">
        <v>21</v>
      </c>
      <c r="D1249" s="2" t="s">
        <v>26</v>
      </c>
      <c r="E1249" s="2" t="s">
        <v>27</v>
      </c>
      <c r="F1249" s="2">
        <v>122.35</v>
      </c>
      <c r="G1249" s="2">
        <v>3</v>
      </c>
      <c r="H1249" s="2">
        <v>13.76</v>
      </c>
      <c r="I1249" t="str">
        <f t="shared" si="19"/>
        <v>Oct</v>
      </c>
      <c r="J1249">
        <f>YEAR(datas[[#This Row],[Order Date]])</f>
        <v>2021</v>
      </c>
    </row>
    <row r="1250" spans="1:10" ht="14.25" customHeight="1" x14ac:dyDescent="0.3">
      <c r="A1250" s="1">
        <v>44472</v>
      </c>
      <c r="B1250" s="2" t="s">
        <v>492</v>
      </c>
      <c r="C1250" s="2" t="s">
        <v>115</v>
      </c>
      <c r="D1250" s="2" t="s">
        <v>10</v>
      </c>
      <c r="E1250" s="2" t="s">
        <v>15</v>
      </c>
      <c r="F1250" s="2">
        <v>61.57</v>
      </c>
      <c r="G1250" s="2">
        <v>2</v>
      </c>
      <c r="H1250" s="2">
        <v>4.62</v>
      </c>
      <c r="I1250" t="str">
        <f t="shared" si="19"/>
        <v>Oct</v>
      </c>
      <c r="J1250">
        <f>YEAR(datas[[#This Row],[Order Date]])</f>
        <v>2021</v>
      </c>
    </row>
    <row r="1251" spans="1:10" ht="14.25" customHeight="1" x14ac:dyDescent="0.3">
      <c r="A1251" s="1">
        <v>44472</v>
      </c>
      <c r="B1251" s="2" t="s">
        <v>492</v>
      </c>
      <c r="C1251" s="2" t="s">
        <v>115</v>
      </c>
      <c r="D1251" s="2" t="s">
        <v>10</v>
      </c>
      <c r="E1251" s="2" t="s">
        <v>19</v>
      </c>
      <c r="F1251" s="2">
        <v>6.19</v>
      </c>
      <c r="G1251" s="2">
        <v>3</v>
      </c>
      <c r="H1251" s="2">
        <v>0.46</v>
      </c>
      <c r="I1251" t="str">
        <f t="shared" si="19"/>
        <v>Oct</v>
      </c>
      <c r="J1251">
        <f>YEAR(datas[[#This Row],[Order Date]])</f>
        <v>2021</v>
      </c>
    </row>
    <row r="1252" spans="1:10" ht="14.25" customHeight="1" x14ac:dyDescent="0.3">
      <c r="A1252" s="1">
        <v>44472</v>
      </c>
      <c r="B1252" s="2" t="s">
        <v>516</v>
      </c>
      <c r="C1252" s="2" t="s">
        <v>47</v>
      </c>
      <c r="D1252" s="2" t="s">
        <v>10</v>
      </c>
      <c r="E1252" s="2" t="s">
        <v>19</v>
      </c>
      <c r="F1252" s="2">
        <v>55.98</v>
      </c>
      <c r="G1252" s="2">
        <v>2</v>
      </c>
      <c r="H1252" s="2">
        <v>4.2</v>
      </c>
      <c r="I1252" t="str">
        <f t="shared" si="19"/>
        <v>Oct</v>
      </c>
      <c r="J1252">
        <f>YEAR(datas[[#This Row],[Order Date]])</f>
        <v>2021</v>
      </c>
    </row>
    <row r="1253" spans="1:10" ht="14.25" customHeight="1" x14ac:dyDescent="0.3">
      <c r="A1253" s="1">
        <v>44472</v>
      </c>
      <c r="B1253" s="2" t="s">
        <v>516</v>
      </c>
      <c r="C1253" s="2" t="s">
        <v>47</v>
      </c>
      <c r="D1253" s="2" t="s">
        <v>10</v>
      </c>
      <c r="E1253" s="2" t="s">
        <v>41</v>
      </c>
      <c r="F1253" s="2">
        <v>14.48</v>
      </c>
      <c r="G1253" s="2">
        <v>5</v>
      </c>
      <c r="H1253" s="2">
        <v>4.8899999999999997</v>
      </c>
      <c r="I1253" t="str">
        <f t="shared" si="19"/>
        <v>Oct</v>
      </c>
      <c r="J1253">
        <f>YEAR(datas[[#This Row],[Order Date]])</f>
        <v>2021</v>
      </c>
    </row>
    <row r="1254" spans="1:10" ht="14.25" customHeight="1" x14ac:dyDescent="0.3">
      <c r="A1254" s="1">
        <v>44472</v>
      </c>
      <c r="B1254" s="2" t="s">
        <v>516</v>
      </c>
      <c r="C1254" s="2" t="s">
        <v>47</v>
      </c>
      <c r="D1254" s="2" t="s">
        <v>28</v>
      </c>
      <c r="E1254" s="2" t="s">
        <v>34</v>
      </c>
      <c r="F1254" s="2">
        <v>142.49</v>
      </c>
      <c r="G1254" s="2">
        <v>3</v>
      </c>
      <c r="H1254" s="2">
        <v>-3.56</v>
      </c>
      <c r="I1254" t="str">
        <f t="shared" si="19"/>
        <v>Oct</v>
      </c>
      <c r="J1254">
        <f>YEAR(datas[[#This Row],[Order Date]])</f>
        <v>2021</v>
      </c>
    </row>
    <row r="1255" spans="1:10" ht="14.25" customHeight="1" x14ac:dyDescent="0.3">
      <c r="A1255" s="1">
        <v>44472</v>
      </c>
      <c r="B1255" s="2" t="s">
        <v>517</v>
      </c>
      <c r="C1255" s="2" t="s">
        <v>9</v>
      </c>
      <c r="D1255" s="2" t="s">
        <v>10</v>
      </c>
      <c r="E1255" s="2" t="s">
        <v>30</v>
      </c>
      <c r="F1255" s="2">
        <v>4.34</v>
      </c>
      <c r="G1255" s="2">
        <v>3</v>
      </c>
      <c r="H1255" s="2">
        <v>0.87</v>
      </c>
      <c r="I1255" t="str">
        <f t="shared" si="19"/>
        <v>Oct</v>
      </c>
      <c r="J1255">
        <f>YEAR(datas[[#This Row],[Order Date]])</f>
        <v>2021</v>
      </c>
    </row>
    <row r="1256" spans="1:10" ht="14.25" customHeight="1" x14ac:dyDescent="0.3">
      <c r="A1256" s="1">
        <v>44472</v>
      </c>
      <c r="B1256" s="2" t="s">
        <v>517</v>
      </c>
      <c r="C1256" s="2" t="s">
        <v>9</v>
      </c>
      <c r="D1256" s="2" t="s">
        <v>26</v>
      </c>
      <c r="E1256" s="2" t="s">
        <v>32</v>
      </c>
      <c r="F1256" s="2">
        <v>31.78</v>
      </c>
      <c r="G1256" s="2">
        <v>3</v>
      </c>
      <c r="H1256" s="2">
        <v>-19.07</v>
      </c>
      <c r="I1256" t="str">
        <f t="shared" si="19"/>
        <v>Oct</v>
      </c>
      <c r="J1256">
        <f>YEAR(datas[[#This Row],[Order Date]])</f>
        <v>2021</v>
      </c>
    </row>
    <row r="1257" spans="1:10" ht="14.25" customHeight="1" x14ac:dyDescent="0.3">
      <c r="A1257" s="1">
        <v>44472</v>
      </c>
      <c r="B1257" s="2" t="s">
        <v>517</v>
      </c>
      <c r="C1257" s="2" t="s">
        <v>9</v>
      </c>
      <c r="D1257" s="2" t="s">
        <v>10</v>
      </c>
      <c r="E1257" s="2" t="s">
        <v>14</v>
      </c>
      <c r="F1257" s="2">
        <v>4.93</v>
      </c>
      <c r="G1257" s="2">
        <v>2</v>
      </c>
      <c r="H1257" s="2">
        <v>1.72</v>
      </c>
      <c r="I1257" t="str">
        <f t="shared" si="19"/>
        <v>Oct</v>
      </c>
      <c r="J1257">
        <f>YEAR(datas[[#This Row],[Order Date]])</f>
        <v>2021</v>
      </c>
    </row>
    <row r="1258" spans="1:10" ht="14.25" customHeight="1" x14ac:dyDescent="0.3">
      <c r="A1258" s="1">
        <v>44472</v>
      </c>
      <c r="B1258" s="2" t="s">
        <v>517</v>
      </c>
      <c r="C1258" s="2" t="s">
        <v>9</v>
      </c>
      <c r="D1258" s="2" t="s">
        <v>10</v>
      </c>
      <c r="E1258" s="2" t="s">
        <v>16</v>
      </c>
      <c r="F1258" s="2">
        <v>1.79</v>
      </c>
      <c r="G1258" s="2">
        <v>3</v>
      </c>
      <c r="H1258" s="2">
        <v>-3.04</v>
      </c>
      <c r="I1258" t="str">
        <f t="shared" si="19"/>
        <v>Oct</v>
      </c>
      <c r="J1258">
        <f>YEAR(datas[[#This Row],[Order Date]])</f>
        <v>2021</v>
      </c>
    </row>
    <row r="1259" spans="1:10" ht="14.25" customHeight="1" x14ac:dyDescent="0.3">
      <c r="A1259" s="1">
        <v>44472</v>
      </c>
      <c r="B1259" s="2" t="s">
        <v>517</v>
      </c>
      <c r="C1259" s="2" t="s">
        <v>9</v>
      </c>
      <c r="D1259" s="2" t="s">
        <v>10</v>
      </c>
      <c r="E1259" s="2" t="s">
        <v>30</v>
      </c>
      <c r="F1259" s="2">
        <v>15.07</v>
      </c>
      <c r="G1259" s="2">
        <v>4</v>
      </c>
      <c r="H1259" s="2">
        <v>-3.77</v>
      </c>
      <c r="I1259" t="str">
        <f t="shared" si="19"/>
        <v>Oct</v>
      </c>
      <c r="J1259">
        <f>YEAR(datas[[#This Row],[Order Date]])</f>
        <v>2021</v>
      </c>
    </row>
    <row r="1260" spans="1:10" ht="14.25" customHeight="1" x14ac:dyDescent="0.3">
      <c r="A1260" s="1">
        <v>44473</v>
      </c>
      <c r="B1260" s="2" t="s">
        <v>518</v>
      </c>
      <c r="C1260" s="2" t="s">
        <v>21</v>
      </c>
      <c r="D1260" s="2" t="s">
        <v>10</v>
      </c>
      <c r="E1260" s="2" t="s">
        <v>14</v>
      </c>
      <c r="F1260" s="2">
        <v>14.45</v>
      </c>
      <c r="G1260" s="2">
        <v>5</v>
      </c>
      <c r="H1260" s="2">
        <v>6.79</v>
      </c>
      <c r="I1260" t="str">
        <f t="shared" si="19"/>
        <v>Oct</v>
      </c>
      <c r="J1260">
        <f>YEAR(datas[[#This Row],[Order Date]])</f>
        <v>2021</v>
      </c>
    </row>
    <row r="1261" spans="1:10" ht="14.25" customHeight="1" x14ac:dyDescent="0.3">
      <c r="A1261" s="1">
        <v>44473</v>
      </c>
      <c r="B1261" s="2" t="s">
        <v>518</v>
      </c>
      <c r="C1261" s="2" t="s">
        <v>21</v>
      </c>
      <c r="D1261" s="2" t="s">
        <v>10</v>
      </c>
      <c r="E1261" s="2" t="s">
        <v>16</v>
      </c>
      <c r="F1261" s="2">
        <v>95.65</v>
      </c>
      <c r="G1261" s="2">
        <v>2</v>
      </c>
      <c r="H1261" s="2">
        <v>31.09</v>
      </c>
      <c r="I1261" t="str">
        <f t="shared" si="19"/>
        <v>Oct</v>
      </c>
      <c r="J1261">
        <f>YEAR(datas[[#This Row],[Order Date]])</f>
        <v>2021</v>
      </c>
    </row>
    <row r="1262" spans="1:10" ht="14.25" customHeight="1" x14ac:dyDescent="0.3">
      <c r="A1262" s="1">
        <v>44473</v>
      </c>
      <c r="B1262" s="2" t="s">
        <v>519</v>
      </c>
      <c r="C1262" s="2" t="s">
        <v>82</v>
      </c>
      <c r="D1262" s="2" t="s">
        <v>10</v>
      </c>
      <c r="E1262" s="2" t="s">
        <v>14</v>
      </c>
      <c r="F1262" s="2">
        <v>29.24</v>
      </c>
      <c r="G1262" s="2">
        <v>4</v>
      </c>
      <c r="H1262" s="2">
        <v>13.74</v>
      </c>
      <c r="I1262" t="str">
        <f t="shared" si="19"/>
        <v>Oct</v>
      </c>
      <c r="J1262">
        <f>YEAR(datas[[#This Row],[Order Date]])</f>
        <v>2021</v>
      </c>
    </row>
    <row r="1263" spans="1:10" ht="14.25" customHeight="1" x14ac:dyDescent="0.3">
      <c r="A1263" s="1">
        <v>44473</v>
      </c>
      <c r="B1263" s="2" t="s">
        <v>463</v>
      </c>
      <c r="C1263" s="2" t="s">
        <v>75</v>
      </c>
      <c r="D1263" s="2" t="s">
        <v>26</v>
      </c>
      <c r="E1263" s="2" t="s">
        <v>27</v>
      </c>
      <c r="F1263" s="2">
        <v>589.41</v>
      </c>
      <c r="G1263" s="2">
        <v>5</v>
      </c>
      <c r="H1263" s="2">
        <v>-6.55</v>
      </c>
      <c r="I1263" t="str">
        <f t="shared" si="19"/>
        <v>Oct</v>
      </c>
      <c r="J1263">
        <f>YEAR(datas[[#This Row],[Order Date]])</f>
        <v>2021</v>
      </c>
    </row>
    <row r="1264" spans="1:10" ht="14.25" customHeight="1" x14ac:dyDescent="0.3">
      <c r="A1264" s="1">
        <v>44474</v>
      </c>
      <c r="B1264" s="2" t="s">
        <v>520</v>
      </c>
      <c r="C1264" s="2" t="s">
        <v>47</v>
      </c>
      <c r="D1264" s="2" t="s">
        <v>10</v>
      </c>
      <c r="E1264" s="2" t="s">
        <v>53</v>
      </c>
      <c r="F1264" s="2">
        <v>91.92</v>
      </c>
      <c r="G1264" s="2">
        <v>5</v>
      </c>
      <c r="H1264" s="2">
        <v>11.49</v>
      </c>
      <c r="I1264" t="str">
        <f t="shared" si="19"/>
        <v>Oct</v>
      </c>
      <c r="J1264">
        <f>YEAR(datas[[#This Row],[Order Date]])</f>
        <v>2021</v>
      </c>
    </row>
    <row r="1265" spans="1:10" ht="14.25" customHeight="1" x14ac:dyDescent="0.3">
      <c r="A1265" s="1">
        <v>44474</v>
      </c>
      <c r="B1265" s="2" t="s">
        <v>418</v>
      </c>
      <c r="C1265" s="2" t="s">
        <v>21</v>
      </c>
      <c r="D1265" s="2" t="s">
        <v>28</v>
      </c>
      <c r="E1265" s="2" t="s">
        <v>34</v>
      </c>
      <c r="F1265" s="2">
        <v>99.98</v>
      </c>
      <c r="G1265" s="2">
        <v>2</v>
      </c>
      <c r="H1265" s="2">
        <v>34.99</v>
      </c>
      <c r="I1265" t="str">
        <f t="shared" si="19"/>
        <v>Oct</v>
      </c>
      <c r="J1265">
        <f>YEAR(datas[[#This Row],[Order Date]])</f>
        <v>2021</v>
      </c>
    </row>
    <row r="1266" spans="1:10" ht="14.25" customHeight="1" x14ac:dyDescent="0.3">
      <c r="A1266" s="1">
        <v>44475</v>
      </c>
      <c r="B1266" s="2" t="s">
        <v>59</v>
      </c>
      <c r="C1266" s="2" t="s">
        <v>21</v>
      </c>
      <c r="D1266" s="2" t="s">
        <v>28</v>
      </c>
      <c r="E1266" s="2" t="s">
        <v>34</v>
      </c>
      <c r="F1266" s="2">
        <v>9.09</v>
      </c>
      <c r="G1266" s="2">
        <v>3</v>
      </c>
      <c r="H1266" s="2">
        <v>1.91</v>
      </c>
      <c r="I1266" t="str">
        <f t="shared" si="19"/>
        <v>Oct</v>
      </c>
      <c r="J1266">
        <f>YEAR(datas[[#This Row],[Order Date]])</f>
        <v>2021</v>
      </c>
    </row>
    <row r="1267" spans="1:10" ht="14.25" customHeight="1" x14ac:dyDescent="0.3">
      <c r="A1267" s="1">
        <v>44475</v>
      </c>
      <c r="B1267" s="2" t="s">
        <v>521</v>
      </c>
      <c r="C1267" s="2" t="s">
        <v>381</v>
      </c>
      <c r="D1267" s="2" t="s">
        <v>10</v>
      </c>
      <c r="E1267" s="2" t="s">
        <v>16</v>
      </c>
      <c r="F1267" s="2">
        <v>15.36</v>
      </c>
      <c r="G1267" s="2">
        <v>2</v>
      </c>
      <c r="H1267" s="2">
        <v>7.68</v>
      </c>
      <c r="I1267" t="str">
        <f t="shared" si="19"/>
        <v>Oct</v>
      </c>
      <c r="J1267">
        <f>YEAR(datas[[#This Row],[Order Date]])</f>
        <v>2021</v>
      </c>
    </row>
    <row r="1268" spans="1:10" ht="14.25" customHeight="1" x14ac:dyDescent="0.3">
      <c r="A1268" s="1">
        <v>44475</v>
      </c>
      <c r="B1268" s="2" t="s">
        <v>519</v>
      </c>
      <c r="C1268" s="2" t="s">
        <v>18</v>
      </c>
      <c r="D1268" s="2" t="s">
        <v>10</v>
      </c>
      <c r="E1268" s="2" t="s">
        <v>15</v>
      </c>
      <c r="F1268" s="2">
        <v>83.92</v>
      </c>
      <c r="G1268" s="2">
        <v>5</v>
      </c>
      <c r="H1268" s="2">
        <v>-13.64</v>
      </c>
      <c r="I1268" t="str">
        <f t="shared" si="19"/>
        <v>Oct</v>
      </c>
      <c r="J1268">
        <f>YEAR(datas[[#This Row],[Order Date]])</f>
        <v>2021</v>
      </c>
    </row>
    <row r="1269" spans="1:10" ht="14.25" customHeight="1" x14ac:dyDescent="0.3">
      <c r="A1269" s="1">
        <v>44475</v>
      </c>
      <c r="B1269" s="2" t="s">
        <v>449</v>
      </c>
      <c r="C1269" s="2" t="s">
        <v>68</v>
      </c>
      <c r="D1269" s="2" t="s">
        <v>10</v>
      </c>
      <c r="E1269" s="2" t="s">
        <v>15</v>
      </c>
      <c r="F1269" s="2">
        <v>386.34</v>
      </c>
      <c r="G1269" s="2">
        <v>2</v>
      </c>
      <c r="H1269" s="2">
        <v>54.09</v>
      </c>
      <c r="I1269" t="str">
        <f t="shared" si="19"/>
        <v>Oct</v>
      </c>
      <c r="J1269">
        <f>YEAR(datas[[#This Row],[Order Date]])</f>
        <v>2021</v>
      </c>
    </row>
    <row r="1270" spans="1:10" ht="14.25" customHeight="1" x14ac:dyDescent="0.3">
      <c r="A1270" s="1">
        <v>44476</v>
      </c>
      <c r="B1270" s="2" t="s">
        <v>446</v>
      </c>
      <c r="C1270" s="2" t="s">
        <v>18</v>
      </c>
      <c r="D1270" s="2" t="s">
        <v>26</v>
      </c>
      <c r="E1270" s="2" t="s">
        <v>32</v>
      </c>
      <c r="F1270" s="2">
        <v>129.91999999999999</v>
      </c>
      <c r="G1270" s="2">
        <v>5</v>
      </c>
      <c r="H1270" s="2">
        <v>21.11</v>
      </c>
      <c r="I1270" t="str">
        <f t="shared" si="19"/>
        <v>Oct</v>
      </c>
      <c r="J1270">
        <f>YEAR(datas[[#This Row],[Order Date]])</f>
        <v>2021</v>
      </c>
    </row>
    <row r="1271" spans="1:10" ht="14.25" customHeight="1" x14ac:dyDescent="0.3">
      <c r="A1271" s="1">
        <v>44476</v>
      </c>
      <c r="B1271" s="2" t="s">
        <v>190</v>
      </c>
      <c r="C1271" s="2" t="s">
        <v>9</v>
      </c>
      <c r="D1271" s="2" t="s">
        <v>10</v>
      </c>
      <c r="E1271" s="2" t="s">
        <v>15</v>
      </c>
      <c r="F1271" s="2">
        <v>107.44</v>
      </c>
      <c r="G1271" s="2">
        <v>10</v>
      </c>
      <c r="H1271" s="2">
        <v>10.74</v>
      </c>
      <c r="I1271" t="str">
        <f t="shared" si="19"/>
        <v>Oct</v>
      </c>
      <c r="J1271">
        <f>YEAR(datas[[#This Row],[Order Date]])</f>
        <v>2021</v>
      </c>
    </row>
    <row r="1272" spans="1:10" ht="14.25" customHeight="1" x14ac:dyDescent="0.3">
      <c r="A1272" s="1">
        <v>44477</v>
      </c>
      <c r="B1272" s="2" t="s">
        <v>490</v>
      </c>
      <c r="C1272" s="2" t="s">
        <v>115</v>
      </c>
      <c r="D1272" s="2" t="s">
        <v>28</v>
      </c>
      <c r="E1272" s="2" t="s">
        <v>34</v>
      </c>
      <c r="F1272" s="2">
        <v>23.47</v>
      </c>
      <c r="G1272" s="2">
        <v>3</v>
      </c>
      <c r="H1272" s="2">
        <v>4.99</v>
      </c>
      <c r="I1272" t="str">
        <f t="shared" si="19"/>
        <v>Oct</v>
      </c>
      <c r="J1272">
        <f>YEAR(datas[[#This Row],[Order Date]])</f>
        <v>2021</v>
      </c>
    </row>
    <row r="1273" spans="1:10" ht="14.25" customHeight="1" x14ac:dyDescent="0.3">
      <c r="A1273" s="1">
        <v>44477</v>
      </c>
      <c r="B1273" s="2" t="s">
        <v>487</v>
      </c>
      <c r="C1273" s="2" t="s">
        <v>75</v>
      </c>
      <c r="D1273" s="2" t="s">
        <v>10</v>
      </c>
      <c r="E1273" s="2" t="s">
        <v>11</v>
      </c>
      <c r="F1273" s="2">
        <v>123.92</v>
      </c>
      <c r="G1273" s="2">
        <v>4</v>
      </c>
      <c r="H1273" s="2">
        <v>55.76</v>
      </c>
      <c r="I1273" t="str">
        <f t="shared" si="19"/>
        <v>Oct</v>
      </c>
      <c r="J1273">
        <f>YEAR(datas[[#This Row],[Order Date]])</f>
        <v>2021</v>
      </c>
    </row>
    <row r="1274" spans="1:10" ht="14.25" customHeight="1" x14ac:dyDescent="0.3">
      <c r="A1274" s="1">
        <v>44478</v>
      </c>
      <c r="B1274" s="2" t="s">
        <v>311</v>
      </c>
      <c r="C1274" s="2" t="s">
        <v>115</v>
      </c>
      <c r="D1274" s="2" t="s">
        <v>10</v>
      </c>
      <c r="E1274" s="2" t="s">
        <v>11</v>
      </c>
      <c r="F1274" s="2">
        <v>88.77</v>
      </c>
      <c r="G1274" s="2">
        <v>2</v>
      </c>
      <c r="H1274" s="2">
        <v>31.07</v>
      </c>
      <c r="I1274" t="str">
        <f t="shared" si="19"/>
        <v>Oct</v>
      </c>
      <c r="J1274">
        <f>YEAR(datas[[#This Row],[Order Date]])</f>
        <v>2021</v>
      </c>
    </row>
    <row r="1275" spans="1:10" ht="14.25" customHeight="1" x14ac:dyDescent="0.3">
      <c r="A1275" s="1">
        <v>44478</v>
      </c>
      <c r="B1275" s="2" t="s">
        <v>443</v>
      </c>
      <c r="C1275" s="2" t="s">
        <v>21</v>
      </c>
      <c r="D1275" s="2" t="s">
        <v>10</v>
      </c>
      <c r="E1275" s="2" t="s">
        <v>19</v>
      </c>
      <c r="F1275" s="2">
        <v>144.6</v>
      </c>
      <c r="G1275" s="2">
        <v>3</v>
      </c>
      <c r="H1275" s="2">
        <v>41.93</v>
      </c>
      <c r="I1275" t="str">
        <f t="shared" si="19"/>
        <v>Oct</v>
      </c>
      <c r="J1275">
        <f>YEAR(datas[[#This Row],[Order Date]])</f>
        <v>2021</v>
      </c>
    </row>
    <row r="1276" spans="1:10" ht="14.25" customHeight="1" x14ac:dyDescent="0.3">
      <c r="A1276" s="1">
        <v>44478</v>
      </c>
      <c r="B1276" s="2" t="s">
        <v>443</v>
      </c>
      <c r="C1276" s="2" t="s">
        <v>21</v>
      </c>
      <c r="D1276" s="2" t="s">
        <v>28</v>
      </c>
      <c r="E1276" s="2" t="s">
        <v>29</v>
      </c>
      <c r="F1276" s="2">
        <v>15.99</v>
      </c>
      <c r="G1276" s="2">
        <v>1</v>
      </c>
      <c r="H1276" s="2">
        <v>-3</v>
      </c>
      <c r="I1276" t="str">
        <f t="shared" si="19"/>
        <v>Oct</v>
      </c>
      <c r="J1276">
        <f>YEAR(datas[[#This Row],[Order Date]])</f>
        <v>2021</v>
      </c>
    </row>
    <row r="1277" spans="1:10" ht="14.25" customHeight="1" x14ac:dyDescent="0.3">
      <c r="A1277" s="1">
        <v>44479</v>
      </c>
      <c r="B1277" s="2" t="s">
        <v>522</v>
      </c>
      <c r="C1277" s="2" t="s">
        <v>21</v>
      </c>
      <c r="D1277" s="2" t="s">
        <v>26</v>
      </c>
      <c r="E1277" s="2" t="s">
        <v>27</v>
      </c>
      <c r="F1277" s="2">
        <v>122.35</v>
      </c>
      <c r="G1277" s="2">
        <v>3</v>
      </c>
      <c r="H1277" s="2">
        <v>13.76</v>
      </c>
      <c r="I1277" t="str">
        <f t="shared" si="19"/>
        <v>Oct</v>
      </c>
      <c r="J1277">
        <f>YEAR(datas[[#This Row],[Order Date]])</f>
        <v>2021</v>
      </c>
    </row>
    <row r="1278" spans="1:10" ht="14.25" customHeight="1" x14ac:dyDescent="0.3">
      <c r="A1278" s="1">
        <v>44479</v>
      </c>
      <c r="B1278" s="2" t="s">
        <v>522</v>
      </c>
      <c r="C1278" s="2" t="s">
        <v>21</v>
      </c>
      <c r="D1278" s="2" t="s">
        <v>10</v>
      </c>
      <c r="E1278" s="2" t="s">
        <v>41</v>
      </c>
      <c r="F1278" s="2">
        <v>15.28</v>
      </c>
      <c r="G1278" s="2">
        <v>2</v>
      </c>
      <c r="H1278" s="2">
        <v>7.49</v>
      </c>
      <c r="I1278" t="str">
        <f t="shared" si="19"/>
        <v>Oct</v>
      </c>
      <c r="J1278">
        <f>YEAR(datas[[#This Row],[Order Date]])</f>
        <v>2021</v>
      </c>
    </row>
    <row r="1279" spans="1:10" ht="14.25" customHeight="1" x14ac:dyDescent="0.3">
      <c r="A1279" s="1">
        <v>44479</v>
      </c>
      <c r="B1279" s="2" t="s">
        <v>69</v>
      </c>
      <c r="C1279" s="2" t="s">
        <v>55</v>
      </c>
      <c r="D1279" s="2" t="s">
        <v>26</v>
      </c>
      <c r="E1279" s="2" t="s">
        <v>32</v>
      </c>
      <c r="F1279" s="2">
        <v>46.87</v>
      </c>
      <c r="G1279" s="2">
        <v>7</v>
      </c>
      <c r="H1279" s="2">
        <v>3.52</v>
      </c>
      <c r="I1279" t="str">
        <f t="shared" si="19"/>
        <v>Oct</v>
      </c>
      <c r="J1279">
        <f>YEAR(datas[[#This Row],[Order Date]])</f>
        <v>2021</v>
      </c>
    </row>
    <row r="1280" spans="1:10" ht="14.25" customHeight="1" x14ac:dyDescent="0.3">
      <c r="A1280" s="1">
        <v>44479</v>
      </c>
      <c r="B1280" s="2" t="s">
        <v>123</v>
      </c>
      <c r="C1280" s="2" t="s">
        <v>9</v>
      </c>
      <c r="D1280" s="2" t="s">
        <v>28</v>
      </c>
      <c r="E1280" s="2" t="s">
        <v>29</v>
      </c>
      <c r="F1280" s="2">
        <v>719.95</v>
      </c>
      <c r="G1280" s="2">
        <v>6</v>
      </c>
      <c r="H1280" s="2">
        <v>72</v>
      </c>
      <c r="I1280" t="str">
        <f t="shared" si="19"/>
        <v>Oct</v>
      </c>
      <c r="J1280">
        <f>YEAR(datas[[#This Row],[Order Date]])</f>
        <v>2021</v>
      </c>
    </row>
    <row r="1281" spans="1:10" ht="14.25" customHeight="1" x14ac:dyDescent="0.3">
      <c r="A1281" s="1">
        <v>44479</v>
      </c>
      <c r="B1281" s="2" t="s">
        <v>123</v>
      </c>
      <c r="C1281" s="2" t="s">
        <v>9</v>
      </c>
      <c r="D1281" s="2" t="s">
        <v>28</v>
      </c>
      <c r="E1281" s="2" t="s">
        <v>29</v>
      </c>
      <c r="F1281" s="2">
        <v>755.94</v>
      </c>
      <c r="G1281" s="2">
        <v>7</v>
      </c>
      <c r="H1281" s="2">
        <v>66.150000000000006</v>
      </c>
      <c r="I1281" t="str">
        <f t="shared" si="19"/>
        <v>Oct</v>
      </c>
      <c r="J1281">
        <f>YEAR(datas[[#This Row],[Order Date]])</f>
        <v>2021</v>
      </c>
    </row>
    <row r="1282" spans="1:10" ht="14.25" customHeight="1" x14ac:dyDescent="0.3">
      <c r="A1282" s="1">
        <v>44479</v>
      </c>
      <c r="B1282" s="2" t="s">
        <v>123</v>
      </c>
      <c r="C1282" s="2" t="s">
        <v>9</v>
      </c>
      <c r="D1282" s="2" t="s">
        <v>10</v>
      </c>
      <c r="E1282" s="2" t="s">
        <v>16</v>
      </c>
      <c r="F1282" s="2">
        <v>11.98</v>
      </c>
      <c r="G1282" s="2">
        <v>5</v>
      </c>
      <c r="H1282" s="2">
        <v>-19.170000000000002</v>
      </c>
      <c r="I1282" t="str">
        <f t="shared" si="19"/>
        <v>Oct</v>
      </c>
      <c r="J1282">
        <f>YEAR(datas[[#This Row],[Order Date]])</f>
        <v>2021</v>
      </c>
    </row>
    <row r="1283" spans="1:10" ht="14.25" customHeight="1" x14ac:dyDescent="0.3">
      <c r="A1283" s="1">
        <v>44479</v>
      </c>
      <c r="B1283" s="2" t="s">
        <v>123</v>
      </c>
      <c r="C1283" s="2" t="s">
        <v>9</v>
      </c>
      <c r="D1283" s="2" t="s">
        <v>10</v>
      </c>
      <c r="E1283" s="2" t="s">
        <v>16</v>
      </c>
      <c r="F1283" s="2">
        <v>0.9</v>
      </c>
      <c r="G1283" s="2">
        <v>1</v>
      </c>
      <c r="H1283" s="2">
        <v>-1.57</v>
      </c>
      <c r="I1283" t="str">
        <f t="shared" ref="I1283:I1346" si="20">TEXT(A1283,"mmm")</f>
        <v>Oct</v>
      </c>
      <c r="J1283">
        <f>YEAR(datas[[#This Row],[Order Date]])</f>
        <v>2021</v>
      </c>
    </row>
    <row r="1284" spans="1:10" ht="14.25" customHeight="1" x14ac:dyDescent="0.3">
      <c r="A1284" s="1">
        <v>44479</v>
      </c>
      <c r="B1284" s="2" t="s">
        <v>130</v>
      </c>
      <c r="C1284" s="2" t="s">
        <v>47</v>
      </c>
      <c r="D1284" s="2" t="s">
        <v>28</v>
      </c>
      <c r="E1284" s="2" t="s">
        <v>136</v>
      </c>
      <c r="F1284" s="2">
        <v>101.99</v>
      </c>
      <c r="G1284" s="2">
        <v>2</v>
      </c>
      <c r="H1284" s="2">
        <v>-71.400000000000006</v>
      </c>
      <c r="I1284" t="str">
        <f t="shared" si="20"/>
        <v>Oct</v>
      </c>
      <c r="J1284">
        <f>YEAR(datas[[#This Row],[Order Date]])</f>
        <v>2021</v>
      </c>
    </row>
    <row r="1285" spans="1:10" ht="14.25" customHeight="1" x14ac:dyDescent="0.3">
      <c r="A1285" s="1">
        <v>44479</v>
      </c>
      <c r="B1285" s="2" t="s">
        <v>130</v>
      </c>
      <c r="C1285" s="2" t="s">
        <v>47</v>
      </c>
      <c r="D1285" s="2" t="s">
        <v>10</v>
      </c>
      <c r="E1285" s="2" t="s">
        <v>16</v>
      </c>
      <c r="F1285" s="2">
        <v>18.260000000000002</v>
      </c>
      <c r="G1285" s="2">
        <v>2</v>
      </c>
      <c r="H1285" s="2">
        <v>-13.39</v>
      </c>
      <c r="I1285" t="str">
        <f t="shared" si="20"/>
        <v>Oct</v>
      </c>
      <c r="J1285">
        <f>YEAR(datas[[#This Row],[Order Date]])</f>
        <v>2021</v>
      </c>
    </row>
    <row r="1286" spans="1:10" ht="14.25" customHeight="1" x14ac:dyDescent="0.3">
      <c r="A1286" s="1">
        <v>44479</v>
      </c>
      <c r="B1286" s="2" t="s">
        <v>523</v>
      </c>
      <c r="C1286" s="2" t="s">
        <v>167</v>
      </c>
      <c r="D1286" s="2" t="s">
        <v>10</v>
      </c>
      <c r="E1286" s="2" t="s">
        <v>19</v>
      </c>
      <c r="F1286" s="2">
        <v>255.85</v>
      </c>
      <c r="G1286" s="2">
        <v>7</v>
      </c>
      <c r="H1286" s="2">
        <v>112.57</v>
      </c>
      <c r="I1286" t="str">
        <f t="shared" si="20"/>
        <v>Oct</v>
      </c>
      <c r="J1286">
        <f>YEAR(datas[[#This Row],[Order Date]])</f>
        <v>2021</v>
      </c>
    </row>
    <row r="1287" spans="1:10" ht="14.25" customHeight="1" x14ac:dyDescent="0.3">
      <c r="A1287" s="1">
        <v>44480</v>
      </c>
      <c r="B1287" s="2" t="s">
        <v>524</v>
      </c>
      <c r="C1287" s="2" t="s">
        <v>18</v>
      </c>
      <c r="D1287" s="2" t="s">
        <v>10</v>
      </c>
      <c r="E1287" s="2" t="s">
        <v>15</v>
      </c>
      <c r="F1287" s="2">
        <v>281.89999999999998</v>
      </c>
      <c r="G1287" s="2">
        <v>2</v>
      </c>
      <c r="H1287" s="2">
        <v>10.57</v>
      </c>
      <c r="I1287" t="str">
        <f t="shared" si="20"/>
        <v>Oct</v>
      </c>
      <c r="J1287">
        <f>YEAR(datas[[#This Row],[Order Date]])</f>
        <v>2021</v>
      </c>
    </row>
    <row r="1288" spans="1:10" ht="14.25" customHeight="1" x14ac:dyDescent="0.3">
      <c r="A1288" s="1">
        <v>44480</v>
      </c>
      <c r="B1288" s="2" t="s">
        <v>524</v>
      </c>
      <c r="C1288" s="2" t="s">
        <v>18</v>
      </c>
      <c r="D1288" s="2" t="s">
        <v>10</v>
      </c>
      <c r="E1288" s="2" t="s">
        <v>41</v>
      </c>
      <c r="F1288" s="2">
        <v>201.43</v>
      </c>
      <c r="G1288" s="2">
        <v>3</v>
      </c>
      <c r="H1288" s="2">
        <v>67.98</v>
      </c>
      <c r="I1288" t="str">
        <f t="shared" si="20"/>
        <v>Oct</v>
      </c>
      <c r="J1288">
        <f>YEAR(datas[[#This Row],[Order Date]])</f>
        <v>2021</v>
      </c>
    </row>
    <row r="1289" spans="1:10" ht="14.25" customHeight="1" x14ac:dyDescent="0.3">
      <c r="A1289" s="1">
        <v>44480</v>
      </c>
      <c r="B1289" s="2" t="s">
        <v>289</v>
      </c>
      <c r="C1289" s="2" t="s">
        <v>82</v>
      </c>
      <c r="D1289" s="2" t="s">
        <v>26</v>
      </c>
      <c r="E1289" s="2" t="s">
        <v>32</v>
      </c>
      <c r="F1289" s="2">
        <v>63.47</v>
      </c>
      <c r="G1289" s="2">
        <v>11</v>
      </c>
      <c r="H1289" s="2">
        <v>19.04</v>
      </c>
      <c r="I1289" t="str">
        <f t="shared" si="20"/>
        <v>Oct</v>
      </c>
      <c r="J1289">
        <f>YEAR(datas[[#This Row],[Order Date]])</f>
        <v>2021</v>
      </c>
    </row>
    <row r="1290" spans="1:10" ht="14.25" customHeight="1" x14ac:dyDescent="0.3">
      <c r="A1290" s="1">
        <v>44480</v>
      </c>
      <c r="B1290" s="2" t="s">
        <v>289</v>
      </c>
      <c r="C1290" s="2" t="s">
        <v>82</v>
      </c>
      <c r="D1290" s="2" t="s">
        <v>28</v>
      </c>
      <c r="E1290" s="2" t="s">
        <v>34</v>
      </c>
      <c r="F1290" s="2">
        <v>345</v>
      </c>
      <c r="G1290" s="2">
        <v>5</v>
      </c>
      <c r="H1290" s="2">
        <v>58.65</v>
      </c>
      <c r="I1290" t="str">
        <f t="shared" si="20"/>
        <v>Oct</v>
      </c>
      <c r="J1290">
        <f>YEAR(datas[[#This Row],[Order Date]])</f>
        <v>2021</v>
      </c>
    </row>
    <row r="1291" spans="1:10" ht="14.25" customHeight="1" x14ac:dyDescent="0.3">
      <c r="A1291" s="1">
        <v>44480</v>
      </c>
      <c r="B1291" s="2" t="s">
        <v>525</v>
      </c>
      <c r="C1291" s="2" t="s">
        <v>21</v>
      </c>
      <c r="D1291" s="2" t="s">
        <v>10</v>
      </c>
      <c r="E1291" s="2" t="s">
        <v>15</v>
      </c>
      <c r="F1291" s="2">
        <v>31.92</v>
      </c>
      <c r="G1291" s="2">
        <v>4</v>
      </c>
      <c r="H1291" s="2">
        <v>8.3000000000000007</v>
      </c>
      <c r="I1291" t="str">
        <f t="shared" si="20"/>
        <v>Oct</v>
      </c>
      <c r="J1291">
        <f>YEAR(datas[[#This Row],[Order Date]])</f>
        <v>2021</v>
      </c>
    </row>
    <row r="1292" spans="1:10" ht="14.25" customHeight="1" x14ac:dyDescent="0.3">
      <c r="A1292" s="1">
        <v>44480</v>
      </c>
      <c r="B1292" s="2" t="s">
        <v>525</v>
      </c>
      <c r="C1292" s="2" t="s">
        <v>21</v>
      </c>
      <c r="D1292" s="2" t="s">
        <v>26</v>
      </c>
      <c r="E1292" s="2" t="s">
        <v>27</v>
      </c>
      <c r="F1292" s="2">
        <v>433.57</v>
      </c>
      <c r="G1292" s="2">
        <v>2</v>
      </c>
      <c r="H1292" s="2">
        <v>-65.040000000000006</v>
      </c>
      <c r="I1292" t="str">
        <f t="shared" si="20"/>
        <v>Oct</v>
      </c>
      <c r="J1292">
        <f>YEAR(datas[[#This Row],[Order Date]])</f>
        <v>2021</v>
      </c>
    </row>
    <row r="1293" spans="1:10" ht="14.25" customHeight="1" x14ac:dyDescent="0.3">
      <c r="A1293" s="1">
        <v>44480</v>
      </c>
      <c r="B1293" s="2" t="s">
        <v>223</v>
      </c>
      <c r="C1293" s="2" t="s">
        <v>57</v>
      </c>
      <c r="D1293" s="2" t="s">
        <v>10</v>
      </c>
      <c r="E1293" s="2" t="s">
        <v>14</v>
      </c>
      <c r="F1293" s="2">
        <v>7.31</v>
      </c>
      <c r="G1293" s="2">
        <v>1</v>
      </c>
      <c r="H1293" s="2">
        <v>3.44</v>
      </c>
      <c r="I1293" t="str">
        <f t="shared" si="20"/>
        <v>Oct</v>
      </c>
      <c r="J1293">
        <f>YEAR(datas[[#This Row],[Order Date]])</f>
        <v>2021</v>
      </c>
    </row>
    <row r="1294" spans="1:10" ht="14.25" customHeight="1" x14ac:dyDescent="0.3">
      <c r="A1294" s="1">
        <v>44480</v>
      </c>
      <c r="B1294" s="2" t="s">
        <v>223</v>
      </c>
      <c r="C1294" s="2" t="s">
        <v>57</v>
      </c>
      <c r="D1294" s="2" t="s">
        <v>26</v>
      </c>
      <c r="E1294" s="2" t="s">
        <v>32</v>
      </c>
      <c r="F1294" s="2">
        <v>8.92</v>
      </c>
      <c r="G1294" s="2">
        <v>4</v>
      </c>
      <c r="H1294" s="2">
        <v>3.92</v>
      </c>
      <c r="I1294" t="str">
        <f t="shared" si="20"/>
        <v>Oct</v>
      </c>
      <c r="J1294">
        <f>YEAR(datas[[#This Row],[Order Date]])</f>
        <v>2021</v>
      </c>
    </row>
    <row r="1295" spans="1:10" ht="14.25" customHeight="1" x14ac:dyDescent="0.3">
      <c r="A1295" s="1">
        <v>44480</v>
      </c>
      <c r="B1295" s="2" t="s">
        <v>138</v>
      </c>
      <c r="C1295" s="2" t="s">
        <v>21</v>
      </c>
      <c r="D1295" s="2" t="s">
        <v>10</v>
      </c>
      <c r="E1295" s="2" t="s">
        <v>41</v>
      </c>
      <c r="F1295" s="2">
        <v>7.64</v>
      </c>
      <c r="G1295" s="2">
        <v>1</v>
      </c>
      <c r="H1295" s="2">
        <v>3.74</v>
      </c>
      <c r="I1295" t="str">
        <f t="shared" si="20"/>
        <v>Oct</v>
      </c>
      <c r="J1295">
        <f>YEAR(datas[[#This Row],[Order Date]])</f>
        <v>2021</v>
      </c>
    </row>
    <row r="1296" spans="1:10" ht="14.25" customHeight="1" x14ac:dyDescent="0.3">
      <c r="A1296" s="1">
        <v>44481</v>
      </c>
      <c r="B1296" s="2" t="s">
        <v>487</v>
      </c>
      <c r="C1296" s="2" t="s">
        <v>21</v>
      </c>
      <c r="D1296" s="2" t="s">
        <v>10</v>
      </c>
      <c r="E1296" s="2" t="s">
        <v>19</v>
      </c>
      <c r="F1296" s="2">
        <v>14.9</v>
      </c>
      <c r="G1296" s="2">
        <v>5</v>
      </c>
      <c r="H1296" s="2">
        <v>4.17</v>
      </c>
      <c r="I1296" t="str">
        <f t="shared" si="20"/>
        <v>Oct</v>
      </c>
      <c r="J1296">
        <f>YEAR(datas[[#This Row],[Order Date]])</f>
        <v>2021</v>
      </c>
    </row>
    <row r="1297" spans="1:10" ht="14.25" customHeight="1" x14ac:dyDescent="0.3">
      <c r="A1297" s="1">
        <v>44481</v>
      </c>
      <c r="B1297" s="2" t="s">
        <v>487</v>
      </c>
      <c r="C1297" s="2" t="s">
        <v>21</v>
      </c>
      <c r="D1297" s="2" t="s">
        <v>10</v>
      </c>
      <c r="E1297" s="2" t="s">
        <v>15</v>
      </c>
      <c r="F1297" s="2">
        <v>21.39</v>
      </c>
      <c r="G1297" s="2">
        <v>1</v>
      </c>
      <c r="H1297" s="2">
        <v>6.2</v>
      </c>
      <c r="I1297" t="str">
        <f t="shared" si="20"/>
        <v>Oct</v>
      </c>
      <c r="J1297">
        <f>YEAR(datas[[#This Row],[Order Date]])</f>
        <v>2021</v>
      </c>
    </row>
    <row r="1298" spans="1:10" ht="14.25" customHeight="1" x14ac:dyDescent="0.3">
      <c r="A1298" s="1">
        <v>44481</v>
      </c>
      <c r="B1298" s="2" t="s">
        <v>526</v>
      </c>
      <c r="C1298" s="2" t="s">
        <v>13</v>
      </c>
      <c r="D1298" s="2" t="s">
        <v>10</v>
      </c>
      <c r="E1298" s="2" t="s">
        <v>95</v>
      </c>
      <c r="F1298" s="2">
        <v>22.24</v>
      </c>
      <c r="G1298" s="2">
        <v>2</v>
      </c>
      <c r="H1298" s="2">
        <v>2.5</v>
      </c>
      <c r="I1298" t="str">
        <f t="shared" si="20"/>
        <v>Oct</v>
      </c>
      <c r="J1298">
        <f>YEAR(datas[[#This Row],[Order Date]])</f>
        <v>2021</v>
      </c>
    </row>
    <row r="1299" spans="1:10" ht="14.25" customHeight="1" x14ac:dyDescent="0.3">
      <c r="A1299" s="1">
        <v>44482</v>
      </c>
      <c r="B1299" s="2" t="s">
        <v>527</v>
      </c>
      <c r="C1299" s="2" t="s">
        <v>82</v>
      </c>
      <c r="D1299" s="2" t="s">
        <v>10</v>
      </c>
      <c r="E1299" s="2" t="s">
        <v>19</v>
      </c>
      <c r="F1299" s="2">
        <v>11.52</v>
      </c>
      <c r="G1299" s="2">
        <v>4</v>
      </c>
      <c r="H1299" s="2">
        <v>3.23</v>
      </c>
      <c r="I1299" t="str">
        <f t="shared" si="20"/>
        <v>Oct</v>
      </c>
      <c r="J1299">
        <f>YEAR(datas[[#This Row],[Order Date]])</f>
        <v>2021</v>
      </c>
    </row>
    <row r="1300" spans="1:10" ht="14.25" customHeight="1" x14ac:dyDescent="0.3">
      <c r="A1300" s="1">
        <v>44482</v>
      </c>
      <c r="B1300" s="2" t="s">
        <v>527</v>
      </c>
      <c r="C1300" s="2" t="s">
        <v>82</v>
      </c>
      <c r="D1300" s="2" t="s">
        <v>26</v>
      </c>
      <c r="E1300" s="2" t="s">
        <v>73</v>
      </c>
      <c r="F1300" s="2">
        <v>1298.55</v>
      </c>
      <c r="G1300" s="2">
        <v>5</v>
      </c>
      <c r="H1300" s="2">
        <v>311.64999999999998</v>
      </c>
      <c r="I1300" t="str">
        <f t="shared" si="20"/>
        <v>Oct</v>
      </c>
      <c r="J1300">
        <f>YEAR(datas[[#This Row],[Order Date]])</f>
        <v>2021</v>
      </c>
    </row>
    <row r="1301" spans="1:10" ht="14.25" customHeight="1" x14ac:dyDescent="0.3">
      <c r="A1301" s="1">
        <v>44482</v>
      </c>
      <c r="B1301" s="2" t="s">
        <v>527</v>
      </c>
      <c r="C1301" s="2" t="s">
        <v>82</v>
      </c>
      <c r="D1301" s="2" t="s">
        <v>10</v>
      </c>
      <c r="E1301" s="2" t="s">
        <v>53</v>
      </c>
      <c r="F1301" s="2">
        <v>213.92</v>
      </c>
      <c r="G1301" s="2">
        <v>4</v>
      </c>
      <c r="H1301" s="2">
        <v>62.04</v>
      </c>
      <c r="I1301" t="str">
        <f t="shared" si="20"/>
        <v>Oct</v>
      </c>
      <c r="J1301">
        <f>YEAR(datas[[#This Row],[Order Date]])</f>
        <v>2021</v>
      </c>
    </row>
    <row r="1302" spans="1:10" ht="14.25" customHeight="1" x14ac:dyDescent="0.3">
      <c r="A1302" s="1">
        <v>44482</v>
      </c>
      <c r="B1302" s="2" t="s">
        <v>527</v>
      </c>
      <c r="C1302" s="2" t="s">
        <v>82</v>
      </c>
      <c r="D1302" s="2" t="s">
        <v>28</v>
      </c>
      <c r="E1302" s="2" t="s">
        <v>34</v>
      </c>
      <c r="F1302" s="2">
        <v>25.78</v>
      </c>
      <c r="G1302" s="2">
        <v>2</v>
      </c>
      <c r="H1302" s="2">
        <v>2.58</v>
      </c>
      <c r="I1302" t="str">
        <f t="shared" si="20"/>
        <v>Oct</v>
      </c>
      <c r="J1302">
        <f>YEAR(datas[[#This Row],[Order Date]])</f>
        <v>2021</v>
      </c>
    </row>
    <row r="1303" spans="1:10" ht="14.25" customHeight="1" x14ac:dyDescent="0.3">
      <c r="A1303" s="1">
        <v>44482</v>
      </c>
      <c r="B1303" s="2" t="s">
        <v>94</v>
      </c>
      <c r="C1303" s="2" t="s">
        <v>87</v>
      </c>
      <c r="D1303" s="2" t="s">
        <v>26</v>
      </c>
      <c r="E1303" s="2" t="s">
        <v>27</v>
      </c>
      <c r="F1303" s="2">
        <v>245.98</v>
      </c>
      <c r="G1303" s="2">
        <v>2</v>
      </c>
      <c r="H1303" s="2">
        <v>27.06</v>
      </c>
      <c r="I1303" t="str">
        <f t="shared" si="20"/>
        <v>Oct</v>
      </c>
      <c r="J1303">
        <f>YEAR(datas[[#This Row],[Order Date]])</f>
        <v>2021</v>
      </c>
    </row>
    <row r="1304" spans="1:10" ht="14.25" customHeight="1" x14ac:dyDescent="0.3">
      <c r="A1304" s="1">
        <v>44482</v>
      </c>
      <c r="B1304" s="2" t="s">
        <v>94</v>
      </c>
      <c r="C1304" s="2" t="s">
        <v>87</v>
      </c>
      <c r="D1304" s="2" t="s">
        <v>10</v>
      </c>
      <c r="E1304" s="2" t="s">
        <v>16</v>
      </c>
      <c r="F1304" s="2">
        <v>18.940000000000001</v>
      </c>
      <c r="G1304" s="2">
        <v>1</v>
      </c>
      <c r="H1304" s="2">
        <v>9.4700000000000006</v>
      </c>
      <c r="I1304" t="str">
        <f t="shared" si="20"/>
        <v>Oct</v>
      </c>
      <c r="J1304">
        <f>YEAR(datas[[#This Row],[Order Date]])</f>
        <v>2021</v>
      </c>
    </row>
    <row r="1305" spans="1:10" ht="14.25" customHeight="1" x14ac:dyDescent="0.3">
      <c r="A1305" s="1">
        <v>44482</v>
      </c>
      <c r="B1305" s="2" t="s">
        <v>528</v>
      </c>
      <c r="C1305" s="2" t="s">
        <v>75</v>
      </c>
      <c r="D1305" s="2" t="s">
        <v>10</v>
      </c>
      <c r="E1305" s="2" t="s">
        <v>16</v>
      </c>
      <c r="F1305" s="2">
        <v>7.75</v>
      </c>
      <c r="G1305" s="2">
        <v>3</v>
      </c>
      <c r="H1305" s="2">
        <v>2.81</v>
      </c>
      <c r="I1305" t="str">
        <f t="shared" si="20"/>
        <v>Oct</v>
      </c>
      <c r="J1305">
        <f>YEAR(datas[[#This Row],[Order Date]])</f>
        <v>2021</v>
      </c>
    </row>
    <row r="1306" spans="1:10" ht="14.25" customHeight="1" x14ac:dyDescent="0.3">
      <c r="A1306" s="1">
        <v>44482</v>
      </c>
      <c r="B1306" s="2" t="s">
        <v>486</v>
      </c>
      <c r="C1306" s="2" t="s">
        <v>36</v>
      </c>
      <c r="D1306" s="2" t="s">
        <v>10</v>
      </c>
      <c r="E1306" s="2" t="s">
        <v>41</v>
      </c>
      <c r="F1306" s="2">
        <v>36.4</v>
      </c>
      <c r="G1306" s="2">
        <v>5</v>
      </c>
      <c r="H1306" s="2">
        <v>17.47</v>
      </c>
      <c r="I1306" t="str">
        <f t="shared" si="20"/>
        <v>Oct</v>
      </c>
      <c r="J1306">
        <f>YEAR(datas[[#This Row],[Order Date]])</f>
        <v>2021</v>
      </c>
    </row>
    <row r="1307" spans="1:10" ht="14.25" customHeight="1" x14ac:dyDescent="0.3">
      <c r="A1307" s="1">
        <v>44482</v>
      </c>
      <c r="B1307" s="2" t="s">
        <v>486</v>
      </c>
      <c r="C1307" s="2" t="s">
        <v>36</v>
      </c>
      <c r="D1307" s="2" t="s">
        <v>28</v>
      </c>
      <c r="E1307" s="2" t="s">
        <v>34</v>
      </c>
      <c r="F1307" s="2">
        <v>22.96</v>
      </c>
      <c r="G1307" s="2">
        <v>2</v>
      </c>
      <c r="H1307" s="2">
        <v>4.3600000000000003</v>
      </c>
      <c r="I1307" t="str">
        <f t="shared" si="20"/>
        <v>Oct</v>
      </c>
      <c r="J1307">
        <f>YEAR(datas[[#This Row],[Order Date]])</f>
        <v>2021</v>
      </c>
    </row>
    <row r="1308" spans="1:10" ht="14.25" customHeight="1" x14ac:dyDescent="0.3">
      <c r="A1308" s="1">
        <v>44482</v>
      </c>
      <c r="B1308" s="2" t="s">
        <v>486</v>
      </c>
      <c r="C1308" s="2" t="s">
        <v>36</v>
      </c>
      <c r="D1308" s="2" t="s">
        <v>10</v>
      </c>
      <c r="E1308" s="2" t="s">
        <v>15</v>
      </c>
      <c r="F1308" s="2">
        <v>315.2</v>
      </c>
      <c r="G1308" s="2">
        <v>4</v>
      </c>
      <c r="H1308" s="2">
        <v>6.3</v>
      </c>
      <c r="I1308" t="str">
        <f t="shared" si="20"/>
        <v>Oct</v>
      </c>
      <c r="J1308">
        <f>YEAR(datas[[#This Row],[Order Date]])</f>
        <v>2021</v>
      </c>
    </row>
    <row r="1309" spans="1:10" ht="14.25" customHeight="1" x14ac:dyDescent="0.3">
      <c r="A1309" s="1">
        <v>44482</v>
      </c>
      <c r="B1309" s="2" t="s">
        <v>486</v>
      </c>
      <c r="C1309" s="2" t="s">
        <v>36</v>
      </c>
      <c r="D1309" s="2" t="s">
        <v>10</v>
      </c>
      <c r="E1309" s="2" t="s">
        <v>16</v>
      </c>
      <c r="F1309" s="2">
        <v>15.18</v>
      </c>
      <c r="G1309" s="2">
        <v>3</v>
      </c>
      <c r="H1309" s="2">
        <v>7.13</v>
      </c>
      <c r="I1309" t="str">
        <f t="shared" si="20"/>
        <v>Oct</v>
      </c>
      <c r="J1309">
        <f>YEAR(datas[[#This Row],[Order Date]])</f>
        <v>2021</v>
      </c>
    </row>
    <row r="1310" spans="1:10" ht="14.25" customHeight="1" x14ac:dyDescent="0.3">
      <c r="A1310" s="1">
        <v>44483</v>
      </c>
      <c r="B1310" s="2" t="s">
        <v>529</v>
      </c>
      <c r="C1310" s="2" t="s">
        <v>278</v>
      </c>
      <c r="D1310" s="2" t="s">
        <v>10</v>
      </c>
      <c r="E1310" s="2" t="s">
        <v>16</v>
      </c>
      <c r="F1310" s="2">
        <v>22.92</v>
      </c>
      <c r="G1310" s="2">
        <v>4</v>
      </c>
      <c r="H1310" s="2">
        <v>11</v>
      </c>
      <c r="I1310" t="str">
        <f t="shared" si="20"/>
        <v>Oct</v>
      </c>
      <c r="J1310">
        <f>YEAR(datas[[#This Row],[Order Date]])</f>
        <v>2021</v>
      </c>
    </row>
    <row r="1311" spans="1:10" ht="14.25" customHeight="1" x14ac:dyDescent="0.3">
      <c r="A1311" s="1">
        <v>44483</v>
      </c>
      <c r="B1311" s="2" t="s">
        <v>529</v>
      </c>
      <c r="C1311" s="2" t="s">
        <v>278</v>
      </c>
      <c r="D1311" s="2" t="s">
        <v>10</v>
      </c>
      <c r="E1311" s="2" t="s">
        <v>15</v>
      </c>
      <c r="F1311" s="2">
        <v>269.89999999999998</v>
      </c>
      <c r="G1311" s="2">
        <v>5</v>
      </c>
      <c r="H1311" s="2">
        <v>16.190000000000001</v>
      </c>
      <c r="I1311" t="str">
        <f t="shared" si="20"/>
        <v>Oct</v>
      </c>
      <c r="J1311">
        <f>YEAR(datas[[#This Row],[Order Date]])</f>
        <v>2021</v>
      </c>
    </row>
    <row r="1312" spans="1:10" ht="14.25" customHeight="1" x14ac:dyDescent="0.3">
      <c r="A1312" s="1">
        <v>44483</v>
      </c>
      <c r="B1312" s="2" t="s">
        <v>530</v>
      </c>
      <c r="C1312" s="2" t="s">
        <v>9</v>
      </c>
      <c r="D1312" s="2" t="s">
        <v>10</v>
      </c>
      <c r="E1312" s="2" t="s">
        <v>53</v>
      </c>
      <c r="F1312" s="2">
        <v>3.16</v>
      </c>
      <c r="G1312" s="2">
        <v>4</v>
      </c>
      <c r="H1312" s="2">
        <v>-8.5299999999999994</v>
      </c>
      <c r="I1312" t="str">
        <f t="shared" si="20"/>
        <v>Oct</v>
      </c>
      <c r="J1312">
        <f>YEAR(datas[[#This Row],[Order Date]])</f>
        <v>2021</v>
      </c>
    </row>
    <row r="1313" spans="1:10" ht="14.25" customHeight="1" x14ac:dyDescent="0.3">
      <c r="A1313" s="1">
        <v>44483</v>
      </c>
      <c r="B1313" s="2" t="s">
        <v>530</v>
      </c>
      <c r="C1313" s="2" t="s">
        <v>9</v>
      </c>
      <c r="D1313" s="2" t="s">
        <v>28</v>
      </c>
      <c r="E1313" s="2" t="s">
        <v>243</v>
      </c>
      <c r="F1313" s="2">
        <v>1999.96</v>
      </c>
      <c r="G1313" s="2">
        <v>5</v>
      </c>
      <c r="H1313" s="2">
        <v>624.99</v>
      </c>
      <c r="I1313" t="str">
        <f t="shared" si="20"/>
        <v>Oct</v>
      </c>
      <c r="J1313">
        <f>YEAR(datas[[#This Row],[Order Date]])</f>
        <v>2021</v>
      </c>
    </row>
    <row r="1314" spans="1:10" ht="14.25" customHeight="1" x14ac:dyDescent="0.3">
      <c r="A1314" s="1">
        <v>44483</v>
      </c>
      <c r="B1314" s="2" t="s">
        <v>78</v>
      </c>
      <c r="C1314" s="2" t="s">
        <v>13</v>
      </c>
      <c r="D1314" s="2" t="s">
        <v>10</v>
      </c>
      <c r="E1314" s="2" t="s">
        <v>11</v>
      </c>
      <c r="F1314" s="2">
        <v>322.19</v>
      </c>
      <c r="G1314" s="2">
        <v>13</v>
      </c>
      <c r="H1314" s="2">
        <v>100.69</v>
      </c>
      <c r="I1314" t="str">
        <f t="shared" si="20"/>
        <v>Oct</v>
      </c>
      <c r="J1314">
        <f>YEAR(datas[[#This Row],[Order Date]])</f>
        <v>2021</v>
      </c>
    </row>
    <row r="1315" spans="1:10" ht="14.25" customHeight="1" x14ac:dyDescent="0.3">
      <c r="A1315" s="1">
        <v>44483</v>
      </c>
      <c r="B1315" s="2" t="s">
        <v>78</v>
      </c>
      <c r="C1315" s="2" t="s">
        <v>13</v>
      </c>
      <c r="D1315" s="2" t="s">
        <v>10</v>
      </c>
      <c r="E1315" s="2" t="s">
        <v>16</v>
      </c>
      <c r="F1315" s="2">
        <v>2.95</v>
      </c>
      <c r="G1315" s="2">
        <v>3</v>
      </c>
      <c r="H1315" s="2">
        <v>-4.8600000000000003</v>
      </c>
      <c r="I1315" t="str">
        <f t="shared" si="20"/>
        <v>Oct</v>
      </c>
      <c r="J1315">
        <f>YEAR(datas[[#This Row],[Order Date]])</f>
        <v>2021</v>
      </c>
    </row>
    <row r="1316" spans="1:10" ht="14.25" customHeight="1" x14ac:dyDescent="0.3">
      <c r="A1316" s="1">
        <v>44483</v>
      </c>
      <c r="B1316" s="2" t="s">
        <v>78</v>
      </c>
      <c r="C1316" s="2" t="s">
        <v>13</v>
      </c>
      <c r="D1316" s="2" t="s">
        <v>10</v>
      </c>
      <c r="E1316" s="2" t="s">
        <v>11</v>
      </c>
      <c r="F1316" s="2">
        <v>19.14</v>
      </c>
      <c r="G1316" s="2">
        <v>4</v>
      </c>
      <c r="H1316" s="2">
        <v>6.94</v>
      </c>
      <c r="I1316" t="str">
        <f t="shared" si="20"/>
        <v>Oct</v>
      </c>
      <c r="J1316">
        <f>YEAR(datas[[#This Row],[Order Date]])</f>
        <v>2021</v>
      </c>
    </row>
    <row r="1317" spans="1:10" ht="14.25" customHeight="1" x14ac:dyDescent="0.3">
      <c r="A1317" s="1">
        <v>44483</v>
      </c>
      <c r="B1317" s="2" t="s">
        <v>531</v>
      </c>
      <c r="C1317" s="2" t="s">
        <v>181</v>
      </c>
      <c r="D1317" s="2" t="s">
        <v>28</v>
      </c>
      <c r="E1317" s="2" t="s">
        <v>34</v>
      </c>
      <c r="F1317" s="2">
        <v>177</v>
      </c>
      <c r="G1317" s="2">
        <v>3</v>
      </c>
      <c r="H1317" s="2">
        <v>30.09</v>
      </c>
      <c r="I1317" t="str">
        <f t="shared" si="20"/>
        <v>Oct</v>
      </c>
      <c r="J1317">
        <f>YEAR(datas[[#This Row],[Order Date]])</f>
        <v>2021</v>
      </c>
    </row>
    <row r="1318" spans="1:10" ht="14.25" customHeight="1" x14ac:dyDescent="0.3">
      <c r="A1318" s="1">
        <v>44483</v>
      </c>
      <c r="B1318" s="2" t="s">
        <v>531</v>
      </c>
      <c r="C1318" s="2" t="s">
        <v>181</v>
      </c>
      <c r="D1318" s="2" t="s">
        <v>10</v>
      </c>
      <c r="E1318" s="2" t="s">
        <v>15</v>
      </c>
      <c r="F1318" s="2">
        <v>79.45</v>
      </c>
      <c r="G1318" s="2">
        <v>7</v>
      </c>
      <c r="H1318" s="2">
        <v>22.25</v>
      </c>
      <c r="I1318" t="str">
        <f t="shared" si="20"/>
        <v>Oct</v>
      </c>
      <c r="J1318">
        <f>YEAR(datas[[#This Row],[Order Date]])</f>
        <v>2021</v>
      </c>
    </row>
    <row r="1319" spans="1:10" ht="14.25" customHeight="1" x14ac:dyDescent="0.3">
      <c r="A1319" s="1">
        <v>44483</v>
      </c>
      <c r="B1319" s="2" t="s">
        <v>531</v>
      </c>
      <c r="C1319" s="2" t="s">
        <v>181</v>
      </c>
      <c r="D1319" s="2" t="s">
        <v>26</v>
      </c>
      <c r="E1319" s="2" t="s">
        <v>27</v>
      </c>
      <c r="F1319" s="2">
        <v>1628.82</v>
      </c>
      <c r="G1319" s="2">
        <v>9</v>
      </c>
      <c r="H1319" s="2">
        <v>260.61</v>
      </c>
      <c r="I1319" t="str">
        <f t="shared" si="20"/>
        <v>Oct</v>
      </c>
      <c r="J1319">
        <f>YEAR(datas[[#This Row],[Order Date]])</f>
        <v>2021</v>
      </c>
    </row>
    <row r="1320" spans="1:10" ht="14.25" customHeight="1" x14ac:dyDescent="0.3">
      <c r="A1320" s="1">
        <v>44484</v>
      </c>
      <c r="B1320" s="2" t="s">
        <v>343</v>
      </c>
      <c r="C1320" s="2" t="s">
        <v>64</v>
      </c>
      <c r="D1320" s="2" t="s">
        <v>26</v>
      </c>
      <c r="E1320" s="2" t="s">
        <v>32</v>
      </c>
      <c r="F1320" s="2">
        <v>15.38</v>
      </c>
      <c r="G1320" s="2">
        <v>1</v>
      </c>
      <c r="H1320" s="2">
        <v>4.04</v>
      </c>
      <c r="I1320" t="str">
        <f t="shared" si="20"/>
        <v>Oct</v>
      </c>
      <c r="J1320">
        <f>YEAR(datas[[#This Row],[Order Date]])</f>
        <v>2021</v>
      </c>
    </row>
    <row r="1321" spans="1:10" ht="14.25" customHeight="1" x14ac:dyDescent="0.3">
      <c r="A1321" s="1">
        <v>44484</v>
      </c>
      <c r="B1321" s="2" t="s">
        <v>532</v>
      </c>
      <c r="C1321" s="2" t="s">
        <v>47</v>
      </c>
      <c r="D1321" s="2" t="s">
        <v>26</v>
      </c>
      <c r="E1321" s="2" t="s">
        <v>27</v>
      </c>
      <c r="F1321" s="2">
        <v>183.37</v>
      </c>
      <c r="G1321" s="2">
        <v>2</v>
      </c>
      <c r="H1321" s="2">
        <v>-7.86</v>
      </c>
      <c r="I1321" t="str">
        <f t="shared" si="20"/>
        <v>Oct</v>
      </c>
      <c r="J1321">
        <f>YEAR(datas[[#This Row],[Order Date]])</f>
        <v>2021</v>
      </c>
    </row>
    <row r="1322" spans="1:10" ht="14.25" customHeight="1" x14ac:dyDescent="0.3">
      <c r="A1322" s="1">
        <v>44484</v>
      </c>
      <c r="B1322" s="2" t="s">
        <v>532</v>
      </c>
      <c r="C1322" s="2" t="s">
        <v>47</v>
      </c>
      <c r="D1322" s="2" t="s">
        <v>10</v>
      </c>
      <c r="E1322" s="2" t="s">
        <v>11</v>
      </c>
      <c r="F1322" s="2">
        <v>7.97</v>
      </c>
      <c r="G1322" s="2">
        <v>2</v>
      </c>
      <c r="H1322" s="2">
        <v>2.89</v>
      </c>
      <c r="I1322" t="str">
        <f t="shared" si="20"/>
        <v>Oct</v>
      </c>
      <c r="J1322">
        <f>YEAR(datas[[#This Row],[Order Date]])</f>
        <v>2021</v>
      </c>
    </row>
    <row r="1323" spans="1:10" ht="14.25" customHeight="1" x14ac:dyDescent="0.3">
      <c r="A1323" s="1">
        <v>44485</v>
      </c>
      <c r="B1323" s="2" t="s">
        <v>533</v>
      </c>
      <c r="C1323" s="2" t="s">
        <v>21</v>
      </c>
      <c r="D1323" s="2" t="s">
        <v>10</v>
      </c>
      <c r="E1323" s="2" t="s">
        <v>16</v>
      </c>
      <c r="F1323" s="2">
        <v>14.35</v>
      </c>
      <c r="G1323" s="2">
        <v>3</v>
      </c>
      <c r="H1323" s="2">
        <v>5.0199999999999996</v>
      </c>
      <c r="I1323" t="str">
        <f t="shared" si="20"/>
        <v>Oct</v>
      </c>
      <c r="J1323">
        <f>YEAR(datas[[#This Row],[Order Date]])</f>
        <v>2021</v>
      </c>
    </row>
    <row r="1324" spans="1:10" ht="14.25" customHeight="1" x14ac:dyDescent="0.3">
      <c r="A1324" s="1">
        <v>44485</v>
      </c>
      <c r="B1324" s="2" t="s">
        <v>533</v>
      </c>
      <c r="C1324" s="2" t="s">
        <v>21</v>
      </c>
      <c r="D1324" s="2" t="s">
        <v>28</v>
      </c>
      <c r="E1324" s="2" t="s">
        <v>34</v>
      </c>
      <c r="F1324" s="2">
        <v>179.97</v>
      </c>
      <c r="G1324" s="2">
        <v>3</v>
      </c>
      <c r="H1324" s="2">
        <v>86.39</v>
      </c>
      <c r="I1324" t="str">
        <f t="shared" si="20"/>
        <v>Oct</v>
      </c>
      <c r="J1324">
        <f>YEAR(datas[[#This Row],[Order Date]])</f>
        <v>2021</v>
      </c>
    </row>
    <row r="1325" spans="1:10" ht="14.25" customHeight="1" x14ac:dyDescent="0.3">
      <c r="A1325" s="1">
        <v>44486</v>
      </c>
      <c r="B1325" s="2" t="s">
        <v>534</v>
      </c>
      <c r="C1325" s="2" t="s">
        <v>9</v>
      </c>
      <c r="D1325" s="2" t="s">
        <v>10</v>
      </c>
      <c r="E1325" s="2" t="s">
        <v>16</v>
      </c>
      <c r="F1325" s="2">
        <v>10.78</v>
      </c>
      <c r="G1325" s="2">
        <v>5</v>
      </c>
      <c r="H1325" s="2">
        <v>-17.25</v>
      </c>
      <c r="I1325" t="str">
        <f t="shared" si="20"/>
        <v>Oct</v>
      </c>
      <c r="J1325">
        <f>YEAR(datas[[#This Row],[Order Date]])</f>
        <v>2021</v>
      </c>
    </row>
    <row r="1326" spans="1:10" ht="14.25" customHeight="1" x14ac:dyDescent="0.3">
      <c r="A1326" s="1">
        <v>44486</v>
      </c>
      <c r="B1326" s="2" t="s">
        <v>534</v>
      </c>
      <c r="C1326" s="2" t="s">
        <v>9</v>
      </c>
      <c r="D1326" s="2" t="s">
        <v>28</v>
      </c>
      <c r="E1326" s="2" t="s">
        <v>34</v>
      </c>
      <c r="F1326" s="2">
        <v>119.98</v>
      </c>
      <c r="G1326" s="2">
        <v>3</v>
      </c>
      <c r="H1326" s="2">
        <v>-18</v>
      </c>
      <c r="I1326" t="str">
        <f t="shared" si="20"/>
        <v>Oct</v>
      </c>
      <c r="J1326">
        <f>YEAR(datas[[#This Row],[Order Date]])</f>
        <v>2021</v>
      </c>
    </row>
    <row r="1327" spans="1:10" ht="14.25" customHeight="1" x14ac:dyDescent="0.3">
      <c r="A1327" s="1">
        <v>44486</v>
      </c>
      <c r="B1327" s="2" t="s">
        <v>509</v>
      </c>
      <c r="C1327" s="2" t="s">
        <v>9</v>
      </c>
      <c r="D1327" s="2" t="s">
        <v>26</v>
      </c>
      <c r="E1327" s="2" t="s">
        <v>32</v>
      </c>
      <c r="F1327" s="2">
        <v>5.31</v>
      </c>
      <c r="G1327" s="2">
        <v>2</v>
      </c>
      <c r="H1327" s="2">
        <v>-1.59</v>
      </c>
      <c r="I1327" t="str">
        <f t="shared" si="20"/>
        <v>Oct</v>
      </c>
      <c r="J1327">
        <f>YEAR(datas[[#This Row],[Order Date]])</f>
        <v>2021</v>
      </c>
    </row>
    <row r="1328" spans="1:10" ht="14.25" customHeight="1" x14ac:dyDescent="0.3">
      <c r="A1328" s="1">
        <v>44487</v>
      </c>
      <c r="B1328" s="2" t="s">
        <v>535</v>
      </c>
      <c r="C1328" s="2" t="s">
        <v>198</v>
      </c>
      <c r="D1328" s="2" t="s">
        <v>10</v>
      </c>
      <c r="E1328" s="2" t="s">
        <v>15</v>
      </c>
      <c r="F1328" s="2">
        <v>275.97000000000003</v>
      </c>
      <c r="G1328" s="2">
        <v>3</v>
      </c>
      <c r="H1328" s="2">
        <v>11.04</v>
      </c>
      <c r="I1328" t="str">
        <f t="shared" si="20"/>
        <v>Oct</v>
      </c>
      <c r="J1328">
        <f>YEAR(datas[[#This Row],[Order Date]])</f>
        <v>2021</v>
      </c>
    </row>
    <row r="1329" spans="1:10" ht="14.25" customHeight="1" x14ac:dyDescent="0.3">
      <c r="A1329" s="1">
        <v>44487</v>
      </c>
      <c r="B1329" s="2" t="s">
        <v>535</v>
      </c>
      <c r="C1329" s="2" t="s">
        <v>198</v>
      </c>
      <c r="D1329" s="2" t="s">
        <v>28</v>
      </c>
      <c r="E1329" s="2" t="s">
        <v>29</v>
      </c>
      <c r="F1329" s="2">
        <v>1394.95</v>
      </c>
      <c r="G1329" s="2">
        <v>5</v>
      </c>
      <c r="H1329" s="2">
        <v>362.69</v>
      </c>
      <c r="I1329" t="str">
        <f t="shared" si="20"/>
        <v>Oct</v>
      </c>
      <c r="J1329">
        <f>YEAR(datas[[#This Row],[Order Date]])</f>
        <v>2021</v>
      </c>
    </row>
    <row r="1330" spans="1:10" ht="14.25" customHeight="1" x14ac:dyDescent="0.3">
      <c r="A1330" s="1">
        <v>44487</v>
      </c>
      <c r="B1330" s="2" t="s">
        <v>535</v>
      </c>
      <c r="C1330" s="2" t="s">
        <v>198</v>
      </c>
      <c r="D1330" s="2" t="s">
        <v>26</v>
      </c>
      <c r="E1330" s="2" t="s">
        <v>27</v>
      </c>
      <c r="F1330" s="2">
        <v>545.88</v>
      </c>
      <c r="G1330" s="2">
        <v>6</v>
      </c>
      <c r="H1330" s="2">
        <v>70.959999999999994</v>
      </c>
      <c r="I1330" t="str">
        <f t="shared" si="20"/>
        <v>Oct</v>
      </c>
      <c r="J1330">
        <f>YEAR(datas[[#This Row],[Order Date]])</f>
        <v>2021</v>
      </c>
    </row>
    <row r="1331" spans="1:10" ht="14.25" customHeight="1" x14ac:dyDescent="0.3">
      <c r="A1331" s="1">
        <v>44487</v>
      </c>
      <c r="B1331" s="2" t="s">
        <v>213</v>
      </c>
      <c r="C1331" s="2" t="s">
        <v>18</v>
      </c>
      <c r="D1331" s="2" t="s">
        <v>10</v>
      </c>
      <c r="E1331" s="2" t="s">
        <v>41</v>
      </c>
      <c r="F1331" s="2">
        <v>52.51</v>
      </c>
      <c r="G1331" s="2">
        <v>6</v>
      </c>
      <c r="H1331" s="2">
        <v>19.690000000000001</v>
      </c>
      <c r="I1331" t="str">
        <f t="shared" si="20"/>
        <v>Oct</v>
      </c>
      <c r="J1331">
        <f>YEAR(datas[[#This Row],[Order Date]])</f>
        <v>2021</v>
      </c>
    </row>
    <row r="1332" spans="1:10" ht="14.25" customHeight="1" x14ac:dyDescent="0.3">
      <c r="A1332" s="1">
        <v>44487</v>
      </c>
      <c r="B1332" s="2" t="s">
        <v>213</v>
      </c>
      <c r="C1332" s="2" t="s">
        <v>18</v>
      </c>
      <c r="D1332" s="2" t="s">
        <v>10</v>
      </c>
      <c r="E1332" s="2" t="s">
        <v>15</v>
      </c>
      <c r="F1332" s="2">
        <v>186.91</v>
      </c>
      <c r="G1332" s="2">
        <v>6</v>
      </c>
      <c r="H1332" s="2">
        <v>-35.049999999999997</v>
      </c>
      <c r="I1332" t="str">
        <f t="shared" si="20"/>
        <v>Oct</v>
      </c>
      <c r="J1332">
        <f>YEAR(datas[[#This Row],[Order Date]])</f>
        <v>2021</v>
      </c>
    </row>
    <row r="1333" spans="1:10" ht="14.25" customHeight="1" x14ac:dyDescent="0.3">
      <c r="A1333" s="1">
        <v>44487</v>
      </c>
      <c r="B1333" s="2" t="s">
        <v>213</v>
      </c>
      <c r="C1333" s="2" t="s">
        <v>18</v>
      </c>
      <c r="D1333" s="2" t="s">
        <v>10</v>
      </c>
      <c r="E1333" s="2" t="s">
        <v>11</v>
      </c>
      <c r="F1333" s="2">
        <v>10.050000000000001</v>
      </c>
      <c r="G1333" s="2">
        <v>4</v>
      </c>
      <c r="H1333" s="2">
        <v>3.14</v>
      </c>
      <c r="I1333" t="str">
        <f t="shared" si="20"/>
        <v>Oct</v>
      </c>
      <c r="J1333">
        <f>YEAR(datas[[#This Row],[Order Date]])</f>
        <v>2021</v>
      </c>
    </row>
    <row r="1334" spans="1:10" ht="14.25" customHeight="1" x14ac:dyDescent="0.3">
      <c r="A1334" s="1">
        <v>44487</v>
      </c>
      <c r="B1334" s="2" t="s">
        <v>536</v>
      </c>
      <c r="C1334" s="2" t="s">
        <v>57</v>
      </c>
      <c r="D1334" s="2" t="s">
        <v>26</v>
      </c>
      <c r="E1334" s="2" t="s">
        <v>27</v>
      </c>
      <c r="F1334" s="2">
        <v>605.34</v>
      </c>
      <c r="G1334" s="2">
        <v>6</v>
      </c>
      <c r="H1334" s="2">
        <v>145.28</v>
      </c>
      <c r="I1334" t="str">
        <f t="shared" si="20"/>
        <v>Oct</v>
      </c>
      <c r="J1334">
        <f>YEAR(datas[[#This Row],[Order Date]])</f>
        <v>2021</v>
      </c>
    </row>
    <row r="1335" spans="1:10" ht="14.25" customHeight="1" x14ac:dyDescent="0.3">
      <c r="A1335" s="1">
        <v>44487</v>
      </c>
      <c r="B1335" s="2" t="s">
        <v>537</v>
      </c>
      <c r="C1335" s="2" t="s">
        <v>82</v>
      </c>
      <c r="D1335" s="2" t="s">
        <v>10</v>
      </c>
      <c r="E1335" s="2" t="s">
        <v>11</v>
      </c>
      <c r="F1335" s="2">
        <v>61.96</v>
      </c>
      <c r="G1335" s="2">
        <v>2</v>
      </c>
      <c r="H1335" s="2">
        <v>27.88</v>
      </c>
      <c r="I1335" t="str">
        <f t="shared" si="20"/>
        <v>Oct</v>
      </c>
      <c r="J1335">
        <f>YEAR(datas[[#This Row],[Order Date]])</f>
        <v>2021</v>
      </c>
    </row>
    <row r="1336" spans="1:10" ht="14.25" customHeight="1" x14ac:dyDescent="0.3">
      <c r="A1336" s="1">
        <v>44487</v>
      </c>
      <c r="B1336" s="2" t="s">
        <v>537</v>
      </c>
      <c r="C1336" s="2" t="s">
        <v>82</v>
      </c>
      <c r="D1336" s="2" t="s">
        <v>10</v>
      </c>
      <c r="E1336" s="2" t="s">
        <v>16</v>
      </c>
      <c r="F1336" s="2">
        <v>1.34</v>
      </c>
      <c r="G1336" s="2">
        <v>1</v>
      </c>
      <c r="H1336" s="2">
        <v>0.47</v>
      </c>
      <c r="I1336" t="str">
        <f t="shared" si="20"/>
        <v>Oct</v>
      </c>
      <c r="J1336">
        <f>YEAR(datas[[#This Row],[Order Date]])</f>
        <v>2021</v>
      </c>
    </row>
    <row r="1337" spans="1:10" ht="14.25" customHeight="1" x14ac:dyDescent="0.3">
      <c r="A1337" s="1">
        <v>44488</v>
      </c>
      <c r="B1337" s="2" t="s">
        <v>538</v>
      </c>
      <c r="C1337" s="2" t="s">
        <v>21</v>
      </c>
      <c r="D1337" s="2" t="s">
        <v>10</v>
      </c>
      <c r="E1337" s="2" t="s">
        <v>11</v>
      </c>
      <c r="F1337" s="2">
        <v>13.44</v>
      </c>
      <c r="G1337" s="2">
        <v>3</v>
      </c>
      <c r="H1337" s="2">
        <v>6.59</v>
      </c>
      <c r="I1337" t="str">
        <f t="shared" si="20"/>
        <v>Oct</v>
      </c>
      <c r="J1337">
        <f>YEAR(datas[[#This Row],[Order Date]])</f>
        <v>2021</v>
      </c>
    </row>
    <row r="1338" spans="1:10" ht="14.25" customHeight="1" x14ac:dyDescent="0.3">
      <c r="A1338" s="1">
        <v>44488</v>
      </c>
      <c r="B1338" s="2" t="s">
        <v>539</v>
      </c>
      <c r="C1338" s="2" t="s">
        <v>21</v>
      </c>
      <c r="D1338" s="2" t="s">
        <v>10</v>
      </c>
      <c r="E1338" s="2" t="s">
        <v>16</v>
      </c>
      <c r="F1338" s="2">
        <v>2.99</v>
      </c>
      <c r="G1338" s="2">
        <v>1</v>
      </c>
      <c r="H1338" s="2">
        <v>1.1200000000000001</v>
      </c>
      <c r="I1338" t="str">
        <f t="shared" si="20"/>
        <v>Oct</v>
      </c>
      <c r="J1338">
        <f>YEAR(datas[[#This Row],[Order Date]])</f>
        <v>2021</v>
      </c>
    </row>
    <row r="1339" spans="1:10" ht="14.25" customHeight="1" x14ac:dyDescent="0.3">
      <c r="A1339" s="1">
        <v>44488</v>
      </c>
      <c r="B1339" s="2" t="s">
        <v>539</v>
      </c>
      <c r="C1339" s="2" t="s">
        <v>21</v>
      </c>
      <c r="D1339" s="2" t="s">
        <v>10</v>
      </c>
      <c r="E1339" s="2" t="s">
        <v>16</v>
      </c>
      <c r="F1339" s="2">
        <v>20.059999999999999</v>
      </c>
      <c r="G1339" s="2">
        <v>6</v>
      </c>
      <c r="H1339" s="2">
        <v>7.02</v>
      </c>
      <c r="I1339" t="str">
        <f t="shared" si="20"/>
        <v>Oct</v>
      </c>
      <c r="J1339">
        <f>YEAR(datas[[#This Row],[Order Date]])</f>
        <v>2021</v>
      </c>
    </row>
    <row r="1340" spans="1:10" ht="14.25" customHeight="1" x14ac:dyDescent="0.3">
      <c r="A1340" s="1">
        <v>44488</v>
      </c>
      <c r="B1340" s="2" t="s">
        <v>539</v>
      </c>
      <c r="C1340" s="2" t="s">
        <v>21</v>
      </c>
      <c r="D1340" s="2" t="s">
        <v>10</v>
      </c>
      <c r="E1340" s="2" t="s">
        <v>11</v>
      </c>
      <c r="F1340" s="2">
        <v>146.72999999999999</v>
      </c>
      <c r="G1340" s="2">
        <v>3</v>
      </c>
      <c r="H1340" s="2">
        <v>68.959999999999994</v>
      </c>
      <c r="I1340" t="str">
        <f t="shared" si="20"/>
        <v>Oct</v>
      </c>
      <c r="J1340">
        <f>YEAR(datas[[#This Row],[Order Date]])</f>
        <v>2021</v>
      </c>
    </row>
    <row r="1341" spans="1:10" ht="14.25" customHeight="1" x14ac:dyDescent="0.3">
      <c r="A1341" s="1">
        <v>44488</v>
      </c>
      <c r="B1341" s="2" t="s">
        <v>539</v>
      </c>
      <c r="C1341" s="2" t="s">
        <v>21</v>
      </c>
      <c r="D1341" s="2" t="s">
        <v>10</v>
      </c>
      <c r="E1341" s="2" t="s">
        <v>14</v>
      </c>
      <c r="F1341" s="2">
        <v>18.75</v>
      </c>
      <c r="G1341" s="2">
        <v>5</v>
      </c>
      <c r="H1341" s="2">
        <v>9</v>
      </c>
      <c r="I1341" t="str">
        <f t="shared" si="20"/>
        <v>Oct</v>
      </c>
      <c r="J1341">
        <f>YEAR(datas[[#This Row],[Order Date]])</f>
        <v>2021</v>
      </c>
    </row>
    <row r="1342" spans="1:10" ht="14.25" customHeight="1" x14ac:dyDescent="0.3">
      <c r="A1342" s="1">
        <v>44488</v>
      </c>
      <c r="B1342" s="2" t="s">
        <v>539</v>
      </c>
      <c r="C1342" s="2" t="s">
        <v>21</v>
      </c>
      <c r="D1342" s="2" t="s">
        <v>28</v>
      </c>
      <c r="E1342" s="2" t="s">
        <v>29</v>
      </c>
      <c r="F1342" s="2">
        <v>117.58</v>
      </c>
      <c r="G1342" s="2">
        <v>3</v>
      </c>
      <c r="H1342" s="2">
        <v>11.76</v>
      </c>
      <c r="I1342" t="str">
        <f t="shared" si="20"/>
        <v>Oct</v>
      </c>
      <c r="J1342">
        <f>YEAR(datas[[#This Row],[Order Date]])</f>
        <v>2021</v>
      </c>
    </row>
    <row r="1343" spans="1:10" ht="14.25" customHeight="1" x14ac:dyDescent="0.3">
      <c r="A1343" s="1">
        <v>44488</v>
      </c>
      <c r="B1343" s="2" t="s">
        <v>540</v>
      </c>
      <c r="C1343" s="2" t="s">
        <v>21</v>
      </c>
      <c r="D1343" s="2" t="s">
        <v>28</v>
      </c>
      <c r="E1343" s="2" t="s">
        <v>29</v>
      </c>
      <c r="F1343" s="2">
        <v>321.55</v>
      </c>
      <c r="G1343" s="2">
        <v>6</v>
      </c>
      <c r="H1343" s="2">
        <v>20.100000000000001</v>
      </c>
      <c r="I1343" t="str">
        <f t="shared" si="20"/>
        <v>Oct</v>
      </c>
      <c r="J1343">
        <f>YEAR(datas[[#This Row],[Order Date]])</f>
        <v>2021</v>
      </c>
    </row>
    <row r="1344" spans="1:10" ht="14.25" customHeight="1" x14ac:dyDescent="0.3">
      <c r="A1344" s="1">
        <v>44489</v>
      </c>
      <c r="B1344" s="2" t="s">
        <v>156</v>
      </c>
      <c r="C1344" s="2" t="s">
        <v>60</v>
      </c>
      <c r="D1344" s="2" t="s">
        <v>10</v>
      </c>
      <c r="E1344" s="2" t="s">
        <v>15</v>
      </c>
      <c r="F1344" s="2">
        <v>211.96</v>
      </c>
      <c r="G1344" s="2">
        <v>4</v>
      </c>
      <c r="H1344" s="2">
        <v>8.48</v>
      </c>
      <c r="I1344" t="str">
        <f t="shared" si="20"/>
        <v>Oct</v>
      </c>
      <c r="J1344">
        <f>YEAR(datas[[#This Row],[Order Date]])</f>
        <v>2021</v>
      </c>
    </row>
    <row r="1345" spans="1:10" ht="14.25" customHeight="1" x14ac:dyDescent="0.3">
      <c r="A1345" s="1">
        <v>44489</v>
      </c>
      <c r="B1345" s="2" t="s">
        <v>541</v>
      </c>
      <c r="C1345" s="2" t="s">
        <v>62</v>
      </c>
      <c r="D1345" s="2" t="s">
        <v>26</v>
      </c>
      <c r="E1345" s="2" t="s">
        <v>73</v>
      </c>
      <c r="F1345" s="2">
        <v>328.59</v>
      </c>
      <c r="G1345" s="2">
        <v>3</v>
      </c>
      <c r="H1345" s="2">
        <v>-147.87</v>
      </c>
      <c r="I1345" t="str">
        <f t="shared" si="20"/>
        <v>Oct</v>
      </c>
      <c r="J1345">
        <f>YEAR(datas[[#This Row],[Order Date]])</f>
        <v>2021</v>
      </c>
    </row>
    <row r="1346" spans="1:10" ht="14.25" customHeight="1" x14ac:dyDescent="0.3">
      <c r="A1346" s="1">
        <v>44489</v>
      </c>
      <c r="B1346" s="2" t="s">
        <v>541</v>
      </c>
      <c r="C1346" s="2" t="s">
        <v>62</v>
      </c>
      <c r="D1346" s="2" t="s">
        <v>10</v>
      </c>
      <c r="E1346" s="2" t="s">
        <v>15</v>
      </c>
      <c r="F1346" s="2">
        <v>98.35</v>
      </c>
      <c r="G1346" s="2">
        <v>3</v>
      </c>
      <c r="H1346" s="2">
        <v>-24.59</v>
      </c>
      <c r="I1346" t="str">
        <f t="shared" si="20"/>
        <v>Oct</v>
      </c>
      <c r="J1346">
        <f>YEAR(datas[[#This Row],[Order Date]])</f>
        <v>2021</v>
      </c>
    </row>
    <row r="1347" spans="1:10" ht="14.25" customHeight="1" x14ac:dyDescent="0.3">
      <c r="A1347" s="1">
        <v>44489</v>
      </c>
      <c r="B1347" s="2" t="s">
        <v>542</v>
      </c>
      <c r="C1347" s="2" t="s">
        <v>13</v>
      </c>
      <c r="D1347" s="2" t="s">
        <v>28</v>
      </c>
      <c r="E1347" s="2" t="s">
        <v>34</v>
      </c>
      <c r="F1347" s="2">
        <v>319.97000000000003</v>
      </c>
      <c r="G1347" s="2">
        <v>4</v>
      </c>
      <c r="H1347" s="2">
        <v>71.989999999999995</v>
      </c>
      <c r="I1347" t="str">
        <f t="shared" ref="I1347:I1410" si="21">TEXT(A1347,"mmm")</f>
        <v>Oct</v>
      </c>
      <c r="J1347">
        <f>YEAR(datas[[#This Row],[Order Date]])</f>
        <v>2021</v>
      </c>
    </row>
    <row r="1348" spans="1:10" ht="14.25" customHeight="1" x14ac:dyDescent="0.3">
      <c r="A1348" s="1">
        <v>44489</v>
      </c>
      <c r="B1348" s="2" t="s">
        <v>542</v>
      </c>
      <c r="C1348" s="2" t="s">
        <v>13</v>
      </c>
      <c r="D1348" s="2" t="s">
        <v>10</v>
      </c>
      <c r="E1348" s="2" t="s">
        <v>15</v>
      </c>
      <c r="F1348" s="2">
        <v>505.32</v>
      </c>
      <c r="G1348" s="2">
        <v>3</v>
      </c>
      <c r="H1348" s="2">
        <v>31.58</v>
      </c>
      <c r="I1348" t="str">
        <f t="shared" si="21"/>
        <v>Oct</v>
      </c>
      <c r="J1348">
        <f>YEAR(datas[[#This Row],[Order Date]])</f>
        <v>2021</v>
      </c>
    </row>
    <row r="1349" spans="1:10" ht="14.25" customHeight="1" x14ac:dyDescent="0.3">
      <c r="A1349" s="1">
        <v>44489</v>
      </c>
      <c r="B1349" s="2" t="s">
        <v>542</v>
      </c>
      <c r="C1349" s="2" t="s">
        <v>13</v>
      </c>
      <c r="D1349" s="2" t="s">
        <v>10</v>
      </c>
      <c r="E1349" s="2" t="s">
        <v>11</v>
      </c>
      <c r="F1349" s="2">
        <v>3.81</v>
      </c>
      <c r="G1349" s="2">
        <v>1</v>
      </c>
      <c r="H1349" s="2">
        <v>1.24</v>
      </c>
      <c r="I1349" t="str">
        <f t="shared" si="21"/>
        <v>Oct</v>
      </c>
      <c r="J1349">
        <f>YEAR(datas[[#This Row],[Order Date]])</f>
        <v>2021</v>
      </c>
    </row>
    <row r="1350" spans="1:10" ht="14.25" customHeight="1" x14ac:dyDescent="0.3">
      <c r="A1350" s="1">
        <v>44489</v>
      </c>
      <c r="B1350" s="2" t="s">
        <v>542</v>
      </c>
      <c r="C1350" s="2" t="s">
        <v>13</v>
      </c>
      <c r="D1350" s="2" t="s">
        <v>10</v>
      </c>
      <c r="E1350" s="2" t="s">
        <v>16</v>
      </c>
      <c r="F1350" s="2">
        <v>8.68</v>
      </c>
      <c r="G1350" s="2">
        <v>1</v>
      </c>
      <c r="H1350" s="2">
        <v>-14.76</v>
      </c>
      <c r="I1350" t="str">
        <f t="shared" si="21"/>
        <v>Oct</v>
      </c>
      <c r="J1350">
        <f>YEAR(datas[[#This Row],[Order Date]])</f>
        <v>2021</v>
      </c>
    </row>
    <row r="1351" spans="1:10" ht="14.25" customHeight="1" x14ac:dyDescent="0.3">
      <c r="A1351" s="1">
        <v>44489</v>
      </c>
      <c r="B1351" s="2" t="s">
        <v>542</v>
      </c>
      <c r="C1351" s="2" t="s">
        <v>13</v>
      </c>
      <c r="D1351" s="2" t="s">
        <v>10</v>
      </c>
      <c r="E1351" s="2" t="s">
        <v>14</v>
      </c>
      <c r="F1351" s="2">
        <v>24.42</v>
      </c>
      <c r="G1351" s="2">
        <v>1</v>
      </c>
      <c r="H1351" s="2">
        <v>7.94</v>
      </c>
      <c r="I1351" t="str">
        <f t="shared" si="21"/>
        <v>Oct</v>
      </c>
      <c r="J1351">
        <f>YEAR(datas[[#This Row],[Order Date]])</f>
        <v>2021</v>
      </c>
    </row>
    <row r="1352" spans="1:10" ht="14.25" customHeight="1" x14ac:dyDescent="0.3">
      <c r="A1352" s="1">
        <v>44490</v>
      </c>
      <c r="B1352" s="2" t="s">
        <v>534</v>
      </c>
      <c r="C1352" s="2" t="s">
        <v>47</v>
      </c>
      <c r="D1352" s="2" t="s">
        <v>10</v>
      </c>
      <c r="E1352" s="2" t="s">
        <v>53</v>
      </c>
      <c r="F1352" s="2">
        <v>121.79</v>
      </c>
      <c r="G1352" s="2">
        <v>4</v>
      </c>
      <c r="H1352" s="2">
        <v>13.7</v>
      </c>
      <c r="I1352" t="str">
        <f t="shared" si="21"/>
        <v>Oct</v>
      </c>
      <c r="J1352">
        <f>YEAR(datas[[#This Row],[Order Date]])</f>
        <v>2021</v>
      </c>
    </row>
    <row r="1353" spans="1:10" ht="14.25" customHeight="1" x14ac:dyDescent="0.3">
      <c r="A1353" s="1">
        <v>44490</v>
      </c>
      <c r="B1353" s="2" t="s">
        <v>534</v>
      </c>
      <c r="C1353" s="2" t="s">
        <v>47</v>
      </c>
      <c r="D1353" s="2" t="s">
        <v>26</v>
      </c>
      <c r="E1353" s="2" t="s">
        <v>73</v>
      </c>
      <c r="F1353" s="2">
        <v>409.59</v>
      </c>
      <c r="G1353" s="2">
        <v>3</v>
      </c>
      <c r="H1353" s="2">
        <v>-122.88</v>
      </c>
      <c r="I1353" t="str">
        <f t="shared" si="21"/>
        <v>Oct</v>
      </c>
      <c r="J1353">
        <f>YEAR(datas[[#This Row],[Order Date]])</f>
        <v>2021</v>
      </c>
    </row>
    <row r="1354" spans="1:10" ht="14.25" customHeight="1" x14ac:dyDescent="0.3">
      <c r="A1354" s="1">
        <v>44490</v>
      </c>
      <c r="B1354" s="2" t="s">
        <v>543</v>
      </c>
      <c r="C1354" s="2" t="s">
        <v>21</v>
      </c>
      <c r="D1354" s="2" t="s">
        <v>10</v>
      </c>
      <c r="E1354" s="2" t="s">
        <v>16</v>
      </c>
      <c r="F1354" s="2">
        <v>36.36</v>
      </c>
      <c r="G1354" s="2">
        <v>3</v>
      </c>
      <c r="H1354" s="2">
        <v>12.27</v>
      </c>
      <c r="I1354" t="str">
        <f t="shared" si="21"/>
        <v>Oct</v>
      </c>
      <c r="J1354">
        <f>YEAR(datas[[#This Row],[Order Date]])</f>
        <v>2021</v>
      </c>
    </row>
    <row r="1355" spans="1:10" ht="14.25" customHeight="1" x14ac:dyDescent="0.3">
      <c r="A1355" s="1">
        <v>44490</v>
      </c>
      <c r="B1355" s="2" t="s">
        <v>196</v>
      </c>
      <c r="C1355" s="2" t="s">
        <v>36</v>
      </c>
      <c r="D1355" s="2" t="s">
        <v>10</v>
      </c>
      <c r="E1355" s="2" t="s">
        <v>15</v>
      </c>
      <c r="F1355" s="2">
        <v>194.7</v>
      </c>
      <c r="G1355" s="2">
        <v>5</v>
      </c>
      <c r="H1355" s="2">
        <v>9.74</v>
      </c>
      <c r="I1355" t="str">
        <f t="shared" si="21"/>
        <v>Oct</v>
      </c>
      <c r="J1355">
        <f>YEAR(datas[[#This Row],[Order Date]])</f>
        <v>2021</v>
      </c>
    </row>
    <row r="1356" spans="1:10" ht="14.25" customHeight="1" x14ac:dyDescent="0.3">
      <c r="A1356" s="1">
        <v>44490</v>
      </c>
      <c r="B1356" s="2" t="s">
        <v>196</v>
      </c>
      <c r="C1356" s="2" t="s">
        <v>36</v>
      </c>
      <c r="D1356" s="2" t="s">
        <v>26</v>
      </c>
      <c r="E1356" s="2" t="s">
        <v>73</v>
      </c>
      <c r="F1356" s="2">
        <v>591.32000000000005</v>
      </c>
      <c r="G1356" s="2">
        <v>4</v>
      </c>
      <c r="H1356" s="2">
        <v>112.35</v>
      </c>
      <c r="I1356" t="str">
        <f t="shared" si="21"/>
        <v>Oct</v>
      </c>
      <c r="J1356">
        <f>YEAR(datas[[#This Row],[Order Date]])</f>
        <v>2021</v>
      </c>
    </row>
    <row r="1357" spans="1:10" ht="14.25" customHeight="1" x14ac:dyDescent="0.3">
      <c r="A1357" s="1">
        <v>44490</v>
      </c>
      <c r="B1357" s="2" t="s">
        <v>196</v>
      </c>
      <c r="C1357" s="2" t="s">
        <v>36</v>
      </c>
      <c r="D1357" s="2" t="s">
        <v>10</v>
      </c>
      <c r="E1357" s="2" t="s">
        <v>19</v>
      </c>
      <c r="F1357" s="2">
        <v>2.84</v>
      </c>
      <c r="G1357" s="2">
        <v>1</v>
      </c>
      <c r="H1357" s="2">
        <v>0.88</v>
      </c>
      <c r="I1357" t="str">
        <f t="shared" si="21"/>
        <v>Oct</v>
      </c>
      <c r="J1357">
        <f>YEAR(datas[[#This Row],[Order Date]])</f>
        <v>2021</v>
      </c>
    </row>
    <row r="1358" spans="1:10" ht="14.25" customHeight="1" x14ac:dyDescent="0.3">
      <c r="A1358" s="1">
        <v>44491</v>
      </c>
      <c r="B1358" s="2" t="s">
        <v>544</v>
      </c>
      <c r="C1358" s="2" t="s">
        <v>47</v>
      </c>
      <c r="D1358" s="2" t="s">
        <v>26</v>
      </c>
      <c r="E1358" s="2" t="s">
        <v>32</v>
      </c>
      <c r="F1358" s="2">
        <v>93.89</v>
      </c>
      <c r="G1358" s="2">
        <v>4</v>
      </c>
      <c r="H1358" s="2">
        <v>12.91</v>
      </c>
      <c r="I1358" t="str">
        <f t="shared" si="21"/>
        <v>Oct</v>
      </c>
      <c r="J1358">
        <f>YEAR(datas[[#This Row],[Order Date]])</f>
        <v>2021</v>
      </c>
    </row>
    <row r="1359" spans="1:10" ht="14.25" customHeight="1" x14ac:dyDescent="0.3">
      <c r="A1359" s="1">
        <v>44491</v>
      </c>
      <c r="B1359" s="2" t="s">
        <v>501</v>
      </c>
      <c r="C1359" s="2" t="s">
        <v>40</v>
      </c>
      <c r="D1359" s="2" t="s">
        <v>26</v>
      </c>
      <c r="E1359" s="2" t="s">
        <v>32</v>
      </c>
      <c r="F1359" s="2">
        <v>129.91999999999999</v>
      </c>
      <c r="G1359" s="2">
        <v>4</v>
      </c>
      <c r="H1359" s="2">
        <v>10.39</v>
      </c>
      <c r="I1359" t="str">
        <f t="shared" si="21"/>
        <v>Oct</v>
      </c>
      <c r="J1359">
        <f>YEAR(datas[[#This Row],[Order Date]])</f>
        <v>2021</v>
      </c>
    </row>
    <row r="1360" spans="1:10" ht="14.25" customHeight="1" x14ac:dyDescent="0.3">
      <c r="A1360" s="1">
        <v>44493</v>
      </c>
      <c r="B1360" s="2" t="s">
        <v>545</v>
      </c>
      <c r="C1360" s="2" t="s">
        <v>64</v>
      </c>
      <c r="D1360" s="2" t="s">
        <v>10</v>
      </c>
      <c r="E1360" s="2" t="s">
        <v>11</v>
      </c>
      <c r="F1360" s="2">
        <v>10.37</v>
      </c>
      <c r="G1360" s="2">
        <v>2</v>
      </c>
      <c r="H1360" s="2">
        <v>3.63</v>
      </c>
      <c r="I1360" t="str">
        <f t="shared" si="21"/>
        <v>Oct</v>
      </c>
      <c r="J1360">
        <f>YEAR(datas[[#This Row],[Order Date]])</f>
        <v>2021</v>
      </c>
    </row>
    <row r="1361" spans="1:10" ht="14.25" customHeight="1" x14ac:dyDescent="0.3">
      <c r="A1361" s="1">
        <v>44493</v>
      </c>
      <c r="B1361" s="2" t="s">
        <v>222</v>
      </c>
      <c r="C1361" s="2" t="s">
        <v>21</v>
      </c>
      <c r="D1361" s="2" t="s">
        <v>10</v>
      </c>
      <c r="E1361" s="2" t="s">
        <v>16</v>
      </c>
      <c r="F1361" s="2">
        <v>34.270000000000003</v>
      </c>
      <c r="G1361" s="2">
        <v>3</v>
      </c>
      <c r="H1361" s="2">
        <v>11.14</v>
      </c>
      <c r="I1361" t="str">
        <f t="shared" si="21"/>
        <v>Oct</v>
      </c>
      <c r="J1361">
        <f>YEAR(datas[[#This Row],[Order Date]])</f>
        <v>2021</v>
      </c>
    </row>
    <row r="1362" spans="1:10" ht="14.25" customHeight="1" x14ac:dyDescent="0.3">
      <c r="A1362" s="1">
        <v>44493</v>
      </c>
      <c r="B1362" s="2" t="s">
        <v>428</v>
      </c>
      <c r="C1362" s="2" t="s">
        <v>43</v>
      </c>
      <c r="D1362" s="2" t="s">
        <v>10</v>
      </c>
      <c r="E1362" s="2" t="s">
        <v>30</v>
      </c>
      <c r="F1362" s="2">
        <v>11.85</v>
      </c>
      <c r="G1362" s="2">
        <v>3</v>
      </c>
      <c r="H1362" s="2">
        <v>3.79</v>
      </c>
      <c r="I1362" t="str">
        <f t="shared" si="21"/>
        <v>Oct</v>
      </c>
      <c r="J1362">
        <f>YEAR(datas[[#This Row],[Order Date]])</f>
        <v>2021</v>
      </c>
    </row>
    <row r="1363" spans="1:10" ht="14.25" customHeight="1" x14ac:dyDescent="0.3">
      <c r="A1363" s="1">
        <v>44494</v>
      </c>
      <c r="B1363" s="2" t="s">
        <v>224</v>
      </c>
      <c r="C1363" s="2" t="s">
        <v>21</v>
      </c>
      <c r="D1363" s="2" t="s">
        <v>10</v>
      </c>
      <c r="E1363" s="2" t="s">
        <v>16</v>
      </c>
      <c r="F1363" s="2">
        <v>49.41</v>
      </c>
      <c r="G1363" s="2">
        <v>4</v>
      </c>
      <c r="H1363" s="2">
        <v>18.53</v>
      </c>
      <c r="I1363" t="str">
        <f t="shared" si="21"/>
        <v>Oct</v>
      </c>
      <c r="J1363">
        <f>YEAR(datas[[#This Row],[Order Date]])</f>
        <v>2021</v>
      </c>
    </row>
    <row r="1364" spans="1:10" ht="14.25" customHeight="1" x14ac:dyDescent="0.3">
      <c r="A1364" s="1">
        <v>44494</v>
      </c>
      <c r="B1364" s="2" t="s">
        <v>283</v>
      </c>
      <c r="C1364" s="2" t="s">
        <v>18</v>
      </c>
      <c r="D1364" s="2" t="s">
        <v>28</v>
      </c>
      <c r="E1364" s="2" t="s">
        <v>34</v>
      </c>
      <c r="F1364" s="2">
        <v>40.78</v>
      </c>
      <c r="G1364" s="2">
        <v>3</v>
      </c>
      <c r="H1364" s="2">
        <v>0.51</v>
      </c>
      <c r="I1364" t="str">
        <f t="shared" si="21"/>
        <v>Oct</v>
      </c>
      <c r="J1364">
        <f>YEAR(datas[[#This Row],[Order Date]])</f>
        <v>2021</v>
      </c>
    </row>
    <row r="1365" spans="1:10" ht="14.25" customHeight="1" x14ac:dyDescent="0.3">
      <c r="A1365" s="1">
        <v>44494</v>
      </c>
      <c r="B1365" s="2" t="s">
        <v>283</v>
      </c>
      <c r="C1365" s="2" t="s">
        <v>18</v>
      </c>
      <c r="D1365" s="2" t="s">
        <v>10</v>
      </c>
      <c r="E1365" s="2" t="s">
        <v>16</v>
      </c>
      <c r="F1365" s="2">
        <v>13.7</v>
      </c>
      <c r="G1365" s="2">
        <v>3</v>
      </c>
      <c r="H1365" s="2">
        <v>-9.59</v>
      </c>
      <c r="I1365" t="str">
        <f t="shared" si="21"/>
        <v>Oct</v>
      </c>
      <c r="J1365">
        <f>YEAR(datas[[#This Row],[Order Date]])</f>
        <v>2021</v>
      </c>
    </row>
    <row r="1366" spans="1:10" ht="14.25" customHeight="1" x14ac:dyDescent="0.3">
      <c r="A1366" s="1">
        <v>44495</v>
      </c>
      <c r="B1366" s="2" t="s">
        <v>546</v>
      </c>
      <c r="C1366" s="2" t="s">
        <v>82</v>
      </c>
      <c r="D1366" s="2" t="s">
        <v>26</v>
      </c>
      <c r="E1366" s="2" t="s">
        <v>32</v>
      </c>
      <c r="F1366" s="2">
        <v>63.92</v>
      </c>
      <c r="G1366" s="2">
        <v>4</v>
      </c>
      <c r="H1366" s="2">
        <v>3.2</v>
      </c>
      <c r="I1366" t="str">
        <f t="shared" si="21"/>
        <v>Oct</v>
      </c>
      <c r="J1366">
        <f>YEAR(datas[[#This Row],[Order Date]])</f>
        <v>2021</v>
      </c>
    </row>
    <row r="1367" spans="1:10" ht="14.25" customHeight="1" x14ac:dyDescent="0.3">
      <c r="A1367" s="1">
        <v>44495</v>
      </c>
      <c r="B1367" s="2" t="s">
        <v>546</v>
      </c>
      <c r="C1367" s="2" t="s">
        <v>82</v>
      </c>
      <c r="D1367" s="2" t="s">
        <v>28</v>
      </c>
      <c r="E1367" s="2" t="s">
        <v>29</v>
      </c>
      <c r="F1367" s="2">
        <v>383.96</v>
      </c>
      <c r="G1367" s="2">
        <v>5</v>
      </c>
      <c r="H1367" s="2">
        <v>38.4</v>
      </c>
      <c r="I1367" t="str">
        <f t="shared" si="21"/>
        <v>Oct</v>
      </c>
      <c r="J1367">
        <f>YEAR(datas[[#This Row],[Order Date]])</f>
        <v>2021</v>
      </c>
    </row>
    <row r="1368" spans="1:10" ht="14.25" customHeight="1" x14ac:dyDescent="0.3">
      <c r="A1368" s="1">
        <v>44496</v>
      </c>
      <c r="B1368" s="2" t="s">
        <v>547</v>
      </c>
      <c r="C1368" s="2" t="s">
        <v>115</v>
      </c>
      <c r="D1368" s="2" t="s">
        <v>10</v>
      </c>
      <c r="E1368" s="2" t="s">
        <v>11</v>
      </c>
      <c r="F1368" s="2">
        <v>10.37</v>
      </c>
      <c r="G1368" s="2">
        <v>2</v>
      </c>
      <c r="H1368" s="2">
        <v>3.63</v>
      </c>
      <c r="I1368" t="str">
        <f t="shared" si="21"/>
        <v>Oct</v>
      </c>
      <c r="J1368">
        <f>YEAR(datas[[#This Row],[Order Date]])</f>
        <v>2021</v>
      </c>
    </row>
    <row r="1369" spans="1:10" ht="14.25" customHeight="1" x14ac:dyDescent="0.3">
      <c r="A1369" s="1">
        <v>44496</v>
      </c>
      <c r="B1369" s="2" t="s">
        <v>547</v>
      </c>
      <c r="C1369" s="2" t="s">
        <v>115</v>
      </c>
      <c r="D1369" s="2" t="s">
        <v>10</v>
      </c>
      <c r="E1369" s="2" t="s">
        <v>11</v>
      </c>
      <c r="F1369" s="2">
        <v>11.95</v>
      </c>
      <c r="G1369" s="2">
        <v>3</v>
      </c>
      <c r="H1369" s="2">
        <v>4.03</v>
      </c>
      <c r="I1369" t="str">
        <f t="shared" si="21"/>
        <v>Oct</v>
      </c>
      <c r="J1369">
        <f>YEAR(datas[[#This Row],[Order Date]])</f>
        <v>2021</v>
      </c>
    </row>
    <row r="1370" spans="1:10" ht="14.25" customHeight="1" x14ac:dyDescent="0.3">
      <c r="A1370" s="1">
        <v>44497</v>
      </c>
      <c r="B1370" s="2" t="s">
        <v>548</v>
      </c>
      <c r="C1370" s="2" t="s">
        <v>21</v>
      </c>
      <c r="D1370" s="2" t="s">
        <v>10</v>
      </c>
      <c r="E1370" s="2" t="s">
        <v>16</v>
      </c>
      <c r="F1370" s="2">
        <v>7.18</v>
      </c>
      <c r="G1370" s="2">
        <v>2</v>
      </c>
      <c r="H1370" s="2">
        <v>2.25</v>
      </c>
      <c r="I1370" t="str">
        <f t="shared" si="21"/>
        <v>Oct</v>
      </c>
      <c r="J1370">
        <f>YEAR(datas[[#This Row],[Order Date]])</f>
        <v>2021</v>
      </c>
    </row>
    <row r="1371" spans="1:10" ht="14.25" customHeight="1" x14ac:dyDescent="0.3">
      <c r="A1371" s="1">
        <v>44497</v>
      </c>
      <c r="B1371" s="2" t="s">
        <v>548</v>
      </c>
      <c r="C1371" s="2" t="s">
        <v>21</v>
      </c>
      <c r="D1371" s="2" t="s">
        <v>10</v>
      </c>
      <c r="E1371" s="2" t="s">
        <v>95</v>
      </c>
      <c r="F1371" s="2">
        <v>6.28</v>
      </c>
      <c r="G1371" s="2">
        <v>2</v>
      </c>
      <c r="H1371" s="2">
        <v>0.06</v>
      </c>
      <c r="I1371" t="str">
        <f t="shared" si="21"/>
        <v>Oct</v>
      </c>
      <c r="J1371">
        <f>YEAR(datas[[#This Row],[Order Date]])</f>
        <v>2021</v>
      </c>
    </row>
    <row r="1372" spans="1:10" ht="14.25" customHeight="1" x14ac:dyDescent="0.3">
      <c r="A1372" s="1">
        <v>44497</v>
      </c>
      <c r="B1372" s="2" t="s">
        <v>548</v>
      </c>
      <c r="C1372" s="2" t="s">
        <v>21</v>
      </c>
      <c r="D1372" s="2" t="s">
        <v>10</v>
      </c>
      <c r="E1372" s="2" t="s">
        <v>95</v>
      </c>
      <c r="F1372" s="2">
        <v>480.74</v>
      </c>
      <c r="G1372" s="2">
        <v>2</v>
      </c>
      <c r="H1372" s="2">
        <v>14.42</v>
      </c>
      <c r="I1372" t="str">
        <f t="shared" si="21"/>
        <v>Oct</v>
      </c>
      <c r="J1372">
        <f>YEAR(datas[[#This Row],[Order Date]])</f>
        <v>2021</v>
      </c>
    </row>
    <row r="1373" spans="1:10" ht="14.25" customHeight="1" x14ac:dyDescent="0.3">
      <c r="A1373" s="1">
        <v>44497</v>
      </c>
      <c r="B1373" s="2" t="s">
        <v>548</v>
      </c>
      <c r="C1373" s="2" t="s">
        <v>21</v>
      </c>
      <c r="D1373" s="2" t="s">
        <v>26</v>
      </c>
      <c r="E1373" s="2" t="s">
        <v>45</v>
      </c>
      <c r="F1373" s="2">
        <v>617</v>
      </c>
      <c r="G1373" s="2">
        <v>6</v>
      </c>
      <c r="H1373" s="2">
        <v>-36.29</v>
      </c>
      <c r="I1373" t="str">
        <f t="shared" si="21"/>
        <v>Oct</v>
      </c>
      <c r="J1373">
        <f>YEAR(datas[[#This Row],[Order Date]])</f>
        <v>2021</v>
      </c>
    </row>
    <row r="1374" spans="1:10" ht="14.25" customHeight="1" x14ac:dyDescent="0.3">
      <c r="A1374" s="1">
        <v>44497</v>
      </c>
      <c r="B1374" s="2" t="s">
        <v>548</v>
      </c>
      <c r="C1374" s="2" t="s">
        <v>21</v>
      </c>
      <c r="D1374" s="2" t="s">
        <v>10</v>
      </c>
      <c r="E1374" s="2" t="s">
        <v>15</v>
      </c>
      <c r="F1374" s="2">
        <v>141.4</v>
      </c>
      <c r="G1374" s="2">
        <v>5</v>
      </c>
      <c r="H1374" s="2">
        <v>38.18</v>
      </c>
      <c r="I1374" t="str">
        <f t="shared" si="21"/>
        <v>Oct</v>
      </c>
      <c r="J1374">
        <f>YEAR(datas[[#This Row],[Order Date]])</f>
        <v>2021</v>
      </c>
    </row>
    <row r="1375" spans="1:10" ht="14.25" customHeight="1" x14ac:dyDescent="0.3">
      <c r="A1375" s="1">
        <v>44497</v>
      </c>
      <c r="B1375" s="2" t="s">
        <v>549</v>
      </c>
      <c r="C1375" s="2" t="s">
        <v>469</v>
      </c>
      <c r="D1375" s="2" t="s">
        <v>28</v>
      </c>
      <c r="E1375" s="2" t="s">
        <v>29</v>
      </c>
      <c r="F1375" s="2">
        <v>257.98</v>
      </c>
      <c r="G1375" s="2">
        <v>2</v>
      </c>
      <c r="H1375" s="2">
        <v>74.81</v>
      </c>
      <c r="I1375" t="str">
        <f t="shared" si="21"/>
        <v>Oct</v>
      </c>
      <c r="J1375">
        <f>YEAR(datas[[#This Row],[Order Date]])</f>
        <v>2021</v>
      </c>
    </row>
    <row r="1376" spans="1:10" ht="14.25" customHeight="1" x14ac:dyDescent="0.3">
      <c r="A1376" s="1">
        <v>44498</v>
      </c>
      <c r="B1376" s="2" t="s">
        <v>103</v>
      </c>
      <c r="C1376" s="2" t="s">
        <v>13</v>
      </c>
      <c r="D1376" s="2" t="s">
        <v>28</v>
      </c>
      <c r="E1376" s="2" t="s">
        <v>29</v>
      </c>
      <c r="F1376" s="2">
        <v>2735.95</v>
      </c>
      <c r="G1376" s="2">
        <v>6</v>
      </c>
      <c r="H1376" s="2">
        <v>341.99</v>
      </c>
      <c r="I1376" t="str">
        <f t="shared" si="21"/>
        <v>Oct</v>
      </c>
      <c r="J1376">
        <f>YEAR(datas[[#This Row],[Order Date]])</f>
        <v>2021</v>
      </c>
    </row>
    <row r="1377" spans="1:10" ht="14.25" customHeight="1" x14ac:dyDescent="0.3">
      <c r="A1377" s="1">
        <v>44498</v>
      </c>
      <c r="B1377" s="2" t="s">
        <v>550</v>
      </c>
      <c r="C1377" s="2" t="s">
        <v>68</v>
      </c>
      <c r="D1377" s="2" t="s">
        <v>28</v>
      </c>
      <c r="E1377" s="2" t="s">
        <v>34</v>
      </c>
      <c r="F1377" s="2">
        <v>1.98</v>
      </c>
      <c r="G1377" s="2">
        <v>2</v>
      </c>
      <c r="H1377" s="2">
        <v>0.89</v>
      </c>
      <c r="I1377" t="str">
        <f t="shared" si="21"/>
        <v>Oct</v>
      </c>
      <c r="J1377">
        <f>YEAR(datas[[#This Row],[Order Date]])</f>
        <v>2021</v>
      </c>
    </row>
    <row r="1378" spans="1:10" ht="14.25" customHeight="1" x14ac:dyDescent="0.3">
      <c r="A1378" s="1">
        <v>44498</v>
      </c>
      <c r="B1378" s="2" t="s">
        <v>550</v>
      </c>
      <c r="C1378" s="2" t="s">
        <v>68</v>
      </c>
      <c r="D1378" s="2" t="s">
        <v>10</v>
      </c>
      <c r="E1378" s="2" t="s">
        <v>11</v>
      </c>
      <c r="F1378" s="2">
        <v>75.88</v>
      </c>
      <c r="G1378" s="2">
        <v>2</v>
      </c>
      <c r="H1378" s="2">
        <v>35.659999999999997</v>
      </c>
      <c r="I1378" t="str">
        <f t="shared" si="21"/>
        <v>Oct</v>
      </c>
      <c r="J1378">
        <f>YEAR(datas[[#This Row],[Order Date]])</f>
        <v>2021</v>
      </c>
    </row>
    <row r="1379" spans="1:10" ht="14.25" customHeight="1" x14ac:dyDescent="0.3">
      <c r="A1379" s="1">
        <v>44500</v>
      </c>
      <c r="B1379" s="2" t="s">
        <v>551</v>
      </c>
      <c r="C1379" s="2" t="s">
        <v>21</v>
      </c>
      <c r="D1379" s="2" t="s">
        <v>10</v>
      </c>
      <c r="E1379" s="2" t="s">
        <v>30</v>
      </c>
      <c r="F1379" s="2">
        <v>11.34</v>
      </c>
      <c r="G1379" s="2">
        <v>3</v>
      </c>
      <c r="H1379" s="2">
        <v>5.22</v>
      </c>
      <c r="I1379" t="str">
        <f t="shared" si="21"/>
        <v>Oct</v>
      </c>
      <c r="J1379">
        <f>YEAR(datas[[#This Row],[Order Date]])</f>
        <v>2021</v>
      </c>
    </row>
    <row r="1380" spans="1:10" ht="14.25" customHeight="1" x14ac:dyDescent="0.3">
      <c r="A1380" s="1">
        <v>44500</v>
      </c>
      <c r="B1380" s="2" t="s">
        <v>551</v>
      </c>
      <c r="C1380" s="2" t="s">
        <v>21</v>
      </c>
      <c r="D1380" s="2" t="s">
        <v>10</v>
      </c>
      <c r="E1380" s="2" t="s">
        <v>15</v>
      </c>
      <c r="F1380" s="2">
        <v>80.3</v>
      </c>
      <c r="G1380" s="2">
        <v>5</v>
      </c>
      <c r="H1380" s="2">
        <v>20.88</v>
      </c>
      <c r="I1380" t="str">
        <f t="shared" si="21"/>
        <v>Oct</v>
      </c>
      <c r="J1380">
        <f>YEAR(datas[[#This Row],[Order Date]])</f>
        <v>2021</v>
      </c>
    </row>
    <row r="1381" spans="1:10" ht="14.25" customHeight="1" x14ac:dyDescent="0.3">
      <c r="A1381" s="1">
        <v>44500</v>
      </c>
      <c r="B1381" s="2" t="s">
        <v>551</v>
      </c>
      <c r="C1381" s="2" t="s">
        <v>21</v>
      </c>
      <c r="D1381" s="2" t="s">
        <v>10</v>
      </c>
      <c r="E1381" s="2" t="s">
        <v>16</v>
      </c>
      <c r="F1381" s="2">
        <v>15.97</v>
      </c>
      <c r="G1381" s="2">
        <v>2</v>
      </c>
      <c r="H1381" s="2">
        <v>5.39</v>
      </c>
      <c r="I1381" t="str">
        <f t="shared" si="21"/>
        <v>Oct</v>
      </c>
      <c r="J1381">
        <f>YEAR(datas[[#This Row],[Order Date]])</f>
        <v>2021</v>
      </c>
    </row>
    <row r="1382" spans="1:10" ht="14.25" customHeight="1" x14ac:dyDescent="0.3">
      <c r="A1382" s="1">
        <v>44500</v>
      </c>
      <c r="B1382" s="2" t="s">
        <v>551</v>
      </c>
      <c r="C1382" s="2" t="s">
        <v>21</v>
      </c>
      <c r="D1382" s="2" t="s">
        <v>10</v>
      </c>
      <c r="E1382" s="2" t="s">
        <v>11</v>
      </c>
      <c r="F1382" s="2">
        <v>64.739999999999995</v>
      </c>
      <c r="G1382" s="2">
        <v>13</v>
      </c>
      <c r="H1382" s="2">
        <v>30.43</v>
      </c>
      <c r="I1382" t="str">
        <f t="shared" si="21"/>
        <v>Oct</v>
      </c>
      <c r="J1382">
        <f>YEAR(datas[[#This Row],[Order Date]])</f>
        <v>2021</v>
      </c>
    </row>
    <row r="1383" spans="1:10" ht="14.25" customHeight="1" x14ac:dyDescent="0.3">
      <c r="A1383" s="1">
        <v>44500</v>
      </c>
      <c r="B1383" s="2" t="s">
        <v>551</v>
      </c>
      <c r="C1383" s="2" t="s">
        <v>21</v>
      </c>
      <c r="D1383" s="2" t="s">
        <v>10</v>
      </c>
      <c r="E1383" s="2" t="s">
        <v>16</v>
      </c>
      <c r="F1383" s="2">
        <v>19.3</v>
      </c>
      <c r="G1383" s="2">
        <v>3</v>
      </c>
      <c r="H1383" s="2">
        <v>6.03</v>
      </c>
      <c r="I1383" t="str">
        <f t="shared" si="21"/>
        <v>Oct</v>
      </c>
      <c r="J1383">
        <f>YEAR(datas[[#This Row],[Order Date]])</f>
        <v>2021</v>
      </c>
    </row>
    <row r="1384" spans="1:10" ht="14.25" customHeight="1" x14ac:dyDescent="0.3">
      <c r="A1384" s="1">
        <v>44500</v>
      </c>
      <c r="B1384" s="2" t="s">
        <v>551</v>
      </c>
      <c r="C1384" s="2" t="s">
        <v>21</v>
      </c>
      <c r="D1384" s="2" t="s">
        <v>10</v>
      </c>
      <c r="E1384" s="2" t="s">
        <v>15</v>
      </c>
      <c r="F1384" s="2">
        <v>405.64</v>
      </c>
      <c r="G1384" s="2">
        <v>4</v>
      </c>
      <c r="H1384" s="2">
        <v>12.17</v>
      </c>
      <c r="I1384" t="str">
        <f t="shared" si="21"/>
        <v>Oct</v>
      </c>
      <c r="J1384">
        <f>YEAR(datas[[#This Row],[Order Date]])</f>
        <v>2021</v>
      </c>
    </row>
    <row r="1385" spans="1:10" ht="14.25" customHeight="1" x14ac:dyDescent="0.3">
      <c r="A1385" s="1">
        <v>44500</v>
      </c>
      <c r="B1385" s="2" t="s">
        <v>551</v>
      </c>
      <c r="C1385" s="2" t="s">
        <v>21</v>
      </c>
      <c r="D1385" s="2" t="s">
        <v>26</v>
      </c>
      <c r="E1385" s="2" t="s">
        <v>27</v>
      </c>
      <c r="F1385" s="2">
        <v>146.35</v>
      </c>
      <c r="G1385" s="2">
        <v>3</v>
      </c>
      <c r="H1385" s="2">
        <v>-9.15</v>
      </c>
      <c r="I1385" t="str">
        <f t="shared" si="21"/>
        <v>Oct</v>
      </c>
      <c r="J1385">
        <f>YEAR(datas[[#This Row],[Order Date]])</f>
        <v>2021</v>
      </c>
    </row>
    <row r="1386" spans="1:10" ht="14.25" customHeight="1" x14ac:dyDescent="0.3">
      <c r="A1386" s="1">
        <v>44500</v>
      </c>
      <c r="B1386" s="2" t="s">
        <v>551</v>
      </c>
      <c r="C1386" s="2" t="s">
        <v>21</v>
      </c>
      <c r="D1386" s="2" t="s">
        <v>28</v>
      </c>
      <c r="E1386" s="2" t="s">
        <v>34</v>
      </c>
      <c r="F1386" s="2">
        <v>251.91</v>
      </c>
      <c r="G1386" s="2">
        <v>9</v>
      </c>
      <c r="H1386" s="2">
        <v>47.86</v>
      </c>
      <c r="I1386" t="str">
        <f t="shared" si="21"/>
        <v>Oct</v>
      </c>
      <c r="J1386">
        <f>YEAR(datas[[#This Row],[Order Date]])</f>
        <v>2021</v>
      </c>
    </row>
    <row r="1387" spans="1:10" ht="14.25" customHeight="1" x14ac:dyDescent="0.3">
      <c r="A1387" s="1">
        <v>44500</v>
      </c>
      <c r="B1387" s="2" t="s">
        <v>551</v>
      </c>
      <c r="C1387" s="2" t="s">
        <v>21</v>
      </c>
      <c r="D1387" s="2" t="s">
        <v>10</v>
      </c>
      <c r="E1387" s="2" t="s">
        <v>19</v>
      </c>
      <c r="F1387" s="2">
        <v>12.39</v>
      </c>
      <c r="G1387" s="2">
        <v>3</v>
      </c>
      <c r="H1387" s="2">
        <v>3.72</v>
      </c>
      <c r="I1387" t="str">
        <f t="shared" si="21"/>
        <v>Oct</v>
      </c>
      <c r="J1387">
        <f>YEAR(datas[[#This Row],[Order Date]])</f>
        <v>2021</v>
      </c>
    </row>
    <row r="1388" spans="1:10" ht="14.25" customHeight="1" x14ac:dyDescent="0.3">
      <c r="A1388" s="1">
        <v>44500</v>
      </c>
      <c r="B1388" s="2" t="s">
        <v>552</v>
      </c>
      <c r="C1388" s="2" t="s">
        <v>553</v>
      </c>
      <c r="D1388" s="2" t="s">
        <v>10</v>
      </c>
      <c r="E1388" s="2" t="s">
        <v>19</v>
      </c>
      <c r="F1388" s="2">
        <v>49.25</v>
      </c>
      <c r="G1388" s="2">
        <v>5</v>
      </c>
      <c r="H1388" s="2">
        <v>18.72</v>
      </c>
      <c r="I1388" t="str">
        <f t="shared" si="21"/>
        <v>Oct</v>
      </c>
      <c r="J1388">
        <f>YEAR(datas[[#This Row],[Order Date]])</f>
        <v>2021</v>
      </c>
    </row>
    <row r="1389" spans="1:10" ht="14.25" customHeight="1" x14ac:dyDescent="0.3">
      <c r="A1389" s="1">
        <v>44500</v>
      </c>
      <c r="B1389" s="2" t="s">
        <v>552</v>
      </c>
      <c r="C1389" s="2" t="s">
        <v>553</v>
      </c>
      <c r="D1389" s="2" t="s">
        <v>10</v>
      </c>
      <c r="E1389" s="2" t="s">
        <v>11</v>
      </c>
      <c r="F1389" s="2">
        <v>10.16</v>
      </c>
      <c r="G1389" s="2">
        <v>2</v>
      </c>
      <c r="H1389" s="2">
        <v>4.78</v>
      </c>
      <c r="I1389" t="str">
        <f t="shared" si="21"/>
        <v>Oct</v>
      </c>
      <c r="J1389">
        <f>YEAR(datas[[#This Row],[Order Date]])</f>
        <v>2021</v>
      </c>
    </row>
    <row r="1390" spans="1:10" ht="14.25" customHeight="1" x14ac:dyDescent="0.3">
      <c r="A1390" s="1">
        <v>44500</v>
      </c>
      <c r="B1390" s="2" t="s">
        <v>552</v>
      </c>
      <c r="C1390" s="2" t="s">
        <v>553</v>
      </c>
      <c r="D1390" s="2" t="s">
        <v>26</v>
      </c>
      <c r="E1390" s="2" t="s">
        <v>32</v>
      </c>
      <c r="F1390" s="2">
        <v>14.76</v>
      </c>
      <c r="G1390" s="2">
        <v>2</v>
      </c>
      <c r="H1390" s="2">
        <v>4.28</v>
      </c>
      <c r="I1390" t="str">
        <f t="shared" si="21"/>
        <v>Oct</v>
      </c>
      <c r="J1390">
        <f>YEAR(datas[[#This Row],[Order Date]])</f>
        <v>2021</v>
      </c>
    </row>
    <row r="1391" spans="1:10" ht="14.25" customHeight="1" x14ac:dyDescent="0.3">
      <c r="A1391" s="1">
        <v>44500</v>
      </c>
      <c r="B1391" s="2" t="s">
        <v>552</v>
      </c>
      <c r="C1391" s="2" t="s">
        <v>553</v>
      </c>
      <c r="D1391" s="2" t="s">
        <v>10</v>
      </c>
      <c r="E1391" s="2" t="s">
        <v>16</v>
      </c>
      <c r="F1391" s="2">
        <v>34.08</v>
      </c>
      <c r="G1391" s="2">
        <v>2</v>
      </c>
      <c r="H1391" s="2">
        <v>15.68</v>
      </c>
      <c r="I1391" t="str">
        <f t="shared" si="21"/>
        <v>Oct</v>
      </c>
      <c r="J1391">
        <f>YEAR(datas[[#This Row],[Order Date]])</f>
        <v>2021</v>
      </c>
    </row>
    <row r="1392" spans="1:10" ht="14.25" customHeight="1" x14ac:dyDescent="0.3">
      <c r="A1392" s="1">
        <v>44500</v>
      </c>
      <c r="B1392" s="2" t="s">
        <v>552</v>
      </c>
      <c r="C1392" s="2" t="s">
        <v>553</v>
      </c>
      <c r="D1392" s="2" t="s">
        <v>26</v>
      </c>
      <c r="E1392" s="2" t="s">
        <v>32</v>
      </c>
      <c r="F1392" s="2">
        <v>17.670000000000002</v>
      </c>
      <c r="G1392" s="2">
        <v>3</v>
      </c>
      <c r="H1392" s="2">
        <v>7.77</v>
      </c>
      <c r="I1392" t="str">
        <f t="shared" si="21"/>
        <v>Oct</v>
      </c>
      <c r="J1392">
        <f>YEAR(datas[[#This Row],[Order Date]])</f>
        <v>2021</v>
      </c>
    </row>
    <row r="1393" spans="1:10" ht="14.25" customHeight="1" x14ac:dyDescent="0.3">
      <c r="A1393" s="1">
        <v>44500</v>
      </c>
      <c r="B1393" s="2" t="s">
        <v>552</v>
      </c>
      <c r="C1393" s="2" t="s">
        <v>553</v>
      </c>
      <c r="D1393" s="2" t="s">
        <v>26</v>
      </c>
      <c r="E1393" s="2" t="s">
        <v>27</v>
      </c>
      <c r="F1393" s="2">
        <v>1604.9</v>
      </c>
      <c r="G1393" s="2">
        <v>5</v>
      </c>
      <c r="H1393" s="2">
        <v>481.47</v>
      </c>
      <c r="I1393" t="str">
        <f t="shared" si="21"/>
        <v>Oct</v>
      </c>
      <c r="J1393">
        <f>YEAR(datas[[#This Row],[Order Date]])</f>
        <v>2021</v>
      </c>
    </row>
    <row r="1394" spans="1:10" ht="14.25" customHeight="1" x14ac:dyDescent="0.3">
      <c r="A1394" s="1">
        <v>44500</v>
      </c>
      <c r="B1394" s="2" t="s">
        <v>552</v>
      </c>
      <c r="C1394" s="2" t="s">
        <v>553</v>
      </c>
      <c r="D1394" s="2" t="s">
        <v>26</v>
      </c>
      <c r="E1394" s="2" t="s">
        <v>73</v>
      </c>
      <c r="F1394" s="2">
        <v>385.69</v>
      </c>
      <c r="G1394" s="2">
        <v>1</v>
      </c>
      <c r="H1394" s="2">
        <v>-60.61</v>
      </c>
      <c r="I1394" t="str">
        <f t="shared" si="21"/>
        <v>Oct</v>
      </c>
      <c r="J1394">
        <f>YEAR(datas[[#This Row],[Order Date]])</f>
        <v>2021</v>
      </c>
    </row>
    <row r="1395" spans="1:10" ht="14.25" customHeight="1" x14ac:dyDescent="0.3">
      <c r="A1395" s="1">
        <v>44500</v>
      </c>
      <c r="B1395" s="2" t="s">
        <v>554</v>
      </c>
      <c r="C1395" s="2" t="s">
        <v>55</v>
      </c>
      <c r="D1395" s="2" t="s">
        <v>28</v>
      </c>
      <c r="E1395" s="2" t="s">
        <v>29</v>
      </c>
      <c r="F1395" s="2">
        <v>742.34</v>
      </c>
      <c r="G1395" s="2">
        <v>8</v>
      </c>
      <c r="H1395" s="2">
        <v>83.51</v>
      </c>
      <c r="I1395" t="str">
        <f t="shared" si="21"/>
        <v>Oct</v>
      </c>
      <c r="J1395">
        <f>YEAR(datas[[#This Row],[Order Date]])</f>
        <v>2021</v>
      </c>
    </row>
    <row r="1396" spans="1:10" ht="14.25" customHeight="1" x14ac:dyDescent="0.3">
      <c r="A1396" s="1">
        <v>44500</v>
      </c>
      <c r="B1396" s="2" t="s">
        <v>35</v>
      </c>
      <c r="C1396" s="2" t="s">
        <v>47</v>
      </c>
      <c r="D1396" s="2" t="s">
        <v>26</v>
      </c>
      <c r="E1396" s="2" t="s">
        <v>73</v>
      </c>
      <c r="F1396" s="2">
        <v>1421.66</v>
      </c>
      <c r="G1396" s="2">
        <v>8</v>
      </c>
      <c r="H1396" s="2">
        <v>-734.53</v>
      </c>
      <c r="I1396" t="str">
        <f t="shared" si="21"/>
        <v>Oct</v>
      </c>
      <c r="J1396">
        <f>YEAR(datas[[#This Row],[Order Date]])</f>
        <v>2021</v>
      </c>
    </row>
    <row r="1397" spans="1:10" ht="14.25" customHeight="1" x14ac:dyDescent="0.3">
      <c r="A1397" s="1">
        <v>44500</v>
      </c>
      <c r="B1397" s="2" t="s">
        <v>555</v>
      </c>
      <c r="C1397" s="2" t="s">
        <v>21</v>
      </c>
      <c r="D1397" s="2" t="s">
        <v>28</v>
      </c>
      <c r="E1397" s="2" t="s">
        <v>29</v>
      </c>
      <c r="F1397" s="2">
        <v>73.58</v>
      </c>
      <c r="G1397" s="2">
        <v>2</v>
      </c>
      <c r="H1397" s="2">
        <v>8.2799999999999994</v>
      </c>
      <c r="I1397" t="str">
        <f t="shared" si="21"/>
        <v>Oct</v>
      </c>
      <c r="J1397">
        <f>YEAR(datas[[#This Row],[Order Date]])</f>
        <v>2021</v>
      </c>
    </row>
    <row r="1398" spans="1:10" ht="14.25" customHeight="1" x14ac:dyDescent="0.3">
      <c r="A1398" s="1">
        <v>44501</v>
      </c>
      <c r="B1398" s="2" t="s">
        <v>345</v>
      </c>
      <c r="C1398" s="2" t="s">
        <v>126</v>
      </c>
      <c r="D1398" s="2" t="s">
        <v>10</v>
      </c>
      <c r="E1398" s="2" t="s">
        <v>19</v>
      </c>
      <c r="F1398" s="2">
        <v>43.18</v>
      </c>
      <c r="G1398" s="2">
        <v>3</v>
      </c>
      <c r="H1398" s="2">
        <v>4.32</v>
      </c>
      <c r="I1398" t="str">
        <f t="shared" si="21"/>
        <v>Nov</v>
      </c>
      <c r="J1398">
        <f>YEAR(datas[[#This Row],[Order Date]])</f>
        <v>2021</v>
      </c>
    </row>
    <row r="1399" spans="1:10" ht="14.25" customHeight="1" x14ac:dyDescent="0.3">
      <c r="A1399" s="1">
        <v>44501</v>
      </c>
      <c r="B1399" s="2" t="s">
        <v>345</v>
      </c>
      <c r="C1399" s="2" t="s">
        <v>126</v>
      </c>
      <c r="D1399" s="2" t="s">
        <v>28</v>
      </c>
      <c r="E1399" s="2" t="s">
        <v>29</v>
      </c>
      <c r="F1399" s="2">
        <v>1983.97</v>
      </c>
      <c r="G1399" s="2">
        <v>4</v>
      </c>
      <c r="H1399" s="2">
        <v>248</v>
      </c>
      <c r="I1399" t="str">
        <f t="shared" si="21"/>
        <v>Nov</v>
      </c>
      <c r="J1399">
        <f>YEAR(datas[[#This Row],[Order Date]])</f>
        <v>2021</v>
      </c>
    </row>
    <row r="1400" spans="1:10" ht="14.25" customHeight="1" x14ac:dyDescent="0.3">
      <c r="A1400" s="1">
        <v>44501</v>
      </c>
      <c r="B1400" s="2" t="s">
        <v>42</v>
      </c>
      <c r="C1400" s="2" t="s">
        <v>52</v>
      </c>
      <c r="D1400" s="2" t="s">
        <v>10</v>
      </c>
      <c r="E1400" s="2" t="s">
        <v>15</v>
      </c>
      <c r="F1400" s="2">
        <v>443.92</v>
      </c>
      <c r="G1400" s="2">
        <v>5</v>
      </c>
      <c r="H1400" s="2">
        <v>-94.33</v>
      </c>
      <c r="I1400" t="str">
        <f t="shared" si="21"/>
        <v>Nov</v>
      </c>
      <c r="J1400">
        <f>YEAR(datas[[#This Row],[Order Date]])</f>
        <v>2021</v>
      </c>
    </row>
    <row r="1401" spans="1:10" ht="14.25" customHeight="1" x14ac:dyDescent="0.3">
      <c r="A1401" s="1">
        <v>44501</v>
      </c>
      <c r="B1401" s="2" t="s">
        <v>42</v>
      </c>
      <c r="C1401" s="2" t="s">
        <v>52</v>
      </c>
      <c r="D1401" s="2" t="s">
        <v>28</v>
      </c>
      <c r="E1401" s="2" t="s">
        <v>29</v>
      </c>
      <c r="F1401" s="2">
        <v>155.97999999999999</v>
      </c>
      <c r="G1401" s="2">
        <v>3</v>
      </c>
      <c r="H1401" s="2">
        <v>54.59</v>
      </c>
      <c r="I1401" t="str">
        <f t="shared" si="21"/>
        <v>Nov</v>
      </c>
      <c r="J1401">
        <f>YEAR(datas[[#This Row],[Order Date]])</f>
        <v>2021</v>
      </c>
    </row>
    <row r="1402" spans="1:10" ht="14.25" customHeight="1" x14ac:dyDescent="0.3">
      <c r="A1402" s="1">
        <v>44501</v>
      </c>
      <c r="B1402" s="2" t="s">
        <v>556</v>
      </c>
      <c r="C1402" s="2" t="s">
        <v>115</v>
      </c>
      <c r="D1402" s="2" t="s">
        <v>10</v>
      </c>
      <c r="E1402" s="2" t="s">
        <v>30</v>
      </c>
      <c r="F1402" s="2">
        <v>7.52</v>
      </c>
      <c r="G1402" s="2">
        <v>5</v>
      </c>
      <c r="H1402" s="2">
        <v>1.41</v>
      </c>
      <c r="I1402" t="str">
        <f t="shared" si="21"/>
        <v>Nov</v>
      </c>
      <c r="J1402">
        <f>YEAR(datas[[#This Row],[Order Date]])</f>
        <v>2021</v>
      </c>
    </row>
    <row r="1403" spans="1:10" ht="14.25" customHeight="1" x14ac:dyDescent="0.3">
      <c r="A1403" s="1">
        <v>44501</v>
      </c>
      <c r="B1403" s="2" t="s">
        <v>556</v>
      </c>
      <c r="C1403" s="2" t="s">
        <v>115</v>
      </c>
      <c r="D1403" s="2" t="s">
        <v>10</v>
      </c>
      <c r="E1403" s="2" t="s">
        <v>19</v>
      </c>
      <c r="F1403" s="2">
        <v>10.27</v>
      </c>
      <c r="G1403" s="2">
        <v>3</v>
      </c>
      <c r="H1403" s="2">
        <v>0.9</v>
      </c>
      <c r="I1403" t="str">
        <f t="shared" si="21"/>
        <v>Nov</v>
      </c>
      <c r="J1403">
        <f>YEAR(datas[[#This Row],[Order Date]])</f>
        <v>2021</v>
      </c>
    </row>
    <row r="1404" spans="1:10" ht="14.25" customHeight="1" x14ac:dyDescent="0.3">
      <c r="A1404" s="1">
        <v>44501</v>
      </c>
      <c r="B1404" s="2" t="s">
        <v>556</v>
      </c>
      <c r="C1404" s="2" t="s">
        <v>115</v>
      </c>
      <c r="D1404" s="2" t="s">
        <v>10</v>
      </c>
      <c r="E1404" s="2" t="s">
        <v>14</v>
      </c>
      <c r="F1404" s="2">
        <v>47.81</v>
      </c>
      <c r="G1404" s="2">
        <v>12</v>
      </c>
      <c r="H1404" s="2">
        <v>15.54</v>
      </c>
      <c r="I1404" t="str">
        <f t="shared" si="21"/>
        <v>Nov</v>
      </c>
      <c r="J1404">
        <f>YEAR(datas[[#This Row],[Order Date]])</f>
        <v>2021</v>
      </c>
    </row>
    <row r="1405" spans="1:10" ht="14.25" customHeight="1" x14ac:dyDescent="0.3">
      <c r="A1405" s="1">
        <v>44501</v>
      </c>
      <c r="B1405" s="2" t="s">
        <v>556</v>
      </c>
      <c r="C1405" s="2" t="s">
        <v>115</v>
      </c>
      <c r="D1405" s="2" t="s">
        <v>28</v>
      </c>
      <c r="E1405" s="2" t="s">
        <v>29</v>
      </c>
      <c r="F1405" s="2">
        <v>978.84</v>
      </c>
      <c r="G1405" s="2">
        <v>9</v>
      </c>
      <c r="H1405" s="2">
        <v>110.12</v>
      </c>
      <c r="I1405" t="str">
        <f t="shared" si="21"/>
        <v>Nov</v>
      </c>
      <c r="J1405">
        <f>YEAR(datas[[#This Row],[Order Date]])</f>
        <v>2021</v>
      </c>
    </row>
    <row r="1406" spans="1:10" ht="14.25" customHeight="1" x14ac:dyDescent="0.3">
      <c r="A1406" s="1">
        <v>44501</v>
      </c>
      <c r="B1406" s="2" t="s">
        <v>507</v>
      </c>
      <c r="C1406" s="2" t="s">
        <v>13</v>
      </c>
      <c r="D1406" s="2" t="s">
        <v>10</v>
      </c>
      <c r="E1406" s="2" t="s">
        <v>11</v>
      </c>
      <c r="F1406" s="2">
        <v>15.7</v>
      </c>
      <c r="G1406" s="2">
        <v>3</v>
      </c>
      <c r="H1406" s="2">
        <v>5.0999999999999996</v>
      </c>
      <c r="I1406" t="str">
        <f t="shared" si="21"/>
        <v>Nov</v>
      </c>
      <c r="J1406">
        <f>YEAR(datas[[#This Row],[Order Date]])</f>
        <v>2021</v>
      </c>
    </row>
    <row r="1407" spans="1:10" ht="14.25" customHeight="1" x14ac:dyDescent="0.3">
      <c r="A1407" s="1">
        <v>44501</v>
      </c>
      <c r="B1407" s="2" t="s">
        <v>22</v>
      </c>
      <c r="C1407" s="2" t="s">
        <v>25</v>
      </c>
      <c r="D1407" s="2" t="s">
        <v>10</v>
      </c>
      <c r="E1407" s="2" t="s">
        <v>15</v>
      </c>
      <c r="F1407" s="2">
        <v>69.52</v>
      </c>
      <c r="G1407" s="2">
        <v>2</v>
      </c>
      <c r="H1407" s="2">
        <v>19.47</v>
      </c>
      <c r="I1407" t="str">
        <f t="shared" si="21"/>
        <v>Nov</v>
      </c>
      <c r="J1407">
        <f>YEAR(datas[[#This Row],[Order Date]])</f>
        <v>2021</v>
      </c>
    </row>
    <row r="1408" spans="1:10" ht="14.25" customHeight="1" x14ac:dyDescent="0.3">
      <c r="A1408" s="1">
        <v>44501</v>
      </c>
      <c r="B1408" s="2" t="s">
        <v>22</v>
      </c>
      <c r="C1408" s="2" t="s">
        <v>25</v>
      </c>
      <c r="D1408" s="2" t="s">
        <v>10</v>
      </c>
      <c r="E1408" s="2" t="s">
        <v>19</v>
      </c>
      <c r="F1408" s="2">
        <v>5.64</v>
      </c>
      <c r="G1408" s="2">
        <v>3</v>
      </c>
      <c r="H1408" s="2">
        <v>1.64</v>
      </c>
      <c r="I1408" t="str">
        <f t="shared" si="21"/>
        <v>Nov</v>
      </c>
      <c r="J1408">
        <f>YEAR(datas[[#This Row],[Order Date]])</f>
        <v>2021</v>
      </c>
    </row>
    <row r="1409" spans="1:10" ht="14.25" customHeight="1" x14ac:dyDescent="0.3">
      <c r="A1409" s="1">
        <v>44501</v>
      </c>
      <c r="B1409" s="2" t="s">
        <v>557</v>
      </c>
      <c r="C1409" s="2" t="s">
        <v>21</v>
      </c>
      <c r="D1409" s="2" t="s">
        <v>10</v>
      </c>
      <c r="E1409" s="2" t="s">
        <v>14</v>
      </c>
      <c r="F1409" s="2">
        <v>44.4</v>
      </c>
      <c r="G1409" s="2">
        <v>3</v>
      </c>
      <c r="H1409" s="2">
        <v>22.2</v>
      </c>
      <c r="I1409" t="str">
        <f t="shared" si="21"/>
        <v>Nov</v>
      </c>
      <c r="J1409">
        <f>YEAR(datas[[#This Row],[Order Date]])</f>
        <v>2021</v>
      </c>
    </row>
    <row r="1410" spans="1:10" ht="14.25" customHeight="1" x14ac:dyDescent="0.3">
      <c r="A1410" s="1">
        <v>44501</v>
      </c>
      <c r="B1410" s="2" t="s">
        <v>557</v>
      </c>
      <c r="C1410" s="2" t="s">
        <v>21</v>
      </c>
      <c r="D1410" s="2" t="s">
        <v>10</v>
      </c>
      <c r="E1410" s="2" t="s">
        <v>11</v>
      </c>
      <c r="F1410" s="2">
        <v>21.4</v>
      </c>
      <c r="G1410" s="2">
        <v>5</v>
      </c>
      <c r="H1410" s="2">
        <v>9.6300000000000008</v>
      </c>
      <c r="I1410" t="str">
        <f t="shared" si="21"/>
        <v>Nov</v>
      </c>
      <c r="J1410">
        <f>YEAR(datas[[#This Row],[Order Date]])</f>
        <v>2021</v>
      </c>
    </row>
    <row r="1411" spans="1:10" ht="14.25" customHeight="1" x14ac:dyDescent="0.3">
      <c r="A1411" s="1">
        <v>44501</v>
      </c>
      <c r="B1411" s="2" t="s">
        <v>462</v>
      </c>
      <c r="C1411" s="2" t="s">
        <v>75</v>
      </c>
      <c r="D1411" s="2" t="s">
        <v>10</v>
      </c>
      <c r="E1411" s="2" t="s">
        <v>53</v>
      </c>
      <c r="F1411" s="2">
        <v>533.94000000000005</v>
      </c>
      <c r="G1411" s="2">
        <v>3</v>
      </c>
      <c r="H1411" s="2">
        <v>154.84</v>
      </c>
      <c r="I1411" t="str">
        <f t="shared" ref="I1411:I1474" si="22">TEXT(A1411,"mmm")</f>
        <v>Nov</v>
      </c>
      <c r="J1411">
        <f>YEAR(datas[[#This Row],[Order Date]])</f>
        <v>2021</v>
      </c>
    </row>
    <row r="1412" spans="1:10" ht="14.25" customHeight="1" x14ac:dyDescent="0.3">
      <c r="A1412" s="1">
        <v>44501</v>
      </c>
      <c r="B1412" s="2" t="s">
        <v>462</v>
      </c>
      <c r="C1412" s="2" t="s">
        <v>75</v>
      </c>
      <c r="D1412" s="2" t="s">
        <v>10</v>
      </c>
      <c r="E1412" s="2" t="s">
        <v>11</v>
      </c>
      <c r="F1412" s="2">
        <v>167.94</v>
      </c>
      <c r="G1412" s="2">
        <v>3</v>
      </c>
      <c r="H1412" s="2">
        <v>82.29</v>
      </c>
      <c r="I1412" t="str">
        <f t="shared" si="22"/>
        <v>Nov</v>
      </c>
      <c r="J1412">
        <f>YEAR(datas[[#This Row],[Order Date]])</f>
        <v>2021</v>
      </c>
    </row>
    <row r="1413" spans="1:10" ht="14.25" customHeight="1" x14ac:dyDescent="0.3">
      <c r="A1413" s="1">
        <v>44501</v>
      </c>
      <c r="B1413" s="2" t="s">
        <v>462</v>
      </c>
      <c r="C1413" s="2" t="s">
        <v>75</v>
      </c>
      <c r="D1413" s="2" t="s">
        <v>26</v>
      </c>
      <c r="E1413" s="2" t="s">
        <v>32</v>
      </c>
      <c r="F1413" s="2">
        <v>31.68</v>
      </c>
      <c r="G1413" s="2">
        <v>6</v>
      </c>
      <c r="H1413" s="2">
        <v>9.82</v>
      </c>
      <c r="I1413" t="str">
        <f t="shared" si="22"/>
        <v>Nov</v>
      </c>
      <c r="J1413">
        <f>YEAR(datas[[#This Row],[Order Date]])</f>
        <v>2021</v>
      </c>
    </row>
    <row r="1414" spans="1:10" ht="14.25" customHeight="1" x14ac:dyDescent="0.3">
      <c r="A1414" s="1">
        <v>44501</v>
      </c>
      <c r="B1414" s="2" t="s">
        <v>558</v>
      </c>
      <c r="C1414" s="2" t="s">
        <v>87</v>
      </c>
      <c r="D1414" s="2" t="s">
        <v>10</v>
      </c>
      <c r="E1414" s="2" t="s">
        <v>53</v>
      </c>
      <c r="F1414" s="2">
        <v>76.12</v>
      </c>
      <c r="G1414" s="2">
        <v>2</v>
      </c>
      <c r="H1414" s="2">
        <v>22.07</v>
      </c>
      <c r="I1414" t="str">
        <f t="shared" si="22"/>
        <v>Nov</v>
      </c>
      <c r="J1414">
        <f>YEAR(datas[[#This Row],[Order Date]])</f>
        <v>2021</v>
      </c>
    </row>
    <row r="1415" spans="1:10" ht="14.25" customHeight="1" x14ac:dyDescent="0.3">
      <c r="A1415" s="1">
        <v>44501</v>
      </c>
      <c r="B1415" s="2" t="s">
        <v>471</v>
      </c>
      <c r="C1415" s="2" t="s">
        <v>47</v>
      </c>
      <c r="D1415" s="2" t="s">
        <v>26</v>
      </c>
      <c r="E1415" s="2" t="s">
        <v>32</v>
      </c>
      <c r="F1415" s="2">
        <v>68.7</v>
      </c>
      <c r="G1415" s="2">
        <v>2</v>
      </c>
      <c r="H1415" s="2">
        <v>16.32</v>
      </c>
      <c r="I1415" t="str">
        <f t="shared" si="22"/>
        <v>Nov</v>
      </c>
      <c r="J1415">
        <f>YEAR(datas[[#This Row],[Order Date]])</f>
        <v>2021</v>
      </c>
    </row>
    <row r="1416" spans="1:10" ht="14.25" customHeight="1" x14ac:dyDescent="0.3">
      <c r="A1416" s="1">
        <v>44501</v>
      </c>
      <c r="B1416" s="2" t="s">
        <v>471</v>
      </c>
      <c r="C1416" s="2" t="s">
        <v>47</v>
      </c>
      <c r="D1416" s="2" t="s">
        <v>10</v>
      </c>
      <c r="E1416" s="2" t="s">
        <v>16</v>
      </c>
      <c r="F1416" s="2">
        <v>3.13</v>
      </c>
      <c r="G1416" s="2">
        <v>2</v>
      </c>
      <c r="H1416" s="2">
        <v>-2.61</v>
      </c>
      <c r="I1416" t="str">
        <f t="shared" si="22"/>
        <v>Nov</v>
      </c>
      <c r="J1416">
        <f>YEAR(datas[[#This Row],[Order Date]])</f>
        <v>2021</v>
      </c>
    </row>
    <row r="1417" spans="1:10" ht="14.25" customHeight="1" x14ac:dyDescent="0.3">
      <c r="A1417" s="1">
        <v>44501</v>
      </c>
      <c r="B1417" s="2" t="s">
        <v>471</v>
      </c>
      <c r="C1417" s="2" t="s">
        <v>47</v>
      </c>
      <c r="D1417" s="2" t="s">
        <v>10</v>
      </c>
      <c r="E1417" s="2" t="s">
        <v>16</v>
      </c>
      <c r="F1417" s="2">
        <v>22.43</v>
      </c>
      <c r="G1417" s="2">
        <v>3</v>
      </c>
      <c r="H1417" s="2">
        <v>-17.940000000000001</v>
      </c>
      <c r="I1417" t="str">
        <f t="shared" si="22"/>
        <v>Nov</v>
      </c>
      <c r="J1417">
        <f>YEAR(datas[[#This Row],[Order Date]])</f>
        <v>2021</v>
      </c>
    </row>
    <row r="1418" spans="1:10" ht="14.25" customHeight="1" x14ac:dyDescent="0.3">
      <c r="A1418" s="1">
        <v>44502</v>
      </c>
      <c r="B1418" s="2" t="s">
        <v>378</v>
      </c>
      <c r="C1418" s="2" t="s">
        <v>75</v>
      </c>
      <c r="D1418" s="2" t="s">
        <v>10</v>
      </c>
      <c r="E1418" s="2" t="s">
        <v>14</v>
      </c>
      <c r="F1418" s="2">
        <v>34.86</v>
      </c>
      <c r="G1418" s="2">
        <v>7</v>
      </c>
      <c r="H1418" s="2">
        <v>16.04</v>
      </c>
      <c r="I1418" t="str">
        <f t="shared" si="22"/>
        <v>Nov</v>
      </c>
      <c r="J1418">
        <f>YEAR(datas[[#This Row],[Order Date]])</f>
        <v>2021</v>
      </c>
    </row>
    <row r="1419" spans="1:10" ht="14.25" customHeight="1" x14ac:dyDescent="0.3">
      <c r="A1419" s="1">
        <v>44502</v>
      </c>
      <c r="B1419" s="2" t="s">
        <v>378</v>
      </c>
      <c r="C1419" s="2" t="s">
        <v>75</v>
      </c>
      <c r="D1419" s="2" t="s">
        <v>26</v>
      </c>
      <c r="E1419" s="2" t="s">
        <v>32</v>
      </c>
      <c r="F1419" s="2">
        <v>89.34</v>
      </c>
      <c r="G1419" s="2">
        <v>6</v>
      </c>
      <c r="H1419" s="2">
        <v>24.12</v>
      </c>
      <c r="I1419" t="str">
        <f t="shared" si="22"/>
        <v>Nov</v>
      </c>
      <c r="J1419">
        <f>YEAR(datas[[#This Row],[Order Date]])</f>
        <v>2021</v>
      </c>
    </row>
    <row r="1420" spans="1:10" ht="14.25" customHeight="1" x14ac:dyDescent="0.3">
      <c r="A1420" s="1">
        <v>44502</v>
      </c>
      <c r="B1420" s="2" t="s">
        <v>559</v>
      </c>
      <c r="C1420" s="2" t="s">
        <v>9</v>
      </c>
      <c r="D1420" s="2" t="s">
        <v>28</v>
      </c>
      <c r="E1420" s="2" t="s">
        <v>29</v>
      </c>
      <c r="F1420" s="2">
        <v>88.78</v>
      </c>
      <c r="G1420" s="2">
        <v>3</v>
      </c>
      <c r="H1420" s="2">
        <v>7.77</v>
      </c>
      <c r="I1420" t="str">
        <f t="shared" si="22"/>
        <v>Nov</v>
      </c>
      <c r="J1420">
        <f>YEAR(datas[[#This Row],[Order Date]])</f>
        <v>2021</v>
      </c>
    </row>
    <row r="1421" spans="1:10" ht="14.25" customHeight="1" x14ac:dyDescent="0.3">
      <c r="A1421" s="1">
        <v>44502</v>
      </c>
      <c r="B1421" s="2" t="s">
        <v>77</v>
      </c>
      <c r="C1421" s="2" t="s">
        <v>47</v>
      </c>
      <c r="D1421" s="2" t="s">
        <v>28</v>
      </c>
      <c r="E1421" s="2" t="s">
        <v>29</v>
      </c>
      <c r="F1421" s="2">
        <v>539.96</v>
      </c>
      <c r="G1421" s="2">
        <v>6</v>
      </c>
      <c r="H1421" s="2">
        <v>-107.99</v>
      </c>
      <c r="I1421" t="str">
        <f t="shared" si="22"/>
        <v>Nov</v>
      </c>
      <c r="J1421">
        <f>YEAR(datas[[#This Row],[Order Date]])</f>
        <v>2021</v>
      </c>
    </row>
    <row r="1422" spans="1:10" ht="14.25" customHeight="1" x14ac:dyDescent="0.3">
      <c r="A1422" s="1">
        <v>44502</v>
      </c>
      <c r="B1422" s="2" t="s">
        <v>77</v>
      </c>
      <c r="C1422" s="2" t="s">
        <v>47</v>
      </c>
      <c r="D1422" s="2" t="s">
        <v>28</v>
      </c>
      <c r="E1422" s="2" t="s">
        <v>29</v>
      </c>
      <c r="F1422" s="2">
        <v>50.23</v>
      </c>
      <c r="G1422" s="2">
        <v>7</v>
      </c>
      <c r="H1422" s="2">
        <v>-10.050000000000001</v>
      </c>
      <c r="I1422" t="str">
        <f t="shared" si="22"/>
        <v>Nov</v>
      </c>
      <c r="J1422">
        <f>YEAR(datas[[#This Row],[Order Date]])</f>
        <v>2021</v>
      </c>
    </row>
    <row r="1423" spans="1:10" ht="14.25" customHeight="1" x14ac:dyDescent="0.3">
      <c r="A1423" s="1">
        <v>44502</v>
      </c>
      <c r="B1423" s="2" t="s">
        <v>77</v>
      </c>
      <c r="C1423" s="2" t="s">
        <v>47</v>
      </c>
      <c r="D1423" s="2" t="s">
        <v>10</v>
      </c>
      <c r="E1423" s="2" t="s">
        <v>16</v>
      </c>
      <c r="F1423" s="2">
        <v>19.239999999999998</v>
      </c>
      <c r="G1423" s="2">
        <v>3</v>
      </c>
      <c r="H1423" s="2">
        <v>-13.47</v>
      </c>
      <c r="I1423" t="str">
        <f t="shared" si="22"/>
        <v>Nov</v>
      </c>
      <c r="J1423">
        <f>YEAR(datas[[#This Row],[Order Date]])</f>
        <v>2021</v>
      </c>
    </row>
    <row r="1424" spans="1:10" ht="14.25" customHeight="1" x14ac:dyDescent="0.3">
      <c r="A1424" s="1">
        <v>44502</v>
      </c>
      <c r="B1424" s="2" t="s">
        <v>560</v>
      </c>
      <c r="C1424" s="2" t="s">
        <v>64</v>
      </c>
      <c r="D1424" s="2" t="s">
        <v>28</v>
      </c>
      <c r="E1424" s="2" t="s">
        <v>34</v>
      </c>
      <c r="F1424" s="2">
        <v>799.92</v>
      </c>
      <c r="G1424" s="2">
        <v>10</v>
      </c>
      <c r="H1424" s="2">
        <v>239.98</v>
      </c>
      <c r="I1424" t="str">
        <f t="shared" si="22"/>
        <v>Nov</v>
      </c>
      <c r="J1424">
        <f>YEAR(datas[[#This Row],[Order Date]])</f>
        <v>2021</v>
      </c>
    </row>
    <row r="1425" spans="1:10" ht="14.25" customHeight="1" x14ac:dyDescent="0.3">
      <c r="A1425" s="1">
        <v>44502</v>
      </c>
      <c r="B1425" s="2" t="s">
        <v>561</v>
      </c>
      <c r="C1425" s="2" t="s">
        <v>21</v>
      </c>
      <c r="D1425" s="2" t="s">
        <v>28</v>
      </c>
      <c r="E1425" s="2" t="s">
        <v>29</v>
      </c>
      <c r="F1425" s="2">
        <v>46.38</v>
      </c>
      <c r="G1425" s="2">
        <v>2</v>
      </c>
      <c r="H1425" s="2">
        <v>5.22</v>
      </c>
      <c r="I1425" t="str">
        <f t="shared" si="22"/>
        <v>Nov</v>
      </c>
      <c r="J1425">
        <f>YEAR(datas[[#This Row],[Order Date]])</f>
        <v>2021</v>
      </c>
    </row>
    <row r="1426" spans="1:10" ht="14.25" customHeight="1" x14ac:dyDescent="0.3">
      <c r="A1426" s="1">
        <v>44502</v>
      </c>
      <c r="B1426" s="2" t="s">
        <v>561</v>
      </c>
      <c r="C1426" s="2" t="s">
        <v>21</v>
      </c>
      <c r="D1426" s="2" t="s">
        <v>10</v>
      </c>
      <c r="E1426" s="2" t="s">
        <v>15</v>
      </c>
      <c r="F1426" s="2">
        <v>362.92</v>
      </c>
      <c r="G1426" s="2">
        <v>2</v>
      </c>
      <c r="H1426" s="2">
        <v>105.25</v>
      </c>
      <c r="I1426" t="str">
        <f t="shared" si="22"/>
        <v>Nov</v>
      </c>
      <c r="J1426">
        <f>YEAR(datas[[#This Row],[Order Date]])</f>
        <v>2021</v>
      </c>
    </row>
    <row r="1427" spans="1:10" ht="14.25" customHeight="1" x14ac:dyDescent="0.3">
      <c r="A1427" s="1">
        <v>44502</v>
      </c>
      <c r="B1427" s="2" t="s">
        <v>562</v>
      </c>
      <c r="C1427" s="2" t="s">
        <v>82</v>
      </c>
      <c r="D1427" s="2" t="s">
        <v>28</v>
      </c>
      <c r="E1427" s="2" t="s">
        <v>34</v>
      </c>
      <c r="F1427" s="2">
        <v>41.94</v>
      </c>
      <c r="G1427" s="2">
        <v>2</v>
      </c>
      <c r="H1427" s="2">
        <v>15.1</v>
      </c>
      <c r="I1427" t="str">
        <f t="shared" si="22"/>
        <v>Nov</v>
      </c>
      <c r="J1427">
        <f>YEAR(datas[[#This Row],[Order Date]])</f>
        <v>2021</v>
      </c>
    </row>
    <row r="1428" spans="1:10" ht="14.25" customHeight="1" x14ac:dyDescent="0.3">
      <c r="A1428" s="1">
        <v>44502</v>
      </c>
      <c r="B1428" s="2" t="s">
        <v>562</v>
      </c>
      <c r="C1428" s="2" t="s">
        <v>82</v>
      </c>
      <c r="D1428" s="2" t="s">
        <v>28</v>
      </c>
      <c r="E1428" s="2" t="s">
        <v>29</v>
      </c>
      <c r="F1428" s="2">
        <v>52.79</v>
      </c>
      <c r="G1428" s="2">
        <v>1</v>
      </c>
      <c r="H1428" s="2">
        <v>4.62</v>
      </c>
      <c r="I1428" t="str">
        <f t="shared" si="22"/>
        <v>Nov</v>
      </c>
      <c r="J1428">
        <f>YEAR(datas[[#This Row],[Order Date]])</f>
        <v>2021</v>
      </c>
    </row>
    <row r="1429" spans="1:10" ht="14.25" customHeight="1" x14ac:dyDescent="0.3">
      <c r="A1429" s="1">
        <v>44503</v>
      </c>
      <c r="B1429" s="2" t="s">
        <v>350</v>
      </c>
      <c r="C1429" s="2" t="s">
        <v>18</v>
      </c>
      <c r="D1429" s="2" t="s">
        <v>10</v>
      </c>
      <c r="E1429" s="2" t="s">
        <v>95</v>
      </c>
      <c r="F1429" s="2">
        <v>286.33999999999997</v>
      </c>
      <c r="G1429" s="2">
        <v>3</v>
      </c>
      <c r="H1429" s="2">
        <v>-64.430000000000007</v>
      </c>
      <c r="I1429" t="str">
        <f t="shared" si="22"/>
        <v>Nov</v>
      </c>
      <c r="J1429">
        <f>YEAR(datas[[#This Row],[Order Date]])</f>
        <v>2021</v>
      </c>
    </row>
    <row r="1430" spans="1:10" ht="14.25" customHeight="1" x14ac:dyDescent="0.3">
      <c r="A1430" s="1">
        <v>44503</v>
      </c>
      <c r="B1430" s="2" t="s">
        <v>67</v>
      </c>
      <c r="C1430" s="2" t="s">
        <v>75</v>
      </c>
      <c r="D1430" s="2" t="s">
        <v>28</v>
      </c>
      <c r="E1430" s="2" t="s">
        <v>29</v>
      </c>
      <c r="F1430" s="2">
        <v>783.96</v>
      </c>
      <c r="G1430" s="2">
        <v>4</v>
      </c>
      <c r="H1430" s="2">
        <v>219.51</v>
      </c>
      <c r="I1430" t="str">
        <f t="shared" si="22"/>
        <v>Nov</v>
      </c>
      <c r="J1430">
        <f>YEAR(datas[[#This Row],[Order Date]])</f>
        <v>2021</v>
      </c>
    </row>
    <row r="1431" spans="1:10" ht="14.25" customHeight="1" x14ac:dyDescent="0.3">
      <c r="A1431" s="1">
        <v>44503</v>
      </c>
      <c r="B1431" s="2" t="s">
        <v>67</v>
      </c>
      <c r="C1431" s="2" t="s">
        <v>75</v>
      </c>
      <c r="D1431" s="2" t="s">
        <v>10</v>
      </c>
      <c r="E1431" s="2" t="s">
        <v>16</v>
      </c>
      <c r="F1431" s="2">
        <v>48.9</v>
      </c>
      <c r="G1431" s="2">
        <v>2</v>
      </c>
      <c r="H1431" s="2">
        <v>18.34</v>
      </c>
      <c r="I1431" t="str">
        <f t="shared" si="22"/>
        <v>Nov</v>
      </c>
      <c r="J1431">
        <f>YEAR(datas[[#This Row],[Order Date]])</f>
        <v>2021</v>
      </c>
    </row>
    <row r="1432" spans="1:10" ht="14.25" customHeight="1" x14ac:dyDescent="0.3">
      <c r="A1432" s="1">
        <v>44503</v>
      </c>
      <c r="B1432" s="2" t="s">
        <v>67</v>
      </c>
      <c r="C1432" s="2" t="s">
        <v>75</v>
      </c>
      <c r="D1432" s="2" t="s">
        <v>10</v>
      </c>
      <c r="E1432" s="2" t="s">
        <v>16</v>
      </c>
      <c r="F1432" s="2">
        <v>7.86</v>
      </c>
      <c r="G1432" s="2">
        <v>2</v>
      </c>
      <c r="H1432" s="2">
        <v>2.85</v>
      </c>
      <c r="I1432" t="str">
        <f t="shared" si="22"/>
        <v>Nov</v>
      </c>
      <c r="J1432">
        <f>YEAR(datas[[#This Row],[Order Date]])</f>
        <v>2021</v>
      </c>
    </row>
    <row r="1433" spans="1:10" ht="14.25" customHeight="1" x14ac:dyDescent="0.3">
      <c r="A1433" s="1">
        <v>44503</v>
      </c>
      <c r="B1433" s="2" t="s">
        <v>285</v>
      </c>
      <c r="C1433" s="2" t="s">
        <v>248</v>
      </c>
      <c r="D1433" s="2" t="s">
        <v>10</v>
      </c>
      <c r="E1433" s="2" t="s">
        <v>95</v>
      </c>
      <c r="F1433" s="2">
        <v>11.64</v>
      </c>
      <c r="G1433" s="2">
        <v>3</v>
      </c>
      <c r="H1433" s="2">
        <v>3.38</v>
      </c>
      <c r="I1433" t="str">
        <f t="shared" si="22"/>
        <v>Nov</v>
      </c>
      <c r="J1433">
        <f>YEAR(datas[[#This Row],[Order Date]])</f>
        <v>2021</v>
      </c>
    </row>
    <row r="1434" spans="1:10" ht="14.25" customHeight="1" x14ac:dyDescent="0.3">
      <c r="A1434" s="1">
        <v>44503</v>
      </c>
      <c r="B1434" s="2" t="s">
        <v>442</v>
      </c>
      <c r="C1434" s="2" t="s">
        <v>62</v>
      </c>
      <c r="D1434" s="2" t="s">
        <v>10</v>
      </c>
      <c r="E1434" s="2" t="s">
        <v>11</v>
      </c>
      <c r="F1434" s="2">
        <v>3.49</v>
      </c>
      <c r="G1434" s="2">
        <v>2</v>
      </c>
      <c r="H1434" s="2">
        <v>1.18</v>
      </c>
      <c r="I1434" t="str">
        <f t="shared" si="22"/>
        <v>Nov</v>
      </c>
      <c r="J1434">
        <f>YEAR(datas[[#This Row],[Order Date]])</f>
        <v>2021</v>
      </c>
    </row>
    <row r="1435" spans="1:10" ht="14.25" customHeight="1" x14ac:dyDescent="0.3">
      <c r="A1435" s="1">
        <v>44503</v>
      </c>
      <c r="B1435" s="2" t="s">
        <v>442</v>
      </c>
      <c r="C1435" s="2" t="s">
        <v>62</v>
      </c>
      <c r="D1435" s="2" t="s">
        <v>10</v>
      </c>
      <c r="E1435" s="2" t="s">
        <v>11</v>
      </c>
      <c r="F1435" s="2">
        <v>143.86000000000001</v>
      </c>
      <c r="G1435" s="2">
        <v>9</v>
      </c>
      <c r="H1435" s="2">
        <v>48.55</v>
      </c>
      <c r="I1435" t="str">
        <f t="shared" si="22"/>
        <v>Nov</v>
      </c>
      <c r="J1435">
        <f>YEAR(datas[[#This Row],[Order Date]])</f>
        <v>2021</v>
      </c>
    </row>
    <row r="1436" spans="1:10" ht="14.25" customHeight="1" x14ac:dyDescent="0.3">
      <c r="A1436" s="1">
        <v>44503</v>
      </c>
      <c r="B1436" s="2" t="s">
        <v>561</v>
      </c>
      <c r="C1436" s="2" t="s">
        <v>115</v>
      </c>
      <c r="D1436" s="2" t="s">
        <v>10</v>
      </c>
      <c r="E1436" s="2" t="s">
        <v>15</v>
      </c>
      <c r="F1436" s="2">
        <v>25.98</v>
      </c>
      <c r="G1436" s="2">
        <v>2</v>
      </c>
      <c r="H1436" s="2">
        <v>-1.62</v>
      </c>
      <c r="I1436" t="str">
        <f t="shared" si="22"/>
        <v>Nov</v>
      </c>
      <c r="J1436">
        <f>YEAR(datas[[#This Row],[Order Date]])</f>
        <v>2021</v>
      </c>
    </row>
    <row r="1437" spans="1:10" ht="14.25" customHeight="1" x14ac:dyDescent="0.3">
      <c r="A1437" s="1">
        <v>44503</v>
      </c>
      <c r="B1437" s="2" t="s">
        <v>561</v>
      </c>
      <c r="C1437" s="2" t="s">
        <v>115</v>
      </c>
      <c r="D1437" s="2" t="s">
        <v>26</v>
      </c>
      <c r="E1437" s="2" t="s">
        <v>73</v>
      </c>
      <c r="F1437" s="2">
        <v>945.04</v>
      </c>
      <c r="G1437" s="2">
        <v>6</v>
      </c>
      <c r="H1437" s="2">
        <v>-299.26</v>
      </c>
      <c r="I1437" t="str">
        <f t="shared" si="22"/>
        <v>Nov</v>
      </c>
      <c r="J1437">
        <f>YEAR(datas[[#This Row],[Order Date]])</f>
        <v>2021</v>
      </c>
    </row>
    <row r="1438" spans="1:10" ht="14.25" customHeight="1" x14ac:dyDescent="0.3">
      <c r="A1438" s="1">
        <v>44503</v>
      </c>
      <c r="B1438" s="2" t="s">
        <v>561</v>
      </c>
      <c r="C1438" s="2" t="s">
        <v>115</v>
      </c>
      <c r="D1438" s="2" t="s">
        <v>10</v>
      </c>
      <c r="E1438" s="2" t="s">
        <v>16</v>
      </c>
      <c r="F1438" s="2">
        <v>14.3</v>
      </c>
      <c r="G1438" s="2">
        <v>7</v>
      </c>
      <c r="H1438" s="2">
        <v>-10.49</v>
      </c>
      <c r="I1438" t="str">
        <f t="shared" si="22"/>
        <v>Nov</v>
      </c>
      <c r="J1438">
        <f>YEAR(datas[[#This Row],[Order Date]])</f>
        <v>2021</v>
      </c>
    </row>
    <row r="1439" spans="1:10" ht="14.25" customHeight="1" x14ac:dyDescent="0.3">
      <c r="A1439" s="1">
        <v>44503</v>
      </c>
      <c r="B1439" s="2" t="s">
        <v>561</v>
      </c>
      <c r="C1439" s="2" t="s">
        <v>115</v>
      </c>
      <c r="D1439" s="2" t="s">
        <v>26</v>
      </c>
      <c r="E1439" s="2" t="s">
        <v>32</v>
      </c>
      <c r="F1439" s="2">
        <v>410.35</v>
      </c>
      <c r="G1439" s="2">
        <v>3</v>
      </c>
      <c r="H1439" s="2">
        <v>-51.29</v>
      </c>
      <c r="I1439" t="str">
        <f t="shared" si="22"/>
        <v>Nov</v>
      </c>
      <c r="J1439">
        <f>YEAR(datas[[#This Row],[Order Date]])</f>
        <v>2021</v>
      </c>
    </row>
    <row r="1440" spans="1:10" ht="14.25" customHeight="1" x14ac:dyDescent="0.3">
      <c r="A1440" s="1">
        <v>44503</v>
      </c>
      <c r="B1440" s="2" t="s">
        <v>563</v>
      </c>
      <c r="C1440" s="2" t="s">
        <v>87</v>
      </c>
      <c r="D1440" s="2" t="s">
        <v>10</v>
      </c>
      <c r="E1440" s="2" t="s">
        <v>16</v>
      </c>
      <c r="F1440" s="2">
        <v>5.76</v>
      </c>
      <c r="G1440" s="2">
        <v>2</v>
      </c>
      <c r="H1440" s="2">
        <v>2.82</v>
      </c>
      <c r="I1440" t="str">
        <f t="shared" si="22"/>
        <v>Nov</v>
      </c>
      <c r="J1440">
        <f>YEAR(datas[[#This Row],[Order Date]])</f>
        <v>2021</v>
      </c>
    </row>
    <row r="1441" spans="1:10" ht="14.25" customHeight="1" x14ac:dyDescent="0.3">
      <c r="A1441" s="1">
        <v>44503</v>
      </c>
      <c r="B1441" s="2" t="s">
        <v>217</v>
      </c>
      <c r="C1441" s="2" t="s">
        <v>381</v>
      </c>
      <c r="D1441" s="2" t="s">
        <v>28</v>
      </c>
      <c r="E1441" s="2" t="s">
        <v>34</v>
      </c>
      <c r="F1441" s="2">
        <v>89.97</v>
      </c>
      <c r="G1441" s="2">
        <v>3</v>
      </c>
      <c r="H1441" s="2">
        <v>18.89</v>
      </c>
      <c r="I1441" t="str">
        <f t="shared" si="22"/>
        <v>Nov</v>
      </c>
      <c r="J1441">
        <f>YEAR(datas[[#This Row],[Order Date]])</f>
        <v>2021</v>
      </c>
    </row>
    <row r="1442" spans="1:10" ht="14.25" customHeight="1" x14ac:dyDescent="0.3">
      <c r="A1442" s="1">
        <v>44503</v>
      </c>
      <c r="B1442" s="2" t="s">
        <v>564</v>
      </c>
      <c r="C1442" s="2" t="s">
        <v>21</v>
      </c>
      <c r="D1442" s="2" t="s">
        <v>10</v>
      </c>
      <c r="E1442" s="2" t="s">
        <v>19</v>
      </c>
      <c r="F1442" s="2">
        <v>6.72</v>
      </c>
      <c r="G1442" s="2">
        <v>4</v>
      </c>
      <c r="H1442" s="2">
        <v>3.36</v>
      </c>
      <c r="I1442" t="str">
        <f t="shared" si="22"/>
        <v>Nov</v>
      </c>
      <c r="J1442">
        <f>YEAR(datas[[#This Row],[Order Date]])</f>
        <v>2021</v>
      </c>
    </row>
    <row r="1443" spans="1:10" ht="14.25" customHeight="1" x14ac:dyDescent="0.3">
      <c r="A1443" s="1">
        <v>44504</v>
      </c>
      <c r="B1443" s="2" t="s">
        <v>88</v>
      </c>
      <c r="C1443" s="2" t="s">
        <v>75</v>
      </c>
      <c r="D1443" s="2" t="s">
        <v>26</v>
      </c>
      <c r="E1443" s="2" t="s">
        <v>27</v>
      </c>
      <c r="F1443" s="2">
        <v>135.88</v>
      </c>
      <c r="G1443" s="2">
        <v>1</v>
      </c>
      <c r="H1443" s="2">
        <v>24.16</v>
      </c>
      <c r="I1443" t="str">
        <f t="shared" si="22"/>
        <v>Nov</v>
      </c>
      <c r="J1443">
        <f>YEAR(datas[[#This Row],[Order Date]])</f>
        <v>2021</v>
      </c>
    </row>
    <row r="1444" spans="1:10" ht="14.25" customHeight="1" x14ac:dyDescent="0.3">
      <c r="A1444" s="1">
        <v>44504</v>
      </c>
      <c r="B1444" s="2" t="s">
        <v>88</v>
      </c>
      <c r="C1444" s="2" t="s">
        <v>75</v>
      </c>
      <c r="D1444" s="2" t="s">
        <v>28</v>
      </c>
      <c r="E1444" s="2" t="s">
        <v>136</v>
      </c>
      <c r="F1444" s="2">
        <v>3991.98</v>
      </c>
      <c r="G1444" s="2">
        <v>2</v>
      </c>
      <c r="H1444" s="2">
        <v>1995.99</v>
      </c>
      <c r="I1444" t="str">
        <f t="shared" si="22"/>
        <v>Nov</v>
      </c>
      <c r="J1444">
        <f>YEAR(datas[[#This Row],[Order Date]])</f>
        <v>2021</v>
      </c>
    </row>
    <row r="1445" spans="1:10" ht="14.25" customHeight="1" x14ac:dyDescent="0.3">
      <c r="A1445" s="1">
        <v>44504</v>
      </c>
      <c r="B1445" s="2" t="s">
        <v>88</v>
      </c>
      <c r="C1445" s="2" t="s">
        <v>75</v>
      </c>
      <c r="D1445" s="2" t="s">
        <v>28</v>
      </c>
      <c r="E1445" s="2" t="s">
        <v>29</v>
      </c>
      <c r="F1445" s="2">
        <v>275.94</v>
      </c>
      <c r="G1445" s="2">
        <v>6</v>
      </c>
      <c r="H1445" s="2">
        <v>80.02</v>
      </c>
      <c r="I1445" t="str">
        <f t="shared" si="22"/>
        <v>Nov</v>
      </c>
      <c r="J1445">
        <f>YEAR(datas[[#This Row],[Order Date]])</f>
        <v>2021</v>
      </c>
    </row>
    <row r="1446" spans="1:10" ht="14.25" customHeight="1" x14ac:dyDescent="0.3">
      <c r="A1446" s="1">
        <v>44504</v>
      </c>
      <c r="B1446" s="2" t="s">
        <v>88</v>
      </c>
      <c r="C1446" s="2" t="s">
        <v>75</v>
      </c>
      <c r="D1446" s="2" t="s">
        <v>28</v>
      </c>
      <c r="E1446" s="2" t="s">
        <v>34</v>
      </c>
      <c r="F1446" s="2">
        <v>360</v>
      </c>
      <c r="G1446" s="2">
        <v>4</v>
      </c>
      <c r="H1446" s="2">
        <v>129.6</v>
      </c>
      <c r="I1446" t="str">
        <f t="shared" si="22"/>
        <v>Nov</v>
      </c>
      <c r="J1446">
        <f>YEAR(datas[[#This Row],[Order Date]])</f>
        <v>2021</v>
      </c>
    </row>
    <row r="1447" spans="1:10" ht="14.25" customHeight="1" x14ac:dyDescent="0.3">
      <c r="A1447" s="1">
        <v>44504</v>
      </c>
      <c r="B1447" s="2" t="s">
        <v>88</v>
      </c>
      <c r="C1447" s="2" t="s">
        <v>75</v>
      </c>
      <c r="D1447" s="2" t="s">
        <v>10</v>
      </c>
      <c r="E1447" s="2" t="s">
        <v>15</v>
      </c>
      <c r="F1447" s="2">
        <v>43.57</v>
      </c>
      <c r="G1447" s="2">
        <v>1</v>
      </c>
      <c r="H1447" s="2">
        <v>13.07</v>
      </c>
      <c r="I1447" t="str">
        <f t="shared" si="22"/>
        <v>Nov</v>
      </c>
      <c r="J1447">
        <f>YEAR(datas[[#This Row],[Order Date]])</f>
        <v>2021</v>
      </c>
    </row>
    <row r="1448" spans="1:10" ht="14.25" customHeight="1" x14ac:dyDescent="0.3">
      <c r="A1448" s="1">
        <v>44504</v>
      </c>
      <c r="B1448" s="2" t="s">
        <v>473</v>
      </c>
      <c r="C1448" s="2" t="s">
        <v>115</v>
      </c>
      <c r="D1448" s="2" t="s">
        <v>10</v>
      </c>
      <c r="E1448" s="2" t="s">
        <v>30</v>
      </c>
      <c r="F1448" s="2">
        <v>8.3800000000000008</v>
      </c>
      <c r="G1448" s="2">
        <v>3</v>
      </c>
      <c r="H1448" s="2">
        <v>2.72</v>
      </c>
      <c r="I1448" t="str">
        <f t="shared" si="22"/>
        <v>Nov</v>
      </c>
      <c r="J1448">
        <f>YEAR(datas[[#This Row],[Order Date]])</f>
        <v>2021</v>
      </c>
    </row>
    <row r="1449" spans="1:10" ht="14.25" customHeight="1" x14ac:dyDescent="0.3">
      <c r="A1449" s="1">
        <v>44504</v>
      </c>
      <c r="B1449" s="2" t="s">
        <v>473</v>
      </c>
      <c r="C1449" s="2" t="s">
        <v>115</v>
      </c>
      <c r="D1449" s="2" t="s">
        <v>10</v>
      </c>
      <c r="E1449" s="2" t="s">
        <v>53</v>
      </c>
      <c r="F1449" s="2">
        <v>58.24</v>
      </c>
      <c r="G1449" s="2">
        <v>5</v>
      </c>
      <c r="H1449" s="2">
        <v>5.0999999999999996</v>
      </c>
      <c r="I1449" t="str">
        <f t="shared" si="22"/>
        <v>Nov</v>
      </c>
      <c r="J1449">
        <f>YEAR(datas[[#This Row],[Order Date]])</f>
        <v>2021</v>
      </c>
    </row>
    <row r="1450" spans="1:10" ht="14.25" customHeight="1" x14ac:dyDescent="0.3">
      <c r="A1450" s="1">
        <v>44504</v>
      </c>
      <c r="B1450" s="2" t="s">
        <v>565</v>
      </c>
      <c r="C1450" s="2" t="s">
        <v>21</v>
      </c>
      <c r="D1450" s="2" t="s">
        <v>26</v>
      </c>
      <c r="E1450" s="2" t="s">
        <v>32</v>
      </c>
      <c r="F1450" s="2">
        <v>35.340000000000003</v>
      </c>
      <c r="G1450" s="2">
        <v>2</v>
      </c>
      <c r="H1450" s="2">
        <v>13.43</v>
      </c>
      <c r="I1450" t="str">
        <f t="shared" si="22"/>
        <v>Nov</v>
      </c>
      <c r="J1450">
        <f>YEAR(datas[[#This Row],[Order Date]])</f>
        <v>2021</v>
      </c>
    </row>
    <row r="1451" spans="1:10" ht="14.25" customHeight="1" x14ac:dyDescent="0.3">
      <c r="A1451" s="1">
        <v>44504</v>
      </c>
      <c r="B1451" s="2" t="s">
        <v>566</v>
      </c>
      <c r="C1451" s="2" t="s">
        <v>21</v>
      </c>
      <c r="D1451" s="2" t="s">
        <v>28</v>
      </c>
      <c r="E1451" s="2" t="s">
        <v>29</v>
      </c>
      <c r="F1451" s="2">
        <v>666.34</v>
      </c>
      <c r="G1451" s="2">
        <v>7</v>
      </c>
      <c r="H1451" s="2">
        <v>66.63</v>
      </c>
      <c r="I1451" t="str">
        <f t="shared" si="22"/>
        <v>Nov</v>
      </c>
      <c r="J1451">
        <f>YEAR(datas[[#This Row],[Order Date]])</f>
        <v>2021</v>
      </c>
    </row>
    <row r="1452" spans="1:10" ht="14.25" customHeight="1" x14ac:dyDescent="0.3">
      <c r="A1452" s="1">
        <v>44504</v>
      </c>
      <c r="B1452" s="2" t="s">
        <v>566</v>
      </c>
      <c r="C1452" s="2" t="s">
        <v>21</v>
      </c>
      <c r="D1452" s="2" t="s">
        <v>26</v>
      </c>
      <c r="E1452" s="2" t="s">
        <v>73</v>
      </c>
      <c r="F1452" s="2">
        <v>573.73</v>
      </c>
      <c r="G1452" s="2">
        <v>4</v>
      </c>
      <c r="H1452" s="2">
        <v>-64.540000000000006</v>
      </c>
      <c r="I1452" t="str">
        <f t="shared" si="22"/>
        <v>Nov</v>
      </c>
      <c r="J1452">
        <f>YEAR(datas[[#This Row],[Order Date]])</f>
        <v>2021</v>
      </c>
    </row>
    <row r="1453" spans="1:10" ht="14.25" customHeight="1" x14ac:dyDescent="0.3">
      <c r="A1453" s="1">
        <v>44504</v>
      </c>
      <c r="B1453" s="2" t="s">
        <v>566</v>
      </c>
      <c r="C1453" s="2" t="s">
        <v>21</v>
      </c>
      <c r="D1453" s="2" t="s">
        <v>10</v>
      </c>
      <c r="E1453" s="2" t="s">
        <v>16</v>
      </c>
      <c r="F1453" s="2">
        <v>21.94</v>
      </c>
      <c r="G1453" s="2">
        <v>3</v>
      </c>
      <c r="H1453" s="2">
        <v>8.23</v>
      </c>
      <c r="I1453" t="str">
        <f t="shared" si="22"/>
        <v>Nov</v>
      </c>
      <c r="J1453">
        <f>YEAR(datas[[#This Row],[Order Date]])</f>
        <v>2021</v>
      </c>
    </row>
    <row r="1454" spans="1:10" ht="14.25" customHeight="1" x14ac:dyDescent="0.3">
      <c r="A1454" s="1">
        <v>44504</v>
      </c>
      <c r="B1454" s="2" t="s">
        <v>566</v>
      </c>
      <c r="C1454" s="2" t="s">
        <v>21</v>
      </c>
      <c r="D1454" s="2" t="s">
        <v>10</v>
      </c>
      <c r="E1454" s="2" t="s">
        <v>11</v>
      </c>
      <c r="F1454" s="2">
        <v>19.440000000000001</v>
      </c>
      <c r="G1454" s="2">
        <v>3</v>
      </c>
      <c r="H1454" s="2">
        <v>9.33</v>
      </c>
      <c r="I1454" t="str">
        <f t="shared" si="22"/>
        <v>Nov</v>
      </c>
      <c r="J1454">
        <f>YEAR(datas[[#This Row],[Order Date]])</f>
        <v>2021</v>
      </c>
    </row>
    <row r="1455" spans="1:10" ht="14.25" customHeight="1" x14ac:dyDescent="0.3">
      <c r="A1455" s="1">
        <v>44504</v>
      </c>
      <c r="B1455" s="2" t="s">
        <v>566</v>
      </c>
      <c r="C1455" s="2" t="s">
        <v>21</v>
      </c>
      <c r="D1455" s="2" t="s">
        <v>28</v>
      </c>
      <c r="E1455" s="2" t="s">
        <v>136</v>
      </c>
      <c r="F1455" s="2">
        <v>447.97</v>
      </c>
      <c r="G1455" s="2">
        <v>4</v>
      </c>
      <c r="H1455" s="2">
        <v>139.99</v>
      </c>
      <c r="I1455" t="str">
        <f t="shared" si="22"/>
        <v>Nov</v>
      </c>
      <c r="J1455">
        <f>YEAR(datas[[#This Row],[Order Date]])</f>
        <v>2021</v>
      </c>
    </row>
    <row r="1456" spans="1:10" ht="14.25" customHeight="1" x14ac:dyDescent="0.3">
      <c r="A1456" s="1">
        <v>44504</v>
      </c>
      <c r="B1456" s="2" t="s">
        <v>451</v>
      </c>
      <c r="C1456" s="2" t="s">
        <v>75</v>
      </c>
      <c r="D1456" s="2" t="s">
        <v>10</v>
      </c>
      <c r="E1456" s="2" t="s">
        <v>16</v>
      </c>
      <c r="F1456" s="2">
        <v>52.06</v>
      </c>
      <c r="G1456" s="2">
        <v>4</v>
      </c>
      <c r="H1456" s="2">
        <v>18.87</v>
      </c>
      <c r="I1456" t="str">
        <f t="shared" si="22"/>
        <v>Nov</v>
      </c>
      <c r="J1456">
        <f>YEAR(datas[[#This Row],[Order Date]])</f>
        <v>2021</v>
      </c>
    </row>
    <row r="1457" spans="1:10" ht="14.25" customHeight="1" x14ac:dyDescent="0.3">
      <c r="A1457" s="1">
        <v>44504</v>
      </c>
      <c r="B1457" s="2" t="s">
        <v>567</v>
      </c>
      <c r="C1457" s="2" t="s">
        <v>21</v>
      </c>
      <c r="D1457" s="2" t="s">
        <v>10</v>
      </c>
      <c r="E1457" s="2" t="s">
        <v>19</v>
      </c>
      <c r="F1457" s="2">
        <v>2.94</v>
      </c>
      <c r="G1457" s="2">
        <v>1</v>
      </c>
      <c r="H1457" s="2">
        <v>0.79</v>
      </c>
      <c r="I1457" t="str">
        <f t="shared" si="22"/>
        <v>Nov</v>
      </c>
      <c r="J1457">
        <f>YEAR(datas[[#This Row],[Order Date]])</f>
        <v>2021</v>
      </c>
    </row>
    <row r="1458" spans="1:10" ht="14.25" customHeight="1" x14ac:dyDescent="0.3">
      <c r="A1458" s="1">
        <v>44505</v>
      </c>
      <c r="B1458" s="2" t="s">
        <v>424</v>
      </c>
      <c r="C1458" s="2" t="s">
        <v>21</v>
      </c>
      <c r="D1458" s="2" t="s">
        <v>26</v>
      </c>
      <c r="E1458" s="2" t="s">
        <v>32</v>
      </c>
      <c r="F1458" s="2">
        <v>20.04</v>
      </c>
      <c r="G1458" s="2">
        <v>6</v>
      </c>
      <c r="H1458" s="2">
        <v>8.82</v>
      </c>
      <c r="I1458" t="str">
        <f t="shared" si="22"/>
        <v>Nov</v>
      </c>
      <c r="J1458">
        <f>YEAR(datas[[#This Row],[Order Date]])</f>
        <v>2021</v>
      </c>
    </row>
    <row r="1459" spans="1:10" ht="14.25" customHeight="1" x14ac:dyDescent="0.3">
      <c r="A1459" s="1">
        <v>44505</v>
      </c>
      <c r="B1459" s="2" t="s">
        <v>101</v>
      </c>
      <c r="C1459" s="2" t="s">
        <v>36</v>
      </c>
      <c r="D1459" s="2" t="s">
        <v>28</v>
      </c>
      <c r="E1459" s="2" t="s">
        <v>34</v>
      </c>
      <c r="F1459" s="2">
        <v>47.79</v>
      </c>
      <c r="G1459" s="2">
        <v>3</v>
      </c>
      <c r="H1459" s="2">
        <v>16.25</v>
      </c>
      <c r="I1459" t="str">
        <f t="shared" si="22"/>
        <v>Nov</v>
      </c>
      <c r="J1459">
        <f>YEAR(datas[[#This Row],[Order Date]])</f>
        <v>2021</v>
      </c>
    </row>
    <row r="1460" spans="1:10" ht="14.25" customHeight="1" x14ac:dyDescent="0.3">
      <c r="A1460" s="1">
        <v>44505</v>
      </c>
      <c r="B1460" s="2" t="s">
        <v>568</v>
      </c>
      <c r="C1460" s="2" t="s">
        <v>18</v>
      </c>
      <c r="D1460" s="2" t="s">
        <v>26</v>
      </c>
      <c r="E1460" s="2" t="s">
        <v>32</v>
      </c>
      <c r="F1460" s="2">
        <v>273.57</v>
      </c>
      <c r="G1460" s="2">
        <v>2</v>
      </c>
      <c r="H1460" s="2">
        <v>-34.200000000000003</v>
      </c>
      <c r="I1460" t="str">
        <f t="shared" si="22"/>
        <v>Nov</v>
      </c>
      <c r="J1460">
        <f>YEAR(datas[[#This Row],[Order Date]])</f>
        <v>2021</v>
      </c>
    </row>
    <row r="1461" spans="1:10" ht="14.25" customHeight="1" x14ac:dyDescent="0.3">
      <c r="A1461" s="1">
        <v>44505</v>
      </c>
      <c r="B1461" s="2" t="s">
        <v>568</v>
      </c>
      <c r="C1461" s="2" t="s">
        <v>18</v>
      </c>
      <c r="D1461" s="2" t="s">
        <v>10</v>
      </c>
      <c r="E1461" s="2" t="s">
        <v>16</v>
      </c>
      <c r="F1461" s="2">
        <v>13.19</v>
      </c>
      <c r="G1461" s="2">
        <v>2</v>
      </c>
      <c r="H1461" s="2">
        <v>-8.8000000000000007</v>
      </c>
      <c r="I1461" t="str">
        <f t="shared" si="22"/>
        <v>Nov</v>
      </c>
      <c r="J1461">
        <f>YEAR(datas[[#This Row],[Order Date]])</f>
        <v>2021</v>
      </c>
    </row>
    <row r="1462" spans="1:10" ht="14.25" customHeight="1" x14ac:dyDescent="0.3">
      <c r="A1462" s="1">
        <v>44505</v>
      </c>
      <c r="B1462" s="2" t="s">
        <v>568</v>
      </c>
      <c r="C1462" s="2" t="s">
        <v>18</v>
      </c>
      <c r="D1462" s="2" t="s">
        <v>10</v>
      </c>
      <c r="E1462" s="2" t="s">
        <v>15</v>
      </c>
      <c r="F1462" s="2">
        <v>1080.0999999999999</v>
      </c>
      <c r="G1462" s="2">
        <v>6</v>
      </c>
      <c r="H1462" s="2">
        <v>-94.51</v>
      </c>
      <c r="I1462" t="str">
        <f t="shared" si="22"/>
        <v>Nov</v>
      </c>
      <c r="J1462">
        <f>YEAR(datas[[#This Row],[Order Date]])</f>
        <v>2021</v>
      </c>
    </row>
    <row r="1463" spans="1:10" ht="14.25" customHeight="1" x14ac:dyDescent="0.3">
      <c r="A1463" s="1">
        <v>44505</v>
      </c>
      <c r="B1463" s="2" t="s">
        <v>568</v>
      </c>
      <c r="C1463" s="2" t="s">
        <v>18</v>
      </c>
      <c r="D1463" s="2" t="s">
        <v>28</v>
      </c>
      <c r="E1463" s="2" t="s">
        <v>34</v>
      </c>
      <c r="F1463" s="2">
        <v>51.56</v>
      </c>
      <c r="G1463" s="2">
        <v>5</v>
      </c>
      <c r="H1463" s="2">
        <v>-6.45</v>
      </c>
      <c r="I1463" t="str">
        <f t="shared" si="22"/>
        <v>Nov</v>
      </c>
      <c r="J1463">
        <f>YEAR(datas[[#This Row],[Order Date]])</f>
        <v>2021</v>
      </c>
    </row>
    <row r="1464" spans="1:10" ht="14.25" customHeight="1" x14ac:dyDescent="0.3">
      <c r="A1464" s="1">
        <v>44505</v>
      </c>
      <c r="B1464" s="2" t="s">
        <v>568</v>
      </c>
      <c r="C1464" s="2" t="s">
        <v>18</v>
      </c>
      <c r="D1464" s="2" t="s">
        <v>28</v>
      </c>
      <c r="E1464" s="2" t="s">
        <v>34</v>
      </c>
      <c r="F1464" s="2">
        <v>58.42</v>
      </c>
      <c r="G1464" s="2">
        <v>2</v>
      </c>
      <c r="H1464" s="2">
        <v>16.79</v>
      </c>
      <c r="I1464" t="str">
        <f t="shared" si="22"/>
        <v>Nov</v>
      </c>
      <c r="J1464">
        <f>YEAR(datas[[#This Row],[Order Date]])</f>
        <v>2021</v>
      </c>
    </row>
    <row r="1465" spans="1:10" ht="14.25" customHeight="1" x14ac:dyDescent="0.3">
      <c r="A1465" s="1">
        <v>44505</v>
      </c>
      <c r="B1465" s="2" t="s">
        <v>569</v>
      </c>
      <c r="C1465" s="2" t="s">
        <v>36</v>
      </c>
      <c r="D1465" s="2" t="s">
        <v>26</v>
      </c>
      <c r="E1465" s="2" t="s">
        <v>27</v>
      </c>
      <c r="F1465" s="2">
        <v>149.9</v>
      </c>
      <c r="G1465" s="2">
        <v>5</v>
      </c>
      <c r="H1465" s="2">
        <v>40.47</v>
      </c>
      <c r="I1465" t="str">
        <f t="shared" si="22"/>
        <v>Nov</v>
      </c>
      <c r="J1465">
        <f>YEAR(datas[[#This Row],[Order Date]])</f>
        <v>2021</v>
      </c>
    </row>
    <row r="1466" spans="1:10" ht="14.25" customHeight="1" x14ac:dyDescent="0.3">
      <c r="A1466" s="1">
        <v>44506</v>
      </c>
      <c r="B1466" s="2" t="s">
        <v>274</v>
      </c>
      <c r="C1466" s="2" t="s">
        <v>23</v>
      </c>
      <c r="D1466" s="2" t="s">
        <v>10</v>
      </c>
      <c r="E1466" s="2" t="s">
        <v>11</v>
      </c>
      <c r="F1466" s="2">
        <v>43.68</v>
      </c>
      <c r="G1466" s="2">
        <v>6</v>
      </c>
      <c r="H1466" s="2">
        <v>20.97</v>
      </c>
      <c r="I1466" t="str">
        <f t="shared" si="22"/>
        <v>Nov</v>
      </c>
      <c r="J1466">
        <f>YEAR(datas[[#This Row],[Order Date]])</f>
        <v>2021</v>
      </c>
    </row>
    <row r="1467" spans="1:10" ht="14.25" customHeight="1" x14ac:dyDescent="0.3">
      <c r="A1467" s="1">
        <v>44507</v>
      </c>
      <c r="B1467" s="2" t="s">
        <v>570</v>
      </c>
      <c r="C1467" s="2" t="s">
        <v>9</v>
      </c>
      <c r="D1467" s="2" t="s">
        <v>10</v>
      </c>
      <c r="E1467" s="2" t="s">
        <v>16</v>
      </c>
      <c r="F1467" s="2">
        <v>26.05</v>
      </c>
      <c r="G1467" s="2">
        <v>3</v>
      </c>
      <c r="H1467" s="2">
        <v>-44.28</v>
      </c>
      <c r="I1467" t="str">
        <f t="shared" si="22"/>
        <v>Nov</v>
      </c>
      <c r="J1467">
        <f>YEAR(datas[[#This Row],[Order Date]])</f>
        <v>2021</v>
      </c>
    </row>
    <row r="1468" spans="1:10" ht="14.25" customHeight="1" x14ac:dyDescent="0.3">
      <c r="A1468" s="1">
        <v>44507</v>
      </c>
      <c r="B1468" s="2" t="s">
        <v>570</v>
      </c>
      <c r="C1468" s="2" t="s">
        <v>9</v>
      </c>
      <c r="D1468" s="2" t="s">
        <v>10</v>
      </c>
      <c r="E1468" s="2" t="s">
        <v>41</v>
      </c>
      <c r="F1468" s="2">
        <v>74.349999999999994</v>
      </c>
      <c r="G1468" s="2">
        <v>3</v>
      </c>
      <c r="H1468" s="2">
        <v>26.95</v>
      </c>
      <c r="I1468" t="str">
        <f t="shared" si="22"/>
        <v>Nov</v>
      </c>
      <c r="J1468">
        <f>YEAR(datas[[#This Row],[Order Date]])</f>
        <v>2021</v>
      </c>
    </row>
    <row r="1469" spans="1:10" ht="14.25" customHeight="1" x14ac:dyDescent="0.3">
      <c r="A1469" s="1">
        <v>44507</v>
      </c>
      <c r="B1469" s="2" t="s">
        <v>422</v>
      </c>
      <c r="C1469" s="2" t="s">
        <v>21</v>
      </c>
      <c r="D1469" s="2" t="s">
        <v>10</v>
      </c>
      <c r="E1469" s="2" t="s">
        <v>16</v>
      </c>
      <c r="F1469" s="2">
        <v>123.14</v>
      </c>
      <c r="G1469" s="2">
        <v>7</v>
      </c>
      <c r="H1469" s="2">
        <v>46.18</v>
      </c>
      <c r="I1469" t="str">
        <f t="shared" si="22"/>
        <v>Nov</v>
      </c>
      <c r="J1469">
        <f>YEAR(datas[[#This Row],[Order Date]])</f>
        <v>2021</v>
      </c>
    </row>
    <row r="1470" spans="1:10" ht="14.25" customHeight="1" x14ac:dyDescent="0.3">
      <c r="A1470" s="1">
        <v>44507</v>
      </c>
      <c r="B1470" s="2" t="s">
        <v>303</v>
      </c>
      <c r="C1470" s="2" t="s">
        <v>9</v>
      </c>
      <c r="D1470" s="2" t="s">
        <v>26</v>
      </c>
      <c r="E1470" s="2" t="s">
        <v>27</v>
      </c>
      <c r="F1470" s="2">
        <v>683.14</v>
      </c>
      <c r="G1470" s="2">
        <v>4</v>
      </c>
      <c r="H1470" s="2">
        <v>0</v>
      </c>
      <c r="I1470" t="str">
        <f t="shared" si="22"/>
        <v>Nov</v>
      </c>
      <c r="J1470">
        <f>YEAR(datas[[#This Row],[Order Date]])</f>
        <v>2021</v>
      </c>
    </row>
    <row r="1471" spans="1:10" ht="14.25" customHeight="1" x14ac:dyDescent="0.3">
      <c r="A1471" s="1">
        <v>44507</v>
      </c>
      <c r="B1471" s="2" t="s">
        <v>303</v>
      </c>
      <c r="C1471" s="2" t="s">
        <v>9</v>
      </c>
      <c r="D1471" s="2" t="s">
        <v>10</v>
      </c>
      <c r="E1471" s="2" t="s">
        <v>16</v>
      </c>
      <c r="F1471" s="2">
        <v>1.48</v>
      </c>
      <c r="G1471" s="2">
        <v>3</v>
      </c>
      <c r="H1471" s="2">
        <v>-2.21</v>
      </c>
      <c r="I1471" t="str">
        <f t="shared" si="22"/>
        <v>Nov</v>
      </c>
      <c r="J1471">
        <f>YEAR(datas[[#This Row],[Order Date]])</f>
        <v>2021</v>
      </c>
    </row>
    <row r="1472" spans="1:10" ht="14.25" customHeight="1" x14ac:dyDescent="0.3">
      <c r="A1472" s="1">
        <v>44507</v>
      </c>
      <c r="B1472" s="2" t="s">
        <v>303</v>
      </c>
      <c r="C1472" s="2" t="s">
        <v>9</v>
      </c>
      <c r="D1472" s="2" t="s">
        <v>10</v>
      </c>
      <c r="E1472" s="2" t="s">
        <v>95</v>
      </c>
      <c r="F1472" s="2">
        <v>40.71</v>
      </c>
      <c r="G1472" s="2">
        <v>7</v>
      </c>
      <c r="H1472" s="2">
        <v>3.56</v>
      </c>
      <c r="I1472" t="str">
        <f t="shared" si="22"/>
        <v>Nov</v>
      </c>
      <c r="J1472">
        <f>YEAR(datas[[#This Row],[Order Date]])</f>
        <v>2021</v>
      </c>
    </row>
    <row r="1473" spans="1:10" ht="14.25" customHeight="1" x14ac:dyDescent="0.3">
      <c r="A1473" s="1">
        <v>44507</v>
      </c>
      <c r="B1473" s="2" t="s">
        <v>459</v>
      </c>
      <c r="C1473" s="2" t="s">
        <v>79</v>
      </c>
      <c r="D1473" s="2" t="s">
        <v>10</v>
      </c>
      <c r="E1473" s="2" t="s">
        <v>53</v>
      </c>
      <c r="F1473" s="2">
        <v>245.88</v>
      </c>
      <c r="G1473" s="2">
        <v>6</v>
      </c>
      <c r="H1473" s="2">
        <v>68.849999999999994</v>
      </c>
      <c r="I1473" t="str">
        <f t="shared" si="22"/>
        <v>Nov</v>
      </c>
      <c r="J1473">
        <f>YEAR(datas[[#This Row],[Order Date]])</f>
        <v>2021</v>
      </c>
    </row>
    <row r="1474" spans="1:10" ht="14.25" customHeight="1" x14ac:dyDescent="0.3">
      <c r="A1474" s="1">
        <v>44507</v>
      </c>
      <c r="B1474" s="2" t="s">
        <v>459</v>
      </c>
      <c r="C1474" s="2" t="s">
        <v>79</v>
      </c>
      <c r="D1474" s="2" t="s">
        <v>10</v>
      </c>
      <c r="E1474" s="2" t="s">
        <v>15</v>
      </c>
      <c r="F1474" s="2">
        <v>36.630000000000003</v>
      </c>
      <c r="G1474" s="2">
        <v>3</v>
      </c>
      <c r="H1474" s="2">
        <v>9.89</v>
      </c>
      <c r="I1474" t="str">
        <f t="shared" si="22"/>
        <v>Nov</v>
      </c>
      <c r="J1474">
        <f>YEAR(datas[[#This Row],[Order Date]])</f>
        <v>2021</v>
      </c>
    </row>
    <row r="1475" spans="1:10" ht="14.25" customHeight="1" x14ac:dyDescent="0.3">
      <c r="A1475" s="1">
        <v>44507</v>
      </c>
      <c r="B1475" s="2" t="s">
        <v>459</v>
      </c>
      <c r="C1475" s="2" t="s">
        <v>79</v>
      </c>
      <c r="D1475" s="2" t="s">
        <v>10</v>
      </c>
      <c r="E1475" s="2" t="s">
        <v>15</v>
      </c>
      <c r="F1475" s="2">
        <v>22.58</v>
      </c>
      <c r="G1475" s="2">
        <v>2</v>
      </c>
      <c r="H1475" s="2">
        <v>5.87</v>
      </c>
      <c r="I1475" t="str">
        <f t="shared" ref="I1475:I1538" si="23">TEXT(A1475,"mmm")</f>
        <v>Nov</v>
      </c>
      <c r="J1475">
        <f>YEAR(datas[[#This Row],[Order Date]])</f>
        <v>2021</v>
      </c>
    </row>
    <row r="1476" spans="1:10" ht="14.25" customHeight="1" x14ac:dyDescent="0.3">
      <c r="A1476" s="1">
        <v>44507</v>
      </c>
      <c r="B1476" s="2" t="s">
        <v>459</v>
      </c>
      <c r="C1476" s="2" t="s">
        <v>79</v>
      </c>
      <c r="D1476" s="2" t="s">
        <v>10</v>
      </c>
      <c r="E1476" s="2" t="s">
        <v>16</v>
      </c>
      <c r="F1476" s="2">
        <v>12.39</v>
      </c>
      <c r="G1476" s="2">
        <v>3</v>
      </c>
      <c r="H1476" s="2">
        <v>5.82</v>
      </c>
      <c r="I1476" t="str">
        <f t="shared" si="23"/>
        <v>Nov</v>
      </c>
      <c r="J1476">
        <f>YEAR(datas[[#This Row],[Order Date]])</f>
        <v>2021</v>
      </c>
    </row>
    <row r="1477" spans="1:10" ht="14.25" customHeight="1" x14ac:dyDescent="0.3">
      <c r="A1477" s="1">
        <v>44507</v>
      </c>
      <c r="B1477" s="2" t="s">
        <v>311</v>
      </c>
      <c r="C1477" s="2" t="s">
        <v>75</v>
      </c>
      <c r="D1477" s="2" t="s">
        <v>10</v>
      </c>
      <c r="E1477" s="2" t="s">
        <v>30</v>
      </c>
      <c r="F1477" s="2">
        <v>5.92</v>
      </c>
      <c r="G1477" s="2">
        <v>4</v>
      </c>
      <c r="H1477" s="2">
        <v>2.84</v>
      </c>
      <c r="I1477" t="str">
        <f t="shared" si="23"/>
        <v>Nov</v>
      </c>
      <c r="J1477">
        <f>YEAR(datas[[#This Row],[Order Date]])</f>
        <v>2021</v>
      </c>
    </row>
    <row r="1478" spans="1:10" ht="14.25" customHeight="1" x14ac:dyDescent="0.3">
      <c r="A1478" s="1">
        <v>44507</v>
      </c>
      <c r="B1478" s="2" t="s">
        <v>311</v>
      </c>
      <c r="C1478" s="2" t="s">
        <v>75</v>
      </c>
      <c r="D1478" s="2" t="s">
        <v>10</v>
      </c>
      <c r="E1478" s="2" t="s">
        <v>11</v>
      </c>
      <c r="F1478" s="2">
        <v>30.18</v>
      </c>
      <c r="G1478" s="2">
        <v>3</v>
      </c>
      <c r="H1478" s="2">
        <v>13.88</v>
      </c>
      <c r="I1478" t="str">
        <f t="shared" si="23"/>
        <v>Nov</v>
      </c>
      <c r="J1478">
        <f>YEAR(datas[[#This Row],[Order Date]])</f>
        <v>2021</v>
      </c>
    </row>
    <row r="1479" spans="1:10" ht="14.25" customHeight="1" x14ac:dyDescent="0.3">
      <c r="A1479" s="1">
        <v>44507</v>
      </c>
      <c r="B1479" s="2" t="s">
        <v>98</v>
      </c>
      <c r="C1479" s="2" t="s">
        <v>52</v>
      </c>
      <c r="D1479" s="2" t="s">
        <v>10</v>
      </c>
      <c r="E1479" s="2" t="s">
        <v>11</v>
      </c>
      <c r="F1479" s="2">
        <v>25.92</v>
      </c>
      <c r="G1479" s="2">
        <v>5</v>
      </c>
      <c r="H1479" s="2">
        <v>9.07</v>
      </c>
      <c r="I1479" t="str">
        <f t="shared" si="23"/>
        <v>Nov</v>
      </c>
      <c r="J1479">
        <f>YEAR(datas[[#This Row],[Order Date]])</f>
        <v>2021</v>
      </c>
    </row>
    <row r="1480" spans="1:10" ht="14.25" customHeight="1" x14ac:dyDescent="0.3">
      <c r="A1480" s="1">
        <v>44507</v>
      </c>
      <c r="B1480" s="2" t="s">
        <v>98</v>
      </c>
      <c r="C1480" s="2" t="s">
        <v>52</v>
      </c>
      <c r="D1480" s="2" t="s">
        <v>10</v>
      </c>
      <c r="E1480" s="2" t="s">
        <v>19</v>
      </c>
      <c r="F1480" s="2">
        <v>120.77</v>
      </c>
      <c r="G1480" s="2">
        <v>4</v>
      </c>
      <c r="H1480" s="2">
        <v>9.06</v>
      </c>
      <c r="I1480" t="str">
        <f t="shared" si="23"/>
        <v>Nov</v>
      </c>
      <c r="J1480">
        <f>YEAR(datas[[#This Row],[Order Date]])</f>
        <v>2021</v>
      </c>
    </row>
    <row r="1481" spans="1:10" ht="14.25" customHeight="1" x14ac:dyDescent="0.3">
      <c r="A1481" s="1">
        <v>44508</v>
      </c>
      <c r="B1481" s="2" t="s">
        <v>251</v>
      </c>
      <c r="C1481" s="2" t="s">
        <v>21</v>
      </c>
      <c r="D1481" s="2" t="s">
        <v>28</v>
      </c>
      <c r="E1481" s="2" t="s">
        <v>29</v>
      </c>
      <c r="F1481" s="2">
        <v>333.58</v>
      </c>
      <c r="G1481" s="2">
        <v>3</v>
      </c>
      <c r="H1481" s="2">
        <v>25.02</v>
      </c>
      <c r="I1481" t="str">
        <f t="shared" si="23"/>
        <v>Nov</v>
      </c>
      <c r="J1481">
        <f>YEAR(datas[[#This Row],[Order Date]])</f>
        <v>2021</v>
      </c>
    </row>
    <row r="1482" spans="1:10" ht="14.25" customHeight="1" x14ac:dyDescent="0.3">
      <c r="A1482" s="1">
        <v>44509</v>
      </c>
      <c r="B1482" s="2" t="s">
        <v>425</v>
      </c>
      <c r="C1482" s="2" t="s">
        <v>21</v>
      </c>
      <c r="D1482" s="2" t="s">
        <v>10</v>
      </c>
      <c r="E1482" s="2" t="s">
        <v>15</v>
      </c>
      <c r="F1482" s="2">
        <v>340.92</v>
      </c>
      <c r="G1482" s="2">
        <v>3</v>
      </c>
      <c r="H1482" s="2">
        <v>3.41</v>
      </c>
      <c r="I1482" t="str">
        <f t="shared" si="23"/>
        <v>Nov</v>
      </c>
      <c r="J1482">
        <f>YEAR(datas[[#This Row],[Order Date]])</f>
        <v>2021</v>
      </c>
    </row>
    <row r="1483" spans="1:10" ht="14.25" customHeight="1" x14ac:dyDescent="0.3">
      <c r="A1483" s="1">
        <v>44509</v>
      </c>
      <c r="B1483" s="2" t="s">
        <v>425</v>
      </c>
      <c r="C1483" s="2" t="s">
        <v>21</v>
      </c>
      <c r="D1483" s="2" t="s">
        <v>26</v>
      </c>
      <c r="E1483" s="2" t="s">
        <v>45</v>
      </c>
      <c r="F1483" s="2">
        <v>222.67</v>
      </c>
      <c r="G1483" s="2">
        <v>2</v>
      </c>
      <c r="H1483" s="2">
        <v>10.48</v>
      </c>
      <c r="I1483" t="str">
        <f t="shared" si="23"/>
        <v>Nov</v>
      </c>
      <c r="J1483">
        <f>YEAR(datas[[#This Row],[Order Date]])</f>
        <v>2021</v>
      </c>
    </row>
    <row r="1484" spans="1:10" ht="14.25" customHeight="1" x14ac:dyDescent="0.3">
      <c r="A1484" s="1">
        <v>44509</v>
      </c>
      <c r="B1484" s="2" t="s">
        <v>425</v>
      </c>
      <c r="C1484" s="2" t="s">
        <v>21</v>
      </c>
      <c r="D1484" s="2" t="s">
        <v>28</v>
      </c>
      <c r="E1484" s="2" t="s">
        <v>29</v>
      </c>
      <c r="F1484" s="2">
        <v>703.97</v>
      </c>
      <c r="G1484" s="2">
        <v>4</v>
      </c>
      <c r="H1484" s="2">
        <v>88</v>
      </c>
      <c r="I1484" t="str">
        <f t="shared" si="23"/>
        <v>Nov</v>
      </c>
      <c r="J1484">
        <f>YEAR(datas[[#This Row],[Order Date]])</f>
        <v>2021</v>
      </c>
    </row>
    <row r="1485" spans="1:10" ht="14.25" customHeight="1" x14ac:dyDescent="0.3">
      <c r="A1485" s="1">
        <v>44509</v>
      </c>
      <c r="B1485" s="2" t="s">
        <v>425</v>
      </c>
      <c r="C1485" s="2" t="s">
        <v>21</v>
      </c>
      <c r="D1485" s="2" t="s">
        <v>10</v>
      </c>
      <c r="E1485" s="2" t="s">
        <v>15</v>
      </c>
      <c r="F1485" s="2">
        <v>92.52</v>
      </c>
      <c r="G1485" s="2">
        <v>6</v>
      </c>
      <c r="H1485" s="2">
        <v>24.98</v>
      </c>
      <c r="I1485" t="str">
        <f t="shared" si="23"/>
        <v>Nov</v>
      </c>
      <c r="J1485">
        <f>YEAR(datas[[#This Row],[Order Date]])</f>
        <v>2021</v>
      </c>
    </row>
    <row r="1486" spans="1:10" ht="14.25" customHeight="1" x14ac:dyDescent="0.3">
      <c r="A1486" s="1">
        <v>44509</v>
      </c>
      <c r="B1486" s="2" t="s">
        <v>425</v>
      </c>
      <c r="C1486" s="2" t="s">
        <v>21</v>
      </c>
      <c r="D1486" s="2" t="s">
        <v>10</v>
      </c>
      <c r="E1486" s="2" t="s">
        <v>11</v>
      </c>
      <c r="F1486" s="2">
        <v>62.65</v>
      </c>
      <c r="G1486" s="2">
        <v>7</v>
      </c>
      <c r="H1486" s="2">
        <v>28.82</v>
      </c>
      <c r="I1486" t="str">
        <f t="shared" si="23"/>
        <v>Nov</v>
      </c>
      <c r="J1486">
        <f>YEAR(datas[[#This Row],[Order Date]])</f>
        <v>2021</v>
      </c>
    </row>
    <row r="1487" spans="1:10" ht="14.25" customHeight="1" x14ac:dyDescent="0.3">
      <c r="A1487" s="1">
        <v>44509</v>
      </c>
      <c r="B1487" s="2" t="s">
        <v>425</v>
      </c>
      <c r="C1487" s="2" t="s">
        <v>21</v>
      </c>
      <c r="D1487" s="2" t="s">
        <v>10</v>
      </c>
      <c r="E1487" s="2" t="s">
        <v>11</v>
      </c>
      <c r="F1487" s="2">
        <v>94.85</v>
      </c>
      <c r="G1487" s="2">
        <v>5</v>
      </c>
      <c r="H1487" s="2">
        <v>45.53</v>
      </c>
      <c r="I1487" t="str">
        <f t="shared" si="23"/>
        <v>Nov</v>
      </c>
      <c r="J1487">
        <f>YEAR(datas[[#This Row],[Order Date]])</f>
        <v>2021</v>
      </c>
    </row>
    <row r="1488" spans="1:10" ht="14.25" customHeight="1" x14ac:dyDescent="0.3">
      <c r="A1488" s="1">
        <v>44509</v>
      </c>
      <c r="B1488" s="2" t="s">
        <v>571</v>
      </c>
      <c r="C1488" s="2" t="s">
        <v>75</v>
      </c>
      <c r="D1488" s="2" t="s">
        <v>26</v>
      </c>
      <c r="E1488" s="2" t="s">
        <v>32</v>
      </c>
      <c r="F1488" s="2">
        <v>56.52</v>
      </c>
      <c r="G1488" s="2">
        <v>9</v>
      </c>
      <c r="H1488" s="2">
        <v>21.48</v>
      </c>
      <c r="I1488" t="str">
        <f t="shared" si="23"/>
        <v>Nov</v>
      </c>
      <c r="J1488">
        <f>YEAR(datas[[#This Row],[Order Date]])</f>
        <v>2021</v>
      </c>
    </row>
    <row r="1489" spans="1:10" ht="14.25" customHeight="1" x14ac:dyDescent="0.3">
      <c r="A1489" s="1">
        <v>44510</v>
      </c>
      <c r="B1489" s="2" t="s">
        <v>191</v>
      </c>
      <c r="C1489" s="2" t="s">
        <v>21</v>
      </c>
      <c r="D1489" s="2" t="s">
        <v>28</v>
      </c>
      <c r="E1489" s="2" t="s">
        <v>29</v>
      </c>
      <c r="F1489" s="2">
        <v>601.54</v>
      </c>
      <c r="G1489" s="2">
        <v>8</v>
      </c>
      <c r="H1489" s="2">
        <v>60.15</v>
      </c>
      <c r="I1489" t="str">
        <f t="shared" si="23"/>
        <v>Nov</v>
      </c>
      <c r="J1489">
        <f>YEAR(datas[[#This Row],[Order Date]])</f>
        <v>2021</v>
      </c>
    </row>
    <row r="1490" spans="1:10" ht="14.25" customHeight="1" x14ac:dyDescent="0.3">
      <c r="A1490" s="1">
        <v>44510</v>
      </c>
      <c r="B1490" s="2" t="s">
        <v>191</v>
      </c>
      <c r="C1490" s="2" t="s">
        <v>21</v>
      </c>
      <c r="D1490" s="2" t="s">
        <v>28</v>
      </c>
      <c r="E1490" s="2" t="s">
        <v>34</v>
      </c>
      <c r="F1490" s="2">
        <v>10.99</v>
      </c>
      <c r="G1490" s="2">
        <v>1</v>
      </c>
      <c r="H1490" s="2">
        <v>4.29</v>
      </c>
      <c r="I1490" t="str">
        <f t="shared" si="23"/>
        <v>Nov</v>
      </c>
      <c r="J1490">
        <f>YEAR(datas[[#This Row],[Order Date]])</f>
        <v>2021</v>
      </c>
    </row>
    <row r="1491" spans="1:10" ht="14.25" customHeight="1" x14ac:dyDescent="0.3">
      <c r="A1491" s="1">
        <v>44510</v>
      </c>
      <c r="B1491" s="2" t="s">
        <v>191</v>
      </c>
      <c r="C1491" s="2" t="s">
        <v>21</v>
      </c>
      <c r="D1491" s="2" t="s">
        <v>26</v>
      </c>
      <c r="E1491" s="2" t="s">
        <v>32</v>
      </c>
      <c r="F1491" s="2">
        <v>39.880000000000003</v>
      </c>
      <c r="G1491" s="2">
        <v>2</v>
      </c>
      <c r="H1491" s="2">
        <v>11.17</v>
      </c>
      <c r="I1491" t="str">
        <f t="shared" si="23"/>
        <v>Nov</v>
      </c>
      <c r="J1491">
        <f>YEAR(datas[[#This Row],[Order Date]])</f>
        <v>2021</v>
      </c>
    </row>
    <row r="1492" spans="1:10" ht="14.25" customHeight="1" x14ac:dyDescent="0.3">
      <c r="A1492" s="1">
        <v>44510</v>
      </c>
      <c r="B1492" s="2" t="s">
        <v>191</v>
      </c>
      <c r="C1492" s="2" t="s">
        <v>21</v>
      </c>
      <c r="D1492" s="2" t="s">
        <v>10</v>
      </c>
      <c r="E1492" s="2" t="s">
        <v>11</v>
      </c>
      <c r="F1492" s="2">
        <v>62.24</v>
      </c>
      <c r="G1492" s="2">
        <v>8</v>
      </c>
      <c r="H1492" s="2">
        <v>28.01</v>
      </c>
      <c r="I1492" t="str">
        <f t="shared" si="23"/>
        <v>Nov</v>
      </c>
      <c r="J1492">
        <f>YEAR(datas[[#This Row],[Order Date]])</f>
        <v>2021</v>
      </c>
    </row>
    <row r="1493" spans="1:10" ht="14.25" customHeight="1" x14ac:dyDescent="0.3">
      <c r="A1493" s="1">
        <v>44510</v>
      </c>
      <c r="B1493" s="2" t="s">
        <v>191</v>
      </c>
      <c r="C1493" s="2" t="s">
        <v>21</v>
      </c>
      <c r="D1493" s="2" t="s">
        <v>26</v>
      </c>
      <c r="E1493" s="2" t="s">
        <v>32</v>
      </c>
      <c r="F1493" s="2">
        <v>53.2</v>
      </c>
      <c r="G1493" s="2">
        <v>5</v>
      </c>
      <c r="H1493" s="2">
        <v>14.9</v>
      </c>
      <c r="I1493" t="str">
        <f t="shared" si="23"/>
        <v>Nov</v>
      </c>
      <c r="J1493">
        <f>YEAR(datas[[#This Row],[Order Date]])</f>
        <v>2021</v>
      </c>
    </row>
    <row r="1494" spans="1:10" ht="14.25" customHeight="1" x14ac:dyDescent="0.3">
      <c r="A1494" s="1">
        <v>44510</v>
      </c>
      <c r="B1494" s="2" t="s">
        <v>191</v>
      </c>
      <c r="C1494" s="2" t="s">
        <v>21</v>
      </c>
      <c r="D1494" s="2" t="s">
        <v>10</v>
      </c>
      <c r="E1494" s="2" t="s">
        <v>14</v>
      </c>
      <c r="F1494" s="2">
        <v>39.840000000000003</v>
      </c>
      <c r="G1494" s="2">
        <v>8</v>
      </c>
      <c r="H1494" s="2">
        <v>18.329999999999998</v>
      </c>
      <c r="I1494" t="str">
        <f t="shared" si="23"/>
        <v>Nov</v>
      </c>
      <c r="J1494">
        <f>YEAR(datas[[#This Row],[Order Date]])</f>
        <v>2021</v>
      </c>
    </row>
    <row r="1495" spans="1:10" ht="14.25" customHeight="1" x14ac:dyDescent="0.3">
      <c r="A1495" s="1">
        <v>44510</v>
      </c>
      <c r="B1495" s="2" t="s">
        <v>118</v>
      </c>
      <c r="C1495" s="2" t="s">
        <v>60</v>
      </c>
      <c r="D1495" s="2" t="s">
        <v>10</v>
      </c>
      <c r="E1495" s="2" t="s">
        <v>19</v>
      </c>
      <c r="F1495" s="2">
        <v>3.9</v>
      </c>
      <c r="G1495" s="2">
        <v>2</v>
      </c>
      <c r="H1495" s="2">
        <v>1.52</v>
      </c>
      <c r="I1495" t="str">
        <f t="shared" si="23"/>
        <v>Nov</v>
      </c>
      <c r="J1495">
        <f>YEAR(datas[[#This Row],[Order Date]])</f>
        <v>2021</v>
      </c>
    </row>
    <row r="1496" spans="1:10" ht="14.25" customHeight="1" x14ac:dyDescent="0.3">
      <c r="A1496" s="1">
        <v>44510</v>
      </c>
      <c r="B1496" s="2" t="s">
        <v>118</v>
      </c>
      <c r="C1496" s="2" t="s">
        <v>60</v>
      </c>
      <c r="D1496" s="2" t="s">
        <v>10</v>
      </c>
      <c r="E1496" s="2" t="s">
        <v>11</v>
      </c>
      <c r="F1496" s="2">
        <v>12.84</v>
      </c>
      <c r="G1496" s="2">
        <v>3</v>
      </c>
      <c r="H1496" s="2">
        <v>5.78</v>
      </c>
      <c r="I1496" t="str">
        <f t="shared" si="23"/>
        <v>Nov</v>
      </c>
      <c r="J1496">
        <f>YEAR(datas[[#This Row],[Order Date]])</f>
        <v>2021</v>
      </c>
    </row>
    <row r="1497" spans="1:10" ht="14.25" customHeight="1" x14ac:dyDescent="0.3">
      <c r="A1497" s="1">
        <v>44510</v>
      </c>
      <c r="B1497" s="2" t="s">
        <v>118</v>
      </c>
      <c r="C1497" s="2" t="s">
        <v>60</v>
      </c>
      <c r="D1497" s="2" t="s">
        <v>10</v>
      </c>
      <c r="E1497" s="2" t="s">
        <v>11</v>
      </c>
      <c r="F1497" s="2">
        <v>15.84</v>
      </c>
      <c r="G1497" s="2">
        <v>3</v>
      </c>
      <c r="H1497" s="2">
        <v>7.13</v>
      </c>
      <c r="I1497" t="str">
        <f t="shared" si="23"/>
        <v>Nov</v>
      </c>
      <c r="J1497">
        <f>YEAR(datas[[#This Row],[Order Date]])</f>
        <v>2021</v>
      </c>
    </row>
    <row r="1498" spans="1:10" ht="14.25" customHeight="1" x14ac:dyDescent="0.3">
      <c r="A1498" s="1">
        <v>44510</v>
      </c>
      <c r="B1498" s="2" t="s">
        <v>118</v>
      </c>
      <c r="C1498" s="2" t="s">
        <v>60</v>
      </c>
      <c r="D1498" s="2" t="s">
        <v>26</v>
      </c>
      <c r="E1498" s="2" t="s">
        <v>27</v>
      </c>
      <c r="F1498" s="2">
        <v>563.94000000000005</v>
      </c>
      <c r="G1498" s="2">
        <v>3</v>
      </c>
      <c r="H1498" s="2">
        <v>112.79</v>
      </c>
      <c r="I1498" t="str">
        <f t="shared" si="23"/>
        <v>Nov</v>
      </c>
      <c r="J1498">
        <f>YEAR(datas[[#This Row],[Order Date]])</f>
        <v>2021</v>
      </c>
    </row>
    <row r="1499" spans="1:10" ht="14.25" customHeight="1" x14ac:dyDescent="0.3">
      <c r="A1499" s="1">
        <v>44510</v>
      </c>
      <c r="B1499" s="2" t="s">
        <v>118</v>
      </c>
      <c r="C1499" s="2" t="s">
        <v>60</v>
      </c>
      <c r="D1499" s="2" t="s">
        <v>10</v>
      </c>
      <c r="E1499" s="2" t="s">
        <v>15</v>
      </c>
      <c r="F1499" s="2">
        <v>62.94</v>
      </c>
      <c r="G1499" s="2">
        <v>3</v>
      </c>
      <c r="H1499" s="2">
        <v>11.96</v>
      </c>
      <c r="I1499" t="str">
        <f t="shared" si="23"/>
        <v>Nov</v>
      </c>
      <c r="J1499">
        <f>YEAR(datas[[#This Row],[Order Date]])</f>
        <v>2021</v>
      </c>
    </row>
    <row r="1500" spans="1:10" ht="14.25" customHeight="1" x14ac:dyDescent="0.3">
      <c r="A1500" s="1">
        <v>44510</v>
      </c>
      <c r="B1500" s="2" t="s">
        <v>118</v>
      </c>
      <c r="C1500" s="2" t="s">
        <v>60</v>
      </c>
      <c r="D1500" s="2" t="s">
        <v>10</v>
      </c>
      <c r="E1500" s="2" t="s">
        <v>15</v>
      </c>
      <c r="F1500" s="2">
        <v>535.41</v>
      </c>
      <c r="G1500" s="2">
        <v>3</v>
      </c>
      <c r="H1500" s="2">
        <v>160.62</v>
      </c>
      <c r="I1500" t="str">
        <f t="shared" si="23"/>
        <v>Nov</v>
      </c>
      <c r="J1500">
        <f>YEAR(datas[[#This Row],[Order Date]])</f>
        <v>2021</v>
      </c>
    </row>
    <row r="1501" spans="1:10" ht="14.25" customHeight="1" x14ac:dyDescent="0.3">
      <c r="A1501" s="1">
        <v>44511</v>
      </c>
      <c r="B1501" s="2" t="s">
        <v>572</v>
      </c>
      <c r="C1501" s="2" t="s">
        <v>79</v>
      </c>
      <c r="D1501" s="2" t="s">
        <v>10</v>
      </c>
      <c r="E1501" s="2" t="s">
        <v>15</v>
      </c>
      <c r="F1501" s="2">
        <v>665.88</v>
      </c>
      <c r="G1501" s="2">
        <v>6</v>
      </c>
      <c r="H1501" s="2">
        <v>13.32</v>
      </c>
      <c r="I1501" t="str">
        <f t="shared" si="23"/>
        <v>Nov</v>
      </c>
      <c r="J1501">
        <f>YEAR(datas[[#This Row],[Order Date]])</f>
        <v>2021</v>
      </c>
    </row>
    <row r="1502" spans="1:10" ht="14.25" customHeight="1" x14ac:dyDescent="0.3">
      <c r="A1502" s="1">
        <v>44511</v>
      </c>
      <c r="B1502" s="2" t="s">
        <v>573</v>
      </c>
      <c r="C1502" s="2" t="s">
        <v>126</v>
      </c>
      <c r="D1502" s="2" t="s">
        <v>10</v>
      </c>
      <c r="E1502" s="2" t="s">
        <v>19</v>
      </c>
      <c r="F1502" s="2">
        <v>3.39</v>
      </c>
      <c r="G1502" s="2">
        <v>1</v>
      </c>
      <c r="H1502" s="2">
        <v>0.81</v>
      </c>
      <c r="I1502" t="str">
        <f t="shared" si="23"/>
        <v>Nov</v>
      </c>
      <c r="J1502">
        <f>YEAR(datas[[#This Row],[Order Date]])</f>
        <v>2021</v>
      </c>
    </row>
    <row r="1503" spans="1:10" ht="14.25" customHeight="1" x14ac:dyDescent="0.3">
      <c r="A1503" s="1">
        <v>44511</v>
      </c>
      <c r="B1503" s="2" t="s">
        <v>573</v>
      </c>
      <c r="C1503" s="2" t="s">
        <v>126</v>
      </c>
      <c r="D1503" s="2" t="s">
        <v>28</v>
      </c>
      <c r="E1503" s="2" t="s">
        <v>29</v>
      </c>
      <c r="F1503" s="2">
        <v>559.98</v>
      </c>
      <c r="G1503" s="2">
        <v>2</v>
      </c>
      <c r="H1503" s="2">
        <v>56</v>
      </c>
      <c r="I1503" t="str">
        <f t="shared" si="23"/>
        <v>Nov</v>
      </c>
      <c r="J1503">
        <f>YEAR(datas[[#This Row],[Order Date]])</f>
        <v>2021</v>
      </c>
    </row>
    <row r="1504" spans="1:10" ht="14.25" customHeight="1" x14ac:dyDescent="0.3">
      <c r="A1504" s="1">
        <v>44511</v>
      </c>
      <c r="B1504" s="2" t="s">
        <v>573</v>
      </c>
      <c r="C1504" s="2" t="s">
        <v>126</v>
      </c>
      <c r="D1504" s="2" t="s">
        <v>26</v>
      </c>
      <c r="E1504" s="2" t="s">
        <v>27</v>
      </c>
      <c r="F1504" s="2">
        <v>603.91999999999996</v>
      </c>
      <c r="G1504" s="2">
        <v>5</v>
      </c>
      <c r="H1504" s="2">
        <v>75.489999999999995</v>
      </c>
      <c r="I1504" t="str">
        <f t="shared" si="23"/>
        <v>Nov</v>
      </c>
      <c r="J1504">
        <f>YEAR(datas[[#This Row],[Order Date]])</f>
        <v>2021</v>
      </c>
    </row>
    <row r="1505" spans="1:10" ht="14.25" customHeight="1" x14ac:dyDescent="0.3">
      <c r="A1505" s="1">
        <v>44511</v>
      </c>
      <c r="B1505" s="2" t="s">
        <v>574</v>
      </c>
      <c r="C1505" s="2" t="s">
        <v>9</v>
      </c>
      <c r="D1505" s="2" t="s">
        <v>10</v>
      </c>
      <c r="E1505" s="2" t="s">
        <v>16</v>
      </c>
      <c r="F1505" s="2">
        <v>896.99</v>
      </c>
      <c r="G1505" s="2">
        <v>5</v>
      </c>
      <c r="H1505" s="2">
        <v>-1480.03</v>
      </c>
      <c r="I1505" t="str">
        <f t="shared" si="23"/>
        <v>Nov</v>
      </c>
      <c r="J1505">
        <f>YEAR(datas[[#This Row],[Order Date]])</f>
        <v>2021</v>
      </c>
    </row>
    <row r="1506" spans="1:10" ht="14.25" customHeight="1" x14ac:dyDescent="0.3">
      <c r="A1506" s="1">
        <v>44511</v>
      </c>
      <c r="B1506" s="2" t="s">
        <v>574</v>
      </c>
      <c r="C1506" s="2" t="s">
        <v>9</v>
      </c>
      <c r="D1506" s="2" t="s">
        <v>10</v>
      </c>
      <c r="E1506" s="2" t="s">
        <v>16</v>
      </c>
      <c r="F1506" s="2">
        <v>1.23</v>
      </c>
      <c r="G1506" s="2">
        <v>1</v>
      </c>
      <c r="H1506" s="2">
        <v>-1.97</v>
      </c>
      <c r="I1506" t="str">
        <f t="shared" si="23"/>
        <v>Nov</v>
      </c>
      <c r="J1506">
        <f>YEAR(datas[[#This Row],[Order Date]])</f>
        <v>2021</v>
      </c>
    </row>
    <row r="1507" spans="1:10" ht="14.25" customHeight="1" x14ac:dyDescent="0.3">
      <c r="A1507" s="1">
        <v>44511</v>
      </c>
      <c r="B1507" s="2" t="s">
        <v>574</v>
      </c>
      <c r="C1507" s="2" t="s">
        <v>9</v>
      </c>
      <c r="D1507" s="2" t="s">
        <v>10</v>
      </c>
      <c r="E1507" s="2" t="s">
        <v>19</v>
      </c>
      <c r="F1507" s="2">
        <v>67.56</v>
      </c>
      <c r="G1507" s="2">
        <v>3</v>
      </c>
      <c r="H1507" s="2">
        <v>6.76</v>
      </c>
      <c r="I1507" t="str">
        <f t="shared" si="23"/>
        <v>Nov</v>
      </c>
      <c r="J1507">
        <f>YEAR(datas[[#This Row],[Order Date]])</f>
        <v>2021</v>
      </c>
    </row>
    <row r="1508" spans="1:10" ht="14.25" customHeight="1" x14ac:dyDescent="0.3">
      <c r="A1508" s="1">
        <v>44511</v>
      </c>
      <c r="B1508" s="2" t="s">
        <v>574</v>
      </c>
      <c r="C1508" s="2" t="s">
        <v>9</v>
      </c>
      <c r="D1508" s="2" t="s">
        <v>10</v>
      </c>
      <c r="E1508" s="2" t="s">
        <v>11</v>
      </c>
      <c r="F1508" s="2">
        <v>21.72</v>
      </c>
      <c r="G1508" s="2">
        <v>5</v>
      </c>
      <c r="H1508" s="2">
        <v>7.87</v>
      </c>
      <c r="I1508" t="str">
        <f t="shared" si="23"/>
        <v>Nov</v>
      </c>
      <c r="J1508">
        <f>YEAR(datas[[#This Row],[Order Date]])</f>
        <v>2021</v>
      </c>
    </row>
    <row r="1509" spans="1:10" ht="14.25" customHeight="1" x14ac:dyDescent="0.3">
      <c r="A1509" s="1">
        <v>44511</v>
      </c>
      <c r="B1509" s="2" t="s">
        <v>574</v>
      </c>
      <c r="C1509" s="2" t="s">
        <v>9</v>
      </c>
      <c r="D1509" s="2" t="s">
        <v>10</v>
      </c>
      <c r="E1509" s="2" t="s">
        <v>11</v>
      </c>
      <c r="F1509" s="2">
        <v>262.33999999999997</v>
      </c>
      <c r="G1509" s="2">
        <v>8</v>
      </c>
      <c r="H1509" s="2">
        <v>95.1</v>
      </c>
      <c r="I1509" t="str">
        <f t="shared" si="23"/>
        <v>Nov</v>
      </c>
      <c r="J1509">
        <f>YEAR(datas[[#This Row],[Order Date]])</f>
        <v>2021</v>
      </c>
    </row>
    <row r="1510" spans="1:10" ht="14.25" customHeight="1" x14ac:dyDescent="0.3">
      <c r="A1510" s="1">
        <v>44511</v>
      </c>
      <c r="B1510" s="2" t="s">
        <v>574</v>
      </c>
      <c r="C1510" s="2" t="s">
        <v>9</v>
      </c>
      <c r="D1510" s="2" t="s">
        <v>28</v>
      </c>
      <c r="E1510" s="2" t="s">
        <v>29</v>
      </c>
      <c r="F1510" s="2">
        <v>148.47999999999999</v>
      </c>
      <c r="G1510" s="2">
        <v>2</v>
      </c>
      <c r="H1510" s="2">
        <v>16.7</v>
      </c>
      <c r="I1510" t="str">
        <f t="shared" si="23"/>
        <v>Nov</v>
      </c>
      <c r="J1510">
        <f>YEAR(datas[[#This Row],[Order Date]])</f>
        <v>2021</v>
      </c>
    </row>
    <row r="1511" spans="1:10" ht="14.25" customHeight="1" x14ac:dyDescent="0.3">
      <c r="A1511" s="1">
        <v>44511</v>
      </c>
      <c r="B1511" s="2" t="s">
        <v>574</v>
      </c>
      <c r="C1511" s="2" t="s">
        <v>9</v>
      </c>
      <c r="D1511" s="2" t="s">
        <v>28</v>
      </c>
      <c r="E1511" s="2" t="s">
        <v>29</v>
      </c>
      <c r="F1511" s="2">
        <v>241.18</v>
      </c>
      <c r="G1511" s="2">
        <v>3</v>
      </c>
      <c r="H1511" s="2">
        <v>15.07</v>
      </c>
      <c r="I1511" t="str">
        <f t="shared" si="23"/>
        <v>Nov</v>
      </c>
      <c r="J1511">
        <f>YEAR(datas[[#This Row],[Order Date]])</f>
        <v>2021</v>
      </c>
    </row>
    <row r="1512" spans="1:10" ht="14.25" customHeight="1" x14ac:dyDescent="0.3">
      <c r="A1512" s="1">
        <v>44511</v>
      </c>
      <c r="B1512" s="2" t="s">
        <v>428</v>
      </c>
      <c r="C1512" s="2" t="s">
        <v>21</v>
      </c>
      <c r="D1512" s="2" t="s">
        <v>10</v>
      </c>
      <c r="E1512" s="2" t="s">
        <v>19</v>
      </c>
      <c r="F1512" s="2">
        <v>30.48</v>
      </c>
      <c r="G1512" s="2">
        <v>3</v>
      </c>
      <c r="H1512" s="2">
        <v>7.92</v>
      </c>
      <c r="I1512" t="str">
        <f t="shared" si="23"/>
        <v>Nov</v>
      </c>
      <c r="J1512">
        <f>YEAR(datas[[#This Row],[Order Date]])</f>
        <v>2021</v>
      </c>
    </row>
    <row r="1513" spans="1:10" ht="14.25" customHeight="1" x14ac:dyDescent="0.3">
      <c r="A1513" s="1">
        <v>44511</v>
      </c>
      <c r="B1513" s="2" t="s">
        <v>428</v>
      </c>
      <c r="C1513" s="2" t="s">
        <v>21</v>
      </c>
      <c r="D1513" s="2" t="s">
        <v>26</v>
      </c>
      <c r="E1513" s="2" t="s">
        <v>27</v>
      </c>
      <c r="F1513" s="2">
        <v>112.65</v>
      </c>
      <c r="G1513" s="2">
        <v>1</v>
      </c>
      <c r="H1513" s="2">
        <v>11.26</v>
      </c>
      <c r="I1513" t="str">
        <f t="shared" si="23"/>
        <v>Nov</v>
      </c>
      <c r="J1513">
        <f>YEAR(datas[[#This Row],[Order Date]])</f>
        <v>2021</v>
      </c>
    </row>
    <row r="1514" spans="1:10" ht="14.25" customHeight="1" x14ac:dyDescent="0.3">
      <c r="A1514" s="1">
        <v>44511</v>
      </c>
      <c r="B1514" s="2" t="s">
        <v>393</v>
      </c>
      <c r="C1514" s="2" t="s">
        <v>18</v>
      </c>
      <c r="D1514" s="2" t="s">
        <v>26</v>
      </c>
      <c r="E1514" s="2" t="s">
        <v>32</v>
      </c>
      <c r="F1514" s="2">
        <v>23.97</v>
      </c>
      <c r="G1514" s="2">
        <v>2</v>
      </c>
      <c r="H1514" s="2">
        <v>7.79</v>
      </c>
      <c r="I1514" t="str">
        <f t="shared" si="23"/>
        <v>Nov</v>
      </c>
      <c r="J1514">
        <f>YEAR(datas[[#This Row],[Order Date]])</f>
        <v>2021</v>
      </c>
    </row>
    <row r="1515" spans="1:10" ht="14.25" customHeight="1" x14ac:dyDescent="0.3">
      <c r="A1515" s="1">
        <v>44511</v>
      </c>
      <c r="B1515" s="2" t="s">
        <v>393</v>
      </c>
      <c r="C1515" s="2" t="s">
        <v>18</v>
      </c>
      <c r="D1515" s="2" t="s">
        <v>26</v>
      </c>
      <c r="E1515" s="2" t="s">
        <v>45</v>
      </c>
      <c r="F1515" s="2">
        <v>521.96</v>
      </c>
      <c r="G1515" s="2">
        <v>4</v>
      </c>
      <c r="H1515" s="2">
        <v>-250.54</v>
      </c>
      <c r="I1515" t="str">
        <f t="shared" si="23"/>
        <v>Nov</v>
      </c>
      <c r="J1515">
        <f>YEAR(datas[[#This Row],[Order Date]])</f>
        <v>2021</v>
      </c>
    </row>
    <row r="1516" spans="1:10" ht="14.25" customHeight="1" x14ac:dyDescent="0.3">
      <c r="A1516" s="1">
        <v>44511</v>
      </c>
      <c r="B1516" s="2" t="s">
        <v>408</v>
      </c>
      <c r="C1516" s="2" t="s">
        <v>21</v>
      </c>
      <c r="D1516" s="2" t="s">
        <v>28</v>
      </c>
      <c r="E1516" s="2" t="s">
        <v>29</v>
      </c>
      <c r="F1516" s="2">
        <v>575.92999999999995</v>
      </c>
      <c r="G1516" s="2">
        <v>9</v>
      </c>
      <c r="H1516" s="2">
        <v>57.59</v>
      </c>
      <c r="I1516" t="str">
        <f t="shared" si="23"/>
        <v>Nov</v>
      </c>
      <c r="J1516">
        <f>YEAR(datas[[#This Row],[Order Date]])</f>
        <v>2021</v>
      </c>
    </row>
    <row r="1517" spans="1:10" ht="14.25" customHeight="1" x14ac:dyDescent="0.3">
      <c r="A1517" s="1">
        <v>44511</v>
      </c>
      <c r="B1517" s="2" t="s">
        <v>408</v>
      </c>
      <c r="C1517" s="2" t="s">
        <v>21</v>
      </c>
      <c r="D1517" s="2" t="s">
        <v>10</v>
      </c>
      <c r="E1517" s="2" t="s">
        <v>53</v>
      </c>
      <c r="F1517" s="2">
        <v>7.78</v>
      </c>
      <c r="G1517" s="2">
        <v>2</v>
      </c>
      <c r="H1517" s="2">
        <v>2.02</v>
      </c>
      <c r="I1517" t="str">
        <f t="shared" si="23"/>
        <v>Nov</v>
      </c>
      <c r="J1517">
        <f>YEAR(datas[[#This Row],[Order Date]])</f>
        <v>2021</v>
      </c>
    </row>
    <row r="1518" spans="1:10" ht="14.25" customHeight="1" x14ac:dyDescent="0.3">
      <c r="A1518" s="1">
        <v>44511</v>
      </c>
      <c r="B1518" s="2" t="s">
        <v>408</v>
      </c>
      <c r="C1518" s="2" t="s">
        <v>21</v>
      </c>
      <c r="D1518" s="2" t="s">
        <v>10</v>
      </c>
      <c r="E1518" s="2" t="s">
        <v>11</v>
      </c>
      <c r="F1518" s="2">
        <v>123.92</v>
      </c>
      <c r="G1518" s="2">
        <v>4</v>
      </c>
      <c r="H1518" s="2">
        <v>55.76</v>
      </c>
      <c r="I1518" t="str">
        <f t="shared" si="23"/>
        <v>Nov</v>
      </c>
      <c r="J1518">
        <f>YEAR(datas[[#This Row],[Order Date]])</f>
        <v>2021</v>
      </c>
    </row>
    <row r="1519" spans="1:10" ht="14.25" customHeight="1" x14ac:dyDescent="0.3">
      <c r="A1519" s="1">
        <v>44511</v>
      </c>
      <c r="B1519" s="2" t="s">
        <v>186</v>
      </c>
      <c r="C1519" s="2" t="s">
        <v>82</v>
      </c>
      <c r="D1519" s="2" t="s">
        <v>10</v>
      </c>
      <c r="E1519" s="2" t="s">
        <v>53</v>
      </c>
      <c r="F1519" s="2">
        <v>22.98</v>
      </c>
      <c r="G1519" s="2">
        <v>1</v>
      </c>
      <c r="H1519" s="2">
        <v>6.89</v>
      </c>
      <c r="I1519" t="str">
        <f t="shared" si="23"/>
        <v>Nov</v>
      </c>
      <c r="J1519">
        <f>YEAR(datas[[#This Row],[Order Date]])</f>
        <v>2021</v>
      </c>
    </row>
    <row r="1520" spans="1:10" ht="14.25" customHeight="1" x14ac:dyDescent="0.3">
      <c r="A1520" s="1">
        <v>44511</v>
      </c>
      <c r="B1520" s="2" t="s">
        <v>186</v>
      </c>
      <c r="C1520" s="2" t="s">
        <v>82</v>
      </c>
      <c r="D1520" s="2" t="s">
        <v>28</v>
      </c>
      <c r="E1520" s="2" t="s">
        <v>34</v>
      </c>
      <c r="F1520" s="2">
        <v>102.13</v>
      </c>
      <c r="G1520" s="2">
        <v>7</v>
      </c>
      <c r="H1520" s="2">
        <v>15.32</v>
      </c>
      <c r="I1520" t="str">
        <f t="shared" si="23"/>
        <v>Nov</v>
      </c>
      <c r="J1520">
        <f>YEAR(datas[[#This Row],[Order Date]])</f>
        <v>2021</v>
      </c>
    </row>
    <row r="1521" spans="1:10" ht="14.25" customHeight="1" x14ac:dyDescent="0.3">
      <c r="A1521" s="1">
        <v>44511</v>
      </c>
      <c r="B1521" s="2" t="s">
        <v>186</v>
      </c>
      <c r="C1521" s="2" t="s">
        <v>82</v>
      </c>
      <c r="D1521" s="2" t="s">
        <v>10</v>
      </c>
      <c r="E1521" s="2" t="s">
        <v>16</v>
      </c>
      <c r="F1521" s="2">
        <v>2033.58</v>
      </c>
      <c r="G1521" s="2">
        <v>2</v>
      </c>
      <c r="H1521" s="2">
        <v>762.59</v>
      </c>
      <c r="I1521" t="str">
        <f t="shared" si="23"/>
        <v>Nov</v>
      </c>
      <c r="J1521">
        <f>YEAR(datas[[#This Row],[Order Date]])</f>
        <v>2021</v>
      </c>
    </row>
    <row r="1522" spans="1:10" ht="14.25" customHeight="1" x14ac:dyDescent="0.3">
      <c r="A1522" s="1">
        <v>44511</v>
      </c>
      <c r="B1522" s="2" t="s">
        <v>315</v>
      </c>
      <c r="C1522" s="2" t="s">
        <v>13</v>
      </c>
      <c r="D1522" s="2" t="s">
        <v>26</v>
      </c>
      <c r="E1522" s="2" t="s">
        <v>32</v>
      </c>
      <c r="F1522" s="2">
        <v>10.98</v>
      </c>
      <c r="G1522" s="2">
        <v>2</v>
      </c>
      <c r="H1522" s="2">
        <v>-7.96</v>
      </c>
      <c r="I1522" t="str">
        <f t="shared" si="23"/>
        <v>Nov</v>
      </c>
      <c r="J1522">
        <f>YEAR(datas[[#This Row],[Order Date]])</f>
        <v>2021</v>
      </c>
    </row>
    <row r="1523" spans="1:10" ht="14.25" customHeight="1" x14ac:dyDescent="0.3">
      <c r="A1523" s="1">
        <v>44511</v>
      </c>
      <c r="B1523" s="2" t="s">
        <v>315</v>
      </c>
      <c r="C1523" s="2" t="s">
        <v>13</v>
      </c>
      <c r="D1523" s="2" t="s">
        <v>26</v>
      </c>
      <c r="E1523" s="2" t="s">
        <v>27</v>
      </c>
      <c r="F1523" s="2">
        <v>797.94</v>
      </c>
      <c r="G1523" s="2">
        <v>4</v>
      </c>
      <c r="H1523" s="2">
        <v>-57</v>
      </c>
      <c r="I1523" t="str">
        <f t="shared" si="23"/>
        <v>Nov</v>
      </c>
      <c r="J1523">
        <f>YEAR(datas[[#This Row],[Order Date]])</f>
        <v>2021</v>
      </c>
    </row>
    <row r="1524" spans="1:10" ht="14.25" customHeight="1" x14ac:dyDescent="0.3">
      <c r="A1524" s="1">
        <v>44511</v>
      </c>
      <c r="B1524" s="2" t="s">
        <v>112</v>
      </c>
      <c r="C1524" s="2" t="s">
        <v>75</v>
      </c>
      <c r="D1524" s="2" t="s">
        <v>10</v>
      </c>
      <c r="E1524" s="2" t="s">
        <v>11</v>
      </c>
      <c r="F1524" s="2">
        <v>46.35</v>
      </c>
      <c r="G1524" s="2">
        <v>5</v>
      </c>
      <c r="H1524" s="2">
        <v>21.78</v>
      </c>
      <c r="I1524" t="str">
        <f t="shared" si="23"/>
        <v>Nov</v>
      </c>
      <c r="J1524">
        <f>YEAR(datas[[#This Row],[Order Date]])</f>
        <v>2021</v>
      </c>
    </row>
    <row r="1525" spans="1:10" ht="14.25" customHeight="1" x14ac:dyDescent="0.3">
      <c r="A1525" s="1">
        <v>44511</v>
      </c>
      <c r="B1525" s="2" t="s">
        <v>112</v>
      </c>
      <c r="C1525" s="2" t="s">
        <v>75</v>
      </c>
      <c r="D1525" s="2" t="s">
        <v>10</v>
      </c>
      <c r="E1525" s="2" t="s">
        <v>11</v>
      </c>
      <c r="F1525" s="2">
        <v>223.92</v>
      </c>
      <c r="G1525" s="2">
        <v>4</v>
      </c>
      <c r="H1525" s="2">
        <v>109.72</v>
      </c>
      <c r="I1525" t="str">
        <f t="shared" si="23"/>
        <v>Nov</v>
      </c>
      <c r="J1525">
        <f>YEAR(datas[[#This Row],[Order Date]])</f>
        <v>2021</v>
      </c>
    </row>
    <row r="1526" spans="1:10" ht="14.25" customHeight="1" x14ac:dyDescent="0.3">
      <c r="A1526" s="1">
        <v>44511</v>
      </c>
      <c r="B1526" s="2" t="s">
        <v>112</v>
      </c>
      <c r="C1526" s="2" t="s">
        <v>75</v>
      </c>
      <c r="D1526" s="2" t="s">
        <v>10</v>
      </c>
      <c r="E1526" s="2" t="s">
        <v>95</v>
      </c>
      <c r="F1526" s="2">
        <v>7.3</v>
      </c>
      <c r="G1526" s="2">
        <v>2</v>
      </c>
      <c r="H1526" s="2">
        <v>2.19</v>
      </c>
      <c r="I1526" t="str">
        <f t="shared" si="23"/>
        <v>Nov</v>
      </c>
      <c r="J1526">
        <f>YEAR(datas[[#This Row],[Order Date]])</f>
        <v>2021</v>
      </c>
    </row>
    <row r="1527" spans="1:10" ht="14.25" customHeight="1" x14ac:dyDescent="0.3">
      <c r="A1527" s="1">
        <v>44512</v>
      </c>
      <c r="B1527" s="2" t="s">
        <v>575</v>
      </c>
      <c r="C1527" s="2" t="s">
        <v>9</v>
      </c>
      <c r="D1527" s="2" t="s">
        <v>10</v>
      </c>
      <c r="E1527" s="2" t="s">
        <v>15</v>
      </c>
      <c r="F1527" s="2">
        <v>49.63</v>
      </c>
      <c r="G1527" s="2">
        <v>4</v>
      </c>
      <c r="H1527" s="2">
        <v>4.96</v>
      </c>
      <c r="I1527" t="str">
        <f t="shared" si="23"/>
        <v>Nov</v>
      </c>
      <c r="J1527">
        <f>YEAR(datas[[#This Row],[Order Date]])</f>
        <v>2021</v>
      </c>
    </row>
    <row r="1528" spans="1:10" ht="14.25" customHeight="1" x14ac:dyDescent="0.3">
      <c r="A1528" s="1">
        <v>44512</v>
      </c>
      <c r="B1528" s="2" t="s">
        <v>480</v>
      </c>
      <c r="C1528" s="2" t="s">
        <v>21</v>
      </c>
      <c r="D1528" s="2" t="s">
        <v>10</v>
      </c>
      <c r="E1528" s="2" t="s">
        <v>11</v>
      </c>
      <c r="F1528" s="2">
        <v>11.96</v>
      </c>
      <c r="G1528" s="2">
        <v>2</v>
      </c>
      <c r="H1528" s="2">
        <v>5.86</v>
      </c>
      <c r="I1528" t="str">
        <f t="shared" si="23"/>
        <v>Nov</v>
      </c>
      <c r="J1528">
        <f>YEAR(datas[[#This Row],[Order Date]])</f>
        <v>2021</v>
      </c>
    </row>
    <row r="1529" spans="1:10" ht="14.25" customHeight="1" x14ac:dyDescent="0.3">
      <c r="A1529" s="1">
        <v>44512</v>
      </c>
      <c r="B1529" s="2" t="s">
        <v>480</v>
      </c>
      <c r="C1529" s="2" t="s">
        <v>21</v>
      </c>
      <c r="D1529" s="2" t="s">
        <v>26</v>
      </c>
      <c r="E1529" s="2" t="s">
        <v>73</v>
      </c>
      <c r="F1529" s="2">
        <v>629.05999999999995</v>
      </c>
      <c r="G1529" s="2">
        <v>3</v>
      </c>
      <c r="H1529" s="2">
        <v>31.45</v>
      </c>
      <c r="I1529" t="str">
        <f t="shared" si="23"/>
        <v>Nov</v>
      </c>
      <c r="J1529">
        <f>YEAR(datas[[#This Row],[Order Date]])</f>
        <v>2021</v>
      </c>
    </row>
    <row r="1530" spans="1:10" ht="14.25" customHeight="1" x14ac:dyDescent="0.3">
      <c r="A1530" s="1">
        <v>44512</v>
      </c>
      <c r="B1530" s="2" t="s">
        <v>563</v>
      </c>
      <c r="C1530" s="2" t="s">
        <v>115</v>
      </c>
      <c r="D1530" s="2" t="s">
        <v>10</v>
      </c>
      <c r="E1530" s="2" t="s">
        <v>19</v>
      </c>
      <c r="F1530" s="2">
        <v>7.87</v>
      </c>
      <c r="G1530" s="2">
        <v>3</v>
      </c>
      <c r="H1530" s="2">
        <v>0.89</v>
      </c>
      <c r="I1530" t="str">
        <f t="shared" si="23"/>
        <v>Nov</v>
      </c>
      <c r="J1530">
        <f>YEAR(datas[[#This Row],[Order Date]])</f>
        <v>2021</v>
      </c>
    </row>
    <row r="1531" spans="1:10" ht="14.25" customHeight="1" x14ac:dyDescent="0.3">
      <c r="A1531" s="1">
        <v>44512</v>
      </c>
      <c r="B1531" s="2" t="s">
        <v>576</v>
      </c>
      <c r="C1531" s="2" t="s">
        <v>9</v>
      </c>
      <c r="D1531" s="2" t="s">
        <v>10</v>
      </c>
      <c r="E1531" s="2" t="s">
        <v>19</v>
      </c>
      <c r="F1531" s="2">
        <v>2.67</v>
      </c>
      <c r="G1531" s="2">
        <v>1</v>
      </c>
      <c r="H1531" s="2">
        <v>0.33</v>
      </c>
      <c r="I1531" t="str">
        <f t="shared" si="23"/>
        <v>Nov</v>
      </c>
      <c r="J1531">
        <f>YEAR(datas[[#This Row],[Order Date]])</f>
        <v>2021</v>
      </c>
    </row>
    <row r="1532" spans="1:10" ht="14.25" customHeight="1" x14ac:dyDescent="0.3">
      <c r="A1532" s="1">
        <v>44512</v>
      </c>
      <c r="B1532" s="2" t="s">
        <v>576</v>
      </c>
      <c r="C1532" s="2" t="s">
        <v>9</v>
      </c>
      <c r="D1532" s="2" t="s">
        <v>10</v>
      </c>
      <c r="E1532" s="2" t="s">
        <v>95</v>
      </c>
      <c r="F1532" s="2">
        <v>16.66</v>
      </c>
      <c r="G1532" s="2">
        <v>6</v>
      </c>
      <c r="H1532" s="2">
        <v>-3.12</v>
      </c>
      <c r="I1532" t="str">
        <f t="shared" si="23"/>
        <v>Nov</v>
      </c>
      <c r="J1532">
        <f>YEAR(datas[[#This Row],[Order Date]])</f>
        <v>2021</v>
      </c>
    </row>
    <row r="1533" spans="1:10" ht="14.25" customHeight="1" x14ac:dyDescent="0.3">
      <c r="A1533" s="1">
        <v>44512</v>
      </c>
      <c r="B1533" s="2" t="s">
        <v>576</v>
      </c>
      <c r="C1533" s="2" t="s">
        <v>9</v>
      </c>
      <c r="D1533" s="2" t="s">
        <v>28</v>
      </c>
      <c r="E1533" s="2" t="s">
        <v>34</v>
      </c>
      <c r="F1533" s="2">
        <v>79.510000000000005</v>
      </c>
      <c r="G1533" s="2">
        <v>3</v>
      </c>
      <c r="H1533" s="2">
        <v>20.87</v>
      </c>
      <c r="I1533" t="str">
        <f t="shared" si="23"/>
        <v>Nov</v>
      </c>
      <c r="J1533">
        <f>YEAR(datas[[#This Row],[Order Date]])</f>
        <v>2021</v>
      </c>
    </row>
    <row r="1534" spans="1:10" ht="14.25" customHeight="1" x14ac:dyDescent="0.3">
      <c r="A1534" s="1">
        <v>44512</v>
      </c>
      <c r="B1534" s="2" t="s">
        <v>576</v>
      </c>
      <c r="C1534" s="2" t="s">
        <v>9</v>
      </c>
      <c r="D1534" s="2" t="s">
        <v>10</v>
      </c>
      <c r="E1534" s="2" t="s">
        <v>11</v>
      </c>
      <c r="F1534" s="2">
        <v>36.29</v>
      </c>
      <c r="G1534" s="2">
        <v>7</v>
      </c>
      <c r="H1534" s="2">
        <v>12.7</v>
      </c>
      <c r="I1534" t="str">
        <f t="shared" si="23"/>
        <v>Nov</v>
      </c>
      <c r="J1534">
        <f>YEAR(datas[[#This Row],[Order Date]])</f>
        <v>2021</v>
      </c>
    </row>
    <row r="1535" spans="1:10" ht="14.25" customHeight="1" x14ac:dyDescent="0.3">
      <c r="A1535" s="1">
        <v>44512</v>
      </c>
      <c r="B1535" s="2" t="s">
        <v>576</v>
      </c>
      <c r="C1535" s="2" t="s">
        <v>9</v>
      </c>
      <c r="D1535" s="2" t="s">
        <v>26</v>
      </c>
      <c r="E1535" s="2" t="s">
        <v>45</v>
      </c>
      <c r="F1535" s="2">
        <v>67.989999999999995</v>
      </c>
      <c r="G1535" s="2">
        <v>1</v>
      </c>
      <c r="H1535" s="2">
        <v>-13</v>
      </c>
      <c r="I1535" t="str">
        <f t="shared" si="23"/>
        <v>Nov</v>
      </c>
      <c r="J1535">
        <f>YEAR(datas[[#This Row],[Order Date]])</f>
        <v>2021</v>
      </c>
    </row>
    <row r="1536" spans="1:10" ht="14.25" customHeight="1" x14ac:dyDescent="0.3">
      <c r="A1536" s="1">
        <v>44512</v>
      </c>
      <c r="B1536" s="2" t="s">
        <v>8</v>
      </c>
      <c r="C1536" s="2" t="s">
        <v>9</v>
      </c>
      <c r="D1536" s="2" t="s">
        <v>26</v>
      </c>
      <c r="E1536" s="2" t="s">
        <v>32</v>
      </c>
      <c r="F1536" s="2">
        <v>25.13</v>
      </c>
      <c r="G1536" s="2">
        <v>3</v>
      </c>
      <c r="H1536" s="2">
        <v>-6.91</v>
      </c>
      <c r="I1536" t="str">
        <f t="shared" si="23"/>
        <v>Nov</v>
      </c>
      <c r="J1536">
        <f>YEAR(datas[[#This Row],[Order Date]])</f>
        <v>2021</v>
      </c>
    </row>
    <row r="1537" spans="1:10" ht="14.25" customHeight="1" x14ac:dyDescent="0.3">
      <c r="A1537" s="1">
        <v>44512</v>
      </c>
      <c r="B1537" s="2" t="s">
        <v>8</v>
      </c>
      <c r="C1537" s="2" t="s">
        <v>9</v>
      </c>
      <c r="D1537" s="2" t="s">
        <v>28</v>
      </c>
      <c r="E1537" s="2" t="s">
        <v>34</v>
      </c>
      <c r="F1537" s="2">
        <v>127.98</v>
      </c>
      <c r="G1537" s="2">
        <v>2</v>
      </c>
      <c r="H1537" s="2">
        <v>25.6</v>
      </c>
      <c r="I1537" t="str">
        <f t="shared" si="23"/>
        <v>Nov</v>
      </c>
      <c r="J1537">
        <f>YEAR(datas[[#This Row],[Order Date]])</f>
        <v>2021</v>
      </c>
    </row>
    <row r="1538" spans="1:10" ht="14.25" customHeight="1" x14ac:dyDescent="0.3">
      <c r="A1538" s="1">
        <v>44514</v>
      </c>
      <c r="B1538" s="2" t="s">
        <v>577</v>
      </c>
      <c r="C1538" s="2" t="s">
        <v>248</v>
      </c>
      <c r="D1538" s="2" t="s">
        <v>28</v>
      </c>
      <c r="E1538" s="2" t="s">
        <v>29</v>
      </c>
      <c r="F1538" s="2">
        <v>832.93</v>
      </c>
      <c r="G1538" s="2">
        <v>7</v>
      </c>
      <c r="H1538" s="2">
        <v>233.22</v>
      </c>
      <c r="I1538" t="str">
        <f t="shared" si="23"/>
        <v>Nov</v>
      </c>
      <c r="J1538">
        <f>YEAR(datas[[#This Row],[Order Date]])</f>
        <v>2021</v>
      </c>
    </row>
    <row r="1539" spans="1:10" ht="14.25" customHeight="1" x14ac:dyDescent="0.3">
      <c r="A1539" s="1">
        <v>44514</v>
      </c>
      <c r="B1539" s="2" t="s">
        <v>577</v>
      </c>
      <c r="C1539" s="2" t="s">
        <v>248</v>
      </c>
      <c r="D1539" s="2" t="s">
        <v>10</v>
      </c>
      <c r="E1539" s="2" t="s">
        <v>16</v>
      </c>
      <c r="F1539" s="2">
        <v>43.8</v>
      </c>
      <c r="G1539" s="2">
        <v>10</v>
      </c>
      <c r="H1539" s="2">
        <v>21.02</v>
      </c>
      <c r="I1539" t="str">
        <f t="shared" ref="I1539:I1602" si="24">TEXT(A1539,"mmm")</f>
        <v>Nov</v>
      </c>
      <c r="J1539">
        <f>YEAR(datas[[#This Row],[Order Date]])</f>
        <v>2021</v>
      </c>
    </row>
    <row r="1540" spans="1:10" ht="14.25" customHeight="1" x14ac:dyDescent="0.3">
      <c r="A1540" s="1">
        <v>44514</v>
      </c>
      <c r="B1540" s="2" t="s">
        <v>578</v>
      </c>
      <c r="C1540" s="2" t="s">
        <v>60</v>
      </c>
      <c r="D1540" s="2" t="s">
        <v>10</v>
      </c>
      <c r="E1540" s="2" t="s">
        <v>16</v>
      </c>
      <c r="F1540" s="2">
        <v>12.72</v>
      </c>
      <c r="G1540" s="2">
        <v>3</v>
      </c>
      <c r="H1540" s="2">
        <v>6.36</v>
      </c>
      <c r="I1540" t="str">
        <f t="shared" si="24"/>
        <v>Nov</v>
      </c>
      <c r="J1540">
        <f>YEAR(datas[[#This Row],[Order Date]])</f>
        <v>2021</v>
      </c>
    </row>
    <row r="1541" spans="1:10" ht="14.25" customHeight="1" x14ac:dyDescent="0.3">
      <c r="A1541" s="1">
        <v>44514</v>
      </c>
      <c r="B1541" s="2" t="s">
        <v>578</v>
      </c>
      <c r="C1541" s="2" t="s">
        <v>60</v>
      </c>
      <c r="D1541" s="2" t="s">
        <v>10</v>
      </c>
      <c r="E1541" s="2" t="s">
        <v>16</v>
      </c>
      <c r="F1541" s="2">
        <v>11.52</v>
      </c>
      <c r="G1541" s="2">
        <v>4</v>
      </c>
      <c r="H1541" s="2">
        <v>5.64</v>
      </c>
      <c r="I1541" t="str">
        <f t="shared" si="24"/>
        <v>Nov</v>
      </c>
      <c r="J1541">
        <f>YEAR(datas[[#This Row],[Order Date]])</f>
        <v>2021</v>
      </c>
    </row>
    <row r="1542" spans="1:10" ht="14.25" customHeight="1" x14ac:dyDescent="0.3">
      <c r="A1542" s="1">
        <v>44514</v>
      </c>
      <c r="B1542" s="2" t="s">
        <v>579</v>
      </c>
      <c r="C1542" s="2" t="s">
        <v>9</v>
      </c>
      <c r="D1542" s="2" t="s">
        <v>10</v>
      </c>
      <c r="E1542" s="2" t="s">
        <v>11</v>
      </c>
      <c r="F1542" s="2">
        <v>20.74</v>
      </c>
      <c r="G1542" s="2">
        <v>4</v>
      </c>
      <c r="H1542" s="2">
        <v>7.26</v>
      </c>
      <c r="I1542" t="str">
        <f t="shared" si="24"/>
        <v>Nov</v>
      </c>
      <c r="J1542">
        <f>YEAR(datas[[#This Row],[Order Date]])</f>
        <v>2021</v>
      </c>
    </row>
    <row r="1543" spans="1:10" ht="14.25" customHeight="1" x14ac:dyDescent="0.3">
      <c r="A1543" s="1">
        <v>44514</v>
      </c>
      <c r="B1543" s="2" t="s">
        <v>580</v>
      </c>
      <c r="C1543" s="2" t="s">
        <v>75</v>
      </c>
      <c r="D1543" s="2" t="s">
        <v>10</v>
      </c>
      <c r="E1543" s="2" t="s">
        <v>11</v>
      </c>
      <c r="F1543" s="2">
        <v>11.36</v>
      </c>
      <c r="G1543" s="2">
        <v>2</v>
      </c>
      <c r="H1543" s="2">
        <v>5.23</v>
      </c>
      <c r="I1543" t="str">
        <f t="shared" si="24"/>
        <v>Nov</v>
      </c>
      <c r="J1543">
        <f>YEAR(datas[[#This Row],[Order Date]])</f>
        <v>2021</v>
      </c>
    </row>
    <row r="1544" spans="1:10" ht="14.25" customHeight="1" x14ac:dyDescent="0.3">
      <c r="A1544" s="1">
        <v>44514</v>
      </c>
      <c r="B1544" s="2" t="s">
        <v>580</v>
      </c>
      <c r="C1544" s="2" t="s">
        <v>75</v>
      </c>
      <c r="D1544" s="2" t="s">
        <v>26</v>
      </c>
      <c r="E1544" s="2" t="s">
        <v>27</v>
      </c>
      <c r="F1544" s="2">
        <v>69.260000000000005</v>
      </c>
      <c r="G1544" s="2">
        <v>2</v>
      </c>
      <c r="H1544" s="2">
        <v>14.62</v>
      </c>
      <c r="I1544" t="str">
        <f t="shared" si="24"/>
        <v>Nov</v>
      </c>
      <c r="J1544">
        <f>YEAR(datas[[#This Row],[Order Date]])</f>
        <v>2021</v>
      </c>
    </row>
    <row r="1545" spans="1:10" ht="14.25" customHeight="1" x14ac:dyDescent="0.3">
      <c r="A1545" s="1">
        <v>44514</v>
      </c>
      <c r="B1545" s="2" t="s">
        <v>463</v>
      </c>
      <c r="C1545" s="2" t="s">
        <v>36</v>
      </c>
      <c r="D1545" s="2" t="s">
        <v>10</v>
      </c>
      <c r="E1545" s="2" t="s">
        <v>11</v>
      </c>
      <c r="F1545" s="2">
        <v>32.4</v>
      </c>
      <c r="G1545" s="2">
        <v>5</v>
      </c>
      <c r="H1545" s="2">
        <v>15.55</v>
      </c>
      <c r="I1545" t="str">
        <f t="shared" si="24"/>
        <v>Nov</v>
      </c>
      <c r="J1545">
        <f>YEAR(datas[[#This Row],[Order Date]])</f>
        <v>2021</v>
      </c>
    </row>
    <row r="1546" spans="1:10" ht="14.25" customHeight="1" x14ac:dyDescent="0.3">
      <c r="A1546" s="1">
        <v>44515</v>
      </c>
      <c r="B1546" s="2" t="s">
        <v>581</v>
      </c>
      <c r="C1546" s="2" t="s">
        <v>62</v>
      </c>
      <c r="D1546" s="2" t="s">
        <v>10</v>
      </c>
      <c r="E1546" s="2" t="s">
        <v>19</v>
      </c>
      <c r="F1546" s="2">
        <v>4.22</v>
      </c>
      <c r="G1546" s="2">
        <v>3</v>
      </c>
      <c r="H1546" s="2">
        <v>0.48</v>
      </c>
      <c r="I1546" t="str">
        <f t="shared" si="24"/>
        <v>Nov</v>
      </c>
      <c r="J1546">
        <f>YEAR(datas[[#This Row],[Order Date]])</f>
        <v>2021</v>
      </c>
    </row>
    <row r="1547" spans="1:10" ht="14.25" customHeight="1" x14ac:dyDescent="0.3">
      <c r="A1547" s="1">
        <v>44515</v>
      </c>
      <c r="B1547" s="2" t="s">
        <v>581</v>
      </c>
      <c r="C1547" s="2" t="s">
        <v>62</v>
      </c>
      <c r="D1547" s="2" t="s">
        <v>10</v>
      </c>
      <c r="E1547" s="2" t="s">
        <v>53</v>
      </c>
      <c r="F1547" s="2">
        <v>333.06</v>
      </c>
      <c r="G1547" s="2">
        <v>2</v>
      </c>
      <c r="H1547" s="2">
        <v>29.14</v>
      </c>
      <c r="I1547" t="str">
        <f t="shared" si="24"/>
        <v>Nov</v>
      </c>
      <c r="J1547">
        <f>YEAR(datas[[#This Row],[Order Date]])</f>
        <v>2021</v>
      </c>
    </row>
    <row r="1548" spans="1:10" ht="14.25" customHeight="1" x14ac:dyDescent="0.3">
      <c r="A1548" s="1">
        <v>44515</v>
      </c>
      <c r="B1548" s="2" t="s">
        <v>581</v>
      </c>
      <c r="C1548" s="2" t="s">
        <v>62</v>
      </c>
      <c r="D1548" s="2" t="s">
        <v>10</v>
      </c>
      <c r="E1548" s="2" t="s">
        <v>11</v>
      </c>
      <c r="F1548" s="2">
        <v>24.9</v>
      </c>
      <c r="G1548" s="2">
        <v>4</v>
      </c>
      <c r="H1548" s="2">
        <v>7.78</v>
      </c>
      <c r="I1548" t="str">
        <f t="shared" si="24"/>
        <v>Nov</v>
      </c>
      <c r="J1548">
        <f>YEAR(datas[[#This Row],[Order Date]])</f>
        <v>2021</v>
      </c>
    </row>
    <row r="1549" spans="1:10" ht="14.25" customHeight="1" x14ac:dyDescent="0.3">
      <c r="A1549" s="1">
        <v>44515</v>
      </c>
      <c r="B1549" s="2" t="s">
        <v>582</v>
      </c>
      <c r="C1549" s="2" t="s">
        <v>9</v>
      </c>
      <c r="D1549" s="2" t="s">
        <v>10</v>
      </c>
      <c r="E1549" s="2" t="s">
        <v>41</v>
      </c>
      <c r="F1549" s="2">
        <v>604.66</v>
      </c>
      <c r="G1549" s="2">
        <v>9</v>
      </c>
      <c r="H1549" s="2">
        <v>204.07</v>
      </c>
      <c r="I1549" t="str">
        <f t="shared" si="24"/>
        <v>Nov</v>
      </c>
      <c r="J1549">
        <f>YEAR(datas[[#This Row],[Order Date]])</f>
        <v>2021</v>
      </c>
    </row>
    <row r="1550" spans="1:10" ht="14.25" customHeight="1" x14ac:dyDescent="0.3">
      <c r="A1550" s="1">
        <v>44515</v>
      </c>
      <c r="B1550" s="2" t="s">
        <v>295</v>
      </c>
      <c r="C1550" s="2" t="s">
        <v>21</v>
      </c>
      <c r="D1550" s="2" t="s">
        <v>26</v>
      </c>
      <c r="E1550" s="2" t="s">
        <v>32</v>
      </c>
      <c r="F1550" s="2">
        <v>10.11</v>
      </c>
      <c r="G1550" s="2">
        <v>3</v>
      </c>
      <c r="H1550" s="2">
        <v>3.24</v>
      </c>
      <c r="I1550" t="str">
        <f t="shared" si="24"/>
        <v>Nov</v>
      </c>
      <c r="J1550">
        <f>YEAR(datas[[#This Row],[Order Date]])</f>
        <v>2021</v>
      </c>
    </row>
    <row r="1551" spans="1:10" ht="14.25" customHeight="1" x14ac:dyDescent="0.3">
      <c r="A1551" s="1">
        <v>44515</v>
      </c>
      <c r="B1551" s="2" t="s">
        <v>295</v>
      </c>
      <c r="C1551" s="2" t="s">
        <v>21</v>
      </c>
      <c r="D1551" s="2" t="s">
        <v>28</v>
      </c>
      <c r="E1551" s="2" t="s">
        <v>34</v>
      </c>
      <c r="F1551" s="2">
        <v>772.47</v>
      </c>
      <c r="G1551" s="2">
        <v>3</v>
      </c>
      <c r="H1551" s="2">
        <v>146.77000000000001</v>
      </c>
      <c r="I1551" t="str">
        <f t="shared" si="24"/>
        <v>Nov</v>
      </c>
      <c r="J1551">
        <f>YEAR(datas[[#This Row],[Order Date]])</f>
        <v>2021</v>
      </c>
    </row>
    <row r="1552" spans="1:10" ht="14.25" customHeight="1" x14ac:dyDescent="0.3">
      <c r="A1552" s="1">
        <v>44515</v>
      </c>
      <c r="B1552" s="2" t="s">
        <v>295</v>
      </c>
      <c r="C1552" s="2" t="s">
        <v>21</v>
      </c>
      <c r="D1552" s="2" t="s">
        <v>10</v>
      </c>
      <c r="E1552" s="2" t="s">
        <v>95</v>
      </c>
      <c r="F1552" s="2">
        <v>20.46</v>
      </c>
      <c r="G1552" s="2">
        <v>2</v>
      </c>
      <c r="H1552" s="2">
        <v>5.32</v>
      </c>
      <c r="I1552" t="str">
        <f t="shared" si="24"/>
        <v>Nov</v>
      </c>
      <c r="J1552">
        <f>YEAR(datas[[#This Row],[Order Date]])</f>
        <v>2021</v>
      </c>
    </row>
    <row r="1553" spans="1:10" ht="14.25" customHeight="1" x14ac:dyDescent="0.3">
      <c r="A1553" s="1">
        <v>44515</v>
      </c>
      <c r="B1553" s="2" t="s">
        <v>194</v>
      </c>
      <c r="C1553" s="2" t="s">
        <v>21</v>
      </c>
      <c r="D1553" s="2" t="s">
        <v>10</v>
      </c>
      <c r="E1553" s="2" t="s">
        <v>95</v>
      </c>
      <c r="F1553" s="2">
        <v>10.95</v>
      </c>
      <c r="G1553" s="2">
        <v>3</v>
      </c>
      <c r="H1553" s="2">
        <v>3.29</v>
      </c>
      <c r="I1553" t="str">
        <f t="shared" si="24"/>
        <v>Nov</v>
      </c>
      <c r="J1553">
        <f>YEAR(datas[[#This Row],[Order Date]])</f>
        <v>2021</v>
      </c>
    </row>
    <row r="1554" spans="1:10" ht="14.25" customHeight="1" x14ac:dyDescent="0.3">
      <c r="A1554" s="1">
        <v>44516</v>
      </c>
      <c r="B1554" s="2" t="s">
        <v>583</v>
      </c>
      <c r="C1554" s="2" t="s">
        <v>469</v>
      </c>
      <c r="D1554" s="2" t="s">
        <v>28</v>
      </c>
      <c r="E1554" s="2" t="s">
        <v>29</v>
      </c>
      <c r="F1554" s="2">
        <v>273.95999999999998</v>
      </c>
      <c r="G1554" s="2">
        <v>2</v>
      </c>
      <c r="H1554" s="2">
        <v>10.96</v>
      </c>
      <c r="I1554" t="str">
        <f t="shared" si="24"/>
        <v>Nov</v>
      </c>
      <c r="J1554">
        <f>YEAR(datas[[#This Row],[Order Date]])</f>
        <v>2021</v>
      </c>
    </row>
    <row r="1555" spans="1:10" ht="14.25" customHeight="1" x14ac:dyDescent="0.3">
      <c r="A1555" s="1">
        <v>44516</v>
      </c>
      <c r="B1555" s="2" t="s">
        <v>101</v>
      </c>
      <c r="C1555" s="2" t="s">
        <v>68</v>
      </c>
      <c r="D1555" s="2" t="s">
        <v>10</v>
      </c>
      <c r="E1555" s="2" t="s">
        <v>41</v>
      </c>
      <c r="F1555" s="2">
        <v>78.349999999999994</v>
      </c>
      <c r="G1555" s="2">
        <v>5</v>
      </c>
      <c r="H1555" s="2">
        <v>36.82</v>
      </c>
      <c r="I1555" t="str">
        <f t="shared" si="24"/>
        <v>Nov</v>
      </c>
      <c r="J1555">
        <f>YEAR(datas[[#This Row],[Order Date]])</f>
        <v>2021</v>
      </c>
    </row>
    <row r="1556" spans="1:10" ht="14.25" customHeight="1" x14ac:dyDescent="0.3">
      <c r="A1556" s="1">
        <v>44516</v>
      </c>
      <c r="B1556" s="2" t="s">
        <v>101</v>
      </c>
      <c r="C1556" s="2" t="s">
        <v>68</v>
      </c>
      <c r="D1556" s="2" t="s">
        <v>10</v>
      </c>
      <c r="E1556" s="2" t="s">
        <v>11</v>
      </c>
      <c r="F1556" s="2">
        <v>31.68</v>
      </c>
      <c r="G1556" s="2">
        <v>6</v>
      </c>
      <c r="H1556" s="2">
        <v>14.26</v>
      </c>
      <c r="I1556" t="str">
        <f t="shared" si="24"/>
        <v>Nov</v>
      </c>
      <c r="J1556">
        <f>YEAR(datas[[#This Row],[Order Date]])</f>
        <v>2021</v>
      </c>
    </row>
    <row r="1557" spans="1:10" ht="14.25" customHeight="1" x14ac:dyDescent="0.3">
      <c r="A1557" s="1">
        <v>44516</v>
      </c>
      <c r="B1557" s="2" t="s">
        <v>101</v>
      </c>
      <c r="C1557" s="2" t="s">
        <v>68</v>
      </c>
      <c r="D1557" s="2" t="s">
        <v>10</v>
      </c>
      <c r="E1557" s="2" t="s">
        <v>16</v>
      </c>
      <c r="F1557" s="2">
        <v>29.12</v>
      </c>
      <c r="G1557" s="2">
        <v>4</v>
      </c>
      <c r="H1557" s="2">
        <v>14.27</v>
      </c>
      <c r="I1557" t="str">
        <f t="shared" si="24"/>
        <v>Nov</v>
      </c>
      <c r="J1557">
        <f>YEAR(datas[[#This Row],[Order Date]])</f>
        <v>2021</v>
      </c>
    </row>
    <row r="1558" spans="1:10" ht="14.25" customHeight="1" x14ac:dyDescent="0.3">
      <c r="A1558" s="1">
        <v>44516</v>
      </c>
      <c r="B1558" s="2" t="s">
        <v>101</v>
      </c>
      <c r="C1558" s="2" t="s">
        <v>68</v>
      </c>
      <c r="D1558" s="2" t="s">
        <v>10</v>
      </c>
      <c r="E1558" s="2" t="s">
        <v>15</v>
      </c>
      <c r="F1558" s="2">
        <v>169.45</v>
      </c>
      <c r="G1558" s="2">
        <v>5</v>
      </c>
      <c r="H1558" s="2">
        <v>42.36</v>
      </c>
      <c r="I1558" t="str">
        <f t="shared" si="24"/>
        <v>Nov</v>
      </c>
      <c r="J1558">
        <f>YEAR(datas[[#This Row],[Order Date]])</f>
        <v>2021</v>
      </c>
    </row>
    <row r="1559" spans="1:10" ht="14.25" customHeight="1" x14ac:dyDescent="0.3">
      <c r="A1559" s="1">
        <v>44516</v>
      </c>
      <c r="B1559" s="2" t="s">
        <v>584</v>
      </c>
      <c r="C1559" s="2" t="s">
        <v>21</v>
      </c>
      <c r="D1559" s="2" t="s">
        <v>10</v>
      </c>
      <c r="E1559" s="2" t="s">
        <v>14</v>
      </c>
      <c r="F1559" s="2">
        <v>5.22</v>
      </c>
      <c r="G1559" s="2">
        <v>2</v>
      </c>
      <c r="H1559" s="2">
        <v>2.4</v>
      </c>
      <c r="I1559" t="str">
        <f t="shared" si="24"/>
        <v>Nov</v>
      </c>
      <c r="J1559">
        <f>YEAR(datas[[#This Row],[Order Date]])</f>
        <v>2021</v>
      </c>
    </row>
    <row r="1560" spans="1:10" ht="14.25" customHeight="1" x14ac:dyDescent="0.3">
      <c r="A1560" s="1">
        <v>44516</v>
      </c>
      <c r="B1560" s="2" t="s">
        <v>585</v>
      </c>
      <c r="C1560" s="2" t="s">
        <v>13</v>
      </c>
      <c r="D1560" s="2" t="s">
        <v>26</v>
      </c>
      <c r="E1560" s="2" t="s">
        <v>27</v>
      </c>
      <c r="F1560" s="2">
        <v>37.299999999999997</v>
      </c>
      <c r="G1560" s="2">
        <v>2</v>
      </c>
      <c r="H1560" s="2">
        <v>-1.07</v>
      </c>
      <c r="I1560" t="str">
        <f t="shared" si="24"/>
        <v>Nov</v>
      </c>
      <c r="J1560">
        <f>YEAR(datas[[#This Row],[Order Date]])</f>
        <v>2021</v>
      </c>
    </row>
    <row r="1561" spans="1:10" ht="14.25" customHeight="1" x14ac:dyDescent="0.3">
      <c r="A1561" s="1">
        <v>44516</v>
      </c>
      <c r="B1561" s="2" t="s">
        <v>586</v>
      </c>
      <c r="C1561" s="2" t="s">
        <v>21</v>
      </c>
      <c r="D1561" s="2" t="s">
        <v>28</v>
      </c>
      <c r="E1561" s="2" t="s">
        <v>29</v>
      </c>
      <c r="F1561" s="2">
        <v>79.97</v>
      </c>
      <c r="G1561" s="2">
        <v>4</v>
      </c>
      <c r="H1561" s="2">
        <v>-17.989999999999998</v>
      </c>
      <c r="I1561" t="str">
        <f t="shared" si="24"/>
        <v>Nov</v>
      </c>
      <c r="J1561">
        <f>YEAR(datas[[#This Row],[Order Date]])</f>
        <v>2021</v>
      </c>
    </row>
    <row r="1562" spans="1:10" ht="14.25" customHeight="1" x14ac:dyDescent="0.3">
      <c r="A1562" s="1">
        <v>44516</v>
      </c>
      <c r="B1562" s="2" t="s">
        <v>586</v>
      </c>
      <c r="C1562" s="2" t="s">
        <v>21</v>
      </c>
      <c r="D1562" s="2" t="s">
        <v>26</v>
      </c>
      <c r="E1562" s="2" t="s">
        <v>45</v>
      </c>
      <c r="F1562" s="2">
        <v>305.97000000000003</v>
      </c>
      <c r="G1562" s="2">
        <v>3</v>
      </c>
      <c r="H1562" s="2">
        <v>25.2</v>
      </c>
      <c r="I1562" t="str">
        <f t="shared" si="24"/>
        <v>Nov</v>
      </c>
      <c r="J1562">
        <f>YEAR(datas[[#This Row],[Order Date]])</f>
        <v>2021</v>
      </c>
    </row>
    <row r="1563" spans="1:10" ht="14.25" customHeight="1" x14ac:dyDescent="0.3">
      <c r="A1563" s="1">
        <v>44516</v>
      </c>
      <c r="B1563" s="2" t="s">
        <v>586</v>
      </c>
      <c r="C1563" s="2" t="s">
        <v>21</v>
      </c>
      <c r="D1563" s="2" t="s">
        <v>10</v>
      </c>
      <c r="E1563" s="2" t="s">
        <v>15</v>
      </c>
      <c r="F1563" s="2">
        <v>344.91</v>
      </c>
      <c r="G1563" s="2">
        <v>3</v>
      </c>
      <c r="H1563" s="2">
        <v>10.35</v>
      </c>
      <c r="I1563" t="str">
        <f t="shared" si="24"/>
        <v>Nov</v>
      </c>
      <c r="J1563">
        <f>YEAR(datas[[#This Row],[Order Date]])</f>
        <v>2021</v>
      </c>
    </row>
    <row r="1564" spans="1:10" ht="14.25" customHeight="1" x14ac:dyDescent="0.3">
      <c r="A1564" s="1">
        <v>44517</v>
      </c>
      <c r="B1564" s="2" t="s">
        <v>173</v>
      </c>
      <c r="C1564" s="2" t="s">
        <v>140</v>
      </c>
      <c r="D1564" s="2" t="s">
        <v>26</v>
      </c>
      <c r="E1564" s="2" t="s">
        <v>27</v>
      </c>
      <c r="F1564" s="2">
        <v>479.9</v>
      </c>
      <c r="G1564" s="2">
        <v>5</v>
      </c>
      <c r="H1564" s="2">
        <v>81.58</v>
      </c>
      <c r="I1564" t="str">
        <f t="shared" si="24"/>
        <v>Nov</v>
      </c>
      <c r="J1564">
        <f>YEAR(datas[[#This Row],[Order Date]])</f>
        <v>2021</v>
      </c>
    </row>
    <row r="1565" spans="1:10" ht="14.25" customHeight="1" x14ac:dyDescent="0.3">
      <c r="A1565" s="1">
        <v>44517</v>
      </c>
      <c r="B1565" s="2" t="s">
        <v>587</v>
      </c>
      <c r="C1565" s="2" t="s">
        <v>38</v>
      </c>
      <c r="D1565" s="2" t="s">
        <v>10</v>
      </c>
      <c r="E1565" s="2" t="s">
        <v>15</v>
      </c>
      <c r="F1565" s="2">
        <v>2934.33</v>
      </c>
      <c r="G1565" s="2">
        <v>7</v>
      </c>
      <c r="H1565" s="2">
        <v>792.27</v>
      </c>
      <c r="I1565" t="str">
        <f t="shared" si="24"/>
        <v>Nov</v>
      </c>
      <c r="J1565">
        <f>YEAR(datas[[#This Row],[Order Date]])</f>
        <v>2021</v>
      </c>
    </row>
    <row r="1566" spans="1:10" ht="14.25" customHeight="1" x14ac:dyDescent="0.3">
      <c r="A1566" s="1">
        <v>44517</v>
      </c>
      <c r="B1566" s="2" t="s">
        <v>587</v>
      </c>
      <c r="C1566" s="2" t="s">
        <v>38</v>
      </c>
      <c r="D1566" s="2" t="s">
        <v>26</v>
      </c>
      <c r="E1566" s="2" t="s">
        <v>32</v>
      </c>
      <c r="F1566" s="2">
        <v>124.41</v>
      </c>
      <c r="G1566" s="2">
        <v>3</v>
      </c>
      <c r="H1566" s="2">
        <v>14.93</v>
      </c>
      <c r="I1566" t="str">
        <f t="shared" si="24"/>
        <v>Nov</v>
      </c>
      <c r="J1566">
        <f>YEAR(datas[[#This Row],[Order Date]])</f>
        <v>2021</v>
      </c>
    </row>
    <row r="1567" spans="1:10" ht="14.25" customHeight="1" x14ac:dyDescent="0.3">
      <c r="A1567" s="1">
        <v>44517</v>
      </c>
      <c r="B1567" s="2" t="s">
        <v>587</v>
      </c>
      <c r="C1567" s="2" t="s">
        <v>38</v>
      </c>
      <c r="D1567" s="2" t="s">
        <v>10</v>
      </c>
      <c r="E1567" s="2" t="s">
        <v>19</v>
      </c>
      <c r="F1567" s="2">
        <v>57.75</v>
      </c>
      <c r="G1567" s="2">
        <v>5</v>
      </c>
      <c r="H1567" s="2">
        <v>26.57</v>
      </c>
      <c r="I1567" t="str">
        <f t="shared" si="24"/>
        <v>Nov</v>
      </c>
      <c r="J1567">
        <f>YEAR(datas[[#This Row],[Order Date]])</f>
        <v>2021</v>
      </c>
    </row>
    <row r="1568" spans="1:10" ht="14.25" customHeight="1" x14ac:dyDescent="0.3">
      <c r="A1568" s="1">
        <v>44517</v>
      </c>
      <c r="B1568" s="2" t="s">
        <v>150</v>
      </c>
      <c r="C1568" s="2" t="s">
        <v>21</v>
      </c>
      <c r="D1568" s="2" t="s">
        <v>28</v>
      </c>
      <c r="E1568" s="2" t="s">
        <v>34</v>
      </c>
      <c r="F1568" s="2">
        <v>99.98</v>
      </c>
      <c r="G1568" s="2">
        <v>2</v>
      </c>
      <c r="H1568" s="2">
        <v>8</v>
      </c>
      <c r="I1568" t="str">
        <f t="shared" si="24"/>
        <v>Nov</v>
      </c>
      <c r="J1568">
        <f>YEAR(datas[[#This Row],[Order Date]])</f>
        <v>2021</v>
      </c>
    </row>
    <row r="1569" spans="1:10" ht="14.25" customHeight="1" x14ac:dyDescent="0.3">
      <c r="A1569" s="1">
        <v>44517</v>
      </c>
      <c r="B1569" s="2" t="s">
        <v>150</v>
      </c>
      <c r="C1569" s="2" t="s">
        <v>21</v>
      </c>
      <c r="D1569" s="2" t="s">
        <v>10</v>
      </c>
      <c r="E1569" s="2" t="s">
        <v>11</v>
      </c>
      <c r="F1569" s="2">
        <v>733.95</v>
      </c>
      <c r="G1569" s="2">
        <v>7</v>
      </c>
      <c r="H1569" s="2">
        <v>352.3</v>
      </c>
      <c r="I1569" t="str">
        <f t="shared" si="24"/>
        <v>Nov</v>
      </c>
      <c r="J1569">
        <f>YEAR(datas[[#This Row],[Order Date]])</f>
        <v>2021</v>
      </c>
    </row>
    <row r="1570" spans="1:10" ht="14.25" customHeight="1" x14ac:dyDescent="0.3">
      <c r="A1570" s="1">
        <v>44517</v>
      </c>
      <c r="B1570" s="2" t="s">
        <v>150</v>
      </c>
      <c r="C1570" s="2" t="s">
        <v>21</v>
      </c>
      <c r="D1570" s="2" t="s">
        <v>10</v>
      </c>
      <c r="E1570" s="2" t="s">
        <v>53</v>
      </c>
      <c r="F1570" s="2">
        <v>241.44</v>
      </c>
      <c r="G1570" s="2">
        <v>3</v>
      </c>
      <c r="H1570" s="2">
        <v>72.430000000000007</v>
      </c>
      <c r="I1570" t="str">
        <f t="shared" si="24"/>
        <v>Nov</v>
      </c>
      <c r="J1570">
        <f>YEAR(datas[[#This Row],[Order Date]])</f>
        <v>2021</v>
      </c>
    </row>
    <row r="1571" spans="1:10" ht="14.25" customHeight="1" x14ac:dyDescent="0.3">
      <c r="A1571" s="1">
        <v>44517</v>
      </c>
      <c r="B1571" s="2" t="s">
        <v>588</v>
      </c>
      <c r="C1571" s="2" t="s">
        <v>18</v>
      </c>
      <c r="D1571" s="2" t="s">
        <v>10</v>
      </c>
      <c r="E1571" s="2" t="s">
        <v>11</v>
      </c>
      <c r="F1571" s="2">
        <v>12.45</v>
      </c>
      <c r="G1571" s="2">
        <v>2</v>
      </c>
      <c r="H1571" s="2">
        <v>3.89</v>
      </c>
      <c r="I1571" t="str">
        <f t="shared" si="24"/>
        <v>Nov</v>
      </c>
      <c r="J1571">
        <f>YEAR(datas[[#This Row],[Order Date]])</f>
        <v>2021</v>
      </c>
    </row>
    <row r="1572" spans="1:10" ht="14.25" customHeight="1" x14ac:dyDescent="0.3">
      <c r="A1572" s="1">
        <v>44517</v>
      </c>
      <c r="B1572" s="2" t="s">
        <v>588</v>
      </c>
      <c r="C1572" s="2" t="s">
        <v>18</v>
      </c>
      <c r="D1572" s="2" t="s">
        <v>26</v>
      </c>
      <c r="E1572" s="2" t="s">
        <v>27</v>
      </c>
      <c r="F1572" s="2">
        <v>657.93</v>
      </c>
      <c r="G1572" s="2">
        <v>5</v>
      </c>
      <c r="H1572" s="2">
        <v>-93.99</v>
      </c>
      <c r="I1572" t="str">
        <f t="shared" si="24"/>
        <v>Nov</v>
      </c>
      <c r="J1572">
        <f>YEAR(datas[[#This Row],[Order Date]])</f>
        <v>2021</v>
      </c>
    </row>
    <row r="1573" spans="1:10" ht="14.25" customHeight="1" x14ac:dyDescent="0.3">
      <c r="A1573" s="1">
        <v>44517</v>
      </c>
      <c r="B1573" s="2" t="s">
        <v>149</v>
      </c>
      <c r="C1573" s="2" t="s">
        <v>9</v>
      </c>
      <c r="D1573" s="2" t="s">
        <v>10</v>
      </c>
      <c r="E1573" s="2" t="s">
        <v>41</v>
      </c>
      <c r="F1573" s="2">
        <v>7.08</v>
      </c>
      <c r="G1573" s="2">
        <v>3</v>
      </c>
      <c r="H1573" s="2">
        <v>2.48</v>
      </c>
      <c r="I1573" t="str">
        <f t="shared" si="24"/>
        <v>Nov</v>
      </c>
      <c r="J1573">
        <f>YEAR(datas[[#This Row],[Order Date]])</f>
        <v>2021</v>
      </c>
    </row>
    <row r="1574" spans="1:10" ht="14.25" customHeight="1" x14ac:dyDescent="0.3">
      <c r="A1574" s="1">
        <v>44517</v>
      </c>
      <c r="B1574" s="2" t="s">
        <v>284</v>
      </c>
      <c r="C1574" s="2" t="s">
        <v>75</v>
      </c>
      <c r="D1574" s="2" t="s">
        <v>10</v>
      </c>
      <c r="E1574" s="2" t="s">
        <v>16</v>
      </c>
      <c r="F1574" s="2">
        <v>2152.7800000000002</v>
      </c>
      <c r="G1574" s="2">
        <v>3</v>
      </c>
      <c r="H1574" s="2">
        <v>726.56</v>
      </c>
      <c r="I1574" t="str">
        <f t="shared" si="24"/>
        <v>Nov</v>
      </c>
      <c r="J1574">
        <f>YEAR(datas[[#This Row],[Order Date]])</f>
        <v>2021</v>
      </c>
    </row>
    <row r="1575" spans="1:10" ht="14.25" customHeight="1" x14ac:dyDescent="0.3">
      <c r="A1575" s="1">
        <v>44517</v>
      </c>
      <c r="B1575" s="2" t="s">
        <v>284</v>
      </c>
      <c r="C1575" s="2" t="s">
        <v>75</v>
      </c>
      <c r="D1575" s="2" t="s">
        <v>26</v>
      </c>
      <c r="E1575" s="2" t="s">
        <v>45</v>
      </c>
      <c r="F1575" s="2">
        <v>4007.84</v>
      </c>
      <c r="G1575" s="2">
        <v>10</v>
      </c>
      <c r="H1575" s="2">
        <v>-50.1</v>
      </c>
      <c r="I1575" t="str">
        <f t="shared" si="24"/>
        <v>Nov</v>
      </c>
      <c r="J1575">
        <f>YEAR(datas[[#This Row],[Order Date]])</f>
        <v>2021</v>
      </c>
    </row>
    <row r="1576" spans="1:10" ht="14.25" customHeight="1" x14ac:dyDescent="0.3">
      <c r="A1576" s="1">
        <v>44517</v>
      </c>
      <c r="B1576" s="2" t="s">
        <v>282</v>
      </c>
      <c r="C1576" s="2" t="s">
        <v>75</v>
      </c>
      <c r="D1576" s="2" t="s">
        <v>10</v>
      </c>
      <c r="E1576" s="2" t="s">
        <v>11</v>
      </c>
      <c r="F1576" s="2">
        <v>34.44</v>
      </c>
      <c r="G1576" s="2">
        <v>3</v>
      </c>
      <c r="H1576" s="2">
        <v>17.22</v>
      </c>
      <c r="I1576" t="str">
        <f t="shared" si="24"/>
        <v>Nov</v>
      </c>
      <c r="J1576">
        <f>YEAR(datas[[#This Row],[Order Date]])</f>
        <v>2021</v>
      </c>
    </row>
    <row r="1577" spans="1:10" ht="14.25" customHeight="1" x14ac:dyDescent="0.3">
      <c r="A1577" s="1">
        <v>44518</v>
      </c>
      <c r="B1577" s="2" t="s">
        <v>589</v>
      </c>
      <c r="C1577" s="2" t="s">
        <v>126</v>
      </c>
      <c r="D1577" s="2" t="s">
        <v>26</v>
      </c>
      <c r="E1577" s="2" t="s">
        <v>73</v>
      </c>
      <c r="F1577" s="2">
        <v>145.97999999999999</v>
      </c>
      <c r="G1577" s="2">
        <v>2</v>
      </c>
      <c r="H1577" s="2">
        <v>-99.27</v>
      </c>
      <c r="I1577" t="str">
        <f t="shared" si="24"/>
        <v>Nov</v>
      </c>
      <c r="J1577">
        <f>YEAR(datas[[#This Row],[Order Date]])</f>
        <v>2021</v>
      </c>
    </row>
    <row r="1578" spans="1:10" ht="14.25" customHeight="1" x14ac:dyDescent="0.3">
      <c r="A1578" s="1">
        <v>44518</v>
      </c>
      <c r="B1578" s="2" t="s">
        <v>589</v>
      </c>
      <c r="C1578" s="2" t="s">
        <v>126</v>
      </c>
      <c r="D1578" s="2" t="s">
        <v>10</v>
      </c>
      <c r="E1578" s="2" t="s">
        <v>11</v>
      </c>
      <c r="F1578" s="2">
        <v>35.81</v>
      </c>
      <c r="G1578" s="2">
        <v>4</v>
      </c>
      <c r="H1578" s="2">
        <v>12.53</v>
      </c>
      <c r="I1578" t="str">
        <f t="shared" si="24"/>
        <v>Nov</v>
      </c>
      <c r="J1578">
        <f>YEAR(datas[[#This Row],[Order Date]])</f>
        <v>2021</v>
      </c>
    </row>
    <row r="1579" spans="1:10" ht="14.25" customHeight="1" x14ac:dyDescent="0.3">
      <c r="A1579" s="1">
        <v>44518</v>
      </c>
      <c r="B1579" s="2" t="s">
        <v>313</v>
      </c>
      <c r="C1579" s="2" t="s">
        <v>18</v>
      </c>
      <c r="D1579" s="2" t="s">
        <v>10</v>
      </c>
      <c r="E1579" s="2" t="s">
        <v>16</v>
      </c>
      <c r="F1579" s="2">
        <v>51</v>
      </c>
      <c r="G1579" s="2">
        <v>1</v>
      </c>
      <c r="H1579" s="2">
        <v>-40.799999999999997</v>
      </c>
      <c r="I1579" t="str">
        <f t="shared" si="24"/>
        <v>Nov</v>
      </c>
      <c r="J1579">
        <f>YEAR(datas[[#This Row],[Order Date]])</f>
        <v>2021</v>
      </c>
    </row>
    <row r="1580" spans="1:10" ht="14.25" customHeight="1" x14ac:dyDescent="0.3">
      <c r="A1580" s="1">
        <v>44518</v>
      </c>
      <c r="B1580" s="2" t="s">
        <v>313</v>
      </c>
      <c r="C1580" s="2" t="s">
        <v>18</v>
      </c>
      <c r="D1580" s="2" t="s">
        <v>10</v>
      </c>
      <c r="E1580" s="2" t="s">
        <v>15</v>
      </c>
      <c r="F1580" s="2">
        <v>76.790000000000006</v>
      </c>
      <c r="G1580" s="2">
        <v>1</v>
      </c>
      <c r="H1580" s="2">
        <v>-16.32</v>
      </c>
      <c r="I1580" t="str">
        <f t="shared" si="24"/>
        <v>Nov</v>
      </c>
      <c r="J1580">
        <f>YEAR(datas[[#This Row],[Order Date]])</f>
        <v>2021</v>
      </c>
    </row>
    <row r="1581" spans="1:10" ht="14.25" customHeight="1" x14ac:dyDescent="0.3">
      <c r="A1581" s="1">
        <v>44518</v>
      </c>
      <c r="B1581" s="2" t="s">
        <v>313</v>
      </c>
      <c r="C1581" s="2" t="s">
        <v>18</v>
      </c>
      <c r="D1581" s="2" t="s">
        <v>28</v>
      </c>
      <c r="E1581" s="2" t="s">
        <v>29</v>
      </c>
      <c r="F1581" s="2">
        <v>539.96</v>
      </c>
      <c r="G1581" s="2">
        <v>6</v>
      </c>
      <c r="H1581" s="2">
        <v>-107.99</v>
      </c>
      <c r="I1581" t="str">
        <f t="shared" si="24"/>
        <v>Nov</v>
      </c>
      <c r="J1581">
        <f>YEAR(datas[[#This Row],[Order Date]])</f>
        <v>2021</v>
      </c>
    </row>
    <row r="1582" spans="1:10" ht="14.25" customHeight="1" x14ac:dyDescent="0.3">
      <c r="A1582" s="1">
        <v>44518</v>
      </c>
      <c r="B1582" s="2" t="s">
        <v>313</v>
      </c>
      <c r="C1582" s="2" t="s">
        <v>18</v>
      </c>
      <c r="D1582" s="2" t="s">
        <v>26</v>
      </c>
      <c r="E1582" s="2" t="s">
        <v>32</v>
      </c>
      <c r="F1582" s="2">
        <v>60.31</v>
      </c>
      <c r="G1582" s="2">
        <v>3</v>
      </c>
      <c r="H1582" s="2">
        <v>5.28</v>
      </c>
      <c r="I1582" t="str">
        <f t="shared" si="24"/>
        <v>Nov</v>
      </c>
      <c r="J1582">
        <f>YEAR(datas[[#This Row],[Order Date]])</f>
        <v>2021</v>
      </c>
    </row>
    <row r="1583" spans="1:10" ht="14.25" customHeight="1" x14ac:dyDescent="0.3">
      <c r="A1583" s="1">
        <v>44518</v>
      </c>
      <c r="B1583" s="2" t="s">
        <v>313</v>
      </c>
      <c r="C1583" s="2" t="s">
        <v>18</v>
      </c>
      <c r="D1583" s="2" t="s">
        <v>10</v>
      </c>
      <c r="E1583" s="2" t="s">
        <v>16</v>
      </c>
      <c r="F1583" s="2">
        <v>1.94</v>
      </c>
      <c r="G1583" s="2">
        <v>3</v>
      </c>
      <c r="H1583" s="2">
        <v>-1.43</v>
      </c>
      <c r="I1583" t="str">
        <f t="shared" si="24"/>
        <v>Nov</v>
      </c>
      <c r="J1583">
        <f>YEAR(datas[[#This Row],[Order Date]])</f>
        <v>2021</v>
      </c>
    </row>
    <row r="1584" spans="1:10" ht="14.25" customHeight="1" x14ac:dyDescent="0.3">
      <c r="A1584" s="1">
        <v>44518</v>
      </c>
      <c r="B1584" s="2" t="s">
        <v>590</v>
      </c>
      <c r="C1584" s="2" t="s">
        <v>13</v>
      </c>
      <c r="D1584" s="2" t="s">
        <v>10</v>
      </c>
      <c r="E1584" s="2" t="s">
        <v>16</v>
      </c>
      <c r="F1584" s="2">
        <v>14.48</v>
      </c>
      <c r="G1584" s="2">
        <v>5</v>
      </c>
      <c r="H1584" s="2">
        <v>-23.89</v>
      </c>
      <c r="I1584" t="str">
        <f t="shared" si="24"/>
        <v>Nov</v>
      </c>
      <c r="J1584">
        <f>YEAR(datas[[#This Row],[Order Date]])</f>
        <v>2021</v>
      </c>
    </row>
    <row r="1585" spans="1:10" ht="14.25" customHeight="1" x14ac:dyDescent="0.3">
      <c r="A1585" s="1">
        <v>44518</v>
      </c>
      <c r="B1585" s="2" t="s">
        <v>565</v>
      </c>
      <c r="C1585" s="2" t="s">
        <v>47</v>
      </c>
      <c r="D1585" s="2" t="s">
        <v>10</v>
      </c>
      <c r="E1585" s="2" t="s">
        <v>16</v>
      </c>
      <c r="F1585" s="2">
        <v>11.81</v>
      </c>
      <c r="G1585" s="2">
        <v>8</v>
      </c>
      <c r="H1585" s="2">
        <v>-8.66</v>
      </c>
      <c r="I1585" t="str">
        <f t="shared" si="24"/>
        <v>Nov</v>
      </c>
      <c r="J1585">
        <f>YEAR(datas[[#This Row],[Order Date]])</f>
        <v>2021</v>
      </c>
    </row>
    <row r="1586" spans="1:10" ht="14.25" customHeight="1" x14ac:dyDescent="0.3">
      <c r="A1586" s="1">
        <v>44518</v>
      </c>
      <c r="B1586" s="2" t="s">
        <v>565</v>
      </c>
      <c r="C1586" s="2" t="s">
        <v>47</v>
      </c>
      <c r="D1586" s="2" t="s">
        <v>28</v>
      </c>
      <c r="E1586" s="2" t="s">
        <v>29</v>
      </c>
      <c r="F1586" s="2">
        <v>9.59</v>
      </c>
      <c r="G1586" s="2">
        <v>2</v>
      </c>
      <c r="H1586" s="2">
        <v>-2.08</v>
      </c>
      <c r="I1586" t="str">
        <f t="shared" si="24"/>
        <v>Nov</v>
      </c>
      <c r="J1586">
        <f>YEAR(datas[[#This Row],[Order Date]])</f>
        <v>2021</v>
      </c>
    </row>
    <row r="1587" spans="1:10" ht="14.25" customHeight="1" x14ac:dyDescent="0.3">
      <c r="A1587" s="1">
        <v>44518</v>
      </c>
      <c r="B1587" s="2" t="s">
        <v>190</v>
      </c>
      <c r="C1587" s="2" t="s">
        <v>134</v>
      </c>
      <c r="D1587" s="2" t="s">
        <v>10</v>
      </c>
      <c r="E1587" s="2" t="s">
        <v>11</v>
      </c>
      <c r="F1587" s="2">
        <v>21.98</v>
      </c>
      <c r="G1587" s="2">
        <v>7</v>
      </c>
      <c r="H1587" s="2">
        <v>9.89</v>
      </c>
      <c r="I1587" t="str">
        <f t="shared" si="24"/>
        <v>Nov</v>
      </c>
      <c r="J1587">
        <f>YEAR(datas[[#This Row],[Order Date]])</f>
        <v>2021</v>
      </c>
    </row>
    <row r="1588" spans="1:10" ht="14.25" customHeight="1" x14ac:dyDescent="0.3">
      <c r="A1588" s="1">
        <v>44518</v>
      </c>
      <c r="B1588" s="2" t="s">
        <v>591</v>
      </c>
      <c r="C1588" s="2" t="s">
        <v>13</v>
      </c>
      <c r="D1588" s="2" t="s">
        <v>26</v>
      </c>
      <c r="E1588" s="2" t="s">
        <v>73</v>
      </c>
      <c r="F1588" s="2">
        <v>292.10000000000002</v>
      </c>
      <c r="G1588" s="2">
        <v>4</v>
      </c>
      <c r="H1588" s="2">
        <v>-175.26</v>
      </c>
      <c r="I1588" t="str">
        <f t="shared" si="24"/>
        <v>Nov</v>
      </c>
      <c r="J1588">
        <f>YEAR(datas[[#This Row],[Order Date]])</f>
        <v>2021</v>
      </c>
    </row>
    <row r="1589" spans="1:10" ht="14.25" customHeight="1" x14ac:dyDescent="0.3">
      <c r="A1589" s="1">
        <v>44518</v>
      </c>
      <c r="B1589" s="2" t="s">
        <v>591</v>
      </c>
      <c r="C1589" s="2" t="s">
        <v>13</v>
      </c>
      <c r="D1589" s="2" t="s">
        <v>26</v>
      </c>
      <c r="E1589" s="2" t="s">
        <v>32</v>
      </c>
      <c r="F1589" s="2">
        <v>8.5399999999999991</v>
      </c>
      <c r="G1589" s="2">
        <v>2</v>
      </c>
      <c r="H1589" s="2">
        <v>-7.48</v>
      </c>
      <c r="I1589" t="str">
        <f t="shared" si="24"/>
        <v>Nov</v>
      </c>
      <c r="J1589">
        <f>YEAR(datas[[#This Row],[Order Date]])</f>
        <v>2021</v>
      </c>
    </row>
    <row r="1590" spans="1:10" ht="14.25" customHeight="1" x14ac:dyDescent="0.3">
      <c r="A1590" s="1">
        <v>44518</v>
      </c>
      <c r="B1590" s="2" t="s">
        <v>591</v>
      </c>
      <c r="C1590" s="2" t="s">
        <v>13</v>
      </c>
      <c r="D1590" s="2" t="s">
        <v>26</v>
      </c>
      <c r="E1590" s="2" t="s">
        <v>45</v>
      </c>
      <c r="F1590" s="2">
        <v>424.12</v>
      </c>
      <c r="G1590" s="2">
        <v>6</v>
      </c>
      <c r="H1590" s="2">
        <v>-30.29</v>
      </c>
      <c r="I1590" t="str">
        <f t="shared" si="24"/>
        <v>Nov</v>
      </c>
      <c r="J1590">
        <f>YEAR(datas[[#This Row],[Order Date]])</f>
        <v>2021</v>
      </c>
    </row>
    <row r="1591" spans="1:10" ht="14.25" customHeight="1" x14ac:dyDescent="0.3">
      <c r="A1591" s="1">
        <v>44518</v>
      </c>
      <c r="B1591" s="2" t="s">
        <v>591</v>
      </c>
      <c r="C1591" s="2" t="s">
        <v>13</v>
      </c>
      <c r="D1591" s="2" t="s">
        <v>10</v>
      </c>
      <c r="E1591" s="2" t="s">
        <v>16</v>
      </c>
      <c r="F1591" s="2">
        <v>2.89</v>
      </c>
      <c r="G1591" s="2">
        <v>3</v>
      </c>
      <c r="H1591" s="2">
        <v>-4.92</v>
      </c>
      <c r="I1591" t="str">
        <f t="shared" si="24"/>
        <v>Nov</v>
      </c>
      <c r="J1591">
        <f>YEAR(datas[[#This Row],[Order Date]])</f>
        <v>2021</v>
      </c>
    </row>
    <row r="1592" spans="1:10" ht="14.25" customHeight="1" x14ac:dyDescent="0.3">
      <c r="A1592" s="1">
        <v>44518</v>
      </c>
      <c r="B1592" s="2" t="s">
        <v>591</v>
      </c>
      <c r="C1592" s="2" t="s">
        <v>13</v>
      </c>
      <c r="D1592" s="2" t="s">
        <v>10</v>
      </c>
      <c r="E1592" s="2" t="s">
        <v>15</v>
      </c>
      <c r="F1592" s="2">
        <v>381.72</v>
      </c>
      <c r="G1592" s="2">
        <v>5</v>
      </c>
      <c r="H1592" s="2">
        <v>-66.8</v>
      </c>
      <c r="I1592" t="str">
        <f t="shared" si="24"/>
        <v>Nov</v>
      </c>
      <c r="J1592">
        <f>YEAR(datas[[#This Row],[Order Date]])</f>
        <v>2021</v>
      </c>
    </row>
    <row r="1593" spans="1:10" ht="14.25" customHeight="1" x14ac:dyDescent="0.3">
      <c r="A1593" s="1">
        <v>44518</v>
      </c>
      <c r="B1593" s="2" t="s">
        <v>592</v>
      </c>
      <c r="C1593" s="2" t="s">
        <v>140</v>
      </c>
      <c r="D1593" s="2" t="s">
        <v>10</v>
      </c>
      <c r="E1593" s="2" t="s">
        <v>15</v>
      </c>
      <c r="F1593" s="2">
        <v>67.150000000000006</v>
      </c>
      <c r="G1593" s="2">
        <v>5</v>
      </c>
      <c r="H1593" s="2">
        <v>16.79</v>
      </c>
      <c r="I1593" t="str">
        <f t="shared" si="24"/>
        <v>Nov</v>
      </c>
      <c r="J1593">
        <f>YEAR(datas[[#This Row],[Order Date]])</f>
        <v>2021</v>
      </c>
    </row>
    <row r="1594" spans="1:10" ht="14.25" customHeight="1" x14ac:dyDescent="0.3">
      <c r="A1594" s="1">
        <v>44518</v>
      </c>
      <c r="B1594" s="2" t="s">
        <v>593</v>
      </c>
      <c r="C1594" s="2" t="s">
        <v>79</v>
      </c>
      <c r="D1594" s="2" t="s">
        <v>26</v>
      </c>
      <c r="E1594" s="2" t="s">
        <v>27</v>
      </c>
      <c r="F1594" s="2">
        <v>392.94</v>
      </c>
      <c r="G1594" s="2">
        <v>3</v>
      </c>
      <c r="H1594" s="2">
        <v>43.22</v>
      </c>
      <c r="I1594" t="str">
        <f t="shared" si="24"/>
        <v>Nov</v>
      </c>
      <c r="J1594">
        <f>YEAR(datas[[#This Row],[Order Date]])</f>
        <v>2021</v>
      </c>
    </row>
    <row r="1595" spans="1:10" ht="14.25" customHeight="1" x14ac:dyDescent="0.3">
      <c r="A1595" s="1">
        <v>44518</v>
      </c>
      <c r="B1595" s="2" t="s">
        <v>290</v>
      </c>
      <c r="C1595" s="2" t="s">
        <v>82</v>
      </c>
      <c r="D1595" s="2" t="s">
        <v>26</v>
      </c>
      <c r="E1595" s="2" t="s">
        <v>32</v>
      </c>
      <c r="F1595" s="2">
        <v>137.54</v>
      </c>
      <c r="G1595" s="2">
        <v>2</v>
      </c>
      <c r="H1595" s="2">
        <v>55.02</v>
      </c>
      <c r="I1595" t="str">
        <f t="shared" si="24"/>
        <v>Nov</v>
      </c>
      <c r="J1595">
        <f>YEAR(datas[[#This Row],[Order Date]])</f>
        <v>2021</v>
      </c>
    </row>
    <row r="1596" spans="1:10" ht="14.25" customHeight="1" x14ac:dyDescent="0.3">
      <c r="A1596" s="1">
        <v>44518</v>
      </c>
      <c r="B1596" s="2" t="s">
        <v>290</v>
      </c>
      <c r="C1596" s="2" t="s">
        <v>82</v>
      </c>
      <c r="D1596" s="2" t="s">
        <v>26</v>
      </c>
      <c r="E1596" s="2" t="s">
        <v>73</v>
      </c>
      <c r="F1596" s="2">
        <v>730.2</v>
      </c>
      <c r="G1596" s="2">
        <v>4</v>
      </c>
      <c r="H1596" s="2">
        <v>94.93</v>
      </c>
      <c r="I1596" t="str">
        <f t="shared" si="24"/>
        <v>Nov</v>
      </c>
      <c r="J1596">
        <f>YEAR(datas[[#This Row],[Order Date]])</f>
        <v>2021</v>
      </c>
    </row>
    <row r="1597" spans="1:10" ht="14.25" customHeight="1" x14ac:dyDescent="0.3">
      <c r="A1597" s="1">
        <v>44519</v>
      </c>
      <c r="B1597" s="2" t="s">
        <v>580</v>
      </c>
      <c r="C1597" s="2" t="s">
        <v>40</v>
      </c>
      <c r="D1597" s="2" t="s">
        <v>28</v>
      </c>
      <c r="E1597" s="2" t="s">
        <v>29</v>
      </c>
      <c r="F1597" s="2">
        <v>503.96</v>
      </c>
      <c r="G1597" s="2">
        <v>4</v>
      </c>
      <c r="H1597" s="2">
        <v>131.03</v>
      </c>
      <c r="I1597" t="str">
        <f t="shared" si="24"/>
        <v>Nov</v>
      </c>
      <c r="J1597">
        <f>YEAR(datas[[#This Row],[Order Date]])</f>
        <v>2021</v>
      </c>
    </row>
    <row r="1598" spans="1:10" ht="14.25" customHeight="1" x14ac:dyDescent="0.3">
      <c r="A1598" s="1">
        <v>44519</v>
      </c>
      <c r="B1598" s="2" t="s">
        <v>580</v>
      </c>
      <c r="C1598" s="2" t="s">
        <v>40</v>
      </c>
      <c r="D1598" s="2" t="s">
        <v>28</v>
      </c>
      <c r="E1598" s="2" t="s">
        <v>29</v>
      </c>
      <c r="F1598" s="2">
        <v>149.94999999999999</v>
      </c>
      <c r="G1598" s="2">
        <v>5</v>
      </c>
      <c r="H1598" s="2">
        <v>41.99</v>
      </c>
      <c r="I1598" t="str">
        <f t="shared" si="24"/>
        <v>Nov</v>
      </c>
      <c r="J1598">
        <f>YEAR(datas[[#This Row],[Order Date]])</f>
        <v>2021</v>
      </c>
    </row>
    <row r="1599" spans="1:10" ht="14.25" customHeight="1" x14ac:dyDescent="0.3">
      <c r="A1599" s="1">
        <v>44519</v>
      </c>
      <c r="B1599" s="2" t="s">
        <v>580</v>
      </c>
      <c r="C1599" s="2" t="s">
        <v>40</v>
      </c>
      <c r="D1599" s="2" t="s">
        <v>28</v>
      </c>
      <c r="E1599" s="2" t="s">
        <v>34</v>
      </c>
      <c r="F1599" s="2">
        <v>29</v>
      </c>
      <c r="G1599" s="2">
        <v>2</v>
      </c>
      <c r="H1599" s="2">
        <v>7.25</v>
      </c>
      <c r="I1599" t="str">
        <f t="shared" si="24"/>
        <v>Nov</v>
      </c>
      <c r="J1599">
        <f>YEAR(datas[[#This Row],[Order Date]])</f>
        <v>2021</v>
      </c>
    </row>
    <row r="1600" spans="1:10" ht="14.25" customHeight="1" x14ac:dyDescent="0.3">
      <c r="A1600" s="1">
        <v>44519</v>
      </c>
      <c r="B1600" s="2" t="s">
        <v>594</v>
      </c>
      <c r="C1600" s="2" t="s">
        <v>75</v>
      </c>
      <c r="D1600" s="2" t="s">
        <v>28</v>
      </c>
      <c r="E1600" s="2" t="s">
        <v>29</v>
      </c>
      <c r="F1600" s="2">
        <v>4548.8100000000004</v>
      </c>
      <c r="G1600" s="2">
        <v>7</v>
      </c>
      <c r="H1600" s="2">
        <v>1228.18</v>
      </c>
      <c r="I1600" t="str">
        <f t="shared" si="24"/>
        <v>Nov</v>
      </c>
      <c r="J1600">
        <f>YEAR(datas[[#This Row],[Order Date]])</f>
        <v>2021</v>
      </c>
    </row>
    <row r="1601" spans="1:10" ht="14.25" customHeight="1" x14ac:dyDescent="0.3">
      <c r="A1601" s="1">
        <v>44519</v>
      </c>
      <c r="B1601" s="2" t="s">
        <v>595</v>
      </c>
      <c r="C1601" s="2" t="s">
        <v>38</v>
      </c>
      <c r="D1601" s="2" t="s">
        <v>10</v>
      </c>
      <c r="E1601" s="2" t="s">
        <v>14</v>
      </c>
      <c r="F1601" s="2">
        <v>22.5</v>
      </c>
      <c r="G1601" s="2">
        <v>6</v>
      </c>
      <c r="H1601" s="2">
        <v>10.8</v>
      </c>
      <c r="I1601" t="str">
        <f t="shared" si="24"/>
        <v>Nov</v>
      </c>
      <c r="J1601">
        <f>YEAR(datas[[#This Row],[Order Date]])</f>
        <v>2021</v>
      </c>
    </row>
    <row r="1602" spans="1:10" ht="14.25" customHeight="1" x14ac:dyDescent="0.3">
      <c r="A1602" s="1">
        <v>44519</v>
      </c>
      <c r="B1602" s="2" t="s">
        <v>595</v>
      </c>
      <c r="C1602" s="2" t="s">
        <v>38</v>
      </c>
      <c r="D1602" s="2" t="s">
        <v>10</v>
      </c>
      <c r="E1602" s="2" t="s">
        <v>14</v>
      </c>
      <c r="F1602" s="2">
        <v>9.9600000000000009</v>
      </c>
      <c r="G1602" s="2">
        <v>2</v>
      </c>
      <c r="H1602" s="2">
        <v>4.58</v>
      </c>
      <c r="I1602" t="str">
        <f t="shared" si="24"/>
        <v>Nov</v>
      </c>
      <c r="J1602">
        <f>YEAR(datas[[#This Row],[Order Date]])</f>
        <v>2021</v>
      </c>
    </row>
    <row r="1603" spans="1:10" ht="14.25" customHeight="1" x14ac:dyDescent="0.3">
      <c r="A1603" s="1">
        <v>44519</v>
      </c>
      <c r="B1603" s="2" t="s">
        <v>595</v>
      </c>
      <c r="C1603" s="2" t="s">
        <v>38</v>
      </c>
      <c r="D1603" s="2" t="s">
        <v>10</v>
      </c>
      <c r="E1603" s="2" t="s">
        <v>16</v>
      </c>
      <c r="F1603" s="2">
        <v>213.08</v>
      </c>
      <c r="G1603" s="2">
        <v>7</v>
      </c>
      <c r="H1603" s="2">
        <v>102.28</v>
      </c>
      <c r="I1603" t="str">
        <f t="shared" ref="I1603:I1666" si="25">TEXT(A1603,"mmm")</f>
        <v>Nov</v>
      </c>
      <c r="J1603">
        <f>YEAR(datas[[#This Row],[Order Date]])</f>
        <v>2021</v>
      </c>
    </row>
    <row r="1604" spans="1:10" ht="14.25" customHeight="1" x14ac:dyDescent="0.3">
      <c r="A1604" s="1">
        <v>44519</v>
      </c>
      <c r="B1604" s="2" t="s">
        <v>595</v>
      </c>
      <c r="C1604" s="2" t="s">
        <v>38</v>
      </c>
      <c r="D1604" s="2" t="s">
        <v>26</v>
      </c>
      <c r="E1604" s="2" t="s">
        <v>45</v>
      </c>
      <c r="F1604" s="2">
        <v>1025.8800000000001</v>
      </c>
      <c r="G1604" s="2">
        <v>6</v>
      </c>
      <c r="H1604" s="2">
        <v>235.95</v>
      </c>
      <c r="I1604" t="str">
        <f t="shared" si="25"/>
        <v>Nov</v>
      </c>
      <c r="J1604">
        <f>YEAR(datas[[#This Row],[Order Date]])</f>
        <v>2021</v>
      </c>
    </row>
    <row r="1605" spans="1:10" ht="14.25" customHeight="1" x14ac:dyDescent="0.3">
      <c r="A1605" s="1">
        <v>44519</v>
      </c>
      <c r="B1605" s="2" t="s">
        <v>596</v>
      </c>
      <c r="C1605" s="2" t="s">
        <v>134</v>
      </c>
      <c r="D1605" s="2" t="s">
        <v>10</v>
      </c>
      <c r="E1605" s="2" t="s">
        <v>11</v>
      </c>
      <c r="F1605" s="2">
        <v>166.44</v>
      </c>
      <c r="G1605" s="2">
        <v>3</v>
      </c>
      <c r="H1605" s="2">
        <v>79.89</v>
      </c>
      <c r="I1605" t="str">
        <f t="shared" si="25"/>
        <v>Nov</v>
      </c>
      <c r="J1605">
        <f>YEAR(datas[[#This Row],[Order Date]])</f>
        <v>2021</v>
      </c>
    </row>
    <row r="1606" spans="1:10" ht="14.25" customHeight="1" x14ac:dyDescent="0.3">
      <c r="A1606" s="1">
        <v>44519</v>
      </c>
      <c r="B1606" s="2" t="s">
        <v>191</v>
      </c>
      <c r="C1606" s="2" t="s">
        <v>18</v>
      </c>
      <c r="D1606" s="2" t="s">
        <v>28</v>
      </c>
      <c r="E1606" s="2" t="s">
        <v>34</v>
      </c>
      <c r="F1606" s="2">
        <v>47.5</v>
      </c>
      <c r="G1606" s="2">
        <v>1</v>
      </c>
      <c r="H1606" s="2">
        <v>-1.19</v>
      </c>
      <c r="I1606" t="str">
        <f t="shared" si="25"/>
        <v>Nov</v>
      </c>
      <c r="J1606">
        <f>YEAR(datas[[#This Row],[Order Date]])</f>
        <v>2021</v>
      </c>
    </row>
    <row r="1607" spans="1:10" ht="14.25" customHeight="1" x14ac:dyDescent="0.3">
      <c r="A1607" s="1">
        <v>44519</v>
      </c>
      <c r="B1607" s="2" t="s">
        <v>433</v>
      </c>
      <c r="C1607" s="2" t="s">
        <v>140</v>
      </c>
      <c r="D1607" s="2" t="s">
        <v>10</v>
      </c>
      <c r="E1607" s="2" t="s">
        <v>15</v>
      </c>
      <c r="F1607" s="2">
        <v>221.16</v>
      </c>
      <c r="G1607" s="2">
        <v>4</v>
      </c>
      <c r="H1607" s="2">
        <v>57.5</v>
      </c>
      <c r="I1607" t="str">
        <f t="shared" si="25"/>
        <v>Nov</v>
      </c>
      <c r="J1607">
        <f>YEAR(datas[[#This Row],[Order Date]])</f>
        <v>2021</v>
      </c>
    </row>
    <row r="1608" spans="1:10" ht="14.25" customHeight="1" x14ac:dyDescent="0.3">
      <c r="A1608" s="1">
        <v>44519</v>
      </c>
      <c r="B1608" s="2" t="s">
        <v>433</v>
      </c>
      <c r="C1608" s="2" t="s">
        <v>140</v>
      </c>
      <c r="D1608" s="2" t="s">
        <v>28</v>
      </c>
      <c r="E1608" s="2" t="s">
        <v>29</v>
      </c>
      <c r="F1608" s="2">
        <v>281.97000000000003</v>
      </c>
      <c r="G1608" s="2">
        <v>3</v>
      </c>
      <c r="H1608" s="2">
        <v>78.95</v>
      </c>
      <c r="I1608" t="str">
        <f t="shared" si="25"/>
        <v>Nov</v>
      </c>
      <c r="J1608">
        <f>YEAR(datas[[#This Row],[Order Date]])</f>
        <v>2021</v>
      </c>
    </row>
    <row r="1609" spans="1:10" ht="14.25" customHeight="1" x14ac:dyDescent="0.3">
      <c r="A1609" s="1">
        <v>44519</v>
      </c>
      <c r="B1609" s="2" t="s">
        <v>597</v>
      </c>
      <c r="C1609" s="2" t="s">
        <v>18</v>
      </c>
      <c r="D1609" s="2" t="s">
        <v>10</v>
      </c>
      <c r="E1609" s="2" t="s">
        <v>11</v>
      </c>
      <c r="F1609" s="2">
        <v>5.88</v>
      </c>
      <c r="G1609" s="2">
        <v>1</v>
      </c>
      <c r="H1609" s="2">
        <v>1.98</v>
      </c>
      <c r="I1609" t="str">
        <f t="shared" si="25"/>
        <v>Nov</v>
      </c>
      <c r="J1609">
        <f>YEAR(datas[[#This Row],[Order Date]])</f>
        <v>2021</v>
      </c>
    </row>
    <row r="1610" spans="1:10" ht="14.25" customHeight="1" x14ac:dyDescent="0.3">
      <c r="A1610" s="1">
        <v>44520</v>
      </c>
      <c r="B1610" s="2" t="s">
        <v>180</v>
      </c>
      <c r="C1610" s="2" t="s">
        <v>75</v>
      </c>
      <c r="D1610" s="2" t="s">
        <v>10</v>
      </c>
      <c r="E1610" s="2" t="s">
        <v>41</v>
      </c>
      <c r="F1610" s="2">
        <v>34.74</v>
      </c>
      <c r="G1610" s="2">
        <v>3</v>
      </c>
      <c r="H1610" s="2">
        <v>17.37</v>
      </c>
      <c r="I1610" t="str">
        <f t="shared" si="25"/>
        <v>Nov</v>
      </c>
      <c r="J1610">
        <f>YEAR(datas[[#This Row],[Order Date]])</f>
        <v>2021</v>
      </c>
    </row>
    <row r="1611" spans="1:10" ht="14.25" customHeight="1" x14ac:dyDescent="0.3">
      <c r="A1611" s="1">
        <v>44520</v>
      </c>
      <c r="B1611" s="2" t="s">
        <v>180</v>
      </c>
      <c r="C1611" s="2" t="s">
        <v>75</v>
      </c>
      <c r="D1611" s="2" t="s">
        <v>28</v>
      </c>
      <c r="E1611" s="2" t="s">
        <v>29</v>
      </c>
      <c r="F1611" s="2">
        <v>833.94</v>
      </c>
      <c r="G1611" s="2">
        <v>6</v>
      </c>
      <c r="H1611" s="2">
        <v>216.82</v>
      </c>
      <c r="I1611" t="str">
        <f t="shared" si="25"/>
        <v>Nov</v>
      </c>
      <c r="J1611">
        <f>YEAR(datas[[#This Row],[Order Date]])</f>
        <v>2021</v>
      </c>
    </row>
    <row r="1612" spans="1:10" ht="14.25" customHeight="1" x14ac:dyDescent="0.3">
      <c r="A1612" s="1">
        <v>44520</v>
      </c>
      <c r="B1612" s="2" t="s">
        <v>180</v>
      </c>
      <c r="C1612" s="2" t="s">
        <v>75</v>
      </c>
      <c r="D1612" s="2" t="s">
        <v>10</v>
      </c>
      <c r="E1612" s="2" t="s">
        <v>16</v>
      </c>
      <c r="F1612" s="2">
        <v>12.96</v>
      </c>
      <c r="G1612" s="2">
        <v>3</v>
      </c>
      <c r="H1612" s="2">
        <v>4.54</v>
      </c>
      <c r="I1612" t="str">
        <f t="shared" si="25"/>
        <v>Nov</v>
      </c>
      <c r="J1612">
        <f>YEAR(datas[[#This Row],[Order Date]])</f>
        <v>2021</v>
      </c>
    </row>
    <row r="1613" spans="1:10" ht="14.25" customHeight="1" x14ac:dyDescent="0.3">
      <c r="A1613" s="1">
        <v>44520</v>
      </c>
      <c r="B1613" s="2" t="s">
        <v>180</v>
      </c>
      <c r="C1613" s="2" t="s">
        <v>75</v>
      </c>
      <c r="D1613" s="2" t="s">
        <v>10</v>
      </c>
      <c r="E1613" s="2" t="s">
        <v>11</v>
      </c>
      <c r="F1613" s="2">
        <v>25.92</v>
      </c>
      <c r="G1613" s="2">
        <v>4</v>
      </c>
      <c r="H1613" s="2">
        <v>12.44</v>
      </c>
      <c r="I1613" t="str">
        <f t="shared" si="25"/>
        <v>Nov</v>
      </c>
      <c r="J1613">
        <f>YEAR(datas[[#This Row],[Order Date]])</f>
        <v>2021</v>
      </c>
    </row>
    <row r="1614" spans="1:10" ht="14.25" customHeight="1" x14ac:dyDescent="0.3">
      <c r="A1614" s="1">
        <v>44521</v>
      </c>
      <c r="B1614" s="2" t="s">
        <v>598</v>
      </c>
      <c r="C1614" s="2" t="s">
        <v>25</v>
      </c>
      <c r="D1614" s="2" t="s">
        <v>28</v>
      </c>
      <c r="E1614" s="2" t="s">
        <v>29</v>
      </c>
      <c r="F1614" s="2">
        <v>36.99</v>
      </c>
      <c r="G1614" s="2">
        <v>1</v>
      </c>
      <c r="H1614" s="2">
        <v>9.99</v>
      </c>
      <c r="I1614" t="str">
        <f t="shared" si="25"/>
        <v>Nov</v>
      </c>
      <c r="J1614">
        <f>YEAR(datas[[#This Row],[Order Date]])</f>
        <v>2021</v>
      </c>
    </row>
    <row r="1615" spans="1:10" ht="14.25" customHeight="1" x14ac:dyDescent="0.3">
      <c r="A1615" s="1">
        <v>44521</v>
      </c>
      <c r="B1615" s="2" t="s">
        <v>598</v>
      </c>
      <c r="C1615" s="2" t="s">
        <v>25</v>
      </c>
      <c r="D1615" s="2" t="s">
        <v>10</v>
      </c>
      <c r="E1615" s="2" t="s">
        <v>11</v>
      </c>
      <c r="F1615" s="2">
        <v>629.1</v>
      </c>
      <c r="G1615" s="2">
        <v>6</v>
      </c>
      <c r="H1615" s="2">
        <v>301.97000000000003</v>
      </c>
      <c r="I1615" t="str">
        <f t="shared" si="25"/>
        <v>Nov</v>
      </c>
      <c r="J1615">
        <f>YEAR(datas[[#This Row],[Order Date]])</f>
        <v>2021</v>
      </c>
    </row>
    <row r="1616" spans="1:10" ht="14.25" customHeight="1" x14ac:dyDescent="0.3">
      <c r="A1616" s="1">
        <v>44521</v>
      </c>
      <c r="B1616" s="2" t="s">
        <v>598</v>
      </c>
      <c r="C1616" s="2" t="s">
        <v>25</v>
      </c>
      <c r="D1616" s="2" t="s">
        <v>10</v>
      </c>
      <c r="E1616" s="2" t="s">
        <v>15</v>
      </c>
      <c r="F1616" s="2">
        <v>193.95</v>
      </c>
      <c r="G1616" s="2">
        <v>3</v>
      </c>
      <c r="H1616" s="2">
        <v>9.6999999999999993</v>
      </c>
      <c r="I1616" t="str">
        <f t="shared" si="25"/>
        <v>Nov</v>
      </c>
      <c r="J1616">
        <f>YEAR(datas[[#This Row],[Order Date]])</f>
        <v>2021</v>
      </c>
    </row>
    <row r="1617" spans="1:10" ht="14.25" customHeight="1" x14ac:dyDescent="0.3">
      <c r="A1617" s="1">
        <v>44521</v>
      </c>
      <c r="B1617" s="2" t="s">
        <v>598</v>
      </c>
      <c r="C1617" s="2" t="s">
        <v>25</v>
      </c>
      <c r="D1617" s="2" t="s">
        <v>10</v>
      </c>
      <c r="E1617" s="2" t="s">
        <v>19</v>
      </c>
      <c r="F1617" s="2">
        <v>5.46</v>
      </c>
      <c r="G1617" s="2">
        <v>3</v>
      </c>
      <c r="H1617" s="2">
        <v>1.47</v>
      </c>
      <c r="I1617" t="str">
        <f t="shared" si="25"/>
        <v>Nov</v>
      </c>
      <c r="J1617">
        <f>YEAR(datas[[#This Row],[Order Date]])</f>
        <v>2021</v>
      </c>
    </row>
    <row r="1618" spans="1:10" ht="14.25" customHeight="1" x14ac:dyDescent="0.3">
      <c r="A1618" s="1">
        <v>44521</v>
      </c>
      <c r="B1618" s="2" t="s">
        <v>595</v>
      </c>
      <c r="C1618" s="2" t="s">
        <v>21</v>
      </c>
      <c r="D1618" s="2" t="s">
        <v>10</v>
      </c>
      <c r="E1618" s="2" t="s">
        <v>11</v>
      </c>
      <c r="F1618" s="2">
        <v>12.96</v>
      </c>
      <c r="G1618" s="2">
        <v>2</v>
      </c>
      <c r="H1618" s="2">
        <v>6.22</v>
      </c>
      <c r="I1618" t="str">
        <f t="shared" si="25"/>
        <v>Nov</v>
      </c>
      <c r="J1618">
        <f>YEAR(datas[[#This Row],[Order Date]])</f>
        <v>2021</v>
      </c>
    </row>
    <row r="1619" spans="1:10" ht="14.25" customHeight="1" x14ac:dyDescent="0.3">
      <c r="A1619" s="1">
        <v>44521</v>
      </c>
      <c r="B1619" s="2" t="s">
        <v>599</v>
      </c>
      <c r="C1619" s="2" t="s">
        <v>9</v>
      </c>
      <c r="D1619" s="2" t="s">
        <v>10</v>
      </c>
      <c r="E1619" s="2" t="s">
        <v>41</v>
      </c>
      <c r="F1619" s="2">
        <v>1.63</v>
      </c>
      <c r="G1619" s="2">
        <v>1</v>
      </c>
      <c r="H1619" s="2">
        <v>0.55000000000000004</v>
      </c>
      <c r="I1619" t="str">
        <f t="shared" si="25"/>
        <v>Nov</v>
      </c>
      <c r="J1619">
        <f>YEAR(datas[[#This Row],[Order Date]])</f>
        <v>2021</v>
      </c>
    </row>
    <row r="1620" spans="1:10" ht="14.25" customHeight="1" x14ac:dyDescent="0.3">
      <c r="A1620" s="1">
        <v>44521</v>
      </c>
      <c r="B1620" s="2" t="s">
        <v>599</v>
      </c>
      <c r="C1620" s="2" t="s">
        <v>9</v>
      </c>
      <c r="D1620" s="2" t="s">
        <v>28</v>
      </c>
      <c r="E1620" s="2" t="s">
        <v>29</v>
      </c>
      <c r="F1620" s="2">
        <v>267.95999999999998</v>
      </c>
      <c r="G1620" s="2">
        <v>5</v>
      </c>
      <c r="H1620" s="2">
        <v>16.75</v>
      </c>
      <c r="I1620" t="str">
        <f t="shared" si="25"/>
        <v>Nov</v>
      </c>
      <c r="J1620">
        <f>YEAR(datas[[#This Row],[Order Date]])</f>
        <v>2021</v>
      </c>
    </row>
    <row r="1621" spans="1:10" ht="14.25" customHeight="1" x14ac:dyDescent="0.3">
      <c r="A1621" s="1">
        <v>44521</v>
      </c>
      <c r="B1621" s="2" t="s">
        <v>600</v>
      </c>
      <c r="C1621" s="2" t="s">
        <v>21</v>
      </c>
      <c r="D1621" s="2" t="s">
        <v>10</v>
      </c>
      <c r="E1621" s="2" t="s">
        <v>11</v>
      </c>
      <c r="F1621" s="2">
        <v>6.58</v>
      </c>
      <c r="G1621" s="2">
        <v>2</v>
      </c>
      <c r="H1621" s="2">
        <v>3.03</v>
      </c>
      <c r="I1621" t="str">
        <f t="shared" si="25"/>
        <v>Nov</v>
      </c>
      <c r="J1621">
        <f>YEAR(datas[[#This Row],[Order Date]])</f>
        <v>2021</v>
      </c>
    </row>
    <row r="1622" spans="1:10" ht="14.25" customHeight="1" x14ac:dyDescent="0.3">
      <c r="A1622" s="1">
        <v>44521</v>
      </c>
      <c r="B1622" s="2" t="s">
        <v>600</v>
      </c>
      <c r="C1622" s="2" t="s">
        <v>21</v>
      </c>
      <c r="D1622" s="2" t="s">
        <v>28</v>
      </c>
      <c r="E1622" s="2" t="s">
        <v>34</v>
      </c>
      <c r="F1622" s="2">
        <v>94.99</v>
      </c>
      <c r="G1622" s="2">
        <v>1</v>
      </c>
      <c r="H1622" s="2">
        <v>28.5</v>
      </c>
      <c r="I1622" t="str">
        <f t="shared" si="25"/>
        <v>Nov</v>
      </c>
      <c r="J1622">
        <f>YEAR(datas[[#This Row],[Order Date]])</f>
        <v>2021</v>
      </c>
    </row>
    <row r="1623" spans="1:10" ht="14.25" customHeight="1" x14ac:dyDescent="0.3">
      <c r="A1623" s="1">
        <v>44522</v>
      </c>
      <c r="B1623" s="2" t="s">
        <v>202</v>
      </c>
      <c r="C1623" s="2" t="s">
        <v>23</v>
      </c>
      <c r="D1623" s="2" t="s">
        <v>10</v>
      </c>
      <c r="E1623" s="2" t="s">
        <v>41</v>
      </c>
      <c r="F1623" s="2">
        <v>16.23</v>
      </c>
      <c r="G1623" s="2">
        <v>3</v>
      </c>
      <c r="H1623" s="2">
        <v>7.95</v>
      </c>
      <c r="I1623" t="str">
        <f t="shared" si="25"/>
        <v>Nov</v>
      </c>
      <c r="J1623">
        <f>YEAR(datas[[#This Row],[Order Date]])</f>
        <v>2021</v>
      </c>
    </row>
    <row r="1624" spans="1:10" ht="14.25" customHeight="1" x14ac:dyDescent="0.3">
      <c r="A1624" s="1">
        <v>44522</v>
      </c>
      <c r="B1624" s="2" t="s">
        <v>202</v>
      </c>
      <c r="C1624" s="2" t="s">
        <v>23</v>
      </c>
      <c r="D1624" s="2" t="s">
        <v>10</v>
      </c>
      <c r="E1624" s="2" t="s">
        <v>16</v>
      </c>
      <c r="F1624" s="2">
        <v>319.89999999999998</v>
      </c>
      <c r="G1624" s="2">
        <v>5</v>
      </c>
      <c r="H1624" s="2">
        <v>156.75</v>
      </c>
      <c r="I1624" t="str">
        <f t="shared" si="25"/>
        <v>Nov</v>
      </c>
      <c r="J1624">
        <f>YEAR(datas[[#This Row],[Order Date]])</f>
        <v>2021</v>
      </c>
    </row>
    <row r="1625" spans="1:10" ht="14.25" customHeight="1" x14ac:dyDescent="0.3">
      <c r="A1625" s="1">
        <v>44522</v>
      </c>
      <c r="B1625" s="2" t="s">
        <v>202</v>
      </c>
      <c r="C1625" s="2" t="s">
        <v>23</v>
      </c>
      <c r="D1625" s="2" t="s">
        <v>10</v>
      </c>
      <c r="E1625" s="2" t="s">
        <v>41</v>
      </c>
      <c r="F1625" s="2">
        <v>11.36</v>
      </c>
      <c r="G1625" s="2">
        <v>2</v>
      </c>
      <c r="H1625" s="2">
        <v>5.34</v>
      </c>
      <c r="I1625" t="str">
        <f t="shared" si="25"/>
        <v>Nov</v>
      </c>
      <c r="J1625">
        <f>YEAR(datas[[#This Row],[Order Date]])</f>
        <v>2021</v>
      </c>
    </row>
    <row r="1626" spans="1:10" ht="14.25" customHeight="1" x14ac:dyDescent="0.3">
      <c r="A1626" s="1">
        <v>44522</v>
      </c>
      <c r="B1626" s="2" t="s">
        <v>202</v>
      </c>
      <c r="C1626" s="2" t="s">
        <v>23</v>
      </c>
      <c r="D1626" s="2" t="s">
        <v>10</v>
      </c>
      <c r="E1626" s="2" t="s">
        <v>53</v>
      </c>
      <c r="F1626" s="2">
        <v>675.12</v>
      </c>
      <c r="G1626" s="2">
        <v>3</v>
      </c>
      <c r="H1626" s="2">
        <v>290.3</v>
      </c>
      <c r="I1626" t="str">
        <f t="shared" si="25"/>
        <v>Nov</v>
      </c>
      <c r="J1626">
        <f>YEAR(datas[[#This Row],[Order Date]])</f>
        <v>2021</v>
      </c>
    </row>
    <row r="1627" spans="1:10" ht="14.25" customHeight="1" x14ac:dyDescent="0.3">
      <c r="A1627" s="1">
        <v>44522</v>
      </c>
      <c r="B1627" s="2" t="s">
        <v>283</v>
      </c>
      <c r="C1627" s="2" t="s">
        <v>9</v>
      </c>
      <c r="D1627" s="2" t="s">
        <v>10</v>
      </c>
      <c r="E1627" s="2" t="s">
        <v>16</v>
      </c>
      <c r="F1627" s="2">
        <v>6.93</v>
      </c>
      <c r="G1627" s="2">
        <v>1</v>
      </c>
      <c r="H1627" s="2">
        <v>-11.08</v>
      </c>
      <c r="I1627" t="str">
        <f t="shared" si="25"/>
        <v>Nov</v>
      </c>
      <c r="J1627">
        <f>YEAR(datas[[#This Row],[Order Date]])</f>
        <v>2021</v>
      </c>
    </row>
    <row r="1628" spans="1:10" ht="14.25" customHeight="1" x14ac:dyDescent="0.3">
      <c r="A1628" s="1">
        <v>44522</v>
      </c>
      <c r="B1628" s="2" t="s">
        <v>601</v>
      </c>
      <c r="C1628" s="2" t="s">
        <v>13</v>
      </c>
      <c r="D1628" s="2" t="s">
        <v>10</v>
      </c>
      <c r="E1628" s="2" t="s">
        <v>16</v>
      </c>
      <c r="F1628" s="2">
        <v>9.98</v>
      </c>
      <c r="G1628" s="2">
        <v>5</v>
      </c>
      <c r="H1628" s="2">
        <v>-16.47</v>
      </c>
      <c r="I1628" t="str">
        <f t="shared" si="25"/>
        <v>Nov</v>
      </c>
      <c r="J1628">
        <f>YEAR(datas[[#This Row],[Order Date]])</f>
        <v>2021</v>
      </c>
    </row>
    <row r="1629" spans="1:10" ht="14.25" customHeight="1" x14ac:dyDescent="0.3">
      <c r="A1629" s="1">
        <v>44522</v>
      </c>
      <c r="B1629" s="2" t="s">
        <v>602</v>
      </c>
      <c r="C1629" s="2" t="s">
        <v>21</v>
      </c>
      <c r="D1629" s="2" t="s">
        <v>10</v>
      </c>
      <c r="E1629" s="2" t="s">
        <v>11</v>
      </c>
      <c r="F1629" s="2">
        <v>53.82</v>
      </c>
      <c r="G1629" s="2">
        <v>9</v>
      </c>
      <c r="H1629" s="2">
        <v>24.22</v>
      </c>
      <c r="I1629" t="str">
        <f t="shared" si="25"/>
        <v>Nov</v>
      </c>
      <c r="J1629">
        <f>YEAR(datas[[#This Row],[Order Date]])</f>
        <v>2021</v>
      </c>
    </row>
    <row r="1630" spans="1:10" ht="14.25" customHeight="1" x14ac:dyDescent="0.3">
      <c r="A1630" s="1">
        <v>44522</v>
      </c>
      <c r="B1630" s="2" t="s">
        <v>427</v>
      </c>
      <c r="C1630" s="2" t="s">
        <v>23</v>
      </c>
      <c r="D1630" s="2" t="s">
        <v>10</v>
      </c>
      <c r="E1630" s="2" t="s">
        <v>11</v>
      </c>
      <c r="F1630" s="2">
        <v>9.9600000000000009</v>
      </c>
      <c r="G1630" s="2">
        <v>2</v>
      </c>
      <c r="H1630" s="2">
        <v>4.88</v>
      </c>
      <c r="I1630" t="str">
        <f t="shared" si="25"/>
        <v>Nov</v>
      </c>
      <c r="J1630">
        <f>YEAR(datas[[#This Row],[Order Date]])</f>
        <v>2021</v>
      </c>
    </row>
    <row r="1631" spans="1:10" ht="14.25" customHeight="1" x14ac:dyDescent="0.3">
      <c r="A1631" s="1">
        <v>44523</v>
      </c>
      <c r="B1631" s="2" t="s">
        <v>92</v>
      </c>
      <c r="C1631" s="2" t="s">
        <v>21</v>
      </c>
      <c r="D1631" s="2" t="s">
        <v>26</v>
      </c>
      <c r="E1631" s="2" t="s">
        <v>27</v>
      </c>
      <c r="F1631" s="2">
        <v>603.91999999999996</v>
      </c>
      <c r="G1631" s="2">
        <v>5</v>
      </c>
      <c r="H1631" s="2">
        <v>-67.94</v>
      </c>
      <c r="I1631" t="str">
        <f t="shared" si="25"/>
        <v>Nov</v>
      </c>
      <c r="J1631">
        <f>YEAR(datas[[#This Row],[Order Date]])</f>
        <v>2021</v>
      </c>
    </row>
    <row r="1632" spans="1:10" ht="14.25" customHeight="1" x14ac:dyDescent="0.3">
      <c r="A1632" s="1">
        <v>44523</v>
      </c>
      <c r="B1632" s="2" t="s">
        <v>92</v>
      </c>
      <c r="C1632" s="2" t="s">
        <v>21</v>
      </c>
      <c r="D1632" s="2" t="s">
        <v>10</v>
      </c>
      <c r="E1632" s="2" t="s">
        <v>41</v>
      </c>
      <c r="F1632" s="2">
        <v>21.84</v>
      </c>
      <c r="G1632" s="2">
        <v>3</v>
      </c>
      <c r="H1632" s="2">
        <v>10.48</v>
      </c>
      <c r="I1632" t="str">
        <f t="shared" si="25"/>
        <v>Nov</v>
      </c>
      <c r="J1632">
        <f>YEAR(datas[[#This Row],[Order Date]])</f>
        <v>2021</v>
      </c>
    </row>
    <row r="1633" spans="1:10" ht="14.25" customHeight="1" x14ac:dyDescent="0.3">
      <c r="A1633" s="1">
        <v>44523</v>
      </c>
      <c r="B1633" s="2" t="s">
        <v>92</v>
      </c>
      <c r="C1633" s="2" t="s">
        <v>21</v>
      </c>
      <c r="D1633" s="2" t="s">
        <v>28</v>
      </c>
      <c r="E1633" s="2" t="s">
        <v>34</v>
      </c>
      <c r="F1633" s="2">
        <v>29.99</v>
      </c>
      <c r="G1633" s="2">
        <v>1</v>
      </c>
      <c r="H1633" s="2">
        <v>6.3</v>
      </c>
      <c r="I1633" t="str">
        <f t="shared" si="25"/>
        <v>Nov</v>
      </c>
      <c r="J1633">
        <f>YEAR(datas[[#This Row],[Order Date]])</f>
        <v>2021</v>
      </c>
    </row>
    <row r="1634" spans="1:10" ht="14.25" customHeight="1" x14ac:dyDescent="0.3">
      <c r="A1634" s="1">
        <v>44523</v>
      </c>
      <c r="B1634" s="2" t="s">
        <v>92</v>
      </c>
      <c r="C1634" s="2" t="s">
        <v>21</v>
      </c>
      <c r="D1634" s="2" t="s">
        <v>26</v>
      </c>
      <c r="E1634" s="2" t="s">
        <v>27</v>
      </c>
      <c r="F1634" s="2">
        <v>381.44</v>
      </c>
      <c r="G1634" s="2">
        <v>2</v>
      </c>
      <c r="H1634" s="2">
        <v>23.84</v>
      </c>
      <c r="I1634" t="str">
        <f t="shared" si="25"/>
        <v>Nov</v>
      </c>
      <c r="J1634">
        <f>YEAR(datas[[#This Row],[Order Date]])</f>
        <v>2021</v>
      </c>
    </row>
    <row r="1635" spans="1:10" ht="14.25" customHeight="1" x14ac:dyDescent="0.3">
      <c r="A1635" s="1">
        <v>44523</v>
      </c>
      <c r="B1635" s="2" t="s">
        <v>411</v>
      </c>
      <c r="C1635" s="2" t="s">
        <v>9</v>
      </c>
      <c r="D1635" s="2" t="s">
        <v>10</v>
      </c>
      <c r="E1635" s="2" t="s">
        <v>14</v>
      </c>
      <c r="F1635" s="2">
        <v>23.68</v>
      </c>
      <c r="G1635" s="2">
        <v>2</v>
      </c>
      <c r="H1635" s="2">
        <v>8.8800000000000008</v>
      </c>
      <c r="I1635" t="str">
        <f t="shared" si="25"/>
        <v>Nov</v>
      </c>
      <c r="J1635">
        <f>YEAR(datas[[#This Row],[Order Date]])</f>
        <v>2021</v>
      </c>
    </row>
    <row r="1636" spans="1:10" ht="14.25" customHeight="1" x14ac:dyDescent="0.3">
      <c r="A1636" s="1">
        <v>44523</v>
      </c>
      <c r="B1636" s="2" t="s">
        <v>603</v>
      </c>
      <c r="C1636" s="2" t="s">
        <v>9</v>
      </c>
      <c r="D1636" s="2" t="s">
        <v>26</v>
      </c>
      <c r="E1636" s="2" t="s">
        <v>32</v>
      </c>
      <c r="F1636" s="2">
        <v>6.37</v>
      </c>
      <c r="G1636" s="2">
        <v>2</v>
      </c>
      <c r="H1636" s="2">
        <v>-2.5499999999999998</v>
      </c>
      <c r="I1636" t="str">
        <f t="shared" si="25"/>
        <v>Nov</v>
      </c>
      <c r="J1636">
        <f>YEAR(datas[[#This Row],[Order Date]])</f>
        <v>2021</v>
      </c>
    </row>
    <row r="1637" spans="1:10" ht="14.25" customHeight="1" x14ac:dyDescent="0.3">
      <c r="A1637" s="1">
        <v>44523</v>
      </c>
      <c r="B1637" s="2" t="s">
        <v>603</v>
      </c>
      <c r="C1637" s="2" t="s">
        <v>9</v>
      </c>
      <c r="D1637" s="2" t="s">
        <v>10</v>
      </c>
      <c r="E1637" s="2" t="s">
        <v>53</v>
      </c>
      <c r="F1637" s="2">
        <v>34.18</v>
      </c>
      <c r="G1637" s="2">
        <v>3</v>
      </c>
      <c r="H1637" s="2">
        <v>-87.15</v>
      </c>
      <c r="I1637" t="str">
        <f t="shared" si="25"/>
        <v>Nov</v>
      </c>
      <c r="J1637">
        <f>YEAR(datas[[#This Row],[Order Date]])</f>
        <v>2021</v>
      </c>
    </row>
    <row r="1638" spans="1:10" ht="14.25" customHeight="1" x14ac:dyDescent="0.3">
      <c r="A1638" s="1">
        <v>44523</v>
      </c>
      <c r="B1638" s="2" t="s">
        <v>603</v>
      </c>
      <c r="C1638" s="2" t="s">
        <v>9</v>
      </c>
      <c r="D1638" s="2" t="s">
        <v>28</v>
      </c>
      <c r="E1638" s="2" t="s">
        <v>34</v>
      </c>
      <c r="F1638" s="2">
        <v>5.54</v>
      </c>
      <c r="G1638" s="2">
        <v>7</v>
      </c>
      <c r="H1638" s="2">
        <v>1.66</v>
      </c>
      <c r="I1638" t="str">
        <f t="shared" si="25"/>
        <v>Nov</v>
      </c>
      <c r="J1638">
        <f>YEAR(datas[[#This Row],[Order Date]])</f>
        <v>2021</v>
      </c>
    </row>
    <row r="1639" spans="1:10" ht="14.25" customHeight="1" x14ac:dyDescent="0.3">
      <c r="A1639" s="1">
        <v>44523</v>
      </c>
      <c r="B1639" s="2" t="s">
        <v>604</v>
      </c>
      <c r="C1639" s="2" t="s">
        <v>18</v>
      </c>
      <c r="D1639" s="2" t="s">
        <v>10</v>
      </c>
      <c r="E1639" s="2" t="s">
        <v>41</v>
      </c>
      <c r="F1639" s="2">
        <v>62.81</v>
      </c>
      <c r="G1639" s="2">
        <v>3</v>
      </c>
      <c r="H1639" s="2">
        <v>21.2</v>
      </c>
      <c r="I1639" t="str">
        <f t="shared" si="25"/>
        <v>Nov</v>
      </c>
      <c r="J1639">
        <f>YEAR(datas[[#This Row],[Order Date]])</f>
        <v>2021</v>
      </c>
    </row>
    <row r="1640" spans="1:10" ht="14.25" customHeight="1" x14ac:dyDescent="0.3">
      <c r="A1640" s="1">
        <v>44523</v>
      </c>
      <c r="B1640" s="2" t="s">
        <v>605</v>
      </c>
      <c r="C1640" s="2" t="s">
        <v>55</v>
      </c>
      <c r="D1640" s="2" t="s">
        <v>10</v>
      </c>
      <c r="E1640" s="2" t="s">
        <v>41</v>
      </c>
      <c r="F1640" s="2">
        <v>23.47</v>
      </c>
      <c r="G1640" s="2">
        <v>3</v>
      </c>
      <c r="H1640" s="2">
        <v>8.8000000000000007</v>
      </c>
      <c r="I1640" t="str">
        <f t="shared" si="25"/>
        <v>Nov</v>
      </c>
      <c r="J1640">
        <f>YEAR(datas[[#This Row],[Order Date]])</f>
        <v>2021</v>
      </c>
    </row>
    <row r="1641" spans="1:10" ht="14.25" customHeight="1" x14ac:dyDescent="0.3">
      <c r="A1641" s="1">
        <v>44523</v>
      </c>
      <c r="B1641" s="2" t="s">
        <v>162</v>
      </c>
      <c r="C1641" s="2" t="s">
        <v>9</v>
      </c>
      <c r="D1641" s="2" t="s">
        <v>26</v>
      </c>
      <c r="E1641" s="2" t="s">
        <v>27</v>
      </c>
      <c r="F1641" s="2">
        <v>155.37</v>
      </c>
      <c r="G1641" s="2">
        <v>2</v>
      </c>
      <c r="H1641" s="2">
        <v>-35.51</v>
      </c>
      <c r="I1641" t="str">
        <f t="shared" si="25"/>
        <v>Nov</v>
      </c>
      <c r="J1641">
        <f>YEAR(datas[[#This Row],[Order Date]])</f>
        <v>2021</v>
      </c>
    </row>
    <row r="1642" spans="1:10" ht="14.25" customHeight="1" x14ac:dyDescent="0.3">
      <c r="A1642" s="1">
        <v>44523</v>
      </c>
      <c r="B1642" s="2" t="s">
        <v>306</v>
      </c>
      <c r="C1642" s="2" t="s">
        <v>60</v>
      </c>
      <c r="D1642" s="2" t="s">
        <v>10</v>
      </c>
      <c r="E1642" s="2" t="s">
        <v>16</v>
      </c>
      <c r="F1642" s="2">
        <v>14.67</v>
      </c>
      <c r="G1642" s="2">
        <v>3</v>
      </c>
      <c r="H1642" s="2">
        <v>6.75</v>
      </c>
      <c r="I1642" t="str">
        <f t="shared" si="25"/>
        <v>Nov</v>
      </c>
      <c r="J1642">
        <f>YEAR(datas[[#This Row],[Order Date]])</f>
        <v>2021</v>
      </c>
    </row>
    <row r="1643" spans="1:10" ht="14.25" customHeight="1" x14ac:dyDescent="0.3">
      <c r="A1643" s="1">
        <v>44524</v>
      </c>
      <c r="B1643" s="2" t="s">
        <v>606</v>
      </c>
      <c r="C1643" s="2" t="s">
        <v>47</v>
      </c>
      <c r="D1643" s="2" t="s">
        <v>10</v>
      </c>
      <c r="E1643" s="2" t="s">
        <v>19</v>
      </c>
      <c r="F1643" s="2">
        <v>2.62</v>
      </c>
      <c r="G1643" s="2">
        <v>1</v>
      </c>
      <c r="H1643" s="2">
        <v>0.43</v>
      </c>
      <c r="I1643" t="str">
        <f t="shared" si="25"/>
        <v>Nov</v>
      </c>
      <c r="J1643">
        <f>YEAR(datas[[#This Row],[Order Date]])</f>
        <v>2021</v>
      </c>
    </row>
    <row r="1644" spans="1:10" ht="14.25" customHeight="1" x14ac:dyDescent="0.3">
      <c r="A1644" s="1">
        <v>44524</v>
      </c>
      <c r="B1644" s="2" t="s">
        <v>409</v>
      </c>
      <c r="C1644" s="2" t="s">
        <v>21</v>
      </c>
      <c r="D1644" s="2" t="s">
        <v>26</v>
      </c>
      <c r="E1644" s="2" t="s">
        <v>32</v>
      </c>
      <c r="F1644" s="2">
        <v>151.72</v>
      </c>
      <c r="G1644" s="2">
        <v>4</v>
      </c>
      <c r="H1644" s="2">
        <v>27.31</v>
      </c>
      <c r="I1644" t="str">
        <f t="shared" si="25"/>
        <v>Nov</v>
      </c>
      <c r="J1644">
        <f>YEAR(datas[[#This Row],[Order Date]])</f>
        <v>2021</v>
      </c>
    </row>
    <row r="1645" spans="1:10" ht="14.25" customHeight="1" x14ac:dyDescent="0.3">
      <c r="A1645" s="1">
        <v>44524</v>
      </c>
      <c r="B1645" s="2" t="s">
        <v>607</v>
      </c>
      <c r="C1645" s="2" t="s">
        <v>82</v>
      </c>
      <c r="D1645" s="2" t="s">
        <v>10</v>
      </c>
      <c r="E1645" s="2" t="s">
        <v>16</v>
      </c>
      <c r="F1645" s="2">
        <v>12.1</v>
      </c>
      <c r="G1645" s="2">
        <v>7</v>
      </c>
      <c r="H1645" s="2">
        <v>4.2300000000000004</v>
      </c>
      <c r="I1645" t="str">
        <f t="shared" si="25"/>
        <v>Nov</v>
      </c>
      <c r="J1645">
        <f>YEAR(datas[[#This Row],[Order Date]])</f>
        <v>2021</v>
      </c>
    </row>
    <row r="1646" spans="1:10" ht="14.25" customHeight="1" x14ac:dyDescent="0.3">
      <c r="A1646" s="1">
        <v>44524</v>
      </c>
      <c r="B1646" s="2" t="s">
        <v>607</v>
      </c>
      <c r="C1646" s="2" t="s">
        <v>82</v>
      </c>
      <c r="D1646" s="2" t="s">
        <v>10</v>
      </c>
      <c r="E1646" s="2" t="s">
        <v>15</v>
      </c>
      <c r="F1646" s="2">
        <v>485.88</v>
      </c>
      <c r="G1646" s="2">
        <v>6</v>
      </c>
      <c r="H1646" s="2">
        <v>9.7200000000000006</v>
      </c>
      <c r="I1646" t="str">
        <f t="shared" si="25"/>
        <v>Nov</v>
      </c>
      <c r="J1646">
        <f>YEAR(datas[[#This Row],[Order Date]])</f>
        <v>2021</v>
      </c>
    </row>
    <row r="1647" spans="1:10" ht="14.25" customHeight="1" x14ac:dyDescent="0.3">
      <c r="A1647" s="1">
        <v>44524</v>
      </c>
      <c r="B1647" s="2" t="s">
        <v>607</v>
      </c>
      <c r="C1647" s="2" t="s">
        <v>82</v>
      </c>
      <c r="D1647" s="2" t="s">
        <v>10</v>
      </c>
      <c r="E1647" s="2" t="s">
        <v>11</v>
      </c>
      <c r="F1647" s="2">
        <v>25.92</v>
      </c>
      <c r="G1647" s="2">
        <v>4</v>
      </c>
      <c r="H1647" s="2">
        <v>12.44</v>
      </c>
      <c r="I1647" t="str">
        <f t="shared" si="25"/>
        <v>Nov</v>
      </c>
      <c r="J1647">
        <f>YEAR(datas[[#This Row],[Order Date]])</f>
        <v>2021</v>
      </c>
    </row>
    <row r="1648" spans="1:10" ht="14.25" customHeight="1" x14ac:dyDescent="0.3">
      <c r="A1648" s="1">
        <v>44524</v>
      </c>
      <c r="B1648" s="2" t="s">
        <v>607</v>
      </c>
      <c r="C1648" s="2" t="s">
        <v>82</v>
      </c>
      <c r="D1648" s="2" t="s">
        <v>10</v>
      </c>
      <c r="E1648" s="2" t="s">
        <v>15</v>
      </c>
      <c r="F1648" s="2">
        <v>197.58</v>
      </c>
      <c r="G1648" s="2">
        <v>2</v>
      </c>
      <c r="H1648" s="2">
        <v>53.35</v>
      </c>
      <c r="I1648" t="str">
        <f t="shared" si="25"/>
        <v>Nov</v>
      </c>
      <c r="J1648">
        <f>YEAR(datas[[#This Row],[Order Date]])</f>
        <v>2021</v>
      </c>
    </row>
    <row r="1649" spans="1:10" ht="14.25" customHeight="1" x14ac:dyDescent="0.3">
      <c r="A1649" s="1">
        <v>44524</v>
      </c>
      <c r="B1649" s="2" t="s">
        <v>130</v>
      </c>
      <c r="C1649" s="2" t="s">
        <v>91</v>
      </c>
      <c r="D1649" s="2" t="s">
        <v>28</v>
      </c>
      <c r="E1649" s="2" t="s">
        <v>34</v>
      </c>
      <c r="F1649" s="2">
        <v>111.79</v>
      </c>
      <c r="G1649" s="2">
        <v>7</v>
      </c>
      <c r="H1649" s="2">
        <v>43.6</v>
      </c>
      <c r="I1649" t="str">
        <f t="shared" si="25"/>
        <v>Nov</v>
      </c>
      <c r="J1649">
        <f>YEAR(datas[[#This Row],[Order Date]])</f>
        <v>2021</v>
      </c>
    </row>
    <row r="1650" spans="1:10" ht="14.25" customHeight="1" x14ac:dyDescent="0.3">
      <c r="A1650" s="1">
        <v>44524</v>
      </c>
      <c r="B1650" s="2" t="s">
        <v>49</v>
      </c>
      <c r="C1650" s="2" t="s">
        <v>21</v>
      </c>
      <c r="D1650" s="2" t="s">
        <v>26</v>
      </c>
      <c r="E1650" s="2" t="s">
        <v>27</v>
      </c>
      <c r="F1650" s="2">
        <v>120.71</v>
      </c>
      <c r="G1650" s="2">
        <v>1</v>
      </c>
      <c r="H1650" s="2">
        <v>-18.11</v>
      </c>
      <c r="I1650" t="str">
        <f t="shared" si="25"/>
        <v>Nov</v>
      </c>
      <c r="J1650">
        <f>YEAR(datas[[#This Row],[Order Date]])</f>
        <v>2021</v>
      </c>
    </row>
    <row r="1651" spans="1:10" ht="14.25" customHeight="1" x14ac:dyDescent="0.3">
      <c r="A1651" s="1">
        <v>44524</v>
      </c>
      <c r="B1651" s="2" t="s">
        <v>232</v>
      </c>
      <c r="C1651" s="2" t="s">
        <v>47</v>
      </c>
      <c r="D1651" s="2" t="s">
        <v>28</v>
      </c>
      <c r="E1651" s="2" t="s">
        <v>29</v>
      </c>
      <c r="F1651" s="2">
        <v>1049.97</v>
      </c>
      <c r="G1651" s="2">
        <v>5</v>
      </c>
      <c r="H1651" s="2">
        <v>-209.99</v>
      </c>
      <c r="I1651" t="str">
        <f t="shared" si="25"/>
        <v>Nov</v>
      </c>
      <c r="J1651">
        <f>YEAR(datas[[#This Row],[Order Date]])</f>
        <v>2021</v>
      </c>
    </row>
    <row r="1652" spans="1:10" ht="14.25" customHeight="1" x14ac:dyDescent="0.3">
      <c r="A1652" s="1">
        <v>44524</v>
      </c>
      <c r="B1652" s="2" t="s">
        <v>232</v>
      </c>
      <c r="C1652" s="2" t="s">
        <v>47</v>
      </c>
      <c r="D1652" s="2" t="s">
        <v>26</v>
      </c>
      <c r="E1652" s="2" t="s">
        <v>27</v>
      </c>
      <c r="F1652" s="2">
        <v>611.05999999999995</v>
      </c>
      <c r="G1652" s="2">
        <v>3</v>
      </c>
      <c r="H1652" s="2">
        <v>-34.92</v>
      </c>
      <c r="I1652" t="str">
        <f t="shared" si="25"/>
        <v>Nov</v>
      </c>
      <c r="J1652">
        <f>YEAR(datas[[#This Row],[Order Date]])</f>
        <v>2021</v>
      </c>
    </row>
    <row r="1653" spans="1:10" ht="14.25" customHeight="1" x14ac:dyDescent="0.3">
      <c r="A1653" s="1">
        <v>44524</v>
      </c>
      <c r="B1653" s="2" t="s">
        <v>608</v>
      </c>
      <c r="C1653" s="2" t="s">
        <v>13</v>
      </c>
      <c r="D1653" s="2" t="s">
        <v>10</v>
      </c>
      <c r="E1653" s="2" t="s">
        <v>15</v>
      </c>
      <c r="F1653" s="2">
        <v>646.20000000000005</v>
      </c>
      <c r="G1653" s="2">
        <v>5</v>
      </c>
      <c r="H1653" s="2">
        <v>-8.08</v>
      </c>
      <c r="I1653" t="str">
        <f t="shared" si="25"/>
        <v>Nov</v>
      </c>
      <c r="J1653">
        <f>YEAR(datas[[#This Row],[Order Date]])</f>
        <v>2021</v>
      </c>
    </row>
    <row r="1654" spans="1:10" ht="14.25" customHeight="1" x14ac:dyDescent="0.3">
      <c r="A1654" s="1">
        <v>44524</v>
      </c>
      <c r="B1654" s="2" t="s">
        <v>504</v>
      </c>
      <c r="C1654" s="2" t="s">
        <v>47</v>
      </c>
      <c r="D1654" s="2" t="s">
        <v>26</v>
      </c>
      <c r="E1654" s="2" t="s">
        <v>32</v>
      </c>
      <c r="F1654" s="2">
        <v>35.17</v>
      </c>
      <c r="G1654" s="2">
        <v>7</v>
      </c>
      <c r="H1654" s="2">
        <v>9.67</v>
      </c>
      <c r="I1654" t="str">
        <f t="shared" si="25"/>
        <v>Nov</v>
      </c>
      <c r="J1654">
        <f>YEAR(datas[[#This Row],[Order Date]])</f>
        <v>2021</v>
      </c>
    </row>
    <row r="1655" spans="1:10" ht="14.25" customHeight="1" x14ac:dyDescent="0.3">
      <c r="A1655" s="1">
        <v>44524</v>
      </c>
      <c r="B1655" s="2" t="s">
        <v>504</v>
      </c>
      <c r="C1655" s="2" t="s">
        <v>47</v>
      </c>
      <c r="D1655" s="2" t="s">
        <v>28</v>
      </c>
      <c r="E1655" s="2" t="s">
        <v>29</v>
      </c>
      <c r="F1655" s="2">
        <v>1502.38</v>
      </c>
      <c r="G1655" s="2">
        <v>4</v>
      </c>
      <c r="H1655" s="2">
        <v>-250.4</v>
      </c>
      <c r="I1655" t="str">
        <f t="shared" si="25"/>
        <v>Nov</v>
      </c>
      <c r="J1655">
        <f>YEAR(datas[[#This Row],[Order Date]])</f>
        <v>2021</v>
      </c>
    </row>
    <row r="1656" spans="1:10" ht="14.25" customHeight="1" x14ac:dyDescent="0.3">
      <c r="A1656" s="1">
        <v>44524</v>
      </c>
      <c r="B1656" s="2" t="s">
        <v>609</v>
      </c>
      <c r="C1656" s="2" t="s">
        <v>60</v>
      </c>
      <c r="D1656" s="2" t="s">
        <v>10</v>
      </c>
      <c r="E1656" s="2" t="s">
        <v>19</v>
      </c>
      <c r="F1656" s="2">
        <v>151.91999999999999</v>
      </c>
      <c r="G1656" s="2">
        <v>4</v>
      </c>
      <c r="H1656" s="2">
        <v>45.58</v>
      </c>
      <c r="I1656" t="str">
        <f t="shared" si="25"/>
        <v>Nov</v>
      </c>
      <c r="J1656">
        <f>YEAR(datas[[#This Row],[Order Date]])</f>
        <v>2021</v>
      </c>
    </row>
    <row r="1657" spans="1:10" ht="14.25" customHeight="1" x14ac:dyDescent="0.3">
      <c r="A1657" s="1">
        <v>44524</v>
      </c>
      <c r="B1657" s="2" t="s">
        <v>609</v>
      </c>
      <c r="C1657" s="2" t="s">
        <v>60</v>
      </c>
      <c r="D1657" s="2" t="s">
        <v>10</v>
      </c>
      <c r="E1657" s="2" t="s">
        <v>14</v>
      </c>
      <c r="F1657" s="2">
        <v>196.62</v>
      </c>
      <c r="G1657" s="2">
        <v>2</v>
      </c>
      <c r="H1657" s="2">
        <v>96.34</v>
      </c>
      <c r="I1657" t="str">
        <f t="shared" si="25"/>
        <v>Nov</v>
      </c>
      <c r="J1657">
        <f>YEAR(datas[[#This Row],[Order Date]])</f>
        <v>2021</v>
      </c>
    </row>
    <row r="1658" spans="1:10" ht="14.25" customHeight="1" x14ac:dyDescent="0.3">
      <c r="A1658" s="1">
        <v>44524</v>
      </c>
      <c r="B1658" s="2" t="s">
        <v>609</v>
      </c>
      <c r="C1658" s="2" t="s">
        <v>60</v>
      </c>
      <c r="D1658" s="2" t="s">
        <v>10</v>
      </c>
      <c r="E1658" s="2" t="s">
        <v>11</v>
      </c>
      <c r="F1658" s="2">
        <v>144.12</v>
      </c>
      <c r="G1658" s="2">
        <v>3</v>
      </c>
      <c r="H1658" s="2">
        <v>69.180000000000007</v>
      </c>
      <c r="I1658" t="str">
        <f t="shared" si="25"/>
        <v>Nov</v>
      </c>
      <c r="J1658">
        <f>YEAR(datas[[#This Row],[Order Date]])</f>
        <v>2021</v>
      </c>
    </row>
    <row r="1659" spans="1:10" ht="14.25" customHeight="1" x14ac:dyDescent="0.3">
      <c r="A1659" s="1">
        <v>44524</v>
      </c>
      <c r="B1659" s="2" t="s">
        <v>609</v>
      </c>
      <c r="C1659" s="2" t="s">
        <v>60</v>
      </c>
      <c r="D1659" s="2" t="s">
        <v>10</v>
      </c>
      <c r="E1659" s="2" t="s">
        <v>11</v>
      </c>
      <c r="F1659" s="2">
        <v>15.96</v>
      </c>
      <c r="G1659" s="2">
        <v>2</v>
      </c>
      <c r="H1659" s="2">
        <v>7.98</v>
      </c>
      <c r="I1659" t="str">
        <f t="shared" si="25"/>
        <v>Nov</v>
      </c>
      <c r="J1659">
        <f>YEAR(datas[[#This Row],[Order Date]])</f>
        <v>2021</v>
      </c>
    </row>
    <row r="1660" spans="1:10" ht="14.25" customHeight="1" x14ac:dyDescent="0.3">
      <c r="A1660" s="1">
        <v>44524</v>
      </c>
      <c r="B1660" s="2" t="s">
        <v>253</v>
      </c>
      <c r="C1660" s="2" t="s">
        <v>36</v>
      </c>
      <c r="D1660" s="2" t="s">
        <v>26</v>
      </c>
      <c r="E1660" s="2" t="s">
        <v>32</v>
      </c>
      <c r="F1660" s="2">
        <v>111.15</v>
      </c>
      <c r="G1660" s="2">
        <v>5</v>
      </c>
      <c r="H1660" s="2">
        <v>48.91</v>
      </c>
      <c r="I1660" t="str">
        <f t="shared" si="25"/>
        <v>Nov</v>
      </c>
      <c r="J1660">
        <f>YEAR(datas[[#This Row],[Order Date]])</f>
        <v>2021</v>
      </c>
    </row>
    <row r="1661" spans="1:10" ht="14.25" customHeight="1" x14ac:dyDescent="0.3">
      <c r="A1661" s="1">
        <v>44524</v>
      </c>
      <c r="B1661" s="2" t="s">
        <v>610</v>
      </c>
      <c r="C1661" s="2" t="s">
        <v>47</v>
      </c>
      <c r="D1661" s="2" t="s">
        <v>10</v>
      </c>
      <c r="E1661" s="2" t="s">
        <v>16</v>
      </c>
      <c r="F1661" s="2">
        <v>5.74</v>
      </c>
      <c r="G1661" s="2">
        <v>3</v>
      </c>
      <c r="H1661" s="2">
        <v>-4.59</v>
      </c>
      <c r="I1661" t="str">
        <f t="shared" si="25"/>
        <v>Nov</v>
      </c>
      <c r="J1661">
        <f>YEAR(datas[[#This Row],[Order Date]])</f>
        <v>2021</v>
      </c>
    </row>
    <row r="1662" spans="1:10" ht="14.25" customHeight="1" x14ac:dyDescent="0.3">
      <c r="A1662" s="1">
        <v>44525</v>
      </c>
      <c r="B1662" s="2" t="s">
        <v>297</v>
      </c>
      <c r="C1662" s="2" t="s">
        <v>21</v>
      </c>
      <c r="D1662" s="2" t="s">
        <v>10</v>
      </c>
      <c r="E1662" s="2" t="s">
        <v>53</v>
      </c>
      <c r="F1662" s="2">
        <v>320.88</v>
      </c>
      <c r="G1662" s="2">
        <v>6</v>
      </c>
      <c r="H1662" s="2">
        <v>93.06</v>
      </c>
      <c r="I1662" t="str">
        <f t="shared" si="25"/>
        <v>Nov</v>
      </c>
      <c r="J1662">
        <f>YEAR(datas[[#This Row],[Order Date]])</f>
        <v>2021</v>
      </c>
    </row>
    <row r="1663" spans="1:10" ht="14.25" customHeight="1" x14ac:dyDescent="0.3">
      <c r="A1663" s="1">
        <v>44525</v>
      </c>
      <c r="B1663" s="2" t="s">
        <v>297</v>
      </c>
      <c r="C1663" s="2" t="s">
        <v>21</v>
      </c>
      <c r="D1663" s="2" t="s">
        <v>26</v>
      </c>
      <c r="E1663" s="2" t="s">
        <v>32</v>
      </c>
      <c r="F1663" s="2">
        <v>23.88</v>
      </c>
      <c r="G1663" s="2">
        <v>3</v>
      </c>
      <c r="H1663" s="2">
        <v>10.51</v>
      </c>
      <c r="I1663" t="str">
        <f t="shared" si="25"/>
        <v>Nov</v>
      </c>
      <c r="J1663">
        <f>YEAR(datas[[#This Row],[Order Date]])</f>
        <v>2021</v>
      </c>
    </row>
    <row r="1664" spans="1:10" ht="14.25" customHeight="1" x14ac:dyDescent="0.3">
      <c r="A1664" s="1">
        <v>44525</v>
      </c>
      <c r="B1664" s="2" t="s">
        <v>297</v>
      </c>
      <c r="C1664" s="2" t="s">
        <v>21</v>
      </c>
      <c r="D1664" s="2" t="s">
        <v>10</v>
      </c>
      <c r="E1664" s="2" t="s">
        <v>11</v>
      </c>
      <c r="F1664" s="2">
        <v>26.76</v>
      </c>
      <c r="G1664" s="2">
        <v>4</v>
      </c>
      <c r="H1664" s="2">
        <v>12.31</v>
      </c>
      <c r="I1664" t="str">
        <f t="shared" si="25"/>
        <v>Nov</v>
      </c>
      <c r="J1664">
        <f>YEAR(datas[[#This Row],[Order Date]])</f>
        <v>2021</v>
      </c>
    </row>
    <row r="1665" spans="1:10" ht="14.25" customHeight="1" x14ac:dyDescent="0.3">
      <c r="A1665" s="1">
        <v>44525</v>
      </c>
      <c r="B1665" s="2" t="s">
        <v>279</v>
      </c>
      <c r="C1665" s="2" t="s">
        <v>9</v>
      </c>
      <c r="D1665" s="2" t="s">
        <v>28</v>
      </c>
      <c r="E1665" s="2" t="s">
        <v>34</v>
      </c>
      <c r="F1665" s="2">
        <v>24.67</v>
      </c>
      <c r="G1665" s="2">
        <v>3</v>
      </c>
      <c r="H1665" s="2">
        <v>0</v>
      </c>
      <c r="I1665" t="str">
        <f t="shared" si="25"/>
        <v>Nov</v>
      </c>
      <c r="J1665">
        <f>YEAR(datas[[#This Row],[Order Date]])</f>
        <v>2021</v>
      </c>
    </row>
    <row r="1666" spans="1:10" ht="14.25" customHeight="1" x14ac:dyDescent="0.3">
      <c r="A1666" s="1">
        <v>44525</v>
      </c>
      <c r="B1666" s="2" t="s">
        <v>279</v>
      </c>
      <c r="C1666" s="2" t="s">
        <v>9</v>
      </c>
      <c r="D1666" s="2" t="s">
        <v>10</v>
      </c>
      <c r="E1666" s="2" t="s">
        <v>14</v>
      </c>
      <c r="F1666" s="2">
        <v>2.52</v>
      </c>
      <c r="G1666" s="2">
        <v>1</v>
      </c>
      <c r="H1666" s="2">
        <v>0.88</v>
      </c>
      <c r="I1666" t="str">
        <f t="shared" si="25"/>
        <v>Nov</v>
      </c>
      <c r="J1666">
        <f>YEAR(datas[[#This Row],[Order Date]])</f>
        <v>2021</v>
      </c>
    </row>
    <row r="1667" spans="1:10" ht="14.25" customHeight="1" x14ac:dyDescent="0.3">
      <c r="A1667" s="1">
        <v>44525</v>
      </c>
      <c r="B1667" s="2" t="s">
        <v>279</v>
      </c>
      <c r="C1667" s="2" t="s">
        <v>9</v>
      </c>
      <c r="D1667" s="2" t="s">
        <v>26</v>
      </c>
      <c r="E1667" s="2" t="s">
        <v>73</v>
      </c>
      <c r="F1667" s="2">
        <v>1218.74</v>
      </c>
      <c r="G1667" s="2">
        <v>5</v>
      </c>
      <c r="H1667" s="2">
        <v>-121.87</v>
      </c>
      <c r="I1667" t="str">
        <f t="shared" ref="I1667:I1730" si="26">TEXT(A1667,"mmm")</f>
        <v>Nov</v>
      </c>
      <c r="J1667">
        <f>YEAR(datas[[#This Row],[Order Date]])</f>
        <v>2021</v>
      </c>
    </row>
    <row r="1668" spans="1:10" ht="14.25" customHeight="1" x14ac:dyDescent="0.3">
      <c r="A1668" s="1">
        <v>44525</v>
      </c>
      <c r="B1668" s="2" t="s">
        <v>279</v>
      </c>
      <c r="C1668" s="2" t="s">
        <v>9</v>
      </c>
      <c r="D1668" s="2" t="s">
        <v>10</v>
      </c>
      <c r="E1668" s="2" t="s">
        <v>14</v>
      </c>
      <c r="F1668" s="2">
        <v>5.9</v>
      </c>
      <c r="G1668" s="2">
        <v>2</v>
      </c>
      <c r="H1668" s="2">
        <v>1.99</v>
      </c>
      <c r="I1668" t="str">
        <f t="shared" si="26"/>
        <v>Nov</v>
      </c>
      <c r="J1668">
        <f>YEAR(datas[[#This Row],[Order Date]])</f>
        <v>2021</v>
      </c>
    </row>
    <row r="1669" spans="1:10" ht="14.25" customHeight="1" x14ac:dyDescent="0.3">
      <c r="A1669" s="1">
        <v>44525</v>
      </c>
      <c r="B1669" s="2" t="s">
        <v>279</v>
      </c>
      <c r="C1669" s="2" t="s">
        <v>9</v>
      </c>
      <c r="D1669" s="2" t="s">
        <v>10</v>
      </c>
      <c r="E1669" s="2" t="s">
        <v>11</v>
      </c>
      <c r="F1669" s="2">
        <v>15.7</v>
      </c>
      <c r="G1669" s="2">
        <v>3</v>
      </c>
      <c r="H1669" s="2">
        <v>5.0999999999999996</v>
      </c>
      <c r="I1669" t="str">
        <f t="shared" si="26"/>
        <v>Nov</v>
      </c>
      <c r="J1669">
        <f>YEAR(datas[[#This Row],[Order Date]])</f>
        <v>2021</v>
      </c>
    </row>
    <row r="1670" spans="1:10" ht="14.25" customHeight="1" x14ac:dyDescent="0.3">
      <c r="A1670" s="1">
        <v>44525</v>
      </c>
      <c r="B1670" s="2" t="s">
        <v>279</v>
      </c>
      <c r="C1670" s="2" t="s">
        <v>9</v>
      </c>
      <c r="D1670" s="2" t="s">
        <v>26</v>
      </c>
      <c r="E1670" s="2" t="s">
        <v>32</v>
      </c>
      <c r="F1670" s="2">
        <v>6.1</v>
      </c>
      <c r="G1670" s="2">
        <v>3</v>
      </c>
      <c r="H1670" s="2">
        <v>-3.96</v>
      </c>
      <c r="I1670" t="str">
        <f t="shared" si="26"/>
        <v>Nov</v>
      </c>
      <c r="J1670">
        <f>YEAR(datas[[#This Row],[Order Date]])</f>
        <v>2021</v>
      </c>
    </row>
    <row r="1671" spans="1:10" ht="14.25" customHeight="1" x14ac:dyDescent="0.3">
      <c r="A1671" s="1">
        <v>44525</v>
      </c>
      <c r="B1671" s="2" t="s">
        <v>611</v>
      </c>
      <c r="C1671" s="2" t="s">
        <v>553</v>
      </c>
      <c r="D1671" s="2" t="s">
        <v>26</v>
      </c>
      <c r="E1671" s="2" t="s">
        <v>32</v>
      </c>
      <c r="F1671" s="2">
        <v>52.96</v>
      </c>
      <c r="G1671" s="2">
        <v>2</v>
      </c>
      <c r="H1671" s="2">
        <v>20.12</v>
      </c>
      <c r="I1671" t="str">
        <f t="shared" si="26"/>
        <v>Nov</v>
      </c>
      <c r="J1671">
        <f>YEAR(datas[[#This Row],[Order Date]])</f>
        <v>2021</v>
      </c>
    </row>
    <row r="1672" spans="1:10" ht="14.25" customHeight="1" x14ac:dyDescent="0.3">
      <c r="A1672" s="1">
        <v>44525</v>
      </c>
      <c r="B1672" s="2" t="s">
        <v>168</v>
      </c>
      <c r="C1672" s="2" t="s">
        <v>75</v>
      </c>
      <c r="D1672" s="2" t="s">
        <v>10</v>
      </c>
      <c r="E1672" s="2" t="s">
        <v>15</v>
      </c>
      <c r="F1672" s="2">
        <v>1117.92</v>
      </c>
      <c r="G1672" s="2">
        <v>4</v>
      </c>
      <c r="H1672" s="2">
        <v>55.9</v>
      </c>
      <c r="I1672" t="str">
        <f t="shared" si="26"/>
        <v>Nov</v>
      </c>
      <c r="J1672">
        <f>YEAR(datas[[#This Row],[Order Date]])</f>
        <v>2021</v>
      </c>
    </row>
    <row r="1673" spans="1:10" ht="14.25" customHeight="1" x14ac:dyDescent="0.3">
      <c r="A1673" s="1">
        <v>44525</v>
      </c>
      <c r="B1673" s="2" t="s">
        <v>168</v>
      </c>
      <c r="C1673" s="2" t="s">
        <v>75</v>
      </c>
      <c r="D1673" s="2" t="s">
        <v>26</v>
      </c>
      <c r="E1673" s="2" t="s">
        <v>45</v>
      </c>
      <c r="F1673" s="2">
        <v>275.95</v>
      </c>
      <c r="G1673" s="2">
        <v>3</v>
      </c>
      <c r="H1673" s="2">
        <v>-37.94</v>
      </c>
      <c r="I1673" t="str">
        <f t="shared" si="26"/>
        <v>Nov</v>
      </c>
      <c r="J1673">
        <f>YEAR(datas[[#This Row],[Order Date]])</f>
        <v>2021</v>
      </c>
    </row>
    <row r="1674" spans="1:10" ht="14.25" customHeight="1" x14ac:dyDescent="0.3">
      <c r="A1674" s="1">
        <v>44525</v>
      </c>
      <c r="B1674" s="2" t="s">
        <v>206</v>
      </c>
      <c r="C1674" s="2" t="s">
        <v>52</v>
      </c>
      <c r="D1674" s="2" t="s">
        <v>10</v>
      </c>
      <c r="E1674" s="2" t="s">
        <v>19</v>
      </c>
      <c r="F1674" s="2">
        <v>51.02</v>
      </c>
      <c r="G1674" s="2">
        <v>7</v>
      </c>
      <c r="H1674" s="2">
        <v>8.2899999999999991</v>
      </c>
      <c r="I1674" t="str">
        <f t="shared" si="26"/>
        <v>Nov</v>
      </c>
      <c r="J1674">
        <f>YEAR(datas[[#This Row],[Order Date]])</f>
        <v>2021</v>
      </c>
    </row>
    <row r="1675" spans="1:10" ht="14.25" customHeight="1" x14ac:dyDescent="0.3">
      <c r="A1675" s="1">
        <v>44525</v>
      </c>
      <c r="B1675" s="2" t="s">
        <v>130</v>
      </c>
      <c r="C1675" s="2" t="s">
        <v>21</v>
      </c>
      <c r="D1675" s="2" t="s">
        <v>28</v>
      </c>
      <c r="E1675" s="2" t="s">
        <v>29</v>
      </c>
      <c r="F1675" s="2">
        <v>539.91999999999996</v>
      </c>
      <c r="G1675" s="2">
        <v>5</v>
      </c>
      <c r="H1675" s="2">
        <v>47.24</v>
      </c>
      <c r="I1675" t="str">
        <f t="shared" si="26"/>
        <v>Nov</v>
      </c>
      <c r="J1675">
        <f>YEAR(datas[[#This Row],[Order Date]])</f>
        <v>2021</v>
      </c>
    </row>
    <row r="1676" spans="1:10" ht="14.25" customHeight="1" x14ac:dyDescent="0.3">
      <c r="A1676" s="1">
        <v>44525</v>
      </c>
      <c r="B1676" s="2" t="s">
        <v>130</v>
      </c>
      <c r="C1676" s="2" t="s">
        <v>21</v>
      </c>
      <c r="D1676" s="2" t="s">
        <v>26</v>
      </c>
      <c r="E1676" s="2" t="s">
        <v>27</v>
      </c>
      <c r="F1676" s="2">
        <v>725.34</v>
      </c>
      <c r="G1676" s="2">
        <v>4</v>
      </c>
      <c r="H1676" s="2">
        <v>54.4</v>
      </c>
      <c r="I1676" t="str">
        <f t="shared" si="26"/>
        <v>Nov</v>
      </c>
      <c r="J1676">
        <f>YEAR(datas[[#This Row],[Order Date]])</f>
        <v>2021</v>
      </c>
    </row>
    <row r="1677" spans="1:10" ht="14.25" customHeight="1" x14ac:dyDescent="0.3">
      <c r="A1677" s="1">
        <v>44525</v>
      </c>
      <c r="B1677" s="2" t="s">
        <v>130</v>
      </c>
      <c r="C1677" s="2" t="s">
        <v>21</v>
      </c>
      <c r="D1677" s="2" t="s">
        <v>10</v>
      </c>
      <c r="E1677" s="2" t="s">
        <v>19</v>
      </c>
      <c r="F1677" s="2">
        <v>7.44</v>
      </c>
      <c r="G1677" s="2">
        <v>3</v>
      </c>
      <c r="H1677" s="2">
        <v>2.6</v>
      </c>
      <c r="I1677" t="str">
        <f t="shared" si="26"/>
        <v>Nov</v>
      </c>
      <c r="J1677">
        <f>YEAR(datas[[#This Row],[Order Date]])</f>
        <v>2021</v>
      </c>
    </row>
    <row r="1678" spans="1:10" ht="14.25" customHeight="1" x14ac:dyDescent="0.3">
      <c r="A1678" s="1">
        <v>44526</v>
      </c>
      <c r="B1678" s="2" t="s">
        <v>332</v>
      </c>
      <c r="C1678" s="2" t="s">
        <v>9</v>
      </c>
      <c r="D1678" s="2" t="s">
        <v>26</v>
      </c>
      <c r="E1678" s="2" t="s">
        <v>32</v>
      </c>
      <c r="F1678" s="2">
        <v>19.3</v>
      </c>
      <c r="G1678" s="2">
        <v>5</v>
      </c>
      <c r="H1678" s="2">
        <v>-14.48</v>
      </c>
      <c r="I1678" t="str">
        <f t="shared" si="26"/>
        <v>Nov</v>
      </c>
      <c r="J1678">
        <f>YEAR(datas[[#This Row],[Order Date]])</f>
        <v>2021</v>
      </c>
    </row>
    <row r="1679" spans="1:10" ht="14.25" customHeight="1" x14ac:dyDescent="0.3">
      <c r="A1679" s="1">
        <v>44526</v>
      </c>
      <c r="B1679" s="2" t="s">
        <v>330</v>
      </c>
      <c r="C1679" s="2" t="s">
        <v>52</v>
      </c>
      <c r="D1679" s="2" t="s">
        <v>10</v>
      </c>
      <c r="E1679" s="2" t="s">
        <v>11</v>
      </c>
      <c r="F1679" s="2">
        <v>15.55</v>
      </c>
      <c r="G1679" s="2">
        <v>3</v>
      </c>
      <c r="H1679" s="2">
        <v>5.44</v>
      </c>
      <c r="I1679" t="str">
        <f t="shared" si="26"/>
        <v>Nov</v>
      </c>
      <c r="J1679">
        <f>YEAR(datas[[#This Row],[Order Date]])</f>
        <v>2021</v>
      </c>
    </row>
    <row r="1680" spans="1:10" ht="14.25" customHeight="1" x14ac:dyDescent="0.3">
      <c r="A1680" s="1">
        <v>44526</v>
      </c>
      <c r="B1680" s="2" t="s">
        <v>330</v>
      </c>
      <c r="C1680" s="2" t="s">
        <v>52</v>
      </c>
      <c r="D1680" s="2" t="s">
        <v>10</v>
      </c>
      <c r="E1680" s="2" t="s">
        <v>15</v>
      </c>
      <c r="F1680" s="2">
        <v>669.08</v>
      </c>
      <c r="G1680" s="2">
        <v>5</v>
      </c>
      <c r="H1680" s="2">
        <v>-167.27</v>
      </c>
      <c r="I1680" t="str">
        <f t="shared" si="26"/>
        <v>Nov</v>
      </c>
      <c r="J1680">
        <f>YEAR(datas[[#This Row],[Order Date]])</f>
        <v>2021</v>
      </c>
    </row>
    <row r="1681" spans="1:10" ht="14.25" customHeight="1" x14ac:dyDescent="0.3">
      <c r="A1681" s="1">
        <v>44526</v>
      </c>
      <c r="B1681" s="2" t="s">
        <v>330</v>
      </c>
      <c r="C1681" s="2" t="s">
        <v>52</v>
      </c>
      <c r="D1681" s="2" t="s">
        <v>28</v>
      </c>
      <c r="E1681" s="2" t="s">
        <v>29</v>
      </c>
      <c r="F1681" s="2">
        <v>438.34</v>
      </c>
      <c r="G1681" s="2">
        <v>4</v>
      </c>
      <c r="H1681" s="2">
        <v>-87.67</v>
      </c>
      <c r="I1681" t="str">
        <f t="shared" si="26"/>
        <v>Nov</v>
      </c>
      <c r="J1681">
        <f>YEAR(datas[[#This Row],[Order Date]])</f>
        <v>2021</v>
      </c>
    </row>
    <row r="1682" spans="1:10" ht="14.25" customHeight="1" x14ac:dyDescent="0.3">
      <c r="A1682" s="1">
        <v>44526</v>
      </c>
      <c r="B1682" s="2" t="s">
        <v>542</v>
      </c>
      <c r="C1682" s="2" t="s">
        <v>21</v>
      </c>
      <c r="D1682" s="2" t="s">
        <v>10</v>
      </c>
      <c r="E1682" s="2" t="s">
        <v>11</v>
      </c>
      <c r="F1682" s="2">
        <v>81.98</v>
      </c>
      <c r="G1682" s="2">
        <v>2</v>
      </c>
      <c r="H1682" s="2">
        <v>40.17</v>
      </c>
      <c r="I1682" t="str">
        <f t="shared" si="26"/>
        <v>Nov</v>
      </c>
      <c r="J1682">
        <f>YEAR(datas[[#This Row],[Order Date]])</f>
        <v>2021</v>
      </c>
    </row>
    <row r="1683" spans="1:10" ht="14.25" customHeight="1" x14ac:dyDescent="0.3">
      <c r="A1683" s="1">
        <v>44526</v>
      </c>
      <c r="B1683" s="2" t="s">
        <v>533</v>
      </c>
      <c r="C1683" s="2" t="s">
        <v>75</v>
      </c>
      <c r="D1683" s="2" t="s">
        <v>28</v>
      </c>
      <c r="E1683" s="2" t="s">
        <v>29</v>
      </c>
      <c r="F1683" s="2">
        <v>279.95999999999998</v>
      </c>
      <c r="G1683" s="2">
        <v>4</v>
      </c>
      <c r="H1683" s="2">
        <v>78.39</v>
      </c>
      <c r="I1683" t="str">
        <f t="shared" si="26"/>
        <v>Nov</v>
      </c>
      <c r="J1683">
        <f>YEAR(datas[[#This Row],[Order Date]])</f>
        <v>2021</v>
      </c>
    </row>
    <row r="1684" spans="1:10" ht="14.25" customHeight="1" x14ac:dyDescent="0.3">
      <c r="A1684" s="1">
        <v>44526</v>
      </c>
      <c r="B1684" s="2" t="s">
        <v>533</v>
      </c>
      <c r="C1684" s="2" t="s">
        <v>75</v>
      </c>
      <c r="D1684" s="2" t="s">
        <v>10</v>
      </c>
      <c r="E1684" s="2" t="s">
        <v>16</v>
      </c>
      <c r="F1684" s="2">
        <v>12.91</v>
      </c>
      <c r="G1684" s="2">
        <v>3</v>
      </c>
      <c r="H1684" s="2">
        <v>4.68</v>
      </c>
      <c r="I1684" t="str">
        <f t="shared" si="26"/>
        <v>Nov</v>
      </c>
      <c r="J1684">
        <f>YEAR(datas[[#This Row],[Order Date]])</f>
        <v>2021</v>
      </c>
    </row>
    <row r="1685" spans="1:10" ht="14.25" customHeight="1" x14ac:dyDescent="0.3">
      <c r="A1685" s="1">
        <v>44526</v>
      </c>
      <c r="B1685" s="2" t="s">
        <v>533</v>
      </c>
      <c r="C1685" s="2" t="s">
        <v>75</v>
      </c>
      <c r="D1685" s="2" t="s">
        <v>10</v>
      </c>
      <c r="E1685" s="2" t="s">
        <v>16</v>
      </c>
      <c r="F1685" s="2">
        <v>17.09</v>
      </c>
      <c r="G1685" s="2">
        <v>4</v>
      </c>
      <c r="H1685" s="2">
        <v>5.77</v>
      </c>
      <c r="I1685" t="str">
        <f t="shared" si="26"/>
        <v>Nov</v>
      </c>
      <c r="J1685">
        <f>YEAR(datas[[#This Row],[Order Date]])</f>
        <v>2021</v>
      </c>
    </row>
    <row r="1686" spans="1:10" ht="14.25" customHeight="1" x14ac:dyDescent="0.3">
      <c r="A1686" s="1">
        <v>44526</v>
      </c>
      <c r="B1686" s="2" t="s">
        <v>533</v>
      </c>
      <c r="C1686" s="2" t="s">
        <v>75</v>
      </c>
      <c r="D1686" s="2" t="s">
        <v>10</v>
      </c>
      <c r="E1686" s="2" t="s">
        <v>14</v>
      </c>
      <c r="F1686" s="2">
        <v>93.15</v>
      </c>
      <c r="G1686" s="2">
        <v>9</v>
      </c>
      <c r="H1686" s="2">
        <v>44.71</v>
      </c>
      <c r="I1686" t="str">
        <f t="shared" si="26"/>
        <v>Nov</v>
      </c>
      <c r="J1686">
        <f>YEAR(datas[[#This Row],[Order Date]])</f>
        <v>2021</v>
      </c>
    </row>
    <row r="1687" spans="1:10" ht="14.25" customHeight="1" x14ac:dyDescent="0.3">
      <c r="A1687" s="1">
        <v>44526</v>
      </c>
      <c r="B1687" s="2" t="s">
        <v>533</v>
      </c>
      <c r="C1687" s="2" t="s">
        <v>75</v>
      </c>
      <c r="D1687" s="2" t="s">
        <v>10</v>
      </c>
      <c r="E1687" s="2" t="s">
        <v>14</v>
      </c>
      <c r="F1687" s="2">
        <v>11.52</v>
      </c>
      <c r="G1687" s="2">
        <v>4</v>
      </c>
      <c r="H1687" s="2">
        <v>5.64</v>
      </c>
      <c r="I1687" t="str">
        <f t="shared" si="26"/>
        <v>Nov</v>
      </c>
      <c r="J1687">
        <f>YEAR(datas[[#This Row],[Order Date]])</f>
        <v>2021</v>
      </c>
    </row>
    <row r="1688" spans="1:10" ht="14.25" customHeight="1" x14ac:dyDescent="0.3">
      <c r="A1688" s="1">
        <v>44526</v>
      </c>
      <c r="B1688" s="2" t="s">
        <v>536</v>
      </c>
      <c r="C1688" s="2" t="s">
        <v>21</v>
      </c>
      <c r="D1688" s="2" t="s">
        <v>10</v>
      </c>
      <c r="E1688" s="2" t="s">
        <v>16</v>
      </c>
      <c r="F1688" s="2">
        <v>4.32</v>
      </c>
      <c r="G1688" s="2">
        <v>3</v>
      </c>
      <c r="H1688" s="2">
        <v>1.51</v>
      </c>
      <c r="I1688" t="str">
        <f t="shared" si="26"/>
        <v>Nov</v>
      </c>
      <c r="J1688">
        <f>YEAR(datas[[#This Row],[Order Date]])</f>
        <v>2021</v>
      </c>
    </row>
    <row r="1689" spans="1:10" ht="14.25" customHeight="1" x14ac:dyDescent="0.3">
      <c r="A1689" s="1">
        <v>44526</v>
      </c>
      <c r="B1689" s="2" t="s">
        <v>536</v>
      </c>
      <c r="C1689" s="2" t="s">
        <v>21</v>
      </c>
      <c r="D1689" s="2" t="s">
        <v>10</v>
      </c>
      <c r="E1689" s="2" t="s">
        <v>11</v>
      </c>
      <c r="F1689" s="2">
        <v>14.94</v>
      </c>
      <c r="G1689" s="2">
        <v>3</v>
      </c>
      <c r="H1689" s="2">
        <v>7.02</v>
      </c>
      <c r="I1689" t="str">
        <f t="shared" si="26"/>
        <v>Nov</v>
      </c>
      <c r="J1689">
        <f>YEAR(datas[[#This Row],[Order Date]])</f>
        <v>2021</v>
      </c>
    </row>
    <row r="1690" spans="1:10" ht="14.25" customHeight="1" x14ac:dyDescent="0.3">
      <c r="A1690" s="1">
        <v>44526</v>
      </c>
      <c r="B1690" s="2" t="s">
        <v>536</v>
      </c>
      <c r="C1690" s="2" t="s">
        <v>21</v>
      </c>
      <c r="D1690" s="2" t="s">
        <v>10</v>
      </c>
      <c r="E1690" s="2" t="s">
        <v>53</v>
      </c>
      <c r="F1690" s="2">
        <v>40.54</v>
      </c>
      <c r="G1690" s="2">
        <v>2</v>
      </c>
      <c r="H1690" s="2">
        <v>11.35</v>
      </c>
      <c r="I1690" t="str">
        <f t="shared" si="26"/>
        <v>Nov</v>
      </c>
      <c r="J1690">
        <f>YEAR(datas[[#This Row],[Order Date]])</f>
        <v>2021</v>
      </c>
    </row>
    <row r="1691" spans="1:10" ht="14.25" customHeight="1" x14ac:dyDescent="0.3">
      <c r="A1691" s="1">
        <v>44526</v>
      </c>
      <c r="B1691" s="2" t="s">
        <v>536</v>
      </c>
      <c r="C1691" s="2" t="s">
        <v>21</v>
      </c>
      <c r="D1691" s="2" t="s">
        <v>10</v>
      </c>
      <c r="E1691" s="2" t="s">
        <v>16</v>
      </c>
      <c r="F1691" s="2">
        <v>7.31</v>
      </c>
      <c r="G1691" s="2">
        <v>1</v>
      </c>
      <c r="H1691" s="2">
        <v>2.56</v>
      </c>
      <c r="I1691" t="str">
        <f t="shared" si="26"/>
        <v>Nov</v>
      </c>
      <c r="J1691">
        <f>YEAR(datas[[#This Row],[Order Date]])</f>
        <v>2021</v>
      </c>
    </row>
    <row r="1692" spans="1:10" ht="14.25" customHeight="1" x14ac:dyDescent="0.3">
      <c r="A1692" s="1">
        <v>44527</v>
      </c>
      <c r="B1692" s="2" t="s">
        <v>350</v>
      </c>
      <c r="C1692" s="2" t="s">
        <v>75</v>
      </c>
      <c r="D1692" s="2" t="s">
        <v>10</v>
      </c>
      <c r="E1692" s="2" t="s">
        <v>30</v>
      </c>
      <c r="F1692" s="2">
        <v>3.76</v>
      </c>
      <c r="G1692" s="2">
        <v>2</v>
      </c>
      <c r="H1692" s="2">
        <v>1.32</v>
      </c>
      <c r="I1692" t="str">
        <f t="shared" si="26"/>
        <v>Nov</v>
      </c>
      <c r="J1692">
        <f>YEAR(datas[[#This Row],[Order Date]])</f>
        <v>2021</v>
      </c>
    </row>
    <row r="1693" spans="1:10" ht="14.25" customHeight="1" x14ac:dyDescent="0.3">
      <c r="A1693" s="1">
        <v>44527</v>
      </c>
      <c r="B1693" s="2" t="s">
        <v>22</v>
      </c>
      <c r="C1693" s="2" t="s">
        <v>75</v>
      </c>
      <c r="D1693" s="2" t="s">
        <v>26</v>
      </c>
      <c r="E1693" s="2" t="s">
        <v>32</v>
      </c>
      <c r="F1693" s="2">
        <v>199.9</v>
      </c>
      <c r="G1693" s="2">
        <v>5</v>
      </c>
      <c r="H1693" s="2">
        <v>39.979999999999997</v>
      </c>
      <c r="I1693" t="str">
        <f t="shared" si="26"/>
        <v>Nov</v>
      </c>
      <c r="J1693">
        <f>YEAR(datas[[#This Row],[Order Date]])</f>
        <v>2021</v>
      </c>
    </row>
    <row r="1694" spans="1:10" ht="14.25" customHeight="1" x14ac:dyDescent="0.3">
      <c r="A1694" s="1">
        <v>44528</v>
      </c>
      <c r="B1694" s="2" t="s">
        <v>612</v>
      </c>
      <c r="C1694" s="2" t="s">
        <v>198</v>
      </c>
      <c r="D1694" s="2" t="s">
        <v>10</v>
      </c>
      <c r="E1694" s="2" t="s">
        <v>19</v>
      </c>
      <c r="F1694" s="2">
        <v>14.67</v>
      </c>
      <c r="G1694" s="2">
        <v>3</v>
      </c>
      <c r="H1694" s="2">
        <v>3.96</v>
      </c>
      <c r="I1694" t="str">
        <f t="shared" si="26"/>
        <v>Nov</v>
      </c>
      <c r="J1694">
        <f>YEAR(datas[[#This Row],[Order Date]])</f>
        <v>2021</v>
      </c>
    </row>
    <row r="1695" spans="1:10" ht="14.25" customHeight="1" x14ac:dyDescent="0.3">
      <c r="A1695" s="1">
        <v>44528</v>
      </c>
      <c r="B1695" s="2" t="s">
        <v>613</v>
      </c>
      <c r="C1695" s="2" t="s">
        <v>75</v>
      </c>
      <c r="D1695" s="2" t="s">
        <v>10</v>
      </c>
      <c r="E1695" s="2" t="s">
        <v>16</v>
      </c>
      <c r="F1695" s="2">
        <v>17.25</v>
      </c>
      <c r="G1695" s="2">
        <v>2</v>
      </c>
      <c r="H1695" s="2">
        <v>6.04</v>
      </c>
      <c r="I1695" t="str">
        <f t="shared" si="26"/>
        <v>Nov</v>
      </c>
      <c r="J1695">
        <f>YEAR(datas[[#This Row],[Order Date]])</f>
        <v>2021</v>
      </c>
    </row>
    <row r="1696" spans="1:10" ht="14.25" customHeight="1" x14ac:dyDescent="0.3">
      <c r="A1696" s="1">
        <v>44528</v>
      </c>
      <c r="B1696" s="2" t="s">
        <v>39</v>
      </c>
      <c r="C1696" s="2" t="s">
        <v>43</v>
      </c>
      <c r="D1696" s="2" t="s">
        <v>26</v>
      </c>
      <c r="E1696" s="2" t="s">
        <v>32</v>
      </c>
      <c r="F1696" s="2">
        <v>397.6</v>
      </c>
      <c r="G1696" s="2">
        <v>5</v>
      </c>
      <c r="H1696" s="2">
        <v>43.74</v>
      </c>
      <c r="I1696" t="str">
        <f t="shared" si="26"/>
        <v>Nov</v>
      </c>
      <c r="J1696">
        <f>YEAR(datas[[#This Row],[Order Date]])</f>
        <v>2021</v>
      </c>
    </row>
    <row r="1697" spans="1:10" ht="14.25" customHeight="1" x14ac:dyDescent="0.3">
      <c r="A1697" s="1">
        <v>44528</v>
      </c>
      <c r="B1697" s="2" t="s">
        <v>39</v>
      </c>
      <c r="C1697" s="2" t="s">
        <v>43</v>
      </c>
      <c r="D1697" s="2" t="s">
        <v>10</v>
      </c>
      <c r="E1697" s="2" t="s">
        <v>11</v>
      </c>
      <c r="F1697" s="2">
        <v>85.96</v>
      </c>
      <c r="G1697" s="2">
        <v>7</v>
      </c>
      <c r="H1697" s="2">
        <v>40.4</v>
      </c>
      <c r="I1697" t="str">
        <f t="shared" si="26"/>
        <v>Nov</v>
      </c>
      <c r="J1697">
        <f>YEAR(datas[[#This Row],[Order Date]])</f>
        <v>2021</v>
      </c>
    </row>
    <row r="1698" spans="1:10" ht="14.25" customHeight="1" x14ac:dyDescent="0.3">
      <c r="A1698" s="1">
        <v>44528</v>
      </c>
      <c r="B1698" s="2" t="s">
        <v>39</v>
      </c>
      <c r="C1698" s="2" t="s">
        <v>43</v>
      </c>
      <c r="D1698" s="2" t="s">
        <v>10</v>
      </c>
      <c r="E1698" s="2" t="s">
        <v>19</v>
      </c>
      <c r="F1698" s="2">
        <v>13.12</v>
      </c>
      <c r="G1698" s="2">
        <v>4</v>
      </c>
      <c r="H1698" s="2">
        <v>4.33</v>
      </c>
      <c r="I1698" t="str">
        <f t="shared" si="26"/>
        <v>Nov</v>
      </c>
      <c r="J1698">
        <f>YEAR(datas[[#This Row],[Order Date]])</f>
        <v>2021</v>
      </c>
    </row>
    <row r="1699" spans="1:10" ht="14.25" customHeight="1" x14ac:dyDescent="0.3">
      <c r="A1699" s="1">
        <v>44528</v>
      </c>
      <c r="B1699" s="2" t="s">
        <v>39</v>
      </c>
      <c r="C1699" s="2" t="s">
        <v>43</v>
      </c>
      <c r="D1699" s="2" t="s">
        <v>10</v>
      </c>
      <c r="E1699" s="2" t="s">
        <v>16</v>
      </c>
      <c r="F1699" s="2">
        <v>45.66</v>
      </c>
      <c r="G1699" s="2">
        <v>3</v>
      </c>
      <c r="H1699" s="2">
        <v>22.37</v>
      </c>
      <c r="I1699" t="str">
        <f t="shared" si="26"/>
        <v>Nov</v>
      </c>
      <c r="J1699">
        <f>YEAR(datas[[#This Row],[Order Date]])</f>
        <v>2021</v>
      </c>
    </row>
    <row r="1700" spans="1:10" ht="14.25" customHeight="1" x14ac:dyDescent="0.3">
      <c r="A1700" s="1">
        <v>44528</v>
      </c>
      <c r="B1700" s="2" t="s">
        <v>417</v>
      </c>
      <c r="C1700" s="2" t="s">
        <v>21</v>
      </c>
      <c r="D1700" s="2" t="s">
        <v>10</v>
      </c>
      <c r="E1700" s="2" t="s">
        <v>95</v>
      </c>
      <c r="F1700" s="2">
        <v>7.36</v>
      </c>
      <c r="G1700" s="2">
        <v>2</v>
      </c>
      <c r="H1700" s="2">
        <v>0.15</v>
      </c>
      <c r="I1700" t="str">
        <f t="shared" si="26"/>
        <v>Nov</v>
      </c>
      <c r="J1700">
        <f>YEAR(datas[[#This Row],[Order Date]])</f>
        <v>2021</v>
      </c>
    </row>
    <row r="1701" spans="1:10" ht="14.25" customHeight="1" x14ac:dyDescent="0.3">
      <c r="A1701" s="1">
        <v>44528</v>
      </c>
      <c r="B1701" s="2" t="s">
        <v>417</v>
      </c>
      <c r="C1701" s="2" t="s">
        <v>21</v>
      </c>
      <c r="D1701" s="2" t="s">
        <v>10</v>
      </c>
      <c r="E1701" s="2" t="s">
        <v>14</v>
      </c>
      <c r="F1701" s="2">
        <v>41.4</v>
      </c>
      <c r="G1701" s="2">
        <v>4</v>
      </c>
      <c r="H1701" s="2">
        <v>19.87</v>
      </c>
      <c r="I1701" t="str">
        <f t="shared" si="26"/>
        <v>Nov</v>
      </c>
      <c r="J1701">
        <f>YEAR(datas[[#This Row],[Order Date]])</f>
        <v>2021</v>
      </c>
    </row>
    <row r="1702" spans="1:10" ht="14.25" customHeight="1" x14ac:dyDescent="0.3">
      <c r="A1702" s="1">
        <v>44528</v>
      </c>
      <c r="B1702" s="2" t="s">
        <v>417</v>
      </c>
      <c r="C1702" s="2" t="s">
        <v>21</v>
      </c>
      <c r="D1702" s="2" t="s">
        <v>26</v>
      </c>
      <c r="E1702" s="2" t="s">
        <v>45</v>
      </c>
      <c r="F1702" s="2">
        <v>411.33</v>
      </c>
      <c r="G1702" s="2">
        <v>4</v>
      </c>
      <c r="H1702" s="2">
        <v>-4.84</v>
      </c>
      <c r="I1702" t="str">
        <f t="shared" si="26"/>
        <v>Nov</v>
      </c>
      <c r="J1702">
        <f>YEAR(datas[[#This Row],[Order Date]])</f>
        <v>2021</v>
      </c>
    </row>
    <row r="1703" spans="1:10" ht="14.25" customHeight="1" x14ac:dyDescent="0.3">
      <c r="A1703" s="1">
        <v>44528</v>
      </c>
      <c r="B1703" s="2" t="s">
        <v>389</v>
      </c>
      <c r="C1703" s="2" t="s">
        <v>21</v>
      </c>
      <c r="D1703" s="2" t="s">
        <v>10</v>
      </c>
      <c r="E1703" s="2" t="s">
        <v>53</v>
      </c>
      <c r="F1703" s="2">
        <v>43.68</v>
      </c>
      <c r="G1703" s="2">
        <v>3</v>
      </c>
      <c r="H1703" s="2">
        <v>11.79</v>
      </c>
      <c r="I1703" t="str">
        <f t="shared" si="26"/>
        <v>Nov</v>
      </c>
      <c r="J1703">
        <f>YEAR(datas[[#This Row],[Order Date]])</f>
        <v>2021</v>
      </c>
    </row>
    <row r="1704" spans="1:10" ht="14.25" customHeight="1" x14ac:dyDescent="0.3">
      <c r="A1704" s="1">
        <v>44528</v>
      </c>
      <c r="B1704" s="2" t="s">
        <v>389</v>
      </c>
      <c r="C1704" s="2" t="s">
        <v>21</v>
      </c>
      <c r="D1704" s="2" t="s">
        <v>28</v>
      </c>
      <c r="E1704" s="2" t="s">
        <v>34</v>
      </c>
      <c r="F1704" s="2">
        <v>139.93</v>
      </c>
      <c r="G1704" s="2">
        <v>7</v>
      </c>
      <c r="H1704" s="2">
        <v>34.979999999999997</v>
      </c>
      <c r="I1704" t="str">
        <f t="shared" si="26"/>
        <v>Nov</v>
      </c>
      <c r="J1704">
        <f>YEAR(datas[[#This Row],[Order Date]])</f>
        <v>2021</v>
      </c>
    </row>
    <row r="1705" spans="1:10" ht="14.25" customHeight="1" x14ac:dyDescent="0.3">
      <c r="A1705" s="1">
        <v>44528</v>
      </c>
      <c r="B1705" s="2" t="s">
        <v>614</v>
      </c>
      <c r="C1705" s="2" t="s">
        <v>9</v>
      </c>
      <c r="D1705" s="2" t="s">
        <v>28</v>
      </c>
      <c r="E1705" s="2" t="s">
        <v>136</v>
      </c>
      <c r="F1705" s="2">
        <v>998.85</v>
      </c>
      <c r="G1705" s="2">
        <v>5</v>
      </c>
      <c r="H1705" s="2">
        <v>-199.77</v>
      </c>
      <c r="I1705" t="str">
        <f t="shared" si="26"/>
        <v>Nov</v>
      </c>
      <c r="J1705">
        <f>YEAR(datas[[#This Row],[Order Date]])</f>
        <v>2021</v>
      </c>
    </row>
    <row r="1706" spans="1:10" ht="14.25" customHeight="1" x14ac:dyDescent="0.3">
      <c r="A1706" s="1">
        <v>44528</v>
      </c>
      <c r="B1706" s="2" t="s">
        <v>615</v>
      </c>
      <c r="C1706" s="2" t="s">
        <v>68</v>
      </c>
      <c r="D1706" s="2" t="s">
        <v>10</v>
      </c>
      <c r="E1706" s="2" t="s">
        <v>41</v>
      </c>
      <c r="F1706" s="2">
        <v>64.02</v>
      </c>
      <c r="G1706" s="2">
        <v>6</v>
      </c>
      <c r="H1706" s="2">
        <v>29.45</v>
      </c>
      <c r="I1706" t="str">
        <f t="shared" si="26"/>
        <v>Nov</v>
      </c>
      <c r="J1706">
        <f>YEAR(datas[[#This Row],[Order Date]])</f>
        <v>2021</v>
      </c>
    </row>
    <row r="1707" spans="1:10" ht="14.25" customHeight="1" x14ac:dyDescent="0.3">
      <c r="A1707" s="1">
        <v>44529</v>
      </c>
      <c r="B1707" s="2" t="s">
        <v>328</v>
      </c>
      <c r="C1707" s="2" t="s">
        <v>18</v>
      </c>
      <c r="D1707" s="2" t="s">
        <v>10</v>
      </c>
      <c r="E1707" s="2" t="s">
        <v>14</v>
      </c>
      <c r="F1707" s="2">
        <v>5.04</v>
      </c>
      <c r="G1707" s="2">
        <v>2</v>
      </c>
      <c r="H1707" s="2">
        <v>1.76</v>
      </c>
      <c r="I1707" t="str">
        <f t="shared" si="26"/>
        <v>Nov</v>
      </c>
      <c r="J1707">
        <f>YEAR(datas[[#This Row],[Order Date]])</f>
        <v>2021</v>
      </c>
    </row>
    <row r="1708" spans="1:10" ht="14.25" customHeight="1" x14ac:dyDescent="0.3">
      <c r="A1708" s="1">
        <v>44529</v>
      </c>
      <c r="B1708" s="2" t="s">
        <v>616</v>
      </c>
      <c r="C1708" s="2" t="s">
        <v>13</v>
      </c>
      <c r="D1708" s="2" t="s">
        <v>10</v>
      </c>
      <c r="E1708" s="2" t="s">
        <v>30</v>
      </c>
      <c r="F1708" s="2">
        <v>12.62</v>
      </c>
      <c r="G1708" s="2">
        <v>2</v>
      </c>
      <c r="H1708" s="2">
        <v>3.95</v>
      </c>
      <c r="I1708" t="str">
        <f t="shared" si="26"/>
        <v>Nov</v>
      </c>
      <c r="J1708">
        <f>YEAR(datas[[#This Row],[Order Date]])</f>
        <v>2021</v>
      </c>
    </row>
    <row r="1709" spans="1:10" ht="14.25" customHeight="1" x14ac:dyDescent="0.3">
      <c r="A1709" s="1">
        <v>44529</v>
      </c>
      <c r="B1709" s="2" t="s">
        <v>617</v>
      </c>
      <c r="C1709" s="2" t="s">
        <v>21</v>
      </c>
      <c r="D1709" s="2" t="s">
        <v>28</v>
      </c>
      <c r="E1709" s="2" t="s">
        <v>29</v>
      </c>
      <c r="F1709" s="2">
        <v>575.91999999999996</v>
      </c>
      <c r="G1709" s="2">
        <v>2</v>
      </c>
      <c r="H1709" s="2">
        <v>71.989999999999995</v>
      </c>
      <c r="I1709" t="str">
        <f t="shared" si="26"/>
        <v>Nov</v>
      </c>
      <c r="J1709">
        <f>YEAR(datas[[#This Row],[Order Date]])</f>
        <v>2021</v>
      </c>
    </row>
    <row r="1710" spans="1:10" ht="14.25" customHeight="1" x14ac:dyDescent="0.3">
      <c r="A1710" s="1">
        <v>44529</v>
      </c>
      <c r="B1710" s="2" t="s">
        <v>617</v>
      </c>
      <c r="C1710" s="2" t="s">
        <v>21</v>
      </c>
      <c r="D1710" s="2" t="s">
        <v>10</v>
      </c>
      <c r="E1710" s="2" t="s">
        <v>30</v>
      </c>
      <c r="F1710" s="2">
        <v>30.4</v>
      </c>
      <c r="G1710" s="2">
        <v>5</v>
      </c>
      <c r="H1710" s="2">
        <v>15.2</v>
      </c>
      <c r="I1710" t="str">
        <f t="shared" si="26"/>
        <v>Nov</v>
      </c>
      <c r="J1710">
        <f>YEAR(datas[[#This Row],[Order Date]])</f>
        <v>2021</v>
      </c>
    </row>
    <row r="1711" spans="1:10" ht="14.25" customHeight="1" x14ac:dyDescent="0.3">
      <c r="A1711" s="1">
        <v>44529</v>
      </c>
      <c r="B1711" s="2" t="s">
        <v>368</v>
      </c>
      <c r="C1711" s="2" t="s">
        <v>75</v>
      </c>
      <c r="D1711" s="2" t="s">
        <v>10</v>
      </c>
      <c r="E1711" s="2" t="s">
        <v>14</v>
      </c>
      <c r="F1711" s="2">
        <v>25.06</v>
      </c>
      <c r="G1711" s="2">
        <v>2</v>
      </c>
      <c r="H1711" s="2">
        <v>11.78</v>
      </c>
      <c r="I1711" t="str">
        <f t="shared" si="26"/>
        <v>Nov</v>
      </c>
      <c r="J1711">
        <f>YEAR(datas[[#This Row],[Order Date]])</f>
        <v>2021</v>
      </c>
    </row>
    <row r="1712" spans="1:10" ht="14.25" customHeight="1" x14ac:dyDescent="0.3">
      <c r="A1712" s="1">
        <v>44530</v>
      </c>
      <c r="B1712" s="2" t="s">
        <v>578</v>
      </c>
      <c r="C1712" s="2" t="s">
        <v>75</v>
      </c>
      <c r="D1712" s="2" t="s">
        <v>10</v>
      </c>
      <c r="E1712" s="2" t="s">
        <v>41</v>
      </c>
      <c r="F1712" s="2">
        <v>62.28</v>
      </c>
      <c r="G1712" s="2">
        <v>4</v>
      </c>
      <c r="H1712" s="2">
        <v>29.27</v>
      </c>
      <c r="I1712" t="str">
        <f t="shared" si="26"/>
        <v>Nov</v>
      </c>
      <c r="J1712">
        <f>YEAR(datas[[#This Row],[Order Date]])</f>
        <v>2021</v>
      </c>
    </row>
    <row r="1713" spans="1:10" ht="14.25" customHeight="1" x14ac:dyDescent="0.3">
      <c r="A1713" s="1">
        <v>44530</v>
      </c>
      <c r="B1713" s="2" t="s">
        <v>277</v>
      </c>
      <c r="C1713" s="2" t="s">
        <v>64</v>
      </c>
      <c r="D1713" s="2" t="s">
        <v>10</v>
      </c>
      <c r="E1713" s="2" t="s">
        <v>16</v>
      </c>
      <c r="F1713" s="2">
        <v>6.64</v>
      </c>
      <c r="G1713" s="2">
        <v>9</v>
      </c>
      <c r="H1713" s="2">
        <v>-4.43</v>
      </c>
      <c r="I1713" t="str">
        <f t="shared" si="26"/>
        <v>Nov</v>
      </c>
      <c r="J1713">
        <f>YEAR(datas[[#This Row],[Order Date]])</f>
        <v>2021</v>
      </c>
    </row>
    <row r="1714" spans="1:10" ht="14.25" customHeight="1" x14ac:dyDescent="0.3">
      <c r="A1714" s="1">
        <v>44530</v>
      </c>
      <c r="B1714" s="2" t="s">
        <v>368</v>
      </c>
      <c r="C1714" s="2" t="s">
        <v>55</v>
      </c>
      <c r="D1714" s="2" t="s">
        <v>10</v>
      </c>
      <c r="E1714" s="2" t="s">
        <v>95</v>
      </c>
      <c r="F1714" s="2">
        <v>47.99</v>
      </c>
      <c r="G1714" s="2">
        <v>7</v>
      </c>
      <c r="H1714" s="2">
        <v>3.6</v>
      </c>
      <c r="I1714" t="str">
        <f t="shared" si="26"/>
        <v>Nov</v>
      </c>
      <c r="J1714">
        <f>YEAR(datas[[#This Row],[Order Date]])</f>
        <v>2021</v>
      </c>
    </row>
    <row r="1715" spans="1:10" ht="14.25" customHeight="1" x14ac:dyDescent="0.3">
      <c r="A1715" s="1">
        <v>44530</v>
      </c>
      <c r="B1715" s="2" t="s">
        <v>368</v>
      </c>
      <c r="C1715" s="2" t="s">
        <v>55</v>
      </c>
      <c r="D1715" s="2" t="s">
        <v>28</v>
      </c>
      <c r="E1715" s="2" t="s">
        <v>34</v>
      </c>
      <c r="F1715" s="2">
        <v>102.24</v>
      </c>
      <c r="G1715" s="2">
        <v>4</v>
      </c>
      <c r="H1715" s="2">
        <v>-16.61</v>
      </c>
      <c r="I1715" t="str">
        <f t="shared" si="26"/>
        <v>Nov</v>
      </c>
      <c r="J1715">
        <f>YEAR(datas[[#This Row],[Order Date]])</f>
        <v>2021</v>
      </c>
    </row>
    <row r="1716" spans="1:10" ht="14.25" customHeight="1" x14ac:dyDescent="0.3">
      <c r="A1716" s="1">
        <v>44531</v>
      </c>
      <c r="B1716" s="2" t="s">
        <v>285</v>
      </c>
      <c r="C1716" s="2" t="s">
        <v>79</v>
      </c>
      <c r="D1716" s="2" t="s">
        <v>26</v>
      </c>
      <c r="E1716" s="2" t="s">
        <v>27</v>
      </c>
      <c r="F1716" s="2">
        <v>2807.84</v>
      </c>
      <c r="G1716" s="2">
        <v>8</v>
      </c>
      <c r="H1716" s="2">
        <v>673.88</v>
      </c>
      <c r="I1716" t="str">
        <f t="shared" si="26"/>
        <v>Dec</v>
      </c>
      <c r="J1716">
        <f>YEAR(datas[[#This Row],[Order Date]])</f>
        <v>2021</v>
      </c>
    </row>
    <row r="1717" spans="1:10" ht="14.25" customHeight="1" x14ac:dyDescent="0.3">
      <c r="A1717" s="1">
        <v>44531</v>
      </c>
      <c r="B1717" s="2" t="s">
        <v>285</v>
      </c>
      <c r="C1717" s="2" t="s">
        <v>79</v>
      </c>
      <c r="D1717" s="2" t="s">
        <v>10</v>
      </c>
      <c r="E1717" s="2" t="s">
        <v>19</v>
      </c>
      <c r="F1717" s="2">
        <v>46.64</v>
      </c>
      <c r="G1717" s="2">
        <v>4</v>
      </c>
      <c r="H1717" s="2">
        <v>12.59</v>
      </c>
      <c r="I1717" t="str">
        <f t="shared" si="26"/>
        <v>Dec</v>
      </c>
      <c r="J1717">
        <f>YEAR(datas[[#This Row],[Order Date]])</f>
        <v>2021</v>
      </c>
    </row>
    <row r="1718" spans="1:10" ht="14.25" customHeight="1" x14ac:dyDescent="0.3">
      <c r="A1718" s="1">
        <v>44531</v>
      </c>
      <c r="B1718" s="2" t="s">
        <v>618</v>
      </c>
      <c r="C1718" s="2" t="s">
        <v>21</v>
      </c>
      <c r="D1718" s="2" t="s">
        <v>26</v>
      </c>
      <c r="E1718" s="2" t="s">
        <v>32</v>
      </c>
      <c r="F1718" s="2">
        <v>58.2</v>
      </c>
      <c r="G1718" s="2">
        <v>3</v>
      </c>
      <c r="H1718" s="2">
        <v>28.52</v>
      </c>
      <c r="I1718" t="str">
        <f t="shared" si="26"/>
        <v>Dec</v>
      </c>
      <c r="J1718">
        <f>YEAR(datas[[#This Row],[Order Date]])</f>
        <v>2021</v>
      </c>
    </row>
    <row r="1719" spans="1:10" ht="14.25" customHeight="1" x14ac:dyDescent="0.3">
      <c r="A1719" s="1">
        <v>44531</v>
      </c>
      <c r="B1719" s="2" t="s">
        <v>331</v>
      </c>
      <c r="C1719" s="2" t="s">
        <v>115</v>
      </c>
      <c r="D1719" s="2" t="s">
        <v>28</v>
      </c>
      <c r="E1719" s="2" t="s">
        <v>29</v>
      </c>
      <c r="F1719" s="2">
        <v>95.97</v>
      </c>
      <c r="G1719" s="2">
        <v>4</v>
      </c>
      <c r="H1719" s="2">
        <v>9.6</v>
      </c>
      <c r="I1719" t="str">
        <f t="shared" si="26"/>
        <v>Dec</v>
      </c>
      <c r="J1719">
        <f>YEAR(datas[[#This Row],[Order Date]])</f>
        <v>2021</v>
      </c>
    </row>
    <row r="1720" spans="1:10" ht="14.25" customHeight="1" x14ac:dyDescent="0.3">
      <c r="A1720" s="1">
        <v>44531</v>
      </c>
      <c r="B1720" s="2" t="s">
        <v>591</v>
      </c>
      <c r="C1720" s="2" t="s">
        <v>47</v>
      </c>
      <c r="D1720" s="2" t="s">
        <v>28</v>
      </c>
      <c r="E1720" s="2" t="s">
        <v>243</v>
      </c>
      <c r="F1720" s="2">
        <v>659.99</v>
      </c>
      <c r="G1720" s="2">
        <v>2</v>
      </c>
      <c r="H1720" s="2">
        <v>110</v>
      </c>
      <c r="I1720" t="str">
        <f t="shared" si="26"/>
        <v>Dec</v>
      </c>
      <c r="J1720">
        <f>YEAR(datas[[#This Row],[Order Date]])</f>
        <v>2021</v>
      </c>
    </row>
    <row r="1721" spans="1:10" ht="14.25" customHeight="1" x14ac:dyDescent="0.3">
      <c r="A1721" s="1">
        <v>44531</v>
      </c>
      <c r="B1721" s="2" t="s">
        <v>591</v>
      </c>
      <c r="C1721" s="2" t="s">
        <v>47</v>
      </c>
      <c r="D1721" s="2" t="s">
        <v>26</v>
      </c>
      <c r="E1721" s="2" t="s">
        <v>32</v>
      </c>
      <c r="F1721" s="2">
        <v>8.1300000000000008</v>
      </c>
      <c r="G1721" s="2">
        <v>2</v>
      </c>
      <c r="H1721" s="2">
        <v>1.42</v>
      </c>
      <c r="I1721" t="str">
        <f t="shared" si="26"/>
        <v>Dec</v>
      </c>
      <c r="J1721">
        <f>YEAR(datas[[#This Row],[Order Date]])</f>
        <v>2021</v>
      </c>
    </row>
    <row r="1722" spans="1:10" ht="14.25" customHeight="1" x14ac:dyDescent="0.3">
      <c r="A1722" s="1">
        <v>44531</v>
      </c>
      <c r="B1722" s="2" t="s">
        <v>591</v>
      </c>
      <c r="C1722" s="2" t="s">
        <v>47</v>
      </c>
      <c r="D1722" s="2" t="s">
        <v>10</v>
      </c>
      <c r="E1722" s="2" t="s">
        <v>11</v>
      </c>
      <c r="F1722" s="2">
        <v>36.29</v>
      </c>
      <c r="G1722" s="2">
        <v>7</v>
      </c>
      <c r="H1722" s="2">
        <v>12.7</v>
      </c>
      <c r="I1722" t="str">
        <f t="shared" si="26"/>
        <v>Dec</v>
      </c>
      <c r="J1722">
        <f>YEAR(datas[[#This Row],[Order Date]])</f>
        <v>2021</v>
      </c>
    </row>
    <row r="1723" spans="1:10" ht="14.25" customHeight="1" x14ac:dyDescent="0.3">
      <c r="A1723" s="1">
        <v>44531</v>
      </c>
      <c r="B1723" s="2" t="s">
        <v>591</v>
      </c>
      <c r="C1723" s="2" t="s">
        <v>47</v>
      </c>
      <c r="D1723" s="2" t="s">
        <v>26</v>
      </c>
      <c r="E1723" s="2" t="s">
        <v>27</v>
      </c>
      <c r="F1723" s="2">
        <v>909.72</v>
      </c>
      <c r="G1723" s="2">
        <v>6</v>
      </c>
      <c r="H1723" s="2">
        <v>-51.98</v>
      </c>
      <c r="I1723" t="str">
        <f t="shared" si="26"/>
        <v>Dec</v>
      </c>
      <c r="J1723">
        <f>YEAR(datas[[#This Row],[Order Date]])</f>
        <v>2021</v>
      </c>
    </row>
    <row r="1724" spans="1:10" ht="14.25" customHeight="1" x14ac:dyDescent="0.3">
      <c r="A1724" s="1">
        <v>44531</v>
      </c>
      <c r="B1724" s="2" t="s">
        <v>148</v>
      </c>
      <c r="C1724" s="2" t="s">
        <v>9</v>
      </c>
      <c r="D1724" s="2" t="s">
        <v>26</v>
      </c>
      <c r="E1724" s="2" t="s">
        <v>27</v>
      </c>
      <c r="F1724" s="2">
        <v>674.06</v>
      </c>
      <c r="G1724" s="2">
        <v>3</v>
      </c>
      <c r="H1724" s="2">
        <v>-19.260000000000002</v>
      </c>
      <c r="I1724" t="str">
        <f t="shared" si="26"/>
        <v>Dec</v>
      </c>
      <c r="J1724">
        <f>YEAR(datas[[#This Row],[Order Date]])</f>
        <v>2021</v>
      </c>
    </row>
    <row r="1725" spans="1:10" ht="14.25" customHeight="1" x14ac:dyDescent="0.3">
      <c r="A1725" s="1">
        <v>44531</v>
      </c>
      <c r="B1725" s="2" t="s">
        <v>334</v>
      </c>
      <c r="C1725" s="2" t="s">
        <v>181</v>
      </c>
      <c r="D1725" s="2" t="s">
        <v>28</v>
      </c>
      <c r="E1725" s="2" t="s">
        <v>29</v>
      </c>
      <c r="F1725" s="2">
        <v>271.89999999999998</v>
      </c>
      <c r="G1725" s="2">
        <v>2</v>
      </c>
      <c r="H1725" s="2">
        <v>78.849999999999994</v>
      </c>
      <c r="I1725" t="str">
        <f t="shared" si="26"/>
        <v>Dec</v>
      </c>
      <c r="J1725">
        <f>YEAR(datas[[#This Row],[Order Date]])</f>
        <v>2021</v>
      </c>
    </row>
    <row r="1726" spans="1:10" ht="14.25" customHeight="1" x14ac:dyDescent="0.3">
      <c r="A1726" s="1">
        <v>44531</v>
      </c>
      <c r="B1726" s="2" t="s">
        <v>334</v>
      </c>
      <c r="C1726" s="2" t="s">
        <v>181</v>
      </c>
      <c r="D1726" s="2" t="s">
        <v>26</v>
      </c>
      <c r="E1726" s="2" t="s">
        <v>32</v>
      </c>
      <c r="F1726" s="2">
        <v>45.84</v>
      </c>
      <c r="G1726" s="2">
        <v>3</v>
      </c>
      <c r="H1726" s="2">
        <v>15.59</v>
      </c>
      <c r="I1726" t="str">
        <f t="shared" si="26"/>
        <v>Dec</v>
      </c>
      <c r="J1726">
        <f>YEAR(datas[[#This Row],[Order Date]])</f>
        <v>2021</v>
      </c>
    </row>
    <row r="1727" spans="1:10" ht="14.25" customHeight="1" x14ac:dyDescent="0.3">
      <c r="A1727" s="1">
        <v>44531</v>
      </c>
      <c r="B1727" s="2" t="s">
        <v>334</v>
      </c>
      <c r="C1727" s="2" t="s">
        <v>181</v>
      </c>
      <c r="D1727" s="2" t="s">
        <v>26</v>
      </c>
      <c r="E1727" s="2" t="s">
        <v>32</v>
      </c>
      <c r="F1727" s="2">
        <v>9.82</v>
      </c>
      <c r="G1727" s="2">
        <v>2</v>
      </c>
      <c r="H1727" s="2">
        <v>3.24</v>
      </c>
      <c r="I1727" t="str">
        <f t="shared" si="26"/>
        <v>Dec</v>
      </c>
      <c r="J1727">
        <f>YEAR(datas[[#This Row],[Order Date]])</f>
        <v>2021</v>
      </c>
    </row>
    <row r="1728" spans="1:10" ht="14.25" customHeight="1" x14ac:dyDescent="0.3">
      <c r="A1728" s="1">
        <v>44532</v>
      </c>
      <c r="B1728" s="2" t="s">
        <v>619</v>
      </c>
      <c r="C1728" s="2" t="s">
        <v>75</v>
      </c>
      <c r="D1728" s="2" t="s">
        <v>28</v>
      </c>
      <c r="E1728" s="2" t="s">
        <v>34</v>
      </c>
      <c r="F1728" s="2">
        <v>119.96</v>
      </c>
      <c r="G1728" s="2">
        <v>4</v>
      </c>
      <c r="H1728" s="2">
        <v>52.78</v>
      </c>
      <c r="I1728" t="str">
        <f t="shared" si="26"/>
        <v>Dec</v>
      </c>
      <c r="J1728">
        <f>YEAR(datas[[#This Row],[Order Date]])</f>
        <v>2021</v>
      </c>
    </row>
    <row r="1729" spans="1:10" ht="14.25" customHeight="1" x14ac:dyDescent="0.3">
      <c r="A1729" s="1">
        <v>44532</v>
      </c>
      <c r="B1729" s="2" t="s">
        <v>619</v>
      </c>
      <c r="C1729" s="2" t="s">
        <v>75</v>
      </c>
      <c r="D1729" s="2" t="s">
        <v>26</v>
      </c>
      <c r="E1729" s="2" t="s">
        <v>45</v>
      </c>
      <c r="F1729" s="2">
        <v>883.92</v>
      </c>
      <c r="G1729" s="2">
        <v>5</v>
      </c>
      <c r="H1729" s="2">
        <v>-110.49</v>
      </c>
      <c r="I1729" t="str">
        <f t="shared" si="26"/>
        <v>Dec</v>
      </c>
      <c r="J1729">
        <f>YEAR(datas[[#This Row],[Order Date]])</f>
        <v>2021</v>
      </c>
    </row>
    <row r="1730" spans="1:10" ht="14.25" customHeight="1" x14ac:dyDescent="0.3">
      <c r="A1730" s="1">
        <v>44532</v>
      </c>
      <c r="B1730" s="2" t="s">
        <v>619</v>
      </c>
      <c r="C1730" s="2" t="s">
        <v>75</v>
      </c>
      <c r="D1730" s="2" t="s">
        <v>10</v>
      </c>
      <c r="E1730" s="2" t="s">
        <v>16</v>
      </c>
      <c r="F1730" s="2">
        <v>46.72</v>
      </c>
      <c r="G1730" s="2">
        <v>8</v>
      </c>
      <c r="H1730" s="2">
        <v>15.77</v>
      </c>
      <c r="I1730" t="str">
        <f t="shared" si="26"/>
        <v>Dec</v>
      </c>
      <c r="J1730">
        <f>YEAR(datas[[#This Row],[Order Date]])</f>
        <v>2021</v>
      </c>
    </row>
    <row r="1731" spans="1:10" ht="14.25" customHeight="1" x14ac:dyDescent="0.3">
      <c r="A1731" s="1">
        <v>44532</v>
      </c>
      <c r="B1731" s="2" t="s">
        <v>620</v>
      </c>
      <c r="C1731" s="2" t="s">
        <v>9</v>
      </c>
      <c r="D1731" s="2" t="s">
        <v>26</v>
      </c>
      <c r="E1731" s="2" t="s">
        <v>32</v>
      </c>
      <c r="F1731" s="2">
        <v>58.36</v>
      </c>
      <c r="G1731" s="2">
        <v>5</v>
      </c>
      <c r="H1731" s="2">
        <v>-24.8</v>
      </c>
      <c r="I1731" t="str">
        <f t="shared" ref="I1731:I1794" si="27">TEXT(A1731,"mmm")</f>
        <v>Dec</v>
      </c>
      <c r="J1731">
        <f>YEAR(datas[[#This Row],[Order Date]])</f>
        <v>2021</v>
      </c>
    </row>
    <row r="1732" spans="1:10" ht="14.25" customHeight="1" x14ac:dyDescent="0.3">
      <c r="A1732" s="1">
        <v>44532</v>
      </c>
      <c r="B1732" s="2" t="s">
        <v>620</v>
      </c>
      <c r="C1732" s="2" t="s">
        <v>9</v>
      </c>
      <c r="D1732" s="2" t="s">
        <v>10</v>
      </c>
      <c r="E1732" s="2" t="s">
        <v>19</v>
      </c>
      <c r="F1732" s="2">
        <v>16.46</v>
      </c>
      <c r="G1732" s="2">
        <v>7</v>
      </c>
      <c r="H1732" s="2">
        <v>1.44</v>
      </c>
      <c r="I1732" t="str">
        <f t="shared" si="27"/>
        <v>Dec</v>
      </c>
      <c r="J1732">
        <f>YEAR(datas[[#This Row],[Order Date]])</f>
        <v>2021</v>
      </c>
    </row>
    <row r="1733" spans="1:10" ht="14.25" customHeight="1" x14ac:dyDescent="0.3">
      <c r="A1733" s="1">
        <v>44532</v>
      </c>
      <c r="B1733" s="2" t="s">
        <v>620</v>
      </c>
      <c r="C1733" s="2" t="s">
        <v>9</v>
      </c>
      <c r="D1733" s="2" t="s">
        <v>26</v>
      </c>
      <c r="E1733" s="2" t="s">
        <v>32</v>
      </c>
      <c r="F1733" s="2">
        <v>39.96</v>
      </c>
      <c r="G1733" s="2">
        <v>5</v>
      </c>
      <c r="H1733" s="2">
        <v>-23.98</v>
      </c>
      <c r="I1733" t="str">
        <f t="shared" si="27"/>
        <v>Dec</v>
      </c>
      <c r="J1733">
        <f>YEAR(datas[[#This Row],[Order Date]])</f>
        <v>2021</v>
      </c>
    </row>
    <row r="1734" spans="1:10" ht="14.25" customHeight="1" x14ac:dyDescent="0.3">
      <c r="A1734" s="1">
        <v>44532</v>
      </c>
      <c r="B1734" s="2" t="s">
        <v>621</v>
      </c>
      <c r="C1734" s="2" t="s">
        <v>47</v>
      </c>
      <c r="D1734" s="2" t="s">
        <v>28</v>
      </c>
      <c r="E1734" s="2" t="s">
        <v>34</v>
      </c>
      <c r="F1734" s="2">
        <v>119.8</v>
      </c>
      <c r="G1734" s="2">
        <v>5</v>
      </c>
      <c r="H1734" s="2">
        <v>29.95</v>
      </c>
      <c r="I1734" t="str">
        <f t="shared" si="27"/>
        <v>Dec</v>
      </c>
      <c r="J1734">
        <f>YEAR(datas[[#This Row],[Order Date]])</f>
        <v>2021</v>
      </c>
    </row>
    <row r="1735" spans="1:10" ht="14.25" customHeight="1" x14ac:dyDescent="0.3">
      <c r="A1735" s="1">
        <v>44532</v>
      </c>
      <c r="B1735" s="2" t="s">
        <v>622</v>
      </c>
      <c r="C1735" s="2" t="s">
        <v>13</v>
      </c>
      <c r="D1735" s="2" t="s">
        <v>10</v>
      </c>
      <c r="E1735" s="2" t="s">
        <v>53</v>
      </c>
      <c r="F1735" s="2">
        <v>2.39</v>
      </c>
      <c r="G1735" s="2">
        <v>1</v>
      </c>
      <c r="H1735" s="2">
        <v>-6.34</v>
      </c>
      <c r="I1735" t="str">
        <f t="shared" si="27"/>
        <v>Dec</v>
      </c>
      <c r="J1735">
        <f>YEAR(datas[[#This Row],[Order Date]])</f>
        <v>2021</v>
      </c>
    </row>
    <row r="1736" spans="1:10" ht="14.25" customHeight="1" x14ac:dyDescent="0.3">
      <c r="A1736" s="1">
        <v>44532</v>
      </c>
      <c r="B1736" s="2" t="s">
        <v>473</v>
      </c>
      <c r="C1736" s="2" t="s">
        <v>215</v>
      </c>
      <c r="D1736" s="2" t="s">
        <v>26</v>
      </c>
      <c r="E1736" s="2" t="s">
        <v>32</v>
      </c>
      <c r="F1736" s="2">
        <v>60.72</v>
      </c>
      <c r="G1736" s="2">
        <v>3</v>
      </c>
      <c r="H1736" s="2">
        <v>23.68</v>
      </c>
      <c r="I1736" t="str">
        <f t="shared" si="27"/>
        <v>Dec</v>
      </c>
      <c r="J1736">
        <f>YEAR(datas[[#This Row],[Order Date]])</f>
        <v>2021</v>
      </c>
    </row>
    <row r="1737" spans="1:10" ht="14.25" customHeight="1" x14ac:dyDescent="0.3">
      <c r="A1737" s="1">
        <v>44532</v>
      </c>
      <c r="B1737" s="2" t="s">
        <v>473</v>
      </c>
      <c r="C1737" s="2" t="s">
        <v>215</v>
      </c>
      <c r="D1737" s="2" t="s">
        <v>10</v>
      </c>
      <c r="E1737" s="2" t="s">
        <v>11</v>
      </c>
      <c r="F1737" s="2">
        <v>146.82</v>
      </c>
      <c r="G1737" s="2">
        <v>3</v>
      </c>
      <c r="H1737" s="2">
        <v>73.41</v>
      </c>
      <c r="I1737" t="str">
        <f t="shared" si="27"/>
        <v>Dec</v>
      </c>
      <c r="J1737">
        <f>YEAR(datas[[#This Row],[Order Date]])</f>
        <v>2021</v>
      </c>
    </row>
    <row r="1738" spans="1:10" ht="14.25" customHeight="1" x14ac:dyDescent="0.3">
      <c r="A1738" s="1">
        <v>44532</v>
      </c>
      <c r="B1738" s="2" t="s">
        <v>473</v>
      </c>
      <c r="C1738" s="2" t="s">
        <v>215</v>
      </c>
      <c r="D1738" s="2" t="s">
        <v>26</v>
      </c>
      <c r="E1738" s="2" t="s">
        <v>27</v>
      </c>
      <c r="F1738" s="2">
        <v>239.84</v>
      </c>
      <c r="G1738" s="2">
        <v>8</v>
      </c>
      <c r="H1738" s="2">
        <v>64.760000000000005</v>
      </c>
      <c r="I1738" t="str">
        <f t="shared" si="27"/>
        <v>Dec</v>
      </c>
      <c r="J1738">
        <f>YEAR(datas[[#This Row],[Order Date]])</f>
        <v>2021</v>
      </c>
    </row>
    <row r="1739" spans="1:10" ht="14.25" customHeight="1" x14ac:dyDescent="0.3">
      <c r="A1739" s="1">
        <v>44532</v>
      </c>
      <c r="B1739" s="2" t="s">
        <v>473</v>
      </c>
      <c r="C1739" s="2" t="s">
        <v>215</v>
      </c>
      <c r="D1739" s="2" t="s">
        <v>10</v>
      </c>
      <c r="E1739" s="2" t="s">
        <v>14</v>
      </c>
      <c r="F1739" s="2">
        <v>15.66</v>
      </c>
      <c r="G1739" s="2">
        <v>6</v>
      </c>
      <c r="H1739" s="2">
        <v>7.2</v>
      </c>
      <c r="I1739" t="str">
        <f t="shared" si="27"/>
        <v>Dec</v>
      </c>
      <c r="J1739">
        <f>YEAR(datas[[#This Row],[Order Date]])</f>
        <v>2021</v>
      </c>
    </row>
    <row r="1740" spans="1:10" ht="14.25" customHeight="1" x14ac:dyDescent="0.3">
      <c r="A1740" s="1">
        <v>44532</v>
      </c>
      <c r="B1740" s="2" t="s">
        <v>623</v>
      </c>
      <c r="C1740" s="2" t="s">
        <v>23</v>
      </c>
      <c r="D1740" s="2" t="s">
        <v>28</v>
      </c>
      <c r="E1740" s="2" t="s">
        <v>34</v>
      </c>
      <c r="F1740" s="2">
        <v>5.95</v>
      </c>
      <c r="G1740" s="2">
        <v>1</v>
      </c>
      <c r="H1740" s="2">
        <v>0.83</v>
      </c>
      <c r="I1740" t="str">
        <f t="shared" si="27"/>
        <v>Dec</v>
      </c>
      <c r="J1740">
        <f>YEAR(datas[[#This Row],[Order Date]])</f>
        <v>2021</v>
      </c>
    </row>
    <row r="1741" spans="1:10" ht="14.25" customHeight="1" x14ac:dyDescent="0.3">
      <c r="A1741" s="1">
        <v>44532</v>
      </c>
      <c r="B1741" s="2" t="s">
        <v>623</v>
      </c>
      <c r="C1741" s="2" t="s">
        <v>23</v>
      </c>
      <c r="D1741" s="2" t="s">
        <v>10</v>
      </c>
      <c r="E1741" s="2" t="s">
        <v>11</v>
      </c>
      <c r="F1741" s="2">
        <v>15.24</v>
      </c>
      <c r="G1741" s="2">
        <v>3</v>
      </c>
      <c r="H1741" s="2">
        <v>7.16</v>
      </c>
      <c r="I1741" t="str">
        <f t="shared" si="27"/>
        <v>Dec</v>
      </c>
      <c r="J1741">
        <f>YEAR(datas[[#This Row],[Order Date]])</f>
        <v>2021</v>
      </c>
    </row>
    <row r="1742" spans="1:10" ht="14.25" customHeight="1" x14ac:dyDescent="0.3">
      <c r="A1742" s="1">
        <v>44533</v>
      </c>
      <c r="B1742" s="2" t="s">
        <v>606</v>
      </c>
      <c r="C1742" s="2" t="s">
        <v>329</v>
      </c>
      <c r="D1742" s="2" t="s">
        <v>28</v>
      </c>
      <c r="E1742" s="2" t="s">
        <v>29</v>
      </c>
      <c r="F1742" s="2">
        <v>479.96</v>
      </c>
      <c r="G1742" s="2">
        <v>4</v>
      </c>
      <c r="H1742" s="2">
        <v>134.38999999999999</v>
      </c>
      <c r="I1742" t="str">
        <f t="shared" si="27"/>
        <v>Dec</v>
      </c>
      <c r="J1742">
        <f>YEAR(datas[[#This Row],[Order Date]])</f>
        <v>2021</v>
      </c>
    </row>
    <row r="1743" spans="1:10" ht="14.25" customHeight="1" x14ac:dyDescent="0.3">
      <c r="A1743" s="1">
        <v>44533</v>
      </c>
      <c r="B1743" s="2" t="s">
        <v>615</v>
      </c>
      <c r="C1743" s="2" t="s">
        <v>91</v>
      </c>
      <c r="D1743" s="2" t="s">
        <v>10</v>
      </c>
      <c r="E1743" s="2" t="s">
        <v>11</v>
      </c>
      <c r="F1743" s="2">
        <v>25.92</v>
      </c>
      <c r="G1743" s="2">
        <v>4</v>
      </c>
      <c r="H1743" s="2">
        <v>12.44</v>
      </c>
      <c r="I1743" t="str">
        <f t="shared" si="27"/>
        <v>Dec</v>
      </c>
      <c r="J1743">
        <f>YEAR(datas[[#This Row],[Order Date]])</f>
        <v>2021</v>
      </c>
    </row>
    <row r="1744" spans="1:10" ht="14.25" customHeight="1" x14ac:dyDescent="0.3">
      <c r="A1744" s="1">
        <v>44534</v>
      </c>
      <c r="B1744" s="2" t="s">
        <v>624</v>
      </c>
      <c r="C1744" s="2" t="s">
        <v>75</v>
      </c>
      <c r="D1744" s="2" t="s">
        <v>28</v>
      </c>
      <c r="E1744" s="2" t="s">
        <v>29</v>
      </c>
      <c r="F1744" s="2">
        <v>129.97999999999999</v>
      </c>
      <c r="G1744" s="2">
        <v>2</v>
      </c>
      <c r="H1744" s="2">
        <v>62.39</v>
      </c>
      <c r="I1744" t="str">
        <f t="shared" si="27"/>
        <v>Dec</v>
      </c>
      <c r="J1744">
        <f>YEAR(datas[[#This Row],[Order Date]])</f>
        <v>2021</v>
      </c>
    </row>
    <row r="1745" spans="1:10" ht="14.25" customHeight="1" x14ac:dyDescent="0.3">
      <c r="A1745" s="1">
        <v>44535</v>
      </c>
      <c r="B1745" s="2" t="s">
        <v>48</v>
      </c>
      <c r="C1745" s="2" t="s">
        <v>55</v>
      </c>
      <c r="D1745" s="2" t="s">
        <v>10</v>
      </c>
      <c r="E1745" s="2" t="s">
        <v>19</v>
      </c>
      <c r="F1745" s="2">
        <v>1113.02</v>
      </c>
      <c r="G1745" s="2">
        <v>8</v>
      </c>
      <c r="H1745" s="2">
        <v>111.3</v>
      </c>
      <c r="I1745" t="str">
        <f t="shared" si="27"/>
        <v>Dec</v>
      </c>
      <c r="J1745">
        <f>YEAR(datas[[#This Row],[Order Date]])</f>
        <v>2021</v>
      </c>
    </row>
    <row r="1746" spans="1:10" ht="14.25" customHeight="1" x14ac:dyDescent="0.3">
      <c r="A1746" s="1">
        <v>44535</v>
      </c>
      <c r="B1746" s="2" t="s">
        <v>48</v>
      </c>
      <c r="C1746" s="2" t="s">
        <v>55</v>
      </c>
      <c r="D1746" s="2" t="s">
        <v>28</v>
      </c>
      <c r="E1746" s="2" t="s">
        <v>29</v>
      </c>
      <c r="F1746" s="2">
        <v>167.97</v>
      </c>
      <c r="G1746" s="2">
        <v>4</v>
      </c>
      <c r="H1746" s="2">
        <v>62.99</v>
      </c>
      <c r="I1746" t="str">
        <f t="shared" si="27"/>
        <v>Dec</v>
      </c>
      <c r="J1746">
        <f>YEAR(datas[[#This Row],[Order Date]])</f>
        <v>2021</v>
      </c>
    </row>
    <row r="1747" spans="1:10" ht="14.25" customHeight="1" x14ac:dyDescent="0.3">
      <c r="A1747" s="1">
        <v>44535</v>
      </c>
      <c r="B1747" s="2" t="s">
        <v>625</v>
      </c>
      <c r="C1747" s="2" t="s">
        <v>13</v>
      </c>
      <c r="D1747" s="2" t="s">
        <v>10</v>
      </c>
      <c r="E1747" s="2" t="s">
        <v>15</v>
      </c>
      <c r="F1747" s="2">
        <v>24.82</v>
      </c>
      <c r="G1747" s="2">
        <v>2</v>
      </c>
      <c r="H1747" s="2">
        <v>1.86</v>
      </c>
      <c r="I1747" t="str">
        <f t="shared" si="27"/>
        <v>Dec</v>
      </c>
      <c r="J1747">
        <f>YEAR(datas[[#This Row],[Order Date]])</f>
        <v>2021</v>
      </c>
    </row>
    <row r="1748" spans="1:10" ht="14.25" customHeight="1" x14ac:dyDescent="0.3">
      <c r="A1748" s="1">
        <v>44535</v>
      </c>
      <c r="B1748" s="2" t="s">
        <v>625</v>
      </c>
      <c r="C1748" s="2" t="s">
        <v>13</v>
      </c>
      <c r="D1748" s="2" t="s">
        <v>28</v>
      </c>
      <c r="E1748" s="2" t="s">
        <v>34</v>
      </c>
      <c r="F1748" s="2">
        <v>408.74</v>
      </c>
      <c r="G1748" s="2">
        <v>7</v>
      </c>
      <c r="H1748" s="2">
        <v>76.64</v>
      </c>
      <c r="I1748" t="str">
        <f t="shared" si="27"/>
        <v>Dec</v>
      </c>
      <c r="J1748">
        <f>YEAR(datas[[#This Row],[Order Date]])</f>
        <v>2021</v>
      </c>
    </row>
    <row r="1749" spans="1:10" ht="14.25" customHeight="1" x14ac:dyDescent="0.3">
      <c r="A1749" s="1">
        <v>44535</v>
      </c>
      <c r="B1749" s="2" t="s">
        <v>626</v>
      </c>
      <c r="C1749" s="2" t="s">
        <v>36</v>
      </c>
      <c r="D1749" s="2" t="s">
        <v>10</v>
      </c>
      <c r="E1749" s="2" t="s">
        <v>15</v>
      </c>
      <c r="F1749" s="2">
        <v>24.56</v>
      </c>
      <c r="G1749" s="2">
        <v>2</v>
      </c>
      <c r="H1749" s="2">
        <v>6.88</v>
      </c>
      <c r="I1749" t="str">
        <f t="shared" si="27"/>
        <v>Dec</v>
      </c>
      <c r="J1749">
        <f>YEAR(datas[[#This Row],[Order Date]])</f>
        <v>2021</v>
      </c>
    </row>
    <row r="1750" spans="1:10" ht="14.25" customHeight="1" x14ac:dyDescent="0.3">
      <c r="A1750" s="1">
        <v>44535</v>
      </c>
      <c r="B1750" s="2" t="s">
        <v>627</v>
      </c>
      <c r="C1750" s="2" t="s">
        <v>18</v>
      </c>
      <c r="D1750" s="2" t="s">
        <v>10</v>
      </c>
      <c r="E1750" s="2" t="s">
        <v>41</v>
      </c>
      <c r="F1750" s="2">
        <v>348.49</v>
      </c>
      <c r="G1750" s="2">
        <v>7</v>
      </c>
      <c r="H1750" s="2">
        <v>117.61</v>
      </c>
      <c r="I1750" t="str">
        <f t="shared" si="27"/>
        <v>Dec</v>
      </c>
      <c r="J1750">
        <f>YEAR(datas[[#This Row],[Order Date]])</f>
        <v>2021</v>
      </c>
    </row>
    <row r="1751" spans="1:10" ht="14.25" customHeight="1" x14ac:dyDescent="0.3">
      <c r="A1751" s="1">
        <v>44535</v>
      </c>
      <c r="B1751" s="2" t="s">
        <v>627</v>
      </c>
      <c r="C1751" s="2" t="s">
        <v>18</v>
      </c>
      <c r="D1751" s="2" t="s">
        <v>10</v>
      </c>
      <c r="E1751" s="2" t="s">
        <v>15</v>
      </c>
      <c r="F1751" s="2">
        <v>172.74</v>
      </c>
      <c r="G1751" s="2">
        <v>4</v>
      </c>
      <c r="H1751" s="2">
        <v>-30.23</v>
      </c>
      <c r="I1751" t="str">
        <f t="shared" si="27"/>
        <v>Dec</v>
      </c>
      <c r="J1751">
        <f>YEAR(datas[[#This Row],[Order Date]])</f>
        <v>2021</v>
      </c>
    </row>
    <row r="1752" spans="1:10" ht="14.25" customHeight="1" x14ac:dyDescent="0.3">
      <c r="A1752" s="1">
        <v>44535</v>
      </c>
      <c r="B1752" s="2" t="s">
        <v>471</v>
      </c>
      <c r="C1752" s="2" t="s">
        <v>47</v>
      </c>
      <c r="D1752" s="2" t="s">
        <v>10</v>
      </c>
      <c r="E1752" s="2" t="s">
        <v>11</v>
      </c>
      <c r="F1752" s="2">
        <v>98.38</v>
      </c>
      <c r="G1752" s="2">
        <v>3</v>
      </c>
      <c r="H1752" s="2">
        <v>35.659999999999997</v>
      </c>
      <c r="I1752" t="str">
        <f t="shared" si="27"/>
        <v>Dec</v>
      </c>
      <c r="J1752">
        <f>YEAR(datas[[#This Row],[Order Date]])</f>
        <v>2021</v>
      </c>
    </row>
    <row r="1753" spans="1:10" ht="14.25" customHeight="1" x14ac:dyDescent="0.3">
      <c r="A1753" s="1">
        <v>44535</v>
      </c>
      <c r="B1753" s="2" t="s">
        <v>471</v>
      </c>
      <c r="C1753" s="2" t="s">
        <v>47</v>
      </c>
      <c r="D1753" s="2" t="s">
        <v>10</v>
      </c>
      <c r="E1753" s="2" t="s">
        <v>16</v>
      </c>
      <c r="F1753" s="2">
        <v>29.94</v>
      </c>
      <c r="G1753" s="2">
        <v>4</v>
      </c>
      <c r="H1753" s="2">
        <v>-23.95</v>
      </c>
      <c r="I1753" t="str">
        <f t="shared" si="27"/>
        <v>Dec</v>
      </c>
      <c r="J1753">
        <f>YEAR(datas[[#This Row],[Order Date]])</f>
        <v>2021</v>
      </c>
    </row>
    <row r="1754" spans="1:10" ht="14.25" customHeight="1" x14ac:dyDescent="0.3">
      <c r="A1754" s="1">
        <v>44535</v>
      </c>
      <c r="B1754" s="2" t="s">
        <v>471</v>
      </c>
      <c r="C1754" s="2" t="s">
        <v>47</v>
      </c>
      <c r="D1754" s="2" t="s">
        <v>10</v>
      </c>
      <c r="E1754" s="2" t="s">
        <v>11</v>
      </c>
      <c r="F1754" s="2">
        <v>17.47</v>
      </c>
      <c r="G1754" s="2">
        <v>3</v>
      </c>
      <c r="H1754" s="2">
        <v>5.68</v>
      </c>
      <c r="I1754" t="str">
        <f t="shared" si="27"/>
        <v>Dec</v>
      </c>
      <c r="J1754">
        <f>YEAR(datas[[#This Row],[Order Date]])</f>
        <v>2021</v>
      </c>
    </row>
    <row r="1755" spans="1:10" ht="14.25" customHeight="1" x14ac:dyDescent="0.3">
      <c r="A1755" s="1">
        <v>44535</v>
      </c>
      <c r="B1755" s="2" t="s">
        <v>471</v>
      </c>
      <c r="C1755" s="2" t="s">
        <v>47</v>
      </c>
      <c r="D1755" s="2" t="s">
        <v>28</v>
      </c>
      <c r="E1755" s="2" t="s">
        <v>29</v>
      </c>
      <c r="F1755" s="2">
        <v>36.74</v>
      </c>
      <c r="G1755" s="2">
        <v>1</v>
      </c>
      <c r="H1755" s="2">
        <v>-9.18</v>
      </c>
      <c r="I1755" t="str">
        <f t="shared" si="27"/>
        <v>Dec</v>
      </c>
      <c r="J1755">
        <f>YEAR(datas[[#This Row],[Order Date]])</f>
        <v>2021</v>
      </c>
    </row>
    <row r="1756" spans="1:10" ht="14.25" customHeight="1" x14ac:dyDescent="0.3">
      <c r="A1756" s="1">
        <v>44535</v>
      </c>
      <c r="B1756" s="2" t="s">
        <v>471</v>
      </c>
      <c r="C1756" s="2" t="s">
        <v>47</v>
      </c>
      <c r="D1756" s="2" t="s">
        <v>28</v>
      </c>
      <c r="E1756" s="2" t="s">
        <v>29</v>
      </c>
      <c r="F1756" s="2">
        <v>179.94</v>
      </c>
      <c r="G1756" s="2">
        <v>2</v>
      </c>
      <c r="H1756" s="2">
        <v>-44.99</v>
      </c>
      <c r="I1756" t="str">
        <f t="shared" si="27"/>
        <v>Dec</v>
      </c>
      <c r="J1756">
        <f>YEAR(datas[[#This Row],[Order Date]])</f>
        <v>2021</v>
      </c>
    </row>
    <row r="1757" spans="1:10" ht="14.25" customHeight="1" x14ac:dyDescent="0.3">
      <c r="A1757" s="1">
        <v>44535</v>
      </c>
      <c r="B1757" s="2" t="s">
        <v>628</v>
      </c>
      <c r="C1757" s="2" t="s">
        <v>21</v>
      </c>
      <c r="D1757" s="2" t="s">
        <v>10</v>
      </c>
      <c r="E1757" s="2" t="s">
        <v>19</v>
      </c>
      <c r="F1757" s="2">
        <v>26.46</v>
      </c>
      <c r="G1757" s="2">
        <v>9</v>
      </c>
      <c r="H1757" s="2">
        <v>11.91</v>
      </c>
      <c r="I1757" t="str">
        <f t="shared" si="27"/>
        <v>Dec</v>
      </c>
      <c r="J1757">
        <f>YEAR(datas[[#This Row],[Order Date]])</f>
        <v>2021</v>
      </c>
    </row>
    <row r="1758" spans="1:10" ht="14.25" customHeight="1" x14ac:dyDescent="0.3">
      <c r="A1758" s="1">
        <v>44535</v>
      </c>
      <c r="B1758" s="2" t="s">
        <v>628</v>
      </c>
      <c r="C1758" s="2" t="s">
        <v>21</v>
      </c>
      <c r="D1758" s="2" t="s">
        <v>10</v>
      </c>
      <c r="E1758" s="2" t="s">
        <v>11</v>
      </c>
      <c r="F1758" s="2">
        <v>49.12</v>
      </c>
      <c r="G1758" s="2">
        <v>4</v>
      </c>
      <c r="H1758" s="2">
        <v>23.09</v>
      </c>
      <c r="I1758" t="str">
        <f t="shared" si="27"/>
        <v>Dec</v>
      </c>
      <c r="J1758">
        <f>YEAR(datas[[#This Row],[Order Date]])</f>
        <v>2021</v>
      </c>
    </row>
    <row r="1759" spans="1:10" ht="14.25" customHeight="1" x14ac:dyDescent="0.3">
      <c r="A1759" s="1">
        <v>44535</v>
      </c>
      <c r="B1759" s="2" t="s">
        <v>628</v>
      </c>
      <c r="C1759" s="2" t="s">
        <v>21</v>
      </c>
      <c r="D1759" s="2" t="s">
        <v>10</v>
      </c>
      <c r="E1759" s="2" t="s">
        <v>30</v>
      </c>
      <c r="F1759" s="2">
        <v>15</v>
      </c>
      <c r="G1759" s="2">
        <v>3</v>
      </c>
      <c r="H1759" s="2">
        <v>7.2</v>
      </c>
      <c r="I1759" t="str">
        <f t="shared" si="27"/>
        <v>Dec</v>
      </c>
      <c r="J1759">
        <f>YEAR(datas[[#This Row],[Order Date]])</f>
        <v>2021</v>
      </c>
    </row>
    <row r="1760" spans="1:10" ht="14.25" customHeight="1" x14ac:dyDescent="0.3">
      <c r="A1760" s="1">
        <v>44535</v>
      </c>
      <c r="B1760" s="2" t="s">
        <v>629</v>
      </c>
      <c r="C1760" s="2" t="s">
        <v>21</v>
      </c>
      <c r="D1760" s="2" t="s">
        <v>10</v>
      </c>
      <c r="E1760" s="2" t="s">
        <v>53</v>
      </c>
      <c r="F1760" s="2">
        <v>250.26</v>
      </c>
      <c r="G1760" s="2">
        <v>6</v>
      </c>
      <c r="H1760" s="2">
        <v>72.58</v>
      </c>
      <c r="I1760" t="str">
        <f t="shared" si="27"/>
        <v>Dec</v>
      </c>
      <c r="J1760">
        <f>YEAR(datas[[#This Row],[Order Date]])</f>
        <v>2021</v>
      </c>
    </row>
    <row r="1761" spans="1:10" ht="14.25" customHeight="1" x14ac:dyDescent="0.3">
      <c r="A1761" s="1">
        <v>44536</v>
      </c>
      <c r="B1761" s="2" t="s">
        <v>390</v>
      </c>
      <c r="C1761" s="2" t="s">
        <v>9</v>
      </c>
      <c r="D1761" s="2" t="s">
        <v>26</v>
      </c>
      <c r="E1761" s="2" t="s">
        <v>32</v>
      </c>
      <c r="F1761" s="2">
        <v>23.98</v>
      </c>
      <c r="G1761" s="2">
        <v>3</v>
      </c>
      <c r="H1761" s="2">
        <v>-14.39</v>
      </c>
      <c r="I1761" t="str">
        <f t="shared" si="27"/>
        <v>Dec</v>
      </c>
      <c r="J1761">
        <f>YEAR(datas[[#This Row],[Order Date]])</f>
        <v>2021</v>
      </c>
    </row>
    <row r="1762" spans="1:10" ht="14.25" customHeight="1" x14ac:dyDescent="0.3">
      <c r="A1762" s="1">
        <v>44536</v>
      </c>
      <c r="B1762" s="2" t="s">
        <v>431</v>
      </c>
      <c r="C1762" s="2" t="s">
        <v>52</v>
      </c>
      <c r="D1762" s="2" t="s">
        <v>10</v>
      </c>
      <c r="E1762" s="2" t="s">
        <v>15</v>
      </c>
      <c r="F1762" s="2">
        <v>53.42</v>
      </c>
      <c r="G1762" s="2">
        <v>3</v>
      </c>
      <c r="H1762" s="2">
        <v>4.67</v>
      </c>
      <c r="I1762" t="str">
        <f t="shared" si="27"/>
        <v>Dec</v>
      </c>
      <c r="J1762">
        <f>YEAR(datas[[#This Row],[Order Date]])</f>
        <v>2021</v>
      </c>
    </row>
    <row r="1763" spans="1:10" ht="14.25" customHeight="1" x14ac:dyDescent="0.3">
      <c r="A1763" s="1">
        <v>44536</v>
      </c>
      <c r="B1763" s="2" t="s">
        <v>431</v>
      </c>
      <c r="C1763" s="2" t="s">
        <v>52</v>
      </c>
      <c r="D1763" s="2" t="s">
        <v>26</v>
      </c>
      <c r="E1763" s="2" t="s">
        <v>73</v>
      </c>
      <c r="F1763" s="2">
        <v>275.49</v>
      </c>
      <c r="G1763" s="2">
        <v>1</v>
      </c>
      <c r="H1763" s="2">
        <v>-170.8</v>
      </c>
      <c r="I1763" t="str">
        <f t="shared" si="27"/>
        <v>Dec</v>
      </c>
      <c r="J1763">
        <f>YEAR(datas[[#This Row],[Order Date]])</f>
        <v>2021</v>
      </c>
    </row>
    <row r="1764" spans="1:10" ht="14.25" customHeight="1" x14ac:dyDescent="0.3">
      <c r="A1764" s="1">
        <v>44536</v>
      </c>
      <c r="B1764" s="2" t="s">
        <v>397</v>
      </c>
      <c r="C1764" s="2" t="s">
        <v>13</v>
      </c>
      <c r="D1764" s="2" t="s">
        <v>10</v>
      </c>
      <c r="E1764" s="2" t="s">
        <v>53</v>
      </c>
      <c r="F1764" s="2">
        <v>14.02</v>
      </c>
      <c r="G1764" s="2">
        <v>4</v>
      </c>
      <c r="H1764" s="2">
        <v>-31.54</v>
      </c>
      <c r="I1764" t="str">
        <f t="shared" si="27"/>
        <v>Dec</v>
      </c>
      <c r="J1764">
        <f>YEAR(datas[[#This Row],[Order Date]])</f>
        <v>2021</v>
      </c>
    </row>
    <row r="1765" spans="1:10" ht="14.25" customHeight="1" x14ac:dyDescent="0.3">
      <c r="A1765" s="1">
        <v>44536</v>
      </c>
      <c r="B1765" s="2" t="s">
        <v>397</v>
      </c>
      <c r="C1765" s="2" t="s">
        <v>13</v>
      </c>
      <c r="D1765" s="2" t="s">
        <v>26</v>
      </c>
      <c r="E1765" s="2" t="s">
        <v>73</v>
      </c>
      <c r="F1765" s="2">
        <v>214.95</v>
      </c>
      <c r="G1765" s="2">
        <v>5</v>
      </c>
      <c r="H1765" s="2">
        <v>-120.37</v>
      </c>
      <c r="I1765" t="str">
        <f t="shared" si="27"/>
        <v>Dec</v>
      </c>
      <c r="J1765">
        <f>YEAR(datas[[#This Row],[Order Date]])</f>
        <v>2021</v>
      </c>
    </row>
    <row r="1766" spans="1:10" ht="14.25" customHeight="1" x14ac:dyDescent="0.3">
      <c r="A1766" s="1">
        <v>44536</v>
      </c>
      <c r="B1766" s="2" t="s">
        <v>397</v>
      </c>
      <c r="C1766" s="2" t="s">
        <v>13</v>
      </c>
      <c r="D1766" s="2" t="s">
        <v>28</v>
      </c>
      <c r="E1766" s="2" t="s">
        <v>29</v>
      </c>
      <c r="F1766" s="2">
        <v>35.04</v>
      </c>
      <c r="G1766" s="2">
        <v>4</v>
      </c>
      <c r="H1766" s="2">
        <v>-7.01</v>
      </c>
      <c r="I1766" t="str">
        <f t="shared" si="27"/>
        <v>Dec</v>
      </c>
      <c r="J1766">
        <f>YEAR(datas[[#This Row],[Order Date]])</f>
        <v>2021</v>
      </c>
    </row>
    <row r="1767" spans="1:10" ht="14.25" customHeight="1" x14ac:dyDescent="0.3">
      <c r="A1767" s="1">
        <v>44536</v>
      </c>
      <c r="B1767" s="2" t="s">
        <v>397</v>
      </c>
      <c r="C1767" s="2" t="s">
        <v>13</v>
      </c>
      <c r="D1767" s="2" t="s">
        <v>26</v>
      </c>
      <c r="E1767" s="2" t="s">
        <v>32</v>
      </c>
      <c r="F1767" s="2">
        <v>10.78</v>
      </c>
      <c r="G1767" s="2">
        <v>3</v>
      </c>
      <c r="H1767" s="2">
        <v>-4.8499999999999996</v>
      </c>
      <c r="I1767" t="str">
        <f t="shared" si="27"/>
        <v>Dec</v>
      </c>
      <c r="J1767">
        <f>YEAR(datas[[#This Row],[Order Date]])</f>
        <v>2021</v>
      </c>
    </row>
    <row r="1768" spans="1:10" ht="14.25" customHeight="1" x14ac:dyDescent="0.3">
      <c r="A1768" s="1">
        <v>44536</v>
      </c>
      <c r="B1768" s="2" t="s">
        <v>397</v>
      </c>
      <c r="C1768" s="2" t="s">
        <v>13</v>
      </c>
      <c r="D1768" s="2" t="s">
        <v>10</v>
      </c>
      <c r="E1768" s="2" t="s">
        <v>16</v>
      </c>
      <c r="F1768" s="2">
        <v>4.5999999999999996</v>
      </c>
      <c r="G1768" s="2">
        <v>2</v>
      </c>
      <c r="H1768" s="2">
        <v>-8.0500000000000007</v>
      </c>
      <c r="I1768" t="str">
        <f t="shared" si="27"/>
        <v>Dec</v>
      </c>
      <c r="J1768">
        <f>YEAR(datas[[#This Row],[Order Date]])</f>
        <v>2021</v>
      </c>
    </row>
    <row r="1769" spans="1:10" ht="14.25" customHeight="1" x14ac:dyDescent="0.3">
      <c r="A1769" s="1">
        <v>44536</v>
      </c>
      <c r="B1769" s="2" t="s">
        <v>397</v>
      </c>
      <c r="C1769" s="2" t="s">
        <v>13</v>
      </c>
      <c r="D1769" s="2" t="s">
        <v>10</v>
      </c>
      <c r="E1769" s="2" t="s">
        <v>15</v>
      </c>
      <c r="F1769" s="2">
        <v>35.17</v>
      </c>
      <c r="G1769" s="2">
        <v>2</v>
      </c>
      <c r="H1769" s="2">
        <v>-8.35</v>
      </c>
      <c r="I1769" t="str">
        <f t="shared" si="27"/>
        <v>Dec</v>
      </c>
      <c r="J1769">
        <f>YEAR(datas[[#This Row],[Order Date]])</f>
        <v>2021</v>
      </c>
    </row>
    <row r="1770" spans="1:10" ht="14.25" customHeight="1" x14ac:dyDescent="0.3">
      <c r="A1770" s="1">
        <v>44536</v>
      </c>
      <c r="B1770" s="2" t="s">
        <v>199</v>
      </c>
      <c r="C1770" s="2" t="s">
        <v>21</v>
      </c>
      <c r="D1770" s="2" t="s">
        <v>10</v>
      </c>
      <c r="E1770" s="2" t="s">
        <v>15</v>
      </c>
      <c r="F1770" s="2">
        <v>1261.33</v>
      </c>
      <c r="G1770" s="2">
        <v>7</v>
      </c>
      <c r="H1770" s="2">
        <v>327.95</v>
      </c>
      <c r="I1770" t="str">
        <f t="shared" si="27"/>
        <v>Dec</v>
      </c>
      <c r="J1770">
        <f>YEAR(datas[[#This Row],[Order Date]])</f>
        <v>2021</v>
      </c>
    </row>
    <row r="1771" spans="1:10" ht="14.25" customHeight="1" x14ac:dyDescent="0.3">
      <c r="A1771" s="1">
        <v>44536</v>
      </c>
      <c r="B1771" s="2" t="s">
        <v>569</v>
      </c>
      <c r="C1771" s="2" t="s">
        <v>62</v>
      </c>
      <c r="D1771" s="2" t="s">
        <v>10</v>
      </c>
      <c r="E1771" s="2" t="s">
        <v>11</v>
      </c>
      <c r="F1771" s="2">
        <v>42.21</v>
      </c>
      <c r="G1771" s="2">
        <v>2</v>
      </c>
      <c r="H1771" s="2">
        <v>13.72</v>
      </c>
      <c r="I1771" t="str">
        <f t="shared" si="27"/>
        <v>Dec</v>
      </c>
      <c r="J1771">
        <f>YEAR(datas[[#This Row],[Order Date]])</f>
        <v>2021</v>
      </c>
    </row>
    <row r="1772" spans="1:10" ht="14.25" customHeight="1" x14ac:dyDescent="0.3">
      <c r="A1772" s="1">
        <v>44537</v>
      </c>
      <c r="B1772" s="2" t="s">
        <v>559</v>
      </c>
      <c r="C1772" s="2" t="s">
        <v>36</v>
      </c>
      <c r="D1772" s="2" t="s">
        <v>10</v>
      </c>
      <c r="E1772" s="2" t="s">
        <v>11</v>
      </c>
      <c r="F1772" s="2">
        <v>105.52</v>
      </c>
      <c r="G1772" s="2">
        <v>4</v>
      </c>
      <c r="H1772" s="2">
        <v>48.54</v>
      </c>
      <c r="I1772" t="str">
        <f t="shared" si="27"/>
        <v>Dec</v>
      </c>
      <c r="J1772">
        <f>YEAR(datas[[#This Row],[Order Date]])</f>
        <v>2021</v>
      </c>
    </row>
    <row r="1773" spans="1:10" ht="14.25" customHeight="1" x14ac:dyDescent="0.3">
      <c r="A1773" s="1">
        <v>44537</v>
      </c>
      <c r="B1773" s="2" t="s">
        <v>630</v>
      </c>
      <c r="C1773" s="2" t="s">
        <v>21</v>
      </c>
      <c r="D1773" s="2" t="s">
        <v>10</v>
      </c>
      <c r="E1773" s="2" t="s">
        <v>19</v>
      </c>
      <c r="F1773" s="2">
        <v>8.64</v>
      </c>
      <c r="G1773" s="2">
        <v>3</v>
      </c>
      <c r="H1773" s="2">
        <v>2.42</v>
      </c>
      <c r="I1773" t="str">
        <f t="shared" si="27"/>
        <v>Dec</v>
      </c>
      <c r="J1773">
        <f>YEAR(datas[[#This Row],[Order Date]])</f>
        <v>2021</v>
      </c>
    </row>
    <row r="1774" spans="1:10" ht="14.25" customHeight="1" x14ac:dyDescent="0.3">
      <c r="A1774" s="1">
        <v>44537</v>
      </c>
      <c r="B1774" s="2" t="s">
        <v>395</v>
      </c>
      <c r="C1774" s="2" t="s">
        <v>82</v>
      </c>
      <c r="D1774" s="2" t="s">
        <v>10</v>
      </c>
      <c r="E1774" s="2" t="s">
        <v>15</v>
      </c>
      <c r="F1774" s="2">
        <v>269.36</v>
      </c>
      <c r="G1774" s="2">
        <v>7</v>
      </c>
      <c r="H1774" s="2">
        <v>70.03</v>
      </c>
      <c r="I1774" t="str">
        <f t="shared" si="27"/>
        <v>Dec</v>
      </c>
      <c r="J1774">
        <f>YEAR(datas[[#This Row],[Order Date]])</f>
        <v>2021</v>
      </c>
    </row>
    <row r="1775" spans="1:10" ht="14.25" customHeight="1" x14ac:dyDescent="0.3">
      <c r="A1775" s="1">
        <v>44537</v>
      </c>
      <c r="B1775" s="2" t="s">
        <v>266</v>
      </c>
      <c r="C1775" s="2" t="s">
        <v>21</v>
      </c>
      <c r="D1775" s="2" t="s">
        <v>10</v>
      </c>
      <c r="E1775" s="2" t="s">
        <v>11</v>
      </c>
      <c r="F1775" s="2">
        <v>164.88</v>
      </c>
      <c r="G1775" s="2">
        <v>3</v>
      </c>
      <c r="H1775" s="2">
        <v>80.790000000000006</v>
      </c>
      <c r="I1775" t="str">
        <f t="shared" si="27"/>
        <v>Dec</v>
      </c>
      <c r="J1775">
        <f>YEAR(datas[[#This Row],[Order Date]])</f>
        <v>2021</v>
      </c>
    </row>
    <row r="1776" spans="1:10" ht="14.25" customHeight="1" x14ac:dyDescent="0.3">
      <c r="A1776" s="1">
        <v>44538</v>
      </c>
      <c r="B1776" s="2" t="s">
        <v>631</v>
      </c>
      <c r="C1776" s="2" t="s">
        <v>9</v>
      </c>
      <c r="D1776" s="2" t="s">
        <v>10</v>
      </c>
      <c r="E1776" s="2" t="s">
        <v>15</v>
      </c>
      <c r="F1776" s="2">
        <v>60.42</v>
      </c>
      <c r="G1776" s="2">
        <v>2</v>
      </c>
      <c r="H1776" s="2">
        <v>6.04</v>
      </c>
      <c r="I1776" t="str">
        <f t="shared" si="27"/>
        <v>Dec</v>
      </c>
      <c r="J1776">
        <f>YEAR(datas[[#This Row],[Order Date]])</f>
        <v>2021</v>
      </c>
    </row>
    <row r="1777" spans="1:10" ht="14.25" customHeight="1" x14ac:dyDescent="0.3">
      <c r="A1777" s="1">
        <v>44538</v>
      </c>
      <c r="B1777" s="2" t="s">
        <v>632</v>
      </c>
      <c r="C1777" s="2" t="s">
        <v>52</v>
      </c>
      <c r="D1777" s="2" t="s">
        <v>10</v>
      </c>
      <c r="E1777" s="2" t="s">
        <v>14</v>
      </c>
      <c r="F1777" s="2">
        <v>27.89</v>
      </c>
      <c r="G1777" s="2">
        <v>7</v>
      </c>
      <c r="H1777" s="2">
        <v>9.06</v>
      </c>
      <c r="I1777" t="str">
        <f t="shared" si="27"/>
        <v>Dec</v>
      </c>
      <c r="J1777">
        <f>YEAR(datas[[#This Row],[Order Date]])</f>
        <v>2021</v>
      </c>
    </row>
    <row r="1778" spans="1:10" ht="14.25" customHeight="1" x14ac:dyDescent="0.3">
      <c r="A1778" s="1">
        <v>44538</v>
      </c>
      <c r="B1778" s="2" t="s">
        <v>632</v>
      </c>
      <c r="C1778" s="2" t="s">
        <v>52</v>
      </c>
      <c r="D1778" s="2" t="s">
        <v>10</v>
      </c>
      <c r="E1778" s="2" t="s">
        <v>16</v>
      </c>
      <c r="F1778" s="2">
        <v>6.46</v>
      </c>
      <c r="G1778" s="2">
        <v>4</v>
      </c>
      <c r="H1778" s="2">
        <v>-4.5199999999999996</v>
      </c>
      <c r="I1778" t="str">
        <f t="shared" si="27"/>
        <v>Dec</v>
      </c>
      <c r="J1778">
        <f>YEAR(datas[[#This Row],[Order Date]])</f>
        <v>2021</v>
      </c>
    </row>
    <row r="1779" spans="1:10" ht="14.25" customHeight="1" x14ac:dyDescent="0.3">
      <c r="A1779" s="1">
        <v>44538</v>
      </c>
      <c r="B1779" s="2" t="s">
        <v>632</v>
      </c>
      <c r="C1779" s="2" t="s">
        <v>52</v>
      </c>
      <c r="D1779" s="2" t="s">
        <v>28</v>
      </c>
      <c r="E1779" s="2" t="s">
        <v>29</v>
      </c>
      <c r="F1779" s="2">
        <v>52.68</v>
      </c>
      <c r="G1779" s="2">
        <v>3</v>
      </c>
      <c r="H1779" s="2">
        <v>19.760000000000002</v>
      </c>
      <c r="I1779" t="str">
        <f t="shared" si="27"/>
        <v>Dec</v>
      </c>
      <c r="J1779">
        <f>YEAR(datas[[#This Row],[Order Date]])</f>
        <v>2021</v>
      </c>
    </row>
    <row r="1780" spans="1:10" ht="14.25" customHeight="1" x14ac:dyDescent="0.3">
      <c r="A1780" s="1">
        <v>44538</v>
      </c>
      <c r="B1780" s="2" t="s">
        <v>632</v>
      </c>
      <c r="C1780" s="2" t="s">
        <v>52</v>
      </c>
      <c r="D1780" s="2" t="s">
        <v>10</v>
      </c>
      <c r="E1780" s="2" t="s">
        <v>95</v>
      </c>
      <c r="F1780" s="2">
        <v>13.88</v>
      </c>
      <c r="G1780" s="2">
        <v>5</v>
      </c>
      <c r="H1780" s="2">
        <v>-2.6</v>
      </c>
      <c r="I1780" t="str">
        <f t="shared" si="27"/>
        <v>Dec</v>
      </c>
      <c r="J1780">
        <f>YEAR(datas[[#This Row],[Order Date]])</f>
        <v>2021</v>
      </c>
    </row>
    <row r="1781" spans="1:10" ht="14.25" customHeight="1" x14ac:dyDescent="0.3">
      <c r="A1781" s="1">
        <v>44538</v>
      </c>
      <c r="B1781" s="2" t="s">
        <v>632</v>
      </c>
      <c r="C1781" s="2" t="s">
        <v>52</v>
      </c>
      <c r="D1781" s="2" t="s">
        <v>28</v>
      </c>
      <c r="E1781" s="2" t="s">
        <v>34</v>
      </c>
      <c r="F1781" s="2">
        <v>103.92</v>
      </c>
      <c r="G1781" s="2">
        <v>10</v>
      </c>
      <c r="H1781" s="2">
        <v>-18.190000000000001</v>
      </c>
      <c r="I1781" t="str">
        <f t="shared" si="27"/>
        <v>Dec</v>
      </c>
      <c r="J1781">
        <f>YEAR(datas[[#This Row],[Order Date]])</f>
        <v>2021</v>
      </c>
    </row>
    <row r="1782" spans="1:10" ht="14.25" customHeight="1" x14ac:dyDescent="0.3">
      <c r="A1782" s="1">
        <v>44538</v>
      </c>
      <c r="B1782" s="2" t="s">
        <v>632</v>
      </c>
      <c r="C1782" s="2" t="s">
        <v>52</v>
      </c>
      <c r="D1782" s="2" t="s">
        <v>10</v>
      </c>
      <c r="E1782" s="2" t="s">
        <v>14</v>
      </c>
      <c r="F1782" s="2">
        <v>11.52</v>
      </c>
      <c r="G1782" s="2">
        <v>5</v>
      </c>
      <c r="H1782" s="2">
        <v>3.74</v>
      </c>
      <c r="I1782" t="str">
        <f t="shared" si="27"/>
        <v>Dec</v>
      </c>
      <c r="J1782">
        <f>YEAR(datas[[#This Row],[Order Date]])</f>
        <v>2021</v>
      </c>
    </row>
    <row r="1783" spans="1:10" ht="14.25" customHeight="1" x14ac:dyDescent="0.3">
      <c r="A1783" s="1">
        <v>44538</v>
      </c>
      <c r="B1783" s="2" t="s">
        <v>632</v>
      </c>
      <c r="C1783" s="2" t="s">
        <v>52</v>
      </c>
      <c r="D1783" s="2" t="s">
        <v>10</v>
      </c>
      <c r="E1783" s="2" t="s">
        <v>11</v>
      </c>
      <c r="F1783" s="2">
        <v>10.37</v>
      </c>
      <c r="G1783" s="2">
        <v>2</v>
      </c>
      <c r="H1783" s="2">
        <v>3.63</v>
      </c>
      <c r="I1783" t="str">
        <f t="shared" si="27"/>
        <v>Dec</v>
      </c>
      <c r="J1783">
        <f>YEAR(datas[[#This Row],[Order Date]])</f>
        <v>2021</v>
      </c>
    </row>
    <row r="1784" spans="1:10" ht="14.25" customHeight="1" x14ac:dyDescent="0.3">
      <c r="A1784" s="1">
        <v>44538</v>
      </c>
      <c r="B1784" s="2" t="s">
        <v>632</v>
      </c>
      <c r="C1784" s="2" t="s">
        <v>52</v>
      </c>
      <c r="D1784" s="2" t="s">
        <v>10</v>
      </c>
      <c r="E1784" s="2" t="s">
        <v>15</v>
      </c>
      <c r="F1784" s="2">
        <v>39.07</v>
      </c>
      <c r="G1784" s="2">
        <v>3</v>
      </c>
      <c r="H1784" s="2">
        <v>2.93</v>
      </c>
      <c r="I1784" t="str">
        <f t="shared" si="27"/>
        <v>Dec</v>
      </c>
      <c r="J1784">
        <f>YEAR(datas[[#This Row],[Order Date]])</f>
        <v>2021</v>
      </c>
    </row>
    <row r="1785" spans="1:10" ht="14.25" customHeight="1" x14ac:dyDescent="0.3">
      <c r="A1785" s="1">
        <v>44538</v>
      </c>
      <c r="B1785" s="2" t="s">
        <v>299</v>
      </c>
      <c r="C1785" s="2" t="s">
        <v>82</v>
      </c>
      <c r="D1785" s="2" t="s">
        <v>10</v>
      </c>
      <c r="E1785" s="2" t="s">
        <v>11</v>
      </c>
      <c r="F1785" s="2">
        <v>45.68</v>
      </c>
      <c r="G1785" s="2">
        <v>2</v>
      </c>
      <c r="H1785" s="2">
        <v>21.01</v>
      </c>
      <c r="I1785" t="str">
        <f t="shared" si="27"/>
        <v>Dec</v>
      </c>
      <c r="J1785">
        <f>YEAR(datas[[#This Row],[Order Date]])</f>
        <v>2021</v>
      </c>
    </row>
    <row r="1786" spans="1:10" ht="14.25" customHeight="1" x14ac:dyDescent="0.3">
      <c r="A1786" s="1">
        <v>44538</v>
      </c>
      <c r="B1786" s="2" t="s">
        <v>299</v>
      </c>
      <c r="C1786" s="2" t="s">
        <v>82</v>
      </c>
      <c r="D1786" s="2" t="s">
        <v>26</v>
      </c>
      <c r="E1786" s="2" t="s">
        <v>27</v>
      </c>
      <c r="F1786" s="2">
        <v>603.91999999999996</v>
      </c>
      <c r="G1786" s="2">
        <v>5</v>
      </c>
      <c r="H1786" s="2">
        <v>45.29</v>
      </c>
      <c r="I1786" t="str">
        <f t="shared" si="27"/>
        <v>Dec</v>
      </c>
      <c r="J1786">
        <f>YEAR(datas[[#This Row],[Order Date]])</f>
        <v>2021</v>
      </c>
    </row>
    <row r="1787" spans="1:10" ht="14.25" customHeight="1" x14ac:dyDescent="0.3">
      <c r="A1787" s="1">
        <v>44538</v>
      </c>
      <c r="B1787" s="2" t="s">
        <v>633</v>
      </c>
      <c r="C1787" s="2" t="s">
        <v>21</v>
      </c>
      <c r="D1787" s="2" t="s">
        <v>26</v>
      </c>
      <c r="E1787" s="2" t="s">
        <v>32</v>
      </c>
      <c r="F1787" s="2">
        <v>39.880000000000003</v>
      </c>
      <c r="G1787" s="2">
        <v>2</v>
      </c>
      <c r="H1787" s="2">
        <v>11.17</v>
      </c>
      <c r="I1787" t="str">
        <f t="shared" si="27"/>
        <v>Dec</v>
      </c>
      <c r="J1787">
        <f>YEAR(datas[[#This Row],[Order Date]])</f>
        <v>2021</v>
      </c>
    </row>
    <row r="1788" spans="1:10" ht="14.25" customHeight="1" x14ac:dyDescent="0.3">
      <c r="A1788" s="1">
        <v>44538</v>
      </c>
      <c r="B1788" s="2" t="s">
        <v>633</v>
      </c>
      <c r="C1788" s="2" t="s">
        <v>21</v>
      </c>
      <c r="D1788" s="2" t="s">
        <v>26</v>
      </c>
      <c r="E1788" s="2" t="s">
        <v>32</v>
      </c>
      <c r="F1788" s="2">
        <v>79.44</v>
      </c>
      <c r="G1788" s="2">
        <v>3</v>
      </c>
      <c r="H1788" s="2">
        <v>28.6</v>
      </c>
      <c r="I1788" t="str">
        <f t="shared" si="27"/>
        <v>Dec</v>
      </c>
      <c r="J1788">
        <f>YEAR(datas[[#This Row],[Order Date]])</f>
        <v>2021</v>
      </c>
    </row>
    <row r="1789" spans="1:10" ht="14.25" customHeight="1" x14ac:dyDescent="0.3">
      <c r="A1789" s="1">
        <v>44539</v>
      </c>
      <c r="B1789" s="2" t="s">
        <v>86</v>
      </c>
      <c r="C1789" s="2" t="s">
        <v>21</v>
      </c>
      <c r="D1789" s="2" t="s">
        <v>10</v>
      </c>
      <c r="E1789" s="2" t="s">
        <v>11</v>
      </c>
      <c r="F1789" s="2">
        <v>34.68</v>
      </c>
      <c r="G1789" s="2">
        <v>6</v>
      </c>
      <c r="H1789" s="2">
        <v>16.989999999999998</v>
      </c>
      <c r="I1789" t="str">
        <f t="shared" si="27"/>
        <v>Dec</v>
      </c>
      <c r="J1789">
        <f>YEAR(datas[[#This Row],[Order Date]])</f>
        <v>2021</v>
      </c>
    </row>
    <row r="1790" spans="1:10" ht="14.25" customHeight="1" x14ac:dyDescent="0.3">
      <c r="A1790" s="1">
        <v>44539</v>
      </c>
      <c r="B1790" s="2" t="s">
        <v>512</v>
      </c>
      <c r="C1790" s="2" t="s">
        <v>55</v>
      </c>
      <c r="D1790" s="2" t="s">
        <v>10</v>
      </c>
      <c r="E1790" s="2" t="s">
        <v>15</v>
      </c>
      <c r="F1790" s="2">
        <v>100.7</v>
      </c>
      <c r="G1790" s="2">
        <v>6</v>
      </c>
      <c r="H1790" s="2">
        <v>-1.26</v>
      </c>
      <c r="I1790" t="str">
        <f t="shared" si="27"/>
        <v>Dec</v>
      </c>
      <c r="J1790">
        <f>YEAR(datas[[#This Row],[Order Date]])</f>
        <v>2021</v>
      </c>
    </row>
    <row r="1791" spans="1:10" ht="14.25" customHeight="1" x14ac:dyDescent="0.3">
      <c r="A1791" s="1">
        <v>44539</v>
      </c>
      <c r="B1791" s="2" t="s">
        <v>449</v>
      </c>
      <c r="C1791" s="2" t="s">
        <v>9</v>
      </c>
      <c r="D1791" s="2" t="s">
        <v>10</v>
      </c>
      <c r="E1791" s="2" t="s">
        <v>11</v>
      </c>
      <c r="F1791" s="2">
        <v>10.69</v>
      </c>
      <c r="G1791" s="2">
        <v>2</v>
      </c>
      <c r="H1791" s="2">
        <v>3.74</v>
      </c>
      <c r="I1791" t="str">
        <f t="shared" si="27"/>
        <v>Dec</v>
      </c>
      <c r="J1791">
        <f>YEAR(datas[[#This Row],[Order Date]])</f>
        <v>2021</v>
      </c>
    </row>
    <row r="1792" spans="1:10" ht="14.25" customHeight="1" x14ac:dyDescent="0.3">
      <c r="A1792" s="1">
        <v>44539</v>
      </c>
      <c r="B1792" s="2" t="s">
        <v>449</v>
      </c>
      <c r="C1792" s="2" t="s">
        <v>9</v>
      </c>
      <c r="D1792" s="2" t="s">
        <v>10</v>
      </c>
      <c r="E1792" s="2" t="s">
        <v>15</v>
      </c>
      <c r="F1792" s="2">
        <v>237.1</v>
      </c>
      <c r="G1792" s="2">
        <v>3</v>
      </c>
      <c r="H1792" s="2">
        <v>20.75</v>
      </c>
      <c r="I1792" t="str">
        <f t="shared" si="27"/>
        <v>Dec</v>
      </c>
      <c r="J1792">
        <f>YEAR(datas[[#This Row],[Order Date]])</f>
        <v>2021</v>
      </c>
    </row>
    <row r="1793" spans="1:10" ht="14.25" customHeight="1" x14ac:dyDescent="0.3">
      <c r="A1793" s="1">
        <v>44539</v>
      </c>
      <c r="B1793" s="2" t="s">
        <v>150</v>
      </c>
      <c r="C1793" s="2" t="s">
        <v>13</v>
      </c>
      <c r="D1793" s="2" t="s">
        <v>10</v>
      </c>
      <c r="E1793" s="2" t="s">
        <v>11</v>
      </c>
      <c r="F1793" s="2">
        <v>8.4499999999999993</v>
      </c>
      <c r="G1793" s="2">
        <v>2</v>
      </c>
      <c r="H1793" s="2">
        <v>2.96</v>
      </c>
      <c r="I1793" t="str">
        <f t="shared" si="27"/>
        <v>Dec</v>
      </c>
      <c r="J1793">
        <f>YEAR(datas[[#This Row],[Order Date]])</f>
        <v>2021</v>
      </c>
    </row>
    <row r="1794" spans="1:10" ht="14.25" customHeight="1" x14ac:dyDescent="0.3">
      <c r="A1794" s="1">
        <v>44539</v>
      </c>
      <c r="B1794" s="2" t="s">
        <v>150</v>
      </c>
      <c r="C1794" s="2" t="s">
        <v>13</v>
      </c>
      <c r="D1794" s="2" t="s">
        <v>10</v>
      </c>
      <c r="E1794" s="2" t="s">
        <v>53</v>
      </c>
      <c r="F1794" s="2">
        <v>20.39</v>
      </c>
      <c r="G1794" s="2">
        <v>2</v>
      </c>
      <c r="H1794" s="2">
        <v>-53.01</v>
      </c>
      <c r="I1794" t="str">
        <f t="shared" si="27"/>
        <v>Dec</v>
      </c>
      <c r="J1794">
        <f>YEAR(datas[[#This Row],[Order Date]])</f>
        <v>2021</v>
      </c>
    </row>
    <row r="1795" spans="1:10" ht="14.25" customHeight="1" x14ac:dyDescent="0.3">
      <c r="A1795" s="1">
        <v>44539</v>
      </c>
      <c r="B1795" s="2" t="s">
        <v>630</v>
      </c>
      <c r="C1795" s="2" t="s">
        <v>18</v>
      </c>
      <c r="D1795" s="2" t="s">
        <v>10</v>
      </c>
      <c r="E1795" s="2" t="s">
        <v>41</v>
      </c>
      <c r="F1795" s="2">
        <v>30.67</v>
      </c>
      <c r="G1795" s="2">
        <v>3</v>
      </c>
      <c r="H1795" s="2">
        <v>9.59</v>
      </c>
      <c r="I1795" t="str">
        <f t="shared" ref="I1795:I1858" si="28">TEXT(A1795,"mmm")</f>
        <v>Dec</v>
      </c>
      <c r="J1795">
        <f>YEAR(datas[[#This Row],[Order Date]])</f>
        <v>2021</v>
      </c>
    </row>
    <row r="1796" spans="1:10" ht="14.25" customHeight="1" x14ac:dyDescent="0.3">
      <c r="A1796" s="1">
        <v>44539</v>
      </c>
      <c r="B1796" s="2" t="s">
        <v>630</v>
      </c>
      <c r="C1796" s="2" t="s">
        <v>18</v>
      </c>
      <c r="D1796" s="2" t="s">
        <v>28</v>
      </c>
      <c r="E1796" s="2" t="s">
        <v>243</v>
      </c>
      <c r="F1796" s="2">
        <v>1079.98</v>
      </c>
      <c r="G1796" s="2">
        <v>4</v>
      </c>
      <c r="H1796" s="2">
        <v>126</v>
      </c>
      <c r="I1796" t="str">
        <f t="shared" si="28"/>
        <v>Dec</v>
      </c>
      <c r="J1796">
        <f>YEAR(datas[[#This Row],[Order Date]])</f>
        <v>2021</v>
      </c>
    </row>
    <row r="1797" spans="1:10" ht="14.25" customHeight="1" x14ac:dyDescent="0.3">
      <c r="A1797" s="1">
        <v>44540</v>
      </c>
      <c r="B1797" s="2" t="s">
        <v>605</v>
      </c>
      <c r="C1797" s="2" t="s">
        <v>75</v>
      </c>
      <c r="D1797" s="2" t="s">
        <v>10</v>
      </c>
      <c r="E1797" s="2" t="s">
        <v>11</v>
      </c>
      <c r="F1797" s="2">
        <v>11.36</v>
      </c>
      <c r="G1797" s="2">
        <v>2</v>
      </c>
      <c r="H1797" s="2">
        <v>5.23</v>
      </c>
      <c r="I1797" t="str">
        <f t="shared" si="28"/>
        <v>Dec</v>
      </c>
      <c r="J1797">
        <f>YEAR(datas[[#This Row],[Order Date]])</f>
        <v>2021</v>
      </c>
    </row>
    <row r="1798" spans="1:10" ht="14.25" customHeight="1" x14ac:dyDescent="0.3">
      <c r="A1798" s="1">
        <v>44540</v>
      </c>
      <c r="B1798" s="2" t="s">
        <v>605</v>
      </c>
      <c r="C1798" s="2" t="s">
        <v>75</v>
      </c>
      <c r="D1798" s="2" t="s">
        <v>10</v>
      </c>
      <c r="E1798" s="2" t="s">
        <v>16</v>
      </c>
      <c r="F1798" s="2">
        <v>106.34</v>
      </c>
      <c r="G1798" s="2">
        <v>7</v>
      </c>
      <c r="H1798" s="2">
        <v>37.22</v>
      </c>
      <c r="I1798" t="str">
        <f t="shared" si="28"/>
        <v>Dec</v>
      </c>
      <c r="J1798">
        <f>YEAR(datas[[#This Row],[Order Date]])</f>
        <v>2021</v>
      </c>
    </row>
    <row r="1799" spans="1:10" ht="14.25" customHeight="1" x14ac:dyDescent="0.3">
      <c r="A1799" s="1">
        <v>44540</v>
      </c>
      <c r="B1799" s="2" t="s">
        <v>634</v>
      </c>
      <c r="C1799" s="2" t="s">
        <v>207</v>
      </c>
      <c r="D1799" s="2" t="s">
        <v>26</v>
      </c>
      <c r="E1799" s="2" t="s">
        <v>27</v>
      </c>
      <c r="F1799" s="2">
        <v>338.35</v>
      </c>
      <c r="G1799" s="2">
        <v>3</v>
      </c>
      <c r="H1799" s="2">
        <v>4.2300000000000004</v>
      </c>
      <c r="I1799" t="str">
        <f t="shared" si="28"/>
        <v>Dec</v>
      </c>
      <c r="J1799">
        <f>YEAR(datas[[#This Row],[Order Date]])</f>
        <v>2021</v>
      </c>
    </row>
    <row r="1800" spans="1:10" ht="14.25" customHeight="1" x14ac:dyDescent="0.3">
      <c r="A1800" s="1">
        <v>44540</v>
      </c>
      <c r="B1800" s="2" t="s">
        <v>634</v>
      </c>
      <c r="C1800" s="2" t="s">
        <v>207</v>
      </c>
      <c r="D1800" s="2" t="s">
        <v>10</v>
      </c>
      <c r="E1800" s="2" t="s">
        <v>11</v>
      </c>
      <c r="F1800" s="2">
        <v>25.92</v>
      </c>
      <c r="G1800" s="2">
        <v>4</v>
      </c>
      <c r="H1800" s="2">
        <v>12.44</v>
      </c>
      <c r="I1800" t="str">
        <f t="shared" si="28"/>
        <v>Dec</v>
      </c>
      <c r="J1800">
        <f>YEAR(datas[[#This Row],[Order Date]])</f>
        <v>2021</v>
      </c>
    </row>
    <row r="1801" spans="1:10" ht="14.25" customHeight="1" x14ac:dyDescent="0.3">
      <c r="A1801" s="1">
        <v>44540</v>
      </c>
      <c r="B1801" s="2" t="s">
        <v>634</v>
      </c>
      <c r="C1801" s="2" t="s">
        <v>207</v>
      </c>
      <c r="D1801" s="2" t="s">
        <v>10</v>
      </c>
      <c r="E1801" s="2" t="s">
        <v>11</v>
      </c>
      <c r="F1801" s="2">
        <v>91.36</v>
      </c>
      <c r="G1801" s="2">
        <v>4</v>
      </c>
      <c r="H1801" s="2">
        <v>42.03</v>
      </c>
      <c r="I1801" t="str">
        <f t="shared" si="28"/>
        <v>Dec</v>
      </c>
      <c r="J1801">
        <f>YEAR(datas[[#This Row],[Order Date]])</f>
        <v>2021</v>
      </c>
    </row>
    <row r="1802" spans="1:10" ht="14.25" customHeight="1" x14ac:dyDescent="0.3">
      <c r="A1802" s="1">
        <v>44542</v>
      </c>
      <c r="B1802" s="2" t="s">
        <v>447</v>
      </c>
      <c r="C1802" s="2" t="s">
        <v>21</v>
      </c>
      <c r="D1802" s="2" t="s">
        <v>26</v>
      </c>
      <c r="E1802" s="2" t="s">
        <v>73</v>
      </c>
      <c r="F1802" s="2">
        <v>764.69</v>
      </c>
      <c r="G1802" s="2">
        <v>6</v>
      </c>
      <c r="H1802" s="2">
        <v>95.59</v>
      </c>
      <c r="I1802" t="str">
        <f t="shared" si="28"/>
        <v>Dec</v>
      </c>
      <c r="J1802">
        <f>YEAR(datas[[#This Row],[Order Date]])</f>
        <v>2021</v>
      </c>
    </row>
    <row r="1803" spans="1:10" ht="14.25" customHeight="1" x14ac:dyDescent="0.3">
      <c r="A1803" s="1">
        <v>44542</v>
      </c>
      <c r="B1803" s="2" t="s">
        <v>447</v>
      </c>
      <c r="C1803" s="2" t="s">
        <v>21</v>
      </c>
      <c r="D1803" s="2" t="s">
        <v>26</v>
      </c>
      <c r="E1803" s="2" t="s">
        <v>73</v>
      </c>
      <c r="F1803" s="2">
        <v>3610.85</v>
      </c>
      <c r="G1803" s="2">
        <v>12</v>
      </c>
      <c r="H1803" s="2">
        <v>135.41</v>
      </c>
      <c r="I1803" t="str">
        <f t="shared" si="28"/>
        <v>Dec</v>
      </c>
      <c r="J1803">
        <f>YEAR(datas[[#This Row],[Order Date]])</f>
        <v>2021</v>
      </c>
    </row>
    <row r="1804" spans="1:10" ht="14.25" customHeight="1" x14ac:dyDescent="0.3">
      <c r="A1804" s="1">
        <v>44542</v>
      </c>
      <c r="B1804" s="2" t="s">
        <v>447</v>
      </c>
      <c r="C1804" s="2" t="s">
        <v>21</v>
      </c>
      <c r="D1804" s="2" t="s">
        <v>26</v>
      </c>
      <c r="E1804" s="2" t="s">
        <v>45</v>
      </c>
      <c r="F1804" s="2">
        <v>254.97</v>
      </c>
      <c r="G1804" s="2">
        <v>3</v>
      </c>
      <c r="H1804" s="2">
        <v>12</v>
      </c>
      <c r="I1804" t="str">
        <f t="shared" si="28"/>
        <v>Dec</v>
      </c>
      <c r="J1804">
        <f>YEAR(datas[[#This Row],[Order Date]])</f>
        <v>2021</v>
      </c>
    </row>
    <row r="1805" spans="1:10" ht="14.25" customHeight="1" x14ac:dyDescent="0.3">
      <c r="A1805" s="1">
        <v>44542</v>
      </c>
      <c r="B1805" s="2" t="s">
        <v>566</v>
      </c>
      <c r="C1805" s="2" t="s">
        <v>21</v>
      </c>
      <c r="D1805" s="2" t="s">
        <v>26</v>
      </c>
      <c r="E1805" s="2" t="s">
        <v>32</v>
      </c>
      <c r="F1805" s="2">
        <v>43.31</v>
      </c>
      <c r="G1805" s="2">
        <v>1</v>
      </c>
      <c r="H1805" s="2">
        <v>4.33</v>
      </c>
      <c r="I1805" t="str">
        <f t="shared" si="28"/>
        <v>Dec</v>
      </c>
      <c r="J1805">
        <f>YEAR(datas[[#This Row],[Order Date]])</f>
        <v>2021</v>
      </c>
    </row>
    <row r="1806" spans="1:10" ht="14.25" customHeight="1" x14ac:dyDescent="0.3">
      <c r="A1806" s="1">
        <v>44542</v>
      </c>
      <c r="B1806" s="2" t="s">
        <v>635</v>
      </c>
      <c r="C1806" s="2" t="s">
        <v>9</v>
      </c>
      <c r="D1806" s="2" t="s">
        <v>10</v>
      </c>
      <c r="E1806" s="2" t="s">
        <v>16</v>
      </c>
      <c r="F1806" s="2">
        <v>210.39</v>
      </c>
      <c r="G1806" s="2">
        <v>2</v>
      </c>
      <c r="H1806" s="2">
        <v>-336.63</v>
      </c>
      <c r="I1806" t="str">
        <f t="shared" si="28"/>
        <v>Dec</v>
      </c>
      <c r="J1806">
        <f>YEAR(datas[[#This Row],[Order Date]])</f>
        <v>2021</v>
      </c>
    </row>
    <row r="1807" spans="1:10" ht="14.25" customHeight="1" x14ac:dyDescent="0.3">
      <c r="A1807" s="1">
        <v>44542</v>
      </c>
      <c r="B1807" s="2" t="s">
        <v>636</v>
      </c>
      <c r="C1807" s="2" t="s">
        <v>21</v>
      </c>
      <c r="D1807" s="2" t="s">
        <v>26</v>
      </c>
      <c r="E1807" s="2" t="s">
        <v>32</v>
      </c>
      <c r="F1807" s="2">
        <v>12.54</v>
      </c>
      <c r="G1807" s="2">
        <v>3</v>
      </c>
      <c r="H1807" s="2">
        <v>4.51</v>
      </c>
      <c r="I1807" t="str">
        <f t="shared" si="28"/>
        <v>Dec</v>
      </c>
      <c r="J1807">
        <f>YEAR(datas[[#This Row],[Order Date]])</f>
        <v>2021</v>
      </c>
    </row>
    <row r="1808" spans="1:10" ht="14.25" customHeight="1" x14ac:dyDescent="0.3">
      <c r="A1808" s="1">
        <v>44542</v>
      </c>
      <c r="B1808" s="2" t="s">
        <v>636</v>
      </c>
      <c r="C1808" s="2" t="s">
        <v>21</v>
      </c>
      <c r="D1808" s="2" t="s">
        <v>10</v>
      </c>
      <c r="E1808" s="2" t="s">
        <v>15</v>
      </c>
      <c r="F1808" s="2">
        <v>8.94</v>
      </c>
      <c r="G1808" s="2">
        <v>3</v>
      </c>
      <c r="H1808" s="2">
        <v>0.63</v>
      </c>
      <c r="I1808" t="str">
        <f t="shared" si="28"/>
        <v>Dec</v>
      </c>
      <c r="J1808">
        <f>YEAR(datas[[#This Row],[Order Date]])</f>
        <v>2021</v>
      </c>
    </row>
    <row r="1809" spans="1:10" ht="14.25" customHeight="1" x14ac:dyDescent="0.3">
      <c r="A1809" s="1">
        <v>44542</v>
      </c>
      <c r="B1809" s="2" t="s">
        <v>636</v>
      </c>
      <c r="C1809" s="2" t="s">
        <v>21</v>
      </c>
      <c r="D1809" s="2" t="s">
        <v>26</v>
      </c>
      <c r="E1809" s="2" t="s">
        <v>32</v>
      </c>
      <c r="F1809" s="2">
        <v>9.24</v>
      </c>
      <c r="G1809" s="2">
        <v>3</v>
      </c>
      <c r="H1809" s="2">
        <v>4.4400000000000004</v>
      </c>
      <c r="I1809" t="str">
        <f t="shared" si="28"/>
        <v>Dec</v>
      </c>
      <c r="J1809">
        <f>YEAR(datas[[#This Row],[Order Date]])</f>
        <v>2021</v>
      </c>
    </row>
    <row r="1810" spans="1:10" ht="14.25" customHeight="1" x14ac:dyDescent="0.3">
      <c r="A1810" s="1">
        <v>44542</v>
      </c>
      <c r="B1810" s="2" t="s">
        <v>368</v>
      </c>
      <c r="C1810" s="2" t="s">
        <v>64</v>
      </c>
      <c r="D1810" s="2" t="s">
        <v>10</v>
      </c>
      <c r="E1810" s="2" t="s">
        <v>41</v>
      </c>
      <c r="F1810" s="2">
        <v>23.47</v>
      </c>
      <c r="G1810" s="2">
        <v>3</v>
      </c>
      <c r="H1810" s="2">
        <v>7.63</v>
      </c>
      <c r="I1810" t="str">
        <f t="shared" si="28"/>
        <v>Dec</v>
      </c>
      <c r="J1810">
        <f>YEAR(datas[[#This Row],[Order Date]])</f>
        <v>2021</v>
      </c>
    </row>
    <row r="1811" spans="1:10" ht="14.25" customHeight="1" x14ac:dyDescent="0.3">
      <c r="A1811" s="1">
        <v>44543</v>
      </c>
      <c r="B1811" s="2" t="s">
        <v>445</v>
      </c>
      <c r="C1811" s="2" t="s">
        <v>21</v>
      </c>
      <c r="D1811" s="2" t="s">
        <v>10</v>
      </c>
      <c r="E1811" s="2" t="s">
        <v>11</v>
      </c>
      <c r="F1811" s="2">
        <v>90.24</v>
      </c>
      <c r="G1811" s="2">
        <v>6</v>
      </c>
      <c r="H1811" s="2">
        <v>41.51</v>
      </c>
      <c r="I1811" t="str">
        <f t="shared" si="28"/>
        <v>Dec</v>
      </c>
      <c r="J1811">
        <f>YEAR(datas[[#This Row],[Order Date]])</f>
        <v>2021</v>
      </c>
    </row>
    <row r="1812" spans="1:10" ht="14.25" customHeight="1" x14ac:dyDescent="0.3">
      <c r="A1812" s="1">
        <v>44543</v>
      </c>
      <c r="B1812" s="2" t="s">
        <v>637</v>
      </c>
      <c r="C1812" s="2" t="s">
        <v>9</v>
      </c>
      <c r="D1812" s="2" t="s">
        <v>10</v>
      </c>
      <c r="E1812" s="2" t="s">
        <v>95</v>
      </c>
      <c r="F1812" s="2">
        <v>2.92</v>
      </c>
      <c r="G1812" s="2">
        <v>1</v>
      </c>
      <c r="H1812" s="2">
        <v>0.37</v>
      </c>
      <c r="I1812" t="str">
        <f t="shared" si="28"/>
        <v>Dec</v>
      </c>
      <c r="J1812">
        <f>YEAR(datas[[#This Row],[Order Date]])</f>
        <v>2021</v>
      </c>
    </row>
    <row r="1813" spans="1:10" ht="14.25" customHeight="1" x14ac:dyDescent="0.3">
      <c r="A1813" s="1">
        <v>44543</v>
      </c>
      <c r="B1813" s="2" t="s">
        <v>294</v>
      </c>
      <c r="C1813" s="2" t="s">
        <v>13</v>
      </c>
      <c r="D1813" s="2" t="s">
        <v>26</v>
      </c>
      <c r="E1813" s="2" t="s">
        <v>32</v>
      </c>
      <c r="F1813" s="2">
        <v>94.43</v>
      </c>
      <c r="G1813" s="2">
        <v>3</v>
      </c>
      <c r="H1813" s="2">
        <v>-42.49</v>
      </c>
      <c r="I1813" t="str">
        <f t="shared" si="28"/>
        <v>Dec</v>
      </c>
      <c r="J1813">
        <f>YEAR(datas[[#This Row],[Order Date]])</f>
        <v>2021</v>
      </c>
    </row>
    <row r="1814" spans="1:10" ht="14.25" customHeight="1" x14ac:dyDescent="0.3">
      <c r="A1814" s="1">
        <v>44543</v>
      </c>
      <c r="B1814" s="2" t="s">
        <v>277</v>
      </c>
      <c r="C1814" s="2" t="s">
        <v>55</v>
      </c>
      <c r="D1814" s="2" t="s">
        <v>26</v>
      </c>
      <c r="E1814" s="2" t="s">
        <v>32</v>
      </c>
      <c r="F1814" s="2">
        <v>87.96</v>
      </c>
      <c r="G1814" s="2">
        <v>3</v>
      </c>
      <c r="H1814" s="2">
        <v>7.7</v>
      </c>
      <c r="I1814" t="str">
        <f t="shared" si="28"/>
        <v>Dec</v>
      </c>
      <c r="J1814">
        <f>YEAR(datas[[#This Row],[Order Date]])</f>
        <v>2021</v>
      </c>
    </row>
    <row r="1815" spans="1:10" ht="14.25" customHeight="1" x14ac:dyDescent="0.3">
      <c r="A1815" s="1">
        <v>44543</v>
      </c>
      <c r="B1815" s="2" t="s">
        <v>277</v>
      </c>
      <c r="C1815" s="2" t="s">
        <v>55</v>
      </c>
      <c r="D1815" s="2" t="s">
        <v>10</v>
      </c>
      <c r="E1815" s="2" t="s">
        <v>16</v>
      </c>
      <c r="F1815" s="2">
        <v>5.21</v>
      </c>
      <c r="G1815" s="2">
        <v>2</v>
      </c>
      <c r="H1815" s="2">
        <v>-4.17</v>
      </c>
      <c r="I1815" t="str">
        <f t="shared" si="28"/>
        <v>Dec</v>
      </c>
      <c r="J1815">
        <f>YEAR(datas[[#This Row],[Order Date]])</f>
        <v>2021</v>
      </c>
    </row>
    <row r="1816" spans="1:10" ht="14.25" customHeight="1" x14ac:dyDescent="0.3">
      <c r="A1816" s="1">
        <v>44543</v>
      </c>
      <c r="B1816" s="2" t="s">
        <v>638</v>
      </c>
      <c r="C1816" s="2" t="s">
        <v>25</v>
      </c>
      <c r="D1816" s="2" t="s">
        <v>10</v>
      </c>
      <c r="E1816" s="2" t="s">
        <v>16</v>
      </c>
      <c r="F1816" s="2">
        <v>12.39</v>
      </c>
      <c r="G1816" s="2">
        <v>3</v>
      </c>
      <c r="H1816" s="2">
        <v>5.82</v>
      </c>
      <c r="I1816" t="str">
        <f t="shared" si="28"/>
        <v>Dec</v>
      </c>
      <c r="J1816">
        <f>YEAR(datas[[#This Row],[Order Date]])</f>
        <v>2021</v>
      </c>
    </row>
    <row r="1817" spans="1:10" ht="14.25" customHeight="1" x14ac:dyDescent="0.3">
      <c r="A1817" s="1">
        <v>44544</v>
      </c>
      <c r="B1817" s="2" t="s">
        <v>519</v>
      </c>
      <c r="C1817" s="2" t="s">
        <v>13</v>
      </c>
      <c r="D1817" s="2" t="s">
        <v>10</v>
      </c>
      <c r="E1817" s="2" t="s">
        <v>16</v>
      </c>
      <c r="F1817" s="2">
        <v>5.0999999999999996</v>
      </c>
      <c r="G1817" s="2">
        <v>4</v>
      </c>
      <c r="H1817" s="2">
        <v>-8.68</v>
      </c>
      <c r="I1817" t="str">
        <f t="shared" si="28"/>
        <v>Dec</v>
      </c>
      <c r="J1817">
        <f>YEAR(datas[[#This Row],[Order Date]])</f>
        <v>2021</v>
      </c>
    </row>
    <row r="1818" spans="1:10" ht="14.25" customHeight="1" x14ac:dyDescent="0.3">
      <c r="A1818" s="1">
        <v>44544</v>
      </c>
      <c r="B1818" s="2" t="s">
        <v>519</v>
      </c>
      <c r="C1818" s="2" t="s">
        <v>13</v>
      </c>
      <c r="D1818" s="2" t="s">
        <v>10</v>
      </c>
      <c r="E1818" s="2" t="s">
        <v>30</v>
      </c>
      <c r="F1818" s="2">
        <v>2.9</v>
      </c>
      <c r="G1818" s="2">
        <v>2</v>
      </c>
      <c r="H1818" s="2">
        <v>0.47</v>
      </c>
      <c r="I1818" t="str">
        <f t="shared" si="28"/>
        <v>Dec</v>
      </c>
      <c r="J1818">
        <f>YEAR(datas[[#This Row],[Order Date]])</f>
        <v>2021</v>
      </c>
    </row>
    <row r="1819" spans="1:10" ht="14.25" customHeight="1" x14ac:dyDescent="0.3">
      <c r="A1819" s="1">
        <v>44544</v>
      </c>
      <c r="B1819" s="2" t="s">
        <v>519</v>
      </c>
      <c r="C1819" s="2" t="s">
        <v>13</v>
      </c>
      <c r="D1819" s="2" t="s">
        <v>28</v>
      </c>
      <c r="E1819" s="2" t="s">
        <v>34</v>
      </c>
      <c r="F1819" s="2">
        <v>35.020000000000003</v>
      </c>
      <c r="G1819" s="2">
        <v>3</v>
      </c>
      <c r="H1819" s="2">
        <v>-2.19</v>
      </c>
      <c r="I1819" t="str">
        <f t="shared" si="28"/>
        <v>Dec</v>
      </c>
      <c r="J1819">
        <f>YEAR(datas[[#This Row],[Order Date]])</f>
        <v>2021</v>
      </c>
    </row>
    <row r="1820" spans="1:10" ht="14.25" customHeight="1" x14ac:dyDescent="0.3">
      <c r="A1820" s="1">
        <v>44544</v>
      </c>
      <c r="B1820" s="2" t="s">
        <v>307</v>
      </c>
      <c r="C1820" s="2" t="s">
        <v>64</v>
      </c>
      <c r="D1820" s="2" t="s">
        <v>26</v>
      </c>
      <c r="E1820" s="2" t="s">
        <v>27</v>
      </c>
      <c r="F1820" s="2">
        <v>186.3</v>
      </c>
      <c r="G1820" s="2">
        <v>4</v>
      </c>
      <c r="H1820" s="2">
        <v>13.97</v>
      </c>
      <c r="I1820" t="str">
        <f t="shared" si="28"/>
        <v>Dec</v>
      </c>
      <c r="J1820">
        <f>YEAR(datas[[#This Row],[Order Date]])</f>
        <v>2021</v>
      </c>
    </row>
    <row r="1821" spans="1:10" ht="14.25" customHeight="1" x14ac:dyDescent="0.3">
      <c r="A1821" s="1">
        <v>44544</v>
      </c>
      <c r="B1821" s="2" t="s">
        <v>639</v>
      </c>
      <c r="C1821" s="2" t="s">
        <v>47</v>
      </c>
      <c r="D1821" s="2" t="s">
        <v>10</v>
      </c>
      <c r="E1821" s="2" t="s">
        <v>19</v>
      </c>
      <c r="F1821" s="2">
        <v>2.62</v>
      </c>
      <c r="G1821" s="2">
        <v>1</v>
      </c>
      <c r="H1821" s="2">
        <v>0.3</v>
      </c>
      <c r="I1821" t="str">
        <f t="shared" si="28"/>
        <v>Dec</v>
      </c>
      <c r="J1821">
        <f>YEAR(datas[[#This Row],[Order Date]])</f>
        <v>2021</v>
      </c>
    </row>
    <row r="1822" spans="1:10" ht="14.25" customHeight="1" x14ac:dyDescent="0.3">
      <c r="A1822" s="1">
        <v>44544</v>
      </c>
      <c r="B1822" s="2" t="s">
        <v>639</v>
      </c>
      <c r="C1822" s="2" t="s">
        <v>47</v>
      </c>
      <c r="D1822" s="2" t="s">
        <v>26</v>
      </c>
      <c r="E1822" s="2" t="s">
        <v>73</v>
      </c>
      <c r="F1822" s="2">
        <v>136.53</v>
      </c>
      <c r="G1822" s="2">
        <v>1</v>
      </c>
      <c r="H1822" s="2">
        <v>-52.34</v>
      </c>
      <c r="I1822" t="str">
        <f t="shared" si="28"/>
        <v>Dec</v>
      </c>
      <c r="J1822">
        <f>YEAR(datas[[#This Row],[Order Date]])</f>
        <v>2021</v>
      </c>
    </row>
    <row r="1823" spans="1:10" ht="14.25" customHeight="1" x14ac:dyDescent="0.3">
      <c r="A1823" s="1">
        <v>44544</v>
      </c>
      <c r="B1823" s="2" t="s">
        <v>639</v>
      </c>
      <c r="C1823" s="2" t="s">
        <v>47</v>
      </c>
      <c r="D1823" s="2" t="s">
        <v>28</v>
      </c>
      <c r="E1823" s="2" t="s">
        <v>34</v>
      </c>
      <c r="F1823" s="2">
        <v>263.95999999999998</v>
      </c>
      <c r="G1823" s="2">
        <v>1</v>
      </c>
      <c r="H1823" s="2">
        <v>42.89</v>
      </c>
      <c r="I1823" t="str">
        <f t="shared" si="28"/>
        <v>Dec</v>
      </c>
      <c r="J1823">
        <f>YEAR(datas[[#This Row],[Order Date]])</f>
        <v>2021</v>
      </c>
    </row>
    <row r="1824" spans="1:10" ht="14.25" customHeight="1" x14ac:dyDescent="0.3">
      <c r="A1824" s="1">
        <v>44544</v>
      </c>
      <c r="B1824" s="2" t="s">
        <v>63</v>
      </c>
      <c r="C1824" s="2" t="s">
        <v>75</v>
      </c>
      <c r="D1824" s="2" t="s">
        <v>28</v>
      </c>
      <c r="E1824" s="2" t="s">
        <v>136</v>
      </c>
      <c r="F1824" s="2">
        <v>6999.96</v>
      </c>
      <c r="G1824" s="2">
        <v>4</v>
      </c>
      <c r="H1824" s="2">
        <v>2239.9899999999998</v>
      </c>
      <c r="I1824" t="str">
        <f t="shared" si="28"/>
        <v>Dec</v>
      </c>
      <c r="J1824">
        <f>YEAR(datas[[#This Row],[Order Date]])</f>
        <v>2021</v>
      </c>
    </row>
    <row r="1825" spans="1:10" ht="14.25" customHeight="1" x14ac:dyDescent="0.3">
      <c r="A1825" s="1">
        <v>44544</v>
      </c>
      <c r="B1825" s="2" t="s">
        <v>640</v>
      </c>
      <c r="C1825" s="2" t="s">
        <v>13</v>
      </c>
      <c r="D1825" s="2" t="s">
        <v>10</v>
      </c>
      <c r="E1825" s="2" t="s">
        <v>16</v>
      </c>
      <c r="F1825" s="2">
        <v>9.26</v>
      </c>
      <c r="G1825" s="2">
        <v>3</v>
      </c>
      <c r="H1825" s="2">
        <v>-13.9</v>
      </c>
      <c r="I1825" t="str">
        <f t="shared" si="28"/>
        <v>Dec</v>
      </c>
      <c r="J1825">
        <f>YEAR(datas[[#This Row],[Order Date]])</f>
        <v>2021</v>
      </c>
    </row>
    <row r="1826" spans="1:10" ht="14.25" customHeight="1" x14ac:dyDescent="0.3">
      <c r="A1826" s="1">
        <v>44545</v>
      </c>
      <c r="B1826" s="2" t="s">
        <v>327</v>
      </c>
      <c r="C1826" s="2" t="s">
        <v>9</v>
      </c>
      <c r="D1826" s="2" t="s">
        <v>28</v>
      </c>
      <c r="E1826" s="2" t="s">
        <v>29</v>
      </c>
      <c r="F1826" s="2">
        <v>40.68</v>
      </c>
      <c r="G1826" s="2">
        <v>3</v>
      </c>
      <c r="H1826" s="2">
        <v>-9.15</v>
      </c>
      <c r="I1826" t="str">
        <f t="shared" si="28"/>
        <v>Dec</v>
      </c>
      <c r="J1826">
        <f>YEAR(datas[[#This Row],[Order Date]])</f>
        <v>2021</v>
      </c>
    </row>
    <row r="1827" spans="1:10" ht="14.25" customHeight="1" x14ac:dyDescent="0.3">
      <c r="A1827" s="1">
        <v>44545</v>
      </c>
      <c r="B1827" s="2" t="s">
        <v>327</v>
      </c>
      <c r="C1827" s="2" t="s">
        <v>9</v>
      </c>
      <c r="D1827" s="2" t="s">
        <v>26</v>
      </c>
      <c r="E1827" s="2" t="s">
        <v>27</v>
      </c>
      <c r="F1827" s="2">
        <v>763.28</v>
      </c>
      <c r="G1827" s="2">
        <v>5</v>
      </c>
      <c r="H1827" s="2">
        <v>-21.81</v>
      </c>
      <c r="I1827" t="str">
        <f t="shared" si="28"/>
        <v>Dec</v>
      </c>
      <c r="J1827">
        <f>YEAR(datas[[#This Row],[Order Date]])</f>
        <v>2021</v>
      </c>
    </row>
    <row r="1828" spans="1:10" ht="14.25" customHeight="1" x14ac:dyDescent="0.3">
      <c r="A1828" s="1">
        <v>44545</v>
      </c>
      <c r="B1828" s="2" t="s">
        <v>176</v>
      </c>
      <c r="C1828" s="2" t="s">
        <v>21</v>
      </c>
      <c r="D1828" s="2" t="s">
        <v>26</v>
      </c>
      <c r="E1828" s="2" t="s">
        <v>32</v>
      </c>
      <c r="F1828" s="2">
        <v>6.16</v>
      </c>
      <c r="G1828" s="2">
        <v>2</v>
      </c>
      <c r="H1828" s="2">
        <v>1.97</v>
      </c>
      <c r="I1828" t="str">
        <f t="shared" si="28"/>
        <v>Dec</v>
      </c>
      <c r="J1828">
        <f>YEAR(datas[[#This Row],[Order Date]])</f>
        <v>2021</v>
      </c>
    </row>
    <row r="1829" spans="1:10" ht="14.25" customHeight="1" x14ac:dyDescent="0.3">
      <c r="A1829" s="1">
        <v>44545</v>
      </c>
      <c r="B1829" s="2" t="s">
        <v>641</v>
      </c>
      <c r="C1829" s="2" t="s">
        <v>13</v>
      </c>
      <c r="D1829" s="2" t="s">
        <v>26</v>
      </c>
      <c r="E1829" s="2" t="s">
        <v>32</v>
      </c>
      <c r="F1829" s="2">
        <v>8.5399999999999991</v>
      </c>
      <c r="G1829" s="2">
        <v>2</v>
      </c>
      <c r="H1829" s="2">
        <v>-7.48</v>
      </c>
      <c r="I1829" t="str">
        <f t="shared" si="28"/>
        <v>Dec</v>
      </c>
      <c r="J1829">
        <f>YEAR(datas[[#This Row],[Order Date]])</f>
        <v>2021</v>
      </c>
    </row>
    <row r="1830" spans="1:10" ht="14.25" customHeight="1" x14ac:dyDescent="0.3">
      <c r="A1830" s="1">
        <v>44545</v>
      </c>
      <c r="B1830" s="2" t="s">
        <v>358</v>
      </c>
      <c r="C1830" s="2" t="s">
        <v>18</v>
      </c>
      <c r="D1830" s="2" t="s">
        <v>26</v>
      </c>
      <c r="E1830" s="2" t="s">
        <v>27</v>
      </c>
      <c r="F1830" s="2">
        <v>445.8</v>
      </c>
      <c r="G1830" s="2">
        <v>7</v>
      </c>
      <c r="H1830" s="2">
        <v>-108.27</v>
      </c>
      <c r="I1830" t="str">
        <f t="shared" si="28"/>
        <v>Dec</v>
      </c>
      <c r="J1830">
        <f>YEAR(datas[[#This Row],[Order Date]])</f>
        <v>2021</v>
      </c>
    </row>
    <row r="1831" spans="1:10" ht="14.25" customHeight="1" x14ac:dyDescent="0.3">
      <c r="A1831" s="1">
        <v>44546</v>
      </c>
      <c r="B1831" s="2" t="s">
        <v>211</v>
      </c>
      <c r="C1831" s="2" t="s">
        <v>64</v>
      </c>
      <c r="D1831" s="2" t="s">
        <v>10</v>
      </c>
      <c r="E1831" s="2" t="s">
        <v>16</v>
      </c>
      <c r="F1831" s="2">
        <v>1.17</v>
      </c>
      <c r="G1831" s="2">
        <v>1</v>
      </c>
      <c r="H1831" s="2">
        <v>-0.86</v>
      </c>
      <c r="I1831" t="str">
        <f t="shared" si="28"/>
        <v>Dec</v>
      </c>
      <c r="J1831">
        <f>YEAR(datas[[#This Row],[Order Date]])</f>
        <v>2021</v>
      </c>
    </row>
    <row r="1832" spans="1:10" ht="14.25" customHeight="1" x14ac:dyDescent="0.3">
      <c r="A1832" s="1">
        <v>44546</v>
      </c>
      <c r="B1832" s="2" t="s">
        <v>642</v>
      </c>
      <c r="C1832" s="2" t="s">
        <v>21</v>
      </c>
      <c r="D1832" s="2" t="s">
        <v>26</v>
      </c>
      <c r="E1832" s="2" t="s">
        <v>32</v>
      </c>
      <c r="F1832" s="2">
        <v>44.46</v>
      </c>
      <c r="G1832" s="2">
        <v>2</v>
      </c>
      <c r="H1832" s="2">
        <v>14.67</v>
      </c>
      <c r="I1832" t="str">
        <f t="shared" si="28"/>
        <v>Dec</v>
      </c>
      <c r="J1832">
        <f>YEAR(datas[[#This Row],[Order Date]])</f>
        <v>2021</v>
      </c>
    </row>
    <row r="1833" spans="1:10" ht="14.25" customHeight="1" x14ac:dyDescent="0.3">
      <c r="A1833" s="1">
        <v>44546</v>
      </c>
      <c r="B1833" s="2" t="s">
        <v>642</v>
      </c>
      <c r="C1833" s="2" t="s">
        <v>21</v>
      </c>
      <c r="D1833" s="2" t="s">
        <v>26</v>
      </c>
      <c r="E1833" s="2" t="s">
        <v>27</v>
      </c>
      <c r="F1833" s="2">
        <v>241.57</v>
      </c>
      <c r="G1833" s="2">
        <v>2</v>
      </c>
      <c r="H1833" s="2">
        <v>18.12</v>
      </c>
      <c r="I1833" t="str">
        <f t="shared" si="28"/>
        <v>Dec</v>
      </c>
      <c r="J1833">
        <f>YEAR(datas[[#This Row],[Order Date]])</f>
        <v>2021</v>
      </c>
    </row>
    <row r="1834" spans="1:10" ht="14.25" customHeight="1" x14ac:dyDescent="0.3">
      <c r="A1834" s="1">
        <v>44546</v>
      </c>
      <c r="B1834" s="2" t="s">
        <v>642</v>
      </c>
      <c r="C1834" s="2" t="s">
        <v>21</v>
      </c>
      <c r="D1834" s="2" t="s">
        <v>28</v>
      </c>
      <c r="E1834" s="2" t="s">
        <v>34</v>
      </c>
      <c r="F1834" s="2">
        <v>395</v>
      </c>
      <c r="G1834" s="2">
        <v>5</v>
      </c>
      <c r="H1834" s="2">
        <v>39.5</v>
      </c>
      <c r="I1834" t="str">
        <f t="shared" si="28"/>
        <v>Dec</v>
      </c>
      <c r="J1834">
        <f>YEAR(datas[[#This Row],[Order Date]])</f>
        <v>2021</v>
      </c>
    </row>
    <row r="1835" spans="1:10" ht="14.25" customHeight="1" x14ac:dyDescent="0.3">
      <c r="A1835" s="1">
        <v>44546</v>
      </c>
      <c r="B1835" s="2" t="s">
        <v>642</v>
      </c>
      <c r="C1835" s="2" t="s">
        <v>21</v>
      </c>
      <c r="D1835" s="2" t="s">
        <v>28</v>
      </c>
      <c r="E1835" s="2" t="s">
        <v>29</v>
      </c>
      <c r="F1835" s="2">
        <v>627.16999999999996</v>
      </c>
      <c r="G1835" s="2">
        <v>4</v>
      </c>
      <c r="H1835" s="2">
        <v>70.56</v>
      </c>
      <c r="I1835" t="str">
        <f t="shared" si="28"/>
        <v>Dec</v>
      </c>
      <c r="J1835">
        <f>YEAR(datas[[#This Row],[Order Date]])</f>
        <v>2021</v>
      </c>
    </row>
    <row r="1836" spans="1:10" ht="14.25" customHeight="1" x14ac:dyDescent="0.3">
      <c r="A1836" s="1">
        <v>44546</v>
      </c>
      <c r="B1836" s="2" t="s">
        <v>187</v>
      </c>
      <c r="C1836" s="2" t="s">
        <v>64</v>
      </c>
      <c r="D1836" s="2" t="s">
        <v>26</v>
      </c>
      <c r="E1836" s="2" t="s">
        <v>27</v>
      </c>
      <c r="F1836" s="2">
        <v>1013.83</v>
      </c>
      <c r="G1836" s="2">
        <v>9</v>
      </c>
      <c r="H1836" s="2">
        <v>101.38</v>
      </c>
      <c r="I1836" t="str">
        <f t="shared" si="28"/>
        <v>Dec</v>
      </c>
      <c r="J1836">
        <f>YEAR(datas[[#This Row],[Order Date]])</f>
        <v>2021</v>
      </c>
    </row>
    <row r="1837" spans="1:10" ht="14.25" customHeight="1" x14ac:dyDescent="0.3">
      <c r="A1837" s="1">
        <v>44546</v>
      </c>
      <c r="B1837" s="2" t="s">
        <v>187</v>
      </c>
      <c r="C1837" s="2" t="s">
        <v>64</v>
      </c>
      <c r="D1837" s="2" t="s">
        <v>10</v>
      </c>
      <c r="E1837" s="2" t="s">
        <v>30</v>
      </c>
      <c r="F1837" s="2">
        <v>1.98</v>
      </c>
      <c r="G1837" s="2">
        <v>2</v>
      </c>
      <c r="H1837" s="2">
        <v>0.67</v>
      </c>
      <c r="I1837" t="str">
        <f t="shared" si="28"/>
        <v>Dec</v>
      </c>
      <c r="J1837">
        <f>YEAR(datas[[#This Row],[Order Date]])</f>
        <v>2021</v>
      </c>
    </row>
    <row r="1838" spans="1:10" ht="14.25" customHeight="1" x14ac:dyDescent="0.3">
      <c r="A1838" s="1">
        <v>44546</v>
      </c>
      <c r="B1838" s="2" t="s">
        <v>72</v>
      </c>
      <c r="C1838" s="2" t="s">
        <v>9</v>
      </c>
      <c r="D1838" s="2" t="s">
        <v>10</v>
      </c>
      <c r="E1838" s="2" t="s">
        <v>11</v>
      </c>
      <c r="F1838" s="2">
        <v>36.29</v>
      </c>
      <c r="G1838" s="2">
        <v>7</v>
      </c>
      <c r="H1838" s="2">
        <v>12.7</v>
      </c>
      <c r="I1838" t="str">
        <f t="shared" si="28"/>
        <v>Dec</v>
      </c>
      <c r="J1838">
        <f>YEAR(datas[[#This Row],[Order Date]])</f>
        <v>2021</v>
      </c>
    </row>
    <row r="1839" spans="1:10" ht="14.25" customHeight="1" x14ac:dyDescent="0.3">
      <c r="A1839" s="1">
        <v>44546</v>
      </c>
      <c r="B1839" s="2" t="s">
        <v>72</v>
      </c>
      <c r="C1839" s="2" t="s">
        <v>9</v>
      </c>
      <c r="D1839" s="2" t="s">
        <v>26</v>
      </c>
      <c r="E1839" s="2" t="s">
        <v>32</v>
      </c>
      <c r="F1839" s="2">
        <v>56.57</v>
      </c>
      <c r="G1839" s="2">
        <v>2</v>
      </c>
      <c r="H1839" s="2">
        <v>-74.95</v>
      </c>
      <c r="I1839" t="str">
        <f t="shared" si="28"/>
        <v>Dec</v>
      </c>
      <c r="J1839">
        <f>YEAR(datas[[#This Row],[Order Date]])</f>
        <v>2021</v>
      </c>
    </row>
    <row r="1840" spans="1:10" ht="14.25" customHeight="1" x14ac:dyDescent="0.3">
      <c r="A1840" s="1">
        <v>44546</v>
      </c>
      <c r="B1840" s="2" t="s">
        <v>643</v>
      </c>
      <c r="C1840" s="2" t="s">
        <v>60</v>
      </c>
      <c r="D1840" s="2" t="s">
        <v>10</v>
      </c>
      <c r="E1840" s="2" t="s">
        <v>11</v>
      </c>
      <c r="F1840" s="2">
        <v>114.2</v>
      </c>
      <c r="G1840" s="2">
        <v>5</v>
      </c>
      <c r="H1840" s="2">
        <v>52.53</v>
      </c>
      <c r="I1840" t="str">
        <f t="shared" si="28"/>
        <v>Dec</v>
      </c>
      <c r="J1840">
        <f>YEAR(datas[[#This Row],[Order Date]])</f>
        <v>2021</v>
      </c>
    </row>
    <row r="1841" spans="1:10" ht="14.25" customHeight="1" x14ac:dyDescent="0.3">
      <c r="A1841" s="1">
        <v>44546</v>
      </c>
      <c r="B1841" s="2" t="s">
        <v>644</v>
      </c>
      <c r="C1841" s="2" t="s">
        <v>21</v>
      </c>
      <c r="D1841" s="2" t="s">
        <v>26</v>
      </c>
      <c r="E1841" s="2" t="s">
        <v>27</v>
      </c>
      <c r="F1841" s="2">
        <v>1403.92</v>
      </c>
      <c r="G1841" s="2">
        <v>5</v>
      </c>
      <c r="H1841" s="2">
        <v>70.2</v>
      </c>
      <c r="I1841" t="str">
        <f t="shared" si="28"/>
        <v>Dec</v>
      </c>
      <c r="J1841">
        <f>YEAR(datas[[#This Row],[Order Date]])</f>
        <v>2021</v>
      </c>
    </row>
    <row r="1842" spans="1:10" ht="14.25" customHeight="1" x14ac:dyDescent="0.3">
      <c r="A1842" s="1">
        <v>44546</v>
      </c>
      <c r="B1842" s="2" t="s">
        <v>291</v>
      </c>
      <c r="C1842" s="2" t="s">
        <v>36</v>
      </c>
      <c r="D1842" s="2" t="s">
        <v>28</v>
      </c>
      <c r="E1842" s="2" t="s">
        <v>34</v>
      </c>
      <c r="F1842" s="2">
        <v>99.98</v>
      </c>
      <c r="G1842" s="2">
        <v>2</v>
      </c>
      <c r="H1842" s="2">
        <v>8</v>
      </c>
      <c r="I1842" t="str">
        <f t="shared" si="28"/>
        <v>Dec</v>
      </c>
      <c r="J1842">
        <f>YEAR(datas[[#This Row],[Order Date]])</f>
        <v>2021</v>
      </c>
    </row>
    <row r="1843" spans="1:10" ht="14.25" customHeight="1" x14ac:dyDescent="0.3">
      <c r="A1843" s="1">
        <v>44546</v>
      </c>
      <c r="B1843" s="2" t="s">
        <v>291</v>
      </c>
      <c r="C1843" s="2" t="s">
        <v>36</v>
      </c>
      <c r="D1843" s="2" t="s">
        <v>26</v>
      </c>
      <c r="E1843" s="2" t="s">
        <v>32</v>
      </c>
      <c r="F1843" s="2">
        <v>29.46</v>
      </c>
      <c r="G1843" s="2">
        <v>6</v>
      </c>
      <c r="H1843" s="2">
        <v>9.7200000000000006</v>
      </c>
      <c r="I1843" t="str">
        <f t="shared" si="28"/>
        <v>Dec</v>
      </c>
      <c r="J1843">
        <f>YEAR(datas[[#This Row],[Order Date]])</f>
        <v>2021</v>
      </c>
    </row>
    <row r="1844" spans="1:10" ht="14.25" customHeight="1" x14ac:dyDescent="0.3">
      <c r="A1844" s="1">
        <v>44546</v>
      </c>
      <c r="B1844" s="2" t="s">
        <v>645</v>
      </c>
      <c r="C1844" s="2" t="s">
        <v>9</v>
      </c>
      <c r="D1844" s="2" t="s">
        <v>28</v>
      </c>
      <c r="E1844" s="2" t="s">
        <v>34</v>
      </c>
      <c r="F1844" s="2">
        <v>319.97000000000003</v>
      </c>
      <c r="G1844" s="2">
        <v>4</v>
      </c>
      <c r="H1844" s="2">
        <v>95.99</v>
      </c>
      <c r="I1844" t="str">
        <f t="shared" si="28"/>
        <v>Dec</v>
      </c>
      <c r="J1844">
        <f>YEAR(datas[[#This Row],[Order Date]])</f>
        <v>2021</v>
      </c>
    </row>
    <row r="1845" spans="1:10" ht="14.25" customHeight="1" x14ac:dyDescent="0.3">
      <c r="A1845" s="1">
        <v>44546</v>
      </c>
      <c r="B1845" s="2" t="s">
        <v>645</v>
      </c>
      <c r="C1845" s="2" t="s">
        <v>9</v>
      </c>
      <c r="D1845" s="2" t="s">
        <v>26</v>
      </c>
      <c r="E1845" s="2" t="s">
        <v>32</v>
      </c>
      <c r="F1845" s="2">
        <v>8.6199999999999992</v>
      </c>
      <c r="G1845" s="2">
        <v>7</v>
      </c>
      <c r="H1845" s="2">
        <v>-2.59</v>
      </c>
      <c r="I1845" t="str">
        <f t="shared" si="28"/>
        <v>Dec</v>
      </c>
      <c r="J1845">
        <f>YEAR(datas[[#This Row],[Order Date]])</f>
        <v>2021</v>
      </c>
    </row>
    <row r="1846" spans="1:10" ht="14.25" customHeight="1" x14ac:dyDescent="0.3">
      <c r="A1846" s="1">
        <v>44547</v>
      </c>
      <c r="B1846" s="2" t="s">
        <v>575</v>
      </c>
      <c r="C1846" s="2" t="s">
        <v>23</v>
      </c>
      <c r="D1846" s="2" t="s">
        <v>10</v>
      </c>
      <c r="E1846" s="2" t="s">
        <v>19</v>
      </c>
      <c r="F1846" s="2">
        <v>40.049999999999997</v>
      </c>
      <c r="G1846" s="2">
        <v>3</v>
      </c>
      <c r="H1846" s="2">
        <v>11.21</v>
      </c>
      <c r="I1846" t="str">
        <f t="shared" si="28"/>
        <v>Dec</v>
      </c>
      <c r="J1846">
        <f>YEAR(datas[[#This Row],[Order Date]])</f>
        <v>2021</v>
      </c>
    </row>
    <row r="1847" spans="1:10" ht="14.25" customHeight="1" x14ac:dyDescent="0.3">
      <c r="A1847" s="1">
        <v>44547</v>
      </c>
      <c r="B1847" s="2" t="s">
        <v>646</v>
      </c>
      <c r="C1847" s="2" t="s">
        <v>47</v>
      </c>
      <c r="D1847" s="2" t="s">
        <v>10</v>
      </c>
      <c r="E1847" s="2" t="s">
        <v>16</v>
      </c>
      <c r="F1847" s="2">
        <v>5.48</v>
      </c>
      <c r="G1847" s="2">
        <v>4</v>
      </c>
      <c r="H1847" s="2">
        <v>-4.0199999999999996</v>
      </c>
      <c r="I1847" t="str">
        <f t="shared" si="28"/>
        <v>Dec</v>
      </c>
      <c r="J1847">
        <f>YEAR(datas[[#This Row],[Order Date]])</f>
        <v>2021</v>
      </c>
    </row>
    <row r="1848" spans="1:10" ht="14.25" customHeight="1" x14ac:dyDescent="0.3">
      <c r="A1848" s="1">
        <v>44549</v>
      </c>
      <c r="B1848" s="2" t="s">
        <v>647</v>
      </c>
      <c r="C1848" s="2" t="s">
        <v>64</v>
      </c>
      <c r="D1848" s="2" t="s">
        <v>10</v>
      </c>
      <c r="E1848" s="2" t="s">
        <v>16</v>
      </c>
      <c r="F1848" s="2">
        <v>4.8099999999999996</v>
      </c>
      <c r="G1848" s="2">
        <v>2</v>
      </c>
      <c r="H1848" s="2">
        <v>-3.69</v>
      </c>
      <c r="I1848" t="str">
        <f t="shared" si="28"/>
        <v>Dec</v>
      </c>
      <c r="J1848">
        <f>YEAR(datas[[#This Row],[Order Date]])</f>
        <v>2021</v>
      </c>
    </row>
    <row r="1849" spans="1:10" ht="14.25" customHeight="1" x14ac:dyDescent="0.3">
      <c r="A1849" s="1">
        <v>44549</v>
      </c>
      <c r="B1849" s="2" t="s">
        <v>647</v>
      </c>
      <c r="C1849" s="2" t="s">
        <v>64</v>
      </c>
      <c r="D1849" s="2" t="s">
        <v>28</v>
      </c>
      <c r="E1849" s="2" t="s">
        <v>34</v>
      </c>
      <c r="F1849" s="2">
        <v>247.8</v>
      </c>
      <c r="G1849" s="2">
        <v>5</v>
      </c>
      <c r="H1849" s="2">
        <v>-18.59</v>
      </c>
      <c r="I1849" t="str">
        <f t="shared" si="28"/>
        <v>Dec</v>
      </c>
      <c r="J1849">
        <f>YEAR(datas[[#This Row],[Order Date]])</f>
        <v>2021</v>
      </c>
    </row>
    <row r="1850" spans="1:10" ht="14.25" customHeight="1" x14ac:dyDescent="0.3">
      <c r="A1850" s="1">
        <v>44549</v>
      </c>
      <c r="B1850" s="2" t="s">
        <v>648</v>
      </c>
      <c r="C1850" s="2" t="s">
        <v>198</v>
      </c>
      <c r="D1850" s="2" t="s">
        <v>10</v>
      </c>
      <c r="E1850" s="2" t="s">
        <v>16</v>
      </c>
      <c r="F1850" s="2">
        <v>152.76</v>
      </c>
      <c r="G1850" s="2">
        <v>6</v>
      </c>
      <c r="H1850" s="2">
        <v>74.849999999999994</v>
      </c>
      <c r="I1850" t="str">
        <f t="shared" si="28"/>
        <v>Dec</v>
      </c>
      <c r="J1850">
        <f>YEAR(datas[[#This Row],[Order Date]])</f>
        <v>2021</v>
      </c>
    </row>
    <row r="1851" spans="1:10" ht="14.25" customHeight="1" x14ac:dyDescent="0.3">
      <c r="A1851" s="1">
        <v>44549</v>
      </c>
      <c r="B1851" s="2" t="s">
        <v>648</v>
      </c>
      <c r="C1851" s="2" t="s">
        <v>198</v>
      </c>
      <c r="D1851" s="2" t="s">
        <v>10</v>
      </c>
      <c r="E1851" s="2" t="s">
        <v>95</v>
      </c>
      <c r="F1851" s="2">
        <v>7.27</v>
      </c>
      <c r="G1851" s="2">
        <v>1</v>
      </c>
      <c r="H1851" s="2">
        <v>1.96</v>
      </c>
      <c r="I1851" t="str">
        <f t="shared" si="28"/>
        <v>Dec</v>
      </c>
      <c r="J1851">
        <f>YEAR(datas[[#This Row],[Order Date]])</f>
        <v>2021</v>
      </c>
    </row>
    <row r="1852" spans="1:10" ht="14.25" customHeight="1" x14ac:dyDescent="0.3">
      <c r="A1852" s="1">
        <v>44549</v>
      </c>
      <c r="B1852" s="2" t="s">
        <v>648</v>
      </c>
      <c r="C1852" s="2" t="s">
        <v>198</v>
      </c>
      <c r="D1852" s="2" t="s">
        <v>26</v>
      </c>
      <c r="E1852" s="2" t="s">
        <v>27</v>
      </c>
      <c r="F1852" s="2">
        <v>1819.86</v>
      </c>
      <c r="G1852" s="2">
        <v>14</v>
      </c>
      <c r="H1852" s="2">
        <v>163.79</v>
      </c>
      <c r="I1852" t="str">
        <f t="shared" si="28"/>
        <v>Dec</v>
      </c>
      <c r="J1852">
        <f>YEAR(datas[[#This Row],[Order Date]])</f>
        <v>2021</v>
      </c>
    </row>
    <row r="1853" spans="1:10" ht="14.25" customHeight="1" x14ac:dyDescent="0.3">
      <c r="A1853" s="1">
        <v>44549</v>
      </c>
      <c r="B1853" s="2" t="s">
        <v>311</v>
      </c>
      <c r="C1853" s="2" t="s">
        <v>21</v>
      </c>
      <c r="D1853" s="2" t="s">
        <v>10</v>
      </c>
      <c r="E1853" s="2" t="s">
        <v>14</v>
      </c>
      <c r="F1853" s="2">
        <v>14.62</v>
      </c>
      <c r="G1853" s="2">
        <v>2</v>
      </c>
      <c r="H1853" s="2">
        <v>6.87</v>
      </c>
      <c r="I1853" t="str">
        <f t="shared" si="28"/>
        <v>Dec</v>
      </c>
      <c r="J1853">
        <f>YEAR(datas[[#This Row],[Order Date]])</f>
        <v>2021</v>
      </c>
    </row>
    <row r="1854" spans="1:10" ht="14.25" customHeight="1" x14ac:dyDescent="0.3">
      <c r="A1854" s="1">
        <v>44549</v>
      </c>
      <c r="B1854" s="2" t="s">
        <v>311</v>
      </c>
      <c r="C1854" s="2" t="s">
        <v>21</v>
      </c>
      <c r="D1854" s="2" t="s">
        <v>10</v>
      </c>
      <c r="E1854" s="2" t="s">
        <v>30</v>
      </c>
      <c r="F1854" s="2">
        <v>22.55</v>
      </c>
      <c r="G1854" s="2">
        <v>5</v>
      </c>
      <c r="H1854" s="2">
        <v>8.7899999999999991</v>
      </c>
      <c r="I1854" t="str">
        <f t="shared" si="28"/>
        <v>Dec</v>
      </c>
      <c r="J1854">
        <f>YEAR(datas[[#This Row],[Order Date]])</f>
        <v>2021</v>
      </c>
    </row>
    <row r="1855" spans="1:10" ht="14.25" customHeight="1" x14ac:dyDescent="0.3">
      <c r="A1855" s="1">
        <v>44549</v>
      </c>
      <c r="B1855" s="2" t="s">
        <v>311</v>
      </c>
      <c r="C1855" s="2" t="s">
        <v>21</v>
      </c>
      <c r="D1855" s="2" t="s">
        <v>28</v>
      </c>
      <c r="E1855" s="2" t="s">
        <v>29</v>
      </c>
      <c r="F1855" s="2">
        <v>583.79999999999995</v>
      </c>
      <c r="G1855" s="2">
        <v>5</v>
      </c>
      <c r="H1855" s="2">
        <v>72.98</v>
      </c>
      <c r="I1855" t="str">
        <f t="shared" si="28"/>
        <v>Dec</v>
      </c>
      <c r="J1855">
        <f>YEAR(datas[[#This Row],[Order Date]])</f>
        <v>2021</v>
      </c>
    </row>
    <row r="1856" spans="1:10" ht="14.25" customHeight="1" x14ac:dyDescent="0.3">
      <c r="A1856" s="1">
        <v>44549</v>
      </c>
      <c r="B1856" s="2" t="s">
        <v>311</v>
      </c>
      <c r="C1856" s="2" t="s">
        <v>21</v>
      </c>
      <c r="D1856" s="2" t="s">
        <v>28</v>
      </c>
      <c r="E1856" s="2" t="s">
        <v>29</v>
      </c>
      <c r="F1856" s="2">
        <v>211.17</v>
      </c>
      <c r="G1856" s="2">
        <v>4</v>
      </c>
      <c r="H1856" s="2">
        <v>15.84</v>
      </c>
      <c r="I1856" t="str">
        <f t="shared" si="28"/>
        <v>Dec</v>
      </c>
      <c r="J1856">
        <f>YEAR(datas[[#This Row],[Order Date]])</f>
        <v>2021</v>
      </c>
    </row>
    <row r="1857" spans="1:10" ht="14.25" customHeight="1" x14ac:dyDescent="0.3">
      <c r="A1857" s="1">
        <v>44549</v>
      </c>
      <c r="B1857" s="2" t="s">
        <v>67</v>
      </c>
      <c r="C1857" s="2" t="s">
        <v>13</v>
      </c>
      <c r="D1857" s="2" t="s">
        <v>28</v>
      </c>
      <c r="E1857" s="2" t="s">
        <v>29</v>
      </c>
      <c r="F1857" s="2">
        <v>323.98</v>
      </c>
      <c r="G1857" s="2">
        <v>3</v>
      </c>
      <c r="H1857" s="2">
        <v>36.450000000000003</v>
      </c>
      <c r="I1857" t="str">
        <f t="shared" si="28"/>
        <v>Dec</v>
      </c>
      <c r="J1857">
        <f>YEAR(datas[[#This Row],[Order Date]])</f>
        <v>2021</v>
      </c>
    </row>
    <row r="1858" spans="1:10" ht="14.25" customHeight="1" x14ac:dyDescent="0.3">
      <c r="A1858" s="1">
        <v>44549</v>
      </c>
      <c r="B1858" s="2" t="s">
        <v>67</v>
      </c>
      <c r="C1858" s="2" t="s">
        <v>13</v>
      </c>
      <c r="D1858" s="2" t="s">
        <v>10</v>
      </c>
      <c r="E1858" s="2" t="s">
        <v>11</v>
      </c>
      <c r="F1858" s="2">
        <v>15.55</v>
      </c>
      <c r="G1858" s="2">
        <v>3</v>
      </c>
      <c r="H1858" s="2">
        <v>5.44</v>
      </c>
      <c r="I1858" t="str">
        <f t="shared" si="28"/>
        <v>Dec</v>
      </c>
      <c r="J1858">
        <f>YEAR(datas[[#This Row],[Order Date]])</f>
        <v>2021</v>
      </c>
    </row>
    <row r="1859" spans="1:10" ht="14.25" customHeight="1" x14ac:dyDescent="0.3">
      <c r="A1859" s="1">
        <v>44549</v>
      </c>
      <c r="B1859" s="2" t="s">
        <v>67</v>
      </c>
      <c r="C1859" s="2" t="s">
        <v>13</v>
      </c>
      <c r="D1859" s="2" t="s">
        <v>10</v>
      </c>
      <c r="E1859" s="2" t="s">
        <v>15</v>
      </c>
      <c r="F1859" s="2">
        <v>32.590000000000003</v>
      </c>
      <c r="G1859" s="2">
        <v>3</v>
      </c>
      <c r="H1859" s="2">
        <v>-7.74</v>
      </c>
      <c r="I1859" t="str">
        <f t="shared" ref="I1859:I1922" si="29">TEXT(A1859,"mmm")</f>
        <v>Dec</v>
      </c>
      <c r="J1859">
        <f>YEAR(datas[[#This Row],[Order Date]])</f>
        <v>2021</v>
      </c>
    </row>
    <row r="1860" spans="1:10" ht="14.25" customHeight="1" x14ac:dyDescent="0.3">
      <c r="A1860" s="1">
        <v>44550</v>
      </c>
      <c r="B1860" s="2" t="s">
        <v>649</v>
      </c>
      <c r="C1860" s="2" t="s">
        <v>36</v>
      </c>
      <c r="D1860" s="2" t="s">
        <v>10</v>
      </c>
      <c r="E1860" s="2" t="s">
        <v>15</v>
      </c>
      <c r="F1860" s="2">
        <v>122.48</v>
      </c>
      <c r="G1860" s="2">
        <v>2</v>
      </c>
      <c r="H1860" s="2">
        <v>0</v>
      </c>
      <c r="I1860" t="str">
        <f t="shared" si="29"/>
        <v>Dec</v>
      </c>
      <c r="J1860">
        <f>YEAR(datas[[#This Row],[Order Date]])</f>
        <v>2021</v>
      </c>
    </row>
    <row r="1861" spans="1:10" ht="14.25" customHeight="1" x14ac:dyDescent="0.3">
      <c r="A1861" s="1">
        <v>44550</v>
      </c>
      <c r="B1861" s="2" t="s">
        <v>649</v>
      </c>
      <c r="C1861" s="2" t="s">
        <v>36</v>
      </c>
      <c r="D1861" s="2" t="s">
        <v>26</v>
      </c>
      <c r="E1861" s="2" t="s">
        <v>73</v>
      </c>
      <c r="F1861" s="2">
        <v>2244.48</v>
      </c>
      <c r="G1861" s="2">
        <v>7</v>
      </c>
      <c r="H1861" s="2">
        <v>493.79</v>
      </c>
      <c r="I1861" t="str">
        <f t="shared" si="29"/>
        <v>Dec</v>
      </c>
      <c r="J1861">
        <f>YEAR(datas[[#This Row],[Order Date]])</f>
        <v>2021</v>
      </c>
    </row>
    <row r="1862" spans="1:10" ht="14.25" customHeight="1" x14ac:dyDescent="0.3">
      <c r="A1862" s="1">
        <v>44550</v>
      </c>
      <c r="B1862" s="2" t="s">
        <v>649</v>
      </c>
      <c r="C1862" s="2" t="s">
        <v>36</v>
      </c>
      <c r="D1862" s="2" t="s">
        <v>10</v>
      </c>
      <c r="E1862" s="2" t="s">
        <v>16</v>
      </c>
      <c r="F1862" s="2">
        <v>62.31</v>
      </c>
      <c r="G1862" s="2">
        <v>3</v>
      </c>
      <c r="H1862" s="2">
        <v>29.29</v>
      </c>
      <c r="I1862" t="str">
        <f t="shared" si="29"/>
        <v>Dec</v>
      </c>
      <c r="J1862">
        <f>YEAR(datas[[#This Row],[Order Date]])</f>
        <v>2021</v>
      </c>
    </row>
    <row r="1863" spans="1:10" ht="14.25" customHeight="1" x14ac:dyDescent="0.3">
      <c r="A1863" s="1">
        <v>44550</v>
      </c>
      <c r="B1863" s="2" t="s">
        <v>649</v>
      </c>
      <c r="C1863" s="2" t="s">
        <v>36</v>
      </c>
      <c r="D1863" s="2" t="s">
        <v>26</v>
      </c>
      <c r="E1863" s="2" t="s">
        <v>73</v>
      </c>
      <c r="F1863" s="2">
        <v>455.1</v>
      </c>
      <c r="G1863" s="2">
        <v>2</v>
      </c>
      <c r="H1863" s="2">
        <v>100.12</v>
      </c>
      <c r="I1863" t="str">
        <f t="shared" si="29"/>
        <v>Dec</v>
      </c>
      <c r="J1863">
        <f>YEAR(datas[[#This Row],[Order Date]])</f>
        <v>2021</v>
      </c>
    </row>
    <row r="1864" spans="1:10" ht="14.25" customHeight="1" x14ac:dyDescent="0.3">
      <c r="A1864" s="1">
        <v>44550</v>
      </c>
      <c r="B1864" s="2" t="s">
        <v>418</v>
      </c>
      <c r="C1864" s="2" t="s">
        <v>82</v>
      </c>
      <c r="D1864" s="2" t="s">
        <v>10</v>
      </c>
      <c r="E1864" s="2" t="s">
        <v>14</v>
      </c>
      <c r="F1864" s="2">
        <v>31.05</v>
      </c>
      <c r="G1864" s="2">
        <v>3</v>
      </c>
      <c r="H1864" s="2">
        <v>14.9</v>
      </c>
      <c r="I1864" t="str">
        <f t="shared" si="29"/>
        <v>Dec</v>
      </c>
      <c r="J1864">
        <f>YEAR(datas[[#This Row],[Order Date]])</f>
        <v>2021</v>
      </c>
    </row>
    <row r="1865" spans="1:10" ht="14.25" customHeight="1" x14ac:dyDescent="0.3">
      <c r="A1865" s="1">
        <v>44550</v>
      </c>
      <c r="B1865" s="2" t="s">
        <v>650</v>
      </c>
      <c r="C1865" s="2" t="s">
        <v>62</v>
      </c>
      <c r="D1865" s="2" t="s">
        <v>10</v>
      </c>
      <c r="E1865" s="2" t="s">
        <v>53</v>
      </c>
      <c r="F1865" s="2">
        <v>43.51</v>
      </c>
      <c r="G1865" s="2">
        <v>7</v>
      </c>
      <c r="H1865" s="2">
        <v>3.81</v>
      </c>
      <c r="I1865" t="str">
        <f t="shared" si="29"/>
        <v>Dec</v>
      </c>
      <c r="J1865">
        <f>YEAR(datas[[#This Row],[Order Date]])</f>
        <v>2021</v>
      </c>
    </row>
    <row r="1866" spans="1:10" ht="14.25" customHeight="1" x14ac:dyDescent="0.3">
      <c r="A1866" s="1">
        <v>44550</v>
      </c>
      <c r="B1866" s="2" t="s">
        <v>650</v>
      </c>
      <c r="C1866" s="2" t="s">
        <v>62</v>
      </c>
      <c r="D1866" s="2" t="s">
        <v>26</v>
      </c>
      <c r="E1866" s="2" t="s">
        <v>27</v>
      </c>
      <c r="F1866" s="2">
        <v>662.88</v>
      </c>
      <c r="G1866" s="2">
        <v>3</v>
      </c>
      <c r="H1866" s="2">
        <v>74.569999999999993</v>
      </c>
      <c r="I1866" t="str">
        <f t="shared" si="29"/>
        <v>Dec</v>
      </c>
      <c r="J1866">
        <f>YEAR(datas[[#This Row],[Order Date]])</f>
        <v>2021</v>
      </c>
    </row>
    <row r="1867" spans="1:10" ht="14.25" customHeight="1" x14ac:dyDescent="0.3">
      <c r="A1867" s="1">
        <v>44550</v>
      </c>
      <c r="B1867" s="2" t="s">
        <v>650</v>
      </c>
      <c r="C1867" s="2" t="s">
        <v>62</v>
      </c>
      <c r="D1867" s="2" t="s">
        <v>10</v>
      </c>
      <c r="E1867" s="2" t="s">
        <v>11</v>
      </c>
      <c r="F1867" s="2">
        <v>25.92</v>
      </c>
      <c r="G1867" s="2">
        <v>5</v>
      </c>
      <c r="H1867" s="2">
        <v>9.07</v>
      </c>
      <c r="I1867" t="str">
        <f t="shared" si="29"/>
        <v>Dec</v>
      </c>
      <c r="J1867">
        <f>YEAR(datas[[#This Row],[Order Date]])</f>
        <v>2021</v>
      </c>
    </row>
    <row r="1868" spans="1:10" ht="14.25" customHeight="1" x14ac:dyDescent="0.3">
      <c r="A1868" s="1">
        <v>44550</v>
      </c>
      <c r="B1868" s="2" t="s">
        <v>351</v>
      </c>
      <c r="C1868" s="2" t="s">
        <v>21</v>
      </c>
      <c r="D1868" s="2" t="s">
        <v>10</v>
      </c>
      <c r="E1868" s="2" t="s">
        <v>16</v>
      </c>
      <c r="F1868" s="2">
        <v>487.98</v>
      </c>
      <c r="G1868" s="2">
        <v>2</v>
      </c>
      <c r="H1868" s="2">
        <v>152.5</v>
      </c>
      <c r="I1868" t="str">
        <f t="shared" si="29"/>
        <v>Dec</v>
      </c>
      <c r="J1868">
        <f>YEAR(datas[[#This Row],[Order Date]])</f>
        <v>2021</v>
      </c>
    </row>
    <row r="1869" spans="1:10" ht="14.25" customHeight="1" x14ac:dyDescent="0.3">
      <c r="A1869" s="1">
        <v>44550</v>
      </c>
      <c r="B1869" s="2" t="s">
        <v>351</v>
      </c>
      <c r="C1869" s="2" t="s">
        <v>21</v>
      </c>
      <c r="D1869" s="2" t="s">
        <v>10</v>
      </c>
      <c r="E1869" s="2" t="s">
        <v>19</v>
      </c>
      <c r="F1869" s="2">
        <v>47.3</v>
      </c>
      <c r="G1869" s="2">
        <v>2</v>
      </c>
      <c r="H1869" s="2">
        <v>12.3</v>
      </c>
      <c r="I1869" t="str">
        <f t="shared" si="29"/>
        <v>Dec</v>
      </c>
      <c r="J1869">
        <f>YEAR(datas[[#This Row],[Order Date]])</f>
        <v>2021</v>
      </c>
    </row>
    <row r="1870" spans="1:10" ht="14.25" customHeight="1" x14ac:dyDescent="0.3">
      <c r="A1870" s="1">
        <v>44550</v>
      </c>
      <c r="B1870" s="2" t="s">
        <v>351</v>
      </c>
      <c r="C1870" s="2" t="s">
        <v>21</v>
      </c>
      <c r="D1870" s="2" t="s">
        <v>10</v>
      </c>
      <c r="E1870" s="2" t="s">
        <v>19</v>
      </c>
      <c r="F1870" s="2">
        <v>4.13</v>
      </c>
      <c r="G1870" s="2">
        <v>1</v>
      </c>
      <c r="H1870" s="2">
        <v>1.1599999999999999</v>
      </c>
      <c r="I1870" t="str">
        <f t="shared" si="29"/>
        <v>Dec</v>
      </c>
      <c r="J1870">
        <f>YEAR(datas[[#This Row],[Order Date]])</f>
        <v>2021</v>
      </c>
    </row>
    <row r="1871" spans="1:10" ht="14.25" customHeight="1" x14ac:dyDescent="0.3">
      <c r="A1871" s="1">
        <v>44550</v>
      </c>
      <c r="B1871" s="2" t="s">
        <v>351</v>
      </c>
      <c r="C1871" s="2" t="s">
        <v>21</v>
      </c>
      <c r="D1871" s="2" t="s">
        <v>10</v>
      </c>
      <c r="E1871" s="2" t="s">
        <v>16</v>
      </c>
      <c r="F1871" s="2">
        <v>155.12</v>
      </c>
      <c r="G1871" s="2">
        <v>5</v>
      </c>
      <c r="H1871" s="2">
        <v>50.41</v>
      </c>
      <c r="I1871" t="str">
        <f t="shared" si="29"/>
        <v>Dec</v>
      </c>
      <c r="J1871">
        <f>YEAR(datas[[#This Row],[Order Date]])</f>
        <v>2021</v>
      </c>
    </row>
    <row r="1872" spans="1:10" ht="14.25" customHeight="1" x14ac:dyDescent="0.3">
      <c r="A1872" s="1">
        <v>44550</v>
      </c>
      <c r="B1872" s="2" t="s">
        <v>531</v>
      </c>
      <c r="C1872" s="2" t="s">
        <v>126</v>
      </c>
      <c r="D1872" s="2" t="s">
        <v>28</v>
      </c>
      <c r="E1872" s="2" t="s">
        <v>34</v>
      </c>
      <c r="F1872" s="2">
        <v>447.94</v>
      </c>
      <c r="G1872" s="2">
        <v>7</v>
      </c>
      <c r="H1872" s="2">
        <v>89.59</v>
      </c>
      <c r="I1872" t="str">
        <f t="shared" si="29"/>
        <v>Dec</v>
      </c>
      <c r="J1872">
        <f>YEAR(datas[[#This Row],[Order Date]])</f>
        <v>2021</v>
      </c>
    </row>
    <row r="1873" spans="1:10" ht="14.25" customHeight="1" x14ac:dyDescent="0.3">
      <c r="A1873" s="1">
        <v>44550</v>
      </c>
      <c r="B1873" s="2" t="s">
        <v>651</v>
      </c>
      <c r="C1873" s="2" t="s">
        <v>68</v>
      </c>
      <c r="D1873" s="2" t="s">
        <v>10</v>
      </c>
      <c r="E1873" s="2" t="s">
        <v>14</v>
      </c>
      <c r="F1873" s="2">
        <v>3.69</v>
      </c>
      <c r="G1873" s="2">
        <v>1</v>
      </c>
      <c r="H1873" s="2">
        <v>1.73</v>
      </c>
      <c r="I1873" t="str">
        <f t="shared" si="29"/>
        <v>Dec</v>
      </c>
      <c r="J1873">
        <f>YEAR(datas[[#This Row],[Order Date]])</f>
        <v>2021</v>
      </c>
    </row>
    <row r="1874" spans="1:10" ht="14.25" customHeight="1" x14ac:dyDescent="0.3">
      <c r="A1874" s="1">
        <v>44550</v>
      </c>
      <c r="B1874" s="2" t="s">
        <v>651</v>
      </c>
      <c r="C1874" s="2" t="s">
        <v>68</v>
      </c>
      <c r="D1874" s="2" t="s">
        <v>10</v>
      </c>
      <c r="E1874" s="2" t="s">
        <v>16</v>
      </c>
      <c r="F1874" s="2">
        <v>1103.97</v>
      </c>
      <c r="G1874" s="2">
        <v>3</v>
      </c>
      <c r="H1874" s="2">
        <v>496.79</v>
      </c>
      <c r="I1874" t="str">
        <f t="shared" si="29"/>
        <v>Dec</v>
      </c>
      <c r="J1874">
        <f>YEAR(datas[[#This Row],[Order Date]])</f>
        <v>2021</v>
      </c>
    </row>
    <row r="1875" spans="1:10" ht="14.25" customHeight="1" x14ac:dyDescent="0.3">
      <c r="A1875" s="1">
        <v>44550</v>
      </c>
      <c r="B1875" s="2" t="s">
        <v>362</v>
      </c>
      <c r="C1875" s="2" t="s">
        <v>47</v>
      </c>
      <c r="D1875" s="2" t="s">
        <v>26</v>
      </c>
      <c r="E1875" s="2" t="s">
        <v>32</v>
      </c>
      <c r="F1875" s="2">
        <v>190.85</v>
      </c>
      <c r="G1875" s="2">
        <v>3</v>
      </c>
      <c r="H1875" s="2">
        <v>-21.47</v>
      </c>
      <c r="I1875" t="str">
        <f t="shared" si="29"/>
        <v>Dec</v>
      </c>
      <c r="J1875">
        <f>YEAR(datas[[#This Row],[Order Date]])</f>
        <v>2021</v>
      </c>
    </row>
    <row r="1876" spans="1:10" ht="14.25" customHeight="1" x14ac:dyDescent="0.3">
      <c r="A1876" s="1">
        <v>44550</v>
      </c>
      <c r="B1876" s="2" t="s">
        <v>255</v>
      </c>
      <c r="C1876" s="2" t="s">
        <v>55</v>
      </c>
      <c r="D1876" s="2" t="s">
        <v>26</v>
      </c>
      <c r="E1876" s="2" t="s">
        <v>32</v>
      </c>
      <c r="F1876" s="2">
        <v>51.97</v>
      </c>
      <c r="G1876" s="2">
        <v>2</v>
      </c>
      <c r="H1876" s="2">
        <v>10.39</v>
      </c>
      <c r="I1876" t="str">
        <f t="shared" si="29"/>
        <v>Dec</v>
      </c>
      <c r="J1876">
        <f>YEAR(datas[[#This Row],[Order Date]])</f>
        <v>2021</v>
      </c>
    </row>
    <row r="1877" spans="1:10" ht="14.25" customHeight="1" x14ac:dyDescent="0.3">
      <c r="A1877" s="1">
        <v>44550</v>
      </c>
      <c r="B1877" s="2" t="s">
        <v>255</v>
      </c>
      <c r="C1877" s="2" t="s">
        <v>55</v>
      </c>
      <c r="D1877" s="2" t="s">
        <v>28</v>
      </c>
      <c r="E1877" s="2" t="s">
        <v>34</v>
      </c>
      <c r="F1877" s="2">
        <v>71.98</v>
      </c>
      <c r="G1877" s="2">
        <v>3</v>
      </c>
      <c r="H1877" s="2">
        <v>21.59</v>
      </c>
      <c r="I1877" t="str">
        <f t="shared" si="29"/>
        <v>Dec</v>
      </c>
      <c r="J1877">
        <f>YEAR(datas[[#This Row],[Order Date]])</f>
        <v>2021</v>
      </c>
    </row>
    <row r="1878" spans="1:10" ht="14.25" customHeight="1" x14ac:dyDescent="0.3">
      <c r="A1878" s="1">
        <v>44550</v>
      </c>
      <c r="B1878" s="2" t="s">
        <v>255</v>
      </c>
      <c r="C1878" s="2" t="s">
        <v>55</v>
      </c>
      <c r="D1878" s="2" t="s">
        <v>26</v>
      </c>
      <c r="E1878" s="2" t="s">
        <v>27</v>
      </c>
      <c r="F1878" s="2">
        <v>242.35</v>
      </c>
      <c r="G1878" s="2">
        <v>3</v>
      </c>
      <c r="H1878" s="2">
        <v>-42.41</v>
      </c>
      <c r="I1878" t="str">
        <f t="shared" si="29"/>
        <v>Dec</v>
      </c>
      <c r="J1878">
        <f>YEAR(datas[[#This Row],[Order Date]])</f>
        <v>2021</v>
      </c>
    </row>
    <row r="1879" spans="1:10" ht="14.25" customHeight="1" x14ac:dyDescent="0.3">
      <c r="A1879" s="1">
        <v>44550</v>
      </c>
      <c r="B1879" s="2" t="s">
        <v>255</v>
      </c>
      <c r="C1879" s="2" t="s">
        <v>55</v>
      </c>
      <c r="D1879" s="2" t="s">
        <v>10</v>
      </c>
      <c r="E1879" s="2" t="s">
        <v>11</v>
      </c>
      <c r="F1879" s="2">
        <v>221.92</v>
      </c>
      <c r="G1879" s="2">
        <v>5</v>
      </c>
      <c r="H1879" s="2">
        <v>77.67</v>
      </c>
      <c r="I1879" t="str">
        <f t="shared" si="29"/>
        <v>Dec</v>
      </c>
      <c r="J1879">
        <f>YEAR(datas[[#This Row],[Order Date]])</f>
        <v>2021</v>
      </c>
    </row>
    <row r="1880" spans="1:10" ht="14.25" customHeight="1" x14ac:dyDescent="0.3">
      <c r="A1880" s="1">
        <v>44550</v>
      </c>
      <c r="B1880" s="2" t="s">
        <v>255</v>
      </c>
      <c r="C1880" s="2" t="s">
        <v>55</v>
      </c>
      <c r="D1880" s="2" t="s">
        <v>10</v>
      </c>
      <c r="E1880" s="2" t="s">
        <v>11</v>
      </c>
      <c r="F1880" s="2">
        <v>8.4499999999999993</v>
      </c>
      <c r="G1880" s="2">
        <v>2</v>
      </c>
      <c r="H1880" s="2">
        <v>2.64</v>
      </c>
      <c r="I1880" t="str">
        <f t="shared" si="29"/>
        <v>Dec</v>
      </c>
      <c r="J1880">
        <f>YEAR(datas[[#This Row],[Order Date]])</f>
        <v>2021</v>
      </c>
    </row>
    <row r="1881" spans="1:10" ht="14.25" customHeight="1" x14ac:dyDescent="0.3">
      <c r="A1881" s="1">
        <v>44550</v>
      </c>
      <c r="B1881" s="2" t="s">
        <v>566</v>
      </c>
      <c r="C1881" s="2" t="s">
        <v>9</v>
      </c>
      <c r="D1881" s="2" t="s">
        <v>10</v>
      </c>
      <c r="E1881" s="2" t="s">
        <v>53</v>
      </c>
      <c r="F1881" s="2">
        <v>19.43</v>
      </c>
      <c r="G1881" s="2">
        <v>2</v>
      </c>
      <c r="H1881" s="2">
        <v>-49.55</v>
      </c>
      <c r="I1881" t="str">
        <f t="shared" si="29"/>
        <v>Dec</v>
      </c>
      <c r="J1881">
        <f>YEAR(datas[[#This Row],[Order Date]])</f>
        <v>2021</v>
      </c>
    </row>
    <row r="1882" spans="1:10" ht="14.25" customHeight="1" x14ac:dyDescent="0.3">
      <c r="A1882" s="1">
        <v>44550</v>
      </c>
      <c r="B1882" s="2" t="s">
        <v>566</v>
      </c>
      <c r="C1882" s="2" t="s">
        <v>9</v>
      </c>
      <c r="D1882" s="2" t="s">
        <v>28</v>
      </c>
      <c r="E1882" s="2" t="s">
        <v>34</v>
      </c>
      <c r="F1882" s="2">
        <v>65.44</v>
      </c>
      <c r="G1882" s="2">
        <v>5</v>
      </c>
      <c r="H1882" s="2">
        <v>-8.18</v>
      </c>
      <c r="I1882" t="str">
        <f t="shared" si="29"/>
        <v>Dec</v>
      </c>
      <c r="J1882">
        <f>YEAR(datas[[#This Row],[Order Date]])</f>
        <v>2021</v>
      </c>
    </row>
    <row r="1883" spans="1:10" ht="14.25" customHeight="1" x14ac:dyDescent="0.3">
      <c r="A1883" s="1">
        <v>44550</v>
      </c>
      <c r="B1883" s="2" t="s">
        <v>507</v>
      </c>
      <c r="C1883" s="2" t="s">
        <v>75</v>
      </c>
      <c r="D1883" s="2" t="s">
        <v>26</v>
      </c>
      <c r="E1883" s="2" t="s">
        <v>27</v>
      </c>
      <c r="F1883" s="2">
        <v>192.19</v>
      </c>
      <c r="G1883" s="2">
        <v>3</v>
      </c>
      <c r="H1883" s="2">
        <v>36.299999999999997</v>
      </c>
      <c r="I1883" t="str">
        <f t="shared" si="29"/>
        <v>Dec</v>
      </c>
      <c r="J1883">
        <f>YEAR(datas[[#This Row],[Order Date]])</f>
        <v>2021</v>
      </c>
    </row>
    <row r="1884" spans="1:10" ht="14.25" customHeight="1" x14ac:dyDescent="0.3">
      <c r="A1884" s="1">
        <v>44551</v>
      </c>
      <c r="B1884" s="2" t="s">
        <v>152</v>
      </c>
      <c r="C1884" s="2" t="s">
        <v>21</v>
      </c>
      <c r="D1884" s="2" t="s">
        <v>26</v>
      </c>
      <c r="E1884" s="2" t="s">
        <v>27</v>
      </c>
      <c r="F1884" s="2">
        <v>1325.76</v>
      </c>
      <c r="G1884" s="2">
        <v>6</v>
      </c>
      <c r="H1884" s="2">
        <v>149.15</v>
      </c>
      <c r="I1884" t="str">
        <f t="shared" si="29"/>
        <v>Dec</v>
      </c>
      <c r="J1884">
        <f>YEAR(datas[[#This Row],[Order Date]])</f>
        <v>2021</v>
      </c>
    </row>
    <row r="1885" spans="1:10" ht="14.25" customHeight="1" x14ac:dyDescent="0.3">
      <c r="A1885" s="1">
        <v>44551</v>
      </c>
      <c r="B1885" s="2" t="s">
        <v>152</v>
      </c>
      <c r="C1885" s="2" t="s">
        <v>21</v>
      </c>
      <c r="D1885" s="2" t="s">
        <v>26</v>
      </c>
      <c r="E1885" s="2" t="s">
        <v>27</v>
      </c>
      <c r="F1885" s="2">
        <v>572.16</v>
      </c>
      <c r="G1885" s="2">
        <v>3</v>
      </c>
      <c r="H1885" s="2">
        <v>35.76</v>
      </c>
      <c r="I1885" t="str">
        <f t="shared" si="29"/>
        <v>Dec</v>
      </c>
      <c r="J1885">
        <f>YEAR(datas[[#This Row],[Order Date]])</f>
        <v>2021</v>
      </c>
    </row>
    <row r="1886" spans="1:10" ht="14.25" customHeight="1" x14ac:dyDescent="0.3">
      <c r="A1886" s="1">
        <v>44551</v>
      </c>
      <c r="B1886" s="2" t="s">
        <v>353</v>
      </c>
      <c r="C1886" s="2" t="s">
        <v>62</v>
      </c>
      <c r="D1886" s="2" t="s">
        <v>10</v>
      </c>
      <c r="E1886" s="2" t="s">
        <v>16</v>
      </c>
      <c r="F1886" s="2">
        <v>18.239999999999998</v>
      </c>
      <c r="G1886" s="2">
        <v>2</v>
      </c>
      <c r="H1886" s="2">
        <v>-14.59</v>
      </c>
      <c r="I1886" t="str">
        <f t="shared" si="29"/>
        <v>Dec</v>
      </c>
      <c r="J1886">
        <f>YEAR(datas[[#This Row],[Order Date]])</f>
        <v>2021</v>
      </c>
    </row>
    <row r="1887" spans="1:10" ht="14.25" customHeight="1" x14ac:dyDescent="0.3">
      <c r="A1887" s="1">
        <v>44551</v>
      </c>
      <c r="B1887" s="2" t="s">
        <v>476</v>
      </c>
      <c r="C1887" s="2" t="s">
        <v>38</v>
      </c>
      <c r="D1887" s="2" t="s">
        <v>10</v>
      </c>
      <c r="E1887" s="2" t="s">
        <v>14</v>
      </c>
      <c r="F1887" s="2">
        <v>17.28</v>
      </c>
      <c r="G1887" s="2">
        <v>6</v>
      </c>
      <c r="H1887" s="2">
        <v>7.95</v>
      </c>
      <c r="I1887" t="str">
        <f t="shared" si="29"/>
        <v>Dec</v>
      </c>
      <c r="J1887">
        <f>YEAR(datas[[#This Row],[Order Date]])</f>
        <v>2021</v>
      </c>
    </row>
    <row r="1888" spans="1:10" ht="14.25" customHeight="1" x14ac:dyDescent="0.3">
      <c r="A1888" s="1">
        <v>44552</v>
      </c>
      <c r="B1888" s="2" t="s">
        <v>652</v>
      </c>
      <c r="C1888" s="2" t="s">
        <v>21</v>
      </c>
      <c r="D1888" s="2" t="s">
        <v>10</v>
      </c>
      <c r="E1888" s="2" t="s">
        <v>19</v>
      </c>
      <c r="F1888" s="2">
        <v>11.76</v>
      </c>
      <c r="G1888" s="2">
        <v>4</v>
      </c>
      <c r="H1888" s="2">
        <v>3.18</v>
      </c>
      <c r="I1888" t="str">
        <f t="shared" si="29"/>
        <v>Dec</v>
      </c>
      <c r="J1888">
        <f>YEAR(datas[[#This Row],[Order Date]])</f>
        <v>2021</v>
      </c>
    </row>
    <row r="1889" spans="1:10" ht="14.25" customHeight="1" x14ac:dyDescent="0.3">
      <c r="A1889" s="1">
        <v>44552</v>
      </c>
      <c r="B1889" s="2" t="s">
        <v>281</v>
      </c>
      <c r="C1889" s="2" t="s">
        <v>75</v>
      </c>
      <c r="D1889" s="2" t="s">
        <v>10</v>
      </c>
      <c r="E1889" s="2" t="s">
        <v>15</v>
      </c>
      <c r="F1889" s="2">
        <v>216.4</v>
      </c>
      <c r="G1889" s="2">
        <v>4</v>
      </c>
      <c r="H1889" s="2">
        <v>56.26</v>
      </c>
      <c r="I1889" t="str">
        <f t="shared" si="29"/>
        <v>Dec</v>
      </c>
      <c r="J1889">
        <f>YEAR(datas[[#This Row],[Order Date]])</f>
        <v>2021</v>
      </c>
    </row>
    <row r="1890" spans="1:10" ht="14.25" customHeight="1" x14ac:dyDescent="0.3">
      <c r="A1890" s="1">
        <v>44552</v>
      </c>
      <c r="B1890" s="2" t="s">
        <v>447</v>
      </c>
      <c r="C1890" s="2" t="s">
        <v>13</v>
      </c>
      <c r="D1890" s="2" t="s">
        <v>10</v>
      </c>
      <c r="E1890" s="2" t="s">
        <v>15</v>
      </c>
      <c r="F1890" s="2">
        <v>132.16</v>
      </c>
      <c r="G1890" s="2">
        <v>1</v>
      </c>
      <c r="H1890" s="2">
        <v>9.91</v>
      </c>
      <c r="I1890" t="str">
        <f t="shared" si="29"/>
        <v>Dec</v>
      </c>
      <c r="J1890">
        <f>YEAR(datas[[#This Row],[Order Date]])</f>
        <v>2021</v>
      </c>
    </row>
    <row r="1891" spans="1:10" ht="14.25" customHeight="1" x14ac:dyDescent="0.3">
      <c r="A1891" s="1">
        <v>44552</v>
      </c>
      <c r="B1891" s="2" t="s">
        <v>447</v>
      </c>
      <c r="C1891" s="2" t="s">
        <v>13</v>
      </c>
      <c r="D1891" s="2" t="s">
        <v>10</v>
      </c>
      <c r="E1891" s="2" t="s">
        <v>16</v>
      </c>
      <c r="F1891" s="2">
        <v>17.899999999999999</v>
      </c>
      <c r="G1891" s="2">
        <v>6</v>
      </c>
      <c r="H1891" s="2">
        <v>-31.33</v>
      </c>
      <c r="I1891" t="str">
        <f t="shared" si="29"/>
        <v>Dec</v>
      </c>
      <c r="J1891">
        <f>YEAR(datas[[#This Row],[Order Date]])</f>
        <v>2021</v>
      </c>
    </row>
    <row r="1892" spans="1:10" ht="14.25" customHeight="1" x14ac:dyDescent="0.3">
      <c r="A1892" s="1">
        <v>44552</v>
      </c>
      <c r="B1892" s="2" t="s">
        <v>447</v>
      </c>
      <c r="C1892" s="2" t="s">
        <v>13</v>
      </c>
      <c r="D1892" s="2" t="s">
        <v>10</v>
      </c>
      <c r="E1892" s="2" t="s">
        <v>11</v>
      </c>
      <c r="F1892" s="2">
        <v>124.03</v>
      </c>
      <c r="G1892" s="2">
        <v>4</v>
      </c>
      <c r="H1892" s="2">
        <v>44.96</v>
      </c>
      <c r="I1892" t="str">
        <f t="shared" si="29"/>
        <v>Dec</v>
      </c>
      <c r="J1892">
        <f>YEAR(datas[[#This Row],[Order Date]])</f>
        <v>2021</v>
      </c>
    </row>
    <row r="1893" spans="1:10" ht="14.25" customHeight="1" x14ac:dyDescent="0.3">
      <c r="A1893" s="1">
        <v>44552</v>
      </c>
      <c r="B1893" s="2" t="s">
        <v>653</v>
      </c>
      <c r="C1893" s="2" t="s">
        <v>75</v>
      </c>
      <c r="D1893" s="2" t="s">
        <v>10</v>
      </c>
      <c r="E1893" s="2" t="s">
        <v>16</v>
      </c>
      <c r="F1893" s="2">
        <v>296.70999999999998</v>
      </c>
      <c r="G1893" s="2">
        <v>13</v>
      </c>
      <c r="H1893" s="2">
        <v>100.14</v>
      </c>
      <c r="I1893" t="str">
        <f t="shared" si="29"/>
        <v>Dec</v>
      </c>
      <c r="J1893">
        <f>YEAR(datas[[#This Row],[Order Date]])</f>
        <v>2021</v>
      </c>
    </row>
    <row r="1894" spans="1:10" ht="14.25" customHeight="1" x14ac:dyDescent="0.3">
      <c r="A1894" s="1">
        <v>44553</v>
      </c>
      <c r="B1894" s="2" t="s">
        <v>654</v>
      </c>
      <c r="C1894" s="2" t="s">
        <v>68</v>
      </c>
      <c r="D1894" s="2" t="s">
        <v>10</v>
      </c>
      <c r="E1894" s="2" t="s">
        <v>53</v>
      </c>
      <c r="F1894" s="2">
        <v>207.24</v>
      </c>
      <c r="G1894" s="2">
        <v>11</v>
      </c>
      <c r="H1894" s="2">
        <v>58.03</v>
      </c>
      <c r="I1894" t="str">
        <f t="shared" si="29"/>
        <v>Dec</v>
      </c>
      <c r="J1894">
        <f>YEAR(datas[[#This Row],[Order Date]])</f>
        <v>2021</v>
      </c>
    </row>
    <row r="1895" spans="1:10" ht="14.25" customHeight="1" x14ac:dyDescent="0.3">
      <c r="A1895" s="1">
        <v>44553</v>
      </c>
      <c r="B1895" s="2" t="s">
        <v>567</v>
      </c>
      <c r="C1895" s="2" t="s">
        <v>75</v>
      </c>
      <c r="D1895" s="2" t="s">
        <v>26</v>
      </c>
      <c r="E1895" s="2" t="s">
        <v>73</v>
      </c>
      <c r="F1895" s="2">
        <v>53.32</v>
      </c>
      <c r="G1895" s="2">
        <v>2</v>
      </c>
      <c r="H1895" s="2">
        <v>-19.55</v>
      </c>
      <c r="I1895" t="str">
        <f t="shared" si="29"/>
        <v>Dec</v>
      </c>
      <c r="J1895">
        <f>YEAR(datas[[#This Row],[Order Date]])</f>
        <v>2021</v>
      </c>
    </row>
    <row r="1896" spans="1:10" ht="14.25" customHeight="1" x14ac:dyDescent="0.3">
      <c r="A1896" s="1">
        <v>44553</v>
      </c>
      <c r="B1896" s="2" t="s">
        <v>567</v>
      </c>
      <c r="C1896" s="2" t="s">
        <v>75</v>
      </c>
      <c r="D1896" s="2" t="s">
        <v>10</v>
      </c>
      <c r="E1896" s="2" t="s">
        <v>53</v>
      </c>
      <c r="F1896" s="2">
        <v>56.52</v>
      </c>
      <c r="G1896" s="2">
        <v>3</v>
      </c>
      <c r="H1896" s="2">
        <v>15.83</v>
      </c>
      <c r="I1896" t="str">
        <f t="shared" si="29"/>
        <v>Dec</v>
      </c>
      <c r="J1896">
        <f>YEAR(datas[[#This Row],[Order Date]])</f>
        <v>2021</v>
      </c>
    </row>
    <row r="1897" spans="1:10" ht="14.25" customHeight="1" x14ac:dyDescent="0.3">
      <c r="A1897" s="1">
        <v>44553</v>
      </c>
      <c r="B1897" s="2" t="s">
        <v>379</v>
      </c>
      <c r="C1897" s="2" t="s">
        <v>9</v>
      </c>
      <c r="D1897" s="2" t="s">
        <v>10</v>
      </c>
      <c r="E1897" s="2" t="s">
        <v>11</v>
      </c>
      <c r="F1897" s="2">
        <v>5.18</v>
      </c>
      <c r="G1897" s="2">
        <v>1</v>
      </c>
      <c r="H1897" s="2">
        <v>1.81</v>
      </c>
      <c r="I1897" t="str">
        <f t="shared" si="29"/>
        <v>Dec</v>
      </c>
      <c r="J1897">
        <f>YEAR(datas[[#This Row],[Order Date]])</f>
        <v>2021</v>
      </c>
    </row>
    <row r="1898" spans="1:10" ht="14.25" customHeight="1" x14ac:dyDescent="0.3">
      <c r="A1898" s="1">
        <v>44553</v>
      </c>
      <c r="B1898" s="2" t="s">
        <v>655</v>
      </c>
      <c r="C1898" s="2" t="s">
        <v>64</v>
      </c>
      <c r="D1898" s="2" t="s">
        <v>10</v>
      </c>
      <c r="E1898" s="2" t="s">
        <v>11</v>
      </c>
      <c r="F1898" s="2">
        <v>45.53</v>
      </c>
      <c r="G1898" s="2">
        <v>3</v>
      </c>
      <c r="H1898" s="2">
        <v>15.93</v>
      </c>
      <c r="I1898" t="str">
        <f t="shared" si="29"/>
        <v>Dec</v>
      </c>
      <c r="J1898">
        <f>YEAR(datas[[#This Row],[Order Date]])</f>
        <v>2021</v>
      </c>
    </row>
    <row r="1899" spans="1:10" ht="14.25" customHeight="1" x14ac:dyDescent="0.3">
      <c r="A1899" s="1">
        <v>44553</v>
      </c>
      <c r="B1899" s="2" t="s">
        <v>655</v>
      </c>
      <c r="C1899" s="2" t="s">
        <v>64</v>
      </c>
      <c r="D1899" s="2" t="s">
        <v>26</v>
      </c>
      <c r="E1899" s="2" t="s">
        <v>27</v>
      </c>
      <c r="F1899" s="2">
        <v>64.78</v>
      </c>
      <c r="G1899" s="2">
        <v>1</v>
      </c>
      <c r="H1899" s="2">
        <v>6.48</v>
      </c>
      <c r="I1899" t="str">
        <f t="shared" si="29"/>
        <v>Dec</v>
      </c>
      <c r="J1899">
        <f>YEAR(datas[[#This Row],[Order Date]])</f>
        <v>2021</v>
      </c>
    </row>
    <row r="1900" spans="1:10" ht="14.25" customHeight="1" x14ac:dyDescent="0.3">
      <c r="A1900" s="1">
        <v>44553</v>
      </c>
      <c r="B1900" s="2" t="s">
        <v>655</v>
      </c>
      <c r="C1900" s="2" t="s">
        <v>64</v>
      </c>
      <c r="D1900" s="2" t="s">
        <v>10</v>
      </c>
      <c r="E1900" s="2" t="s">
        <v>15</v>
      </c>
      <c r="F1900" s="2">
        <v>424.27</v>
      </c>
      <c r="G1900" s="2">
        <v>2</v>
      </c>
      <c r="H1900" s="2">
        <v>-10.61</v>
      </c>
      <c r="I1900" t="str">
        <f t="shared" si="29"/>
        <v>Dec</v>
      </c>
      <c r="J1900">
        <f>YEAR(datas[[#This Row],[Order Date]])</f>
        <v>2021</v>
      </c>
    </row>
    <row r="1901" spans="1:10" ht="14.25" customHeight="1" x14ac:dyDescent="0.3">
      <c r="A1901" s="1">
        <v>44553</v>
      </c>
      <c r="B1901" s="2" t="s">
        <v>655</v>
      </c>
      <c r="C1901" s="2" t="s">
        <v>64</v>
      </c>
      <c r="D1901" s="2" t="s">
        <v>10</v>
      </c>
      <c r="E1901" s="2" t="s">
        <v>19</v>
      </c>
      <c r="F1901" s="2">
        <v>1.34</v>
      </c>
      <c r="G1901" s="2">
        <v>1</v>
      </c>
      <c r="H1901" s="2">
        <v>0.5</v>
      </c>
      <c r="I1901" t="str">
        <f t="shared" si="29"/>
        <v>Dec</v>
      </c>
      <c r="J1901">
        <f>YEAR(datas[[#This Row],[Order Date]])</f>
        <v>2021</v>
      </c>
    </row>
    <row r="1902" spans="1:10" ht="14.25" customHeight="1" x14ac:dyDescent="0.3">
      <c r="A1902" s="1">
        <v>44553</v>
      </c>
      <c r="B1902" s="2" t="s">
        <v>655</v>
      </c>
      <c r="C1902" s="2" t="s">
        <v>64</v>
      </c>
      <c r="D1902" s="2" t="s">
        <v>10</v>
      </c>
      <c r="E1902" s="2" t="s">
        <v>15</v>
      </c>
      <c r="F1902" s="2">
        <v>83.92</v>
      </c>
      <c r="G1902" s="2">
        <v>5</v>
      </c>
      <c r="H1902" s="2">
        <v>-1.05</v>
      </c>
      <c r="I1902" t="str">
        <f t="shared" si="29"/>
        <v>Dec</v>
      </c>
      <c r="J1902">
        <f>YEAR(datas[[#This Row],[Order Date]])</f>
        <v>2021</v>
      </c>
    </row>
    <row r="1903" spans="1:10" ht="14.25" customHeight="1" x14ac:dyDescent="0.3">
      <c r="A1903" s="1">
        <v>44554</v>
      </c>
      <c r="B1903" s="2" t="s">
        <v>390</v>
      </c>
      <c r="C1903" s="2" t="s">
        <v>64</v>
      </c>
      <c r="D1903" s="2" t="s">
        <v>10</v>
      </c>
      <c r="E1903" s="2" t="s">
        <v>11</v>
      </c>
      <c r="F1903" s="2">
        <v>9.57</v>
      </c>
      <c r="G1903" s="2">
        <v>2</v>
      </c>
      <c r="H1903" s="2">
        <v>3.47</v>
      </c>
      <c r="I1903" t="str">
        <f t="shared" si="29"/>
        <v>Dec</v>
      </c>
      <c r="J1903">
        <f>YEAR(datas[[#This Row],[Order Date]])</f>
        <v>2021</v>
      </c>
    </row>
    <row r="1904" spans="1:10" ht="14.25" customHeight="1" x14ac:dyDescent="0.3">
      <c r="A1904" s="1">
        <v>44554</v>
      </c>
      <c r="B1904" s="2" t="s">
        <v>285</v>
      </c>
      <c r="C1904" s="2" t="s">
        <v>47</v>
      </c>
      <c r="D1904" s="2" t="s">
        <v>26</v>
      </c>
      <c r="E1904" s="2" t="s">
        <v>32</v>
      </c>
      <c r="F1904" s="2">
        <v>30.36</v>
      </c>
      <c r="G1904" s="2">
        <v>5</v>
      </c>
      <c r="H1904" s="2">
        <v>8.73</v>
      </c>
      <c r="I1904" t="str">
        <f t="shared" si="29"/>
        <v>Dec</v>
      </c>
      <c r="J1904">
        <f>YEAR(datas[[#This Row],[Order Date]])</f>
        <v>2021</v>
      </c>
    </row>
    <row r="1905" spans="1:10" ht="14.25" customHeight="1" x14ac:dyDescent="0.3">
      <c r="A1905" s="1">
        <v>44554</v>
      </c>
      <c r="B1905" s="2" t="s">
        <v>592</v>
      </c>
      <c r="C1905" s="2" t="s">
        <v>21</v>
      </c>
      <c r="D1905" s="2" t="s">
        <v>10</v>
      </c>
      <c r="E1905" s="2" t="s">
        <v>15</v>
      </c>
      <c r="F1905" s="2">
        <v>142.86000000000001</v>
      </c>
      <c r="G1905" s="2">
        <v>1</v>
      </c>
      <c r="H1905" s="2">
        <v>41.43</v>
      </c>
      <c r="I1905" t="str">
        <f t="shared" si="29"/>
        <v>Dec</v>
      </c>
      <c r="J1905">
        <f>YEAR(datas[[#This Row],[Order Date]])</f>
        <v>2021</v>
      </c>
    </row>
    <row r="1906" spans="1:10" ht="14.25" customHeight="1" x14ac:dyDescent="0.3">
      <c r="A1906" s="1">
        <v>44554</v>
      </c>
      <c r="B1906" s="2" t="s">
        <v>592</v>
      </c>
      <c r="C1906" s="2" t="s">
        <v>21</v>
      </c>
      <c r="D1906" s="2" t="s">
        <v>26</v>
      </c>
      <c r="E1906" s="2" t="s">
        <v>27</v>
      </c>
      <c r="F1906" s="2">
        <v>292.27</v>
      </c>
      <c r="G1906" s="2">
        <v>6</v>
      </c>
      <c r="H1906" s="2">
        <v>18.27</v>
      </c>
      <c r="I1906" t="str">
        <f t="shared" si="29"/>
        <v>Dec</v>
      </c>
      <c r="J1906">
        <f>YEAR(datas[[#This Row],[Order Date]])</f>
        <v>2021</v>
      </c>
    </row>
    <row r="1907" spans="1:10" ht="14.25" customHeight="1" x14ac:dyDescent="0.3">
      <c r="A1907" s="1">
        <v>44554</v>
      </c>
      <c r="B1907" s="2" t="s">
        <v>214</v>
      </c>
      <c r="C1907" s="2" t="s">
        <v>21</v>
      </c>
      <c r="D1907" s="2" t="s">
        <v>28</v>
      </c>
      <c r="E1907" s="2" t="s">
        <v>29</v>
      </c>
      <c r="F1907" s="2">
        <v>173.66</v>
      </c>
      <c r="G1907" s="2">
        <v>7</v>
      </c>
      <c r="H1907" s="2">
        <v>17.37</v>
      </c>
      <c r="I1907" t="str">
        <f t="shared" si="29"/>
        <v>Dec</v>
      </c>
      <c r="J1907">
        <f>YEAR(datas[[#This Row],[Order Date]])</f>
        <v>2021</v>
      </c>
    </row>
    <row r="1908" spans="1:10" ht="14.25" customHeight="1" x14ac:dyDescent="0.3">
      <c r="A1908" s="1">
        <v>44554</v>
      </c>
      <c r="B1908" s="2" t="s">
        <v>214</v>
      </c>
      <c r="C1908" s="2" t="s">
        <v>21</v>
      </c>
      <c r="D1908" s="2" t="s">
        <v>10</v>
      </c>
      <c r="E1908" s="2" t="s">
        <v>53</v>
      </c>
      <c r="F1908" s="2">
        <v>361.96</v>
      </c>
      <c r="G1908" s="2">
        <v>2</v>
      </c>
      <c r="H1908" s="2">
        <v>101.35</v>
      </c>
      <c r="I1908" t="str">
        <f t="shared" si="29"/>
        <v>Dec</v>
      </c>
      <c r="J1908">
        <f>YEAR(datas[[#This Row],[Order Date]])</f>
        <v>2021</v>
      </c>
    </row>
    <row r="1909" spans="1:10" ht="14.25" customHeight="1" x14ac:dyDescent="0.3">
      <c r="A1909" s="1">
        <v>44554</v>
      </c>
      <c r="B1909" s="2" t="s">
        <v>214</v>
      </c>
      <c r="C1909" s="2" t="s">
        <v>21</v>
      </c>
      <c r="D1909" s="2" t="s">
        <v>28</v>
      </c>
      <c r="E1909" s="2" t="s">
        <v>34</v>
      </c>
      <c r="F1909" s="2">
        <v>62.85</v>
      </c>
      <c r="G1909" s="2">
        <v>3</v>
      </c>
      <c r="H1909" s="2">
        <v>13.2</v>
      </c>
      <c r="I1909" t="str">
        <f t="shared" si="29"/>
        <v>Dec</v>
      </c>
      <c r="J1909">
        <f>YEAR(datas[[#This Row],[Order Date]])</f>
        <v>2021</v>
      </c>
    </row>
    <row r="1910" spans="1:10" ht="14.25" customHeight="1" x14ac:dyDescent="0.3">
      <c r="A1910" s="1">
        <v>44554</v>
      </c>
      <c r="B1910" s="2" t="s">
        <v>214</v>
      </c>
      <c r="C1910" s="2" t="s">
        <v>21</v>
      </c>
      <c r="D1910" s="2" t="s">
        <v>28</v>
      </c>
      <c r="E1910" s="2" t="s">
        <v>29</v>
      </c>
      <c r="F1910" s="2">
        <v>818.38</v>
      </c>
      <c r="G1910" s="2">
        <v>3</v>
      </c>
      <c r="H1910" s="2">
        <v>51.15</v>
      </c>
      <c r="I1910" t="str">
        <f t="shared" si="29"/>
        <v>Dec</v>
      </c>
      <c r="J1910">
        <f>YEAR(datas[[#This Row],[Order Date]])</f>
        <v>2021</v>
      </c>
    </row>
    <row r="1911" spans="1:10" ht="14.25" customHeight="1" x14ac:dyDescent="0.3">
      <c r="A1911" s="1">
        <v>44554</v>
      </c>
      <c r="B1911" s="2" t="s">
        <v>214</v>
      </c>
      <c r="C1911" s="2" t="s">
        <v>21</v>
      </c>
      <c r="D1911" s="2" t="s">
        <v>10</v>
      </c>
      <c r="E1911" s="2" t="s">
        <v>15</v>
      </c>
      <c r="F1911" s="2">
        <v>20.34</v>
      </c>
      <c r="G1911" s="2">
        <v>1</v>
      </c>
      <c r="H1911" s="2">
        <v>0.2</v>
      </c>
      <c r="I1911" t="str">
        <f t="shared" si="29"/>
        <v>Dec</v>
      </c>
      <c r="J1911">
        <f>YEAR(datas[[#This Row],[Order Date]])</f>
        <v>2021</v>
      </c>
    </row>
    <row r="1912" spans="1:10" ht="14.25" customHeight="1" x14ac:dyDescent="0.3">
      <c r="A1912" s="1">
        <v>44554</v>
      </c>
      <c r="B1912" s="2" t="s">
        <v>214</v>
      </c>
      <c r="C1912" s="2" t="s">
        <v>21</v>
      </c>
      <c r="D1912" s="2" t="s">
        <v>26</v>
      </c>
      <c r="E1912" s="2" t="s">
        <v>32</v>
      </c>
      <c r="F1912" s="2">
        <v>23.99</v>
      </c>
      <c r="G1912" s="2">
        <v>1</v>
      </c>
      <c r="H1912" s="2">
        <v>5.52</v>
      </c>
      <c r="I1912" t="str">
        <f t="shared" si="29"/>
        <v>Dec</v>
      </c>
      <c r="J1912">
        <f>YEAR(datas[[#This Row],[Order Date]])</f>
        <v>2021</v>
      </c>
    </row>
    <row r="1913" spans="1:10" ht="14.25" customHeight="1" x14ac:dyDescent="0.3">
      <c r="A1913" s="1">
        <v>44554</v>
      </c>
      <c r="B1913" s="2" t="s">
        <v>494</v>
      </c>
      <c r="C1913" s="2" t="s">
        <v>21</v>
      </c>
      <c r="D1913" s="2" t="s">
        <v>10</v>
      </c>
      <c r="E1913" s="2" t="s">
        <v>53</v>
      </c>
      <c r="F1913" s="2">
        <v>13.97</v>
      </c>
      <c r="G1913" s="2">
        <v>1</v>
      </c>
      <c r="H1913" s="2">
        <v>3.63</v>
      </c>
      <c r="I1913" t="str">
        <f t="shared" si="29"/>
        <v>Dec</v>
      </c>
      <c r="J1913">
        <f>YEAR(datas[[#This Row],[Order Date]])</f>
        <v>2021</v>
      </c>
    </row>
    <row r="1914" spans="1:10" ht="14.25" customHeight="1" x14ac:dyDescent="0.3">
      <c r="A1914" s="1">
        <v>44556</v>
      </c>
      <c r="B1914" s="2" t="s">
        <v>597</v>
      </c>
      <c r="C1914" s="2" t="s">
        <v>9</v>
      </c>
      <c r="D1914" s="2" t="s">
        <v>26</v>
      </c>
      <c r="E1914" s="2" t="s">
        <v>27</v>
      </c>
      <c r="F1914" s="2">
        <v>600.55999999999995</v>
      </c>
      <c r="G1914" s="2">
        <v>3</v>
      </c>
      <c r="H1914" s="2">
        <v>-8.58</v>
      </c>
      <c r="I1914" t="str">
        <f t="shared" si="29"/>
        <v>Dec</v>
      </c>
      <c r="J1914">
        <f>YEAR(datas[[#This Row],[Order Date]])</f>
        <v>2021</v>
      </c>
    </row>
    <row r="1915" spans="1:10" ht="14.25" customHeight="1" x14ac:dyDescent="0.3">
      <c r="A1915" s="1">
        <v>44556</v>
      </c>
      <c r="B1915" s="2" t="s">
        <v>321</v>
      </c>
      <c r="C1915" s="2" t="s">
        <v>126</v>
      </c>
      <c r="D1915" s="2" t="s">
        <v>26</v>
      </c>
      <c r="E1915" s="2" t="s">
        <v>32</v>
      </c>
      <c r="F1915" s="2">
        <v>300.42</v>
      </c>
      <c r="G1915" s="2">
        <v>8</v>
      </c>
      <c r="H1915" s="2">
        <v>78.86</v>
      </c>
      <c r="I1915" t="str">
        <f t="shared" si="29"/>
        <v>Dec</v>
      </c>
      <c r="J1915">
        <f>YEAR(datas[[#This Row],[Order Date]])</f>
        <v>2021</v>
      </c>
    </row>
    <row r="1916" spans="1:10" ht="14.25" customHeight="1" x14ac:dyDescent="0.3">
      <c r="A1916" s="1">
        <v>44556</v>
      </c>
      <c r="B1916" s="2" t="s">
        <v>321</v>
      </c>
      <c r="C1916" s="2" t="s">
        <v>126</v>
      </c>
      <c r="D1916" s="2" t="s">
        <v>26</v>
      </c>
      <c r="E1916" s="2" t="s">
        <v>27</v>
      </c>
      <c r="F1916" s="2">
        <v>230.35</v>
      </c>
      <c r="G1916" s="2">
        <v>3</v>
      </c>
      <c r="H1916" s="2">
        <v>20.16</v>
      </c>
      <c r="I1916" t="str">
        <f t="shared" si="29"/>
        <v>Dec</v>
      </c>
      <c r="J1916">
        <f>YEAR(datas[[#This Row],[Order Date]])</f>
        <v>2021</v>
      </c>
    </row>
    <row r="1917" spans="1:10" ht="14.25" customHeight="1" x14ac:dyDescent="0.3">
      <c r="A1917" s="1">
        <v>44556</v>
      </c>
      <c r="B1917" s="2" t="s">
        <v>321</v>
      </c>
      <c r="C1917" s="2" t="s">
        <v>126</v>
      </c>
      <c r="D1917" s="2" t="s">
        <v>26</v>
      </c>
      <c r="E1917" s="2" t="s">
        <v>32</v>
      </c>
      <c r="F1917" s="2">
        <v>218.35</v>
      </c>
      <c r="G1917" s="2">
        <v>3</v>
      </c>
      <c r="H1917" s="2">
        <v>-24.56</v>
      </c>
      <c r="I1917" t="str">
        <f t="shared" si="29"/>
        <v>Dec</v>
      </c>
      <c r="J1917">
        <f>YEAR(datas[[#This Row],[Order Date]])</f>
        <v>2021</v>
      </c>
    </row>
    <row r="1918" spans="1:10" ht="14.25" customHeight="1" x14ac:dyDescent="0.3">
      <c r="A1918" s="1">
        <v>44556</v>
      </c>
      <c r="B1918" s="2" t="s">
        <v>321</v>
      </c>
      <c r="C1918" s="2" t="s">
        <v>126</v>
      </c>
      <c r="D1918" s="2" t="s">
        <v>10</v>
      </c>
      <c r="E1918" s="2" t="s">
        <v>16</v>
      </c>
      <c r="F1918" s="2">
        <v>78.599999999999994</v>
      </c>
      <c r="G1918" s="2">
        <v>5</v>
      </c>
      <c r="H1918" s="2">
        <v>-62.88</v>
      </c>
      <c r="I1918" t="str">
        <f t="shared" si="29"/>
        <v>Dec</v>
      </c>
      <c r="J1918">
        <f>YEAR(datas[[#This Row],[Order Date]])</f>
        <v>2021</v>
      </c>
    </row>
    <row r="1919" spans="1:10" ht="14.25" customHeight="1" x14ac:dyDescent="0.3">
      <c r="A1919" s="1">
        <v>44556</v>
      </c>
      <c r="B1919" s="2" t="s">
        <v>321</v>
      </c>
      <c r="C1919" s="2" t="s">
        <v>126</v>
      </c>
      <c r="D1919" s="2" t="s">
        <v>10</v>
      </c>
      <c r="E1919" s="2" t="s">
        <v>30</v>
      </c>
      <c r="F1919" s="2">
        <v>27.55</v>
      </c>
      <c r="G1919" s="2">
        <v>3</v>
      </c>
      <c r="H1919" s="2">
        <v>9.3000000000000007</v>
      </c>
      <c r="I1919" t="str">
        <f t="shared" si="29"/>
        <v>Dec</v>
      </c>
      <c r="J1919">
        <f>YEAR(datas[[#This Row],[Order Date]])</f>
        <v>2021</v>
      </c>
    </row>
    <row r="1920" spans="1:10" ht="14.25" customHeight="1" x14ac:dyDescent="0.3">
      <c r="A1920" s="1">
        <v>44556</v>
      </c>
      <c r="B1920" s="2" t="s">
        <v>160</v>
      </c>
      <c r="C1920" s="2" t="s">
        <v>13</v>
      </c>
      <c r="D1920" s="2" t="s">
        <v>10</v>
      </c>
      <c r="E1920" s="2" t="s">
        <v>16</v>
      </c>
      <c r="F1920" s="2">
        <v>8.69</v>
      </c>
      <c r="G1920" s="2">
        <v>5</v>
      </c>
      <c r="H1920" s="2">
        <v>-14.77</v>
      </c>
      <c r="I1920" t="str">
        <f t="shared" si="29"/>
        <v>Dec</v>
      </c>
      <c r="J1920">
        <f>YEAR(datas[[#This Row],[Order Date]])</f>
        <v>2021</v>
      </c>
    </row>
    <row r="1921" spans="1:10" ht="14.25" customHeight="1" x14ac:dyDescent="0.3">
      <c r="A1921" s="1">
        <v>44556</v>
      </c>
      <c r="B1921" s="2" t="s">
        <v>656</v>
      </c>
      <c r="C1921" s="2" t="s">
        <v>21</v>
      </c>
      <c r="D1921" s="2" t="s">
        <v>10</v>
      </c>
      <c r="E1921" s="2" t="s">
        <v>95</v>
      </c>
      <c r="F1921" s="2">
        <v>11.91</v>
      </c>
      <c r="G1921" s="2">
        <v>3</v>
      </c>
      <c r="H1921" s="2">
        <v>0.12</v>
      </c>
      <c r="I1921" t="str">
        <f t="shared" si="29"/>
        <v>Dec</v>
      </c>
      <c r="J1921">
        <f>YEAR(datas[[#This Row],[Order Date]])</f>
        <v>2021</v>
      </c>
    </row>
    <row r="1922" spans="1:10" ht="14.25" customHeight="1" x14ac:dyDescent="0.3">
      <c r="A1922" s="1">
        <v>44556</v>
      </c>
      <c r="B1922" s="2" t="s">
        <v>656</v>
      </c>
      <c r="C1922" s="2" t="s">
        <v>21</v>
      </c>
      <c r="D1922" s="2" t="s">
        <v>26</v>
      </c>
      <c r="E1922" s="2" t="s">
        <v>32</v>
      </c>
      <c r="F1922" s="2">
        <v>3.48</v>
      </c>
      <c r="G1922" s="2">
        <v>2</v>
      </c>
      <c r="H1922" s="2">
        <v>1.1100000000000001</v>
      </c>
      <c r="I1922" t="str">
        <f t="shared" si="29"/>
        <v>Dec</v>
      </c>
      <c r="J1922">
        <f>YEAR(datas[[#This Row],[Order Date]])</f>
        <v>2021</v>
      </c>
    </row>
    <row r="1923" spans="1:10" ht="14.25" customHeight="1" x14ac:dyDescent="0.3">
      <c r="A1923" s="1">
        <v>44556</v>
      </c>
      <c r="B1923" s="2" t="s">
        <v>657</v>
      </c>
      <c r="C1923" s="2" t="s">
        <v>18</v>
      </c>
      <c r="D1923" s="2" t="s">
        <v>10</v>
      </c>
      <c r="E1923" s="2" t="s">
        <v>11</v>
      </c>
      <c r="F1923" s="2">
        <v>18.260000000000002</v>
      </c>
      <c r="G1923" s="2">
        <v>3</v>
      </c>
      <c r="H1923" s="2">
        <v>6.16</v>
      </c>
      <c r="I1923" t="str">
        <f t="shared" ref="I1923:I1986" si="30">TEXT(A1923,"mmm")</f>
        <v>Dec</v>
      </c>
      <c r="J1923">
        <f>YEAR(datas[[#This Row],[Order Date]])</f>
        <v>2021</v>
      </c>
    </row>
    <row r="1924" spans="1:10" ht="14.25" customHeight="1" x14ac:dyDescent="0.3">
      <c r="A1924" s="1">
        <v>44556</v>
      </c>
      <c r="B1924" s="2" t="s">
        <v>657</v>
      </c>
      <c r="C1924" s="2" t="s">
        <v>18</v>
      </c>
      <c r="D1924" s="2" t="s">
        <v>10</v>
      </c>
      <c r="E1924" s="2" t="s">
        <v>53</v>
      </c>
      <c r="F1924" s="2">
        <v>34.659999999999997</v>
      </c>
      <c r="G1924" s="2">
        <v>2</v>
      </c>
      <c r="H1924" s="2">
        <v>5.63</v>
      </c>
      <c r="I1924" t="str">
        <f t="shared" si="30"/>
        <v>Dec</v>
      </c>
      <c r="J1924">
        <f>YEAR(datas[[#This Row],[Order Date]])</f>
        <v>2021</v>
      </c>
    </row>
    <row r="1925" spans="1:10" ht="14.25" customHeight="1" x14ac:dyDescent="0.3">
      <c r="A1925" s="1">
        <v>44556</v>
      </c>
      <c r="B1925" s="2" t="s">
        <v>657</v>
      </c>
      <c r="C1925" s="2" t="s">
        <v>18</v>
      </c>
      <c r="D1925" s="2" t="s">
        <v>10</v>
      </c>
      <c r="E1925" s="2" t="s">
        <v>53</v>
      </c>
      <c r="F1925" s="2">
        <v>81.55</v>
      </c>
      <c r="G1925" s="2">
        <v>2</v>
      </c>
      <c r="H1925" s="2">
        <v>8.16</v>
      </c>
      <c r="I1925" t="str">
        <f t="shared" si="30"/>
        <v>Dec</v>
      </c>
      <c r="J1925">
        <f>YEAR(datas[[#This Row],[Order Date]])</f>
        <v>2021</v>
      </c>
    </row>
    <row r="1926" spans="1:10" ht="14.25" customHeight="1" x14ac:dyDescent="0.3">
      <c r="A1926" s="1">
        <v>44556</v>
      </c>
      <c r="B1926" s="2" t="s">
        <v>657</v>
      </c>
      <c r="C1926" s="2" t="s">
        <v>18</v>
      </c>
      <c r="D1926" s="2" t="s">
        <v>10</v>
      </c>
      <c r="E1926" s="2" t="s">
        <v>15</v>
      </c>
      <c r="F1926" s="2">
        <v>227.14</v>
      </c>
      <c r="G1926" s="2">
        <v>4</v>
      </c>
      <c r="H1926" s="2">
        <v>-42.59</v>
      </c>
      <c r="I1926" t="str">
        <f t="shared" si="30"/>
        <v>Dec</v>
      </c>
      <c r="J1926">
        <f>YEAR(datas[[#This Row],[Order Date]])</f>
        <v>2021</v>
      </c>
    </row>
    <row r="1927" spans="1:10" ht="14.25" customHeight="1" x14ac:dyDescent="0.3">
      <c r="A1927" s="1">
        <v>44556</v>
      </c>
      <c r="B1927" s="2" t="s">
        <v>534</v>
      </c>
      <c r="C1927" s="2" t="s">
        <v>75</v>
      </c>
      <c r="D1927" s="2" t="s">
        <v>10</v>
      </c>
      <c r="E1927" s="2" t="s">
        <v>15</v>
      </c>
      <c r="F1927" s="2">
        <v>191.88</v>
      </c>
      <c r="G1927" s="2">
        <v>6</v>
      </c>
      <c r="H1927" s="2">
        <v>19.190000000000001</v>
      </c>
      <c r="I1927" t="str">
        <f t="shared" si="30"/>
        <v>Dec</v>
      </c>
      <c r="J1927">
        <f>YEAR(datas[[#This Row],[Order Date]])</f>
        <v>2021</v>
      </c>
    </row>
    <row r="1928" spans="1:10" ht="14.25" customHeight="1" x14ac:dyDescent="0.3">
      <c r="A1928" s="1">
        <v>44556</v>
      </c>
      <c r="B1928" s="2" t="s">
        <v>195</v>
      </c>
      <c r="C1928" s="2" t="s">
        <v>18</v>
      </c>
      <c r="D1928" s="2" t="s">
        <v>10</v>
      </c>
      <c r="E1928" s="2" t="s">
        <v>19</v>
      </c>
      <c r="F1928" s="2">
        <v>8.02</v>
      </c>
      <c r="G1928" s="2">
        <v>3</v>
      </c>
      <c r="H1928" s="2">
        <v>1.1000000000000001</v>
      </c>
      <c r="I1928" t="str">
        <f t="shared" si="30"/>
        <v>Dec</v>
      </c>
      <c r="J1928">
        <f>YEAR(datas[[#This Row],[Order Date]])</f>
        <v>2021</v>
      </c>
    </row>
    <row r="1929" spans="1:10" ht="14.25" customHeight="1" x14ac:dyDescent="0.3">
      <c r="A1929" s="1">
        <v>44557</v>
      </c>
      <c r="B1929" s="2" t="s">
        <v>610</v>
      </c>
      <c r="C1929" s="2" t="s">
        <v>21</v>
      </c>
      <c r="D1929" s="2" t="s">
        <v>10</v>
      </c>
      <c r="E1929" s="2" t="s">
        <v>14</v>
      </c>
      <c r="F1929" s="2">
        <v>11.56</v>
      </c>
      <c r="G1929" s="2">
        <v>4</v>
      </c>
      <c r="H1929" s="2">
        <v>5.43</v>
      </c>
      <c r="I1929" t="str">
        <f t="shared" si="30"/>
        <v>Dec</v>
      </c>
      <c r="J1929">
        <f>YEAR(datas[[#This Row],[Order Date]])</f>
        <v>2021</v>
      </c>
    </row>
    <row r="1930" spans="1:10" ht="14.25" customHeight="1" x14ac:dyDescent="0.3">
      <c r="A1930" s="1">
        <v>44557</v>
      </c>
      <c r="B1930" s="2" t="s">
        <v>328</v>
      </c>
      <c r="C1930" s="2" t="s">
        <v>13</v>
      </c>
      <c r="D1930" s="2" t="s">
        <v>26</v>
      </c>
      <c r="E1930" s="2" t="s">
        <v>32</v>
      </c>
      <c r="F1930" s="2">
        <v>32.950000000000003</v>
      </c>
      <c r="G1930" s="2">
        <v>6</v>
      </c>
      <c r="H1930" s="2">
        <v>-19.77</v>
      </c>
      <c r="I1930" t="str">
        <f t="shared" si="30"/>
        <v>Dec</v>
      </c>
      <c r="J1930">
        <f>YEAR(datas[[#This Row],[Order Date]])</f>
        <v>2021</v>
      </c>
    </row>
    <row r="1931" spans="1:10" ht="14.25" customHeight="1" x14ac:dyDescent="0.3">
      <c r="A1931" s="1">
        <v>44557</v>
      </c>
      <c r="B1931" s="2" t="s">
        <v>328</v>
      </c>
      <c r="C1931" s="2" t="s">
        <v>13</v>
      </c>
      <c r="D1931" s="2" t="s">
        <v>10</v>
      </c>
      <c r="E1931" s="2" t="s">
        <v>15</v>
      </c>
      <c r="F1931" s="2">
        <v>30.02</v>
      </c>
      <c r="G1931" s="2">
        <v>4</v>
      </c>
      <c r="H1931" s="2">
        <v>3</v>
      </c>
      <c r="I1931" t="str">
        <f t="shared" si="30"/>
        <v>Dec</v>
      </c>
      <c r="J1931">
        <f>YEAR(datas[[#This Row],[Order Date]])</f>
        <v>2021</v>
      </c>
    </row>
    <row r="1932" spans="1:10" ht="14.25" customHeight="1" x14ac:dyDescent="0.3">
      <c r="A1932" s="1">
        <v>44557</v>
      </c>
      <c r="B1932" s="2" t="s">
        <v>538</v>
      </c>
      <c r="C1932" s="2" t="s">
        <v>21</v>
      </c>
      <c r="D1932" s="2" t="s">
        <v>26</v>
      </c>
      <c r="E1932" s="2" t="s">
        <v>27</v>
      </c>
      <c r="F1932" s="2">
        <v>230.28</v>
      </c>
      <c r="G1932" s="2">
        <v>3</v>
      </c>
      <c r="H1932" s="2">
        <v>23.03</v>
      </c>
      <c r="I1932" t="str">
        <f t="shared" si="30"/>
        <v>Dec</v>
      </c>
      <c r="J1932">
        <f>YEAR(datas[[#This Row],[Order Date]])</f>
        <v>2021</v>
      </c>
    </row>
    <row r="1933" spans="1:10" ht="14.25" customHeight="1" x14ac:dyDescent="0.3">
      <c r="A1933" s="1">
        <v>44557</v>
      </c>
      <c r="B1933" s="2" t="s">
        <v>538</v>
      </c>
      <c r="C1933" s="2" t="s">
        <v>21</v>
      </c>
      <c r="D1933" s="2" t="s">
        <v>10</v>
      </c>
      <c r="E1933" s="2" t="s">
        <v>11</v>
      </c>
      <c r="F1933" s="2">
        <v>12.84</v>
      </c>
      <c r="G1933" s="2">
        <v>3</v>
      </c>
      <c r="H1933" s="2">
        <v>5.78</v>
      </c>
      <c r="I1933" t="str">
        <f t="shared" si="30"/>
        <v>Dec</v>
      </c>
      <c r="J1933">
        <f>YEAR(datas[[#This Row],[Order Date]])</f>
        <v>2021</v>
      </c>
    </row>
    <row r="1934" spans="1:10" ht="14.25" customHeight="1" x14ac:dyDescent="0.3">
      <c r="A1934" s="1">
        <v>44557</v>
      </c>
      <c r="B1934" s="2" t="s">
        <v>658</v>
      </c>
      <c r="C1934" s="2" t="s">
        <v>75</v>
      </c>
      <c r="D1934" s="2" t="s">
        <v>26</v>
      </c>
      <c r="E1934" s="2" t="s">
        <v>27</v>
      </c>
      <c r="F1934" s="2">
        <v>767.21</v>
      </c>
      <c r="G1934" s="2">
        <v>14</v>
      </c>
      <c r="H1934" s="2">
        <v>161.97</v>
      </c>
      <c r="I1934" t="str">
        <f t="shared" si="30"/>
        <v>Dec</v>
      </c>
      <c r="J1934">
        <f>YEAR(datas[[#This Row],[Order Date]])</f>
        <v>2021</v>
      </c>
    </row>
    <row r="1935" spans="1:10" ht="14.25" customHeight="1" x14ac:dyDescent="0.3">
      <c r="A1935" s="1">
        <v>44557</v>
      </c>
      <c r="B1935" s="2" t="s">
        <v>80</v>
      </c>
      <c r="C1935" s="2" t="s">
        <v>21</v>
      </c>
      <c r="D1935" s="2" t="s">
        <v>10</v>
      </c>
      <c r="E1935" s="2" t="s">
        <v>53</v>
      </c>
      <c r="F1935" s="2">
        <v>10.98</v>
      </c>
      <c r="G1935" s="2">
        <v>1</v>
      </c>
      <c r="H1935" s="2">
        <v>2.96</v>
      </c>
      <c r="I1935" t="str">
        <f t="shared" si="30"/>
        <v>Dec</v>
      </c>
      <c r="J1935">
        <f>YEAR(datas[[#This Row],[Order Date]])</f>
        <v>2021</v>
      </c>
    </row>
    <row r="1936" spans="1:10" ht="14.25" customHeight="1" x14ac:dyDescent="0.3">
      <c r="A1936" s="1">
        <v>44557</v>
      </c>
      <c r="B1936" s="2" t="s">
        <v>80</v>
      </c>
      <c r="C1936" s="2" t="s">
        <v>21</v>
      </c>
      <c r="D1936" s="2" t="s">
        <v>10</v>
      </c>
      <c r="E1936" s="2" t="s">
        <v>30</v>
      </c>
      <c r="F1936" s="2">
        <v>7.86</v>
      </c>
      <c r="G1936" s="2">
        <v>3</v>
      </c>
      <c r="H1936" s="2">
        <v>3.62</v>
      </c>
      <c r="I1936" t="str">
        <f t="shared" si="30"/>
        <v>Dec</v>
      </c>
      <c r="J1936">
        <f>YEAR(datas[[#This Row],[Order Date]])</f>
        <v>2021</v>
      </c>
    </row>
    <row r="1937" spans="1:10" ht="14.25" customHeight="1" x14ac:dyDescent="0.3">
      <c r="A1937" s="1">
        <v>44557</v>
      </c>
      <c r="B1937" s="2" t="s">
        <v>80</v>
      </c>
      <c r="C1937" s="2" t="s">
        <v>21</v>
      </c>
      <c r="D1937" s="2" t="s">
        <v>10</v>
      </c>
      <c r="E1937" s="2" t="s">
        <v>15</v>
      </c>
      <c r="F1937" s="2">
        <v>51.45</v>
      </c>
      <c r="G1937" s="2">
        <v>3</v>
      </c>
      <c r="H1937" s="2">
        <v>13.89</v>
      </c>
      <c r="I1937" t="str">
        <f t="shared" si="30"/>
        <v>Dec</v>
      </c>
      <c r="J1937">
        <f>YEAR(datas[[#This Row],[Order Date]])</f>
        <v>2021</v>
      </c>
    </row>
    <row r="1938" spans="1:10" ht="14.25" customHeight="1" x14ac:dyDescent="0.3">
      <c r="A1938" s="1">
        <v>44557</v>
      </c>
      <c r="B1938" s="2" t="s">
        <v>80</v>
      </c>
      <c r="C1938" s="2" t="s">
        <v>21</v>
      </c>
      <c r="D1938" s="2" t="s">
        <v>10</v>
      </c>
      <c r="E1938" s="2" t="s">
        <v>16</v>
      </c>
      <c r="F1938" s="2">
        <v>37.06</v>
      </c>
      <c r="G1938" s="2">
        <v>3</v>
      </c>
      <c r="H1938" s="2">
        <v>13.9</v>
      </c>
      <c r="I1938" t="str">
        <f t="shared" si="30"/>
        <v>Dec</v>
      </c>
      <c r="J1938">
        <f>YEAR(datas[[#This Row],[Order Date]])</f>
        <v>2021</v>
      </c>
    </row>
    <row r="1939" spans="1:10" ht="14.25" customHeight="1" x14ac:dyDescent="0.3">
      <c r="A1939" s="1">
        <v>44557</v>
      </c>
      <c r="B1939" s="2" t="s">
        <v>570</v>
      </c>
      <c r="C1939" s="2" t="s">
        <v>198</v>
      </c>
      <c r="D1939" s="2" t="s">
        <v>10</v>
      </c>
      <c r="E1939" s="2" t="s">
        <v>11</v>
      </c>
      <c r="F1939" s="2">
        <v>23.92</v>
      </c>
      <c r="G1939" s="2">
        <v>4</v>
      </c>
      <c r="H1939" s="2">
        <v>11.72</v>
      </c>
      <c r="I1939" t="str">
        <f t="shared" si="30"/>
        <v>Dec</v>
      </c>
      <c r="J1939">
        <f>YEAR(datas[[#This Row],[Order Date]])</f>
        <v>2021</v>
      </c>
    </row>
    <row r="1940" spans="1:10" ht="14.25" customHeight="1" x14ac:dyDescent="0.3">
      <c r="A1940" s="1">
        <v>44557</v>
      </c>
      <c r="B1940" s="2" t="s">
        <v>570</v>
      </c>
      <c r="C1940" s="2" t="s">
        <v>198</v>
      </c>
      <c r="D1940" s="2" t="s">
        <v>28</v>
      </c>
      <c r="E1940" s="2" t="s">
        <v>34</v>
      </c>
      <c r="F1940" s="2">
        <v>498</v>
      </c>
      <c r="G1940" s="2">
        <v>5</v>
      </c>
      <c r="H1940" s="2">
        <v>184.26</v>
      </c>
      <c r="I1940" t="str">
        <f t="shared" si="30"/>
        <v>Dec</v>
      </c>
      <c r="J1940">
        <f>YEAR(datas[[#This Row],[Order Date]])</f>
        <v>2021</v>
      </c>
    </row>
    <row r="1941" spans="1:10" ht="14.25" customHeight="1" x14ac:dyDescent="0.3">
      <c r="A1941" s="1">
        <v>44557</v>
      </c>
      <c r="B1941" s="2" t="s">
        <v>245</v>
      </c>
      <c r="C1941" s="2" t="s">
        <v>9</v>
      </c>
      <c r="D1941" s="2" t="s">
        <v>10</v>
      </c>
      <c r="E1941" s="2" t="s">
        <v>16</v>
      </c>
      <c r="F1941" s="2">
        <v>4.9800000000000004</v>
      </c>
      <c r="G1941" s="2">
        <v>1</v>
      </c>
      <c r="H1941" s="2">
        <v>-8.4700000000000006</v>
      </c>
      <c r="I1941" t="str">
        <f t="shared" si="30"/>
        <v>Dec</v>
      </c>
      <c r="J1941">
        <f>YEAR(datas[[#This Row],[Order Date]])</f>
        <v>2021</v>
      </c>
    </row>
    <row r="1942" spans="1:10" ht="14.25" customHeight="1" x14ac:dyDescent="0.3">
      <c r="A1942" s="1">
        <v>44557</v>
      </c>
      <c r="B1942" s="2" t="s">
        <v>436</v>
      </c>
      <c r="C1942" s="2" t="s">
        <v>47</v>
      </c>
      <c r="D1942" s="2" t="s">
        <v>26</v>
      </c>
      <c r="E1942" s="2" t="s">
        <v>32</v>
      </c>
      <c r="F1942" s="2">
        <v>182.35</v>
      </c>
      <c r="G1942" s="2">
        <v>3</v>
      </c>
      <c r="H1942" s="2">
        <v>-18.239999999999998</v>
      </c>
      <c r="I1942" t="str">
        <f t="shared" si="30"/>
        <v>Dec</v>
      </c>
      <c r="J1942">
        <f>YEAR(datas[[#This Row],[Order Date]])</f>
        <v>2021</v>
      </c>
    </row>
    <row r="1943" spans="1:10" ht="14.25" customHeight="1" x14ac:dyDescent="0.3">
      <c r="A1943" s="1">
        <v>44557</v>
      </c>
      <c r="B1943" s="2" t="s">
        <v>436</v>
      </c>
      <c r="C1943" s="2" t="s">
        <v>47</v>
      </c>
      <c r="D1943" s="2" t="s">
        <v>10</v>
      </c>
      <c r="E1943" s="2" t="s">
        <v>15</v>
      </c>
      <c r="F1943" s="2">
        <v>118.16</v>
      </c>
      <c r="G1943" s="2">
        <v>2</v>
      </c>
      <c r="H1943" s="2">
        <v>-25.11</v>
      </c>
      <c r="I1943" t="str">
        <f t="shared" si="30"/>
        <v>Dec</v>
      </c>
      <c r="J1943">
        <f>YEAR(datas[[#This Row],[Order Date]])</f>
        <v>2021</v>
      </c>
    </row>
    <row r="1944" spans="1:10" ht="14.25" customHeight="1" x14ac:dyDescent="0.3">
      <c r="A1944" s="1">
        <v>44557</v>
      </c>
      <c r="B1944" s="2" t="s">
        <v>285</v>
      </c>
      <c r="C1944" s="2" t="s">
        <v>55</v>
      </c>
      <c r="D1944" s="2" t="s">
        <v>10</v>
      </c>
      <c r="E1944" s="2" t="s">
        <v>16</v>
      </c>
      <c r="F1944" s="2">
        <v>946.76</v>
      </c>
      <c r="G1944" s="2">
        <v>6</v>
      </c>
      <c r="H1944" s="2">
        <v>-694.29</v>
      </c>
      <c r="I1944" t="str">
        <f t="shared" si="30"/>
        <v>Dec</v>
      </c>
      <c r="J1944">
        <f>YEAR(datas[[#This Row],[Order Date]])</f>
        <v>2021</v>
      </c>
    </row>
    <row r="1945" spans="1:10" ht="14.25" customHeight="1" x14ac:dyDescent="0.3">
      <c r="A1945" s="1">
        <v>44558</v>
      </c>
      <c r="B1945" s="2" t="s">
        <v>641</v>
      </c>
      <c r="C1945" s="2" t="s">
        <v>18</v>
      </c>
      <c r="D1945" s="2" t="s">
        <v>10</v>
      </c>
      <c r="E1945" s="2" t="s">
        <v>19</v>
      </c>
      <c r="F1945" s="2">
        <v>99.14</v>
      </c>
      <c r="G1945" s="2">
        <v>4</v>
      </c>
      <c r="H1945" s="2">
        <v>8.67</v>
      </c>
      <c r="I1945" t="str">
        <f t="shared" si="30"/>
        <v>Dec</v>
      </c>
      <c r="J1945">
        <f>YEAR(datas[[#This Row],[Order Date]])</f>
        <v>2021</v>
      </c>
    </row>
    <row r="1946" spans="1:10" ht="14.25" customHeight="1" x14ac:dyDescent="0.3">
      <c r="A1946" s="1">
        <v>44558</v>
      </c>
      <c r="B1946" s="2" t="s">
        <v>35</v>
      </c>
      <c r="C1946" s="2" t="s">
        <v>181</v>
      </c>
      <c r="D1946" s="2" t="s">
        <v>10</v>
      </c>
      <c r="E1946" s="2" t="s">
        <v>53</v>
      </c>
      <c r="F1946" s="2">
        <v>1737.18</v>
      </c>
      <c r="G1946" s="2">
        <v>6</v>
      </c>
      <c r="H1946" s="2">
        <v>503.78</v>
      </c>
      <c r="I1946" t="str">
        <f t="shared" si="30"/>
        <v>Dec</v>
      </c>
      <c r="J1946">
        <f>YEAR(datas[[#This Row],[Order Date]])</f>
        <v>2021</v>
      </c>
    </row>
    <row r="1947" spans="1:10" ht="14.25" customHeight="1" x14ac:dyDescent="0.3">
      <c r="A1947" s="1">
        <v>44558</v>
      </c>
      <c r="B1947" s="2" t="s">
        <v>35</v>
      </c>
      <c r="C1947" s="2" t="s">
        <v>181</v>
      </c>
      <c r="D1947" s="2" t="s">
        <v>10</v>
      </c>
      <c r="E1947" s="2" t="s">
        <v>15</v>
      </c>
      <c r="F1947" s="2">
        <v>704.25</v>
      </c>
      <c r="G1947" s="2">
        <v>5</v>
      </c>
      <c r="H1947" s="2">
        <v>84.51</v>
      </c>
      <c r="I1947" t="str">
        <f t="shared" si="30"/>
        <v>Dec</v>
      </c>
      <c r="J1947">
        <f>YEAR(datas[[#This Row],[Order Date]])</f>
        <v>2021</v>
      </c>
    </row>
    <row r="1948" spans="1:10" ht="14.25" customHeight="1" x14ac:dyDescent="0.3">
      <c r="A1948" s="1">
        <v>44558</v>
      </c>
      <c r="B1948" s="2" t="s">
        <v>35</v>
      </c>
      <c r="C1948" s="2" t="s">
        <v>181</v>
      </c>
      <c r="D1948" s="2" t="s">
        <v>10</v>
      </c>
      <c r="E1948" s="2" t="s">
        <v>11</v>
      </c>
      <c r="F1948" s="2">
        <v>141.76</v>
      </c>
      <c r="G1948" s="2">
        <v>4</v>
      </c>
      <c r="H1948" s="2">
        <v>66.63</v>
      </c>
      <c r="I1948" t="str">
        <f t="shared" si="30"/>
        <v>Dec</v>
      </c>
      <c r="J1948">
        <f>YEAR(datas[[#This Row],[Order Date]])</f>
        <v>2021</v>
      </c>
    </row>
    <row r="1949" spans="1:10" ht="14.25" customHeight="1" x14ac:dyDescent="0.3">
      <c r="A1949" s="1">
        <v>44558</v>
      </c>
      <c r="B1949" s="2" t="s">
        <v>568</v>
      </c>
      <c r="C1949" s="2" t="s">
        <v>21</v>
      </c>
      <c r="D1949" s="2" t="s">
        <v>10</v>
      </c>
      <c r="E1949" s="2" t="s">
        <v>15</v>
      </c>
      <c r="F1949" s="2">
        <v>998.82</v>
      </c>
      <c r="G1949" s="2">
        <v>9</v>
      </c>
      <c r="H1949" s="2">
        <v>29.96</v>
      </c>
      <c r="I1949" t="str">
        <f t="shared" si="30"/>
        <v>Dec</v>
      </c>
      <c r="J1949">
        <f>YEAR(datas[[#This Row],[Order Date]])</f>
        <v>2021</v>
      </c>
    </row>
    <row r="1950" spans="1:10" ht="14.25" customHeight="1" x14ac:dyDescent="0.3">
      <c r="A1950" s="1">
        <v>44558</v>
      </c>
      <c r="B1950" s="2" t="s">
        <v>568</v>
      </c>
      <c r="C1950" s="2" t="s">
        <v>21</v>
      </c>
      <c r="D1950" s="2" t="s">
        <v>10</v>
      </c>
      <c r="E1950" s="2" t="s">
        <v>95</v>
      </c>
      <c r="F1950" s="2">
        <v>51.15</v>
      </c>
      <c r="G1950" s="2">
        <v>5</v>
      </c>
      <c r="H1950" s="2">
        <v>13.3</v>
      </c>
      <c r="I1950" t="str">
        <f t="shared" si="30"/>
        <v>Dec</v>
      </c>
      <c r="J1950">
        <f>YEAR(datas[[#This Row],[Order Date]])</f>
        <v>2021</v>
      </c>
    </row>
    <row r="1951" spans="1:10" ht="14.25" customHeight="1" x14ac:dyDescent="0.3">
      <c r="A1951" s="1">
        <v>44559</v>
      </c>
      <c r="B1951" s="2" t="s">
        <v>659</v>
      </c>
      <c r="C1951" s="2" t="s">
        <v>140</v>
      </c>
      <c r="D1951" s="2" t="s">
        <v>10</v>
      </c>
      <c r="E1951" s="2" t="s">
        <v>15</v>
      </c>
      <c r="F1951" s="2">
        <v>24.56</v>
      </c>
      <c r="G1951" s="2">
        <v>2</v>
      </c>
      <c r="H1951" s="2">
        <v>6.88</v>
      </c>
      <c r="I1951" t="str">
        <f t="shared" si="30"/>
        <v>Dec</v>
      </c>
      <c r="J1951">
        <f>YEAR(datas[[#This Row],[Order Date]])</f>
        <v>2021</v>
      </c>
    </row>
    <row r="1952" spans="1:10" ht="14.25" customHeight="1" x14ac:dyDescent="0.3">
      <c r="A1952" s="1">
        <v>44559</v>
      </c>
      <c r="B1952" s="2" t="s">
        <v>659</v>
      </c>
      <c r="C1952" s="2" t="s">
        <v>140</v>
      </c>
      <c r="D1952" s="2" t="s">
        <v>28</v>
      </c>
      <c r="E1952" s="2" t="s">
        <v>34</v>
      </c>
      <c r="F1952" s="2">
        <v>119.8</v>
      </c>
      <c r="G1952" s="2">
        <v>4</v>
      </c>
      <c r="H1952" s="2">
        <v>47.92</v>
      </c>
      <c r="I1952" t="str">
        <f t="shared" si="30"/>
        <v>Dec</v>
      </c>
      <c r="J1952">
        <f>YEAR(datas[[#This Row],[Order Date]])</f>
        <v>2021</v>
      </c>
    </row>
    <row r="1953" spans="1:10" ht="14.25" customHeight="1" x14ac:dyDescent="0.3">
      <c r="A1953" s="1">
        <v>44559</v>
      </c>
      <c r="B1953" s="2" t="s">
        <v>268</v>
      </c>
      <c r="C1953" s="2" t="s">
        <v>21</v>
      </c>
      <c r="D1953" s="2" t="s">
        <v>26</v>
      </c>
      <c r="E1953" s="2" t="s">
        <v>32</v>
      </c>
      <c r="F1953" s="2">
        <v>24.9</v>
      </c>
      <c r="G1953" s="2">
        <v>5</v>
      </c>
      <c r="H1953" s="2">
        <v>8.2200000000000006</v>
      </c>
      <c r="I1953" t="str">
        <f t="shared" si="30"/>
        <v>Dec</v>
      </c>
      <c r="J1953">
        <f>YEAR(datas[[#This Row],[Order Date]])</f>
        <v>2021</v>
      </c>
    </row>
    <row r="1954" spans="1:10" ht="14.25" customHeight="1" x14ac:dyDescent="0.3">
      <c r="A1954" s="1">
        <v>44559</v>
      </c>
      <c r="B1954" s="2" t="s">
        <v>268</v>
      </c>
      <c r="C1954" s="2" t="s">
        <v>21</v>
      </c>
      <c r="D1954" s="2" t="s">
        <v>10</v>
      </c>
      <c r="E1954" s="2" t="s">
        <v>11</v>
      </c>
      <c r="F1954" s="2">
        <v>21.12</v>
      </c>
      <c r="G1954" s="2">
        <v>4</v>
      </c>
      <c r="H1954" s="2">
        <v>9.5</v>
      </c>
      <c r="I1954" t="str">
        <f t="shared" si="30"/>
        <v>Dec</v>
      </c>
      <c r="J1954">
        <f>YEAR(datas[[#This Row],[Order Date]])</f>
        <v>2021</v>
      </c>
    </row>
    <row r="1955" spans="1:10" ht="14.25" customHeight="1" x14ac:dyDescent="0.3">
      <c r="A1955" s="1">
        <v>44559</v>
      </c>
      <c r="B1955" s="2" t="s">
        <v>268</v>
      </c>
      <c r="C1955" s="2" t="s">
        <v>21</v>
      </c>
      <c r="D1955" s="2" t="s">
        <v>28</v>
      </c>
      <c r="E1955" s="2" t="s">
        <v>136</v>
      </c>
      <c r="F1955" s="2">
        <v>767.95</v>
      </c>
      <c r="G1955" s="2">
        <v>6</v>
      </c>
      <c r="H1955" s="2">
        <v>287.98</v>
      </c>
      <c r="I1955" t="str">
        <f t="shared" si="30"/>
        <v>Dec</v>
      </c>
      <c r="J1955">
        <f>YEAR(datas[[#This Row],[Order Date]])</f>
        <v>2021</v>
      </c>
    </row>
    <row r="1956" spans="1:10" ht="14.25" customHeight="1" x14ac:dyDescent="0.3">
      <c r="A1956" s="1">
        <v>44559</v>
      </c>
      <c r="B1956" s="2" t="s">
        <v>268</v>
      </c>
      <c r="C1956" s="2" t="s">
        <v>21</v>
      </c>
      <c r="D1956" s="2" t="s">
        <v>10</v>
      </c>
      <c r="E1956" s="2" t="s">
        <v>16</v>
      </c>
      <c r="F1956" s="2">
        <v>14.35</v>
      </c>
      <c r="G1956" s="2">
        <v>3</v>
      </c>
      <c r="H1956" s="2">
        <v>4.66</v>
      </c>
      <c r="I1956" t="str">
        <f t="shared" si="30"/>
        <v>Dec</v>
      </c>
      <c r="J1956">
        <f>YEAR(datas[[#This Row],[Order Date]])</f>
        <v>2021</v>
      </c>
    </row>
    <row r="1957" spans="1:10" ht="14.25" customHeight="1" x14ac:dyDescent="0.3">
      <c r="A1957" s="1">
        <v>44559</v>
      </c>
      <c r="B1957" s="2" t="s">
        <v>268</v>
      </c>
      <c r="C1957" s="2" t="s">
        <v>21</v>
      </c>
      <c r="D1957" s="2" t="s">
        <v>28</v>
      </c>
      <c r="E1957" s="2" t="s">
        <v>29</v>
      </c>
      <c r="F1957" s="2">
        <v>191.98</v>
      </c>
      <c r="G1957" s="2">
        <v>3</v>
      </c>
      <c r="H1957" s="2">
        <v>19.2</v>
      </c>
      <c r="I1957" t="str">
        <f t="shared" si="30"/>
        <v>Dec</v>
      </c>
      <c r="J1957">
        <f>YEAR(datas[[#This Row],[Order Date]])</f>
        <v>2021</v>
      </c>
    </row>
    <row r="1958" spans="1:10" ht="14.25" customHeight="1" x14ac:dyDescent="0.3">
      <c r="A1958" s="1">
        <v>44559</v>
      </c>
      <c r="B1958" s="2" t="s">
        <v>268</v>
      </c>
      <c r="C1958" s="2" t="s">
        <v>21</v>
      </c>
      <c r="D1958" s="2" t="s">
        <v>10</v>
      </c>
      <c r="E1958" s="2" t="s">
        <v>14</v>
      </c>
      <c r="F1958" s="2">
        <v>274.77</v>
      </c>
      <c r="G1958" s="2">
        <v>9</v>
      </c>
      <c r="H1958" s="2">
        <v>126.39</v>
      </c>
      <c r="I1958" t="str">
        <f t="shared" si="30"/>
        <v>Dec</v>
      </c>
      <c r="J1958">
        <f>YEAR(datas[[#This Row],[Order Date]])</f>
        <v>2021</v>
      </c>
    </row>
    <row r="1959" spans="1:10" ht="14.25" customHeight="1" x14ac:dyDescent="0.3">
      <c r="A1959" s="1">
        <v>44559</v>
      </c>
      <c r="B1959" s="2" t="s">
        <v>268</v>
      </c>
      <c r="C1959" s="2" t="s">
        <v>21</v>
      </c>
      <c r="D1959" s="2" t="s">
        <v>26</v>
      </c>
      <c r="E1959" s="2" t="s">
        <v>32</v>
      </c>
      <c r="F1959" s="2">
        <v>70.56</v>
      </c>
      <c r="G1959" s="2">
        <v>6</v>
      </c>
      <c r="H1959" s="2">
        <v>23.99</v>
      </c>
      <c r="I1959" t="str">
        <f t="shared" si="30"/>
        <v>Dec</v>
      </c>
      <c r="J1959">
        <f>YEAR(datas[[#This Row],[Order Date]])</f>
        <v>2021</v>
      </c>
    </row>
    <row r="1960" spans="1:10" ht="14.25" customHeight="1" x14ac:dyDescent="0.3">
      <c r="A1960" s="1">
        <v>44559</v>
      </c>
      <c r="B1960" s="2" t="s">
        <v>93</v>
      </c>
      <c r="C1960" s="2" t="s">
        <v>167</v>
      </c>
      <c r="D1960" s="2" t="s">
        <v>28</v>
      </c>
      <c r="E1960" s="2" t="s">
        <v>29</v>
      </c>
      <c r="F1960" s="2">
        <v>23.98</v>
      </c>
      <c r="G1960" s="2">
        <v>3</v>
      </c>
      <c r="H1960" s="2">
        <v>-5.69</v>
      </c>
      <c r="I1960" t="str">
        <f t="shared" si="30"/>
        <v>Dec</v>
      </c>
      <c r="J1960">
        <f>YEAR(datas[[#This Row],[Order Date]])</f>
        <v>2021</v>
      </c>
    </row>
    <row r="1961" spans="1:10" ht="14.25" customHeight="1" x14ac:dyDescent="0.3">
      <c r="A1961" s="1">
        <v>44559</v>
      </c>
      <c r="B1961" s="2" t="s">
        <v>93</v>
      </c>
      <c r="C1961" s="2" t="s">
        <v>167</v>
      </c>
      <c r="D1961" s="2" t="s">
        <v>10</v>
      </c>
      <c r="E1961" s="2" t="s">
        <v>15</v>
      </c>
      <c r="F1961" s="2">
        <v>33.29</v>
      </c>
      <c r="G1961" s="2">
        <v>1</v>
      </c>
      <c r="H1961" s="2">
        <v>7.99</v>
      </c>
      <c r="I1961" t="str">
        <f t="shared" si="30"/>
        <v>Dec</v>
      </c>
      <c r="J1961">
        <f>YEAR(datas[[#This Row],[Order Date]])</f>
        <v>2021</v>
      </c>
    </row>
    <row r="1962" spans="1:10" ht="14.25" customHeight="1" x14ac:dyDescent="0.3">
      <c r="A1962" s="1">
        <v>44559</v>
      </c>
      <c r="B1962" s="2" t="s">
        <v>527</v>
      </c>
      <c r="C1962" s="2" t="s">
        <v>13</v>
      </c>
      <c r="D1962" s="2" t="s">
        <v>26</v>
      </c>
      <c r="E1962" s="2" t="s">
        <v>32</v>
      </c>
      <c r="F1962" s="2">
        <v>38.979999999999997</v>
      </c>
      <c r="G1962" s="2">
        <v>3</v>
      </c>
      <c r="H1962" s="2">
        <v>-50.67</v>
      </c>
      <c r="I1962" t="str">
        <f t="shared" si="30"/>
        <v>Dec</v>
      </c>
      <c r="J1962">
        <f>YEAR(datas[[#This Row],[Order Date]])</f>
        <v>2021</v>
      </c>
    </row>
    <row r="1963" spans="1:10" ht="14.25" customHeight="1" x14ac:dyDescent="0.3">
      <c r="A1963" s="1">
        <v>44559</v>
      </c>
      <c r="B1963" s="2" t="s">
        <v>660</v>
      </c>
      <c r="C1963" s="2" t="s">
        <v>13</v>
      </c>
      <c r="D1963" s="2" t="s">
        <v>26</v>
      </c>
      <c r="E1963" s="2" t="s">
        <v>32</v>
      </c>
      <c r="F1963" s="2">
        <v>8.74</v>
      </c>
      <c r="G1963" s="2">
        <v>3</v>
      </c>
      <c r="H1963" s="2">
        <v>-4.8</v>
      </c>
      <c r="I1963" t="str">
        <f t="shared" si="30"/>
        <v>Dec</v>
      </c>
      <c r="J1963">
        <f>YEAR(datas[[#This Row],[Order Date]])</f>
        <v>2021</v>
      </c>
    </row>
    <row r="1964" spans="1:10" ht="14.25" customHeight="1" x14ac:dyDescent="0.3">
      <c r="A1964" s="1">
        <v>44559</v>
      </c>
      <c r="B1964" s="2" t="s">
        <v>234</v>
      </c>
      <c r="C1964" s="2" t="s">
        <v>21</v>
      </c>
      <c r="D1964" s="2" t="s">
        <v>10</v>
      </c>
      <c r="E1964" s="2" t="s">
        <v>14</v>
      </c>
      <c r="F1964" s="2">
        <v>88.8</v>
      </c>
      <c r="G1964" s="2">
        <v>6</v>
      </c>
      <c r="H1964" s="2">
        <v>44.4</v>
      </c>
      <c r="I1964" t="str">
        <f t="shared" si="30"/>
        <v>Dec</v>
      </c>
      <c r="J1964">
        <f>YEAR(datas[[#This Row],[Order Date]])</f>
        <v>2021</v>
      </c>
    </row>
    <row r="1965" spans="1:10" ht="14.25" customHeight="1" x14ac:dyDescent="0.3">
      <c r="A1965" s="1">
        <v>44559</v>
      </c>
      <c r="B1965" s="2" t="s">
        <v>234</v>
      </c>
      <c r="C1965" s="2" t="s">
        <v>21</v>
      </c>
      <c r="D1965" s="2" t="s">
        <v>28</v>
      </c>
      <c r="E1965" s="2" t="s">
        <v>29</v>
      </c>
      <c r="F1965" s="2">
        <v>319.97000000000003</v>
      </c>
      <c r="G1965" s="2">
        <v>4</v>
      </c>
      <c r="H1965" s="2">
        <v>36</v>
      </c>
      <c r="I1965" t="str">
        <f t="shared" si="30"/>
        <v>Dec</v>
      </c>
      <c r="J1965">
        <f>YEAR(datas[[#This Row],[Order Date]])</f>
        <v>2021</v>
      </c>
    </row>
    <row r="1966" spans="1:10" ht="14.25" customHeight="1" x14ac:dyDescent="0.3">
      <c r="A1966" s="1">
        <v>44559</v>
      </c>
      <c r="B1966" s="2" t="s">
        <v>661</v>
      </c>
      <c r="C1966" s="2" t="s">
        <v>47</v>
      </c>
      <c r="D1966" s="2" t="s">
        <v>10</v>
      </c>
      <c r="E1966" s="2" t="s">
        <v>53</v>
      </c>
      <c r="F1966" s="2">
        <v>48.36</v>
      </c>
      <c r="G1966" s="2">
        <v>5</v>
      </c>
      <c r="H1966" s="2">
        <v>6.05</v>
      </c>
      <c r="I1966" t="str">
        <f t="shared" si="30"/>
        <v>Dec</v>
      </c>
      <c r="J1966">
        <f>YEAR(datas[[#This Row],[Order Date]])</f>
        <v>2021</v>
      </c>
    </row>
    <row r="1967" spans="1:10" ht="14.25" customHeight="1" x14ac:dyDescent="0.3">
      <c r="A1967" s="1">
        <v>44560</v>
      </c>
      <c r="B1967" s="2" t="s">
        <v>662</v>
      </c>
      <c r="C1967" s="2" t="s">
        <v>60</v>
      </c>
      <c r="D1967" s="2" t="s">
        <v>10</v>
      </c>
      <c r="E1967" s="2" t="s">
        <v>19</v>
      </c>
      <c r="F1967" s="2">
        <v>9.84</v>
      </c>
      <c r="G1967" s="2">
        <v>3</v>
      </c>
      <c r="H1967" s="2">
        <v>2.85</v>
      </c>
      <c r="I1967" t="str">
        <f t="shared" si="30"/>
        <v>Dec</v>
      </c>
      <c r="J1967">
        <f>YEAR(datas[[#This Row],[Order Date]])</f>
        <v>2021</v>
      </c>
    </row>
    <row r="1968" spans="1:10" ht="14.25" customHeight="1" x14ac:dyDescent="0.3">
      <c r="A1968" s="1">
        <v>44560</v>
      </c>
      <c r="B1968" s="2" t="s">
        <v>456</v>
      </c>
      <c r="C1968" s="2" t="s">
        <v>9</v>
      </c>
      <c r="D1968" s="2" t="s">
        <v>10</v>
      </c>
      <c r="E1968" s="2" t="s">
        <v>41</v>
      </c>
      <c r="F1968" s="2">
        <v>12.98</v>
      </c>
      <c r="G1968" s="2">
        <v>3</v>
      </c>
      <c r="H1968" s="2">
        <v>4.71</v>
      </c>
      <c r="I1968" t="str">
        <f t="shared" si="30"/>
        <v>Dec</v>
      </c>
      <c r="J1968">
        <f>YEAR(datas[[#This Row],[Order Date]])</f>
        <v>2021</v>
      </c>
    </row>
    <row r="1969" spans="1:10" ht="14.25" customHeight="1" x14ac:dyDescent="0.3">
      <c r="A1969" s="1">
        <v>44560</v>
      </c>
      <c r="B1969" s="2" t="s">
        <v>456</v>
      </c>
      <c r="C1969" s="2" t="s">
        <v>9</v>
      </c>
      <c r="D1969" s="2" t="s">
        <v>28</v>
      </c>
      <c r="E1969" s="2" t="s">
        <v>29</v>
      </c>
      <c r="F1969" s="2">
        <v>217.58</v>
      </c>
      <c r="G1969" s="2">
        <v>2</v>
      </c>
      <c r="H1969" s="2">
        <v>19.04</v>
      </c>
      <c r="I1969" t="str">
        <f t="shared" si="30"/>
        <v>Dec</v>
      </c>
      <c r="J1969">
        <f>YEAR(datas[[#This Row],[Order Date]])</f>
        <v>2021</v>
      </c>
    </row>
    <row r="1970" spans="1:10" ht="14.25" customHeight="1" x14ac:dyDescent="0.3">
      <c r="A1970" s="1">
        <v>44560</v>
      </c>
      <c r="B1970" s="2" t="s">
        <v>456</v>
      </c>
      <c r="C1970" s="2" t="s">
        <v>9</v>
      </c>
      <c r="D1970" s="2" t="s">
        <v>28</v>
      </c>
      <c r="E1970" s="2" t="s">
        <v>29</v>
      </c>
      <c r="F1970" s="2">
        <v>328.78</v>
      </c>
      <c r="G1970" s="2">
        <v>3</v>
      </c>
      <c r="H1970" s="2">
        <v>28.77</v>
      </c>
      <c r="I1970" t="str">
        <f t="shared" si="30"/>
        <v>Dec</v>
      </c>
      <c r="J1970">
        <f>YEAR(datas[[#This Row],[Order Date]])</f>
        <v>2021</v>
      </c>
    </row>
    <row r="1971" spans="1:10" ht="14.25" customHeight="1" x14ac:dyDescent="0.3">
      <c r="A1971" s="1">
        <v>44560</v>
      </c>
      <c r="B1971" s="2" t="s">
        <v>456</v>
      </c>
      <c r="C1971" s="2" t="s">
        <v>9</v>
      </c>
      <c r="D1971" s="2" t="s">
        <v>10</v>
      </c>
      <c r="E1971" s="2" t="s">
        <v>16</v>
      </c>
      <c r="F1971" s="2">
        <v>2.29</v>
      </c>
      <c r="G1971" s="2">
        <v>3</v>
      </c>
      <c r="H1971" s="2">
        <v>-3.66</v>
      </c>
      <c r="I1971" t="str">
        <f t="shared" si="30"/>
        <v>Dec</v>
      </c>
      <c r="J1971">
        <f>YEAR(datas[[#This Row],[Order Date]])</f>
        <v>2021</v>
      </c>
    </row>
    <row r="1972" spans="1:10" ht="14.25" customHeight="1" x14ac:dyDescent="0.3">
      <c r="A1972" s="1">
        <v>44560</v>
      </c>
      <c r="B1972" s="2" t="s">
        <v>456</v>
      </c>
      <c r="C1972" s="2" t="s">
        <v>9</v>
      </c>
      <c r="D1972" s="2" t="s">
        <v>28</v>
      </c>
      <c r="E1972" s="2" t="s">
        <v>34</v>
      </c>
      <c r="F1972" s="2">
        <v>47.98</v>
      </c>
      <c r="G1972" s="2">
        <v>2</v>
      </c>
      <c r="H1972" s="2">
        <v>14.4</v>
      </c>
      <c r="I1972" t="str">
        <f t="shared" si="30"/>
        <v>Dec</v>
      </c>
      <c r="J1972">
        <f>YEAR(datas[[#This Row],[Order Date]])</f>
        <v>2021</v>
      </c>
    </row>
    <row r="1973" spans="1:10" ht="14.25" customHeight="1" x14ac:dyDescent="0.3">
      <c r="A1973" s="1">
        <v>44560</v>
      </c>
      <c r="B1973" s="2" t="s">
        <v>663</v>
      </c>
      <c r="C1973" s="2" t="s">
        <v>55</v>
      </c>
      <c r="D1973" s="2" t="s">
        <v>10</v>
      </c>
      <c r="E1973" s="2" t="s">
        <v>16</v>
      </c>
      <c r="F1973" s="2">
        <v>551.99</v>
      </c>
      <c r="G1973" s="2">
        <v>5</v>
      </c>
      <c r="H1973" s="2">
        <v>-459.99</v>
      </c>
      <c r="I1973" t="str">
        <f t="shared" si="30"/>
        <v>Dec</v>
      </c>
      <c r="J1973">
        <f>YEAR(datas[[#This Row],[Order Date]])</f>
        <v>2021</v>
      </c>
    </row>
    <row r="1974" spans="1:10" ht="14.25" customHeight="1" x14ac:dyDescent="0.3">
      <c r="A1974" s="1">
        <v>44560</v>
      </c>
      <c r="B1974" s="2" t="s">
        <v>90</v>
      </c>
      <c r="C1974" s="2" t="s">
        <v>18</v>
      </c>
      <c r="D1974" s="2" t="s">
        <v>28</v>
      </c>
      <c r="E1974" s="2" t="s">
        <v>34</v>
      </c>
      <c r="F1974" s="2">
        <v>27.97</v>
      </c>
      <c r="G1974" s="2">
        <v>2</v>
      </c>
      <c r="H1974" s="2">
        <v>6.99</v>
      </c>
      <c r="I1974" t="str">
        <f t="shared" si="30"/>
        <v>Dec</v>
      </c>
      <c r="J1974">
        <f>YEAR(datas[[#This Row],[Order Date]])</f>
        <v>2021</v>
      </c>
    </row>
    <row r="1975" spans="1:10" ht="14.25" customHeight="1" x14ac:dyDescent="0.3">
      <c r="A1975" s="1">
        <v>44560</v>
      </c>
      <c r="B1975" s="2" t="s">
        <v>664</v>
      </c>
      <c r="C1975" s="2" t="s">
        <v>18</v>
      </c>
      <c r="D1975" s="2" t="s">
        <v>28</v>
      </c>
      <c r="E1975" s="2" t="s">
        <v>29</v>
      </c>
      <c r="F1975" s="2">
        <v>251.96</v>
      </c>
      <c r="G1975" s="2">
        <v>6</v>
      </c>
      <c r="H1975" s="2">
        <v>-50.39</v>
      </c>
      <c r="I1975" t="str">
        <f t="shared" si="30"/>
        <v>Dec</v>
      </c>
      <c r="J1975">
        <f>YEAR(datas[[#This Row],[Order Date]])</f>
        <v>2021</v>
      </c>
    </row>
    <row r="1976" spans="1:10" ht="14.25" customHeight="1" x14ac:dyDescent="0.3">
      <c r="A1976" s="1">
        <v>44560</v>
      </c>
      <c r="B1976" s="2" t="s">
        <v>664</v>
      </c>
      <c r="C1976" s="2" t="s">
        <v>18</v>
      </c>
      <c r="D1976" s="2" t="s">
        <v>26</v>
      </c>
      <c r="E1976" s="2" t="s">
        <v>73</v>
      </c>
      <c r="F1976" s="2">
        <v>523.76</v>
      </c>
      <c r="G1976" s="2">
        <v>3</v>
      </c>
      <c r="H1976" s="2">
        <v>-192.05</v>
      </c>
      <c r="I1976" t="str">
        <f t="shared" si="30"/>
        <v>Dec</v>
      </c>
      <c r="J1976">
        <f>YEAR(datas[[#This Row],[Order Date]])</f>
        <v>2021</v>
      </c>
    </row>
    <row r="1977" spans="1:10" ht="14.25" customHeight="1" x14ac:dyDescent="0.3">
      <c r="A1977" s="1">
        <v>44560</v>
      </c>
      <c r="B1977" s="2" t="s">
        <v>475</v>
      </c>
      <c r="C1977" s="2" t="s">
        <v>75</v>
      </c>
      <c r="D1977" s="2" t="s">
        <v>10</v>
      </c>
      <c r="E1977" s="2" t="s">
        <v>53</v>
      </c>
      <c r="F1977" s="2">
        <v>122.94</v>
      </c>
      <c r="G1977" s="2">
        <v>3</v>
      </c>
      <c r="H1977" s="2">
        <v>30.74</v>
      </c>
      <c r="I1977" t="str">
        <f t="shared" si="30"/>
        <v>Dec</v>
      </c>
      <c r="J1977">
        <f>YEAR(datas[[#This Row],[Order Date]])</f>
        <v>2021</v>
      </c>
    </row>
    <row r="1978" spans="1:10" ht="14.25" customHeight="1" x14ac:dyDescent="0.3">
      <c r="A1978" s="1">
        <v>44560</v>
      </c>
      <c r="B1978" s="2" t="s">
        <v>475</v>
      </c>
      <c r="C1978" s="2" t="s">
        <v>75</v>
      </c>
      <c r="D1978" s="2" t="s">
        <v>10</v>
      </c>
      <c r="E1978" s="2" t="s">
        <v>16</v>
      </c>
      <c r="F1978" s="2">
        <v>35.450000000000003</v>
      </c>
      <c r="G1978" s="2">
        <v>7</v>
      </c>
      <c r="H1978" s="2">
        <v>12.85</v>
      </c>
      <c r="I1978" t="str">
        <f t="shared" si="30"/>
        <v>Dec</v>
      </c>
      <c r="J1978">
        <f>YEAR(datas[[#This Row],[Order Date]])</f>
        <v>2021</v>
      </c>
    </row>
    <row r="1979" spans="1:10" ht="14.25" customHeight="1" x14ac:dyDescent="0.3">
      <c r="A1979" s="1">
        <v>44560</v>
      </c>
      <c r="B1979" s="2" t="s">
        <v>177</v>
      </c>
      <c r="C1979" s="2" t="s">
        <v>62</v>
      </c>
      <c r="D1979" s="2" t="s">
        <v>10</v>
      </c>
      <c r="E1979" s="2" t="s">
        <v>15</v>
      </c>
      <c r="F1979" s="2">
        <v>39.130000000000003</v>
      </c>
      <c r="G1979" s="2">
        <v>1</v>
      </c>
      <c r="H1979" s="2">
        <v>-8.8000000000000007</v>
      </c>
      <c r="I1979" t="str">
        <f t="shared" si="30"/>
        <v>Dec</v>
      </c>
      <c r="J1979">
        <f>YEAR(datas[[#This Row],[Order Date]])</f>
        <v>2021</v>
      </c>
    </row>
    <row r="1980" spans="1:10" ht="14.25" customHeight="1" x14ac:dyDescent="0.3">
      <c r="A1980" s="1">
        <v>44561</v>
      </c>
      <c r="B1980" s="2" t="s">
        <v>665</v>
      </c>
      <c r="C1980" s="2" t="s">
        <v>75</v>
      </c>
      <c r="D1980" s="2" t="s">
        <v>26</v>
      </c>
      <c r="E1980" s="2" t="s">
        <v>45</v>
      </c>
      <c r="F1980" s="2">
        <v>1573.49</v>
      </c>
      <c r="G1980" s="2">
        <v>7</v>
      </c>
      <c r="H1980" s="2">
        <v>196.69</v>
      </c>
      <c r="I1980" t="str">
        <f t="shared" si="30"/>
        <v>Dec</v>
      </c>
      <c r="J1980">
        <f>YEAR(datas[[#This Row],[Order Date]])</f>
        <v>2021</v>
      </c>
    </row>
    <row r="1981" spans="1:10" ht="14.25" customHeight="1" x14ac:dyDescent="0.3">
      <c r="A1981" s="1">
        <v>44561</v>
      </c>
      <c r="B1981" s="2" t="s">
        <v>342</v>
      </c>
      <c r="C1981" s="2" t="s">
        <v>91</v>
      </c>
      <c r="D1981" s="2" t="s">
        <v>10</v>
      </c>
      <c r="E1981" s="2" t="s">
        <v>19</v>
      </c>
      <c r="F1981" s="2">
        <v>29.68</v>
      </c>
      <c r="G1981" s="2">
        <v>7</v>
      </c>
      <c r="H1981" s="2">
        <v>11.58</v>
      </c>
      <c r="I1981" t="str">
        <f t="shared" si="30"/>
        <v>Dec</v>
      </c>
      <c r="J1981">
        <f>YEAR(datas[[#This Row],[Order Date]])</f>
        <v>2021</v>
      </c>
    </row>
    <row r="1982" spans="1:10" ht="14.25" customHeight="1" x14ac:dyDescent="0.3">
      <c r="A1982" s="1">
        <v>44561</v>
      </c>
      <c r="B1982" s="2" t="s">
        <v>342</v>
      </c>
      <c r="C1982" s="2" t="s">
        <v>91</v>
      </c>
      <c r="D1982" s="2" t="s">
        <v>28</v>
      </c>
      <c r="E1982" s="2" t="s">
        <v>34</v>
      </c>
      <c r="F1982" s="2">
        <v>47.53</v>
      </c>
      <c r="G1982" s="2">
        <v>7</v>
      </c>
      <c r="H1982" s="2">
        <v>16.16</v>
      </c>
      <c r="I1982" t="str">
        <f t="shared" si="30"/>
        <v>Dec</v>
      </c>
      <c r="J1982">
        <f>YEAR(datas[[#This Row],[Order Date]])</f>
        <v>2021</v>
      </c>
    </row>
    <row r="1983" spans="1:10" ht="14.25" customHeight="1" x14ac:dyDescent="0.3">
      <c r="A1983" s="1">
        <v>44561</v>
      </c>
      <c r="B1983" s="2" t="s">
        <v>208</v>
      </c>
      <c r="C1983" s="2" t="s">
        <v>181</v>
      </c>
      <c r="D1983" s="2" t="s">
        <v>26</v>
      </c>
      <c r="E1983" s="2" t="s">
        <v>32</v>
      </c>
      <c r="F1983" s="2">
        <v>63.2</v>
      </c>
      <c r="G1983" s="2">
        <v>5</v>
      </c>
      <c r="H1983" s="2">
        <v>23.38</v>
      </c>
      <c r="I1983" t="str">
        <f t="shared" si="30"/>
        <v>Dec</v>
      </c>
      <c r="J1983">
        <f>YEAR(datas[[#This Row],[Order Date]])</f>
        <v>2021</v>
      </c>
    </row>
    <row r="1984" spans="1:10" ht="14.25" customHeight="1" x14ac:dyDescent="0.3">
      <c r="A1984" s="1">
        <v>44561</v>
      </c>
      <c r="B1984" s="2" t="s">
        <v>208</v>
      </c>
      <c r="C1984" s="2" t="s">
        <v>181</v>
      </c>
      <c r="D1984" s="2" t="s">
        <v>28</v>
      </c>
      <c r="E1984" s="2" t="s">
        <v>34</v>
      </c>
      <c r="F1984" s="2">
        <v>113.97</v>
      </c>
      <c r="G1984" s="2">
        <v>3</v>
      </c>
      <c r="H1984" s="2">
        <v>27.35</v>
      </c>
      <c r="I1984" t="str">
        <f t="shared" si="30"/>
        <v>Dec</v>
      </c>
      <c r="J1984">
        <f>YEAR(datas[[#This Row],[Order Date]])</f>
        <v>2021</v>
      </c>
    </row>
    <row r="1985" spans="1:10" ht="14.25" customHeight="1" x14ac:dyDescent="0.3">
      <c r="A1985" s="1">
        <v>44561</v>
      </c>
      <c r="B1985" s="2" t="s">
        <v>579</v>
      </c>
      <c r="C1985" s="2" t="s">
        <v>9</v>
      </c>
      <c r="D1985" s="2" t="s">
        <v>10</v>
      </c>
      <c r="E1985" s="2" t="s">
        <v>41</v>
      </c>
      <c r="F1985" s="2">
        <v>49.57</v>
      </c>
      <c r="G1985" s="2">
        <v>2</v>
      </c>
      <c r="H1985" s="2">
        <v>17.97</v>
      </c>
      <c r="I1985" t="str">
        <f t="shared" si="30"/>
        <v>Dec</v>
      </c>
      <c r="J1985">
        <f>YEAR(datas[[#This Row],[Order Date]])</f>
        <v>2021</v>
      </c>
    </row>
    <row r="1986" spans="1:10" ht="14.25" customHeight="1" x14ac:dyDescent="0.3">
      <c r="A1986" s="1">
        <v>44561</v>
      </c>
      <c r="B1986" s="2" t="s">
        <v>375</v>
      </c>
      <c r="C1986" s="2" t="s">
        <v>553</v>
      </c>
      <c r="D1986" s="2" t="s">
        <v>10</v>
      </c>
      <c r="E1986" s="2" t="s">
        <v>11</v>
      </c>
      <c r="F1986" s="2">
        <v>195.64</v>
      </c>
      <c r="G1986" s="2">
        <v>4</v>
      </c>
      <c r="H1986" s="2">
        <v>91.95</v>
      </c>
      <c r="I1986" t="str">
        <f t="shared" si="30"/>
        <v>Dec</v>
      </c>
      <c r="J1986">
        <f>YEAR(datas[[#This Row],[Order Date]])</f>
        <v>2021</v>
      </c>
    </row>
    <row r="1987" spans="1:10" ht="14.25" customHeight="1" x14ac:dyDescent="0.3">
      <c r="A1987" s="1">
        <v>44561</v>
      </c>
      <c r="B1987" s="2" t="s">
        <v>375</v>
      </c>
      <c r="C1987" s="2" t="s">
        <v>553</v>
      </c>
      <c r="D1987" s="2" t="s">
        <v>10</v>
      </c>
      <c r="E1987" s="2" t="s">
        <v>11</v>
      </c>
      <c r="F1987" s="2">
        <v>14.94</v>
      </c>
      <c r="G1987" s="2">
        <v>3</v>
      </c>
      <c r="H1987" s="2">
        <v>7.02</v>
      </c>
      <c r="I1987" t="str">
        <f t="shared" ref="I1987:I2050" si="31">TEXT(A1987,"mmm")</f>
        <v>Dec</v>
      </c>
      <c r="J1987">
        <f>YEAR(datas[[#This Row],[Order Date]])</f>
        <v>2021</v>
      </c>
    </row>
    <row r="1988" spans="1:10" ht="14.25" customHeight="1" x14ac:dyDescent="0.3">
      <c r="A1988" s="1">
        <v>44561</v>
      </c>
      <c r="B1988" s="2" t="s">
        <v>375</v>
      </c>
      <c r="C1988" s="2" t="s">
        <v>553</v>
      </c>
      <c r="D1988" s="2" t="s">
        <v>28</v>
      </c>
      <c r="E1988" s="2" t="s">
        <v>34</v>
      </c>
      <c r="F1988" s="2">
        <v>1687.8</v>
      </c>
      <c r="G1988" s="2">
        <v>4</v>
      </c>
      <c r="H1988" s="2">
        <v>742.63</v>
      </c>
      <c r="I1988" t="str">
        <f t="shared" si="31"/>
        <v>Dec</v>
      </c>
      <c r="J1988">
        <f>YEAR(datas[[#This Row],[Order Date]])</f>
        <v>2021</v>
      </c>
    </row>
    <row r="1989" spans="1:10" ht="14.25" customHeight="1" x14ac:dyDescent="0.3">
      <c r="A1989" s="1">
        <v>44561</v>
      </c>
      <c r="B1989" s="2" t="s">
        <v>375</v>
      </c>
      <c r="C1989" s="2" t="s">
        <v>553</v>
      </c>
      <c r="D1989" s="2" t="s">
        <v>26</v>
      </c>
      <c r="E1989" s="2" t="s">
        <v>45</v>
      </c>
      <c r="F1989" s="2">
        <v>341.96</v>
      </c>
      <c r="G1989" s="2">
        <v>2</v>
      </c>
      <c r="H1989" s="2">
        <v>78.650000000000006</v>
      </c>
      <c r="I1989" t="str">
        <f t="shared" si="31"/>
        <v>Dec</v>
      </c>
      <c r="J1989">
        <f>YEAR(datas[[#This Row],[Order Date]])</f>
        <v>2021</v>
      </c>
    </row>
    <row r="1990" spans="1:10" ht="14.25" customHeight="1" x14ac:dyDescent="0.3">
      <c r="A1990" s="1">
        <v>44561</v>
      </c>
      <c r="B1990" s="2" t="s">
        <v>375</v>
      </c>
      <c r="C1990" s="2" t="s">
        <v>553</v>
      </c>
      <c r="D1990" s="2" t="s">
        <v>26</v>
      </c>
      <c r="E1990" s="2" t="s">
        <v>27</v>
      </c>
      <c r="F1990" s="2">
        <v>605.88</v>
      </c>
      <c r="G1990" s="2">
        <v>6</v>
      </c>
      <c r="H1990" s="2">
        <v>151.47</v>
      </c>
      <c r="I1990" t="str">
        <f t="shared" si="31"/>
        <v>Dec</v>
      </c>
      <c r="J1990">
        <f>YEAR(datas[[#This Row],[Order Date]])</f>
        <v>2021</v>
      </c>
    </row>
    <row r="1991" spans="1:10" ht="14.25" customHeight="1" x14ac:dyDescent="0.3">
      <c r="A1991" s="1">
        <v>44561</v>
      </c>
      <c r="B1991" s="2" t="s">
        <v>666</v>
      </c>
      <c r="C1991" s="2" t="s">
        <v>66</v>
      </c>
      <c r="D1991" s="2" t="s">
        <v>28</v>
      </c>
      <c r="E1991" s="2" t="s">
        <v>29</v>
      </c>
      <c r="F1991" s="2">
        <v>475.94</v>
      </c>
      <c r="G1991" s="2">
        <v>7</v>
      </c>
      <c r="H1991" s="2">
        <v>59.49</v>
      </c>
      <c r="I1991" t="str">
        <f t="shared" si="31"/>
        <v>Dec</v>
      </c>
      <c r="J1991">
        <f>YEAR(datas[[#This Row],[Order Date]])</f>
        <v>2021</v>
      </c>
    </row>
    <row r="1992" spans="1:10" ht="14.25" customHeight="1" x14ac:dyDescent="0.3">
      <c r="A1992" s="1">
        <v>44561</v>
      </c>
      <c r="B1992" s="2" t="s">
        <v>224</v>
      </c>
      <c r="C1992" s="2" t="s">
        <v>75</v>
      </c>
      <c r="D1992" s="2" t="s">
        <v>28</v>
      </c>
      <c r="E1992" s="2" t="s">
        <v>34</v>
      </c>
      <c r="F1992" s="2">
        <v>34.770000000000003</v>
      </c>
      <c r="G1992" s="2">
        <v>3</v>
      </c>
      <c r="H1992" s="2">
        <v>11.47</v>
      </c>
      <c r="I1992" t="str">
        <f t="shared" si="31"/>
        <v>Dec</v>
      </c>
      <c r="J1992">
        <f>YEAR(datas[[#This Row],[Order Date]])</f>
        <v>2021</v>
      </c>
    </row>
    <row r="1993" spans="1:10" ht="14.25" customHeight="1" x14ac:dyDescent="0.3">
      <c r="A1993" s="1">
        <v>44561</v>
      </c>
      <c r="B1993" s="2" t="s">
        <v>224</v>
      </c>
      <c r="C1993" s="2" t="s">
        <v>75</v>
      </c>
      <c r="D1993" s="2" t="s">
        <v>10</v>
      </c>
      <c r="E1993" s="2" t="s">
        <v>14</v>
      </c>
      <c r="F1993" s="2">
        <v>18.899999999999999</v>
      </c>
      <c r="G1993" s="2">
        <v>3</v>
      </c>
      <c r="H1993" s="2">
        <v>8.69</v>
      </c>
      <c r="I1993" t="str">
        <f t="shared" si="31"/>
        <v>Dec</v>
      </c>
      <c r="J1993">
        <f>YEAR(datas[[#This Row],[Order Date]])</f>
        <v>2021</v>
      </c>
    </row>
    <row r="1994" spans="1:10" ht="14.25" customHeight="1" x14ac:dyDescent="0.3">
      <c r="A1994" s="1">
        <v>44563</v>
      </c>
      <c r="B1994" s="2" t="s">
        <v>263</v>
      </c>
      <c r="C1994" s="2" t="s">
        <v>47</v>
      </c>
      <c r="D1994" s="2" t="s">
        <v>10</v>
      </c>
      <c r="E1994" s="2" t="s">
        <v>14</v>
      </c>
      <c r="F1994" s="2">
        <v>23.68</v>
      </c>
      <c r="G1994" s="2">
        <v>2</v>
      </c>
      <c r="H1994" s="2">
        <v>8.8800000000000008</v>
      </c>
      <c r="I1994" t="str">
        <f t="shared" si="31"/>
        <v>Jan</v>
      </c>
      <c r="J1994">
        <f>YEAR(datas[[#This Row],[Order Date]])</f>
        <v>2022</v>
      </c>
    </row>
    <row r="1995" spans="1:10" ht="14.25" customHeight="1" x14ac:dyDescent="0.3">
      <c r="A1995" s="1">
        <v>44563</v>
      </c>
      <c r="B1995" s="2" t="s">
        <v>263</v>
      </c>
      <c r="C1995" s="2" t="s">
        <v>47</v>
      </c>
      <c r="D1995" s="2" t="s">
        <v>26</v>
      </c>
      <c r="E1995" s="2" t="s">
        <v>45</v>
      </c>
      <c r="F1995" s="2">
        <v>452.45</v>
      </c>
      <c r="G1995" s="2">
        <v>5</v>
      </c>
      <c r="H1995" s="2">
        <v>-244.32</v>
      </c>
      <c r="I1995" t="str">
        <f t="shared" si="31"/>
        <v>Jan</v>
      </c>
      <c r="J1995">
        <f>YEAR(datas[[#This Row],[Order Date]])</f>
        <v>2022</v>
      </c>
    </row>
    <row r="1996" spans="1:10" ht="14.25" customHeight="1" x14ac:dyDescent="0.3">
      <c r="A1996" s="1">
        <v>44563</v>
      </c>
      <c r="B1996" s="2" t="s">
        <v>263</v>
      </c>
      <c r="C1996" s="2" t="s">
        <v>47</v>
      </c>
      <c r="D1996" s="2" t="s">
        <v>28</v>
      </c>
      <c r="E1996" s="2" t="s">
        <v>29</v>
      </c>
      <c r="F1996" s="2">
        <v>62.98</v>
      </c>
      <c r="G1996" s="2">
        <v>3</v>
      </c>
      <c r="H1996" s="2">
        <v>-14.7</v>
      </c>
      <c r="I1996" t="str">
        <f t="shared" si="31"/>
        <v>Jan</v>
      </c>
      <c r="J1996">
        <f>YEAR(datas[[#This Row],[Order Date]])</f>
        <v>2022</v>
      </c>
    </row>
    <row r="1997" spans="1:10" ht="14.25" customHeight="1" x14ac:dyDescent="0.3">
      <c r="A1997" s="1">
        <v>44563</v>
      </c>
      <c r="B1997" s="2" t="s">
        <v>263</v>
      </c>
      <c r="C1997" s="2" t="s">
        <v>47</v>
      </c>
      <c r="D1997" s="2" t="s">
        <v>28</v>
      </c>
      <c r="E1997" s="2" t="s">
        <v>136</v>
      </c>
      <c r="F1997" s="2">
        <v>1188</v>
      </c>
      <c r="G1997" s="2">
        <v>9</v>
      </c>
      <c r="H1997" s="2">
        <v>-950.4</v>
      </c>
      <c r="I1997" t="str">
        <f t="shared" si="31"/>
        <v>Jan</v>
      </c>
      <c r="J1997">
        <f>YEAR(datas[[#This Row],[Order Date]])</f>
        <v>2022</v>
      </c>
    </row>
    <row r="1998" spans="1:10" ht="14.25" customHeight="1" x14ac:dyDescent="0.3">
      <c r="A1998" s="1">
        <v>44563</v>
      </c>
      <c r="B1998" s="2" t="s">
        <v>263</v>
      </c>
      <c r="C1998" s="2" t="s">
        <v>47</v>
      </c>
      <c r="D1998" s="2" t="s">
        <v>28</v>
      </c>
      <c r="E1998" s="2" t="s">
        <v>34</v>
      </c>
      <c r="F1998" s="2">
        <v>89.58</v>
      </c>
      <c r="G1998" s="2">
        <v>2</v>
      </c>
      <c r="H1998" s="2">
        <v>4.4800000000000004</v>
      </c>
      <c r="I1998" t="str">
        <f t="shared" si="31"/>
        <v>Jan</v>
      </c>
      <c r="J1998">
        <f>YEAR(datas[[#This Row],[Order Date]])</f>
        <v>2022</v>
      </c>
    </row>
    <row r="1999" spans="1:10" ht="14.25" customHeight="1" x14ac:dyDescent="0.3">
      <c r="A1999" s="1">
        <v>44563</v>
      </c>
      <c r="B1999" s="2" t="s">
        <v>667</v>
      </c>
      <c r="C1999" s="2" t="s">
        <v>38</v>
      </c>
      <c r="D1999" s="2" t="s">
        <v>10</v>
      </c>
      <c r="E1999" s="2" t="s">
        <v>15</v>
      </c>
      <c r="F1999" s="2">
        <v>85.52</v>
      </c>
      <c r="G1999" s="2">
        <v>2</v>
      </c>
      <c r="H1999" s="2">
        <v>22.24</v>
      </c>
      <c r="I1999" t="str">
        <f t="shared" si="31"/>
        <v>Jan</v>
      </c>
      <c r="J1999">
        <f>YEAR(datas[[#This Row],[Order Date]])</f>
        <v>2022</v>
      </c>
    </row>
    <row r="2000" spans="1:10" ht="14.25" customHeight="1" x14ac:dyDescent="0.3">
      <c r="A2000" s="1">
        <v>44563</v>
      </c>
      <c r="B2000" s="2" t="s">
        <v>667</v>
      </c>
      <c r="C2000" s="2" t="s">
        <v>38</v>
      </c>
      <c r="D2000" s="2" t="s">
        <v>10</v>
      </c>
      <c r="E2000" s="2" t="s">
        <v>19</v>
      </c>
      <c r="F2000" s="2">
        <v>9.84</v>
      </c>
      <c r="G2000" s="2">
        <v>3</v>
      </c>
      <c r="H2000" s="2">
        <v>2.66</v>
      </c>
      <c r="I2000" t="str">
        <f t="shared" si="31"/>
        <v>Jan</v>
      </c>
      <c r="J2000">
        <f>YEAR(datas[[#This Row],[Order Date]])</f>
        <v>2022</v>
      </c>
    </row>
    <row r="2001" spans="1:10" ht="14.25" customHeight="1" x14ac:dyDescent="0.3">
      <c r="A2001" s="1">
        <v>44563</v>
      </c>
      <c r="B2001" s="2" t="s">
        <v>667</v>
      </c>
      <c r="C2001" s="2" t="s">
        <v>38</v>
      </c>
      <c r="D2001" s="2" t="s">
        <v>10</v>
      </c>
      <c r="E2001" s="2" t="s">
        <v>11</v>
      </c>
      <c r="F2001" s="2">
        <v>20.04</v>
      </c>
      <c r="G2001" s="2">
        <v>3</v>
      </c>
      <c r="H2001" s="2">
        <v>9.6199999999999992</v>
      </c>
      <c r="I2001" t="str">
        <f t="shared" si="31"/>
        <v>Jan</v>
      </c>
      <c r="J2001">
        <f>YEAR(datas[[#This Row],[Order Date]])</f>
        <v>2022</v>
      </c>
    </row>
    <row r="2002" spans="1:10" ht="14.25" customHeight="1" x14ac:dyDescent="0.3">
      <c r="A2002" s="1">
        <v>44564</v>
      </c>
      <c r="B2002" s="2" t="s">
        <v>543</v>
      </c>
      <c r="C2002" s="2" t="s">
        <v>9</v>
      </c>
      <c r="D2002" s="2" t="s">
        <v>10</v>
      </c>
      <c r="E2002" s="2" t="s">
        <v>11</v>
      </c>
      <c r="F2002" s="2">
        <v>10.37</v>
      </c>
      <c r="G2002" s="2">
        <v>2</v>
      </c>
      <c r="H2002" s="2">
        <v>3.63</v>
      </c>
      <c r="I2002" t="str">
        <f t="shared" si="31"/>
        <v>Jan</v>
      </c>
      <c r="J2002">
        <f>YEAR(datas[[#This Row],[Order Date]])</f>
        <v>2022</v>
      </c>
    </row>
    <row r="2003" spans="1:10" ht="14.25" customHeight="1" x14ac:dyDescent="0.3">
      <c r="A2003" s="1">
        <v>44564</v>
      </c>
      <c r="B2003" s="2" t="s">
        <v>668</v>
      </c>
      <c r="C2003" s="2" t="s">
        <v>9</v>
      </c>
      <c r="D2003" s="2" t="s">
        <v>28</v>
      </c>
      <c r="E2003" s="2" t="s">
        <v>34</v>
      </c>
      <c r="F2003" s="2">
        <v>398.4</v>
      </c>
      <c r="G2003" s="2">
        <v>5</v>
      </c>
      <c r="H2003" s="2">
        <v>84.66</v>
      </c>
      <c r="I2003" t="str">
        <f t="shared" si="31"/>
        <v>Jan</v>
      </c>
      <c r="J2003">
        <f>YEAR(datas[[#This Row],[Order Date]])</f>
        <v>2022</v>
      </c>
    </row>
    <row r="2004" spans="1:10" ht="14.25" customHeight="1" x14ac:dyDescent="0.3">
      <c r="A2004" s="1">
        <v>44564</v>
      </c>
      <c r="B2004" s="2" t="s">
        <v>668</v>
      </c>
      <c r="C2004" s="2" t="s">
        <v>9</v>
      </c>
      <c r="D2004" s="2" t="s">
        <v>10</v>
      </c>
      <c r="E2004" s="2" t="s">
        <v>19</v>
      </c>
      <c r="F2004" s="2">
        <v>7.06</v>
      </c>
      <c r="G2004" s="2">
        <v>3</v>
      </c>
      <c r="H2004" s="2">
        <v>0.79</v>
      </c>
      <c r="I2004" t="str">
        <f t="shared" si="31"/>
        <v>Jan</v>
      </c>
      <c r="J2004">
        <f>YEAR(datas[[#This Row],[Order Date]])</f>
        <v>2022</v>
      </c>
    </row>
    <row r="2005" spans="1:10" ht="14.25" customHeight="1" x14ac:dyDescent="0.3">
      <c r="A2005" s="1">
        <v>44564</v>
      </c>
      <c r="B2005" s="2" t="s">
        <v>668</v>
      </c>
      <c r="C2005" s="2" t="s">
        <v>9</v>
      </c>
      <c r="D2005" s="2" t="s">
        <v>26</v>
      </c>
      <c r="E2005" s="2" t="s">
        <v>45</v>
      </c>
      <c r="F2005" s="2">
        <v>1352.4</v>
      </c>
      <c r="G2005" s="2">
        <v>9</v>
      </c>
      <c r="H2005" s="2">
        <v>-437.54</v>
      </c>
      <c r="I2005" t="str">
        <f t="shared" si="31"/>
        <v>Jan</v>
      </c>
      <c r="J2005">
        <f>YEAR(datas[[#This Row],[Order Date]])</f>
        <v>2022</v>
      </c>
    </row>
    <row r="2006" spans="1:10" ht="14.25" customHeight="1" x14ac:dyDescent="0.3">
      <c r="A2006" s="1">
        <v>44565</v>
      </c>
      <c r="B2006" s="2" t="s">
        <v>39</v>
      </c>
      <c r="C2006" s="2" t="s">
        <v>140</v>
      </c>
      <c r="D2006" s="2" t="s">
        <v>10</v>
      </c>
      <c r="E2006" s="2" t="s">
        <v>16</v>
      </c>
      <c r="F2006" s="2">
        <v>32.340000000000003</v>
      </c>
      <c r="G2006" s="2">
        <v>3</v>
      </c>
      <c r="H2006" s="2">
        <v>15.52</v>
      </c>
      <c r="I2006" t="str">
        <f t="shared" si="31"/>
        <v>Jan</v>
      </c>
      <c r="J2006">
        <f>YEAR(datas[[#This Row],[Order Date]])</f>
        <v>2022</v>
      </c>
    </row>
    <row r="2007" spans="1:10" ht="14.25" customHeight="1" x14ac:dyDescent="0.3">
      <c r="A2007" s="1">
        <v>44565</v>
      </c>
      <c r="B2007" s="2" t="s">
        <v>39</v>
      </c>
      <c r="C2007" s="2" t="s">
        <v>140</v>
      </c>
      <c r="D2007" s="2" t="s">
        <v>10</v>
      </c>
      <c r="E2007" s="2" t="s">
        <v>11</v>
      </c>
      <c r="F2007" s="2">
        <v>39.9</v>
      </c>
      <c r="G2007" s="2">
        <v>5</v>
      </c>
      <c r="H2007" s="2">
        <v>19.95</v>
      </c>
      <c r="I2007" t="str">
        <f t="shared" si="31"/>
        <v>Jan</v>
      </c>
      <c r="J2007">
        <f>YEAR(datas[[#This Row],[Order Date]])</f>
        <v>2022</v>
      </c>
    </row>
    <row r="2008" spans="1:10" ht="14.25" customHeight="1" x14ac:dyDescent="0.3">
      <c r="A2008" s="1">
        <v>44565</v>
      </c>
      <c r="B2008" s="2" t="s">
        <v>669</v>
      </c>
      <c r="C2008" s="2" t="s">
        <v>36</v>
      </c>
      <c r="D2008" s="2" t="s">
        <v>26</v>
      </c>
      <c r="E2008" s="2" t="s">
        <v>32</v>
      </c>
      <c r="F2008" s="2">
        <v>192.22</v>
      </c>
      <c r="G2008" s="2">
        <v>14</v>
      </c>
      <c r="H2008" s="2">
        <v>69.2</v>
      </c>
      <c r="I2008" t="str">
        <f t="shared" si="31"/>
        <v>Jan</v>
      </c>
      <c r="J2008">
        <f>YEAR(datas[[#This Row],[Order Date]])</f>
        <v>2022</v>
      </c>
    </row>
    <row r="2009" spans="1:10" ht="14.25" customHeight="1" x14ac:dyDescent="0.3">
      <c r="A2009" s="1">
        <v>44566</v>
      </c>
      <c r="B2009" s="2" t="s">
        <v>101</v>
      </c>
      <c r="C2009" s="2" t="s">
        <v>82</v>
      </c>
      <c r="D2009" s="2" t="s">
        <v>26</v>
      </c>
      <c r="E2009" s="2" t="s">
        <v>27</v>
      </c>
      <c r="F2009" s="2">
        <v>61.58</v>
      </c>
      <c r="G2009" s="2">
        <v>1</v>
      </c>
      <c r="H2009" s="2">
        <v>-6.93</v>
      </c>
      <c r="I2009" t="str">
        <f t="shared" si="31"/>
        <v>Jan</v>
      </c>
      <c r="J2009">
        <f>YEAR(datas[[#This Row],[Order Date]])</f>
        <v>2022</v>
      </c>
    </row>
    <row r="2010" spans="1:10" ht="14.25" customHeight="1" x14ac:dyDescent="0.3">
      <c r="A2010" s="1">
        <v>44566</v>
      </c>
      <c r="B2010" s="2" t="s">
        <v>262</v>
      </c>
      <c r="C2010" s="2" t="s">
        <v>75</v>
      </c>
      <c r="D2010" s="2" t="s">
        <v>10</v>
      </c>
      <c r="E2010" s="2" t="s">
        <v>19</v>
      </c>
      <c r="F2010" s="2">
        <v>59.52</v>
      </c>
      <c r="G2010" s="2">
        <v>3</v>
      </c>
      <c r="H2010" s="2">
        <v>15.48</v>
      </c>
      <c r="I2010" t="str">
        <f t="shared" si="31"/>
        <v>Jan</v>
      </c>
      <c r="J2010">
        <f>YEAR(datas[[#This Row],[Order Date]])</f>
        <v>2022</v>
      </c>
    </row>
    <row r="2011" spans="1:10" ht="14.25" customHeight="1" x14ac:dyDescent="0.3">
      <c r="A2011" s="1">
        <v>44566</v>
      </c>
      <c r="B2011" s="2" t="s">
        <v>262</v>
      </c>
      <c r="C2011" s="2" t="s">
        <v>75</v>
      </c>
      <c r="D2011" s="2" t="s">
        <v>10</v>
      </c>
      <c r="E2011" s="2" t="s">
        <v>41</v>
      </c>
      <c r="F2011" s="2">
        <v>17.48</v>
      </c>
      <c r="G2011" s="2">
        <v>2</v>
      </c>
      <c r="H2011" s="2">
        <v>8.2200000000000006</v>
      </c>
      <c r="I2011" t="str">
        <f t="shared" si="31"/>
        <v>Jan</v>
      </c>
      <c r="J2011">
        <f>YEAR(datas[[#This Row],[Order Date]])</f>
        <v>2022</v>
      </c>
    </row>
    <row r="2012" spans="1:10" ht="14.25" customHeight="1" x14ac:dyDescent="0.3">
      <c r="A2012" s="1">
        <v>44566</v>
      </c>
      <c r="B2012" s="2" t="s">
        <v>262</v>
      </c>
      <c r="C2012" s="2" t="s">
        <v>75</v>
      </c>
      <c r="D2012" s="2" t="s">
        <v>10</v>
      </c>
      <c r="E2012" s="2" t="s">
        <v>16</v>
      </c>
      <c r="F2012" s="2">
        <v>13.17</v>
      </c>
      <c r="G2012" s="2">
        <v>2</v>
      </c>
      <c r="H2012" s="2">
        <v>4.6100000000000003</v>
      </c>
      <c r="I2012" t="str">
        <f t="shared" si="31"/>
        <v>Jan</v>
      </c>
      <c r="J2012">
        <f>YEAR(datas[[#This Row],[Order Date]])</f>
        <v>2022</v>
      </c>
    </row>
    <row r="2013" spans="1:10" ht="14.25" customHeight="1" x14ac:dyDescent="0.3">
      <c r="A2013" s="1">
        <v>44566</v>
      </c>
      <c r="B2013" s="2" t="s">
        <v>666</v>
      </c>
      <c r="C2013" s="2" t="s">
        <v>21</v>
      </c>
      <c r="D2013" s="2" t="s">
        <v>10</v>
      </c>
      <c r="E2013" s="2" t="s">
        <v>53</v>
      </c>
      <c r="F2013" s="2">
        <v>87.36</v>
      </c>
      <c r="G2013" s="2">
        <v>6</v>
      </c>
      <c r="H2013" s="2">
        <v>23.59</v>
      </c>
      <c r="I2013" t="str">
        <f t="shared" si="31"/>
        <v>Jan</v>
      </c>
      <c r="J2013">
        <f>YEAR(datas[[#This Row],[Order Date]])</f>
        <v>2022</v>
      </c>
    </row>
    <row r="2014" spans="1:10" ht="14.25" customHeight="1" x14ac:dyDescent="0.3">
      <c r="A2014" s="1">
        <v>44566</v>
      </c>
      <c r="B2014" s="2" t="s">
        <v>666</v>
      </c>
      <c r="C2014" s="2" t="s">
        <v>21</v>
      </c>
      <c r="D2014" s="2" t="s">
        <v>10</v>
      </c>
      <c r="E2014" s="2" t="s">
        <v>16</v>
      </c>
      <c r="F2014" s="2">
        <v>56.16</v>
      </c>
      <c r="G2014" s="2">
        <v>6</v>
      </c>
      <c r="H2014" s="2">
        <v>17.55</v>
      </c>
      <c r="I2014" t="str">
        <f t="shared" si="31"/>
        <v>Jan</v>
      </c>
      <c r="J2014">
        <f>YEAR(datas[[#This Row],[Order Date]])</f>
        <v>2022</v>
      </c>
    </row>
    <row r="2015" spans="1:10" ht="14.25" customHeight="1" x14ac:dyDescent="0.3">
      <c r="A2015" s="1">
        <v>44567</v>
      </c>
      <c r="B2015" s="2" t="s">
        <v>456</v>
      </c>
      <c r="C2015" s="2" t="s">
        <v>126</v>
      </c>
      <c r="D2015" s="2" t="s">
        <v>10</v>
      </c>
      <c r="E2015" s="2" t="s">
        <v>11</v>
      </c>
      <c r="F2015" s="2">
        <v>29.6</v>
      </c>
      <c r="G2015" s="2">
        <v>5</v>
      </c>
      <c r="H2015" s="2">
        <v>9.25</v>
      </c>
      <c r="I2015" t="str">
        <f t="shared" si="31"/>
        <v>Jan</v>
      </c>
      <c r="J2015">
        <f>YEAR(datas[[#This Row],[Order Date]])</f>
        <v>2022</v>
      </c>
    </row>
    <row r="2016" spans="1:10" ht="14.25" customHeight="1" x14ac:dyDescent="0.3">
      <c r="A2016" s="1">
        <v>44567</v>
      </c>
      <c r="B2016" s="2" t="s">
        <v>456</v>
      </c>
      <c r="C2016" s="2" t="s">
        <v>126</v>
      </c>
      <c r="D2016" s="2" t="s">
        <v>10</v>
      </c>
      <c r="E2016" s="2" t="s">
        <v>16</v>
      </c>
      <c r="F2016" s="2">
        <v>1.94</v>
      </c>
      <c r="G2016" s="2">
        <v>2</v>
      </c>
      <c r="H2016" s="2">
        <v>-1.36</v>
      </c>
      <c r="I2016" t="str">
        <f t="shared" si="31"/>
        <v>Jan</v>
      </c>
      <c r="J2016">
        <f>YEAR(datas[[#This Row],[Order Date]])</f>
        <v>2022</v>
      </c>
    </row>
    <row r="2017" spans="1:10" ht="14.25" customHeight="1" x14ac:dyDescent="0.3">
      <c r="A2017" s="1">
        <v>44570</v>
      </c>
      <c r="B2017" s="2" t="s">
        <v>153</v>
      </c>
      <c r="C2017" s="2" t="s">
        <v>25</v>
      </c>
      <c r="D2017" s="2" t="s">
        <v>10</v>
      </c>
      <c r="E2017" s="2" t="s">
        <v>11</v>
      </c>
      <c r="F2017" s="2">
        <v>106.32</v>
      </c>
      <c r="G2017" s="2">
        <v>3</v>
      </c>
      <c r="H2017" s="2">
        <v>49.97</v>
      </c>
      <c r="I2017" t="str">
        <f t="shared" si="31"/>
        <v>Jan</v>
      </c>
      <c r="J2017">
        <f>YEAR(datas[[#This Row],[Order Date]])</f>
        <v>2022</v>
      </c>
    </row>
    <row r="2018" spans="1:10" ht="14.25" customHeight="1" x14ac:dyDescent="0.3">
      <c r="A2018" s="1">
        <v>44570</v>
      </c>
      <c r="B2018" s="2" t="s">
        <v>153</v>
      </c>
      <c r="C2018" s="2" t="s">
        <v>25</v>
      </c>
      <c r="D2018" s="2" t="s">
        <v>10</v>
      </c>
      <c r="E2018" s="2" t="s">
        <v>53</v>
      </c>
      <c r="F2018" s="2">
        <v>163.44</v>
      </c>
      <c r="G2018" s="2">
        <v>3</v>
      </c>
      <c r="H2018" s="2">
        <v>45.76</v>
      </c>
      <c r="I2018" t="str">
        <f t="shared" si="31"/>
        <v>Jan</v>
      </c>
      <c r="J2018">
        <f>YEAR(datas[[#This Row],[Order Date]])</f>
        <v>2022</v>
      </c>
    </row>
    <row r="2019" spans="1:10" ht="14.25" customHeight="1" x14ac:dyDescent="0.3">
      <c r="A2019" s="1">
        <v>44570</v>
      </c>
      <c r="B2019" s="2" t="s">
        <v>153</v>
      </c>
      <c r="C2019" s="2" t="s">
        <v>25</v>
      </c>
      <c r="D2019" s="2" t="s">
        <v>10</v>
      </c>
      <c r="E2019" s="2" t="s">
        <v>19</v>
      </c>
      <c r="F2019" s="2">
        <v>42.76</v>
      </c>
      <c r="G2019" s="2">
        <v>2</v>
      </c>
      <c r="H2019" s="2">
        <v>11.12</v>
      </c>
      <c r="I2019" t="str">
        <f t="shared" si="31"/>
        <v>Jan</v>
      </c>
      <c r="J2019">
        <f>YEAR(datas[[#This Row],[Order Date]])</f>
        <v>2022</v>
      </c>
    </row>
    <row r="2020" spans="1:10" ht="14.25" customHeight="1" x14ac:dyDescent="0.3">
      <c r="A2020" s="1">
        <v>44570</v>
      </c>
      <c r="B2020" s="2" t="s">
        <v>153</v>
      </c>
      <c r="C2020" s="2" t="s">
        <v>25</v>
      </c>
      <c r="D2020" s="2" t="s">
        <v>10</v>
      </c>
      <c r="E2020" s="2" t="s">
        <v>11</v>
      </c>
      <c r="F2020" s="2">
        <v>51.55</v>
      </c>
      <c r="G2020" s="2">
        <v>5</v>
      </c>
      <c r="H2020" s="2">
        <v>24.23</v>
      </c>
      <c r="I2020" t="str">
        <f t="shared" si="31"/>
        <v>Jan</v>
      </c>
      <c r="J2020">
        <f>YEAR(datas[[#This Row],[Order Date]])</f>
        <v>2022</v>
      </c>
    </row>
    <row r="2021" spans="1:10" ht="14.25" customHeight="1" x14ac:dyDescent="0.3">
      <c r="A2021" s="1">
        <v>44571</v>
      </c>
      <c r="B2021" s="2" t="s">
        <v>46</v>
      </c>
      <c r="C2021" s="2" t="s">
        <v>75</v>
      </c>
      <c r="D2021" s="2" t="s">
        <v>26</v>
      </c>
      <c r="E2021" s="2" t="s">
        <v>73</v>
      </c>
      <c r="F2021" s="2">
        <v>1018.1</v>
      </c>
      <c r="G2021" s="2">
        <v>4</v>
      </c>
      <c r="H2021" s="2">
        <v>-373.3</v>
      </c>
      <c r="I2021" t="str">
        <f t="shared" si="31"/>
        <v>Jan</v>
      </c>
      <c r="J2021">
        <f>YEAR(datas[[#This Row],[Order Date]])</f>
        <v>2022</v>
      </c>
    </row>
    <row r="2022" spans="1:10" ht="14.25" customHeight="1" x14ac:dyDescent="0.3">
      <c r="A2022" s="1">
        <v>44573</v>
      </c>
      <c r="B2022" s="2" t="s">
        <v>670</v>
      </c>
      <c r="C2022" s="2" t="s">
        <v>38</v>
      </c>
      <c r="D2022" s="2" t="s">
        <v>10</v>
      </c>
      <c r="E2022" s="2" t="s">
        <v>15</v>
      </c>
      <c r="F2022" s="2">
        <v>465.18</v>
      </c>
      <c r="G2022" s="2">
        <v>3</v>
      </c>
      <c r="H2022" s="2">
        <v>120.95</v>
      </c>
      <c r="I2022" t="str">
        <f t="shared" si="31"/>
        <v>Jan</v>
      </c>
      <c r="J2022">
        <f>YEAR(datas[[#This Row],[Order Date]])</f>
        <v>2022</v>
      </c>
    </row>
    <row r="2023" spans="1:10" ht="14.25" customHeight="1" x14ac:dyDescent="0.3">
      <c r="A2023" s="1">
        <v>44573</v>
      </c>
      <c r="B2023" s="2" t="s">
        <v>671</v>
      </c>
      <c r="C2023" s="2" t="s">
        <v>47</v>
      </c>
      <c r="D2023" s="2" t="s">
        <v>10</v>
      </c>
      <c r="E2023" s="2" t="s">
        <v>19</v>
      </c>
      <c r="F2023" s="2">
        <v>10.37</v>
      </c>
      <c r="G2023" s="2">
        <v>2</v>
      </c>
      <c r="H2023" s="2">
        <v>1.56</v>
      </c>
      <c r="I2023" t="str">
        <f t="shared" si="31"/>
        <v>Jan</v>
      </c>
      <c r="J2023">
        <f>YEAR(datas[[#This Row],[Order Date]])</f>
        <v>2022</v>
      </c>
    </row>
    <row r="2024" spans="1:10" ht="14.25" customHeight="1" x14ac:dyDescent="0.3">
      <c r="A2024" s="1">
        <v>44573</v>
      </c>
      <c r="B2024" s="2" t="s">
        <v>671</v>
      </c>
      <c r="C2024" s="2" t="s">
        <v>47</v>
      </c>
      <c r="D2024" s="2" t="s">
        <v>28</v>
      </c>
      <c r="E2024" s="2" t="s">
        <v>29</v>
      </c>
      <c r="F2024" s="2">
        <v>235.19</v>
      </c>
      <c r="G2024" s="2">
        <v>2</v>
      </c>
      <c r="H2024" s="2">
        <v>-43.12</v>
      </c>
      <c r="I2024" t="str">
        <f t="shared" si="31"/>
        <v>Jan</v>
      </c>
      <c r="J2024">
        <f>YEAR(datas[[#This Row],[Order Date]])</f>
        <v>2022</v>
      </c>
    </row>
    <row r="2025" spans="1:10" ht="14.25" customHeight="1" x14ac:dyDescent="0.3">
      <c r="A2025" s="1">
        <v>44573</v>
      </c>
      <c r="B2025" s="2" t="s">
        <v>671</v>
      </c>
      <c r="C2025" s="2" t="s">
        <v>47</v>
      </c>
      <c r="D2025" s="2" t="s">
        <v>28</v>
      </c>
      <c r="E2025" s="2" t="s">
        <v>29</v>
      </c>
      <c r="F2025" s="2">
        <v>26.38</v>
      </c>
      <c r="G2025" s="2">
        <v>4</v>
      </c>
      <c r="H2025" s="2">
        <v>2.64</v>
      </c>
      <c r="I2025" t="str">
        <f t="shared" si="31"/>
        <v>Jan</v>
      </c>
      <c r="J2025">
        <f>YEAR(datas[[#This Row],[Order Date]])</f>
        <v>2022</v>
      </c>
    </row>
    <row r="2026" spans="1:10" ht="14.25" customHeight="1" x14ac:dyDescent="0.3">
      <c r="A2026" s="1">
        <v>44573</v>
      </c>
      <c r="B2026" s="2" t="s">
        <v>671</v>
      </c>
      <c r="C2026" s="2" t="s">
        <v>47</v>
      </c>
      <c r="D2026" s="2" t="s">
        <v>28</v>
      </c>
      <c r="E2026" s="2" t="s">
        <v>34</v>
      </c>
      <c r="F2026" s="2">
        <v>10.38</v>
      </c>
      <c r="G2026" s="2">
        <v>2</v>
      </c>
      <c r="H2026" s="2">
        <v>2.21</v>
      </c>
      <c r="I2026" t="str">
        <f t="shared" si="31"/>
        <v>Jan</v>
      </c>
      <c r="J2026">
        <f>YEAR(datas[[#This Row],[Order Date]])</f>
        <v>2022</v>
      </c>
    </row>
    <row r="2027" spans="1:10" ht="14.25" customHeight="1" x14ac:dyDescent="0.3">
      <c r="A2027" s="1">
        <v>44573</v>
      </c>
      <c r="B2027" s="2" t="s">
        <v>671</v>
      </c>
      <c r="C2027" s="2" t="s">
        <v>47</v>
      </c>
      <c r="D2027" s="2" t="s">
        <v>28</v>
      </c>
      <c r="E2027" s="2" t="s">
        <v>29</v>
      </c>
      <c r="F2027" s="2">
        <v>107.12</v>
      </c>
      <c r="G2027" s="2">
        <v>3</v>
      </c>
      <c r="H2027" s="2">
        <v>-21.42</v>
      </c>
      <c r="I2027" t="str">
        <f t="shared" si="31"/>
        <v>Jan</v>
      </c>
      <c r="J2027">
        <f>YEAR(datas[[#This Row],[Order Date]])</f>
        <v>2022</v>
      </c>
    </row>
    <row r="2028" spans="1:10" ht="14.25" customHeight="1" x14ac:dyDescent="0.3">
      <c r="A2028" s="1">
        <v>44574</v>
      </c>
      <c r="B2028" s="2" t="s">
        <v>368</v>
      </c>
      <c r="C2028" s="2" t="s">
        <v>21</v>
      </c>
      <c r="D2028" s="2" t="s">
        <v>10</v>
      </c>
      <c r="E2028" s="2" t="s">
        <v>16</v>
      </c>
      <c r="F2028" s="2">
        <v>70.010000000000005</v>
      </c>
      <c r="G2028" s="2">
        <v>3</v>
      </c>
      <c r="H2028" s="2">
        <v>24.5</v>
      </c>
      <c r="I2028" t="str">
        <f t="shared" si="31"/>
        <v>Jan</v>
      </c>
      <c r="J2028">
        <f>YEAR(datas[[#This Row],[Order Date]])</f>
        <v>2022</v>
      </c>
    </row>
    <row r="2029" spans="1:10" ht="14.25" customHeight="1" x14ac:dyDescent="0.3">
      <c r="A2029" s="1">
        <v>44574</v>
      </c>
      <c r="B2029" s="2" t="s">
        <v>368</v>
      </c>
      <c r="C2029" s="2" t="s">
        <v>21</v>
      </c>
      <c r="D2029" s="2" t="s">
        <v>26</v>
      </c>
      <c r="E2029" s="2" t="s">
        <v>32</v>
      </c>
      <c r="F2029" s="2">
        <v>77.599999999999994</v>
      </c>
      <c r="G2029" s="2">
        <v>4</v>
      </c>
      <c r="H2029" s="2">
        <v>38.020000000000003</v>
      </c>
      <c r="I2029" t="str">
        <f t="shared" si="31"/>
        <v>Jan</v>
      </c>
      <c r="J2029">
        <f>YEAR(datas[[#This Row],[Order Date]])</f>
        <v>2022</v>
      </c>
    </row>
    <row r="2030" spans="1:10" ht="14.25" customHeight="1" x14ac:dyDescent="0.3">
      <c r="A2030" s="1">
        <v>44574</v>
      </c>
      <c r="B2030" s="2" t="s">
        <v>368</v>
      </c>
      <c r="C2030" s="2" t="s">
        <v>21</v>
      </c>
      <c r="D2030" s="2" t="s">
        <v>26</v>
      </c>
      <c r="E2030" s="2" t="s">
        <v>32</v>
      </c>
      <c r="F2030" s="2">
        <v>464.85</v>
      </c>
      <c r="G2030" s="2">
        <v>9</v>
      </c>
      <c r="H2030" s="2">
        <v>92.97</v>
      </c>
      <c r="I2030" t="str">
        <f t="shared" si="31"/>
        <v>Jan</v>
      </c>
      <c r="J2030">
        <f>YEAR(datas[[#This Row],[Order Date]])</f>
        <v>2022</v>
      </c>
    </row>
    <row r="2031" spans="1:10" ht="14.25" customHeight="1" x14ac:dyDescent="0.3">
      <c r="A2031" s="1">
        <v>44574</v>
      </c>
      <c r="B2031" s="2" t="s">
        <v>672</v>
      </c>
      <c r="C2031" s="2" t="s">
        <v>23</v>
      </c>
      <c r="D2031" s="2" t="s">
        <v>10</v>
      </c>
      <c r="E2031" s="2" t="s">
        <v>14</v>
      </c>
      <c r="F2031" s="2">
        <v>9.82</v>
      </c>
      <c r="G2031" s="2">
        <v>2</v>
      </c>
      <c r="H2031" s="2">
        <v>4.8099999999999996</v>
      </c>
      <c r="I2031" t="str">
        <f t="shared" si="31"/>
        <v>Jan</v>
      </c>
      <c r="J2031">
        <f>YEAR(datas[[#This Row],[Order Date]])</f>
        <v>2022</v>
      </c>
    </row>
    <row r="2032" spans="1:10" ht="14.25" customHeight="1" x14ac:dyDescent="0.3">
      <c r="A2032" s="1">
        <v>44578</v>
      </c>
      <c r="B2032" s="2" t="s">
        <v>244</v>
      </c>
      <c r="C2032" s="2" t="s">
        <v>13</v>
      </c>
      <c r="D2032" s="2" t="s">
        <v>26</v>
      </c>
      <c r="E2032" s="2" t="s">
        <v>32</v>
      </c>
      <c r="F2032" s="2">
        <v>254.74</v>
      </c>
      <c r="G2032" s="2">
        <v>7</v>
      </c>
      <c r="H2032" s="2">
        <v>-312.06</v>
      </c>
      <c r="I2032" t="str">
        <f t="shared" si="31"/>
        <v>Jan</v>
      </c>
      <c r="J2032">
        <f>YEAR(datas[[#This Row],[Order Date]])</f>
        <v>2022</v>
      </c>
    </row>
    <row r="2033" spans="1:10" ht="14.25" customHeight="1" x14ac:dyDescent="0.3">
      <c r="A2033" s="1">
        <v>44578</v>
      </c>
      <c r="B2033" s="2" t="s">
        <v>194</v>
      </c>
      <c r="C2033" s="2" t="s">
        <v>181</v>
      </c>
      <c r="D2033" s="2" t="s">
        <v>10</v>
      </c>
      <c r="E2033" s="2" t="s">
        <v>19</v>
      </c>
      <c r="F2033" s="2">
        <v>6.68</v>
      </c>
      <c r="G2033" s="2">
        <v>2</v>
      </c>
      <c r="H2033" s="2">
        <v>2</v>
      </c>
      <c r="I2033" t="str">
        <f t="shared" si="31"/>
        <v>Jan</v>
      </c>
      <c r="J2033">
        <f>YEAR(datas[[#This Row],[Order Date]])</f>
        <v>2022</v>
      </c>
    </row>
    <row r="2034" spans="1:10" ht="14.25" customHeight="1" x14ac:dyDescent="0.3">
      <c r="A2034" s="1">
        <v>44578</v>
      </c>
      <c r="B2034" s="2" t="s">
        <v>668</v>
      </c>
      <c r="C2034" s="2" t="s">
        <v>62</v>
      </c>
      <c r="D2034" s="2" t="s">
        <v>10</v>
      </c>
      <c r="E2034" s="2" t="s">
        <v>95</v>
      </c>
      <c r="F2034" s="2">
        <v>88.96</v>
      </c>
      <c r="G2034" s="2">
        <v>8</v>
      </c>
      <c r="H2034" s="2">
        <v>10.01</v>
      </c>
      <c r="I2034" t="str">
        <f t="shared" si="31"/>
        <v>Jan</v>
      </c>
      <c r="J2034">
        <f>YEAR(datas[[#This Row],[Order Date]])</f>
        <v>2022</v>
      </c>
    </row>
    <row r="2035" spans="1:10" ht="14.25" customHeight="1" x14ac:dyDescent="0.3">
      <c r="A2035" s="1">
        <v>44580</v>
      </c>
      <c r="B2035" s="2" t="s">
        <v>246</v>
      </c>
      <c r="C2035" s="2" t="s">
        <v>9</v>
      </c>
      <c r="D2035" s="2" t="s">
        <v>26</v>
      </c>
      <c r="E2035" s="2" t="s">
        <v>73</v>
      </c>
      <c r="F2035" s="2">
        <v>102.44</v>
      </c>
      <c r="G2035" s="2">
        <v>1</v>
      </c>
      <c r="H2035" s="2">
        <v>-13.17</v>
      </c>
      <c r="I2035" t="str">
        <f t="shared" si="31"/>
        <v>Jan</v>
      </c>
      <c r="J2035">
        <f>YEAR(datas[[#This Row],[Order Date]])</f>
        <v>2022</v>
      </c>
    </row>
    <row r="2036" spans="1:10" ht="14.25" customHeight="1" x14ac:dyDescent="0.3">
      <c r="A2036" s="1">
        <v>44580</v>
      </c>
      <c r="B2036" s="2" t="s">
        <v>246</v>
      </c>
      <c r="C2036" s="2" t="s">
        <v>9</v>
      </c>
      <c r="D2036" s="2" t="s">
        <v>26</v>
      </c>
      <c r="E2036" s="2" t="s">
        <v>27</v>
      </c>
      <c r="F2036" s="2">
        <v>199.3</v>
      </c>
      <c r="G2036" s="2">
        <v>4</v>
      </c>
      <c r="H2036" s="2">
        <v>-8.5399999999999991</v>
      </c>
      <c r="I2036" t="str">
        <f t="shared" si="31"/>
        <v>Jan</v>
      </c>
      <c r="J2036">
        <f>YEAR(datas[[#This Row],[Order Date]])</f>
        <v>2022</v>
      </c>
    </row>
    <row r="2037" spans="1:10" ht="14.25" customHeight="1" x14ac:dyDescent="0.3">
      <c r="A2037" s="1">
        <v>44584</v>
      </c>
      <c r="B2037" s="2" t="s">
        <v>316</v>
      </c>
      <c r="C2037" s="2" t="s">
        <v>210</v>
      </c>
      <c r="D2037" s="2" t="s">
        <v>10</v>
      </c>
      <c r="E2037" s="2" t="s">
        <v>11</v>
      </c>
      <c r="F2037" s="2">
        <v>29.04</v>
      </c>
      <c r="G2037" s="2">
        <v>3</v>
      </c>
      <c r="H2037" s="2">
        <v>13.94</v>
      </c>
      <c r="I2037" t="str">
        <f t="shared" si="31"/>
        <v>Jan</v>
      </c>
      <c r="J2037">
        <f>YEAR(datas[[#This Row],[Order Date]])</f>
        <v>2022</v>
      </c>
    </row>
    <row r="2038" spans="1:10" ht="14.25" customHeight="1" x14ac:dyDescent="0.3">
      <c r="A2038" s="1">
        <v>44584</v>
      </c>
      <c r="B2038" s="2" t="s">
        <v>316</v>
      </c>
      <c r="C2038" s="2" t="s">
        <v>210</v>
      </c>
      <c r="D2038" s="2" t="s">
        <v>10</v>
      </c>
      <c r="E2038" s="2" t="s">
        <v>14</v>
      </c>
      <c r="F2038" s="2">
        <v>14.62</v>
      </c>
      <c r="G2038" s="2">
        <v>2</v>
      </c>
      <c r="H2038" s="2">
        <v>6.87</v>
      </c>
      <c r="I2038" t="str">
        <f t="shared" si="31"/>
        <v>Jan</v>
      </c>
      <c r="J2038">
        <f>YEAR(datas[[#This Row],[Order Date]])</f>
        <v>2022</v>
      </c>
    </row>
    <row r="2039" spans="1:10" ht="14.25" customHeight="1" x14ac:dyDescent="0.3">
      <c r="A2039" s="1">
        <v>44585</v>
      </c>
      <c r="B2039" s="2" t="s">
        <v>673</v>
      </c>
      <c r="C2039" s="2" t="s">
        <v>64</v>
      </c>
      <c r="D2039" s="2" t="s">
        <v>10</v>
      </c>
      <c r="E2039" s="2" t="s">
        <v>19</v>
      </c>
      <c r="F2039" s="2">
        <v>13.12</v>
      </c>
      <c r="G2039" s="2">
        <v>5</v>
      </c>
      <c r="H2039" s="2">
        <v>2.13</v>
      </c>
      <c r="I2039" t="str">
        <f t="shared" si="31"/>
        <v>Jan</v>
      </c>
      <c r="J2039">
        <f>YEAR(datas[[#This Row],[Order Date]])</f>
        <v>2022</v>
      </c>
    </row>
    <row r="2040" spans="1:10" ht="14.25" customHeight="1" x14ac:dyDescent="0.3">
      <c r="A2040" s="1">
        <v>44587</v>
      </c>
      <c r="B2040" s="2" t="s">
        <v>623</v>
      </c>
      <c r="C2040" s="2" t="s">
        <v>21</v>
      </c>
      <c r="D2040" s="2" t="s">
        <v>10</v>
      </c>
      <c r="E2040" s="2" t="s">
        <v>11</v>
      </c>
      <c r="F2040" s="2">
        <v>182.72</v>
      </c>
      <c r="G2040" s="2">
        <v>8</v>
      </c>
      <c r="H2040" s="2">
        <v>84.05</v>
      </c>
      <c r="I2040" t="str">
        <f t="shared" si="31"/>
        <v>Jan</v>
      </c>
      <c r="J2040">
        <f>YEAR(datas[[#This Row],[Order Date]])</f>
        <v>2022</v>
      </c>
    </row>
    <row r="2041" spans="1:10" ht="14.25" customHeight="1" x14ac:dyDescent="0.3">
      <c r="A2041" s="1">
        <v>44588</v>
      </c>
      <c r="B2041" s="2" t="s">
        <v>37</v>
      </c>
      <c r="C2041" s="2" t="s">
        <v>47</v>
      </c>
      <c r="D2041" s="2" t="s">
        <v>26</v>
      </c>
      <c r="E2041" s="2" t="s">
        <v>27</v>
      </c>
      <c r="F2041" s="2">
        <v>181.99</v>
      </c>
      <c r="G2041" s="2">
        <v>2</v>
      </c>
      <c r="H2041" s="2">
        <v>-54.6</v>
      </c>
      <c r="I2041" t="str">
        <f t="shared" si="31"/>
        <v>Jan</v>
      </c>
      <c r="J2041">
        <f>YEAR(datas[[#This Row],[Order Date]])</f>
        <v>2022</v>
      </c>
    </row>
    <row r="2042" spans="1:10" ht="14.25" customHeight="1" x14ac:dyDescent="0.3">
      <c r="A2042" s="1">
        <v>44588</v>
      </c>
      <c r="B2042" s="2" t="s">
        <v>37</v>
      </c>
      <c r="C2042" s="2" t="s">
        <v>47</v>
      </c>
      <c r="D2042" s="2" t="s">
        <v>28</v>
      </c>
      <c r="E2042" s="2" t="s">
        <v>29</v>
      </c>
      <c r="F2042" s="2">
        <v>431.98</v>
      </c>
      <c r="G2042" s="2">
        <v>4</v>
      </c>
      <c r="H2042" s="2">
        <v>-100.79</v>
      </c>
      <c r="I2042" t="str">
        <f t="shared" si="31"/>
        <v>Jan</v>
      </c>
      <c r="J2042">
        <f>YEAR(datas[[#This Row],[Order Date]])</f>
        <v>2022</v>
      </c>
    </row>
    <row r="2043" spans="1:10" ht="14.25" customHeight="1" x14ac:dyDescent="0.3">
      <c r="A2043" s="1">
        <v>44588</v>
      </c>
      <c r="B2043" s="2" t="s">
        <v>37</v>
      </c>
      <c r="C2043" s="2" t="s">
        <v>47</v>
      </c>
      <c r="D2043" s="2" t="s">
        <v>28</v>
      </c>
      <c r="E2043" s="2" t="s">
        <v>29</v>
      </c>
      <c r="F2043" s="2">
        <v>155.37</v>
      </c>
      <c r="G2043" s="2">
        <v>1</v>
      </c>
      <c r="H2043" s="2">
        <v>-36.25</v>
      </c>
      <c r="I2043" t="str">
        <f t="shared" si="31"/>
        <v>Jan</v>
      </c>
      <c r="J2043">
        <f>YEAR(datas[[#This Row],[Order Date]])</f>
        <v>2022</v>
      </c>
    </row>
    <row r="2044" spans="1:10" ht="14.25" customHeight="1" x14ac:dyDescent="0.3">
      <c r="A2044" s="1">
        <v>44588</v>
      </c>
      <c r="B2044" s="2" t="s">
        <v>645</v>
      </c>
      <c r="C2044" s="2" t="s">
        <v>21</v>
      </c>
      <c r="D2044" s="2" t="s">
        <v>26</v>
      </c>
      <c r="E2044" s="2" t="s">
        <v>27</v>
      </c>
      <c r="F2044" s="2">
        <v>2803.92</v>
      </c>
      <c r="G2044" s="2">
        <v>5</v>
      </c>
      <c r="H2044" s="2">
        <v>0</v>
      </c>
      <c r="I2044" t="str">
        <f t="shared" si="31"/>
        <v>Jan</v>
      </c>
      <c r="J2044">
        <f>YEAR(datas[[#This Row],[Order Date]])</f>
        <v>2022</v>
      </c>
    </row>
    <row r="2045" spans="1:10" ht="14.25" customHeight="1" x14ac:dyDescent="0.3">
      <c r="A2045" s="1">
        <v>44589</v>
      </c>
      <c r="B2045" s="2" t="s">
        <v>413</v>
      </c>
      <c r="C2045" s="2" t="s">
        <v>115</v>
      </c>
      <c r="D2045" s="2" t="s">
        <v>26</v>
      </c>
      <c r="E2045" s="2" t="s">
        <v>73</v>
      </c>
      <c r="F2045" s="2">
        <v>4297.6400000000003</v>
      </c>
      <c r="G2045" s="2">
        <v>13</v>
      </c>
      <c r="H2045" s="2">
        <v>-1862.31</v>
      </c>
      <c r="I2045" t="str">
        <f t="shared" si="31"/>
        <v>Jan</v>
      </c>
      <c r="J2045">
        <f>YEAR(datas[[#This Row],[Order Date]])</f>
        <v>2022</v>
      </c>
    </row>
    <row r="2046" spans="1:10" ht="14.25" customHeight="1" x14ac:dyDescent="0.3">
      <c r="A2046" s="1">
        <v>44591</v>
      </c>
      <c r="B2046" s="2" t="s">
        <v>425</v>
      </c>
      <c r="C2046" s="2" t="s">
        <v>9</v>
      </c>
      <c r="D2046" s="2" t="s">
        <v>10</v>
      </c>
      <c r="E2046" s="2" t="s">
        <v>11</v>
      </c>
      <c r="F2046" s="2">
        <v>14.3</v>
      </c>
      <c r="G2046" s="2">
        <v>6</v>
      </c>
      <c r="H2046" s="2">
        <v>5.01</v>
      </c>
      <c r="I2046" t="str">
        <f t="shared" si="31"/>
        <v>Jan</v>
      </c>
      <c r="J2046">
        <f>YEAR(datas[[#This Row],[Order Date]])</f>
        <v>2022</v>
      </c>
    </row>
    <row r="2047" spans="1:10" ht="14.25" customHeight="1" x14ac:dyDescent="0.3">
      <c r="A2047" s="1">
        <v>44591</v>
      </c>
      <c r="B2047" s="2" t="s">
        <v>377</v>
      </c>
      <c r="C2047" s="2" t="s">
        <v>21</v>
      </c>
      <c r="D2047" s="2" t="s">
        <v>26</v>
      </c>
      <c r="E2047" s="2" t="s">
        <v>32</v>
      </c>
      <c r="F2047" s="2">
        <v>227.36</v>
      </c>
      <c r="G2047" s="2">
        <v>7</v>
      </c>
      <c r="H2047" s="2">
        <v>81.849999999999994</v>
      </c>
      <c r="I2047" t="str">
        <f t="shared" si="31"/>
        <v>Jan</v>
      </c>
      <c r="J2047">
        <f>YEAR(datas[[#This Row],[Order Date]])</f>
        <v>2022</v>
      </c>
    </row>
    <row r="2048" spans="1:10" ht="14.25" customHeight="1" x14ac:dyDescent="0.3">
      <c r="A2048" s="1">
        <v>44591</v>
      </c>
      <c r="B2048" s="2" t="s">
        <v>377</v>
      </c>
      <c r="C2048" s="2" t="s">
        <v>21</v>
      </c>
      <c r="D2048" s="2" t="s">
        <v>28</v>
      </c>
      <c r="E2048" s="2" t="s">
        <v>136</v>
      </c>
      <c r="F2048" s="2">
        <v>1919.98</v>
      </c>
      <c r="G2048" s="2">
        <v>3</v>
      </c>
      <c r="H2048" s="2">
        <v>216</v>
      </c>
      <c r="I2048" t="str">
        <f t="shared" si="31"/>
        <v>Jan</v>
      </c>
      <c r="J2048">
        <f>YEAR(datas[[#This Row],[Order Date]])</f>
        <v>2022</v>
      </c>
    </row>
    <row r="2049" spans="1:10" ht="14.25" customHeight="1" x14ac:dyDescent="0.3">
      <c r="A2049" s="1">
        <v>44592</v>
      </c>
      <c r="B2049" s="2" t="s">
        <v>436</v>
      </c>
      <c r="C2049" s="2" t="s">
        <v>140</v>
      </c>
      <c r="D2049" s="2" t="s">
        <v>10</v>
      </c>
      <c r="E2049" s="2" t="s">
        <v>11</v>
      </c>
      <c r="F2049" s="2">
        <v>12.96</v>
      </c>
      <c r="G2049" s="2">
        <v>2</v>
      </c>
      <c r="H2049" s="2">
        <v>6.22</v>
      </c>
      <c r="I2049" t="str">
        <f t="shared" si="31"/>
        <v>Jan</v>
      </c>
      <c r="J2049">
        <f>YEAR(datas[[#This Row],[Order Date]])</f>
        <v>2022</v>
      </c>
    </row>
    <row r="2050" spans="1:10" ht="14.25" customHeight="1" x14ac:dyDescent="0.3">
      <c r="A2050" s="1">
        <v>44592</v>
      </c>
      <c r="B2050" s="2" t="s">
        <v>436</v>
      </c>
      <c r="C2050" s="2" t="s">
        <v>140</v>
      </c>
      <c r="D2050" s="2" t="s">
        <v>26</v>
      </c>
      <c r="E2050" s="2" t="s">
        <v>32</v>
      </c>
      <c r="F2050" s="2">
        <v>53.34</v>
      </c>
      <c r="G2050" s="2">
        <v>3</v>
      </c>
      <c r="H2050" s="2">
        <v>16.54</v>
      </c>
      <c r="I2050" t="str">
        <f t="shared" si="31"/>
        <v>Jan</v>
      </c>
      <c r="J2050">
        <f>YEAR(datas[[#This Row],[Order Date]])</f>
        <v>2022</v>
      </c>
    </row>
    <row r="2051" spans="1:10" ht="14.25" customHeight="1" x14ac:dyDescent="0.3">
      <c r="A2051" s="1">
        <v>44592</v>
      </c>
      <c r="B2051" s="2" t="s">
        <v>436</v>
      </c>
      <c r="C2051" s="2" t="s">
        <v>140</v>
      </c>
      <c r="D2051" s="2" t="s">
        <v>10</v>
      </c>
      <c r="E2051" s="2" t="s">
        <v>16</v>
      </c>
      <c r="F2051" s="2">
        <v>32.96</v>
      </c>
      <c r="G2051" s="2">
        <v>2</v>
      </c>
      <c r="H2051" s="2">
        <v>16.149999999999999</v>
      </c>
      <c r="I2051" t="str">
        <f t="shared" ref="I2051:I2114" si="32">TEXT(A2051,"mmm")</f>
        <v>Jan</v>
      </c>
      <c r="J2051">
        <f>YEAR(datas[[#This Row],[Order Date]])</f>
        <v>2022</v>
      </c>
    </row>
    <row r="2052" spans="1:10" ht="14.25" customHeight="1" x14ac:dyDescent="0.3">
      <c r="A2052" s="1">
        <v>44595</v>
      </c>
      <c r="B2052" s="2" t="s">
        <v>222</v>
      </c>
      <c r="C2052" s="2" t="s">
        <v>381</v>
      </c>
      <c r="D2052" s="2" t="s">
        <v>26</v>
      </c>
      <c r="E2052" s="2" t="s">
        <v>32</v>
      </c>
      <c r="F2052" s="2">
        <v>28.4</v>
      </c>
      <c r="G2052" s="2">
        <v>2</v>
      </c>
      <c r="H2052" s="2">
        <v>11.08</v>
      </c>
      <c r="I2052" t="str">
        <f t="shared" si="32"/>
        <v>Feb</v>
      </c>
      <c r="J2052">
        <f>YEAR(datas[[#This Row],[Order Date]])</f>
        <v>2022</v>
      </c>
    </row>
    <row r="2053" spans="1:10" ht="14.25" customHeight="1" x14ac:dyDescent="0.3">
      <c r="A2053" s="1">
        <v>44595</v>
      </c>
      <c r="B2053" s="2" t="s">
        <v>222</v>
      </c>
      <c r="C2053" s="2" t="s">
        <v>381</v>
      </c>
      <c r="D2053" s="2" t="s">
        <v>28</v>
      </c>
      <c r="E2053" s="2" t="s">
        <v>34</v>
      </c>
      <c r="F2053" s="2">
        <v>149.97</v>
      </c>
      <c r="G2053" s="2">
        <v>3</v>
      </c>
      <c r="H2053" s="2">
        <v>50.99</v>
      </c>
      <c r="I2053" t="str">
        <f t="shared" si="32"/>
        <v>Feb</v>
      </c>
      <c r="J2053">
        <f>YEAR(datas[[#This Row],[Order Date]])</f>
        <v>2022</v>
      </c>
    </row>
    <row r="2054" spans="1:10" ht="14.25" customHeight="1" x14ac:dyDescent="0.3">
      <c r="A2054" s="1">
        <v>44595</v>
      </c>
      <c r="B2054" s="2" t="s">
        <v>674</v>
      </c>
      <c r="C2054" s="2" t="s">
        <v>21</v>
      </c>
      <c r="D2054" s="2" t="s">
        <v>26</v>
      </c>
      <c r="E2054" s="2" t="s">
        <v>32</v>
      </c>
      <c r="F2054" s="2">
        <v>136.91999999999999</v>
      </c>
      <c r="G2054" s="2">
        <v>4</v>
      </c>
      <c r="H2054" s="2">
        <v>41.08</v>
      </c>
      <c r="I2054" t="str">
        <f t="shared" si="32"/>
        <v>Feb</v>
      </c>
      <c r="J2054">
        <f>YEAR(datas[[#This Row],[Order Date]])</f>
        <v>2022</v>
      </c>
    </row>
    <row r="2055" spans="1:10" ht="14.25" customHeight="1" x14ac:dyDescent="0.3">
      <c r="A2055" s="1">
        <v>44595</v>
      </c>
      <c r="B2055" s="2" t="s">
        <v>556</v>
      </c>
      <c r="C2055" s="2" t="s">
        <v>134</v>
      </c>
      <c r="D2055" s="2" t="s">
        <v>10</v>
      </c>
      <c r="E2055" s="2" t="s">
        <v>16</v>
      </c>
      <c r="F2055" s="2">
        <v>12.14</v>
      </c>
      <c r="G2055" s="2">
        <v>3</v>
      </c>
      <c r="H2055" s="2">
        <v>4.0999999999999996</v>
      </c>
      <c r="I2055" t="str">
        <f t="shared" si="32"/>
        <v>Feb</v>
      </c>
      <c r="J2055">
        <f>YEAR(datas[[#This Row],[Order Date]])</f>
        <v>2022</v>
      </c>
    </row>
    <row r="2056" spans="1:10" ht="14.25" customHeight="1" x14ac:dyDescent="0.3">
      <c r="A2056" s="1">
        <v>44595</v>
      </c>
      <c r="B2056" s="2" t="s">
        <v>318</v>
      </c>
      <c r="C2056" s="2" t="s">
        <v>23</v>
      </c>
      <c r="D2056" s="2" t="s">
        <v>10</v>
      </c>
      <c r="E2056" s="2" t="s">
        <v>41</v>
      </c>
      <c r="F2056" s="2">
        <v>74.52</v>
      </c>
      <c r="G2056" s="2">
        <v>9</v>
      </c>
      <c r="H2056" s="2">
        <v>35.020000000000003</v>
      </c>
      <c r="I2056" t="str">
        <f t="shared" si="32"/>
        <v>Feb</v>
      </c>
      <c r="J2056">
        <f>YEAR(datas[[#This Row],[Order Date]])</f>
        <v>2022</v>
      </c>
    </row>
    <row r="2057" spans="1:10" ht="14.25" customHeight="1" x14ac:dyDescent="0.3">
      <c r="A2057" s="1">
        <v>44595</v>
      </c>
      <c r="B2057" s="2" t="s">
        <v>269</v>
      </c>
      <c r="C2057" s="2" t="s">
        <v>75</v>
      </c>
      <c r="D2057" s="2" t="s">
        <v>26</v>
      </c>
      <c r="E2057" s="2" t="s">
        <v>27</v>
      </c>
      <c r="F2057" s="2">
        <v>90.88</v>
      </c>
      <c r="G2057" s="2">
        <v>1</v>
      </c>
      <c r="H2057" s="2">
        <v>15.15</v>
      </c>
      <c r="I2057" t="str">
        <f t="shared" si="32"/>
        <v>Feb</v>
      </c>
      <c r="J2057">
        <f>YEAR(datas[[#This Row],[Order Date]])</f>
        <v>2022</v>
      </c>
    </row>
    <row r="2058" spans="1:10" ht="14.25" customHeight="1" x14ac:dyDescent="0.3">
      <c r="A2058" s="1">
        <v>44598</v>
      </c>
      <c r="B2058" s="2" t="s">
        <v>263</v>
      </c>
      <c r="C2058" s="2" t="s">
        <v>82</v>
      </c>
      <c r="D2058" s="2" t="s">
        <v>10</v>
      </c>
      <c r="E2058" s="2" t="s">
        <v>19</v>
      </c>
      <c r="F2058" s="2">
        <v>5.28</v>
      </c>
      <c r="G2058" s="2">
        <v>3</v>
      </c>
      <c r="H2058" s="2">
        <v>1.53</v>
      </c>
      <c r="I2058" t="str">
        <f t="shared" si="32"/>
        <v>Feb</v>
      </c>
      <c r="J2058">
        <f>YEAR(datas[[#This Row],[Order Date]])</f>
        <v>2022</v>
      </c>
    </row>
    <row r="2059" spans="1:10" ht="14.25" customHeight="1" x14ac:dyDescent="0.3">
      <c r="A2059" s="1">
        <v>44598</v>
      </c>
      <c r="B2059" s="2" t="s">
        <v>394</v>
      </c>
      <c r="C2059" s="2" t="s">
        <v>38</v>
      </c>
      <c r="D2059" s="2" t="s">
        <v>26</v>
      </c>
      <c r="E2059" s="2" t="s">
        <v>27</v>
      </c>
      <c r="F2059" s="2">
        <v>1268.82</v>
      </c>
      <c r="G2059" s="2">
        <v>9</v>
      </c>
      <c r="H2059" s="2">
        <v>266.45</v>
      </c>
      <c r="I2059" t="str">
        <f t="shared" si="32"/>
        <v>Feb</v>
      </c>
      <c r="J2059">
        <f>YEAR(datas[[#This Row],[Order Date]])</f>
        <v>2022</v>
      </c>
    </row>
    <row r="2060" spans="1:10" ht="14.25" customHeight="1" x14ac:dyDescent="0.3">
      <c r="A2060" s="1">
        <v>44598</v>
      </c>
      <c r="B2060" s="2" t="s">
        <v>394</v>
      </c>
      <c r="C2060" s="2" t="s">
        <v>38</v>
      </c>
      <c r="D2060" s="2" t="s">
        <v>26</v>
      </c>
      <c r="E2060" s="2" t="s">
        <v>45</v>
      </c>
      <c r="F2060" s="2">
        <v>283.92</v>
      </c>
      <c r="G2060" s="2">
        <v>4</v>
      </c>
      <c r="H2060" s="2">
        <v>82.34</v>
      </c>
      <c r="I2060" t="str">
        <f t="shared" si="32"/>
        <v>Feb</v>
      </c>
      <c r="J2060">
        <f>YEAR(datas[[#This Row],[Order Date]])</f>
        <v>2022</v>
      </c>
    </row>
    <row r="2061" spans="1:10" ht="14.25" customHeight="1" x14ac:dyDescent="0.3">
      <c r="A2061" s="1">
        <v>44598</v>
      </c>
      <c r="B2061" s="2" t="s">
        <v>394</v>
      </c>
      <c r="C2061" s="2" t="s">
        <v>38</v>
      </c>
      <c r="D2061" s="2" t="s">
        <v>10</v>
      </c>
      <c r="E2061" s="2" t="s">
        <v>19</v>
      </c>
      <c r="F2061" s="2">
        <v>5.68</v>
      </c>
      <c r="G2061" s="2">
        <v>2</v>
      </c>
      <c r="H2061" s="2">
        <v>1.76</v>
      </c>
      <c r="I2061" t="str">
        <f t="shared" si="32"/>
        <v>Feb</v>
      </c>
      <c r="J2061">
        <f>YEAR(datas[[#This Row],[Order Date]])</f>
        <v>2022</v>
      </c>
    </row>
    <row r="2062" spans="1:10" ht="14.25" customHeight="1" x14ac:dyDescent="0.3">
      <c r="A2062" s="1">
        <v>44598</v>
      </c>
      <c r="B2062" s="2" t="s">
        <v>675</v>
      </c>
      <c r="C2062" s="2" t="s">
        <v>9</v>
      </c>
      <c r="D2062" s="2" t="s">
        <v>10</v>
      </c>
      <c r="E2062" s="2" t="s">
        <v>16</v>
      </c>
      <c r="F2062" s="2">
        <v>2.93</v>
      </c>
      <c r="G2062" s="2">
        <v>3</v>
      </c>
      <c r="H2062" s="2">
        <v>-4.99</v>
      </c>
      <c r="I2062" t="str">
        <f t="shared" si="32"/>
        <v>Feb</v>
      </c>
      <c r="J2062">
        <f>YEAR(datas[[#This Row],[Order Date]])</f>
        <v>2022</v>
      </c>
    </row>
    <row r="2063" spans="1:10" ht="14.25" customHeight="1" x14ac:dyDescent="0.3">
      <c r="A2063" s="1">
        <v>44598</v>
      </c>
      <c r="B2063" s="2" t="s">
        <v>675</v>
      </c>
      <c r="C2063" s="2" t="s">
        <v>9</v>
      </c>
      <c r="D2063" s="2" t="s">
        <v>28</v>
      </c>
      <c r="E2063" s="2" t="s">
        <v>34</v>
      </c>
      <c r="F2063" s="2">
        <v>18.53</v>
      </c>
      <c r="G2063" s="2">
        <v>2</v>
      </c>
      <c r="H2063" s="2">
        <v>4.4000000000000004</v>
      </c>
      <c r="I2063" t="str">
        <f t="shared" si="32"/>
        <v>Feb</v>
      </c>
      <c r="J2063">
        <f>YEAR(datas[[#This Row],[Order Date]])</f>
        <v>2022</v>
      </c>
    </row>
    <row r="2064" spans="1:10" ht="14.25" customHeight="1" x14ac:dyDescent="0.3">
      <c r="A2064" s="1">
        <v>44598</v>
      </c>
      <c r="B2064" s="2" t="s">
        <v>675</v>
      </c>
      <c r="C2064" s="2" t="s">
        <v>9</v>
      </c>
      <c r="D2064" s="2" t="s">
        <v>10</v>
      </c>
      <c r="E2064" s="2" t="s">
        <v>15</v>
      </c>
      <c r="F2064" s="2">
        <v>670.75</v>
      </c>
      <c r="G2064" s="2">
        <v>3</v>
      </c>
      <c r="H2064" s="2">
        <v>-125.77</v>
      </c>
      <c r="I2064" t="str">
        <f t="shared" si="32"/>
        <v>Feb</v>
      </c>
      <c r="J2064">
        <f>YEAR(datas[[#This Row],[Order Date]])</f>
        <v>2022</v>
      </c>
    </row>
    <row r="2065" spans="1:10" ht="14.25" customHeight="1" x14ac:dyDescent="0.3">
      <c r="A2065" s="1">
        <v>44598</v>
      </c>
      <c r="B2065" s="2" t="s">
        <v>676</v>
      </c>
      <c r="C2065" s="2" t="s">
        <v>36</v>
      </c>
      <c r="D2065" s="2" t="s">
        <v>10</v>
      </c>
      <c r="E2065" s="2" t="s">
        <v>15</v>
      </c>
      <c r="F2065" s="2">
        <v>146.72999999999999</v>
      </c>
      <c r="G2065" s="2">
        <v>3</v>
      </c>
      <c r="H2065" s="2">
        <v>2.93</v>
      </c>
      <c r="I2065" t="str">
        <f t="shared" si="32"/>
        <v>Feb</v>
      </c>
      <c r="J2065">
        <f>YEAR(datas[[#This Row],[Order Date]])</f>
        <v>2022</v>
      </c>
    </row>
    <row r="2066" spans="1:10" ht="14.25" customHeight="1" x14ac:dyDescent="0.3">
      <c r="A2066" s="1">
        <v>44598</v>
      </c>
      <c r="B2066" s="2" t="s">
        <v>676</v>
      </c>
      <c r="C2066" s="2" t="s">
        <v>36</v>
      </c>
      <c r="D2066" s="2" t="s">
        <v>10</v>
      </c>
      <c r="E2066" s="2" t="s">
        <v>11</v>
      </c>
      <c r="F2066" s="2">
        <v>29.9</v>
      </c>
      <c r="G2066" s="2">
        <v>5</v>
      </c>
      <c r="H2066" s="2">
        <v>13.46</v>
      </c>
      <c r="I2066" t="str">
        <f t="shared" si="32"/>
        <v>Feb</v>
      </c>
      <c r="J2066">
        <f>YEAR(datas[[#This Row],[Order Date]])</f>
        <v>2022</v>
      </c>
    </row>
    <row r="2067" spans="1:10" ht="14.25" customHeight="1" x14ac:dyDescent="0.3">
      <c r="A2067" s="1">
        <v>44599</v>
      </c>
      <c r="B2067" s="2" t="s">
        <v>162</v>
      </c>
      <c r="C2067" s="2" t="s">
        <v>36</v>
      </c>
      <c r="D2067" s="2" t="s">
        <v>10</v>
      </c>
      <c r="E2067" s="2" t="s">
        <v>41</v>
      </c>
      <c r="F2067" s="2">
        <v>311.14999999999998</v>
      </c>
      <c r="G2067" s="2">
        <v>5</v>
      </c>
      <c r="H2067" s="2">
        <v>146.24</v>
      </c>
      <c r="I2067" t="str">
        <f t="shared" si="32"/>
        <v>Feb</v>
      </c>
      <c r="J2067">
        <f>YEAR(datas[[#This Row],[Order Date]])</f>
        <v>2022</v>
      </c>
    </row>
    <row r="2068" spans="1:10" ht="14.25" customHeight="1" x14ac:dyDescent="0.3">
      <c r="A2068" s="1">
        <v>44599</v>
      </c>
      <c r="B2068" s="2" t="s">
        <v>162</v>
      </c>
      <c r="C2068" s="2" t="s">
        <v>36</v>
      </c>
      <c r="D2068" s="2" t="s">
        <v>10</v>
      </c>
      <c r="E2068" s="2" t="s">
        <v>11</v>
      </c>
      <c r="F2068" s="2">
        <v>12.96</v>
      </c>
      <c r="G2068" s="2">
        <v>2</v>
      </c>
      <c r="H2068" s="2">
        <v>6.35</v>
      </c>
      <c r="I2068" t="str">
        <f t="shared" si="32"/>
        <v>Feb</v>
      </c>
      <c r="J2068">
        <f>YEAR(datas[[#This Row],[Order Date]])</f>
        <v>2022</v>
      </c>
    </row>
    <row r="2069" spans="1:10" ht="14.25" customHeight="1" x14ac:dyDescent="0.3">
      <c r="A2069" s="1">
        <v>44600</v>
      </c>
      <c r="B2069" s="2" t="s">
        <v>454</v>
      </c>
      <c r="C2069" s="2" t="s">
        <v>47</v>
      </c>
      <c r="D2069" s="2" t="s">
        <v>28</v>
      </c>
      <c r="E2069" s="2" t="s">
        <v>29</v>
      </c>
      <c r="F2069" s="2">
        <v>107.98</v>
      </c>
      <c r="G2069" s="2">
        <v>3</v>
      </c>
      <c r="H2069" s="2">
        <v>-27</v>
      </c>
      <c r="I2069" t="str">
        <f t="shared" si="32"/>
        <v>Feb</v>
      </c>
      <c r="J2069">
        <f>YEAR(datas[[#This Row],[Order Date]])</f>
        <v>2022</v>
      </c>
    </row>
    <row r="2070" spans="1:10" ht="14.25" customHeight="1" x14ac:dyDescent="0.3">
      <c r="A2070" s="1">
        <v>44600</v>
      </c>
      <c r="B2070" s="2" t="s">
        <v>315</v>
      </c>
      <c r="C2070" s="2" t="s">
        <v>469</v>
      </c>
      <c r="D2070" s="2" t="s">
        <v>10</v>
      </c>
      <c r="E2070" s="2" t="s">
        <v>11</v>
      </c>
      <c r="F2070" s="2">
        <v>9.5399999999999991</v>
      </c>
      <c r="G2070" s="2">
        <v>2</v>
      </c>
      <c r="H2070" s="2">
        <v>4.29</v>
      </c>
      <c r="I2070" t="str">
        <f t="shared" si="32"/>
        <v>Feb</v>
      </c>
      <c r="J2070">
        <f>YEAR(datas[[#This Row],[Order Date]])</f>
        <v>2022</v>
      </c>
    </row>
    <row r="2071" spans="1:10" ht="14.25" customHeight="1" x14ac:dyDescent="0.3">
      <c r="A2071" s="1">
        <v>44600</v>
      </c>
      <c r="B2071" s="2" t="s">
        <v>315</v>
      </c>
      <c r="C2071" s="2" t="s">
        <v>469</v>
      </c>
      <c r="D2071" s="2" t="s">
        <v>10</v>
      </c>
      <c r="E2071" s="2" t="s">
        <v>30</v>
      </c>
      <c r="F2071" s="2">
        <v>5.81</v>
      </c>
      <c r="G2071" s="2">
        <v>1</v>
      </c>
      <c r="H2071" s="2">
        <v>1.8</v>
      </c>
      <c r="I2071" t="str">
        <f t="shared" si="32"/>
        <v>Feb</v>
      </c>
      <c r="J2071">
        <f>YEAR(datas[[#This Row],[Order Date]])</f>
        <v>2022</v>
      </c>
    </row>
    <row r="2072" spans="1:10" ht="14.25" customHeight="1" x14ac:dyDescent="0.3">
      <c r="A2072" s="1">
        <v>44600</v>
      </c>
      <c r="B2072" s="2" t="s">
        <v>315</v>
      </c>
      <c r="C2072" s="2" t="s">
        <v>469</v>
      </c>
      <c r="D2072" s="2" t="s">
        <v>10</v>
      </c>
      <c r="E2072" s="2" t="s">
        <v>19</v>
      </c>
      <c r="F2072" s="2">
        <v>5.76</v>
      </c>
      <c r="G2072" s="2">
        <v>2</v>
      </c>
      <c r="H2072" s="2">
        <v>1.73</v>
      </c>
      <c r="I2072" t="str">
        <f t="shared" si="32"/>
        <v>Feb</v>
      </c>
      <c r="J2072">
        <f>YEAR(datas[[#This Row],[Order Date]])</f>
        <v>2022</v>
      </c>
    </row>
    <row r="2073" spans="1:10" ht="14.25" customHeight="1" x14ac:dyDescent="0.3">
      <c r="A2073" s="1">
        <v>44601</v>
      </c>
      <c r="B2073" s="2" t="s">
        <v>347</v>
      </c>
      <c r="C2073" s="2" t="s">
        <v>9</v>
      </c>
      <c r="D2073" s="2" t="s">
        <v>28</v>
      </c>
      <c r="E2073" s="2" t="s">
        <v>34</v>
      </c>
      <c r="F2073" s="2">
        <v>20.8</v>
      </c>
      <c r="G2073" s="2">
        <v>2</v>
      </c>
      <c r="H2073" s="2">
        <v>6.5</v>
      </c>
      <c r="I2073" t="str">
        <f t="shared" si="32"/>
        <v>Feb</v>
      </c>
      <c r="J2073">
        <f>YEAR(datas[[#This Row],[Order Date]])</f>
        <v>2022</v>
      </c>
    </row>
    <row r="2074" spans="1:10" ht="14.25" customHeight="1" x14ac:dyDescent="0.3">
      <c r="A2074" s="1">
        <v>44601</v>
      </c>
      <c r="B2074" s="2" t="s">
        <v>481</v>
      </c>
      <c r="C2074" s="2" t="s">
        <v>9</v>
      </c>
      <c r="D2074" s="2" t="s">
        <v>10</v>
      </c>
      <c r="E2074" s="2" t="s">
        <v>14</v>
      </c>
      <c r="F2074" s="2">
        <v>40.1</v>
      </c>
      <c r="G2074" s="2">
        <v>4</v>
      </c>
      <c r="H2074" s="2">
        <v>13.53</v>
      </c>
      <c r="I2074" t="str">
        <f t="shared" si="32"/>
        <v>Feb</v>
      </c>
      <c r="J2074">
        <f>YEAR(datas[[#This Row],[Order Date]])</f>
        <v>2022</v>
      </c>
    </row>
    <row r="2075" spans="1:10" ht="14.25" customHeight="1" x14ac:dyDescent="0.3">
      <c r="A2075" s="1">
        <v>44601</v>
      </c>
      <c r="B2075" s="2" t="s">
        <v>481</v>
      </c>
      <c r="C2075" s="2" t="s">
        <v>9</v>
      </c>
      <c r="D2075" s="2" t="s">
        <v>26</v>
      </c>
      <c r="E2075" s="2" t="s">
        <v>32</v>
      </c>
      <c r="F2075" s="2">
        <v>40.78</v>
      </c>
      <c r="G2075" s="2">
        <v>2</v>
      </c>
      <c r="H2075" s="2">
        <v>-30.59</v>
      </c>
      <c r="I2075" t="str">
        <f t="shared" si="32"/>
        <v>Feb</v>
      </c>
      <c r="J2075">
        <f>YEAR(datas[[#This Row],[Order Date]])</f>
        <v>2022</v>
      </c>
    </row>
    <row r="2076" spans="1:10" ht="14.25" customHeight="1" x14ac:dyDescent="0.3">
      <c r="A2076" s="1">
        <v>44601</v>
      </c>
      <c r="B2076" s="2" t="s">
        <v>677</v>
      </c>
      <c r="C2076" s="2" t="s">
        <v>21</v>
      </c>
      <c r="D2076" s="2" t="s">
        <v>26</v>
      </c>
      <c r="E2076" s="2" t="s">
        <v>27</v>
      </c>
      <c r="F2076" s="2">
        <v>203.92</v>
      </c>
      <c r="G2076" s="2">
        <v>5</v>
      </c>
      <c r="H2076" s="2">
        <v>22.94</v>
      </c>
      <c r="I2076" t="str">
        <f t="shared" si="32"/>
        <v>Feb</v>
      </c>
      <c r="J2076">
        <f>YEAR(datas[[#This Row],[Order Date]])</f>
        <v>2022</v>
      </c>
    </row>
    <row r="2077" spans="1:10" ht="14.25" customHeight="1" x14ac:dyDescent="0.3">
      <c r="A2077" s="1">
        <v>44601</v>
      </c>
      <c r="B2077" s="2" t="s">
        <v>524</v>
      </c>
      <c r="C2077" s="2" t="s">
        <v>13</v>
      </c>
      <c r="D2077" s="2" t="s">
        <v>28</v>
      </c>
      <c r="E2077" s="2" t="s">
        <v>34</v>
      </c>
      <c r="F2077" s="2">
        <v>479.95</v>
      </c>
      <c r="G2077" s="2">
        <v>6</v>
      </c>
      <c r="H2077" s="2">
        <v>89.99</v>
      </c>
      <c r="I2077" t="str">
        <f t="shared" si="32"/>
        <v>Feb</v>
      </c>
      <c r="J2077">
        <f>YEAR(datas[[#This Row],[Order Date]])</f>
        <v>2022</v>
      </c>
    </row>
    <row r="2078" spans="1:10" ht="14.25" customHeight="1" x14ac:dyDescent="0.3">
      <c r="A2078" s="1">
        <v>44602</v>
      </c>
      <c r="B2078" s="2" t="s">
        <v>627</v>
      </c>
      <c r="C2078" s="2" t="s">
        <v>18</v>
      </c>
      <c r="D2078" s="2" t="s">
        <v>10</v>
      </c>
      <c r="E2078" s="2" t="s">
        <v>15</v>
      </c>
      <c r="F2078" s="2">
        <v>77.239999999999995</v>
      </c>
      <c r="G2078" s="2">
        <v>5</v>
      </c>
      <c r="H2078" s="2">
        <v>7.72</v>
      </c>
      <c r="I2078" t="str">
        <f t="shared" si="32"/>
        <v>Feb</v>
      </c>
      <c r="J2078">
        <f>YEAR(datas[[#This Row],[Order Date]])</f>
        <v>2022</v>
      </c>
    </row>
    <row r="2079" spans="1:10" ht="14.25" customHeight="1" x14ac:dyDescent="0.3">
      <c r="A2079" s="1">
        <v>44606</v>
      </c>
      <c r="B2079" s="2" t="s">
        <v>436</v>
      </c>
      <c r="C2079" s="2" t="s">
        <v>47</v>
      </c>
      <c r="D2079" s="2" t="s">
        <v>10</v>
      </c>
      <c r="E2079" s="2" t="s">
        <v>16</v>
      </c>
      <c r="F2079" s="2">
        <v>14.95</v>
      </c>
      <c r="G2079" s="2">
        <v>2</v>
      </c>
      <c r="H2079" s="2">
        <v>-11.96</v>
      </c>
      <c r="I2079" t="str">
        <f t="shared" si="32"/>
        <v>Feb</v>
      </c>
      <c r="J2079">
        <f>YEAR(datas[[#This Row],[Order Date]])</f>
        <v>2022</v>
      </c>
    </row>
    <row r="2080" spans="1:10" ht="14.25" customHeight="1" x14ac:dyDescent="0.3">
      <c r="A2080" s="1">
        <v>44606</v>
      </c>
      <c r="B2080" s="2" t="s">
        <v>436</v>
      </c>
      <c r="C2080" s="2" t="s">
        <v>47</v>
      </c>
      <c r="D2080" s="2" t="s">
        <v>28</v>
      </c>
      <c r="E2080" s="2" t="s">
        <v>29</v>
      </c>
      <c r="F2080" s="2">
        <v>323.98</v>
      </c>
      <c r="G2080" s="2">
        <v>3</v>
      </c>
      <c r="H2080" s="2">
        <v>-81</v>
      </c>
      <c r="I2080" t="str">
        <f t="shared" si="32"/>
        <v>Feb</v>
      </c>
      <c r="J2080">
        <f>YEAR(datas[[#This Row],[Order Date]])</f>
        <v>2022</v>
      </c>
    </row>
    <row r="2081" spans="1:10" ht="14.25" customHeight="1" x14ac:dyDescent="0.3">
      <c r="A2081" s="1">
        <v>44606</v>
      </c>
      <c r="B2081" s="2" t="s">
        <v>436</v>
      </c>
      <c r="C2081" s="2" t="s">
        <v>47</v>
      </c>
      <c r="D2081" s="2" t="s">
        <v>10</v>
      </c>
      <c r="E2081" s="2" t="s">
        <v>16</v>
      </c>
      <c r="F2081" s="2">
        <v>2.29</v>
      </c>
      <c r="G2081" s="2">
        <v>2</v>
      </c>
      <c r="H2081" s="2">
        <v>-1.68</v>
      </c>
      <c r="I2081" t="str">
        <f t="shared" si="32"/>
        <v>Feb</v>
      </c>
      <c r="J2081">
        <f>YEAR(datas[[#This Row],[Order Date]])</f>
        <v>2022</v>
      </c>
    </row>
    <row r="2082" spans="1:10" ht="14.25" customHeight="1" x14ac:dyDescent="0.3">
      <c r="A2082" s="1">
        <v>44606</v>
      </c>
      <c r="B2082" s="2" t="s">
        <v>436</v>
      </c>
      <c r="C2082" s="2" t="s">
        <v>47</v>
      </c>
      <c r="D2082" s="2" t="s">
        <v>10</v>
      </c>
      <c r="E2082" s="2" t="s">
        <v>19</v>
      </c>
      <c r="F2082" s="2">
        <v>14.35</v>
      </c>
      <c r="G2082" s="2">
        <v>3</v>
      </c>
      <c r="H2082" s="2">
        <v>0.9</v>
      </c>
      <c r="I2082" t="str">
        <f t="shared" si="32"/>
        <v>Feb</v>
      </c>
      <c r="J2082">
        <f>YEAR(datas[[#This Row],[Order Date]])</f>
        <v>2022</v>
      </c>
    </row>
    <row r="2083" spans="1:10" ht="14.25" customHeight="1" x14ac:dyDescent="0.3">
      <c r="A2083" s="1">
        <v>44606</v>
      </c>
      <c r="B2083" s="2" t="s">
        <v>436</v>
      </c>
      <c r="C2083" s="2" t="s">
        <v>47</v>
      </c>
      <c r="D2083" s="2" t="s">
        <v>28</v>
      </c>
      <c r="E2083" s="2" t="s">
        <v>34</v>
      </c>
      <c r="F2083" s="2">
        <v>71.98</v>
      </c>
      <c r="G2083" s="2">
        <v>3</v>
      </c>
      <c r="H2083" s="2">
        <v>0.9</v>
      </c>
      <c r="I2083" t="str">
        <f t="shared" si="32"/>
        <v>Feb</v>
      </c>
      <c r="J2083">
        <f>YEAR(datas[[#This Row],[Order Date]])</f>
        <v>2022</v>
      </c>
    </row>
    <row r="2084" spans="1:10" ht="14.25" customHeight="1" x14ac:dyDescent="0.3">
      <c r="A2084" s="1">
        <v>44606</v>
      </c>
      <c r="B2084" s="2" t="s">
        <v>273</v>
      </c>
      <c r="C2084" s="2" t="s">
        <v>75</v>
      </c>
      <c r="D2084" s="2" t="s">
        <v>10</v>
      </c>
      <c r="E2084" s="2" t="s">
        <v>16</v>
      </c>
      <c r="F2084" s="2">
        <v>26.42</v>
      </c>
      <c r="G2084" s="2">
        <v>9</v>
      </c>
      <c r="H2084" s="2">
        <v>9.58</v>
      </c>
      <c r="I2084" t="str">
        <f t="shared" si="32"/>
        <v>Feb</v>
      </c>
      <c r="J2084">
        <f>YEAR(datas[[#This Row],[Order Date]])</f>
        <v>2022</v>
      </c>
    </row>
    <row r="2085" spans="1:10" ht="14.25" customHeight="1" x14ac:dyDescent="0.3">
      <c r="A2085" s="1">
        <v>44606</v>
      </c>
      <c r="B2085" s="2" t="s">
        <v>273</v>
      </c>
      <c r="C2085" s="2" t="s">
        <v>75</v>
      </c>
      <c r="D2085" s="2" t="s">
        <v>28</v>
      </c>
      <c r="E2085" s="2" t="s">
        <v>29</v>
      </c>
      <c r="F2085" s="2">
        <v>625.99</v>
      </c>
      <c r="G2085" s="2">
        <v>1</v>
      </c>
      <c r="H2085" s="2">
        <v>187.8</v>
      </c>
      <c r="I2085" t="str">
        <f t="shared" si="32"/>
        <v>Feb</v>
      </c>
      <c r="J2085">
        <f>YEAR(datas[[#This Row],[Order Date]])</f>
        <v>2022</v>
      </c>
    </row>
    <row r="2086" spans="1:10" ht="14.25" customHeight="1" x14ac:dyDescent="0.3">
      <c r="A2086" s="1">
        <v>44607</v>
      </c>
      <c r="B2086" s="2" t="s">
        <v>192</v>
      </c>
      <c r="C2086" s="2" t="s">
        <v>79</v>
      </c>
      <c r="D2086" s="2" t="s">
        <v>28</v>
      </c>
      <c r="E2086" s="2" t="s">
        <v>29</v>
      </c>
      <c r="F2086" s="2">
        <v>134.97</v>
      </c>
      <c r="G2086" s="2">
        <v>3</v>
      </c>
      <c r="H2086" s="2">
        <v>64.790000000000006</v>
      </c>
      <c r="I2086" t="str">
        <f t="shared" si="32"/>
        <v>Feb</v>
      </c>
      <c r="J2086">
        <f>YEAR(datas[[#This Row],[Order Date]])</f>
        <v>2022</v>
      </c>
    </row>
    <row r="2087" spans="1:10" ht="14.25" customHeight="1" x14ac:dyDescent="0.3">
      <c r="A2087" s="1">
        <v>44607</v>
      </c>
      <c r="B2087" s="2" t="s">
        <v>192</v>
      </c>
      <c r="C2087" s="2" t="s">
        <v>79</v>
      </c>
      <c r="D2087" s="2" t="s">
        <v>28</v>
      </c>
      <c r="E2087" s="2" t="s">
        <v>29</v>
      </c>
      <c r="F2087" s="2">
        <v>699.98</v>
      </c>
      <c r="G2087" s="2">
        <v>2</v>
      </c>
      <c r="H2087" s="2">
        <v>195.99</v>
      </c>
      <c r="I2087" t="str">
        <f t="shared" si="32"/>
        <v>Feb</v>
      </c>
      <c r="J2087">
        <f>YEAR(datas[[#This Row],[Order Date]])</f>
        <v>2022</v>
      </c>
    </row>
    <row r="2088" spans="1:10" ht="14.25" customHeight="1" x14ac:dyDescent="0.3">
      <c r="A2088" s="1">
        <v>44607</v>
      </c>
      <c r="B2088" s="2" t="s">
        <v>192</v>
      </c>
      <c r="C2088" s="2" t="s">
        <v>79</v>
      </c>
      <c r="D2088" s="2" t="s">
        <v>28</v>
      </c>
      <c r="E2088" s="2" t="s">
        <v>34</v>
      </c>
      <c r="F2088" s="2">
        <v>139.94999999999999</v>
      </c>
      <c r="G2088" s="2">
        <v>5</v>
      </c>
      <c r="H2088" s="2">
        <v>26.59</v>
      </c>
      <c r="I2088" t="str">
        <f t="shared" si="32"/>
        <v>Feb</v>
      </c>
      <c r="J2088">
        <f>YEAR(datas[[#This Row],[Order Date]])</f>
        <v>2022</v>
      </c>
    </row>
    <row r="2089" spans="1:10" ht="14.25" customHeight="1" x14ac:dyDescent="0.3">
      <c r="A2089" s="1">
        <v>44607</v>
      </c>
      <c r="B2089" s="2" t="s">
        <v>240</v>
      </c>
      <c r="C2089" s="2" t="s">
        <v>21</v>
      </c>
      <c r="D2089" s="2" t="s">
        <v>10</v>
      </c>
      <c r="E2089" s="2" t="s">
        <v>11</v>
      </c>
      <c r="F2089" s="2">
        <v>13.36</v>
      </c>
      <c r="G2089" s="2">
        <v>2</v>
      </c>
      <c r="H2089" s="2">
        <v>6.41</v>
      </c>
      <c r="I2089" t="str">
        <f t="shared" si="32"/>
        <v>Feb</v>
      </c>
      <c r="J2089">
        <f>YEAR(datas[[#This Row],[Order Date]])</f>
        <v>2022</v>
      </c>
    </row>
    <row r="2090" spans="1:10" ht="14.25" customHeight="1" x14ac:dyDescent="0.3">
      <c r="A2090" s="1">
        <v>44607</v>
      </c>
      <c r="B2090" s="2" t="s">
        <v>240</v>
      </c>
      <c r="C2090" s="2" t="s">
        <v>21</v>
      </c>
      <c r="D2090" s="2" t="s">
        <v>10</v>
      </c>
      <c r="E2090" s="2" t="s">
        <v>16</v>
      </c>
      <c r="F2090" s="2">
        <v>41.72</v>
      </c>
      <c r="G2090" s="2">
        <v>5</v>
      </c>
      <c r="H2090" s="2">
        <v>13.04</v>
      </c>
      <c r="I2090" t="str">
        <f t="shared" si="32"/>
        <v>Feb</v>
      </c>
      <c r="J2090">
        <f>YEAR(datas[[#This Row],[Order Date]])</f>
        <v>2022</v>
      </c>
    </row>
    <row r="2091" spans="1:10" ht="14.25" customHeight="1" x14ac:dyDescent="0.3">
      <c r="A2091" s="1">
        <v>44607</v>
      </c>
      <c r="B2091" s="2" t="s">
        <v>240</v>
      </c>
      <c r="C2091" s="2" t="s">
        <v>21</v>
      </c>
      <c r="D2091" s="2" t="s">
        <v>10</v>
      </c>
      <c r="E2091" s="2" t="s">
        <v>16</v>
      </c>
      <c r="F2091" s="2">
        <v>11.52</v>
      </c>
      <c r="G2091" s="2">
        <v>5</v>
      </c>
      <c r="H2091" s="2">
        <v>4.18</v>
      </c>
      <c r="I2091" t="str">
        <f t="shared" si="32"/>
        <v>Feb</v>
      </c>
      <c r="J2091">
        <f>YEAR(datas[[#This Row],[Order Date]])</f>
        <v>2022</v>
      </c>
    </row>
    <row r="2092" spans="1:10" ht="14.25" customHeight="1" x14ac:dyDescent="0.3">
      <c r="A2092" s="1">
        <v>44607</v>
      </c>
      <c r="B2092" s="2" t="s">
        <v>240</v>
      </c>
      <c r="C2092" s="2" t="s">
        <v>21</v>
      </c>
      <c r="D2092" s="2" t="s">
        <v>10</v>
      </c>
      <c r="E2092" s="2" t="s">
        <v>53</v>
      </c>
      <c r="F2092" s="2">
        <v>541.44000000000005</v>
      </c>
      <c r="G2092" s="2">
        <v>6</v>
      </c>
      <c r="H2092" s="2">
        <v>157.02000000000001</v>
      </c>
      <c r="I2092" t="str">
        <f t="shared" si="32"/>
        <v>Feb</v>
      </c>
      <c r="J2092">
        <f>YEAR(datas[[#This Row],[Order Date]])</f>
        <v>2022</v>
      </c>
    </row>
    <row r="2093" spans="1:10" ht="14.25" customHeight="1" x14ac:dyDescent="0.3">
      <c r="A2093" s="1">
        <v>44607</v>
      </c>
      <c r="B2093" s="2" t="s">
        <v>240</v>
      </c>
      <c r="C2093" s="2" t="s">
        <v>21</v>
      </c>
      <c r="D2093" s="2" t="s">
        <v>10</v>
      </c>
      <c r="E2093" s="2" t="s">
        <v>11</v>
      </c>
      <c r="F2093" s="2">
        <v>19.440000000000001</v>
      </c>
      <c r="G2093" s="2">
        <v>3</v>
      </c>
      <c r="H2093" s="2">
        <v>9.33</v>
      </c>
      <c r="I2093" t="str">
        <f t="shared" si="32"/>
        <v>Feb</v>
      </c>
      <c r="J2093">
        <f>YEAR(datas[[#This Row],[Order Date]])</f>
        <v>2022</v>
      </c>
    </row>
    <row r="2094" spans="1:10" ht="14.25" customHeight="1" x14ac:dyDescent="0.3">
      <c r="A2094" s="1">
        <v>44608</v>
      </c>
      <c r="B2094" s="2" t="s">
        <v>641</v>
      </c>
      <c r="C2094" s="2" t="s">
        <v>278</v>
      </c>
      <c r="D2094" s="2" t="s">
        <v>10</v>
      </c>
      <c r="E2094" s="2" t="s">
        <v>11</v>
      </c>
      <c r="F2094" s="2">
        <v>35.880000000000003</v>
      </c>
      <c r="G2094" s="2">
        <v>6</v>
      </c>
      <c r="H2094" s="2">
        <v>16.149999999999999</v>
      </c>
      <c r="I2094" t="str">
        <f t="shared" si="32"/>
        <v>Feb</v>
      </c>
      <c r="J2094">
        <f>YEAR(datas[[#This Row],[Order Date]])</f>
        <v>2022</v>
      </c>
    </row>
    <row r="2095" spans="1:10" ht="14.25" customHeight="1" x14ac:dyDescent="0.3">
      <c r="A2095" s="1">
        <v>44608</v>
      </c>
      <c r="B2095" s="2" t="s">
        <v>182</v>
      </c>
      <c r="C2095" s="2" t="s">
        <v>21</v>
      </c>
      <c r="D2095" s="2" t="s">
        <v>10</v>
      </c>
      <c r="E2095" s="2" t="s">
        <v>11</v>
      </c>
      <c r="F2095" s="2">
        <v>36.840000000000003</v>
      </c>
      <c r="G2095" s="2">
        <v>3</v>
      </c>
      <c r="H2095" s="2">
        <v>17.309999999999999</v>
      </c>
      <c r="I2095" t="str">
        <f t="shared" si="32"/>
        <v>Feb</v>
      </c>
      <c r="J2095">
        <f>YEAR(datas[[#This Row],[Order Date]])</f>
        <v>2022</v>
      </c>
    </row>
    <row r="2096" spans="1:10" ht="14.25" customHeight="1" x14ac:dyDescent="0.3">
      <c r="A2096" s="1">
        <v>44608</v>
      </c>
      <c r="B2096" s="2" t="s">
        <v>182</v>
      </c>
      <c r="C2096" s="2" t="s">
        <v>21</v>
      </c>
      <c r="D2096" s="2" t="s">
        <v>10</v>
      </c>
      <c r="E2096" s="2" t="s">
        <v>14</v>
      </c>
      <c r="F2096" s="2">
        <v>87.71</v>
      </c>
      <c r="G2096" s="2">
        <v>7</v>
      </c>
      <c r="H2096" s="2">
        <v>41.22</v>
      </c>
      <c r="I2096" t="str">
        <f t="shared" si="32"/>
        <v>Feb</v>
      </c>
      <c r="J2096">
        <f>YEAR(datas[[#This Row],[Order Date]])</f>
        <v>2022</v>
      </c>
    </row>
    <row r="2097" spans="1:10" ht="14.25" customHeight="1" x14ac:dyDescent="0.3">
      <c r="A2097" s="1">
        <v>44610</v>
      </c>
      <c r="B2097" s="2" t="s">
        <v>590</v>
      </c>
      <c r="C2097" s="2" t="s">
        <v>21</v>
      </c>
      <c r="D2097" s="2" t="s">
        <v>10</v>
      </c>
      <c r="E2097" s="2" t="s">
        <v>14</v>
      </c>
      <c r="F2097" s="2">
        <v>9.24</v>
      </c>
      <c r="G2097" s="2">
        <v>3</v>
      </c>
      <c r="H2097" s="2">
        <v>4.4400000000000004</v>
      </c>
      <c r="I2097" t="str">
        <f t="shared" si="32"/>
        <v>Feb</v>
      </c>
      <c r="J2097">
        <f>YEAR(datas[[#This Row],[Order Date]])</f>
        <v>2022</v>
      </c>
    </row>
    <row r="2098" spans="1:10" ht="14.25" customHeight="1" x14ac:dyDescent="0.3">
      <c r="A2098" s="1">
        <v>44610</v>
      </c>
      <c r="B2098" s="2" t="s">
        <v>678</v>
      </c>
      <c r="C2098" s="2" t="s">
        <v>21</v>
      </c>
      <c r="D2098" s="2" t="s">
        <v>10</v>
      </c>
      <c r="E2098" s="2" t="s">
        <v>14</v>
      </c>
      <c r="F2098" s="2">
        <v>61.06</v>
      </c>
      <c r="G2098" s="2">
        <v>2</v>
      </c>
      <c r="H2098" s="2">
        <v>28.09</v>
      </c>
      <c r="I2098" t="str">
        <f t="shared" si="32"/>
        <v>Feb</v>
      </c>
      <c r="J2098">
        <f>YEAR(datas[[#This Row],[Order Date]])</f>
        <v>2022</v>
      </c>
    </row>
    <row r="2099" spans="1:10" ht="14.25" customHeight="1" x14ac:dyDescent="0.3">
      <c r="A2099" s="1">
        <v>44610</v>
      </c>
      <c r="B2099" s="2" t="s">
        <v>678</v>
      </c>
      <c r="C2099" s="2" t="s">
        <v>21</v>
      </c>
      <c r="D2099" s="2" t="s">
        <v>26</v>
      </c>
      <c r="E2099" s="2" t="s">
        <v>73</v>
      </c>
      <c r="F2099" s="2">
        <v>35.54</v>
      </c>
      <c r="G2099" s="2">
        <v>1</v>
      </c>
      <c r="H2099" s="2">
        <v>-0.89</v>
      </c>
      <c r="I2099" t="str">
        <f t="shared" si="32"/>
        <v>Feb</v>
      </c>
      <c r="J2099">
        <f>YEAR(datas[[#This Row],[Order Date]])</f>
        <v>2022</v>
      </c>
    </row>
    <row r="2100" spans="1:10" ht="14.25" customHeight="1" x14ac:dyDescent="0.3">
      <c r="A2100" s="1">
        <v>44612</v>
      </c>
      <c r="B2100" s="2" t="s">
        <v>340</v>
      </c>
      <c r="C2100" s="2" t="s">
        <v>57</v>
      </c>
      <c r="D2100" s="2" t="s">
        <v>28</v>
      </c>
      <c r="E2100" s="2" t="s">
        <v>34</v>
      </c>
      <c r="F2100" s="2">
        <v>29.99</v>
      </c>
      <c r="G2100" s="2">
        <v>1</v>
      </c>
      <c r="H2100" s="2">
        <v>3</v>
      </c>
      <c r="I2100" t="str">
        <f t="shared" si="32"/>
        <v>Feb</v>
      </c>
      <c r="J2100">
        <f>YEAR(datas[[#This Row],[Order Date]])</f>
        <v>2022</v>
      </c>
    </row>
    <row r="2101" spans="1:10" ht="14.25" customHeight="1" x14ac:dyDescent="0.3">
      <c r="A2101" s="1">
        <v>44612</v>
      </c>
      <c r="B2101" s="2" t="s">
        <v>128</v>
      </c>
      <c r="C2101" s="2" t="s">
        <v>87</v>
      </c>
      <c r="D2101" s="2" t="s">
        <v>10</v>
      </c>
      <c r="E2101" s="2" t="s">
        <v>19</v>
      </c>
      <c r="F2101" s="2">
        <v>286.79000000000002</v>
      </c>
      <c r="G2101" s="2">
        <v>7</v>
      </c>
      <c r="H2101" s="2">
        <v>74.569999999999993</v>
      </c>
      <c r="I2101" t="str">
        <f t="shared" si="32"/>
        <v>Feb</v>
      </c>
      <c r="J2101">
        <f>YEAR(datas[[#This Row],[Order Date]])</f>
        <v>2022</v>
      </c>
    </row>
    <row r="2102" spans="1:10" ht="14.25" customHeight="1" x14ac:dyDescent="0.3">
      <c r="A2102" s="1">
        <v>44613</v>
      </c>
      <c r="B2102" s="2" t="s">
        <v>434</v>
      </c>
      <c r="C2102" s="2" t="s">
        <v>167</v>
      </c>
      <c r="D2102" s="2" t="s">
        <v>10</v>
      </c>
      <c r="E2102" s="2" t="s">
        <v>11</v>
      </c>
      <c r="F2102" s="2">
        <v>49.12</v>
      </c>
      <c r="G2102" s="2">
        <v>4</v>
      </c>
      <c r="H2102" s="2">
        <v>23.09</v>
      </c>
      <c r="I2102" t="str">
        <f t="shared" si="32"/>
        <v>Feb</v>
      </c>
      <c r="J2102">
        <f>YEAR(datas[[#This Row],[Order Date]])</f>
        <v>2022</v>
      </c>
    </row>
    <row r="2103" spans="1:10" ht="14.25" customHeight="1" x14ac:dyDescent="0.3">
      <c r="A2103" s="1">
        <v>44613</v>
      </c>
      <c r="B2103" s="2" t="s">
        <v>589</v>
      </c>
      <c r="C2103" s="2" t="s">
        <v>215</v>
      </c>
      <c r="D2103" s="2" t="s">
        <v>10</v>
      </c>
      <c r="E2103" s="2" t="s">
        <v>16</v>
      </c>
      <c r="F2103" s="2">
        <v>2541.98</v>
      </c>
      <c r="G2103" s="2">
        <v>2</v>
      </c>
      <c r="H2103" s="2">
        <v>1270.99</v>
      </c>
      <c r="I2103" t="str">
        <f t="shared" si="32"/>
        <v>Feb</v>
      </c>
      <c r="J2103">
        <f>YEAR(datas[[#This Row],[Order Date]])</f>
        <v>2022</v>
      </c>
    </row>
    <row r="2104" spans="1:10" ht="14.25" customHeight="1" x14ac:dyDescent="0.3">
      <c r="A2104" s="1">
        <v>44614</v>
      </c>
      <c r="B2104" s="2" t="s">
        <v>649</v>
      </c>
      <c r="C2104" s="2" t="s">
        <v>60</v>
      </c>
      <c r="D2104" s="2" t="s">
        <v>10</v>
      </c>
      <c r="E2104" s="2" t="s">
        <v>19</v>
      </c>
      <c r="F2104" s="2">
        <v>79.36</v>
      </c>
      <c r="G2104" s="2">
        <v>4</v>
      </c>
      <c r="H2104" s="2">
        <v>20.63</v>
      </c>
      <c r="I2104" t="str">
        <f t="shared" si="32"/>
        <v>Feb</v>
      </c>
      <c r="J2104">
        <f>YEAR(datas[[#This Row],[Order Date]])</f>
        <v>2022</v>
      </c>
    </row>
    <row r="2105" spans="1:10" ht="14.25" customHeight="1" x14ac:dyDescent="0.3">
      <c r="A2105" s="1">
        <v>44615</v>
      </c>
      <c r="B2105" s="2" t="s">
        <v>679</v>
      </c>
      <c r="C2105" s="2" t="s">
        <v>75</v>
      </c>
      <c r="D2105" s="2" t="s">
        <v>10</v>
      </c>
      <c r="E2105" s="2" t="s">
        <v>53</v>
      </c>
      <c r="F2105" s="2">
        <v>26.88</v>
      </c>
      <c r="G2105" s="2">
        <v>6</v>
      </c>
      <c r="H2105" s="2">
        <v>6.72</v>
      </c>
      <c r="I2105" t="str">
        <f t="shared" si="32"/>
        <v>Feb</v>
      </c>
      <c r="J2105">
        <f>YEAR(datas[[#This Row],[Order Date]])</f>
        <v>2022</v>
      </c>
    </row>
    <row r="2106" spans="1:10" ht="14.25" customHeight="1" x14ac:dyDescent="0.3">
      <c r="A2106" s="1">
        <v>44615</v>
      </c>
      <c r="B2106" s="2" t="s">
        <v>679</v>
      </c>
      <c r="C2106" s="2" t="s">
        <v>75</v>
      </c>
      <c r="D2106" s="2" t="s">
        <v>10</v>
      </c>
      <c r="E2106" s="2" t="s">
        <v>16</v>
      </c>
      <c r="F2106" s="2">
        <v>10.9</v>
      </c>
      <c r="G2106" s="2">
        <v>2</v>
      </c>
      <c r="H2106" s="2">
        <v>3.81</v>
      </c>
      <c r="I2106" t="str">
        <f t="shared" si="32"/>
        <v>Feb</v>
      </c>
      <c r="J2106">
        <f>YEAR(datas[[#This Row],[Order Date]])</f>
        <v>2022</v>
      </c>
    </row>
    <row r="2107" spans="1:10" ht="14.25" customHeight="1" x14ac:dyDescent="0.3">
      <c r="A2107" s="1">
        <v>44617</v>
      </c>
      <c r="B2107" s="2" t="s">
        <v>639</v>
      </c>
      <c r="C2107" s="2" t="s">
        <v>181</v>
      </c>
      <c r="D2107" s="2" t="s">
        <v>10</v>
      </c>
      <c r="E2107" s="2" t="s">
        <v>14</v>
      </c>
      <c r="F2107" s="2">
        <v>3.15</v>
      </c>
      <c r="G2107" s="2">
        <v>1</v>
      </c>
      <c r="H2107" s="2">
        <v>1.51</v>
      </c>
      <c r="I2107" t="str">
        <f t="shared" si="32"/>
        <v>Feb</v>
      </c>
      <c r="J2107">
        <f>YEAR(datas[[#This Row],[Order Date]])</f>
        <v>2022</v>
      </c>
    </row>
    <row r="2108" spans="1:10" ht="14.25" customHeight="1" x14ac:dyDescent="0.3">
      <c r="A2108" s="1">
        <v>44617</v>
      </c>
      <c r="B2108" s="2" t="s">
        <v>639</v>
      </c>
      <c r="C2108" s="2" t="s">
        <v>181</v>
      </c>
      <c r="D2108" s="2" t="s">
        <v>10</v>
      </c>
      <c r="E2108" s="2" t="s">
        <v>11</v>
      </c>
      <c r="F2108" s="2">
        <v>22.72</v>
      </c>
      <c r="G2108" s="2">
        <v>4</v>
      </c>
      <c r="H2108" s="2">
        <v>10.220000000000001</v>
      </c>
      <c r="I2108" t="str">
        <f t="shared" si="32"/>
        <v>Feb</v>
      </c>
      <c r="J2108">
        <f>YEAR(datas[[#This Row],[Order Date]])</f>
        <v>2022</v>
      </c>
    </row>
    <row r="2109" spans="1:10" ht="14.25" customHeight="1" x14ac:dyDescent="0.3">
      <c r="A2109" s="1">
        <v>44619</v>
      </c>
      <c r="B2109" s="2" t="s">
        <v>549</v>
      </c>
      <c r="C2109" s="2" t="s">
        <v>18</v>
      </c>
      <c r="D2109" s="2" t="s">
        <v>10</v>
      </c>
      <c r="E2109" s="2" t="s">
        <v>16</v>
      </c>
      <c r="F2109" s="2">
        <v>4.42</v>
      </c>
      <c r="G2109" s="2">
        <v>3</v>
      </c>
      <c r="H2109" s="2">
        <v>-3.39</v>
      </c>
      <c r="I2109" t="str">
        <f t="shared" si="32"/>
        <v>Feb</v>
      </c>
      <c r="J2109">
        <f>YEAR(datas[[#This Row],[Order Date]])</f>
        <v>2022</v>
      </c>
    </row>
    <row r="2110" spans="1:10" ht="14.25" customHeight="1" x14ac:dyDescent="0.3">
      <c r="A2110" s="1">
        <v>44619</v>
      </c>
      <c r="B2110" s="2" t="s">
        <v>549</v>
      </c>
      <c r="C2110" s="2" t="s">
        <v>18</v>
      </c>
      <c r="D2110" s="2" t="s">
        <v>10</v>
      </c>
      <c r="E2110" s="2" t="s">
        <v>19</v>
      </c>
      <c r="F2110" s="2">
        <v>16.03</v>
      </c>
      <c r="G2110" s="2">
        <v>6</v>
      </c>
      <c r="H2110" s="2">
        <v>2.2000000000000002</v>
      </c>
      <c r="I2110" t="str">
        <f t="shared" si="32"/>
        <v>Feb</v>
      </c>
      <c r="J2110">
        <f>YEAR(datas[[#This Row],[Order Date]])</f>
        <v>2022</v>
      </c>
    </row>
    <row r="2111" spans="1:10" ht="14.25" customHeight="1" x14ac:dyDescent="0.3">
      <c r="A2111" s="1">
        <v>44619</v>
      </c>
      <c r="B2111" s="2" t="s">
        <v>513</v>
      </c>
      <c r="C2111" s="2" t="s">
        <v>553</v>
      </c>
      <c r="D2111" s="2" t="s">
        <v>28</v>
      </c>
      <c r="E2111" s="2" t="s">
        <v>29</v>
      </c>
      <c r="F2111" s="2">
        <v>105.98</v>
      </c>
      <c r="G2111" s="2">
        <v>2</v>
      </c>
      <c r="H2111" s="2">
        <v>1.06</v>
      </c>
      <c r="I2111" t="str">
        <f t="shared" si="32"/>
        <v>Feb</v>
      </c>
      <c r="J2111">
        <f>YEAR(datas[[#This Row],[Order Date]])</f>
        <v>2022</v>
      </c>
    </row>
    <row r="2112" spans="1:10" ht="14.25" customHeight="1" x14ac:dyDescent="0.3">
      <c r="A2112" s="1">
        <v>44619</v>
      </c>
      <c r="B2112" s="2" t="s">
        <v>513</v>
      </c>
      <c r="C2112" s="2" t="s">
        <v>553</v>
      </c>
      <c r="D2112" s="2" t="s">
        <v>26</v>
      </c>
      <c r="E2112" s="2" t="s">
        <v>73</v>
      </c>
      <c r="F2112" s="2">
        <v>493.92</v>
      </c>
      <c r="G2112" s="2">
        <v>7</v>
      </c>
      <c r="H2112" s="2">
        <v>-28.22</v>
      </c>
      <c r="I2112" t="str">
        <f t="shared" si="32"/>
        <v>Feb</v>
      </c>
      <c r="J2112">
        <f>YEAR(datas[[#This Row],[Order Date]])</f>
        <v>2022</v>
      </c>
    </row>
    <row r="2113" spans="1:10" ht="14.25" customHeight="1" x14ac:dyDescent="0.3">
      <c r="A2113" s="1">
        <v>44619</v>
      </c>
      <c r="B2113" s="2" t="s">
        <v>680</v>
      </c>
      <c r="C2113" s="2" t="s">
        <v>82</v>
      </c>
      <c r="D2113" s="2" t="s">
        <v>28</v>
      </c>
      <c r="E2113" s="2" t="s">
        <v>34</v>
      </c>
      <c r="F2113" s="2">
        <v>538.91999999999996</v>
      </c>
      <c r="G2113" s="2">
        <v>9</v>
      </c>
      <c r="H2113" s="2">
        <v>80.84</v>
      </c>
      <c r="I2113" t="str">
        <f t="shared" si="32"/>
        <v>Feb</v>
      </c>
      <c r="J2113">
        <f>YEAR(datas[[#This Row],[Order Date]])</f>
        <v>2022</v>
      </c>
    </row>
    <row r="2114" spans="1:10" ht="14.25" customHeight="1" x14ac:dyDescent="0.3">
      <c r="A2114" s="1">
        <v>44620</v>
      </c>
      <c r="B2114" s="2" t="s">
        <v>398</v>
      </c>
      <c r="C2114" s="2" t="s">
        <v>62</v>
      </c>
      <c r="D2114" s="2" t="s">
        <v>26</v>
      </c>
      <c r="E2114" s="2" t="s">
        <v>27</v>
      </c>
      <c r="F2114" s="2">
        <v>161.57</v>
      </c>
      <c r="G2114" s="2">
        <v>2</v>
      </c>
      <c r="H2114" s="2">
        <v>-28.27</v>
      </c>
      <c r="I2114" t="str">
        <f t="shared" si="32"/>
        <v>Feb</v>
      </c>
      <c r="J2114">
        <f>YEAR(datas[[#This Row],[Order Date]])</f>
        <v>2022</v>
      </c>
    </row>
    <row r="2115" spans="1:10" ht="14.25" customHeight="1" x14ac:dyDescent="0.3">
      <c r="A2115" s="1">
        <v>44620</v>
      </c>
      <c r="B2115" s="2" t="s">
        <v>398</v>
      </c>
      <c r="C2115" s="2" t="s">
        <v>62</v>
      </c>
      <c r="D2115" s="2" t="s">
        <v>26</v>
      </c>
      <c r="E2115" s="2" t="s">
        <v>27</v>
      </c>
      <c r="F2115" s="2">
        <v>389.7</v>
      </c>
      <c r="G2115" s="2">
        <v>8</v>
      </c>
      <c r="H2115" s="2">
        <v>43.84</v>
      </c>
      <c r="I2115" t="str">
        <f t="shared" ref="I2115:I2178" si="33">TEXT(A2115,"mmm")</f>
        <v>Feb</v>
      </c>
      <c r="J2115">
        <f>YEAR(datas[[#This Row],[Order Date]])</f>
        <v>2022</v>
      </c>
    </row>
    <row r="2116" spans="1:10" ht="14.25" customHeight="1" x14ac:dyDescent="0.3">
      <c r="A2116" s="1">
        <v>44621</v>
      </c>
      <c r="B2116" s="2" t="s">
        <v>93</v>
      </c>
      <c r="C2116" s="2" t="s">
        <v>23</v>
      </c>
      <c r="D2116" s="2" t="s">
        <v>10</v>
      </c>
      <c r="E2116" s="2" t="s">
        <v>16</v>
      </c>
      <c r="F2116" s="2">
        <v>58.72</v>
      </c>
      <c r="G2116" s="2">
        <v>4</v>
      </c>
      <c r="H2116" s="2">
        <v>27.01</v>
      </c>
      <c r="I2116" t="str">
        <f t="shared" si="33"/>
        <v>Mar</v>
      </c>
      <c r="J2116">
        <f>YEAR(datas[[#This Row],[Order Date]])</f>
        <v>2022</v>
      </c>
    </row>
    <row r="2117" spans="1:10" ht="14.25" customHeight="1" x14ac:dyDescent="0.3">
      <c r="A2117" s="1">
        <v>44621</v>
      </c>
      <c r="B2117" s="2" t="s">
        <v>598</v>
      </c>
      <c r="C2117" s="2" t="s">
        <v>21</v>
      </c>
      <c r="D2117" s="2" t="s">
        <v>28</v>
      </c>
      <c r="E2117" s="2" t="s">
        <v>29</v>
      </c>
      <c r="F2117" s="2">
        <v>15.98</v>
      </c>
      <c r="G2117" s="2">
        <v>2</v>
      </c>
      <c r="H2117" s="2">
        <v>1.2</v>
      </c>
      <c r="I2117" t="str">
        <f t="shared" si="33"/>
        <v>Mar</v>
      </c>
      <c r="J2117">
        <f>YEAR(datas[[#This Row],[Order Date]])</f>
        <v>2022</v>
      </c>
    </row>
    <row r="2118" spans="1:10" ht="14.25" customHeight="1" x14ac:dyDescent="0.3">
      <c r="A2118" s="1">
        <v>44621</v>
      </c>
      <c r="B2118" s="2" t="s">
        <v>598</v>
      </c>
      <c r="C2118" s="2" t="s">
        <v>21</v>
      </c>
      <c r="D2118" s="2" t="s">
        <v>26</v>
      </c>
      <c r="E2118" s="2" t="s">
        <v>27</v>
      </c>
      <c r="F2118" s="2">
        <v>184.75</v>
      </c>
      <c r="G2118" s="2">
        <v>3</v>
      </c>
      <c r="H2118" s="2">
        <v>-20.78</v>
      </c>
      <c r="I2118" t="str">
        <f t="shared" si="33"/>
        <v>Mar</v>
      </c>
      <c r="J2118">
        <f>YEAR(datas[[#This Row],[Order Date]])</f>
        <v>2022</v>
      </c>
    </row>
    <row r="2119" spans="1:10" ht="14.25" customHeight="1" x14ac:dyDescent="0.3">
      <c r="A2119" s="1">
        <v>44621</v>
      </c>
      <c r="B2119" s="2" t="s">
        <v>285</v>
      </c>
      <c r="C2119" s="2" t="s">
        <v>18</v>
      </c>
      <c r="D2119" s="2" t="s">
        <v>10</v>
      </c>
      <c r="E2119" s="2" t="s">
        <v>53</v>
      </c>
      <c r="F2119" s="2">
        <v>3.55</v>
      </c>
      <c r="G2119" s="2">
        <v>2</v>
      </c>
      <c r="H2119" s="2">
        <v>0.44</v>
      </c>
      <c r="I2119" t="str">
        <f t="shared" si="33"/>
        <v>Mar</v>
      </c>
      <c r="J2119">
        <f>YEAR(datas[[#This Row],[Order Date]])</f>
        <v>2022</v>
      </c>
    </row>
    <row r="2120" spans="1:10" ht="14.25" customHeight="1" x14ac:dyDescent="0.3">
      <c r="A2120" s="1">
        <v>44621</v>
      </c>
      <c r="B2120" s="2" t="s">
        <v>123</v>
      </c>
      <c r="C2120" s="2" t="s">
        <v>9</v>
      </c>
      <c r="D2120" s="2" t="s">
        <v>10</v>
      </c>
      <c r="E2120" s="2" t="s">
        <v>19</v>
      </c>
      <c r="F2120" s="2">
        <v>55.33</v>
      </c>
      <c r="G2120" s="2">
        <v>2</v>
      </c>
      <c r="H2120" s="2">
        <v>6.22</v>
      </c>
      <c r="I2120" t="str">
        <f t="shared" si="33"/>
        <v>Mar</v>
      </c>
      <c r="J2120">
        <f>YEAR(datas[[#This Row],[Order Date]])</f>
        <v>2022</v>
      </c>
    </row>
    <row r="2121" spans="1:10" ht="14.25" customHeight="1" x14ac:dyDescent="0.3">
      <c r="A2121" s="1">
        <v>44621</v>
      </c>
      <c r="B2121" s="2" t="s">
        <v>123</v>
      </c>
      <c r="C2121" s="2" t="s">
        <v>9</v>
      </c>
      <c r="D2121" s="2" t="s">
        <v>26</v>
      </c>
      <c r="E2121" s="2" t="s">
        <v>45</v>
      </c>
      <c r="F2121" s="2">
        <v>1228</v>
      </c>
      <c r="G2121" s="2">
        <v>6</v>
      </c>
      <c r="H2121" s="2">
        <v>-36.119999999999997</v>
      </c>
      <c r="I2121" t="str">
        <f t="shared" si="33"/>
        <v>Mar</v>
      </c>
      <c r="J2121">
        <f>YEAR(datas[[#This Row],[Order Date]])</f>
        <v>2022</v>
      </c>
    </row>
    <row r="2122" spans="1:10" ht="14.25" customHeight="1" x14ac:dyDescent="0.3">
      <c r="A2122" s="1">
        <v>44621</v>
      </c>
      <c r="B2122" s="2" t="s">
        <v>681</v>
      </c>
      <c r="C2122" s="2" t="s">
        <v>9</v>
      </c>
      <c r="D2122" s="2" t="s">
        <v>28</v>
      </c>
      <c r="E2122" s="2" t="s">
        <v>29</v>
      </c>
      <c r="F2122" s="2">
        <v>95.84</v>
      </c>
      <c r="G2122" s="2">
        <v>4</v>
      </c>
      <c r="H2122" s="2">
        <v>34.74</v>
      </c>
      <c r="I2122" t="str">
        <f t="shared" si="33"/>
        <v>Mar</v>
      </c>
      <c r="J2122">
        <f>YEAR(datas[[#This Row],[Order Date]])</f>
        <v>2022</v>
      </c>
    </row>
    <row r="2123" spans="1:10" ht="14.25" customHeight="1" x14ac:dyDescent="0.3">
      <c r="A2123" s="1">
        <v>44622</v>
      </c>
      <c r="B2123" s="2" t="s">
        <v>682</v>
      </c>
      <c r="C2123" s="2" t="s">
        <v>82</v>
      </c>
      <c r="D2123" s="2" t="s">
        <v>26</v>
      </c>
      <c r="E2123" s="2" t="s">
        <v>73</v>
      </c>
      <c r="F2123" s="2">
        <v>787.53</v>
      </c>
      <c r="G2123" s="2">
        <v>3</v>
      </c>
      <c r="H2123" s="2">
        <v>165.38</v>
      </c>
      <c r="I2123" t="str">
        <f t="shared" si="33"/>
        <v>Mar</v>
      </c>
      <c r="J2123">
        <f>YEAR(datas[[#This Row],[Order Date]])</f>
        <v>2022</v>
      </c>
    </row>
    <row r="2124" spans="1:10" ht="14.25" customHeight="1" x14ac:dyDescent="0.3">
      <c r="A2124" s="1">
        <v>44622</v>
      </c>
      <c r="B2124" s="2" t="s">
        <v>271</v>
      </c>
      <c r="C2124" s="2" t="s">
        <v>68</v>
      </c>
      <c r="D2124" s="2" t="s">
        <v>10</v>
      </c>
      <c r="E2124" s="2" t="s">
        <v>19</v>
      </c>
      <c r="F2124" s="2">
        <v>10.16</v>
      </c>
      <c r="G2124" s="2">
        <v>1</v>
      </c>
      <c r="H2124" s="2">
        <v>2.64</v>
      </c>
      <c r="I2124" t="str">
        <f t="shared" si="33"/>
        <v>Mar</v>
      </c>
      <c r="J2124">
        <f>YEAR(datas[[#This Row],[Order Date]])</f>
        <v>2022</v>
      </c>
    </row>
    <row r="2125" spans="1:10" ht="14.25" customHeight="1" x14ac:dyDescent="0.3">
      <c r="A2125" s="1">
        <v>44622</v>
      </c>
      <c r="B2125" s="2" t="s">
        <v>271</v>
      </c>
      <c r="C2125" s="2" t="s">
        <v>68</v>
      </c>
      <c r="D2125" s="2" t="s">
        <v>10</v>
      </c>
      <c r="E2125" s="2" t="s">
        <v>41</v>
      </c>
      <c r="F2125" s="2">
        <v>101.88</v>
      </c>
      <c r="G2125" s="2">
        <v>6</v>
      </c>
      <c r="H2125" s="2">
        <v>50.94</v>
      </c>
      <c r="I2125" t="str">
        <f t="shared" si="33"/>
        <v>Mar</v>
      </c>
      <c r="J2125">
        <f>YEAR(datas[[#This Row],[Order Date]])</f>
        <v>2022</v>
      </c>
    </row>
    <row r="2126" spans="1:10" ht="14.25" customHeight="1" x14ac:dyDescent="0.3">
      <c r="A2126" s="1">
        <v>44625</v>
      </c>
      <c r="B2126" s="2" t="s">
        <v>390</v>
      </c>
      <c r="C2126" s="2" t="s">
        <v>75</v>
      </c>
      <c r="D2126" s="2" t="s">
        <v>10</v>
      </c>
      <c r="E2126" s="2" t="s">
        <v>41</v>
      </c>
      <c r="F2126" s="2">
        <v>29.34</v>
      </c>
      <c r="G2126" s="2">
        <v>3</v>
      </c>
      <c r="H2126" s="2">
        <v>14.67</v>
      </c>
      <c r="I2126" t="str">
        <f t="shared" si="33"/>
        <v>Mar</v>
      </c>
      <c r="J2126">
        <f>YEAR(datas[[#This Row],[Order Date]])</f>
        <v>2022</v>
      </c>
    </row>
    <row r="2127" spans="1:10" ht="14.25" customHeight="1" x14ac:dyDescent="0.3">
      <c r="A2127" s="1">
        <v>44625</v>
      </c>
      <c r="B2127" s="2" t="s">
        <v>390</v>
      </c>
      <c r="C2127" s="2" t="s">
        <v>75</v>
      </c>
      <c r="D2127" s="2" t="s">
        <v>26</v>
      </c>
      <c r="E2127" s="2" t="s">
        <v>27</v>
      </c>
      <c r="F2127" s="2">
        <v>383.61</v>
      </c>
      <c r="G2127" s="2">
        <v>7</v>
      </c>
      <c r="H2127" s="2">
        <v>63.93</v>
      </c>
      <c r="I2127" t="str">
        <f t="shared" si="33"/>
        <v>Mar</v>
      </c>
      <c r="J2127">
        <f>YEAR(datas[[#This Row],[Order Date]])</f>
        <v>2022</v>
      </c>
    </row>
    <row r="2128" spans="1:10" ht="14.25" customHeight="1" x14ac:dyDescent="0.3">
      <c r="A2128" s="1">
        <v>44625</v>
      </c>
      <c r="B2128" s="2" t="s">
        <v>390</v>
      </c>
      <c r="C2128" s="2" t="s">
        <v>75</v>
      </c>
      <c r="D2128" s="2" t="s">
        <v>10</v>
      </c>
      <c r="E2128" s="2" t="s">
        <v>15</v>
      </c>
      <c r="F2128" s="2">
        <v>563.4</v>
      </c>
      <c r="G2128" s="2">
        <v>4</v>
      </c>
      <c r="H2128" s="2">
        <v>67.61</v>
      </c>
      <c r="I2128" t="str">
        <f t="shared" si="33"/>
        <v>Mar</v>
      </c>
      <c r="J2128">
        <f>YEAR(datas[[#This Row],[Order Date]])</f>
        <v>2022</v>
      </c>
    </row>
    <row r="2129" spans="1:10" ht="14.25" customHeight="1" x14ac:dyDescent="0.3">
      <c r="A2129" s="1">
        <v>44625</v>
      </c>
      <c r="B2129" s="2" t="s">
        <v>654</v>
      </c>
      <c r="C2129" s="2" t="s">
        <v>68</v>
      </c>
      <c r="D2129" s="2" t="s">
        <v>28</v>
      </c>
      <c r="E2129" s="2" t="s">
        <v>29</v>
      </c>
      <c r="F2129" s="2">
        <v>23.92</v>
      </c>
      <c r="G2129" s="2">
        <v>2</v>
      </c>
      <c r="H2129" s="2">
        <v>6.7</v>
      </c>
      <c r="I2129" t="str">
        <f t="shared" si="33"/>
        <v>Mar</v>
      </c>
      <c r="J2129">
        <f>YEAR(datas[[#This Row],[Order Date]])</f>
        <v>2022</v>
      </c>
    </row>
    <row r="2130" spans="1:10" ht="14.25" customHeight="1" x14ac:dyDescent="0.3">
      <c r="A2130" s="1">
        <v>44625</v>
      </c>
      <c r="B2130" s="2" t="s">
        <v>654</v>
      </c>
      <c r="C2130" s="2" t="s">
        <v>68</v>
      </c>
      <c r="D2130" s="2" t="s">
        <v>10</v>
      </c>
      <c r="E2130" s="2" t="s">
        <v>53</v>
      </c>
      <c r="F2130" s="2">
        <v>60.69</v>
      </c>
      <c r="G2130" s="2">
        <v>7</v>
      </c>
      <c r="H2130" s="2">
        <v>16.39</v>
      </c>
      <c r="I2130" t="str">
        <f t="shared" si="33"/>
        <v>Mar</v>
      </c>
      <c r="J2130">
        <f>YEAR(datas[[#This Row],[Order Date]])</f>
        <v>2022</v>
      </c>
    </row>
    <row r="2131" spans="1:10" ht="14.25" customHeight="1" x14ac:dyDescent="0.3">
      <c r="A2131" s="1">
        <v>44625</v>
      </c>
      <c r="B2131" s="2" t="s">
        <v>621</v>
      </c>
      <c r="C2131" s="2" t="s">
        <v>18</v>
      </c>
      <c r="D2131" s="2" t="s">
        <v>28</v>
      </c>
      <c r="E2131" s="2" t="s">
        <v>29</v>
      </c>
      <c r="F2131" s="2">
        <v>466.16</v>
      </c>
      <c r="G2131" s="2">
        <v>7</v>
      </c>
      <c r="H2131" s="2">
        <v>-93.23</v>
      </c>
      <c r="I2131" t="str">
        <f t="shared" si="33"/>
        <v>Mar</v>
      </c>
      <c r="J2131">
        <f>YEAR(datas[[#This Row],[Order Date]])</f>
        <v>2022</v>
      </c>
    </row>
    <row r="2132" spans="1:10" ht="14.25" customHeight="1" x14ac:dyDescent="0.3">
      <c r="A2132" s="1">
        <v>44625</v>
      </c>
      <c r="B2132" s="2" t="s">
        <v>621</v>
      </c>
      <c r="C2132" s="2" t="s">
        <v>18</v>
      </c>
      <c r="D2132" s="2" t="s">
        <v>28</v>
      </c>
      <c r="E2132" s="2" t="s">
        <v>34</v>
      </c>
      <c r="F2132" s="2">
        <v>10.31</v>
      </c>
      <c r="G2132" s="2">
        <v>1</v>
      </c>
      <c r="H2132" s="2">
        <v>-1.29</v>
      </c>
      <c r="I2132" t="str">
        <f t="shared" si="33"/>
        <v>Mar</v>
      </c>
      <c r="J2132">
        <f>YEAR(datas[[#This Row],[Order Date]])</f>
        <v>2022</v>
      </c>
    </row>
    <row r="2133" spans="1:10" ht="14.25" customHeight="1" x14ac:dyDescent="0.3">
      <c r="A2133" s="1">
        <v>44625</v>
      </c>
      <c r="B2133" s="2" t="s">
        <v>621</v>
      </c>
      <c r="C2133" s="2" t="s">
        <v>18</v>
      </c>
      <c r="D2133" s="2" t="s">
        <v>10</v>
      </c>
      <c r="E2133" s="2" t="s">
        <v>16</v>
      </c>
      <c r="F2133" s="2">
        <v>2.56</v>
      </c>
      <c r="G2133" s="2">
        <v>3</v>
      </c>
      <c r="H2133" s="2">
        <v>-1.79</v>
      </c>
      <c r="I2133" t="str">
        <f t="shared" si="33"/>
        <v>Mar</v>
      </c>
      <c r="J2133">
        <f>YEAR(datas[[#This Row],[Order Date]])</f>
        <v>2022</v>
      </c>
    </row>
    <row r="2134" spans="1:10" ht="14.25" customHeight="1" x14ac:dyDescent="0.3">
      <c r="A2134" s="1">
        <v>44625</v>
      </c>
      <c r="B2134" s="2" t="s">
        <v>683</v>
      </c>
      <c r="C2134" s="2" t="s">
        <v>18</v>
      </c>
      <c r="D2134" s="2" t="s">
        <v>26</v>
      </c>
      <c r="E2134" s="2" t="s">
        <v>27</v>
      </c>
      <c r="F2134" s="2">
        <v>99.37</v>
      </c>
      <c r="G2134" s="2">
        <v>2</v>
      </c>
      <c r="H2134" s="2">
        <v>-7.1</v>
      </c>
      <c r="I2134" t="str">
        <f t="shared" si="33"/>
        <v>Mar</v>
      </c>
      <c r="J2134">
        <f>YEAR(datas[[#This Row],[Order Date]])</f>
        <v>2022</v>
      </c>
    </row>
    <row r="2135" spans="1:10" ht="14.25" customHeight="1" x14ac:dyDescent="0.3">
      <c r="A2135" s="1">
        <v>44625</v>
      </c>
      <c r="B2135" s="2" t="s">
        <v>683</v>
      </c>
      <c r="C2135" s="2" t="s">
        <v>18</v>
      </c>
      <c r="D2135" s="2" t="s">
        <v>26</v>
      </c>
      <c r="E2135" s="2" t="s">
        <v>32</v>
      </c>
      <c r="F2135" s="2">
        <v>33.57</v>
      </c>
      <c r="G2135" s="2">
        <v>2</v>
      </c>
      <c r="H2135" s="2">
        <v>-5.45</v>
      </c>
      <c r="I2135" t="str">
        <f t="shared" si="33"/>
        <v>Mar</v>
      </c>
      <c r="J2135">
        <f>YEAR(datas[[#This Row],[Order Date]])</f>
        <v>2022</v>
      </c>
    </row>
    <row r="2136" spans="1:10" ht="14.25" customHeight="1" x14ac:dyDescent="0.3">
      <c r="A2136" s="1">
        <v>44625</v>
      </c>
      <c r="B2136" s="2" t="s">
        <v>76</v>
      </c>
      <c r="C2136" s="2" t="s">
        <v>9</v>
      </c>
      <c r="D2136" s="2" t="s">
        <v>28</v>
      </c>
      <c r="E2136" s="2" t="s">
        <v>29</v>
      </c>
      <c r="F2136" s="2">
        <v>31.92</v>
      </c>
      <c r="G2136" s="2">
        <v>2</v>
      </c>
      <c r="H2136" s="2">
        <v>2.39</v>
      </c>
      <c r="I2136" t="str">
        <f t="shared" si="33"/>
        <v>Mar</v>
      </c>
      <c r="J2136">
        <f>YEAR(datas[[#This Row],[Order Date]])</f>
        <v>2022</v>
      </c>
    </row>
    <row r="2137" spans="1:10" ht="14.25" customHeight="1" x14ac:dyDescent="0.3">
      <c r="A2137" s="1">
        <v>44625</v>
      </c>
      <c r="B2137" s="2" t="s">
        <v>684</v>
      </c>
      <c r="C2137" s="2" t="s">
        <v>13</v>
      </c>
      <c r="D2137" s="2" t="s">
        <v>10</v>
      </c>
      <c r="E2137" s="2" t="s">
        <v>30</v>
      </c>
      <c r="F2137" s="2">
        <v>7.1</v>
      </c>
      <c r="G2137" s="2">
        <v>6</v>
      </c>
      <c r="H2137" s="2">
        <v>2.4900000000000002</v>
      </c>
      <c r="I2137" t="str">
        <f t="shared" si="33"/>
        <v>Mar</v>
      </c>
      <c r="J2137">
        <f>YEAR(datas[[#This Row],[Order Date]])</f>
        <v>2022</v>
      </c>
    </row>
    <row r="2138" spans="1:10" ht="14.25" customHeight="1" x14ac:dyDescent="0.3">
      <c r="A2138" s="1">
        <v>44625</v>
      </c>
      <c r="B2138" s="2" t="s">
        <v>459</v>
      </c>
      <c r="C2138" s="2" t="s">
        <v>13</v>
      </c>
      <c r="D2138" s="2" t="s">
        <v>10</v>
      </c>
      <c r="E2138" s="2" t="s">
        <v>16</v>
      </c>
      <c r="F2138" s="2">
        <v>11.21</v>
      </c>
      <c r="G2138" s="2">
        <v>2</v>
      </c>
      <c r="H2138" s="2">
        <v>-16.82</v>
      </c>
      <c r="I2138" t="str">
        <f t="shared" si="33"/>
        <v>Mar</v>
      </c>
      <c r="J2138">
        <f>YEAR(datas[[#This Row],[Order Date]])</f>
        <v>2022</v>
      </c>
    </row>
    <row r="2139" spans="1:10" ht="14.25" customHeight="1" x14ac:dyDescent="0.3">
      <c r="A2139" s="1">
        <v>44625</v>
      </c>
      <c r="B2139" s="2" t="s">
        <v>459</v>
      </c>
      <c r="C2139" s="2" t="s">
        <v>13</v>
      </c>
      <c r="D2139" s="2" t="s">
        <v>26</v>
      </c>
      <c r="E2139" s="2" t="s">
        <v>32</v>
      </c>
      <c r="F2139" s="2">
        <v>4.71</v>
      </c>
      <c r="G2139" s="2">
        <v>2</v>
      </c>
      <c r="H2139" s="2">
        <v>-1.88</v>
      </c>
      <c r="I2139" t="str">
        <f t="shared" si="33"/>
        <v>Mar</v>
      </c>
      <c r="J2139">
        <f>YEAR(datas[[#This Row],[Order Date]])</f>
        <v>2022</v>
      </c>
    </row>
    <row r="2140" spans="1:10" ht="14.25" customHeight="1" x14ac:dyDescent="0.3">
      <c r="A2140" s="1">
        <v>44625</v>
      </c>
      <c r="B2140" s="2" t="s">
        <v>459</v>
      </c>
      <c r="C2140" s="2" t="s">
        <v>13</v>
      </c>
      <c r="D2140" s="2" t="s">
        <v>10</v>
      </c>
      <c r="E2140" s="2" t="s">
        <v>53</v>
      </c>
      <c r="F2140" s="2">
        <v>180.98</v>
      </c>
      <c r="G2140" s="2">
        <v>5</v>
      </c>
      <c r="H2140" s="2">
        <v>-470.55</v>
      </c>
      <c r="I2140" t="str">
        <f t="shared" si="33"/>
        <v>Mar</v>
      </c>
      <c r="J2140">
        <f>YEAR(datas[[#This Row],[Order Date]])</f>
        <v>2022</v>
      </c>
    </row>
    <row r="2141" spans="1:10" ht="14.25" customHeight="1" x14ac:dyDescent="0.3">
      <c r="A2141" s="1">
        <v>44625</v>
      </c>
      <c r="B2141" s="2" t="s">
        <v>459</v>
      </c>
      <c r="C2141" s="2" t="s">
        <v>13</v>
      </c>
      <c r="D2141" s="2" t="s">
        <v>10</v>
      </c>
      <c r="E2141" s="2" t="s">
        <v>15</v>
      </c>
      <c r="F2141" s="2">
        <v>60.42</v>
      </c>
      <c r="G2141" s="2">
        <v>2</v>
      </c>
      <c r="H2141" s="2">
        <v>6.04</v>
      </c>
      <c r="I2141" t="str">
        <f t="shared" si="33"/>
        <v>Mar</v>
      </c>
      <c r="J2141">
        <f>YEAR(datas[[#This Row],[Order Date]])</f>
        <v>2022</v>
      </c>
    </row>
    <row r="2142" spans="1:10" ht="14.25" customHeight="1" x14ac:dyDescent="0.3">
      <c r="A2142" s="1">
        <v>44626</v>
      </c>
      <c r="B2142" s="2" t="s">
        <v>384</v>
      </c>
      <c r="C2142" s="2" t="s">
        <v>21</v>
      </c>
      <c r="D2142" s="2" t="s">
        <v>26</v>
      </c>
      <c r="E2142" s="2" t="s">
        <v>32</v>
      </c>
      <c r="F2142" s="2">
        <v>435.26</v>
      </c>
      <c r="G2142" s="2">
        <v>7</v>
      </c>
      <c r="H2142" s="2">
        <v>95.76</v>
      </c>
      <c r="I2142" t="str">
        <f t="shared" si="33"/>
        <v>Mar</v>
      </c>
      <c r="J2142">
        <f>YEAR(datas[[#This Row],[Order Date]])</f>
        <v>2022</v>
      </c>
    </row>
    <row r="2143" spans="1:10" ht="14.25" customHeight="1" x14ac:dyDescent="0.3">
      <c r="A2143" s="1">
        <v>44626</v>
      </c>
      <c r="B2143" s="2" t="s">
        <v>384</v>
      </c>
      <c r="C2143" s="2" t="s">
        <v>21</v>
      </c>
      <c r="D2143" s="2" t="s">
        <v>28</v>
      </c>
      <c r="E2143" s="2" t="s">
        <v>243</v>
      </c>
      <c r="F2143" s="2">
        <v>1119.98</v>
      </c>
      <c r="G2143" s="2">
        <v>2</v>
      </c>
      <c r="H2143" s="2">
        <v>377.99</v>
      </c>
      <c r="I2143" t="str">
        <f t="shared" si="33"/>
        <v>Mar</v>
      </c>
      <c r="J2143">
        <f>YEAR(datas[[#This Row],[Order Date]])</f>
        <v>2022</v>
      </c>
    </row>
    <row r="2144" spans="1:10" ht="14.25" customHeight="1" x14ac:dyDescent="0.3">
      <c r="A2144" s="1">
        <v>44627</v>
      </c>
      <c r="B2144" s="2" t="s">
        <v>374</v>
      </c>
      <c r="C2144" s="2" t="s">
        <v>38</v>
      </c>
      <c r="D2144" s="2" t="s">
        <v>28</v>
      </c>
      <c r="E2144" s="2" t="s">
        <v>34</v>
      </c>
      <c r="F2144" s="2">
        <v>119.85</v>
      </c>
      <c r="G2144" s="2">
        <v>3</v>
      </c>
      <c r="H2144" s="2">
        <v>52.73</v>
      </c>
      <c r="I2144" t="str">
        <f t="shared" si="33"/>
        <v>Mar</v>
      </c>
      <c r="J2144">
        <f>YEAR(datas[[#This Row],[Order Date]])</f>
        <v>2022</v>
      </c>
    </row>
    <row r="2145" spans="1:10" ht="14.25" customHeight="1" x14ac:dyDescent="0.3">
      <c r="A2145" s="1">
        <v>44627</v>
      </c>
      <c r="B2145" s="2" t="s">
        <v>374</v>
      </c>
      <c r="C2145" s="2" t="s">
        <v>38</v>
      </c>
      <c r="D2145" s="2" t="s">
        <v>10</v>
      </c>
      <c r="E2145" s="2" t="s">
        <v>16</v>
      </c>
      <c r="F2145" s="2">
        <v>30.44</v>
      </c>
      <c r="G2145" s="2">
        <v>2</v>
      </c>
      <c r="H2145" s="2">
        <v>14.92</v>
      </c>
      <c r="I2145" t="str">
        <f t="shared" si="33"/>
        <v>Mar</v>
      </c>
      <c r="J2145">
        <f>YEAR(datas[[#This Row],[Order Date]])</f>
        <v>2022</v>
      </c>
    </row>
    <row r="2146" spans="1:10" ht="14.25" customHeight="1" x14ac:dyDescent="0.3">
      <c r="A2146" s="1">
        <v>44627</v>
      </c>
      <c r="B2146" s="2" t="s">
        <v>374</v>
      </c>
      <c r="C2146" s="2" t="s">
        <v>38</v>
      </c>
      <c r="D2146" s="2" t="s">
        <v>10</v>
      </c>
      <c r="E2146" s="2" t="s">
        <v>16</v>
      </c>
      <c r="F2146" s="2">
        <v>69.28</v>
      </c>
      <c r="G2146" s="2">
        <v>2</v>
      </c>
      <c r="H2146" s="2">
        <v>33.25</v>
      </c>
      <c r="I2146" t="str">
        <f t="shared" si="33"/>
        <v>Mar</v>
      </c>
      <c r="J2146">
        <f>YEAR(datas[[#This Row],[Order Date]])</f>
        <v>2022</v>
      </c>
    </row>
    <row r="2147" spans="1:10" ht="14.25" customHeight="1" x14ac:dyDescent="0.3">
      <c r="A2147" s="1">
        <v>44627</v>
      </c>
      <c r="B2147" s="2" t="s">
        <v>374</v>
      </c>
      <c r="C2147" s="2" t="s">
        <v>38</v>
      </c>
      <c r="D2147" s="2" t="s">
        <v>28</v>
      </c>
      <c r="E2147" s="2" t="s">
        <v>29</v>
      </c>
      <c r="F2147" s="2">
        <v>587.97</v>
      </c>
      <c r="G2147" s="2">
        <v>3</v>
      </c>
      <c r="H2147" s="2">
        <v>170.51</v>
      </c>
      <c r="I2147" t="str">
        <f t="shared" si="33"/>
        <v>Mar</v>
      </c>
      <c r="J2147">
        <f>YEAR(datas[[#This Row],[Order Date]])</f>
        <v>2022</v>
      </c>
    </row>
    <row r="2148" spans="1:10" ht="14.25" customHeight="1" x14ac:dyDescent="0.3">
      <c r="A2148" s="1">
        <v>44628</v>
      </c>
      <c r="B2148" s="2" t="s">
        <v>685</v>
      </c>
      <c r="C2148" s="2" t="s">
        <v>79</v>
      </c>
      <c r="D2148" s="2" t="s">
        <v>26</v>
      </c>
      <c r="E2148" s="2" t="s">
        <v>45</v>
      </c>
      <c r="F2148" s="2">
        <v>512.94000000000005</v>
      </c>
      <c r="G2148" s="2">
        <v>3</v>
      </c>
      <c r="H2148" s="2">
        <v>97.46</v>
      </c>
      <c r="I2148" t="str">
        <f t="shared" si="33"/>
        <v>Mar</v>
      </c>
      <c r="J2148">
        <f>YEAR(datas[[#This Row],[Order Date]])</f>
        <v>2022</v>
      </c>
    </row>
    <row r="2149" spans="1:10" ht="14.25" customHeight="1" x14ac:dyDescent="0.3">
      <c r="A2149" s="1">
        <v>44628</v>
      </c>
      <c r="B2149" s="2" t="s">
        <v>685</v>
      </c>
      <c r="C2149" s="2" t="s">
        <v>79</v>
      </c>
      <c r="D2149" s="2" t="s">
        <v>26</v>
      </c>
      <c r="E2149" s="2" t="s">
        <v>27</v>
      </c>
      <c r="F2149" s="2">
        <v>860.93</v>
      </c>
      <c r="G2149" s="2">
        <v>7</v>
      </c>
      <c r="H2149" s="2">
        <v>189.4</v>
      </c>
      <c r="I2149" t="str">
        <f t="shared" si="33"/>
        <v>Mar</v>
      </c>
      <c r="J2149">
        <f>YEAR(datas[[#This Row],[Order Date]])</f>
        <v>2022</v>
      </c>
    </row>
    <row r="2150" spans="1:10" ht="14.25" customHeight="1" x14ac:dyDescent="0.3">
      <c r="A2150" s="1">
        <v>44628</v>
      </c>
      <c r="B2150" s="2" t="s">
        <v>685</v>
      </c>
      <c r="C2150" s="2" t="s">
        <v>79</v>
      </c>
      <c r="D2150" s="2" t="s">
        <v>28</v>
      </c>
      <c r="E2150" s="2" t="s">
        <v>29</v>
      </c>
      <c r="F2150" s="2">
        <v>769.95</v>
      </c>
      <c r="G2150" s="2">
        <v>5</v>
      </c>
      <c r="H2150" s="2">
        <v>223.29</v>
      </c>
      <c r="I2150" t="str">
        <f t="shared" si="33"/>
        <v>Mar</v>
      </c>
      <c r="J2150">
        <f>YEAR(datas[[#This Row],[Order Date]])</f>
        <v>2022</v>
      </c>
    </row>
    <row r="2151" spans="1:10" ht="14.25" customHeight="1" x14ac:dyDescent="0.3">
      <c r="A2151" s="1">
        <v>44628</v>
      </c>
      <c r="B2151" s="2" t="s">
        <v>685</v>
      </c>
      <c r="C2151" s="2" t="s">
        <v>79</v>
      </c>
      <c r="D2151" s="2" t="s">
        <v>10</v>
      </c>
      <c r="E2151" s="2" t="s">
        <v>19</v>
      </c>
      <c r="F2151" s="2">
        <v>14.98</v>
      </c>
      <c r="G2151" s="2">
        <v>1</v>
      </c>
      <c r="H2151" s="2">
        <v>4.49</v>
      </c>
      <c r="I2151" t="str">
        <f t="shared" si="33"/>
        <v>Mar</v>
      </c>
      <c r="J2151">
        <f>YEAR(datas[[#This Row],[Order Date]])</f>
        <v>2022</v>
      </c>
    </row>
    <row r="2152" spans="1:10" ht="14.25" customHeight="1" x14ac:dyDescent="0.3">
      <c r="A2152" s="1">
        <v>44628</v>
      </c>
      <c r="B2152" s="2" t="s">
        <v>685</v>
      </c>
      <c r="C2152" s="2" t="s">
        <v>79</v>
      </c>
      <c r="D2152" s="2" t="s">
        <v>26</v>
      </c>
      <c r="E2152" s="2" t="s">
        <v>32</v>
      </c>
      <c r="F2152" s="2">
        <v>373.08</v>
      </c>
      <c r="G2152" s="2">
        <v>6</v>
      </c>
      <c r="H2152" s="2">
        <v>82.08</v>
      </c>
      <c r="I2152" t="str">
        <f t="shared" si="33"/>
        <v>Mar</v>
      </c>
      <c r="J2152">
        <f>YEAR(datas[[#This Row],[Order Date]])</f>
        <v>2022</v>
      </c>
    </row>
    <row r="2153" spans="1:10" ht="14.25" customHeight="1" x14ac:dyDescent="0.3">
      <c r="A2153" s="1">
        <v>44628</v>
      </c>
      <c r="B2153" s="2" t="s">
        <v>346</v>
      </c>
      <c r="C2153" s="2" t="s">
        <v>75</v>
      </c>
      <c r="D2153" s="2" t="s">
        <v>10</v>
      </c>
      <c r="E2153" s="2" t="s">
        <v>11</v>
      </c>
      <c r="F2153" s="2">
        <v>19.440000000000001</v>
      </c>
      <c r="G2153" s="2">
        <v>3</v>
      </c>
      <c r="H2153" s="2">
        <v>9.33</v>
      </c>
      <c r="I2153" t="str">
        <f t="shared" si="33"/>
        <v>Mar</v>
      </c>
      <c r="J2153">
        <f>YEAR(datas[[#This Row],[Order Date]])</f>
        <v>2022</v>
      </c>
    </row>
    <row r="2154" spans="1:10" ht="14.25" customHeight="1" x14ac:dyDescent="0.3">
      <c r="A2154" s="1">
        <v>44628</v>
      </c>
      <c r="B2154" s="2" t="s">
        <v>523</v>
      </c>
      <c r="C2154" s="2" t="s">
        <v>126</v>
      </c>
      <c r="D2154" s="2" t="s">
        <v>10</v>
      </c>
      <c r="E2154" s="2" t="s">
        <v>19</v>
      </c>
      <c r="F2154" s="2">
        <v>3.41</v>
      </c>
      <c r="G2154" s="2">
        <v>1</v>
      </c>
      <c r="H2154" s="2">
        <v>0.89</v>
      </c>
      <c r="I2154" t="str">
        <f t="shared" si="33"/>
        <v>Mar</v>
      </c>
      <c r="J2154">
        <f>YEAR(datas[[#This Row],[Order Date]])</f>
        <v>2022</v>
      </c>
    </row>
    <row r="2155" spans="1:10" ht="14.25" customHeight="1" x14ac:dyDescent="0.3">
      <c r="A2155" s="1">
        <v>44628</v>
      </c>
      <c r="B2155" s="2" t="s">
        <v>318</v>
      </c>
      <c r="C2155" s="2" t="s">
        <v>13</v>
      </c>
      <c r="D2155" s="2" t="s">
        <v>10</v>
      </c>
      <c r="E2155" s="2" t="s">
        <v>16</v>
      </c>
      <c r="F2155" s="2">
        <v>8.57</v>
      </c>
      <c r="G2155" s="2">
        <v>3</v>
      </c>
      <c r="H2155" s="2">
        <v>-14.57</v>
      </c>
      <c r="I2155" t="str">
        <f t="shared" si="33"/>
        <v>Mar</v>
      </c>
      <c r="J2155">
        <f>YEAR(datas[[#This Row],[Order Date]])</f>
        <v>2022</v>
      </c>
    </row>
    <row r="2156" spans="1:10" ht="14.25" customHeight="1" x14ac:dyDescent="0.3">
      <c r="A2156" s="1">
        <v>44629</v>
      </c>
      <c r="B2156" s="2" t="s">
        <v>338</v>
      </c>
      <c r="C2156" s="2" t="s">
        <v>9</v>
      </c>
      <c r="D2156" s="2" t="s">
        <v>28</v>
      </c>
      <c r="E2156" s="2" t="s">
        <v>34</v>
      </c>
      <c r="F2156" s="2">
        <v>113.52</v>
      </c>
      <c r="G2156" s="2">
        <v>5</v>
      </c>
      <c r="H2156" s="2">
        <v>29.8</v>
      </c>
      <c r="I2156" t="str">
        <f t="shared" si="33"/>
        <v>Mar</v>
      </c>
      <c r="J2156">
        <f>YEAR(datas[[#This Row],[Order Date]])</f>
        <v>2022</v>
      </c>
    </row>
    <row r="2157" spans="1:10" ht="14.25" customHeight="1" x14ac:dyDescent="0.3">
      <c r="A2157" s="1">
        <v>44629</v>
      </c>
      <c r="B2157" s="2" t="s">
        <v>338</v>
      </c>
      <c r="C2157" s="2" t="s">
        <v>9</v>
      </c>
      <c r="D2157" s="2" t="s">
        <v>28</v>
      </c>
      <c r="E2157" s="2" t="s">
        <v>29</v>
      </c>
      <c r="F2157" s="2">
        <v>359.88</v>
      </c>
      <c r="G2157" s="2">
        <v>3</v>
      </c>
      <c r="H2157" s="2">
        <v>22.49</v>
      </c>
      <c r="I2157" t="str">
        <f t="shared" si="33"/>
        <v>Mar</v>
      </c>
      <c r="J2157">
        <f>YEAR(datas[[#This Row],[Order Date]])</f>
        <v>2022</v>
      </c>
    </row>
    <row r="2158" spans="1:10" ht="14.25" customHeight="1" x14ac:dyDescent="0.3">
      <c r="A2158" s="1">
        <v>44629</v>
      </c>
      <c r="B2158" s="2" t="s">
        <v>686</v>
      </c>
      <c r="C2158" s="2" t="s">
        <v>115</v>
      </c>
      <c r="D2158" s="2" t="s">
        <v>10</v>
      </c>
      <c r="E2158" s="2" t="s">
        <v>14</v>
      </c>
      <c r="F2158" s="2">
        <v>4.6100000000000003</v>
      </c>
      <c r="G2158" s="2">
        <v>2</v>
      </c>
      <c r="H2158" s="2">
        <v>1.67</v>
      </c>
      <c r="I2158" t="str">
        <f t="shared" si="33"/>
        <v>Mar</v>
      </c>
      <c r="J2158">
        <f>YEAR(datas[[#This Row],[Order Date]])</f>
        <v>2022</v>
      </c>
    </row>
    <row r="2159" spans="1:10" ht="14.25" customHeight="1" x14ac:dyDescent="0.3">
      <c r="A2159" s="1">
        <v>44630</v>
      </c>
      <c r="B2159" s="2" t="s">
        <v>54</v>
      </c>
      <c r="C2159" s="2" t="s">
        <v>9</v>
      </c>
      <c r="D2159" s="2" t="s">
        <v>10</v>
      </c>
      <c r="E2159" s="2" t="s">
        <v>16</v>
      </c>
      <c r="F2159" s="2">
        <v>1.1100000000000001</v>
      </c>
      <c r="G2159" s="2">
        <v>2</v>
      </c>
      <c r="H2159" s="2">
        <v>-1.89</v>
      </c>
      <c r="I2159" t="str">
        <f t="shared" si="33"/>
        <v>Mar</v>
      </c>
      <c r="J2159">
        <f>YEAR(datas[[#This Row],[Order Date]])</f>
        <v>2022</v>
      </c>
    </row>
    <row r="2160" spans="1:10" ht="14.25" customHeight="1" x14ac:dyDescent="0.3">
      <c r="A2160" s="1">
        <v>44630</v>
      </c>
      <c r="B2160" s="2" t="s">
        <v>187</v>
      </c>
      <c r="C2160" s="2" t="s">
        <v>215</v>
      </c>
      <c r="D2160" s="2" t="s">
        <v>10</v>
      </c>
      <c r="E2160" s="2" t="s">
        <v>15</v>
      </c>
      <c r="F2160" s="2">
        <v>89.82</v>
      </c>
      <c r="G2160" s="2">
        <v>6</v>
      </c>
      <c r="H2160" s="2">
        <v>25.15</v>
      </c>
      <c r="I2160" t="str">
        <f t="shared" si="33"/>
        <v>Mar</v>
      </c>
      <c r="J2160">
        <f>YEAR(datas[[#This Row],[Order Date]])</f>
        <v>2022</v>
      </c>
    </row>
    <row r="2161" spans="1:10" ht="14.25" customHeight="1" x14ac:dyDescent="0.3">
      <c r="A2161" s="1">
        <v>44632</v>
      </c>
      <c r="B2161" s="2" t="s">
        <v>687</v>
      </c>
      <c r="C2161" s="2" t="s">
        <v>64</v>
      </c>
      <c r="D2161" s="2" t="s">
        <v>10</v>
      </c>
      <c r="E2161" s="2" t="s">
        <v>41</v>
      </c>
      <c r="F2161" s="2">
        <v>8.69</v>
      </c>
      <c r="G2161" s="2">
        <v>3</v>
      </c>
      <c r="H2161" s="2">
        <v>2.93</v>
      </c>
      <c r="I2161" t="str">
        <f t="shared" si="33"/>
        <v>Mar</v>
      </c>
      <c r="J2161">
        <f>YEAR(datas[[#This Row],[Order Date]])</f>
        <v>2022</v>
      </c>
    </row>
    <row r="2162" spans="1:10" ht="14.25" customHeight="1" x14ac:dyDescent="0.3">
      <c r="A2162" s="1">
        <v>44632</v>
      </c>
      <c r="B2162" s="2" t="s">
        <v>687</v>
      </c>
      <c r="C2162" s="2" t="s">
        <v>64</v>
      </c>
      <c r="D2162" s="2" t="s">
        <v>26</v>
      </c>
      <c r="E2162" s="2" t="s">
        <v>32</v>
      </c>
      <c r="F2162" s="2">
        <v>30.88</v>
      </c>
      <c r="G2162" s="2">
        <v>4</v>
      </c>
      <c r="H2162" s="2">
        <v>3.86</v>
      </c>
      <c r="I2162" t="str">
        <f t="shared" si="33"/>
        <v>Mar</v>
      </c>
      <c r="J2162">
        <f>YEAR(datas[[#This Row],[Order Date]])</f>
        <v>2022</v>
      </c>
    </row>
    <row r="2163" spans="1:10" ht="14.25" customHeight="1" x14ac:dyDescent="0.3">
      <c r="A2163" s="1">
        <v>44632</v>
      </c>
      <c r="B2163" s="2" t="s">
        <v>687</v>
      </c>
      <c r="C2163" s="2" t="s">
        <v>64</v>
      </c>
      <c r="D2163" s="2" t="s">
        <v>26</v>
      </c>
      <c r="E2163" s="2" t="s">
        <v>32</v>
      </c>
      <c r="F2163" s="2">
        <v>6.41</v>
      </c>
      <c r="G2163" s="2">
        <v>3</v>
      </c>
      <c r="H2163" s="2">
        <v>1.44</v>
      </c>
      <c r="I2163" t="str">
        <f t="shared" si="33"/>
        <v>Mar</v>
      </c>
      <c r="J2163">
        <f>YEAR(datas[[#This Row],[Order Date]])</f>
        <v>2022</v>
      </c>
    </row>
    <row r="2164" spans="1:10" ht="14.25" customHeight="1" x14ac:dyDescent="0.3">
      <c r="A2164" s="1">
        <v>44632</v>
      </c>
      <c r="B2164" s="2" t="s">
        <v>509</v>
      </c>
      <c r="C2164" s="2" t="s">
        <v>115</v>
      </c>
      <c r="D2164" s="2" t="s">
        <v>10</v>
      </c>
      <c r="E2164" s="2" t="s">
        <v>14</v>
      </c>
      <c r="F2164" s="2">
        <v>5.04</v>
      </c>
      <c r="G2164" s="2">
        <v>2</v>
      </c>
      <c r="H2164" s="2">
        <v>1.76</v>
      </c>
      <c r="I2164" t="str">
        <f t="shared" si="33"/>
        <v>Mar</v>
      </c>
      <c r="J2164">
        <f>YEAR(datas[[#This Row],[Order Date]])</f>
        <v>2022</v>
      </c>
    </row>
    <row r="2165" spans="1:10" ht="14.25" customHeight="1" x14ac:dyDescent="0.3">
      <c r="A2165" s="1">
        <v>44633</v>
      </c>
      <c r="B2165" s="2" t="s">
        <v>457</v>
      </c>
      <c r="C2165" s="2" t="s">
        <v>82</v>
      </c>
      <c r="D2165" s="2" t="s">
        <v>26</v>
      </c>
      <c r="E2165" s="2" t="s">
        <v>45</v>
      </c>
      <c r="F2165" s="2">
        <v>141.96</v>
      </c>
      <c r="G2165" s="2">
        <v>2</v>
      </c>
      <c r="H2165" s="2">
        <v>39.75</v>
      </c>
      <c r="I2165" t="str">
        <f t="shared" si="33"/>
        <v>Mar</v>
      </c>
      <c r="J2165">
        <f>YEAR(datas[[#This Row],[Order Date]])</f>
        <v>2022</v>
      </c>
    </row>
    <row r="2166" spans="1:10" ht="14.25" customHeight="1" x14ac:dyDescent="0.3">
      <c r="A2166" s="1">
        <v>44633</v>
      </c>
      <c r="B2166" s="2" t="s">
        <v>219</v>
      </c>
      <c r="C2166" s="2" t="s">
        <v>21</v>
      </c>
      <c r="D2166" s="2" t="s">
        <v>26</v>
      </c>
      <c r="E2166" s="2" t="s">
        <v>27</v>
      </c>
      <c r="F2166" s="2">
        <v>915.14</v>
      </c>
      <c r="G2166" s="2">
        <v>4</v>
      </c>
      <c r="H2166" s="2">
        <v>102.95</v>
      </c>
      <c r="I2166" t="str">
        <f t="shared" si="33"/>
        <v>Mar</v>
      </c>
      <c r="J2166">
        <f>YEAR(datas[[#This Row],[Order Date]])</f>
        <v>2022</v>
      </c>
    </row>
    <row r="2167" spans="1:10" ht="14.25" customHeight="1" x14ac:dyDescent="0.3">
      <c r="A2167" s="1">
        <v>44633</v>
      </c>
      <c r="B2167" s="2" t="s">
        <v>219</v>
      </c>
      <c r="C2167" s="2" t="s">
        <v>21</v>
      </c>
      <c r="D2167" s="2" t="s">
        <v>26</v>
      </c>
      <c r="E2167" s="2" t="s">
        <v>32</v>
      </c>
      <c r="F2167" s="2">
        <v>327.76</v>
      </c>
      <c r="G2167" s="2">
        <v>8</v>
      </c>
      <c r="H2167" s="2">
        <v>91.77</v>
      </c>
      <c r="I2167" t="str">
        <f t="shared" si="33"/>
        <v>Mar</v>
      </c>
      <c r="J2167">
        <f>YEAR(datas[[#This Row],[Order Date]])</f>
        <v>2022</v>
      </c>
    </row>
    <row r="2168" spans="1:10" ht="14.25" customHeight="1" x14ac:dyDescent="0.3">
      <c r="A2168" s="1">
        <v>44634</v>
      </c>
      <c r="B2168" s="2" t="s">
        <v>355</v>
      </c>
      <c r="C2168" s="2" t="s">
        <v>278</v>
      </c>
      <c r="D2168" s="2" t="s">
        <v>10</v>
      </c>
      <c r="E2168" s="2" t="s">
        <v>14</v>
      </c>
      <c r="F2168" s="2">
        <v>16.52</v>
      </c>
      <c r="G2168" s="2">
        <v>4</v>
      </c>
      <c r="H2168" s="2">
        <v>7.6</v>
      </c>
      <c r="I2168" t="str">
        <f t="shared" si="33"/>
        <v>Mar</v>
      </c>
      <c r="J2168">
        <f>YEAR(datas[[#This Row],[Order Date]])</f>
        <v>2022</v>
      </c>
    </row>
    <row r="2169" spans="1:10" ht="14.25" customHeight="1" x14ac:dyDescent="0.3">
      <c r="A2169" s="1">
        <v>44634</v>
      </c>
      <c r="B2169" s="2" t="s">
        <v>355</v>
      </c>
      <c r="C2169" s="2" t="s">
        <v>278</v>
      </c>
      <c r="D2169" s="2" t="s">
        <v>10</v>
      </c>
      <c r="E2169" s="2" t="s">
        <v>16</v>
      </c>
      <c r="F2169" s="2">
        <v>671.94</v>
      </c>
      <c r="G2169" s="2">
        <v>3</v>
      </c>
      <c r="H2169" s="2">
        <v>315.81</v>
      </c>
      <c r="I2169" t="str">
        <f t="shared" si="33"/>
        <v>Mar</v>
      </c>
      <c r="J2169">
        <f>YEAR(datas[[#This Row],[Order Date]])</f>
        <v>2022</v>
      </c>
    </row>
    <row r="2170" spans="1:10" ht="14.25" customHeight="1" x14ac:dyDescent="0.3">
      <c r="A2170" s="1">
        <v>44634</v>
      </c>
      <c r="B2170" s="2" t="s">
        <v>234</v>
      </c>
      <c r="C2170" s="2" t="s">
        <v>21</v>
      </c>
      <c r="D2170" s="2" t="s">
        <v>10</v>
      </c>
      <c r="E2170" s="2" t="s">
        <v>11</v>
      </c>
      <c r="F2170" s="2">
        <v>19.440000000000001</v>
      </c>
      <c r="G2170" s="2">
        <v>3</v>
      </c>
      <c r="H2170" s="2">
        <v>9.33</v>
      </c>
      <c r="I2170" t="str">
        <f t="shared" si="33"/>
        <v>Mar</v>
      </c>
      <c r="J2170">
        <f>YEAR(datas[[#This Row],[Order Date]])</f>
        <v>2022</v>
      </c>
    </row>
    <row r="2171" spans="1:10" ht="14.25" customHeight="1" x14ac:dyDescent="0.3">
      <c r="A2171" s="1">
        <v>44635</v>
      </c>
      <c r="B2171" s="2" t="s">
        <v>672</v>
      </c>
      <c r="C2171" s="2" t="s">
        <v>134</v>
      </c>
      <c r="D2171" s="2" t="s">
        <v>28</v>
      </c>
      <c r="E2171" s="2" t="s">
        <v>29</v>
      </c>
      <c r="F2171" s="2">
        <v>16.78</v>
      </c>
      <c r="G2171" s="2">
        <v>3</v>
      </c>
      <c r="H2171" s="2">
        <v>1.68</v>
      </c>
      <c r="I2171" t="str">
        <f t="shared" si="33"/>
        <v>Mar</v>
      </c>
      <c r="J2171">
        <f>YEAR(datas[[#This Row],[Order Date]])</f>
        <v>2022</v>
      </c>
    </row>
    <row r="2172" spans="1:10" ht="14.25" customHeight="1" x14ac:dyDescent="0.3">
      <c r="A2172" s="1">
        <v>44636</v>
      </c>
      <c r="B2172" s="2" t="s">
        <v>688</v>
      </c>
      <c r="C2172" s="2" t="s">
        <v>23</v>
      </c>
      <c r="D2172" s="2" t="s">
        <v>10</v>
      </c>
      <c r="E2172" s="2" t="s">
        <v>19</v>
      </c>
      <c r="F2172" s="2">
        <v>2.74</v>
      </c>
      <c r="G2172" s="2">
        <v>1</v>
      </c>
      <c r="H2172" s="2">
        <v>0.74</v>
      </c>
      <c r="I2172" t="str">
        <f t="shared" si="33"/>
        <v>Mar</v>
      </c>
      <c r="J2172">
        <f>YEAR(datas[[#This Row],[Order Date]])</f>
        <v>2022</v>
      </c>
    </row>
    <row r="2173" spans="1:10" ht="14.25" customHeight="1" x14ac:dyDescent="0.3">
      <c r="A2173" s="1">
        <v>44636</v>
      </c>
      <c r="B2173" s="2" t="s">
        <v>688</v>
      </c>
      <c r="C2173" s="2" t="s">
        <v>23</v>
      </c>
      <c r="D2173" s="2" t="s">
        <v>10</v>
      </c>
      <c r="E2173" s="2" t="s">
        <v>19</v>
      </c>
      <c r="F2173" s="2">
        <v>8.34</v>
      </c>
      <c r="G2173" s="2">
        <v>3</v>
      </c>
      <c r="H2173" s="2">
        <v>2.17</v>
      </c>
      <c r="I2173" t="str">
        <f t="shared" si="33"/>
        <v>Mar</v>
      </c>
      <c r="J2173">
        <f>YEAR(datas[[#This Row],[Order Date]])</f>
        <v>2022</v>
      </c>
    </row>
    <row r="2174" spans="1:10" ht="14.25" customHeight="1" x14ac:dyDescent="0.3">
      <c r="A2174" s="1">
        <v>44636</v>
      </c>
      <c r="B2174" s="2" t="s">
        <v>688</v>
      </c>
      <c r="C2174" s="2" t="s">
        <v>23</v>
      </c>
      <c r="D2174" s="2" t="s">
        <v>10</v>
      </c>
      <c r="E2174" s="2" t="s">
        <v>15</v>
      </c>
      <c r="F2174" s="2">
        <v>46.74</v>
      </c>
      <c r="G2174" s="2">
        <v>3</v>
      </c>
      <c r="H2174" s="2">
        <v>11.69</v>
      </c>
      <c r="I2174" t="str">
        <f t="shared" si="33"/>
        <v>Mar</v>
      </c>
      <c r="J2174">
        <f>YEAR(datas[[#This Row],[Order Date]])</f>
        <v>2022</v>
      </c>
    </row>
    <row r="2175" spans="1:10" ht="14.25" customHeight="1" x14ac:dyDescent="0.3">
      <c r="A2175" s="1">
        <v>44636</v>
      </c>
      <c r="B2175" s="2" t="s">
        <v>688</v>
      </c>
      <c r="C2175" s="2" t="s">
        <v>23</v>
      </c>
      <c r="D2175" s="2" t="s">
        <v>10</v>
      </c>
      <c r="E2175" s="2" t="s">
        <v>16</v>
      </c>
      <c r="F2175" s="2">
        <v>6354.95</v>
      </c>
      <c r="G2175" s="2">
        <v>5</v>
      </c>
      <c r="H2175" s="2">
        <v>3177.48</v>
      </c>
      <c r="I2175" t="str">
        <f t="shared" si="33"/>
        <v>Mar</v>
      </c>
      <c r="J2175">
        <f>YEAR(datas[[#This Row],[Order Date]])</f>
        <v>2022</v>
      </c>
    </row>
    <row r="2176" spans="1:10" ht="14.25" customHeight="1" x14ac:dyDescent="0.3">
      <c r="A2176" s="1">
        <v>44636</v>
      </c>
      <c r="B2176" s="2" t="s">
        <v>689</v>
      </c>
      <c r="C2176" s="2" t="s">
        <v>82</v>
      </c>
      <c r="D2176" s="2" t="s">
        <v>26</v>
      </c>
      <c r="E2176" s="2" t="s">
        <v>73</v>
      </c>
      <c r="F2176" s="2">
        <v>171.96</v>
      </c>
      <c r="G2176" s="2">
        <v>2</v>
      </c>
      <c r="H2176" s="2">
        <v>44.71</v>
      </c>
      <c r="I2176" t="str">
        <f t="shared" si="33"/>
        <v>Mar</v>
      </c>
      <c r="J2176">
        <f>YEAR(datas[[#This Row],[Order Date]])</f>
        <v>2022</v>
      </c>
    </row>
    <row r="2177" spans="1:10" ht="14.25" customHeight="1" x14ac:dyDescent="0.3">
      <c r="A2177" s="1">
        <v>44636</v>
      </c>
      <c r="B2177" s="2" t="s">
        <v>478</v>
      </c>
      <c r="C2177" s="2" t="s">
        <v>21</v>
      </c>
      <c r="D2177" s="2" t="s">
        <v>26</v>
      </c>
      <c r="E2177" s="2" t="s">
        <v>32</v>
      </c>
      <c r="F2177" s="2">
        <v>43.13</v>
      </c>
      <c r="G2177" s="2">
        <v>1</v>
      </c>
      <c r="H2177" s="2">
        <v>18.11</v>
      </c>
      <c r="I2177" t="str">
        <f t="shared" si="33"/>
        <v>Mar</v>
      </c>
      <c r="J2177">
        <f>YEAR(datas[[#This Row],[Order Date]])</f>
        <v>2022</v>
      </c>
    </row>
    <row r="2178" spans="1:10" ht="14.25" customHeight="1" x14ac:dyDescent="0.3">
      <c r="A2178" s="1">
        <v>44636</v>
      </c>
      <c r="B2178" s="2" t="s">
        <v>347</v>
      </c>
      <c r="C2178" s="2" t="s">
        <v>75</v>
      </c>
      <c r="D2178" s="2" t="s">
        <v>28</v>
      </c>
      <c r="E2178" s="2" t="s">
        <v>29</v>
      </c>
      <c r="F2178" s="2">
        <v>85.9</v>
      </c>
      <c r="G2178" s="2">
        <v>2</v>
      </c>
      <c r="H2178" s="2">
        <v>2.58</v>
      </c>
      <c r="I2178" t="str">
        <f t="shared" si="33"/>
        <v>Mar</v>
      </c>
      <c r="J2178">
        <f>YEAR(datas[[#This Row],[Order Date]])</f>
        <v>2022</v>
      </c>
    </row>
    <row r="2179" spans="1:10" ht="14.25" customHeight="1" x14ac:dyDescent="0.3">
      <c r="A2179" s="1">
        <v>44636</v>
      </c>
      <c r="B2179" s="2" t="s">
        <v>159</v>
      </c>
      <c r="C2179" s="2" t="s">
        <v>198</v>
      </c>
      <c r="D2179" s="2" t="s">
        <v>10</v>
      </c>
      <c r="E2179" s="2" t="s">
        <v>14</v>
      </c>
      <c r="F2179" s="2">
        <v>491.55</v>
      </c>
      <c r="G2179" s="2">
        <v>5</v>
      </c>
      <c r="H2179" s="2">
        <v>240.86</v>
      </c>
      <c r="I2179" t="str">
        <f t="shared" ref="I2179:I2242" si="34">TEXT(A2179,"mmm")</f>
        <v>Mar</v>
      </c>
      <c r="J2179">
        <f>YEAR(datas[[#This Row],[Order Date]])</f>
        <v>2022</v>
      </c>
    </row>
    <row r="2180" spans="1:10" ht="14.25" customHeight="1" x14ac:dyDescent="0.3">
      <c r="A2180" s="1">
        <v>44636</v>
      </c>
      <c r="B2180" s="2" t="s">
        <v>159</v>
      </c>
      <c r="C2180" s="2" t="s">
        <v>198</v>
      </c>
      <c r="D2180" s="2" t="s">
        <v>10</v>
      </c>
      <c r="E2180" s="2" t="s">
        <v>41</v>
      </c>
      <c r="F2180" s="2">
        <v>7.38</v>
      </c>
      <c r="G2180" s="2">
        <v>2</v>
      </c>
      <c r="H2180" s="2">
        <v>3.39</v>
      </c>
      <c r="I2180" t="str">
        <f t="shared" si="34"/>
        <v>Mar</v>
      </c>
      <c r="J2180">
        <f>YEAR(datas[[#This Row],[Order Date]])</f>
        <v>2022</v>
      </c>
    </row>
    <row r="2181" spans="1:10" ht="14.25" customHeight="1" x14ac:dyDescent="0.3">
      <c r="A2181" s="1">
        <v>44636</v>
      </c>
      <c r="B2181" s="2" t="s">
        <v>483</v>
      </c>
      <c r="C2181" s="2" t="s">
        <v>75</v>
      </c>
      <c r="D2181" s="2" t="s">
        <v>10</v>
      </c>
      <c r="E2181" s="2" t="s">
        <v>19</v>
      </c>
      <c r="F2181" s="2">
        <v>17.52</v>
      </c>
      <c r="G2181" s="2">
        <v>3</v>
      </c>
      <c r="H2181" s="2">
        <v>6.31</v>
      </c>
      <c r="I2181" t="str">
        <f t="shared" si="34"/>
        <v>Mar</v>
      </c>
      <c r="J2181">
        <f>YEAR(datas[[#This Row],[Order Date]])</f>
        <v>2022</v>
      </c>
    </row>
    <row r="2182" spans="1:10" ht="14.25" customHeight="1" x14ac:dyDescent="0.3">
      <c r="A2182" s="1">
        <v>44637</v>
      </c>
      <c r="B2182" s="2" t="s">
        <v>607</v>
      </c>
      <c r="C2182" s="2" t="s">
        <v>75</v>
      </c>
      <c r="D2182" s="2" t="s">
        <v>28</v>
      </c>
      <c r="E2182" s="2" t="s">
        <v>34</v>
      </c>
      <c r="F2182" s="2">
        <v>15.02</v>
      </c>
      <c r="G2182" s="2">
        <v>1</v>
      </c>
      <c r="H2182" s="2">
        <v>2.7</v>
      </c>
      <c r="I2182" t="str">
        <f t="shared" si="34"/>
        <v>Mar</v>
      </c>
      <c r="J2182">
        <f>YEAR(datas[[#This Row],[Order Date]])</f>
        <v>2022</v>
      </c>
    </row>
    <row r="2183" spans="1:10" ht="14.25" customHeight="1" x14ac:dyDescent="0.3">
      <c r="A2183" s="1">
        <v>44637</v>
      </c>
      <c r="B2183" s="2" t="s">
        <v>607</v>
      </c>
      <c r="C2183" s="2" t="s">
        <v>75</v>
      </c>
      <c r="D2183" s="2" t="s">
        <v>10</v>
      </c>
      <c r="E2183" s="2" t="s">
        <v>15</v>
      </c>
      <c r="F2183" s="2">
        <v>33.82</v>
      </c>
      <c r="G2183" s="2">
        <v>2</v>
      </c>
      <c r="H2183" s="2">
        <v>9.1300000000000008</v>
      </c>
      <c r="I2183" t="str">
        <f t="shared" si="34"/>
        <v>Mar</v>
      </c>
      <c r="J2183">
        <f>YEAR(datas[[#This Row],[Order Date]])</f>
        <v>2022</v>
      </c>
    </row>
    <row r="2184" spans="1:10" ht="14.25" customHeight="1" x14ac:dyDescent="0.3">
      <c r="A2184" s="1">
        <v>44639</v>
      </c>
      <c r="B2184" s="2" t="s">
        <v>690</v>
      </c>
      <c r="C2184" s="2" t="s">
        <v>82</v>
      </c>
      <c r="D2184" s="2" t="s">
        <v>28</v>
      </c>
      <c r="E2184" s="2" t="s">
        <v>29</v>
      </c>
      <c r="F2184" s="2">
        <v>453.58</v>
      </c>
      <c r="G2184" s="2">
        <v>3</v>
      </c>
      <c r="H2184" s="2">
        <v>39.69</v>
      </c>
      <c r="I2184" t="str">
        <f t="shared" si="34"/>
        <v>Mar</v>
      </c>
      <c r="J2184">
        <f>YEAR(datas[[#This Row],[Order Date]])</f>
        <v>2022</v>
      </c>
    </row>
    <row r="2185" spans="1:10" ht="14.25" customHeight="1" x14ac:dyDescent="0.3">
      <c r="A2185" s="1">
        <v>44639</v>
      </c>
      <c r="B2185" s="2" t="s">
        <v>541</v>
      </c>
      <c r="C2185" s="2" t="s">
        <v>82</v>
      </c>
      <c r="D2185" s="2" t="s">
        <v>10</v>
      </c>
      <c r="E2185" s="2" t="s">
        <v>15</v>
      </c>
      <c r="F2185" s="2">
        <v>1247.6400000000001</v>
      </c>
      <c r="G2185" s="2">
        <v>3</v>
      </c>
      <c r="H2185" s="2">
        <v>349.34</v>
      </c>
      <c r="I2185" t="str">
        <f t="shared" si="34"/>
        <v>Mar</v>
      </c>
      <c r="J2185">
        <f>YEAR(datas[[#This Row],[Order Date]])</f>
        <v>2022</v>
      </c>
    </row>
    <row r="2186" spans="1:10" ht="14.25" customHeight="1" x14ac:dyDescent="0.3">
      <c r="A2186" s="1">
        <v>44639</v>
      </c>
      <c r="B2186" s="2" t="s">
        <v>541</v>
      </c>
      <c r="C2186" s="2" t="s">
        <v>82</v>
      </c>
      <c r="D2186" s="2" t="s">
        <v>28</v>
      </c>
      <c r="E2186" s="2" t="s">
        <v>243</v>
      </c>
      <c r="F2186" s="2">
        <v>3149.93</v>
      </c>
      <c r="G2186" s="2">
        <v>7</v>
      </c>
      <c r="H2186" s="2">
        <v>1480.47</v>
      </c>
      <c r="I2186" t="str">
        <f t="shared" si="34"/>
        <v>Mar</v>
      </c>
      <c r="J2186">
        <f>YEAR(datas[[#This Row],[Order Date]])</f>
        <v>2022</v>
      </c>
    </row>
    <row r="2187" spans="1:10" ht="14.25" customHeight="1" x14ac:dyDescent="0.3">
      <c r="A2187" s="1">
        <v>44639</v>
      </c>
      <c r="B2187" s="2" t="s">
        <v>541</v>
      </c>
      <c r="C2187" s="2" t="s">
        <v>82</v>
      </c>
      <c r="D2187" s="2" t="s">
        <v>10</v>
      </c>
      <c r="E2187" s="2" t="s">
        <v>11</v>
      </c>
      <c r="F2187" s="2">
        <v>209.7</v>
      </c>
      <c r="G2187" s="2">
        <v>2</v>
      </c>
      <c r="H2187" s="2">
        <v>100.66</v>
      </c>
      <c r="I2187" t="str">
        <f t="shared" si="34"/>
        <v>Mar</v>
      </c>
      <c r="J2187">
        <f>YEAR(datas[[#This Row],[Order Date]])</f>
        <v>2022</v>
      </c>
    </row>
    <row r="2188" spans="1:10" ht="14.25" customHeight="1" x14ac:dyDescent="0.3">
      <c r="A2188" s="1">
        <v>44639</v>
      </c>
      <c r="B2188" s="2" t="s">
        <v>397</v>
      </c>
      <c r="C2188" s="2" t="s">
        <v>21</v>
      </c>
      <c r="D2188" s="2" t="s">
        <v>10</v>
      </c>
      <c r="E2188" s="2" t="s">
        <v>16</v>
      </c>
      <c r="F2188" s="2">
        <v>17.57</v>
      </c>
      <c r="G2188" s="2">
        <v>2</v>
      </c>
      <c r="H2188" s="2">
        <v>6.37</v>
      </c>
      <c r="I2188" t="str">
        <f t="shared" si="34"/>
        <v>Mar</v>
      </c>
      <c r="J2188">
        <f>YEAR(datas[[#This Row],[Order Date]])</f>
        <v>2022</v>
      </c>
    </row>
    <row r="2189" spans="1:10" ht="14.25" customHeight="1" x14ac:dyDescent="0.3">
      <c r="A2189" s="1">
        <v>44639</v>
      </c>
      <c r="B2189" s="2" t="s">
        <v>397</v>
      </c>
      <c r="C2189" s="2" t="s">
        <v>21</v>
      </c>
      <c r="D2189" s="2" t="s">
        <v>10</v>
      </c>
      <c r="E2189" s="2" t="s">
        <v>14</v>
      </c>
      <c r="F2189" s="2">
        <v>14.62</v>
      </c>
      <c r="G2189" s="2">
        <v>2</v>
      </c>
      <c r="H2189" s="2">
        <v>6.87</v>
      </c>
      <c r="I2189" t="str">
        <f t="shared" si="34"/>
        <v>Mar</v>
      </c>
      <c r="J2189">
        <f>YEAR(datas[[#This Row],[Order Date]])</f>
        <v>2022</v>
      </c>
    </row>
    <row r="2190" spans="1:10" ht="14.25" customHeight="1" x14ac:dyDescent="0.3">
      <c r="A2190" s="1">
        <v>44639</v>
      </c>
      <c r="B2190" s="2" t="s">
        <v>397</v>
      </c>
      <c r="C2190" s="2" t="s">
        <v>21</v>
      </c>
      <c r="D2190" s="2" t="s">
        <v>10</v>
      </c>
      <c r="E2190" s="2" t="s">
        <v>95</v>
      </c>
      <c r="F2190" s="2">
        <v>33.36</v>
      </c>
      <c r="G2190" s="2">
        <v>4</v>
      </c>
      <c r="H2190" s="2">
        <v>8.67</v>
      </c>
      <c r="I2190" t="str">
        <f t="shared" si="34"/>
        <v>Mar</v>
      </c>
      <c r="J2190">
        <f>YEAR(datas[[#This Row],[Order Date]])</f>
        <v>2022</v>
      </c>
    </row>
    <row r="2191" spans="1:10" ht="14.25" customHeight="1" x14ac:dyDescent="0.3">
      <c r="A2191" s="1">
        <v>44639</v>
      </c>
      <c r="B2191" s="2" t="s">
        <v>397</v>
      </c>
      <c r="C2191" s="2" t="s">
        <v>21</v>
      </c>
      <c r="D2191" s="2" t="s">
        <v>10</v>
      </c>
      <c r="E2191" s="2" t="s">
        <v>11</v>
      </c>
      <c r="F2191" s="2">
        <v>40.14</v>
      </c>
      <c r="G2191" s="2">
        <v>6</v>
      </c>
      <c r="H2191" s="2">
        <v>19.670000000000002</v>
      </c>
      <c r="I2191" t="str">
        <f t="shared" si="34"/>
        <v>Mar</v>
      </c>
      <c r="J2191">
        <f>YEAR(datas[[#This Row],[Order Date]])</f>
        <v>2022</v>
      </c>
    </row>
    <row r="2192" spans="1:10" ht="14.25" customHeight="1" x14ac:dyDescent="0.3">
      <c r="A2192" s="1">
        <v>44639</v>
      </c>
      <c r="B2192" s="2" t="s">
        <v>352</v>
      </c>
      <c r="C2192" s="2" t="s">
        <v>64</v>
      </c>
      <c r="D2192" s="2" t="s">
        <v>10</v>
      </c>
      <c r="E2192" s="2" t="s">
        <v>11</v>
      </c>
      <c r="F2192" s="2">
        <v>14.5</v>
      </c>
      <c r="G2192" s="2">
        <v>3</v>
      </c>
      <c r="H2192" s="2">
        <v>4.8899999999999997</v>
      </c>
      <c r="I2192" t="str">
        <f t="shared" si="34"/>
        <v>Mar</v>
      </c>
      <c r="J2192">
        <f>YEAR(datas[[#This Row],[Order Date]])</f>
        <v>2022</v>
      </c>
    </row>
    <row r="2193" spans="1:10" ht="14.25" customHeight="1" x14ac:dyDescent="0.3">
      <c r="A2193" s="1">
        <v>44639</v>
      </c>
      <c r="B2193" s="2" t="s">
        <v>482</v>
      </c>
      <c r="C2193" s="2" t="s">
        <v>21</v>
      </c>
      <c r="D2193" s="2" t="s">
        <v>10</v>
      </c>
      <c r="E2193" s="2" t="s">
        <v>11</v>
      </c>
      <c r="F2193" s="2">
        <v>11.96</v>
      </c>
      <c r="G2193" s="2">
        <v>2</v>
      </c>
      <c r="H2193" s="2">
        <v>5.86</v>
      </c>
      <c r="I2193" t="str">
        <f t="shared" si="34"/>
        <v>Mar</v>
      </c>
      <c r="J2193">
        <f>YEAR(datas[[#This Row],[Order Date]])</f>
        <v>2022</v>
      </c>
    </row>
    <row r="2194" spans="1:10" ht="14.25" customHeight="1" x14ac:dyDescent="0.3">
      <c r="A2194" s="1">
        <v>44639</v>
      </c>
      <c r="B2194" s="2" t="s">
        <v>90</v>
      </c>
      <c r="C2194" s="2" t="s">
        <v>21</v>
      </c>
      <c r="D2194" s="2" t="s">
        <v>10</v>
      </c>
      <c r="E2194" s="2" t="s">
        <v>30</v>
      </c>
      <c r="F2194" s="2">
        <v>10.9</v>
      </c>
      <c r="G2194" s="2">
        <v>5</v>
      </c>
      <c r="H2194" s="2">
        <v>3.6</v>
      </c>
      <c r="I2194" t="str">
        <f t="shared" si="34"/>
        <v>Mar</v>
      </c>
      <c r="J2194">
        <f>YEAR(datas[[#This Row],[Order Date]])</f>
        <v>2022</v>
      </c>
    </row>
    <row r="2195" spans="1:10" ht="14.25" customHeight="1" x14ac:dyDescent="0.3">
      <c r="A2195" s="1">
        <v>44639</v>
      </c>
      <c r="B2195" s="2" t="s">
        <v>691</v>
      </c>
      <c r="C2195" s="2" t="s">
        <v>9</v>
      </c>
      <c r="D2195" s="2" t="s">
        <v>10</v>
      </c>
      <c r="E2195" s="2" t="s">
        <v>11</v>
      </c>
      <c r="F2195" s="2">
        <v>65.58</v>
      </c>
      <c r="G2195" s="2">
        <v>2</v>
      </c>
      <c r="H2195" s="2">
        <v>23.77</v>
      </c>
      <c r="I2195" t="str">
        <f t="shared" si="34"/>
        <v>Mar</v>
      </c>
      <c r="J2195">
        <f>YEAR(datas[[#This Row],[Order Date]])</f>
        <v>2022</v>
      </c>
    </row>
    <row r="2196" spans="1:10" ht="14.25" customHeight="1" x14ac:dyDescent="0.3">
      <c r="A2196" s="1">
        <v>44639</v>
      </c>
      <c r="B2196" s="2" t="s">
        <v>691</v>
      </c>
      <c r="C2196" s="2" t="s">
        <v>9</v>
      </c>
      <c r="D2196" s="2" t="s">
        <v>26</v>
      </c>
      <c r="E2196" s="2" t="s">
        <v>45</v>
      </c>
      <c r="F2196" s="2">
        <v>383.47</v>
      </c>
      <c r="G2196" s="2">
        <v>4</v>
      </c>
      <c r="H2196" s="2">
        <v>-67.67</v>
      </c>
      <c r="I2196" t="str">
        <f t="shared" si="34"/>
        <v>Mar</v>
      </c>
      <c r="J2196">
        <f>YEAR(datas[[#This Row],[Order Date]])</f>
        <v>2022</v>
      </c>
    </row>
    <row r="2197" spans="1:10" ht="14.25" customHeight="1" x14ac:dyDescent="0.3">
      <c r="A2197" s="1">
        <v>44640</v>
      </c>
      <c r="B2197" s="2" t="s">
        <v>692</v>
      </c>
      <c r="C2197" s="2" t="s">
        <v>79</v>
      </c>
      <c r="D2197" s="2" t="s">
        <v>10</v>
      </c>
      <c r="E2197" s="2" t="s">
        <v>11</v>
      </c>
      <c r="F2197" s="2">
        <v>51.84</v>
      </c>
      <c r="G2197" s="2">
        <v>8</v>
      </c>
      <c r="H2197" s="2">
        <v>24.88</v>
      </c>
      <c r="I2197" t="str">
        <f t="shared" si="34"/>
        <v>Mar</v>
      </c>
      <c r="J2197">
        <f>YEAR(datas[[#This Row],[Order Date]])</f>
        <v>2022</v>
      </c>
    </row>
    <row r="2198" spans="1:10" ht="14.25" customHeight="1" x14ac:dyDescent="0.3">
      <c r="A2198" s="1">
        <v>44640</v>
      </c>
      <c r="B2198" s="2" t="s">
        <v>591</v>
      </c>
      <c r="C2198" s="2" t="s">
        <v>9</v>
      </c>
      <c r="D2198" s="2" t="s">
        <v>10</v>
      </c>
      <c r="E2198" s="2" t="s">
        <v>16</v>
      </c>
      <c r="F2198" s="2">
        <v>2.5099999999999998</v>
      </c>
      <c r="G2198" s="2">
        <v>2</v>
      </c>
      <c r="H2198" s="2">
        <v>-4.4000000000000004</v>
      </c>
      <c r="I2198" t="str">
        <f t="shared" si="34"/>
        <v>Mar</v>
      </c>
      <c r="J2198">
        <f>YEAR(datas[[#This Row],[Order Date]])</f>
        <v>2022</v>
      </c>
    </row>
    <row r="2199" spans="1:10" ht="14.25" customHeight="1" x14ac:dyDescent="0.3">
      <c r="A2199" s="1">
        <v>44640</v>
      </c>
      <c r="B2199" s="2" t="s">
        <v>591</v>
      </c>
      <c r="C2199" s="2" t="s">
        <v>9</v>
      </c>
      <c r="D2199" s="2" t="s">
        <v>10</v>
      </c>
      <c r="E2199" s="2" t="s">
        <v>30</v>
      </c>
      <c r="F2199" s="2">
        <v>18.86</v>
      </c>
      <c r="G2199" s="2">
        <v>9</v>
      </c>
      <c r="H2199" s="2">
        <v>6.13</v>
      </c>
      <c r="I2199" t="str">
        <f t="shared" si="34"/>
        <v>Mar</v>
      </c>
      <c r="J2199">
        <f>YEAR(datas[[#This Row],[Order Date]])</f>
        <v>2022</v>
      </c>
    </row>
    <row r="2200" spans="1:10" ht="14.25" customHeight="1" x14ac:dyDescent="0.3">
      <c r="A2200" s="1">
        <v>44640</v>
      </c>
      <c r="B2200" s="2" t="s">
        <v>307</v>
      </c>
      <c r="C2200" s="2" t="s">
        <v>52</v>
      </c>
      <c r="D2200" s="2" t="s">
        <v>10</v>
      </c>
      <c r="E2200" s="2" t="s">
        <v>15</v>
      </c>
      <c r="F2200" s="2">
        <v>29.3</v>
      </c>
      <c r="G2200" s="2">
        <v>3</v>
      </c>
      <c r="H2200" s="2">
        <v>2.56</v>
      </c>
      <c r="I2200" t="str">
        <f t="shared" si="34"/>
        <v>Mar</v>
      </c>
      <c r="J2200">
        <f>YEAR(datas[[#This Row],[Order Date]])</f>
        <v>2022</v>
      </c>
    </row>
    <row r="2201" spans="1:10" ht="14.25" customHeight="1" x14ac:dyDescent="0.3">
      <c r="A2201" s="1">
        <v>44640</v>
      </c>
      <c r="B2201" s="2" t="s">
        <v>598</v>
      </c>
      <c r="C2201" s="2" t="s">
        <v>75</v>
      </c>
      <c r="D2201" s="2" t="s">
        <v>10</v>
      </c>
      <c r="E2201" s="2" t="s">
        <v>16</v>
      </c>
      <c r="F2201" s="2">
        <v>49.85</v>
      </c>
      <c r="G2201" s="2">
        <v>3</v>
      </c>
      <c r="H2201" s="2">
        <v>16.82</v>
      </c>
      <c r="I2201" t="str">
        <f t="shared" si="34"/>
        <v>Mar</v>
      </c>
      <c r="J2201">
        <f>YEAR(datas[[#This Row],[Order Date]])</f>
        <v>2022</v>
      </c>
    </row>
    <row r="2202" spans="1:10" ht="14.25" customHeight="1" x14ac:dyDescent="0.3">
      <c r="A2202" s="1">
        <v>44640</v>
      </c>
      <c r="B2202" s="2" t="s">
        <v>598</v>
      </c>
      <c r="C2202" s="2" t="s">
        <v>75</v>
      </c>
      <c r="D2202" s="2" t="s">
        <v>10</v>
      </c>
      <c r="E2202" s="2" t="s">
        <v>41</v>
      </c>
      <c r="F2202" s="2">
        <v>23.99</v>
      </c>
      <c r="G2202" s="2">
        <v>1</v>
      </c>
      <c r="H2202" s="2">
        <v>12</v>
      </c>
      <c r="I2202" t="str">
        <f t="shared" si="34"/>
        <v>Mar</v>
      </c>
      <c r="J2202">
        <f>YEAR(datas[[#This Row],[Order Date]])</f>
        <v>2022</v>
      </c>
    </row>
    <row r="2203" spans="1:10" ht="14.25" customHeight="1" x14ac:dyDescent="0.3">
      <c r="A2203" s="1">
        <v>44640</v>
      </c>
      <c r="B2203" s="2" t="s">
        <v>598</v>
      </c>
      <c r="C2203" s="2" t="s">
        <v>75</v>
      </c>
      <c r="D2203" s="2" t="s">
        <v>10</v>
      </c>
      <c r="E2203" s="2" t="s">
        <v>16</v>
      </c>
      <c r="F2203" s="2">
        <v>1087.94</v>
      </c>
      <c r="G2203" s="2">
        <v>8</v>
      </c>
      <c r="H2203" s="2">
        <v>353.58</v>
      </c>
      <c r="I2203" t="str">
        <f t="shared" si="34"/>
        <v>Mar</v>
      </c>
      <c r="J2203">
        <f>YEAR(datas[[#This Row],[Order Date]])</f>
        <v>2022</v>
      </c>
    </row>
    <row r="2204" spans="1:10" ht="14.25" customHeight="1" x14ac:dyDescent="0.3">
      <c r="A2204" s="1">
        <v>44640</v>
      </c>
      <c r="B2204" s="2" t="s">
        <v>598</v>
      </c>
      <c r="C2204" s="2" t="s">
        <v>75</v>
      </c>
      <c r="D2204" s="2" t="s">
        <v>28</v>
      </c>
      <c r="E2204" s="2" t="s">
        <v>29</v>
      </c>
      <c r="F2204" s="2">
        <v>199.98</v>
      </c>
      <c r="G2204" s="2">
        <v>2</v>
      </c>
      <c r="H2204" s="2">
        <v>53.99</v>
      </c>
      <c r="I2204" t="str">
        <f t="shared" si="34"/>
        <v>Mar</v>
      </c>
      <c r="J2204">
        <f>YEAR(datas[[#This Row],[Order Date]])</f>
        <v>2022</v>
      </c>
    </row>
    <row r="2205" spans="1:10" ht="14.25" customHeight="1" x14ac:dyDescent="0.3">
      <c r="A2205" s="1">
        <v>44640</v>
      </c>
      <c r="B2205" s="2" t="s">
        <v>598</v>
      </c>
      <c r="C2205" s="2" t="s">
        <v>75</v>
      </c>
      <c r="D2205" s="2" t="s">
        <v>10</v>
      </c>
      <c r="E2205" s="2" t="s">
        <v>15</v>
      </c>
      <c r="F2205" s="2">
        <v>83.92</v>
      </c>
      <c r="G2205" s="2">
        <v>4</v>
      </c>
      <c r="H2205" s="2">
        <v>20.14</v>
      </c>
      <c r="I2205" t="str">
        <f t="shared" si="34"/>
        <v>Mar</v>
      </c>
      <c r="J2205">
        <f>YEAR(datas[[#This Row],[Order Date]])</f>
        <v>2022</v>
      </c>
    </row>
    <row r="2206" spans="1:10" ht="14.25" customHeight="1" x14ac:dyDescent="0.3">
      <c r="A2206" s="1">
        <v>44641</v>
      </c>
      <c r="B2206" s="2" t="s">
        <v>693</v>
      </c>
      <c r="C2206" s="2" t="s">
        <v>115</v>
      </c>
      <c r="D2206" s="2" t="s">
        <v>10</v>
      </c>
      <c r="E2206" s="2" t="s">
        <v>53</v>
      </c>
      <c r="F2206" s="2">
        <v>962.08</v>
      </c>
      <c r="G2206" s="2">
        <v>4</v>
      </c>
      <c r="H2206" s="2">
        <v>156.34</v>
      </c>
      <c r="I2206" t="str">
        <f t="shared" si="34"/>
        <v>Mar</v>
      </c>
      <c r="J2206">
        <f>YEAR(datas[[#This Row],[Order Date]])</f>
        <v>2022</v>
      </c>
    </row>
    <row r="2207" spans="1:10" ht="14.25" customHeight="1" x14ac:dyDescent="0.3">
      <c r="A2207" s="1">
        <v>44641</v>
      </c>
      <c r="B2207" s="2" t="s">
        <v>693</v>
      </c>
      <c r="C2207" s="2" t="s">
        <v>115</v>
      </c>
      <c r="D2207" s="2" t="s">
        <v>10</v>
      </c>
      <c r="E2207" s="2" t="s">
        <v>16</v>
      </c>
      <c r="F2207" s="2">
        <v>12.84</v>
      </c>
      <c r="G2207" s="2">
        <v>3</v>
      </c>
      <c r="H2207" s="2">
        <v>-9.85</v>
      </c>
      <c r="I2207" t="str">
        <f t="shared" si="34"/>
        <v>Mar</v>
      </c>
      <c r="J2207">
        <f>YEAR(datas[[#This Row],[Order Date]])</f>
        <v>2022</v>
      </c>
    </row>
    <row r="2208" spans="1:10" ht="14.25" customHeight="1" x14ac:dyDescent="0.3">
      <c r="A2208" s="1">
        <v>44641</v>
      </c>
      <c r="B2208" s="2" t="s">
        <v>693</v>
      </c>
      <c r="C2208" s="2" t="s">
        <v>115</v>
      </c>
      <c r="D2208" s="2" t="s">
        <v>10</v>
      </c>
      <c r="E2208" s="2" t="s">
        <v>11</v>
      </c>
      <c r="F2208" s="2">
        <v>295.45999999999998</v>
      </c>
      <c r="G2208" s="2">
        <v>14</v>
      </c>
      <c r="H2208" s="2">
        <v>96.02</v>
      </c>
      <c r="I2208" t="str">
        <f t="shared" si="34"/>
        <v>Mar</v>
      </c>
      <c r="J2208">
        <f>YEAR(datas[[#This Row],[Order Date]])</f>
        <v>2022</v>
      </c>
    </row>
    <row r="2209" spans="1:10" ht="14.25" customHeight="1" x14ac:dyDescent="0.3">
      <c r="A2209" s="1">
        <v>44642</v>
      </c>
      <c r="B2209" s="2" t="s">
        <v>694</v>
      </c>
      <c r="C2209" s="2" t="s">
        <v>9</v>
      </c>
      <c r="D2209" s="2" t="s">
        <v>28</v>
      </c>
      <c r="E2209" s="2" t="s">
        <v>34</v>
      </c>
      <c r="F2209" s="2">
        <v>18.39</v>
      </c>
      <c r="G2209" s="2">
        <v>1</v>
      </c>
      <c r="H2209" s="2">
        <v>5.29</v>
      </c>
      <c r="I2209" t="str">
        <f t="shared" si="34"/>
        <v>Mar</v>
      </c>
      <c r="J2209">
        <f>YEAR(datas[[#This Row],[Order Date]])</f>
        <v>2022</v>
      </c>
    </row>
    <row r="2210" spans="1:10" ht="14.25" customHeight="1" x14ac:dyDescent="0.3">
      <c r="A2210" s="1">
        <v>44642</v>
      </c>
      <c r="B2210" s="2" t="s">
        <v>694</v>
      </c>
      <c r="C2210" s="2" t="s">
        <v>9</v>
      </c>
      <c r="D2210" s="2" t="s">
        <v>10</v>
      </c>
      <c r="E2210" s="2" t="s">
        <v>15</v>
      </c>
      <c r="F2210" s="2">
        <v>129.57</v>
      </c>
      <c r="G2210" s="2">
        <v>2</v>
      </c>
      <c r="H2210" s="2">
        <v>-25.91</v>
      </c>
      <c r="I2210" t="str">
        <f t="shared" si="34"/>
        <v>Mar</v>
      </c>
      <c r="J2210">
        <f>YEAR(datas[[#This Row],[Order Date]])</f>
        <v>2022</v>
      </c>
    </row>
    <row r="2211" spans="1:10" ht="14.25" customHeight="1" x14ac:dyDescent="0.3">
      <c r="A2211" s="1">
        <v>44642</v>
      </c>
      <c r="B2211" s="2" t="s">
        <v>694</v>
      </c>
      <c r="C2211" s="2" t="s">
        <v>9</v>
      </c>
      <c r="D2211" s="2" t="s">
        <v>10</v>
      </c>
      <c r="E2211" s="2" t="s">
        <v>16</v>
      </c>
      <c r="F2211" s="2">
        <v>14.11</v>
      </c>
      <c r="G2211" s="2">
        <v>9</v>
      </c>
      <c r="H2211" s="2">
        <v>-21.17</v>
      </c>
      <c r="I2211" t="str">
        <f t="shared" si="34"/>
        <v>Mar</v>
      </c>
      <c r="J2211">
        <f>YEAR(datas[[#This Row],[Order Date]])</f>
        <v>2022</v>
      </c>
    </row>
    <row r="2212" spans="1:10" ht="14.25" customHeight="1" x14ac:dyDescent="0.3">
      <c r="A2212" s="1">
        <v>44642</v>
      </c>
      <c r="B2212" s="2" t="s">
        <v>191</v>
      </c>
      <c r="C2212" s="2" t="s">
        <v>21</v>
      </c>
      <c r="D2212" s="2" t="s">
        <v>28</v>
      </c>
      <c r="E2212" s="2" t="s">
        <v>29</v>
      </c>
      <c r="F2212" s="2">
        <v>15.98</v>
      </c>
      <c r="G2212" s="2">
        <v>2</v>
      </c>
      <c r="H2212" s="2">
        <v>1.2</v>
      </c>
      <c r="I2212" t="str">
        <f t="shared" si="34"/>
        <v>Mar</v>
      </c>
      <c r="J2212">
        <f>YEAR(datas[[#This Row],[Order Date]])</f>
        <v>2022</v>
      </c>
    </row>
    <row r="2213" spans="1:10" ht="14.25" customHeight="1" x14ac:dyDescent="0.3">
      <c r="A2213" s="1">
        <v>44642</v>
      </c>
      <c r="B2213" s="2" t="s">
        <v>586</v>
      </c>
      <c r="C2213" s="2" t="s">
        <v>21</v>
      </c>
      <c r="D2213" s="2" t="s">
        <v>10</v>
      </c>
      <c r="E2213" s="2" t="s">
        <v>11</v>
      </c>
      <c r="F2213" s="2">
        <v>105.52</v>
      </c>
      <c r="G2213" s="2">
        <v>4</v>
      </c>
      <c r="H2213" s="2">
        <v>48.54</v>
      </c>
      <c r="I2213" t="str">
        <f t="shared" si="34"/>
        <v>Mar</v>
      </c>
      <c r="J2213">
        <f>YEAR(datas[[#This Row],[Order Date]])</f>
        <v>2022</v>
      </c>
    </row>
    <row r="2214" spans="1:10" ht="14.25" customHeight="1" x14ac:dyDescent="0.3">
      <c r="A2214" s="1">
        <v>44642</v>
      </c>
      <c r="B2214" s="2" t="s">
        <v>586</v>
      </c>
      <c r="C2214" s="2" t="s">
        <v>21</v>
      </c>
      <c r="D2214" s="2" t="s">
        <v>26</v>
      </c>
      <c r="E2214" s="2" t="s">
        <v>32</v>
      </c>
      <c r="F2214" s="2">
        <v>91.96</v>
      </c>
      <c r="G2214" s="2">
        <v>2</v>
      </c>
      <c r="H2214" s="2">
        <v>15.63</v>
      </c>
      <c r="I2214" t="str">
        <f t="shared" si="34"/>
        <v>Mar</v>
      </c>
      <c r="J2214">
        <f>YEAR(datas[[#This Row],[Order Date]])</f>
        <v>2022</v>
      </c>
    </row>
    <row r="2215" spans="1:10" ht="14.25" customHeight="1" x14ac:dyDescent="0.3">
      <c r="A2215" s="1">
        <v>44642</v>
      </c>
      <c r="B2215" s="2" t="s">
        <v>586</v>
      </c>
      <c r="C2215" s="2" t="s">
        <v>21</v>
      </c>
      <c r="D2215" s="2" t="s">
        <v>28</v>
      </c>
      <c r="E2215" s="2" t="s">
        <v>29</v>
      </c>
      <c r="F2215" s="2">
        <v>1487.98</v>
      </c>
      <c r="G2215" s="2">
        <v>3</v>
      </c>
      <c r="H2215" s="2">
        <v>186</v>
      </c>
      <c r="I2215" t="str">
        <f t="shared" si="34"/>
        <v>Mar</v>
      </c>
      <c r="J2215">
        <f>YEAR(datas[[#This Row],[Order Date]])</f>
        <v>2022</v>
      </c>
    </row>
    <row r="2216" spans="1:10" ht="14.25" customHeight="1" x14ac:dyDescent="0.3">
      <c r="A2216" s="1">
        <v>44642</v>
      </c>
      <c r="B2216" s="2" t="s">
        <v>695</v>
      </c>
      <c r="C2216" s="2" t="s">
        <v>198</v>
      </c>
      <c r="D2216" s="2" t="s">
        <v>10</v>
      </c>
      <c r="E2216" s="2" t="s">
        <v>19</v>
      </c>
      <c r="F2216" s="2">
        <v>19.559999999999999</v>
      </c>
      <c r="G2216" s="2">
        <v>4</v>
      </c>
      <c r="H2216" s="2">
        <v>5.48</v>
      </c>
      <c r="I2216" t="str">
        <f t="shared" si="34"/>
        <v>Mar</v>
      </c>
      <c r="J2216">
        <f>YEAR(datas[[#This Row],[Order Date]])</f>
        <v>2022</v>
      </c>
    </row>
    <row r="2217" spans="1:10" ht="14.25" customHeight="1" x14ac:dyDescent="0.3">
      <c r="A2217" s="1">
        <v>44642</v>
      </c>
      <c r="B2217" s="2" t="s">
        <v>659</v>
      </c>
      <c r="C2217" s="2" t="s">
        <v>64</v>
      </c>
      <c r="D2217" s="2" t="s">
        <v>28</v>
      </c>
      <c r="E2217" s="2" t="s">
        <v>34</v>
      </c>
      <c r="F2217" s="2">
        <v>447.94</v>
      </c>
      <c r="G2217" s="2">
        <v>7</v>
      </c>
      <c r="H2217" s="2">
        <v>89.59</v>
      </c>
      <c r="I2217" t="str">
        <f t="shared" si="34"/>
        <v>Mar</v>
      </c>
      <c r="J2217">
        <f>YEAR(datas[[#This Row],[Order Date]])</f>
        <v>2022</v>
      </c>
    </row>
    <row r="2218" spans="1:10" ht="14.25" customHeight="1" x14ac:dyDescent="0.3">
      <c r="A2218" s="1">
        <v>44642</v>
      </c>
      <c r="B2218" s="2" t="s">
        <v>659</v>
      </c>
      <c r="C2218" s="2" t="s">
        <v>64</v>
      </c>
      <c r="D2218" s="2" t="s">
        <v>10</v>
      </c>
      <c r="E2218" s="2" t="s">
        <v>15</v>
      </c>
      <c r="F2218" s="2">
        <v>150.41</v>
      </c>
      <c r="G2218" s="2">
        <v>9</v>
      </c>
      <c r="H2218" s="2">
        <v>-33.840000000000003</v>
      </c>
      <c r="I2218" t="str">
        <f t="shared" si="34"/>
        <v>Mar</v>
      </c>
      <c r="J2218">
        <f>YEAR(datas[[#This Row],[Order Date]])</f>
        <v>2022</v>
      </c>
    </row>
    <row r="2219" spans="1:10" ht="14.25" customHeight="1" x14ac:dyDescent="0.3">
      <c r="A2219" s="1">
        <v>44643</v>
      </c>
      <c r="B2219" s="2" t="s">
        <v>498</v>
      </c>
      <c r="C2219" s="2" t="s">
        <v>9</v>
      </c>
      <c r="D2219" s="2" t="s">
        <v>26</v>
      </c>
      <c r="E2219" s="2" t="s">
        <v>27</v>
      </c>
      <c r="F2219" s="2">
        <v>107.77</v>
      </c>
      <c r="G2219" s="2">
        <v>2</v>
      </c>
      <c r="H2219" s="2">
        <v>-29.25</v>
      </c>
      <c r="I2219" t="str">
        <f t="shared" si="34"/>
        <v>Mar</v>
      </c>
      <c r="J2219">
        <f>YEAR(datas[[#This Row],[Order Date]])</f>
        <v>2022</v>
      </c>
    </row>
    <row r="2220" spans="1:10" ht="14.25" customHeight="1" x14ac:dyDescent="0.3">
      <c r="A2220" s="1">
        <v>44643</v>
      </c>
      <c r="B2220" s="2" t="s">
        <v>389</v>
      </c>
      <c r="C2220" s="2" t="s">
        <v>43</v>
      </c>
      <c r="D2220" s="2" t="s">
        <v>10</v>
      </c>
      <c r="E2220" s="2" t="s">
        <v>30</v>
      </c>
      <c r="F2220" s="2">
        <v>31.56</v>
      </c>
      <c r="G2220" s="2">
        <v>4</v>
      </c>
      <c r="H2220" s="2">
        <v>14.2</v>
      </c>
      <c r="I2220" t="str">
        <f t="shared" si="34"/>
        <v>Mar</v>
      </c>
      <c r="J2220">
        <f>YEAR(datas[[#This Row],[Order Date]])</f>
        <v>2022</v>
      </c>
    </row>
    <row r="2221" spans="1:10" ht="14.25" customHeight="1" x14ac:dyDescent="0.3">
      <c r="A2221" s="1">
        <v>44643</v>
      </c>
      <c r="B2221" s="2" t="s">
        <v>389</v>
      </c>
      <c r="C2221" s="2" t="s">
        <v>43</v>
      </c>
      <c r="D2221" s="2" t="s">
        <v>10</v>
      </c>
      <c r="E2221" s="2" t="s">
        <v>15</v>
      </c>
      <c r="F2221" s="2">
        <v>27.92</v>
      </c>
      <c r="G2221" s="2">
        <v>4</v>
      </c>
      <c r="H2221" s="2">
        <v>0.56000000000000005</v>
      </c>
      <c r="I2221" t="str">
        <f t="shared" si="34"/>
        <v>Mar</v>
      </c>
      <c r="J2221">
        <f>YEAR(datas[[#This Row],[Order Date]])</f>
        <v>2022</v>
      </c>
    </row>
    <row r="2222" spans="1:10" ht="14.25" customHeight="1" x14ac:dyDescent="0.3">
      <c r="A2222" s="1">
        <v>44643</v>
      </c>
      <c r="B2222" s="2" t="s">
        <v>311</v>
      </c>
      <c r="C2222" s="2" t="s">
        <v>21</v>
      </c>
      <c r="D2222" s="2" t="s">
        <v>10</v>
      </c>
      <c r="E2222" s="2" t="s">
        <v>11</v>
      </c>
      <c r="F2222" s="2">
        <v>33.36</v>
      </c>
      <c r="G2222" s="2">
        <v>4</v>
      </c>
      <c r="H2222" s="2">
        <v>16.68</v>
      </c>
      <c r="I2222" t="str">
        <f t="shared" si="34"/>
        <v>Mar</v>
      </c>
      <c r="J2222">
        <f>YEAR(datas[[#This Row],[Order Date]])</f>
        <v>2022</v>
      </c>
    </row>
    <row r="2223" spans="1:10" ht="14.25" customHeight="1" x14ac:dyDescent="0.3">
      <c r="A2223" s="1">
        <v>44643</v>
      </c>
      <c r="B2223" s="2" t="s">
        <v>521</v>
      </c>
      <c r="C2223" s="2" t="s">
        <v>21</v>
      </c>
      <c r="D2223" s="2" t="s">
        <v>10</v>
      </c>
      <c r="E2223" s="2" t="s">
        <v>11</v>
      </c>
      <c r="F2223" s="2">
        <v>192.72</v>
      </c>
      <c r="G2223" s="2">
        <v>11</v>
      </c>
      <c r="H2223" s="2">
        <v>92.51</v>
      </c>
      <c r="I2223" t="str">
        <f t="shared" si="34"/>
        <v>Mar</v>
      </c>
      <c r="J2223">
        <f>YEAR(datas[[#This Row],[Order Date]])</f>
        <v>2022</v>
      </c>
    </row>
    <row r="2224" spans="1:10" ht="14.25" customHeight="1" x14ac:dyDescent="0.3">
      <c r="A2224" s="1">
        <v>44643</v>
      </c>
      <c r="B2224" s="2" t="s">
        <v>521</v>
      </c>
      <c r="C2224" s="2" t="s">
        <v>21</v>
      </c>
      <c r="D2224" s="2" t="s">
        <v>28</v>
      </c>
      <c r="E2224" s="2" t="s">
        <v>34</v>
      </c>
      <c r="F2224" s="2">
        <v>239.97</v>
      </c>
      <c r="G2224" s="2">
        <v>3</v>
      </c>
      <c r="H2224" s="2">
        <v>86.39</v>
      </c>
      <c r="I2224" t="str">
        <f t="shared" si="34"/>
        <v>Mar</v>
      </c>
      <c r="J2224">
        <f>YEAR(datas[[#This Row],[Order Date]])</f>
        <v>2022</v>
      </c>
    </row>
    <row r="2225" spans="1:10" ht="14.25" customHeight="1" x14ac:dyDescent="0.3">
      <c r="A2225" s="1">
        <v>44644</v>
      </c>
      <c r="B2225" s="2" t="s">
        <v>353</v>
      </c>
      <c r="C2225" s="2" t="s">
        <v>13</v>
      </c>
      <c r="D2225" s="2" t="s">
        <v>26</v>
      </c>
      <c r="E2225" s="2" t="s">
        <v>45</v>
      </c>
      <c r="F2225" s="2">
        <v>359.06</v>
      </c>
      <c r="G2225" s="2">
        <v>3</v>
      </c>
      <c r="H2225" s="2">
        <v>-35.909999999999997</v>
      </c>
      <c r="I2225" t="str">
        <f t="shared" si="34"/>
        <v>Mar</v>
      </c>
      <c r="J2225">
        <f>YEAR(datas[[#This Row],[Order Date]])</f>
        <v>2022</v>
      </c>
    </row>
    <row r="2226" spans="1:10" ht="14.25" customHeight="1" x14ac:dyDescent="0.3">
      <c r="A2226" s="1">
        <v>44644</v>
      </c>
      <c r="B2226" s="2" t="s">
        <v>696</v>
      </c>
      <c r="C2226" s="2" t="s">
        <v>64</v>
      </c>
      <c r="D2226" s="2" t="s">
        <v>10</v>
      </c>
      <c r="E2226" s="2" t="s">
        <v>53</v>
      </c>
      <c r="F2226" s="2">
        <v>6.99</v>
      </c>
      <c r="G2226" s="2">
        <v>2</v>
      </c>
      <c r="H2226" s="2">
        <v>0.52</v>
      </c>
      <c r="I2226" t="str">
        <f t="shared" si="34"/>
        <v>Mar</v>
      </c>
      <c r="J2226">
        <f>YEAR(datas[[#This Row],[Order Date]])</f>
        <v>2022</v>
      </c>
    </row>
    <row r="2227" spans="1:10" ht="14.25" customHeight="1" x14ac:dyDescent="0.3">
      <c r="A2227" s="1">
        <v>44644</v>
      </c>
      <c r="B2227" s="2" t="s">
        <v>624</v>
      </c>
      <c r="C2227" s="2" t="s">
        <v>82</v>
      </c>
      <c r="D2227" s="2" t="s">
        <v>26</v>
      </c>
      <c r="E2227" s="2" t="s">
        <v>32</v>
      </c>
      <c r="F2227" s="2">
        <v>46.9</v>
      </c>
      <c r="G2227" s="2">
        <v>5</v>
      </c>
      <c r="H2227" s="2">
        <v>13.13</v>
      </c>
      <c r="I2227" t="str">
        <f t="shared" si="34"/>
        <v>Mar</v>
      </c>
      <c r="J2227">
        <f>YEAR(datas[[#This Row],[Order Date]])</f>
        <v>2022</v>
      </c>
    </row>
    <row r="2228" spans="1:10" ht="14.25" customHeight="1" x14ac:dyDescent="0.3">
      <c r="A2228" s="1">
        <v>44646</v>
      </c>
      <c r="B2228" s="2" t="s">
        <v>697</v>
      </c>
      <c r="C2228" s="2" t="s">
        <v>64</v>
      </c>
      <c r="D2228" s="2" t="s">
        <v>10</v>
      </c>
      <c r="E2228" s="2" t="s">
        <v>11</v>
      </c>
      <c r="F2228" s="2">
        <v>74.349999999999994</v>
      </c>
      <c r="G2228" s="2">
        <v>3</v>
      </c>
      <c r="H2228" s="2">
        <v>23.24</v>
      </c>
      <c r="I2228" t="str">
        <f t="shared" si="34"/>
        <v>Mar</v>
      </c>
      <c r="J2228">
        <f>YEAR(datas[[#This Row],[Order Date]])</f>
        <v>2022</v>
      </c>
    </row>
    <row r="2229" spans="1:10" ht="14.25" customHeight="1" x14ac:dyDescent="0.3">
      <c r="A2229" s="1">
        <v>44646</v>
      </c>
      <c r="B2229" s="2" t="s">
        <v>414</v>
      </c>
      <c r="C2229" s="2" t="s">
        <v>18</v>
      </c>
      <c r="D2229" s="2" t="s">
        <v>10</v>
      </c>
      <c r="E2229" s="2" t="s">
        <v>11</v>
      </c>
      <c r="F2229" s="2">
        <v>40.03</v>
      </c>
      <c r="G2229" s="2">
        <v>6</v>
      </c>
      <c r="H2229" s="2">
        <v>12.51</v>
      </c>
      <c r="I2229" t="str">
        <f t="shared" si="34"/>
        <v>Mar</v>
      </c>
      <c r="J2229">
        <f>YEAR(datas[[#This Row],[Order Date]])</f>
        <v>2022</v>
      </c>
    </row>
    <row r="2230" spans="1:10" ht="14.25" customHeight="1" x14ac:dyDescent="0.3">
      <c r="A2230" s="1">
        <v>44646</v>
      </c>
      <c r="B2230" s="2" t="s">
        <v>414</v>
      </c>
      <c r="C2230" s="2" t="s">
        <v>18</v>
      </c>
      <c r="D2230" s="2" t="s">
        <v>28</v>
      </c>
      <c r="E2230" s="2" t="s">
        <v>34</v>
      </c>
      <c r="F2230" s="2">
        <v>16.78</v>
      </c>
      <c r="G2230" s="2">
        <v>3</v>
      </c>
      <c r="H2230" s="2">
        <v>5.03</v>
      </c>
      <c r="I2230" t="str">
        <f t="shared" si="34"/>
        <v>Mar</v>
      </c>
      <c r="J2230">
        <f>YEAR(datas[[#This Row],[Order Date]])</f>
        <v>2022</v>
      </c>
    </row>
    <row r="2231" spans="1:10" ht="14.25" customHeight="1" x14ac:dyDescent="0.3">
      <c r="A2231" s="1">
        <v>44646</v>
      </c>
      <c r="B2231" s="2" t="s">
        <v>294</v>
      </c>
      <c r="C2231" s="2" t="s">
        <v>82</v>
      </c>
      <c r="D2231" s="2" t="s">
        <v>26</v>
      </c>
      <c r="E2231" s="2" t="s">
        <v>73</v>
      </c>
      <c r="F2231" s="2">
        <v>3393.68</v>
      </c>
      <c r="G2231" s="2">
        <v>8</v>
      </c>
      <c r="H2231" s="2">
        <v>610.86</v>
      </c>
      <c r="I2231" t="str">
        <f t="shared" si="34"/>
        <v>Mar</v>
      </c>
      <c r="J2231">
        <f>YEAR(datas[[#This Row],[Order Date]])</f>
        <v>2022</v>
      </c>
    </row>
    <row r="2232" spans="1:10" ht="14.25" customHeight="1" x14ac:dyDescent="0.3">
      <c r="A2232" s="1">
        <v>44646</v>
      </c>
      <c r="B2232" s="2" t="s">
        <v>507</v>
      </c>
      <c r="C2232" s="2" t="s">
        <v>75</v>
      </c>
      <c r="D2232" s="2" t="s">
        <v>10</v>
      </c>
      <c r="E2232" s="2" t="s">
        <v>15</v>
      </c>
      <c r="F2232" s="2">
        <v>1085.42</v>
      </c>
      <c r="G2232" s="2">
        <v>7</v>
      </c>
      <c r="H2232" s="2">
        <v>282.20999999999998</v>
      </c>
      <c r="I2232" t="str">
        <f t="shared" si="34"/>
        <v>Mar</v>
      </c>
      <c r="J2232">
        <f>YEAR(datas[[#This Row],[Order Date]])</f>
        <v>2022</v>
      </c>
    </row>
    <row r="2233" spans="1:10" ht="14.25" customHeight="1" x14ac:dyDescent="0.3">
      <c r="A2233" s="1">
        <v>44646</v>
      </c>
      <c r="B2233" s="2" t="s">
        <v>507</v>
      </c>
      <c r="C2233" s="2" t="s">
        <v>75</v>
      </c>
      <c r="D2233" s="2" t="s">
        <v>10</v>
      </c>
      <c r="E2233" s="2" t="s">
        <v>53</v>
      </c>
      <c r="F2233" s="2">
        <v>13.11</v>
      </c>
      <c r="G2233" s="2">
        <v>3</v>
      </c>
      <c r="H2233" s="2">
        <v>3.41</v>
      </c>
      <c r="I2233" t="str">
        <f t="shared" si="34"/>
        <v>Mar</v>
      </c>
      <c r="J2233">
        <f>YEAR(datas[[#This Row],[Order Date]])</f>
        <v>2022</v>
      </c>
    </row>
    <row r="2234" spans="1:10" ht="14.25" customHeight="1" x14ac:dyDescent="0.3">
      <c r="A2234" s="1">
        <v>44647</v>
      </c>
      <c r="B2234" s="2" t="s">
        <v>58</v>
      </c>
      <c r="C2234" s="2" t="s">
        <v>82</v>
      </c>
      <c r="D2234" s="2" t="s">
        <v>10</v>
      </c>
      <c r="E2234" s="2" t="s">
        <v>15</v>
      </c>
      <c r="F2234" s="2">
        <v>83.7</v>
      </c>
      <c r="G2234" s="2">
        <v>5</v>
      </c>
      <c r="H2234" s="2">
        <v>3.35</v>
      </c>
      <c r="I2234" t="str">
        <f t="shared" si="34"/>
        <v>Mar</v>
      </c>
      <c r="J2234">
        <f>YEAR(datas[[#This Row],[Order Date]])</f>
        <v>2022</v>
      </c>
    </row>
    <row r="2235" spans="1:10" ht="14.25" customHeight="1" x14ac:dyDescent="0.3">
      <c r="A2235" s="1">
        <v>44648</v>
      </c>
      <c r="B2235" s="2" t="s">
        <v>585</v>
      </c>
      <c r="C2235" s="2" t="s">
        <v>21</v>
      </c>
      <c r="D2235" s="2" t="s">
        <v>28</v>
      </c>
      <c r="E2235" s="2" t="s">
        <v>34</v>
      </c>
      <c r="F2235" s="2">
        <v>166.24</v>
      </c>
      <c r="G2235" s="2">
        <v>1</v>
      </c>
      <c r="H2235" s="2">
        <v>24.94</v>
      </c>
      <c r="I2235" t="str">
        <f t="shared" si="34"/>
        <v>Mar</v>
      </c>
      <c r="J2235">
        <f>YEAR(datas[[#This Row],[Order Date]])</f>
        <v>2022</v>
      </c>
    </row>
    <row r="2236" spans="1:10" ht="14.25" customHeight="1" x14ac:dyDescent="0.3">
      <c r="A2236" s="1">
        <v>44648</v>
      </c>
      <c r="B2236" s="2" t="s">
        <v>585</v>
      </c>
      <c r="C2236" s="2" t="s">
        <v>21</v>
      </c>
      <c r="D2236" s="2" t="s">
        <v>10</v>
      </c>
      <c r="E2236" s="2" t="s">
        <v>11</v>
      </c>
      <c r="F2236" s="2">
        <v>33.4</v>
      </c>
      <c r="G2236" s="2">
        <v>5</v>
      </c>
      <c r="H2236" s="2">
        <v>16.03</v>
      </c>
      <c r="I2236" t="str">
        <f t="shared" si="34"/>
        <v>Mar</v>
      </c>
      <c r="J2236">
        <f>YEAR(datas[[#This Row],[Order Date]])</f>
        <v>2022</v>
      </c>
    </row>
    <row r="2237" spans="1:10" ht="14.25" customHeight="1" x14ac:dyDescent="0.3">
      <c r="A2237" s="1">
        <v>44648</v>
      </c>
      <c r="B2237" s="2" t="s">
        <v>127</v>
      </c>
      <c r="C2237" s="2" t="s">
        <v>18</v>
      </c>
      <c r="D2237" s="2" t="s">
        <v>10</v>
      </c>
      <c r="E2237" s="2" t="s">
        <v>11</v>
      </c>
      <c r="F2237" s="2">
        <v>15.55</v>
      </c>
      <c r="G2237" s="2">
        <v>3</v>
      </c>
      <c r="H2237" s="2">
        <v>5.44</v>
      </c>
      <c r="I2237" t="str">
        <f t="shared" si="34"/>
        <v>Mar</v>
      </c>
      <c r="J2237">
        <f>YEAR(datas[[#This Row],[Order Date]])</f>
        <v>2022</v>
      </c>
    </row>
    <row r="2238" spans="1:10" ht="14.25" customHeight="1" x14ac:dyDescent="0.3">
      <c r="A2238" s="1">
        <v>44648</v>
      </c>
      <c r="B2238" s="2" t="s">
        <v>127</v>
      </c>
      <c r="C2238" s="2" t="s">
        <v>18</v>
      </c>
      <c r="D2238" s="2" t="s">
        <v>10</v>
      </c>
      <c r="E2238" s="2" t="s">
        <v>11</v>
      </c>
      <c r="F2238" s="2">
        <v>5.23</v>
      </c>
      <c r="G2238" s="2">
        <v>1</v>
      </c>
      <c r="H2238" s="2">
        <v>1.7</v>
      </c>
      <c r="I2238" t="str">
        <f t="shared" si="34"/>
        <v>Mar</v>
      </c>
      <c r="J2238">
        <f>YEAR(datas[[#This Row],[Order Date]])</f>
        <v>2022</v>
      </c>
    </row>
    <row r="2239" spans="1:10" ht="14.25" customHeight="1" x14ac:dyDescent="0.3">
      <c r="A2239" s="1">
        <v>44648</v>
      </c>
      <c r="B2239" s="2" t="s">
        <v>275</v>
      </c>
      <c r="C2239" s="2" t="s">
        <v>75</v>
      </c>
      <c r="D2239" s="2" t="s">
        <v>10</v>
      </c>
      <c r="E2239" s="2" t="s">
        <v>41</v>
      </c>
      <c r="F2239" s="2">
        <v>22.92</v>
      </c>
      <c r="G2239" s="2">
        <v>3</v>
      </c>
      <c r="H2239" s="2">
        <v>11.23</v>
      </c>
      <c r="I2239" t="str">
        <f t="shared" si="34"/>
        <v>Mar</v>
      </c>
      <c r="J2239">
        <f>YEAR(datas[[#This Row],[Order Date]])</f>
        <v>2022</v>
      </c>
    </row>
    <row r="2240" spans="1:10" ht="14.25" customHeight="1" x14ac:dyDescent="0.3">
      <c r="A2240" s="1">
        <v>44649</v>
      </c>
      <c r="B2240" s="2" t="s">
        <v>492</v>
      </c>
      <c r="C2240" s="2" t="s">
        <v>64</v>
      </c>
      <c r="D2240" s="2" t="s">
        <v>26</v>
      </c>
      <c r="E2240" s="2" t="s">
        <v>27</v>
      </c>
      <c r="F2240" s="2">
        <v>1166.92</v>
      </c>
      <c r="G2240" s="2">
        <v>5</v>
      </c>
      <c r="H2240" s="2">
        <v>131.28</v>
      </c>
      <c r="I2240" t="str">
        <f t="shared" si="34"/>
        <v>Mar</v>
      </c>
      <c r="J2240">
        <f>YEAR(datas[[#This Row],[Order Date]])</f>
        <v>2022</v>
      </c>
    </row>
    <row r="2241" spans="1:10" ht="14.25" customHeight="1" x14ac:dyDescent="0.3">
      <c r="A2241" s="1">
        <v>44649</v>
      </c>
      <c r="B2241" s="2" t="s">
        <v>516</v>
      </c>
      <c r="C2241" s="2" t="s">
        <v>82</v>
      </c>
      <c r="D2241" s="2" t="s">
        <v>10</v>
      </c>
      <c r="E2241" s="2" t="s">
        <v>53</v>
      </c>
      <c r="F2241" s="2">
        <v>73.28</v>
      </c>
      <c r="G2241" s="2">
        <v>4</v>
      </c>
      <c r="H2241" s="2">
        <v>21.25</v>
      </c>
      <c r="I2241" t="str">
        <f t="shared" si="34"/>
        <v>Mar</v>
      </c>
      <c r="J2241">
        <f>YEAR(datas[[#This Row],[Order Date]])</f>
        <v>2022</v>
      </c>
    </row>
    <row r="2242" spans="1:10" ht="14.25" customHeight="1" x14ac:dyDescent="0.3">
      <c r="A2242" s="1">
        <v>44649</v>
      </c>
      <c r="B2242" s="2" t="s">
        <v>130</v>
      </c>
      <c r="C2242" s="2" t="s">
        <v>21</v>
      </c>
      <c r="D2242" s="2" t="s">
        <v>10</v>
      </c>
      <c r="E2242" s="2" t="s">
        <v>11</v>
      </c>
      <c r="F2242" s="2">
        <v>212.64</v>
      </c>
      <c r="G2242" s="2">
        <v>6</v>
      </c>
      <c r="H2242" s="2">
        <v>99.94</v>
      </c>
      <c r="I2242" t="str">
        <f t="shared" si="34"/>
        <v>Mar</v>
      </c>
      <c r="J2242">
        <f>YEAR(datas[[#This Row],[Order Date]])</f>
        <v>2022</v>
      </c>
    </row>
    <row r="2243" spans="1:10" ht="14.25" customHeight="1" x14ac:dyDescent="0.3">
      <c r="A2243" s="1">
        <v>44649</v>
      </c>
      <c r="B2243" s="2" t="s">
        <v>130</v>
      </c>
      <c r="C2243" s="2" t="s">
        <v>21</v>
      </c>
      <c r="D2243" s="2" t="s">
        <v>10</v>
      </c>
      <c r="E2243" s="2" t="s">
        <v>11</v>
      </c>
      <c r="F2243" s="2">
        <v>9.8699999999999992</v>
      </c>
      <c r="G2243" s="2">
        <v>3</v>
      </c>
      <c r="H2243" s="2">
        <v>4.54</v>
      </c>
      <c r="I2243" t="str">
        <f t="shared" ref="I2243:I2306" si="35">TEXT(A2243,"mmm")</f>
        <v>Mar</v>
      </c>
      <c r="J2243">
        <f>YEAR(datas[[#This Row],[Order Date]])</f>
        <v>2022</v>
      </c>
    </row>
    <row r="2244" spans="1:10" ht="14.25" customHeight="1" x14ac:dyDescent="0.3">
      <c r="A2244" s="1">
        <v>44649</v>
      </c>
      <c r="B2244" s="2" t="s">
        <v>130</v>
      </c>
      <c r="C2244" s="2" t="s">
        <v>21</v>
      </c>
      <c r="D2244" s="2" t="s">
        <v>28</v>
      </c>
      <c r="E2244" s="2" t="s">
        <v>34</v>
      </c>
      <c r="F2244" s="2">
        <v>53.25</v>
      </c>
      <c r="G2244" s="2">
        <v>3</v>
      </c>
      <c r="H2244" s="2">
        <v>20.77</v>
      </c>
      <c r="I2244" t="str">
        <f t="shared" si="35"/>
        <v>Mar</v>
      </c>
      <c r="J2244">
        <f>YEAR(datas[[#This Row],[Order Date]])</f>
        <v>2022</v>
      </c>
    </row>
    <row r="2245" spans="1:10" ht="14.25" customHeight="1" x14ac:dyDescent="0.3">
      <c r="A2245" s="1">
        <v>44649</v>
      </c>
      <c r="B2245" s="2" t="s">
        <v>130</v>
      </c>
      <c r="C2245" s="2" t="s">
        <v>21</v>
      </c>
      <c r="D2245" s="2" t="s">
        <v>26</v>
      </c>
      <c r="E2245" s="2" t="s">
        <v>32</v>
      </c>
      <c r="F2245" s="2">
        <v>19.920000000000002</v>
      </c>
      <c r="G2245" s="2">
        <v>3</v>
      </c>
      <c r="H2245" s="2">
        <v>9.56</v>
      </c>
      <c r="I2245" t="str">
        <f t="shared" si="35"/>
        <v>Mar</v>
      </c>
      <c r="J2245">
        <f>YEAR(datas[[#This Row],[Order Date]])</f>
        <v>2022</v>
      </c>
    </row>
    <row r="2246" spans="1:10" ht="14.25" customHeight="1" x14ac:dyDescent="0.3">
      <c r="A2246" s="1">
        <v>44649</v>
      </c>
      <c r="B2246" s="2" t="s">
        <v>138</v>
      </c>
      <c r="C2246" s="2" t="s">
        <v>36</v>
      </c>
      <c r="D2246" s="2" t="s">
        <v>10</v>
      </c>
      <c r="E2246" s="2" t="s">
        <v>19</v>
      </c>
      <c r="F2246" s="2">
        <v>5.56</v>
      </c>
      <c r="G2246" s="2">
        <v>2</v>
      </c>
      <c r="H2246" s="2">
        <v>1.45</v>
      </c>
      <c r="I2246" t="str">
        <f t="shared" si="35"/>
        <v>Mar</v>
      </c>
      <c r="J2246">
        <f>YEAR(datas[[#This Row],[Order Date]])</f>
        <v>2022</v>
      </c>
    </row>
    <row r="2247" spans="1:10" ht="14.25" customHeight="1" x14ac:dyDescent="0.3">
      <c r="A2247" s="1">
        <v>44649</v>
      </c>
      <c r="B2247" s="2" t="s">
        <v>698</v>
      </c>
      <c r="C2247" s="2" t="s">
        <v>75</v>
      </c>
      <c r="D2247" s="2" t="s">
        <v>10</v>
      </c>
      <c r="E2247" s="2" t="s">
        <v>11</v>
      </c>
      <c r="F2247" s="2">
        <v>17.64</v>
      </c>
      <c r="G2247" s="2">
        <v>4</v>
      </c>
      <c r="H2247" s="2">
        <v>8.11</v>
      </c>
      <c r="I2247" t="str">
        <f t="shared" si="35"/>
        <v>Mar</v>
      </c>
      <c r="J2247">
        <f>YEAR(datas[[#This Row],[Order Date]])</f>
        <v>2022</v>
      </c>
    </row>
    <row r="2248" spans="1:10" ht="14.25" customHeight="1" x14ac:dyDescent="0.3">
      <c r="A2248" s="1">
        <v>44650</v>
      </c>
      <c r="B2248" s="2" t="s">
        <v>523</v>
      </c>
      <c r="C2248" s="2" t="s">
        <v>13</v>
      </c>
      <c r="D2248" s="2" t="s">
        <v>10</v>
      </c>
      <c r="E2248" s="2" t="s">
        <v>11</v>
      </c>
      <c r="F2248" s="2">
        <v>23.52</v>
      </c>
      <c r="G2248" s="2">
        <v>5</v>
      </c>
      <c r="H2248" s="2">
        <v>8.5299999999999994</v>
      </c>
      <c r="I2248" t="str">
        <f t="shared" si="35"/>
        <v>Mar</v>
      </c>
      <c r="J2248">
        <f>YEAR(datas[[#This Row],[Order Date]])</f>
        <v>2022</v>
      </c>
    </row>
    <row r="2249" spans="1:10" ht="14.25" customHeight="1" x14ac:dyDescent="0.3">
      <c r="A2249" s="1">
        <v>44650</v>
      </c>
      <c r="B2249" s="2" t="s">
        <v>523</v>
      </c>
      <c r="C2249" s="2" t="s">
        <v>13</v>
      </c>
      <c r="D2249" s="2" t="s">
        <v>28</v>
      </c>
      <c r="E2249" s="2" t="s">
        <v>29</v>
      </c>
      <c r="F2249" s="2">
        <v>180.96</v>
      </c>
      <c r="G2249" s="2">
        <v>5</v>
      </c>
      <c r="H2249" s="2">
        <v>13.57</v>
      </c>
      <c r="I2249" t="str">
        <f t="shared" si="35"/>
        <v>Mar</v>
      </c>
      <c r="J2249">
        <f>YEAR(datas[[#This Row],[Order Date]])</f>
        <v>2022</v>
      </c>
    </row>
    <row r="2250" spans="1:10" ht="14.25" customHeight="1" x14ac:dyDescent="0.3">
      <c r="A2250" s="1">
        <v>44650</v>
      </c>
      <c r="B2250" s="2" t="s">
        <v>166</v>
      </c>
      <c r="C2250" s="2" t="s">
        <v>13</v>
      </c>
      <c r="D2250" s="2" t="s">
        <v>26</v>
      </c>
      <c r="E2250" s="2" t="s">
        <v>27</v>
      </c>
      <c r="F2250" s="2">
        <v>366.74</v>
      </c>
      <c r="G2250" s="2">
        <v>4</v>
      </c>
      <c r="H2250" s="2">
        <v>-110.02</v>
      </c>
      <c r="I2250" t="str">
        <f t="shared" si="35"/>
        <v>Mar</v>
      </c>
      <c r="J2250">
        <f>YEAR(datas[[#This Row],[Order Date]])</f>
        <v>2022</v>
      </c>
    </row>
    <row r="2251" spans="1:10" ht="14.25" customHeight="1" x14ac:dyDescent="0.3">
      <c r="A2251" s="1">
        <v>44651</v>
      </c>
      <c r="B2251" s="2" t="s">
        <v>194</v>
      </c>
      <c r="C2251" s="2" t="s">
        <v>64</v>
      </c>
      <c r="D2251" s="2" t="s">
        <v>28</v>
      </c>
      <c r="E2251" s="2" t="s">
        <v>29</v>
      </c>
      <c r="F2251" s="2">
        <v>79.959999999999994</v>
      </c>
      <c r="G2251" s="2">
        <v>5</v>
      </c>
      <c r="H2251" s="2">
        <v>27.99</v>
      </c>
      <c r="I2251" t="str">
        <f t="shared" si="35"/>
        <v>Mar</v>
      </c>
      <c r="J2251">
        <f>YEAR(datas[[#This Row],[Order Date]])</f>
        <v>2022</v>
      </c>
    </row>
    <row r="2252" spans="1:10" ht="14.25" customHeight="1" x14ac:dyDescent="0.3">
      <c r="A2252" s="1">
        <v>44651</v>
      </c>
      <c r="B2252" s="2" t="s">
        <v>358</v>
      </c>
      <c r="C2252" s="2" t="s">
        <v>9</v>
      </c>
      <c r="D2252" s="2" t="s">
        <v>10</v>
      </c>
      <c r="E2252" s="2" t="s">
        <v>11</v>
      </c>
      <c r="F2252" s="2">
        <v>98.38</v>
      </c>
      <c r="G2252" s="2">
        <v>3</v>
      </c>
      <c r="H2252" s="2">
        <v>35.659999999999997</v>
      </c>
      <c r="I2252" t="str">
        <f t="shared" si="35"/>
        <v>Mar</v>
      </c>
      <c r="J2252">
        <f>YEAR(datas[[#This Row],[Order Date]])</f>
        <v>2022</v>
      </c>
    </row>
    <row r="2253" spans="1:10" ht="14.25" customHeight="1" x14ac:dyDescent="0.3">
      <c r="A2253" s="1">
        <v>44651</v>
      </c>
      <c r="B2253" s="2" t="s">
        <v>358</v>
      </c>
      <c r="C2253" s="2" t="s">
        <v>9</v>
      </c>
      <c r="D2253" s="2" t="s">
        <v>26</v>
      </c>
      <c r="E2253" s="2" t="s">
        <v>32</v>
      </c>
      <c r="F2253" s="2">
        <v>22.38</v>
      </c>
      <c r="G2253" s="2">
        <v>3</v>
      </c>
      <c r="H2253" s="2">
        <v>-7.83</v>
      </c>
      <c r="I2253" t="str">
        <f t="shared" si="35"/>
        <v>Mar</v>
      </c>
      <c r="J2253">
        <f>YEAR(datas[[#This Row],[Order Date]])</f>
        <v>2022</v>
      </c>
    </row>
    <row r="2254" spans="1:10" ht="14.25" customHeight="1" x14ac:dyDescent="0.3">
      <c r="A2254" s="1">
        <v>44653</v>
      </c>
      <c r="B2254" s="2" t="s">
        <v>699</v>
      </c>
      <c r="C2254" s="2" t="s">
        <v>9</v>
      </c>
      <c r="D2254" s="2" t="s">
        <v>10</v>
      </c>
      <c r="E2254" s="2" t="s">
        <v>53</v>
      </c>
      <c r="F2254" s="2">
        <v>32.19</v>
      </c>
      <c r="G2254" s="2">
        <v>2</v>
      </c>
      <c r="H2254" s="2">
        <v>-80.48</v>
      </c>
      <c r="I2254" t="str">
        <f t="shared" si="35"/>
        <v>Apr</v>
      </c>
      <c r="J2254">
        <f>YEAR(datas[[#This Row],[Order Date]])</f>
        <v>2022</v>
      </c>
    </row>
    <row r="2255" spans="1:10" ht="14.25" customHeight="1" x14ac:dyDescent="0.3">
      <c r="A2255" s="1">
        <v>44653</v>
      </c>
      <c r="B2255" s="2" t="s">
        <v>699</v>
      </c>
      <c r="C2255" s="2" t="s">
        <v>9</v>
      </c>
      <c r="D2255" s="2" t="s">
        <v>28</v>
      </c>
      <c r="E2255" s="2" t="s">
        <v>34</v>
      </c>
      <c r="F2255" s="2">
        <v>50.12</v>
      </c>
      <c r="G2255" s="2">
        <v>7</v>
      </c>
      <c r="H2255" s="2">
        <v>-0.63</v>
      </c>
      <c r="I2255" t="str">
        <f t="shared" si="35"/>
        <v>Apr</v>
      </c>
      <c r="J2255">
        <f>YEAR(datas[[#This Row],[Order Date]])</f>
        <v>2022</v>
      </c>
    </row>
    <row r="2256" spans="1:10" ht="14.25" customHeight="1" x14ac:dyDescent="0.3">
      <c r="A2256" s="1">
        <v>44653</v>
      </c>
      <c r="B2256" s="2" t="s">
        <v>699</v>
      </c>
      <c r="C2256" s="2" t="s">
        <v>9</v>
      </c>
      <c r="D2256" s="2" t="s">
        <v>28</v>
      </c>
      <c r="E2256" s="2" t="s">
        <v>34</v>
      </c>
      <c r="F2256" s="2">
        <v>47.98</v>
      </c>
      <c r="G2256" s="2">
        <v>3</v>
      </c>
      <c r="H2256" s="2">
        <v>1.8</v>
      </c>
      <c r="I2256" t="str">
        <f t="shared" si="35"/>
        <v>Apr</v>
      </c>
      <c r="J2256">
        <f>YEAR(datas[[#This Row],[Order Date]])</f>
        <v>2022</v>
      </c>
    </row>
    <row r="2257" spans="1:10" ht="14.25" customHeight="1" x14ac:dyDescent="0.3">
      <c r="A2257" s="1">
        <v>44653</v>
      </c>
      <c r="B2257" s="2" t="s">
        <v>640</v>
      </c>
      <c r="C2257" s="2" t="s">
        <v>9</v>
      </c>
      <c r="D2257" s="2" t="s">
        <v>10</v>
      </c>
      <c r="E2257" s="2" t="s">
        <v>16</v>
      </c>
      <c r="F2257" s="2">
        <v>9.16</v>
      </c>
      <c r="G2257" s="2">
        <v>3</v>
      </c>
      <c r="H2257" s="2">
        <v>-13.73</v>
      </c>
      <c r="I2257" t="str">
        <f t="shared" si="35"/>
        <v>Apr</v>
      </c>
      <c r="J2257">
        <f>YEAR(datas[[#This Row],[Order Date]])</f>
        <v>2022</v>
      </c>
    </row>
    <row r="2258" spans="1:10" ht="14.25" customHeight="1" x14ac:dyDescent="0.3">
      <c r="A2258" s="1">
        <v>44653</v>
      </c>
      <c r="B2258" s="2" t="s">
        <v>700</v>
      </c>
      <c r="C2258" s="2" t="s">
        <v>21</v>
      </c>
      <c r="D2258" s="2" t="s">
        <v>28</v>
      </c>
      <c r="E2258" s="2" t="s">
        <v>136</v>
      </c>
      <c r="F2258" s="2">
        <v>71.98</v>
      </c>
      <c r="G2258" s="2">
        <v>3</v>
      </c>
      <c r="H2258" s="2">
        <v>24.29</v>
      </c>
      <c r="I2258" t="str">
        <f t="shared" si="35"/>
        <v>Apr</v>
      </c>
      <c r="J2258">
        <f>YEAR(datas[[#This Row],[Order Date]])</f>
        <v>2022</v>
      </c>
    </row>
    <row r="2259" spans="1:10" ht="14.25" customHeight="1" x14ac:dyDescent="0.3">
      <c r="A2259" s="1">
        <v>44653</v>
      </c>
      <c r="B2259" s="2" t="s">
        <v>384</v>
      </c>
      <c r="C2259" s="2" t="s">
        <v>55</v>
      </c>
      <c r="D2259" s="2" t="s">
        <v>28</v>
      </c>
      <c r="E2259" s="2" t="s">
        <v>29</v>
      </c>
      <c r="F2259" s="2">
        <v>87.8</v>
      </c>
      <c r="G2259" s="2">
        <v>5</v>
      </c>
      <c r="H2259" s="2">
        <v>32.93</v>
      </c>
      <c r="I2259" t="str">
        <f t="shared" si="35"/>
        <v>Apr</v>
      </c>
      <c r="J2259">
        <f>YEAR(datas[[#This Row],[Order Date]])</f>
        <v>2022</v>
      </c>
    </row>
    <row r="2260" spans="1:10" ht="14.25" customHeight="1" x14ac:dyDescent="0.3">
      <c r="A2260" s="1">
        <v>44655</v>
      </c>
      <c r="B2260" s="2" t="s">
        <v>219</v>
      </c>
      <c r="C2260" s="2" t="s">
        <v>75</v>
      </c>
      <c r="D2260" s="2" t="s">
        <v>10</v>
      </c>
      <c r="E2260" s="2" t="s">
        <v>19</v>
      </c>
      <c r="F2260" s="2">
        <v>11.16</v>
      </c>
      <c r="G2260" s="2">
        <v>2</v>
      </c>
      <c r="H2260" s="2">
        <v>4.3499999999999996</v>
      </c>
      <c r="I2260" t="str">
        <f t="shared" si="35"/>
        <v>Apr</v>
      </c>
      <c r="J2260">
        <f>YEAR(datas[[#This Row],[Order Date]])</f>
        <v>2022</v>
      </c>
    </row>
    <row r="2261" spans="1:10" ht="14.25" customHeight="1" x14ac:dyDescent="0.3">
      <c r="A2261" s="1">
        <v>44655</v>
      </c>
      <c r="B2261" s="2" t="s">
        <v>219</v>
      </c>
      <c r="C2261" s="2" t="s">
        <v>75</v>
      </c>
      <c r="D2261" s="2" t="s">
        <v>26</v>
      </c>
      <c r="E2261" s="2" t="s">
        <v>32</v>
      </c>
      <c r="F2261" s="2">
        <v>108.4</v>
      </c>
      <c r="G2261" s="2">
        <v>2</v>
      </c>
      <c r="H2261" s="2">
        <v>22.76</v>
      </c>
      <c r="I2261" t="str">
        <f t="shared" si="35"/>
        <v>Apr</v>
      </c>
      <c r="J2261">
        <f>YEAR(datas[[#This Row],[Order Date]])</f>
        <v>2022</v>
      </c>
    </row>
    <row r="2262" spans="1:10" ht="14.25" customHeight="1" x14ac:dyDescent="0.3">
      <c r="A2262" s="1">
        <v>44655</v>
      </c>
      <c r="B2262" s="2" t="s">
        <v>219</v>
      </c>
      <c r="C2262" s="2" t="s">
        <v>75</v>
      </c>
      <c r="D2262" s="2" t="s">
        <v>10</v>
      </c>
      <c r="E2262" s="2" t="s">
        <v>16</v>
      </c>
      <c r="F2262" s="2">
        <v>82.34</v>
      </c>
      <c r="G2262" s="2">
        <v>3</v>
      </c>
      <c r="H2262" s="2">
        <v>27.79</v>
      </c>
      <c r="I2262" t="str">
        <f t="shared" si="35"/>
        <v>Apr</v>
      </c>
      <c r="J2262">
        <f>YEAR(datas[[#This Row],[Order Date]])</f>
        <v>2022</v>
      </c>
    </row>
    <row r="2263" spans="1:10" ht="14.25" customHeight="1" x14ac:dyDescent="0.3">
      <c r="A2263" s="1">
        <v>44655</v>
      </c>
      <c r="B2263" s="2" t="s">
        <v>219</v>
      </c>
      <c r="C2263" s="2" t="s">
        <v>75</v>
      </c>
      <c r="D2263" s="2" t="s">
        <v>10</v>
      </c>
      <c r="E2263" s="2" t="s">
        <v>16</v>
      </c>
      <c r="F2263" s="2">
        <v>9.09</v>
      </c>
      <c r="G2263" s="2">
        <v>4</v>
      </c>
      <c r="H2263" s="2">
        <v>3.29</v>
      </c>
      <c r="I2263" t="str">
        <f t="shared" si="35"/>
        <v>Apr</v>
      </c>
      <c r="J2263">
        <f>YEAR(datas[[#This Row],[Order Date]])</f>
        <v>2022</v>
      </c>
    </row>
    <row r="2264" spans="1:10" ht="14.25" customHeight="1" x14ac:dyDescent="0.3">
      <c r="A2264" s="1">
        <v>44655</v>
      </c>
      <c r="B2264" s="2" t="s">
        <v>174</v>
      </c>
      <c r="C2264" s="2" t="s">
        <v>60</v>
      </c>
      <c r="D2264" s="2" t="s">
        <v>10</v>
      </c>
      <c r="E2264" s="2" t="s">
        <v>53</v>
      </c>
      <c r="F2264" s="2">
        <v>644.08000000000004</v>
      </c>
      <c r="G2264" s="2">
        <v>2</v>
      </c>
      <c r="H2264" s="2">
        <v>107.35</v>
      </c>
      <c r="I2264" t="str">
        <f t="shared" si="35"/>
        <v>Apr</v>
      </c>
      <c r="J2264">
        <f>YEAR(datas[[#This Row],[Order Date]])</f>
        <v>2022</v>
      </c>
    </row>
    <row r="2265" spans="1:10" ht="14.25" customHeight="1" x14ac:dyDescent="0.3">
      <c r="A2265" s="1">
        <v>44655</v>
      </c>
      <c r="B2265" s="2" t="s">
        <v>174</v>
      </c>
      <c r="C2265" s="2" t="s">
        <v>60</v>
      </c>
      <c r="D2265" s="2" t="s">
        <v>10</v>
      </c>
      <c r="E2265" s="2" t="s">
        <v>30</v>
      </c>
      <c r="F2265" s="2">
        <v>5.84</v>
      </c>
      <c r="G2265" s="2">
        <v>2</v>
      </c>
      <c r="H2265" s="2">
        <v>2.63</v>
      </c>
      <c r="I2265" t="str">
        <f t="shared" si="35"/>
        <v>Apr</v>
      </c>
      <c r="J2265">
        <f>YEAR(datas[[#This Row],[Order Date]])</f>
        <v>2022</v>
      </c>
    </row>
    <row r="2266" spans="1:10" ht="14.25" customHeight="1" x14ac:dyDescent="0.3">
      <c r="A2266" s="1">
        <v>44655</v>
      </c>
      <c r="B2266" s="2" t="s">
        <v>174</v>
      </c>
      <c r="C2266" s="2" t="s">
        <v>60</v>
      </c>
      <c r="D2266" s="2" t="s">
        <v>10</v>
      </c>
      <c r="E2266" s="2" t="s">
        <v>16</v>
      </c>
      <c r="F2266" s="2">
        <v>12.76</v>
      </c>
      <c r="G2266" s="2">
        <v>2</v>
      </c>
      <c r="H2266" s="2">
        <v>5.87</v>
      </c>
      <c r="I2266" t="str">
        <f t="shared" si="35"/>
        <v>Apr</v>
      </c>
      <c r="J2266">
        <f>YEAR(datas[[#This Row],[Order Date]])</f>
        <v>2022</v>
      </c>
    </row>
    <row r="2267" spans="1:10" ht="14.25" customHeight="1" x14ac:dyDescent="0.3">
      <c r="A2267" s="1">
        <v>44655</v>
      </c>
      <c r="B2267" s="2" t="s">
        <v>174</v>
      </c>
      <c r="C2267" s="2" t="s">
        <v>60</v>
      </c>
      <c r="D2267" s="2" t="s">
        <v>28</v>
      </c>
      <c r="E2267" s="2" t="s">
        <v>29</v>
      </c>
      <c r="F2267" s="2">
        <v>10.95</v>
      </c>
      <c r="G2267" s="2">
        <v>1</v>
      </c>
      <c r="H2267" s="2">
        <v>0.44</v>
      </c>
      <c r="I2267" t="str">
        <f t="shared" si="35"/>
        <v>Apr</v>
      </c>
      <c r="J2267">
        <f>YEAR(datas[[#This Row],[Order Date]])</f>
        <v>2022</v>
      </c>
    </row>
    <row r="2268" spans="1:10" ht="14.25" customHeight="1" x14ac:dyDescent="0.3">
      <c r="A2268" s="1">
        <v>44655</v>
      </c>
      <c r="B2268" s="2" t="s">
        <v>174</v>
      </c>
      <c r="C2268" s="2" t="s">
        <v>60</v>
      </c>
      <c r="D2268" s="2" t="s">
        <v>28</v>
      </c>
      <c r="E2268" s="2" t="s">
        <v>243</v>
      </c>
      <c r="F2268" s="2">
        <v>599.98</v>
      </c>
      <c r="G2268" s="2">
        <v>2</v>
      </c>
      <c r="H2268" s="2">
        <v>209.99</v>
      </c>
      <c r="I2268" t="str">
        <f t="shared" si="35"/>
        <v>Apr</v>
      </c>
      <c r="J2268">
        <f>YEAR(datas[[#This Row],[Order Date]])</f>
        <v>2022</v>
      </c>
    </row>
    <row r="2269" spans="1:10" ht="14.25" customHeight="1" x14ac:dyDescent="0.3">
      <c r="A2269" s="1">
        <v>44656</v>
      </c>
      <c r="B2269" s="2" t="s">
        <v>551</v>
      </c>
      <c r="C2269" s="2" t="s">
        <v>62</v>
      </c>
      <c r="D2269" s="2" t="s">
        <v>10</v>
      </c>
      <c r="E2269" s="2" t="s">
        <v>16</v>
      </c>
      <c r="F2269" s="2">
        <v>157.79</v>
      </c>
      <c r="G2269" s="2">
        <v>1</v>
      </c>
      <c r="H2269" s="2">
        <v>-115.72</v>
      </c>
      <c r="I2269" t="str">
        <f t="shared" si="35"/>
        <v>Apr</v>
      </c>
      <c r="J2269">
        <f>YEAR(datas[[#This Row],[Order Date]])</f>
        <v>2022</v>
      </c>
    </row>
    <row r="2270" spans="1:10" ht="14.25" customHeight="1" x14ac:dyDescent="0.3">
      <c r="A2270" s="1">
        <v>44656</v>
      </c>
      <c r="B2270" s="2" t="s">
        <v>310</v>
      </c>
      <c r="C2270" s="2" t="s">
        <v>18</v>
      </c>
      <c r="D2270" s="2" t="s">
        <v>10</v>
      </c>
      <c r="E2270" s="2" t="s">
        <v>53</v>
      </c>
      <c r="F2270" s="2">
        <v>98.11</v>
      </c>
      <c r="G2270" s="2">
        <v>7</v>
      </c>
      <c r="H2270" s="2">
        <v>18.399999999999999</v>
      </c>
      <c r="I2270" t="str">
        <f t="shared" si="35"/>
        <v>Apr</v>
      </c>
      <c r="J2270">
        <f>YEAR(datas[[#This Row],[Order Date]])</f>
        <v>2022</v>
      </c>
    </row>
    <row r="2271" spans="1:10" ht="14.25" customHeight="1" x14ac:dyDescent="0.3">
      <c r="A2271" s="1">
        <v>44656</v>
      </c>
      <c r="B2271" s="2" t="s">
        <v>310</v>
      </c>
      <c r="C2271" s="2" t="s">
        <v>18</v>
      </c>
      <c r="D2271" s="2" t="s">
        <v>10</v>
      </c>
      <c r="E2271" s="2" t="s">
        <v>15</v>
      </c>
      <c r="F2271" s="2">
        <v>563.80999999999995</v>
      </c>
      <c r="G2271" s="2">
        <v>4</v>
      </c>
      <c r="H2271" s="2">
        <v>21.14</v>
      </c>
      <c r="I2271" t="str">
        <f t="shared" si="35"/>
        <v>Apr</v>
      </c>
      <c r="J2271">
        <f>YEAR(datas[[#This Row],[Order Date]])</f>
        <v>2022</v>
      </c>
    </row>
    <row r="2272" spans="1:10" ht="14.25" customHeight="1" x14ac:dyDescent="0.3">
      <c r="A2272" s="1">
        <v>44656</v>
      </c>
      <c r="B2272" s="2" t="s">
        <v>310</v>
      </c>
      <c r="C2272" s="2" t="s">
        <v>18</v>
      </c>
      <c r="D2272" s="2" t="s">
        <v>10</v>
      </c>
      <c r="E2272" s="2" t="s">
        <v>16</v>
      </c>
      <c r="F2272" s="2">
        <v>10.43</v>
      </c>
      <c r="G2272" s="2">
        <v>4</v>
      </c>
      <c r="H2272" s="2">
        <v>-6.95</v>
      </c>
      <c r="I2272" t="str">
        <f t="shared" si="35"/>
        <v>Apr</v>
      </c>
      <c r="J2272">
        <f>YEAR(datas[[#This Row],[Order Date]])</f>
        <v>2022</v>
      </c>
    </row>
    <row r="2273" spans="1:10" ht="14.25" customHeight="1" x14ac:dyDescent="0.3">
      <c r="A2273" s="1">
        <v>44656</v>
      </c>
      <c r="B2273" s="2" t="s">
        <v>310</v>
      </c>
      <c r="C2273" s="2" t="s">
        <v>18</v>
      </c>
      <c r="D2273" s="2" t="s">
        <v>26</v>
      </c>
      <c r="E2273" s="2" t="s">
        <v>32</v>
      </c>
      <c r="F2273" s="2">
        <v>547.14</v>
      </c>
      <c r="G2273" s="2">
        <v>4</v>
      </c>
      <c r="H2273" s="2">
        <v>-68.39</v>
      </c>
      <c r="I2273" t="str">
        <f t="shared" si="35"/>
        <v>Apr</v>
      </c>
      <c r="J2273">
        <f>YEAR(datas[[#This Row],[Order Date]])</f>
        <v>2022</v>
      </c>
    </row>
    <row r="2274" spans="1:10" ht="14.25" customHeight="1" x14ac:dyDescent="0.3">
      <c r="A2274" s="1">
        <v>44656</v>
      </c>
      <c r="B2274" s="2" t="s">
        <v>310</v>
      </c>
      <c r="C2274" s="2" t="s">
        <v>18</v>
      </c>
      <c r="D2274" s="2" t="s">
        <v>28</v>
      </c>
      <c r="E2274" s="2" t="s">
        <v>29</v>
      </c>
      <c r="F2274" s="2">
        <v>14.85</v>
      </c>
      <c r="G2274" s="2">
        <v>5</v>
      </c>
      <c r="H2274" s="2">
        <v>-3.22</v>
      </c>
      <c r="I2274" t="str">
        <f t="shared" si="35"/>
        <v>Apr</v>
      </c>
      <c r="J2274">
        <f>YEAR(datas[[#This Row],[Order Date]])</f>
        <v>2022</v>
      </c>
    </row>
    <row r="2275" spans="1:10" ht="14.25" customHeight="1" x14ac:dyDescent="0.3">
      <c r="A2275" s="1">
        <v>44656</v>
      </c>
      <c r="B2275" s="2" t="s">
        <v>310</v>
      </c>
      <c r="C2275" s="2" t="s">
        <v>18</v>
      </c>
      <c r="D2275" s="2" t="s">
        <v>28</v>
      </c>
      <c r="E2275" s="2" t="s">
        <v>29</v>
      </c>
      <c r="F2275" s="2">
        <v>41.99</v>
      </c>
      <c r="G2275" s="2">
        <v>2</v>
      </c>
      <c r="H2275" s="2">
        <v>-9.8000000000000007</v>
      </c>
      <c r="I2275" t="str">
        <f t="shared" si="35"/>
        <v>Apr</v>
      </c>
      <c r="J2275">
        <f>YEAR(datas[[#This Row],[Order Date]])</f>
        <v>2022</v>
      </c>
    </row>
    <row r="2276" spans="1:10" ht="14.25" customHeight="1" x14ac:dyDescent="0.3">
      <c r="A2276" s="1">
        <v>44656</v>
      </c>
      <c r="B2276" s="2" t="s">
        <v>310</v>
      </c>
      <c r="C2276" s="2" t="s">
        <v>18</v>
      </c>
      <c r="D2276" s="2" t="s">
        <v>26</v>
      </c>
      <c r="E2276" s="2" t="s">
        <v>32</v>
      </c>
      <c r="F2276" s="2">
        <v>7.58</v>
      </c>
      <c r="G2276" s="2">
        <v>1</v>
      </c>
      <c r="H2276" s="2">
        <v>2.37</v>
      </c>
      <c r="I2276" t="str">
        <f t="shared" si="35"/>
        <v>Apr</v>
      </c>
      <c r="J2276">
        <f>YEAR(datas[[#This Row],[Order Date]])</f>
        <v>2022</v>
      </c>
    </row>
    <row r="2277" spans="1:10" ht="14.25" customHeight="1" x14ac:dyDescent="0.3">
      <c r="A2277" s="1">
        <v>44656</v>
      </c>
      <c r="B2277" s="2" t="s">
        <v>310</v>
      </c>
      <c r="C2277" s="2" t="s">
        <v>18</v>
      </c>
      <c r="D2277" s="2" t="s">
        <v>26</v>
      </c>
      <c r="E2277" s="2" t="s">
        <v>45</v>
      </c>
      <c r="F2277" s="2">
        <v>352.45</v>
      </c>
      <c r="G2277" s="2">
        <v>5</v>
      </c>
      <c r="H2277" s="2">
        <v>-211.47</v>
      </c>
      <c r="I2277" t="str">
        <f t="shared" si="35"/>
        <v>Apr</v>
      </c>
      <c r="J2277">
        <f>YEAR(datas[[#This Row],[Order Date]])</f>
        <v>2022</v>
      </c>
    </row>
    <row r="2278" spans="1:10" ht="14.25" customHeight="1" x14ac:dyDescent="0.3">
      <c r="A2278" s="1">
        <v>44656</v>
      </c>
      <c r="B2278" s="2" t="s">
        <v>273</v>
      </c>
      <c r="C2278" s="2" t="s">
        <v>18</v>
      </c>
      <c r="D2278" s="2" t="s">
        <v>10</v>
      </c>
      <c r="E2278" s="2" t="s">
        <v>14</v>
      </c>
      <c r="F2278" s="2">
        <v>23.9</v>
      </c>
      <c r="G2278" s="2">
        <v>6</v>
      </c>
      <c r="H2278" s="2">
        <v>7.77</v>
      </c>
      <c r="I2278" t="str">
        <f t="shared" si="35"/>
        <v>Apr</v>
      </c>
      <c r="J2278">
        <f>YEAR(datas[[#This Row],[Order Date]])</f>
        <v>2022</v>
      </c>
    </row>
    <row r="2279" spans="1:10" ht="14.25" customHeight="1" x14ac:dyDescent="0.3">
      <c r="A2279" s="1">
        <v>44656</v>
      </c>
      <c r="B2279" s="2" t="s">
        <v>70</v>
      </c>
      <c r="C2279" s="2" t="s">
        <v>21</v>
      </c>
      <c r="D2279" s="2" t="s">
        <v>26</v>
      </c>
      <c r="E2279" s="2" t="s">
        <v>27</v>
      </c>
      <c r="F2279" s="2">
        <v>892.22</v>
      </c>
      <c r="G2279" s="2">
        <v>3</v>
      </c>
      <c r="H2279" s="2">
        <v>89.22</v>
      </c>
      <c r="I2279" t="str">
        <f t="shared" si="35"/>
        <v>Apr</v>
      </c>
      <c r="J2279">
        <f>YEAR(datas[[#This Row],[Order Date]])</f>
        <v>2022</v>
      </c>
    </row>
    <row r="2280" spans="1:10" ht="14.25" customHeight="1" x14ac:dyDescent="0.3">
      <c r="A2280" s="1">
        <v>44656</v>
      </c>
      <c r="B2280" s="2" t="s">
        <v>326</v>
      </c>
      <c r="C2280" s="2" t="s">
        <v>82</v>
      </c>
      <c r="D2280" s="2" t="s">
        <v>28</v>
      </c>
      <c r="E2280" s="2" t="s">
        <v>34</v>
      </c>
      <c r="F2280" s="2">
        <v>239.94</v>
      </c>
      <c r="G2280" s="2">
        <v>6</v>
      </c>
      <c r="H2280" s="2">
        <v>26.39</v>
      </c>
      <c r="I2280" t="str">
        <f t="shared" si="35"/>
        <v>Apr</v>
      </c>
      <c r="J2280">
        <f>YEAR(datas[[#This Row],[Order Date]])</f>
        <v>2022</v>
      </c>
    </row>
    <row r="2281" spans="1:10" ht="14.25" customHeight="1" x14ac:dyDescent="0.3">
      <c r="A2281" s="1">
        <v>44656</v>
      </c>
      <c r="B2281" s="2" t="s">
        <v>326</v>
      </c>
      <c r="C2281" s="2" t="s">
        <v>82</v>
      </c>
      <c r="D2281" s="2" t="s">
        <v>10</v>
      </c>
      <c r="E2281" s="2" t="s">
        <v>19</v>
      </c>
      <c r="F2281" s="2">
        <v>23.84</v>
      </c>
      <c r="G2281" s="2">
        <v>8</v>
      </c>
      <c r="H2281" s="2">
        <v>6.44</v>
      </c>
      <c r="I2281" t="str">
        <f t="shared" si="35"/>
        <v>Apr</v>
      </c>
      <c r="J2281">
        <f>YEAR(datas[[#This Row],[Order Date]])</f>
        <v>2022</v>
      </c>
    </row>
    <row r="2282" spans="1:10" ht="14.25" customHeight="1" x14ac:dyDescent="0.3">
      <c r="A2282" s="1">
        <v>44657</v>
      </c>
      <c r="B2282" s="2" t="s">
        <v>497</v>
      </c>
      <c r="C2282" s="2" t="s">
        <v>9</v>
      </c>
      <c r="D2282" s="2" t="s">
        <v>10</v>
      </c>
      <c r="E2282" s="2" t="s">
        <v>19</v>
      </c>
      <c r="F2282" s="2">
        <v>42.05</v>
      </c>
      <c r="G2282" s="2">
        <v>9</v>
      </c>
      <c r="H2282" s="2">
        <v>5.26</v>
      </c>
      <c r="I2282" t="str">
        <f t="shared" si="35"/>
        <v>Apr</v>
      </c>
      <c r="J2282">
        <f>YEAR(datas[[#This Row],[Order Date]])</f>
        <v>2022</v>
      </c>
    </row>
    <row r="2283" spans="1:10" ht="14.25" customHeight="1" x14ac:dyDescent="0.3">
      <c r="A2283" s="1">
        <v>44657</v>
      </c>
      <c r="B2283" s="2" t="s">
        <v>497</v>
      </c>
      <c r="C2283" s="2" t="s">
        <v>9</v>
      </c>
      <c r="D2283" s="2" t="s">
        <v>28</v>
      </c>
      <c r="E2283" s="2" t="s">
        <v>34</v>
      </c>
      <c r="F2283" s="2">
        <v>25.49</v>
      </c>
      <c r="G2283" s="2">
        <v>2</v>
      </c>
      <c r="H2283" s="2">
        <v>4.46</v>
      </c>
      <c r="I2283" t="str">
        <f t="shared" si="35"/>
        <v>Apr</v>
      </c>
      <c r="J2283">
        <f>YEAR(datas[[#This Row],[Order Date]])</f>
        <v>2022</v>
      </c>
    </row>
    <row r="2284" spans="1:10" ht="14.25" customHeight="1" x14ac:dyDescent="0.3">
      <c r="A2284" s="1">
        <v>44657</v>
      </c>
      <c r="B2284" s="2" t="s">
        <v>497</v>
      </c>
      <c r="C2284" s="2" t="s">
        <v>9</v>
      </c>
      <c r="D2284" s="2" t="s">
        <v>10</v>
      </c>
      <c r="E2284" s="2" t="s">
        <v>16</v>
      </c>
      <c r="F2284" s="2">
        <v>6.9</v>
      </c>
      <c r="G2284" s="2">
        <v>3</v>
      </c>
      <c r="H2284" s="2">
        <v>-12.08</v>
      </c>
      <c r="I2284" t="str">
        <f t="shared" si="35"/>
        <v>Apr</v>
      </c>
      <c r="J2284">
        <f>YEAR(datas[[#This Row],[Order Date]])</f>
        <v>2022</v>
      </c>
    </row>
    <row r="2285" spans="1:10" ht="14.25" customHeight="1" x14ac:dyDescent="0.3">
      <c r="A2285" s="1">
        <v>44657</v>
      </c>
      <c r="B2285" s="2" t="s">
        <v>497</v>
      </c>
      <c r="C2285" s="2" t="s">
        <v>9</v>
      </c>
      <c r="D2285" s="2" t="s">
        <v>10</v>
      </c>
      <c r="E2285" s="2" t="s">
        <v>16</v>
      </c>
      <c r="F2285" s="2">
        <v>9.65</v>
      </c>
      <c r="G2285" s="2">
        <v>6</v>
      </c>
      <c r="H2285" s="2">
        <v>-16.88</v>
      </c>
      <c r="I2285" t="str">
        <f t="shared" si="35"/>
        <v>Apr</v>
      </c>
      <c r="J2285">
        <f>YEAR(datas[[#This Row],[Order Date]])</f>
        <v>2022</v>
      </c>
    </row>
    <row r="2286" spans="1:10" ht="14.25" customHeight="1" x14ac:dyDescent="0.3">
      <c r="A2286" s="1">
        <v>44657</v>
      </c>
      <c r="B2286" s="2" t="s">
        <v>497</v>
      </c>
      <c r="C2286" s="2" t="s">
        <v>9</v>
      </c>
      <c r="D2286" s="2" t="s">
        <v>10</v>
      </c>
      <c r="E2286" s="2" t="s">
        <v>11</v>
      </c>
      <c r="F2286" s="2">
        <v>7.97</v>
      </c>
      <c r="G2286" s="2">
        <v>2</v>
      </c>
      <c r="H2286" s="2">
        <v>2.89</v>
      </c>
      <c r="I2286" t="str">
        <f t="shared" si="35"/>
        <v>Apr</v>
      </c>
      <c r="J2286">
        <f>YEAR(datas[[#This Row],[Order Date]])</f>
        <v>2022</v>
      </c>
    </row>
    <row r="2287" spans="1:10" ht="14.25" customHeight="1" x14ac:dyDescent="0.3">
      <c r="A2287" s="1">
        <v>44657</v>
      </c>
      <c r="B2287" s="2" t="s">
        <v>362</v>
      </c>
      <c r="C2287" s="2" t="s">
        <v>115</v>
      </c>
      <c r="D2287" s="2" t="s">
        <v>10</v>
      </c>
      <c r="E2287" s="2" t="s">
        <v>11</v>
      </c>
      <c r="F2287" s="2">
        <v>47.95</v>
      </c>
      <c r="G2287" s="2">
        <v>3</v>
      </c>
      <c r="H2287" s="2">
        <v>16.18</v>
      </c>
      <c r="I2287" t="str">
        <f t="shared" si="35"/>
        <v>Apr</v>
      </c>
      <c r="J2287">
        <f>YEAR(datas[[#This Row],[Order Date]])</f>
        <v>2022</v>
      </c>
    </row>
    <row r="2288" spans="1:10" ht="14.25" customHeight="1" x14ac:dyDescent="0.3">
      <c r="A2288" s="1">
        <v>44658</v>
      </c>
      <c r="B2288" s="2" t="s">
        <v>250</v>
      </c>
      <c r="C2288" s="2" t="s">
        <v>9</v>
      </c>
      <c r="D2288" s="2" t="s">
        <v>10</v>
      </c>
      <c r="E2288" s="2" t="s">
        <v>53</v>
      </c>
      <c r="F2288" s="2">
        <v>463.25</v>
      </c>
      <c r="G2288" s="2">
        <v>8</v>
      </c>
      <c r="H2288" s="2">
        <v>-1181.28</v>
      </c>
      <c r="I2288" t="str">
        <f t="shared" si="35"/>
        <v>Apr</v>
      </c>
      <c r="J2288">
        <f>YEAR(datas[[#This Row],[Order Date]])</f>
        <v>2022</v>
      </c>
    </row>
    <row r="2289" spans="1:10" ht="14.25" customHeight="1" x14ac:dyDescent="0.3">
      <c r="A2289" s="1">
        <v>44658</v>
      </c>
      <c r="B2289" s="2" t="s">
        <v>250</v>
      </c>
      <c r="C2289" s="2" t="s">
        <v>9</v>
      </c>
      <c r="D2289" s="2" t="s">
        <v>28</v>
      </c>
      <c r="E2289" s="2" t="s">
        <v>34</v>
      </c>
      <c r="F2289" s="2">
        <v>383.95</v>
      </c>
      <c r="G2289" s="2">
        <v>6</v>
      </c>
      <c r="H2289" s="2">
        <v>47.99</v>
      </c>
      <c r="I2289" t="str">
        <f t="shared" si="35"/>
        <v>Apr</v>
      </c>
      <c r="J2289">
        <f>YEAR(datas[[#This Row],[Order Date]])</f>
        <v>2022</v>
      </c>
    </row>
    <row r="2290" spans="1:10" ht="14.25" customHeight="1" x14ac:dyDescent="0.3">
      <c r="A2290" s="1">
        <v>44658</v>
      </c>
      <c r="B2290" s="2" t="s">
        <v>435</v>
      </c>
      <c r="C2290" s="2" t="s">
        <v>18</v>
      </c>
      <c r="D2290" s="2" t="s">
        <v>10</v>
      </c>
      <c r="E2290" s="2" t="s">
        <v>19</v>
      </c>
      <c r="F2290" s="2">
        <v>11.74</v>
      </c>
      <c r="G2290" s="2">
        <v>3</v>
      </c>
      <c r="H2290" s="2">
        <v>1.03</v>
      </c>
      <c r="I2290" t="str">
        <f t="shared" si="35"/>
        <v>Apr</v>
      </c>
      <c r="J2290">
        <f>YEAR(datas[[#This Row],[Order Date]])</f>
        <v>2022</v>
      </c>
    </row>
    <row r="2291" spans="1:10" ht="14.25" customHeight="1" x14ac:dyDescent="0.3">
      <c r="A2291" s="1">
        <v>44658</v>
      </c>
      <c r="B2291" s="2" t="s">
        <v>285</v>
      </c>
      <c r="C2291" s="2" t="s">
        <v>75</v>
      </c>
      <c r="D2291" s="2" t="s">
        <v>10</v>
      </c>
      <c r="E2291" s="2" t="s">
        <v>11</v>
      </c>
      <c r="F2291" s="2">
        <v>25.92</v>
      </c>
      <c r="G2291" s="2">
        <v>4</v>
      </c>
      <c r="H2291" s="2">
        <v>12.44</v>
      </c>
      <c r="I2291" t="str">
        <f t="shared" si="35"/>
        <v>Apr</v>
      </c>
      <c r="J2291">
        <f>YEAR(datas[[#This Row],[Order Date]])</f>
        <v>2022</v>
      </c>
    </row>
    <row r="2292" spans="1:10" ht="14.25" customHeight="1" x14ac:dyDescent="0.3">
      <c r="A2292" s="1">
        <v>44658</v>
      </c>
      <c r="B2292" s="2" t="s">
        <v>285</v>
      </c>
      <c r="C2292" s="2" t="s">
        <v>75</v>
      </c>
      <c r="D2292" s="2" t="s">
        <v>10</v>
      </c>
      <c r="E2292" s="2" t="s">
        <v>15</v>
      </c>
      <c r="F2292" s="2">
        <v>22.58</v>
      </c>
      <c r="G2292" s="2">
        <v>2</v>
      </c>
      <c r="H2292" s="2">
        <v>5.87</v>
      </c>
      <c r="I2292" t="str">
        <f t="shared" si="35"/>
        <v>Apr</v>
      </c>
      <c r="J2292">
        <f>YEAR(datas[[#This Row],[Order Date]])</f>
        <v>2022</v>
      </c>
    </row>
    <row r="2293" spans="1:10" ht="14.25" customHeight="1" x14ac:dyDescent="0.3">
      <c r="A2293" s="1">
        <v>44660</v>
      </c>
      <c r="B2293" s="2" t="s">
        <v>205</v>
      </c>
      <c r="C2293" s="2" t="s">
        <v>21</v>
      </c>
      <c r="D2293" s="2" t="s">
        <v>26</v>
      </c>
      <c r="E2293" s="2" t="s">
        <v>73</v>
      </c>
      <c r="F2293" s="2">
        <v>369.91</v>
      </c>
      <c r="G2293" s="2">
        <v>3</v>
      </c>
      <c r="H2293" s="2">
        <v>-13.87</v>
      </c>
      <c r="I2293" t="str">
        <f t="shared" si="35"/>
        <v>Apr</v>
      </c>
      <c r="J2293">
        <f>YEAR(datas[[#This Row],[Order Date]])</f>
        <v>2022</v>
      </c>
    </row>
    <row r="2294" spans="1:10" ht="14.25" customHeight="1" x14ac:dyDescent="0.3">
      <c r="A2294" s="1">
        <v>44660</v>
      </c>
      <c r="B2294" s="2" t="s">
        <v>327</v>
      </c>
      <c r="C2294" s="2" t="s">
        <v>75</v>
      </c>
      <c r="D2294" s="2" t="s">
        <v>10</v>
      </c>
      <c r="E2294" s="2" t="s">
        <v>15</v>
      </c>
      <c r="F2294" s="2">
        <v>17.940000000000001</v>
      </c>
      <c r="G2294" s="2">
        <v>3</v>
      </c>
      <c r="H2294" s="2">
        <v>3.05</v>
      </c>
      <c r="I2294" t="str">
        <f t="shared" si="35"/>
        <v>Apr</v>
      </c>
      <c r="J2294">
        <f>YEAR(datas[[#This Row],[Order Date]])</f>
        <v>2022</v>
      </c>
    </row>
    <row r="2295" spans="1:10" ht="14.25" customHeight="1" x14ac:dyDescent="0.3">
      <c r="A2295" s="1">
        <v>44660</v>
      </c>
      <c r="B2295" s="2" t="s">
        <v>537</v>
      </c>
      <c r="C2295" s="2" t="s">
        <v>248</v>
      </c>
      <c r="D2295" s="2" t="s">
        <v>10</v>
      </c>
      <c r="E2295" s="2" t="s">
        <v>53</v>
      </c>
      <c r="F2295" s="2">
        <v>370.14</v>
      </c>
      <c r="G2295" s="2">
        <v>3</v>
      </c>
      <c r="H2295" s="2">
        <v>144.35</v>
      </c>
      <c r="I2295" t="str">
        <f t="shared" si="35"/>
        <v>Apr</v>
      </c>
      <c r="J2295">
        <f>YEAR(datas[[#This Row],[Order Date]])</f>
        <v>2022</v>
      </c>
    </row>
    <row r="2296" spans="1:10" ht="14.25" customHeight="1" x14ac:dyDescent="0.3">
      <c r="A2296" s="1">
        <v>44661</v>
      </c>
      <c r="B2296" s="2" t="s">
        <v>512</v>
      </c>
      <c r="C2296" s="2" t="s">
        <v>21</v>
      </c>
      <c r="D2296" s="2" t="s">
        <v>10</v>
      </c>
      <c r="E2296" s="2" t="s">
        <v>16</v>
      </c>
      <c r="F2296" s="2">
        <v>12.83</v>
      </c>
      <c r="G2296" s="2">
        <v>2</v>
      </c>
      <c r="H2296" s="2">
        <v>4.33</v>
      </c>
      <c r="I2296" t="str">
        <f t="shared" si="35"/>
        <v>Apr</v>
      </c>
      <c r="J2296">
        <f>YEAR(datas[[#This Row],[Order Date]])</f>
        <v>2022</v>
      </c>
    </row>
    <row r="2297" spans="1:10" ht="14.25" customHeight="1" x14ac:dyDescent="0.3">
      <c r="A2297" s="1">
        <v>44661</v>
      </c>
      <c r="B2297" s="2" t="s">
        <v>540</v>
      </c>
      <c r="C2297" s="2" t="s">
        <v>75</v>
      </c>
      <c r="D2297" s="2" t="s">
        <v>10</v>
      </c>
      <c r="E2297" s="2" t="s">
        <v>15</v>
      </c>
      <c r="F2297" s="2">
        <v>142.04</v>
      </c>
      <c r="G2297" s="2">
        <v>4</v>
      </c>
      <c r="H2297" s="2">
        <v>38.35</v>
      </c>
      <c r="I2297" t="str">
        <f t="shared" si="35"/>
        <v>Apr</v>
      </c>
      <c r="J2297">
        <f>YEAR(datas[[#This Row],[Order Date]])</f>
        <v>2022</v>
      </c>
    </row>
    <row r="2298" spans="1:10" ht="14.25" customHeight="1" x14ac:dyDescent="0.3">
      <c r="A2298" s="1">
        <v>44661</v>
      </c>
      <c r="B2298" s="2" t="s">
        <v>540</v>
      </c>
      <c r="C2298" s="2" t="s">
        <v>75</v>
      </c>
      <c r="D2298" s="2" t="s">
        <v>10</v>
      </c>
      <c r="E2298" s="2" t="s">
        <v>19</v>
      </c>
      <c r="F2298" s="2">
        <v>14.67</v>
      </c>
      <c r="G2298" s="2">
        <v>3</v>
      </c>
      <c r="H2298" s="2">
        <v>6.01</v>
      </c>
      <c r="I2298" t="str">
        <f t="shared" si="35"/>
        <v>Apr</v>
      </c>
      <c r="J2298">
        <f>YEAR(datas[[#This Row],[Order Date]])</f>
        <v>2022</v>
      </c>
    </row>
    <row r="2299" spans="1:10" ht="14.25" customHeight="1" x14ac:dyDescent="0.3">
      <c r="A2299" s="1">
        <v>44662</v>
      </c>
      <c r="B2299" s="2" t="s">
        <v>206</v>
      </c>
      <c r="C2299" s="2" t="s">
        <v>75</v>
      </c>
      <c r="D2299" s="2" t="s">
        <v>28</v>
      </c>
      <c r="E2299" s="2" t="s">
        <v>34</v>
      </c>
      <c r="F2299" s="2">
        <v>85.14</v>
      </c>
      <c r="G2299" s="2">
        <v>3</v>
      </c>
      <c r="H2299" s="2">
        <v>34.909999999999997</v>
      </c>
      <c r="I2299" t="str">
        <f t="shared" si="35"/>
        <v>Apr</v>
      </c>
      <c r="J2299">
        <f>YEAR(datas[[#This Row],[Order Date]])</f>
        <v>2022</v>
      </c>
    </row>
    <row r="2300" spans="1:10" ht="14.25" customHeight="1" x14ac:dyDescent="0.3">
      <c r="A2300" s="1">
        <v>44662</v>
      </c>
      <c r="B2300" s="2" t="s">
        <v>206</v>
      </c>
      <c r="C2300" s="2" t="s">
        <v>75</v>
      </c>
      <c r="D2300" s="2" t="s">
        <v>28</v>
      </c>
      <c r="E2300" s="2" t="s">
        <v>29</v>
      </c>
      <c r="F2300" s="2">
        <v>21.99</v>
      </c>
      <c r="G2300" s="2">
        <v>1</v>
      </c>
      <c r="H2300" s="2">
        <v>10.56</v>
      </c>
      <c r="I2300" t="str">
        <f t="shared" si="35"/>
        <v>Apr</v>
      </c>
      <c r="J2300">
        <f>YEAR(datas[[#This Row],[Order Date]])</f>
        <v>2022</v>
      </c>
    </row>
    <row r="2301" spans="1:10" ht="14.25" customHeight="1" x14ac:dyDescent="0.3">
      <c r="A2301" s="1">
        <v>44662</v>
      </c>
      <c r="B2301" s="2" t="s">
        <v>206</v>
      </c>
      <c r="C2301" s="2" t="s">
        <v>75</v>
      </c>
      <c r="D2301" s="2" t="s">
        <v>10</v>
      </c>
      <c r="E2301" s="2" t="s">
        <v>53</v>
      </c>
      <c r="F2301" s="2">
        <v>406.6</v>
      </c>
      <c r="G2301" s="2">
        <v>5</v>
      </c>
      <c r="H2301" s="2">
        <v>113.85</v>
      </c>
      <c r="I2301" t="str">
        <f t="shared" si="35"/>
        <v>Apr</v>
      </c>
      <c r="J2301">
        <f>YEAR(datas[[#This Row],[Order Date]])</f>
        <v>2022</v>
      </c>
    </row>
    <row r="2302" spans="1:10" ht="14.25" customHeight="1" x14ac:dyDescent="0.3">
      <c r="A2302" s="1">
        <v>44662</v>
      </c>
      <c r="B2302" s="2" t="s">
        <v>448</v>
      </c>
      <c r="C2302" s="2" t="s">
        <v>64</v>
      </c>
      <c r="D2302" s="2" t="s">
        <v>26</v>
      </c>
      <c r="E2302" s="2" t="s">
        <v>32</v>
      </c>
      <c r="F2302" s="2">
        <v>67.36</v>
      </c>
      <c r="G2302" s="2">
        <v>2</v>
      </c>
      <c r="H2302" s="2">
        <v>10.1</v>
      </c>
      <c r="I2302" t="str">
        <f t="shared" si="35"/>
        <v>Apr</v>
      </c>
      <c r="J2302">
        <f>YEAR(datas[[#This Row],[Order Date]])</f>
        <v>2022</v>
      </c>
    </row>
    <row r="2303" spans="1:10" ht="14.25" customHeight="1" x14ac:dyDescent="0.3">
      <c r="A2303" s="1">
        <v>44662</v>
      </c>
      <c r="B2303" s="2" t="s">
        <v>448</v>
      </c>
      <c r="C2303" s="2" t="s">
        <v>64</v>
      </c>
      <c r="D2303" s="2" t="s">
        <v>26</v>
      </c>
      <c r="E2303" s="2" t="s">
        <v>32</v>
      </c>
      <c r="F2303" s="2">
        <v>54.53</v>
      </c>
      <c r="G2303" s="2">
        <v>3</v>
      </c>
      <c r="H2303" s="2">
        <v>14.31</v>
      </c>
      <c r="I2303" t="str">
        <f t="shared" si="35"/>
        <v>Apr</v>
      </c>
      <c r="J2303">
        <f>YEAR(datas[[#This Row],[Order Date]])</f>
        <v>2022</v>
      </c>
    </row>
    <row r="2304" spans="1:10" ht="14.25" customHeight="1" x14ac:dyDescent="0.3">
      <c r="A2304" s="1">
        <v>44662</v>
      </c>
      <c r="B2304" s="2" t="s">
        <v>611</v>
      </c>
      <c r="C2304" s="2" t="s">
        <v>21</v>
      </c>
      <c r="D2304" s="2" t="s">
        <v>28</v>
      </c>
      <c r="E2304" s="2" t="s">
        <v>243</v>
      </c>
      <c r="F2304" s="2">
        <v>639.97</v>
      </c>
      <c r="G2304" s="2">
        <v>4</v>
      </c>
      <c r="H2304" s="2">
        <v>215.99</v>
      </c>
      <c r="I2304" t="str">
        <f t="shared" si="35"/>
        <v>Apr</v>
      </c>
      <c r="J2304">
        <f>YEAR(datas[[#This Row],[Order Date]])</f>
        <v>2022</v>
      </c>
    </row>
    <row r="2305" spans="1:10" ht="14.25" customHeight="1" x14ac:dyDescent="0.3">
      <c r="A2305" s="1">
        <v>44662</v>
      </c>
      <c r="B2305" s="2" t="s">
        <v>611</v>
      </c>
      <c r="C2305" s="2" t="s">
        <v>21</v>
      </c>
      <c r="D2305" s="2" t="s">
        <v>10</v>
      </c>
      <c r="E2305" s="2" t="s">
        <v>11</v>
      </c>
      <c r="F2305" s="2">
        <v>52.76</v>
      </c>
      <c r="G2305" s="2">
        <v>2</v>
      </c>
      <c r="H2305" s="2">
        <v>24.27</v>
      </c>
      <c r="I2305" t="str">
        <f t="shared" si="35"/>
        <v>Apr</v>
      </c>
      <c r="J2305">
        <f>YEAR(datas[[#This Row],[Order Date]])</f>
        <v>2022</v>
      </c>
    </row>
    <row r="2306" spans="1:10" ht="14.25" customHeight="1" x14ac:dyDescent="0.3">
      <c r="A2306" s="1">
        <v>44663</v>
      </c>
      <c r="B2306" s="2" t="s">
        <v>701</v>
      </c>
      <c r="C2306" s="2" t="s">
        <v>82</v>
      </c>
      <c r="D2306" s="2" t="s">
        <v>10</v>
      </c>
      <c r="E2306" s="2" t="s">
        <v>15</v>
      </c>
      <c r="F2306" s="2">
        <v>40.74</v>
      </c>
      <c r="G2306" s="2">
        <v>3</v>
      </c>
      <c r="H2306" s="2">
        <v>0.41</v>
      </c>
      <c r="I2306" t="str">
        <f t="shared" si="35"/>
        <v>Apr</v>
      </c>
      <c r="J2306">
        <f>YEAR(datas[[#This Row],[Order Date]])</f>
        <v>2022</v>
      </c>
    </row>
    <row r="2307" spans="1:10" ht="14.25" customHeight="1" x14ac:dyDescent="0.3">
      <c r="A2307" s="1">
        <v>44664</v>
      </c>
      <c r="B2307" s="2" t="s">
        <v>527</v>
      </c>
      <c r="C2307" s="2" t="s">
        <v>21</v>
      </c>
      <c r="D2307" s="2" t="s">
        <v>28</v>
      </c>
      <c r="E2307" s="2" t="s">
        <v>34</v>
      </c>
      <c r="F2307" s="2">
        <v>199.96</v>
      </c>
      <c r="G2307" s="2">
        <v>4</v>
      </c>
      <c r="H2307" s="2">
        <v>69.989999999999995</v>
      </c>
      <c r="I2307" t="str">
        <f t="shared" ref="I2307:I2370" si="36">TEXT(A2307,"mmm")</f>
        <v>Apr</v>
      </c>
      <c r="J2307">
        <f>YEAR(datas[[#This Row],[Order Date]])</f>
        <v>2022</v>
      </c>
    </row>
    <row r="2308" spans="1:10" ht="14.25" customHeight="1" x14ac:dyDescent="0.3">
      <c r="A2308" s="1">
        <v>44664</v>
      </c>
      <c r="B2308" s="2" t="s">
        <v>527</v>
      </c>
      <c r="C2308" s="2" t="s">
        <v>21</v>
      </c>
      <c r="D2308" s="2" t="s">
        <v>26</v>
      </c>
      <c r="E2308" s="2" t="s">
        <v>73</v>
      </c>
      <c r="F2308" s="2">
        <v>710.83</v>
      </c>
      <c r="G2308" s="2">
        <v>3</v>
      </c>
      <c r="H2308" s="2">
        <v>-97.74</v>
      </c>
      <c r="I2308" t="str">
        <f t="shared" si="36"/>
        <v>Apr</v>
      </c>
      <c r="J2308">
        <f>YEAR(datas[[#This Row],[Order Date]])</f>
        <v>2022</v>
      </c>
    </row>
    <row r="2309" spans="1:10" ht="14.25" customHeight="1" x14ac:dyDescent="0.3">
      <c r="A2309" s="1">
        <v>44664</v>
      </c>
      <c r="B2309" s="2" t="s">
        <v>702</v>
      </c>
      <c r="C2309" s="2" t="s">
        <v>167</v>
      </c>
      <c r="D2309" s="2" t="s">
        <v>10</v>
      </c>
      <c r="E2309" s="2" t="s">
        <v>95</v>
      </c>
      <c r="F2309" s="2">
        <v>12.88</v>
      </c>
      <c r="G2309" s="2">
        <v>1</v>
      </c>
      <c r="H2309" s="2">
        <v>0.39</v>
      </c>
      <c r="I2309" t="str">
        <f t="shared" si="36"/>
        <v>Apr</v>
      </c>
      <c r="J2309">
        <f>YEAR(datas[[#This Row],[Order Date]])</f>
        <v>2022</v>
      </c>
    </row>
    <row r="2310" spans="1:10" ht="14.25" customHeight="1" x14ac:dyDescent="0.3">
      <c r="A2310" s="1">
        <v>44664</v>
      </c>
      <c r="B2310" s="2" t="s">
        <v>703</v>
      </c>
      <c r="C2310" s="2" t="s">
        <v>55</v>
      </c>
      <c r="D2310" s="2" t="s">
        <v>10</v>
      </c>
      <c r="E2310" s="2" t="s">
        <v>11</v>
      </c>
      <c r="F2310" s="2">
        <v>31.1</v>
      </c>
      <c r="G2310" s="2">
        <v>6</v>
      </c>
      <c r="H2310" s="2">
        <v>10.89</v>
      </c>
      <c r="I2310" t="str">
        <f t="shared" si="36"/>
        <v>Apr</v>
      </c>
      <c r="J2310">
        <f>YEAR(datas[[#This Row],[Order Date]])</f>
        <v>2022</v>
      </c>
    </row>
    <row r="2311" spans="1:10" ht="14.25" customHeight="1" x14ac:dyDescent="0.3">
      <c r="A2311" s="1">
        <v>44664</v>
      </c>
      <c r="B2311" s="2" t="s">
        <v>703</v>
      </c>
      <c r="C2311" s="2" t="s">
        <v>55</v>
      </c>
      <c r="D2311" s="2" t="s">
        <v>10</v>
      </c>
      <c r="E2311" s="2" t="s">
        <v>11</v>
      </c>
      <c r="F2311" s="2">
        <v>54.82</v>
      </c>
      <c r="G2311" s="2">
        <v>3</v>
      </c>
      <c r="H2311" s="2">
        <v>17.82</v>
      </c>
      <c r="I2311" t="str">
        <f t="shared" si="36"/>
        <v>Apr</v>
      </c>
      <c r="J2311">
        <f>YEAR(datas[[#This Row],[Order Date]])</f>
        <v>2022</v>
      </c>
    </row>
    <row r="2312" spans="1:10" ht="14.25" customHeight="1" x14ac:dyDescent="0.3">
      <c r="A2312" s="1">
        <v>44664</v>
      </c>
      <c r="B2312" s="2" t="s">
        <v>549</v>
      </c>
      <c r="C2312" s="2" t="s">
        <v>21</v>
      </c>
      <c r="D2312" s="2" t="s">
        <v>26</v>
      </c>
      <c r="E2312" s="2" t="s">
        <v>32</v>
      </c>
      <c r="F2312" s="2">
        <v>37.68</v>
      </c>
      <c r="G2312" s="2">
        <v>2</v>
      </c>
      <c r="H2312" s="2">
        <v>15.83</v>
      </c>
      <c r="I2312" t="str">
        <f t="shared" si="36"/>
        <v>Apr</v>
      </c>
      <c r="J2312">
        <f>YEAR(datas[[#This Row],[Order Date]])</f>
        <v>2022</v>
      </c>
    </row>
    <row r="2313" spans="1:10" ht="14.25" customHeight="1" x14ac:dyDescent="0.3">
      <c r="A2313" s="1">
        <v>44664</v>
      </c>
      <c r="B2313" s="2" t="s">
        <v>549</v>
      </c>
      <c r="C2313" s="2" t="s">
        <v>21</v>
      </c>
      <c r="D2313" s="2" t="s">
        <v>28</v>
      </c>
      <c r="E2313" s="2" t="s">
        <v>29</v>
      </c>
      <c r="F2313" s="2">
        <v>258.58</v>
      </c>
      <c r="G2313" s="2">
        <v>2</v>
      </c>
      <c r="H2313" s="2">
        <v>19.39</v>
      </c>
      <c r="I2313" t="str">
        <f t="shared" si="36"/>
        <v>Apr</v>
      </c>
      <c r="J2313">
        <f>YEAR(datas[[#This Row],[Order Date]])</f>
        <v>2022</v>
      </c>
    </row>
    <row r="2314" spans="1:10" ht="14.25" customHeight="1" x14ac:dyDescent="0.3">
      <c r="A2314" s="1">
        <v>44664</v>
      </c>
      <c r="B2314" s="2" t="s">
        <v>549</v>
      </c>
      <c r="C2314" s="2" t="s">
        <v>21</v>
      </c>
      <c r="D2314" s="2" t="s">
        <v>10</v>
      </c>
      <c r="E2314" s="2" t="s">
        <v>53</v>
      </c>
      <c r="F2314" s="2">
        <v>75.84</v>
      </c>
      <c r="G2314" s="2">
        <v>2</v>
      </c>
      <c r="H2314" s="2">
        <v>29.58</v>
      </c>
      <c r="I2314" t="str">
        <f t="shared" si="36"/>
        <v>Apr</v>
      </c>
      <c r="J2314">
        <f>YEAR(datas[[#This Row],[Order Date]])</f>
        <v>2022</v>
      </c>
    </row>
    <row r="2315" spans="1:10" ht="14.25" customHeight="1" x14ac:dyDescent="0.3">
      <c r="A2315" s="1">
        <v>44664</v>
      </c>
      <c r="B2315" s="2" t="s">
        <v>401</v>
      </c>
      <c r="C2315" s="2" t="s">
        <v>381</v>
      </c>
      <c r="D2315" s="2" t="s">
        <v>10</v>
      </c>
      <c r="E2315" s="2" t="s">
        <v>16</v>
      </c>
      <c r="F2315" s="2">
        <v>17.43</v>
      </c>
      <c r="G2315" s="2">
        <v>3</v>
      </c>
      <c r="H2315" s="2">
        <v>8.02</v>
      </c>
      <c r="I2315" t="str">
        <f t="shared" si="36"/>
        <v>Apr</v>
      </c>
      <c r="J2315">
        <f>YEAR(datas[[#This Row],[Order Date]])</f>
        <v>2022</v>
      </c>
    </row>
    <row r="2316" spans="1:10" ht="14.25" customHeight="1" x14ac:dyDescent="0.3">
      <c r="A2316" s="1">
        <v>44664</v>
      </c>
      <c r="B2316" s="2" t="s">
        <v>704</v>
      </c>
      <c r="C2316" s="2" t="s">
        <v>21</v>
      </c>
      <c r="D2316" s="2" t="s">
        <v>26</v>
      </c>
      <c r="E2316" s="2" t="s">
        <v>73</v>
      </c>
      <c r="F2316" s="2">
        <v>241.57</v>
      </c>
      <c r="G2316" s="2">
        <v>2</v>
      </c>
      <c r="H2316" s="2">
        <v>-15.1</v>
      </c>
      <c r="I2316" t="str">
        <f t="shared" si="36"/>
        <v>Apr</v>
      </c>
      <c r="J2316">
        <f>YEAR(datas[[#This Row],[Order Date]])</f>
        <v>2022</v>
      </c>
    </row>
    <row r="2317" spans="1:10" ht="14.25" customHeight="1" x14ac:dyDescent="0.3">
      <c r="A2317" s="1">
        <v>44664</v>
      </c>
      <c r="B2317" s="2" t="s">
        <v>704</v>
      </c>
      <c r="C2317" s="2" t="s">
        <v>21</v>
      </c>
      <c r="D2317" s="2" t="s">
        <v>28</v>
      </c>
      <c r="E2317" s="2" t="s">
        <v>29</v>
      </c>
      <c r="F2317" s="2">
        <v>479.92</v>
      </c>
      <c r="G2317" s="2">
        <v>2</v>
      </c>
      <c r="H2317" s="2">
        <v>41.99</v>
      </c>
      <c r="I2317" t="str">
        <f t="shared" si="36"/>
        <v>Apr</v>
      </c>
      <c r="J2317">
        <f>YEAR(datas[[#This Row],[Order Date]])</f>
        <v>2022</v>
      </c>
    </row>
    <row r="2318" spans="1:10" ht="14.25" customHeight="1" x14ac:dyDescent="0.3">
      <c r="A2318" s="1">
        <v>44664</v>
      </c>
      <c r="B2318" s="2" t="s">
        <v>504</v>
      </c>
      <c r="C2318" s="2" t="s">
        <v>55</v>
      </c>
      <c r="D2318" s="2" t="s">
        <v>10</v>
      </c>
      <c r="E2318" s="2" t="s">
        <v>15</v>
      </c>
      <c r="F2318" s="2">
        <v>10.74</v>
      </c>
      <c r="G2318" s="2">
        <v>1</v>
      </c>
      <c r="H2318" s="2">
        <v>0.81</v>
      </c>
      <c r="I2318" t="str">
        <f t="shared" si="36"/>
        <v>Apr</v>
      </c>
      <c r="J2318">
        <f>YEAR(datas[[#This Row],[Order Date]])</f>
        <v>2022</v>
      </c>
    </row>
    <row r="2319" spans="1:10" ht="14.25" customHeight="1" x14ac:dyDescent="0.3">
      <c r="A2319" s="1">
        <v>44664</v>
      </c>
      <c r="B2319" s="2" t="s">
        <v>630</v>
      </c>
      <c r="C2319" s="2" t="s">
        <v>9</v>
      </c>
      <c r="D2319" s="2" t="s">
        <v>26</v>
      </c>
      <c r="E2319" s="2" t="s">
        <v>73</v>
      </c>
      <c r="F2319" s="2">
        <v>609.98</v>
      </c>
      <c r="G2319" s="2">
        <v>4</v>
      </c>
      <c r="H2319" s="2">
        <v>-113.28</v>
      </c>
      <c r="I2319" t="str">
        <f t="shared" si="36"/>
        <v>Apr</v>
      </c>
      <c r="J2319">
        <f>YEAR(datas[[#This Row],[Order Date]])</f>
        <v>2022</v>
      </c>
    </row>
    <row r="2320" spans="1:10" ht="14.25" customHeight="1" x14ac:dyDescent="0.3">
      <c r="A2320" s="1">
        <v>44664</v>
      </c>
      <c r="B2320" s="2" t="s">
        <v>630</v>
      </c>
      <c r="C2320" s="2" t="s">
        <v>9</v>
      </c>
      <c r="D2320" s="2" t="s">
        <v>26</v>
      </c>
      <c r="E2320" s="2" t="s">
        <v>73</v>
      </c>
      <c r="F2320" s="2">
        <v>211.37</v>
      </c>
      <c r="G2320" s="2">
        <v>2</v>
      </c>
      <c r="H2320" s="2">
        <v>-45.29</v>
      </c>
      <c r="I2320" t="str">
        <f t="shared" si="36"/>
        <v>Apr</v>
      </c>
      <c r="J2320">
        <f>YEAR(datas[[#This Row],[Order Date]])</f>
        <v>2022</v>
      </c>
    </row>
    <row r="2321" spans="1:10" ht="14.25" customHeight="1" x14ac:dyDescent="0.3">
      <c r="A2321" s="1">
        <v>44664</v>
      </c>
      <c r="B2321" s="2" t="s">
        <v>630</v>
      </c>
      <c r="C2321" s="2" t="s">
        <v>9</v>
      </c>
      <c r="D2321" s="2" t="s">
        <v>28</v>
      </c>
      <c r="E2321" s="2" t="s">
        <v>29</v>
      </c>
      <c r="F2321" s="2">
        <v>239.98</v>
      </c>
      <c r="G2321" s="2">
        <v>3</v>
      </c>
      <c r="H2321" s="2">
        <v>18</v>
      </c>
      <c r="I2321" t="str">
        <f t="shared" si="36"/>
        <v>Apr</v>
      </c>
      <c r="J2321">
        <f>YEAR(datas[[#This Row],[Order Date]])</f>
        <v>2022</v>
      </c>
    </row>
    <row r="2322" spans="1:10" ht="14.25" customHeight="1" x14ac:dyDescent="0.3">
      <c r="A2322" s="1">
        <v>44665</v>
      </c>
      <c r="B2322" s="2" t="s">
        <v>705</v>
      </c>
      <c r="C2322" s="2" t="s">
        <v>52</v>
      </c>
      <c r="D2322" s="2" t="s">
        <v>10</v>
      </c>
      <c r="E2322" s="2" t="s">
        <v>53</v>
      </c>
      <c r="F2322" s="2">
        <v>35.21</v>
      </c>
      <c r="G2322" s="2">
        <v>1</v>
      </c>
      <c r="H2322" s="2">
        <v>2.64</v>
      </c>
      <c r="I2322" t="str">
        <f t="shared" si="36"/>
        <v>Apr</v>
      </c>
      <c r="J2322">
        <f>YEAR(datas[[#This Row],[Order Date]])</f>
        <v>2022</v>
      </c>
    </row>
    <row r="2323" spans="1:10" ht="14.25" customHeight="1" x14ac:dyDescent="0.3">
      <c r="A2323" s="1">
        <v>44667</v>
      </c>
      <c r="B2323" s="2" t="s">
        <v>225</v>
      </c>
      <c r="C2323" s="2" t="s">
        <v>47</v>
      </c>
      <c r="D2323" s="2" t="s">
        <v>10</v>
      </c>
      <c r="E2323" s="2" t="s">
        <v>53</v>
      </c>
      <c r="F2323" s="2">
        <v>45.22</v>
      </c>
      <c r="G2323" s="2">
        <v>3</v>
      </c>
      <c r="H2323" s="2">
        <v>4.5199999999999996</v>
      </c>
      <c r="I2323" t="str">
        <f t="shared" si="36"/>
        <v>Apr</v>
      </c>
      <c r="J2323">
        <f>YEAR(datas[[#This Row],[Order Date]])</f>
        <v>2022</v>
      </c>
    </row>
    <row r="2324" spans="1:10" ht="14.25" customHeight="1" x14ac:dyDescent="0.3">
      <c r="A2324" s="1">
        <v>44667</v>
      </c>
      <c r="B2324" s="2" t="s">
        <v>225</v>
      </c>
      <c r="C2324" s="2" t="s">
        <v>47</v>
      </c>
      <c r="D2324" s="2" t="s">
        <v>10</v>
      </c>
      <c r="E2324" s="2" t="s">
        <v>30</v>
      </c>
      <c r="F2324" s="2">
        <v>10.42</v>
      </c>
      <c r="G2324" s="2">
        <v>7</v>
      </c>
      <c r="H2324" s="2">
        <v>-2.21</v>
      </c>
      <c r="I2324" t="str">
        <f t="shared" si="36"/>
        <v>Apr</v>
      </c>
      <c r="J2324">
        <f>YEAR(datas[[#This Row],[Order Date]])</f>
        <v>2022</v>
      </c>
    </row>
    <row r="2325" spans="1:10" ht="14.25" customHeight="1" x14ac:dyDescent="0.3">
      <c r="A2325" s="1">
        <v>44667</v>
      </c>
      <c r="B2325" s="2" t="s">
        <v>225</v>
      </c>
      <c r="C2325" s="2" t="s">
        <v>47</v>
      </c>
      <c r="D2325" s="2" t="s">
        <v>10</v>
      </c>
      <c r="E2325" s="2" t="s">
        <v>19</v>
      </c>
      <c r="F2325" s="2">
        <v>7.87</v>
      </c>
      <c r="G2325" s="2">
        <v>3</v>
      </c>
      <c r="H2325" s="2">
        <v>1.28</v>
      </c>
      <c r="I2325" t="str">
        <f t="shared" si="36"/>
        <v>Apr</v>
      </c>
      <c r="J2325">
        <f>YEAR(datas[[#This Row],[Order Date]])</f>
        <v>2022</v>
      </c>
    </row>
    <row r="2326" spans="1:10" ht="14.25" customHeight="1" x14ac:dyDescent="0.3">
      <c r="A2326" s="1">
        <v>44667</v>
      </c>
      <c r="B2326" s="2" t="s">
        <v>225</v>
      </c>
      <c r="C2326" s="2" t="s">
        <v>47</v>
      </c>
      <c r="D2326" s="2" t="s">
        <v>28</v>
      </c>
      <c r="E2326" s="2" t="s">
        <v>29</v>
      </c>
      <c r="F2326" s="2">
        <v>118.78</v>
      </c>
      <c r="G2326" s="2">
        <v>3</v>
      </c>
      <c r="H2326" s="2">
        <v>-27.72</v>
      </c>
      <c r="I2326" t="str">
        <f t="shared" si="36"/>
        <v>Apr</v>
      </c>
      <c r="J2326">
        <f>YEAR(datas[[#This Row],[Order Date]])</f>
        <v>2022</v>
      </c>
    </row>
    <row r="2327" spans="1:10" ht="14.25" customHeight="1" x14ac:dyDescent="0.3">
      <c r="A2327" s="1">
        <v>44667</v>
      </c>
      <c r="B2327" s="2" t="s">
        <v>225</v>
      </c>
      <c r="C2327" s="2" t="s">
        <v>47</v>
      </c>
      <c r="D2327" s="2" t="s">
        <v>10</v>
      </c>
      <c r="E2327" s="2" t="s">
        <v>30</v>
      </c>
      <c r="F2327" s="2">
        <v>1.45</v>
      </c>
      <c r="G2327" s="2">
        <v>1</v>
      </c>
      <c r="H2327" s="2">
        <v>0.24</v>
      </c>
      <c r="I2327" t="str">
        <f t="shared" si="36"/>
        <v>Apr</v>
      </c>
      <c r="J2327">
        <f>YEAR(datas[[#This Row],[Order Date]])</f>
        <v>2022</v>
      </c>
    </row>
    <row r="2328" spans="1:10" ht="14.25" customHeight="1" x14ac:dyDescent="0.3">
      <c r="A2328" s="1">
        <v>44667</v>
      </c>
      <c r="B2328" s="2" t="s">
        <v>225</v>
      </c>
      <c r="C2328" s="2" t="s">
        <v>47</v>
      </c>
      <c r="D2328" s="2" t="s">
        <v>10</v>
      </c>
      <c r="E2328" s="2" t="s">
        <v>16</v>
      </c>
      <c r="F2328" s="2">
        <v>55.47</v>
      </c>
      <c r="G2328" s="2">
        <v>5</v>
      </c>
      <c r="H2328" s="2">
        <v>-46.23</v>
      </c>
      <c r="I2328" t="str">
        <f t="shared" si="36"/>
        <v>Apr</v>
      </c>
      <c r="J2328">
        <f>YEAR(datas[[#This Row],[Order Date]])</f>
        <v>2022</v>
      </c>
    </row>
    <row r="2329" spans="1:10" ht="14.25" customHeight="1" x14ac:dyDescent="0.3">
      <c r="A2329" s="1">
        <v>44667</v>
      </c>
      <c r="B2329" s="2" t="s">
        <v>466</v>
      </c>
      <c r="C2329" s="2" t="s">
        <v>18</v>
      </c>
      <c r="D2329" s="2" t="s">
        <v>10</v>
      </c>
      <c r="E2329" s="2" t="s">
        <v>30</v>
      </c>
      <c r="F2329" s="2">
        <v>12.58</v>
      </c>
      <c r="G2329" s="2">
        <v>4</v>
      </c>
      <c r="H2329" s="2">
        <v>4.09</v>
      </c>
      <c r="I2329" t="str">
        <f t="shared" si="36"/>
        <v>Apr</v>
      </c>
      <c r="J2329">
        <f>YEAR(datas[[#This Row],[Order Date]])</f>
        <v>2022</v>
      </c>
    </row>
    <row r="2330" spans="1:10" ht="14.25" customHeight="1" x14ac:dyDescent="0.3">
      <c r="A2330" s="1">
        <v>44667</v>
      </c>
      <c r="B2330" s="2" t="s">
        <v>488</v>
      </c>
      <c r="C2330" s="2" t="s">
        <v>13</v>
      </c>
      <c r="D2330" s="2" t="s">
        <v>28</v>
      </c>
      <c r="E2330" s="2" t="s">
        <v>243</v>
      </c>
      <c r="F2330" s="2">
        <v>1439.97</v>
      </c>
      <c r="G2330" s="2">
        <v>4</v>
      </c>
      <c r="H2330" s="2">
        <v>485.99</v>
      </c>
      <c r="I2330" t="str">
        <f t="shared" si="36"/>
        <v>Apr</v>
      </c>
      <c r="J2330">
        <f>YEAR(datas[[#This Row],[Order Date]])</f>
        <v>2022</v>
      </c>
    </row>
    <row r="2331" spans="1:10" ht="14.25" customHeight="1" x14ac:dyDescent="0.3">
      <c r="A2331" s="1">
        <v>44667</v>
      </c>
      <c r="B2331" s="2" t="s">
        <v>488</v>
      </c>
      <c r="C2331" s="2" t="s">
        <v>13</v>
      </c>
      <c r="D2331" s="2" t="s">
        <v>28</v>
      </c>
      <c r="E2331" s="2" t="s">
        <v>34</v>
      </c>
      <c r="F2331" s="2">
        <v>43.56</v>
      </c>
      <c r="G2331" s="2">
        <v>3</v>
      </c>
      <c r="H2331" s="2">
        <v>-4.9000000000000004</v>
      </c>
      <c r="I2331" t="str">
        <f t="shared" si="36"/>
        <v>Apr</v>
      </c>
      <c r="J2331">
        <f>YEAR(datas[[#This Row],[Order Date]])</f>
        <v>2022</v>
      </c>
    </row>
    <row r="2332" spans="1:10" ht="14.25" customHeight="1" x14ac:dyDescent="0.3">
      <c r="A2332" s="1">
        <v>44667</v>
      </c>
      <c r="B2332" s="2" t="s">
        <v>236</v>
      </c>
      <c r="C2332" s="2" t="s">
        <v>36</v>
      </c>
      <c r="D2332" s="2" t="s">
        <v>28</v>
      </c>
      <c r="E2332" s="2" t="s">
        <v>29</v>
      </c>
      <c r="F2332" s="2">
        <v>569.64</v>
      </c>
      <c r="G2332" s="2">
        <v>2</v>
      </c>
      <c r="H2332" s="2">
        <v>148.11000000000001</v>
      </c>
      <c r="I2332" t="str">
        <f t="shared" si="36"/>
        <v>Apr</v>
      </c>
      <c r="J2332">
        <f>YEAR(datas[[#This Row],[Order Date]])</f>
        <v>2022</v>
      </c>
    </row>
    <row r="2333" spans="1:10" ht="14.25" customHeight="1" x14ac:dyDescent="0.3">
      <c r="A2333" s="1">
        <v>44667</v>
      </c>
      <c r="B2333" s="2" t="s">
        <v>236</v>
      </c>
      <c r="C2333" s="2" t="s">
        <v>36</v>
      </c>
      <c r="D2333" s="2" t="s">
        <v>10</v>
      </c>
      <c r="E2333" s="2" t="s">
        <v>16</v>
      </c>
      <c r="F2333" s="2">
        <v>9.14</v>
      </c>
      <c r="G2333" s="2">
        <v>1</v>
      </c>
      <c r="H2333" s="2">
        <v>4.57</v>
      </c>
      <c r="I2333" t="str">
        <f t="shared" si="36"/>
        <v>Apr</v>
      </c>
      <c r="J2333">
        <f>YEAR(datas[[#This Row],[Order Date]])</f>
        <v>2022</v>
      </c>
    </row>
    <row r="2334" spans="1:10" ht="14.25" customHeight="1" x14ac:dyDescent="0.3">
      <c r="A2334" s="1">
        <v>44667</v>
      </c>
      <c r="B2334" s="2" t="s">
        <v>236</v>
      </c>
      <c r="C2334" s="2" t="s">
        <v>36</v>
      </c>
      <c r="D2334" s="2" t="s">
        <v>26</v>
      </c>
      <c r="E2334" s="2" t="s">
        <v>32</v>
      </c>
      <c r="F2334" s="2">
        <v>1196.8599999999999</v>
      </c>
      <c r="G2334" s="2">
        <v>7</v>
      </c>
      <c r="H2334" s="2">
        <v>119.69</v>
      </c>
      <c r="I2334" t="str">
        <f t="shared" si="36"/>
        <v>Apr</v>
      </c>
      <c r="J2334">
        <f>YEAR(datas[[#This Row],[Order Date]])</f>
        <v>2022</v>
      </c>
    </row>
    <row r="2335" spans="1:10" ht="14.25" customHeight="1" x14ac:dyDescent="0.3">
      <c r="A2335" s="1">
        <v>44667</v>
      </c>
      <c r="B2335" s="2" t="s">
        <v>236</v>
      </c>
      <c r="C2335" s="2" t="s">
        <v>36</v>
      </c>
      <c r="D2335" s="2" t="s">
        <v>26</v>
      </c>
      <c r="E2335" s="2" t="s">
        <v>45</v>
      </c>
      <c r="F2335" s="2">
        <v>523.26</v>
      </c>
      <c r="G2335" s="2">
        <v>9</v>
      </c>
      <c r="H2335" s="2">
        <v>125.58</v>
      </c>
      <c r="I2335" t="str">
        <f t="shared" si="36"/>
        <v>Apr</v>
      </c>
      <c r="J2335">
        <f>YEAR(datas[[#This Row],[Order Date]])</f>
        <v>2022</v>
      </c>
    </row>
    <row r="2336" spans="1:10" ht="14.25" customHeight="1" x14ac:dyDescent="0.3">
      <c r="A2336" s="1">
        <v>44667</v>
      </c>
      <c r="B2336" s="2" t="s">
        <v>563</v>
      </c>
      <c r="C2336" s="2" t="s">
        <v>75</v>
      </c>
      <c r="D2336" s="2" t="s">
        <v>26</v>
      </c>
      <c r="E2336" s="2" t="s">
        <v>27</v>
      </c>
      <c r="F2336" s="2">
        <v>127.76</v>
      </c>
      <c r="G2336" s="2">
        <v>2</v>
      </c>
      <c r="H2336" s="2">
        <v>2.84</v>
      </c>
      <c r="I2336" t="str">
        <f t="shared" si="36"/>
        <v>Apr</v>
      </c>
      <c r="J2336">
        <f>YEAR(datas[[#This Row],[Order Date]])</f>
        <v>2022</v>
      </c>
    </row>
    <row r="2337" spans="1:10" ht="14.25" customHeight="1" x14ac:dyDescent="0.3">
      <c r="A2337" s="1">
        <v>44668</v>
      </c>
      <c r="B2337" s="2" t="s">
        <v>274</v>
      </c>
      <c r="C2337" s="2" t="s">
        <v>21</v>
      </c>
      <c r="D2337" s="2" t="s">
        <v>10</v>
      </c>
      <c r="E2337" s="2" t="s">
        <v>19</v>
      </c>
      <c r="F2337" s="2">
        <v>5.56</v>
      </c>
      <c r="G2337" s="2">
        <v>2</v>
      </c>
      <c r="H2337" s="2">
        <v>2.2200000000000002</v>
      </c>
      <c r="I2337" t="str">
        <f t="shared" si="36"/>
        <v>Apr</v>
      </c>
      <c r="J2337">
        <f>YEAR(datas[[#This Row],[Order Date]])</f>
        <v>2022</v>
      </c>
    </row>
    <row r="2338" spans="1:10" ht="14.25" customHeight="1" x14ac:dyDescent="0.3">
      <c r="A2338" s="1">
        <v>44668</v>
      </c>
      <c r="B2338" s="2" t="s">
        <v>274</v>
      </c>
      <c r="C2338" s="2" t="s">
        <v>21</v>
      </c>
      <c r="D2338" s="2" t="s">
        <v>28</v>
      </c>
      <c r="E2338" s="2" t="s">
        <v>34</v>
      </c>
      <c r="F2338" s="2">
        <v>323.37</v>
      </c>
      <c r="G2338" s="2">
        <v>3</v>
      </c>
      <c r="H2338" s="2">
        <v>129.35</v>
      </c>
      <c r="I2338" t="str">
        <f t="shared" si="36"/>
        <v>Apr</v>
      </c>
      <c r="J2338">
        <f>YEAR(datas[[#This Row],[Order Date]])</f>
        <v>2022</v>
      </c>
    </row>
    <row r="2339" spans="1:10" ht="14.25" customHeight="1" x14ac:dyDescent="0.3">
      <c r="A2339" s="1">
        <v>44668</v>
      </c>
      <c r="B2339" s="2" t="s">
        <v>274</v>
      </c>
      <c r="C2339" s="2" t="s">
        <v>21</v>
      </c>
      <c r="D2339" s="2" t="s">
        <v>28</v>
      </c>
      <c r="E2339" s="2" t="s">
        <v>29</v>
      </c>
      <c r="F2339" s="2">
        <v>783.96</v>
      </c>
      <c r="G2339" s="2">
        <v>5</v>
      </c>
      <c r="H2339" s="2">
        <v>68.599999999999994</v>
      </c>
      <c r="I2339" t="str">
        <f t="shared" si="36"/>
        <v>Apr</v>
      </c>
      <c r="J2339">
        <f>YEAR(datas[[#This Row],[Order Date]])</f>
        <v>2022</v>
      </c>
    </row>
    <row r="2340" spans="1:10" ht="14.25" customHeight="1" x14ac:dyDescent="0.3">
      <c r="A2340" s="1">
        <v>44668</v>
      </c>
      <c r="B2340" s="2" t="s">
        <v>274</v>
      </c>
      <c r="C2340" s="2" t="s">
        <v>21</v>
      </c>
      <c r="D2340" s="2" t="s">
        <v>10</v>
      </c>
      <c r="E2340" s="2" t="s">
        <v>53</v>
      </c>
      <c r="F2340" s="2">
        <v>1447.65</v>
      </c>
      <c r="G2340" s="2">
        <v>5</v>
      </c>
      <c r="H2340" s="2">
        <v>419.82</v>
      </c>
      <c r="I2340" t="str">
        <f t="shared" si="36"/>
        <v>Apr</v>
      </c>
      <c r="J2340">
        <f>YEAR(datas[[#This Row],[Order Date]])</f>
        <v>2022</v>
      </c>
    </row>
    <row r="2341" spans="1:10" ht="14.25" customHeight="1" x14ac:dyDescent="0.3">
      <c r="A2341" s="1">
        <v>44668</v>
      </c>
      <c r="B2341" s="2" t="s">
        <v>274</v>
      </c>
      <c r="C2341" s="2" t="s">
        <v>21</v>
      </c>
      <c r="D2341" s="2" t="s">
        <v>10</v>
      </c>
      <c r="E2341" s="2" t="s">
        <v>11</v>
      </c>
      <c r="F2341" s="2">
        <v>11.96</v>
      </c>
      <c r="G2341" s="2">
        <v>2</v>
      </c>
      <c r="H2341" s="2">
        <v>5.86</v>
      </c>
      <c r="I2341" t="str">
        <f t="shared" si="36"/>
        <v>Apr</v>
      </c>
      <c r="J2341">
        <f>YEAR(datas[[#This Row],[Order Date]])</f>
        <v>2022</v>
      </c>
    </row>
    <row r="2342" spans="1:10" ht="14.25" customHeight="1" x14ac:dyDescent="0.3">
      <c r="A2342" s="1">
        <v>44668</v>
      </c>
      <c r="B2342" s="2" t="s">
        <v>472</v>
      </c>
      <c r="C2342" s="2" t="s">
        <v>75</v>
      </c>
      <c r="D2342" s="2" t="s">
        <v>28</v>
      </c>
      <c r="E2342" s="2" t="s">
        <v>34</v>
      </c>
      <c r="F2342" s="2">
        <v>99.6</v>
      </c>
      <c r="G2342" s="2">
        <v>1</v>
      </c>
      <c r="H2342" s="2">
        <v>36.85</v>
      </c>
      <c r="I2342" t="str">
        <f t="shared" si="36"/>
        <v>Apr</v>
      </c>
      <c r="J2342">
        <f>YEAR(datas[[#This Row],[Order Date]])</f>
        <v>2022</v>
      </c>
    </row>
    <row r="2343" spans="1:10" ht="14.25" customHeight="1" x14ac:dyDescent="0.3">
      <c r="A2343" s="1">
        <v>44668</v>
      </c>
      <c r="B2343" s="2" t="s">
        <v>472</v>
      </c>
      <c r="C2343" s="2" t="s">
        <v>75</v>
      </c>
      <c r="D2343" s="2" t="s">
        <v>10</v>
      </c>
      <c r="E2343" s="2" t="s">
        <v>16</v>
      </c>
      <c r="F2343" s="2">
        <v>62.3</v>
      </c>
      <c r="G2343" s="2">
        <v>13</v>
      </c>
      <c r="H2343" s="2">
        <v>21.02</v>
      </c>
      <c r="I2343" t="str">
        <f t="shared" si="36"/>
        <v>Apr</v>
      </c>
      <c r="J2343">
        <f>YEAR(datas[[#This Row],[Order Date]])</f>
        <v>2022</v>
      </c>
    </row>
    <row r="2344" spans="1:10" ht="14.25" customHeight="1" x14ac:dyDescent="0.3">
      <c r="A2344" s="1">
        <v>44668</v>
      </c>
      <c r="B2344" s="2" t="s">
        <v>472</v>
      </c>
      <c r="C2344" s="2" t="s">
        <v>75</v>
      </c>
      <c r="D2344" s="2" t="s">
        <v>10</v>
      </c>
      <c r="E2344" s="2" t="s">
        <v>19</v>
      </c>
      <c r="F2344" s="2">
        <v>10.71</v>
      </c>
      <c r="G2344" s="2">
        <v>3</v>
      </c>
      <c r="H2344" s="2">
        <v>2.78</v>
      </c>
      <c r="I2344" t="str">
        <f t="shared" si="36"/>
        <v>Apr</v>
      </c>
      <c r="J2344">
        <f>YEAR(datas[[#This Row],[Order Date]])</f>
        <v>2022</v>
      </c>
    </row>
    <row r="2345" spans="1:10" ht="14.25" customHeight="1" x14ac:dyDescent="0.3">
      <c r="A2345" s="1">
        <v>44669</v>
      </c>
      <c r="B2345" s="2" t="s">
        <v>8</v>
      </c>
      <c r="C2345" s="2" t="s">
        <v>68</v>
      </c>
      <c r="D2345" s="2" t="s">
        <v>10</v>
      </c>
      <c r="E2345" s="2" t="s">
        <v>16</v>
      </c>
      <c r="F2345" s="2">
        <v>38.22</v>
      </c>
      <c r="G2345" s="2">
        <v>6</v>
      </c>
      <c r="H2345" s="2">
        <v>17.96</v>
      </c>
      <c r="I2345" t="str">
        <f t="shared" si="36"/>
        <v>Apr</v>
      </c>
      <c r="J2345">
        <f>YEAR(datas[[#This Row],[Order Date]])</f>
        <v>2022</v>
      </c>
    </row>
    <row r="2346" spans="1:10" ht="14.25" customHeight="1" x14ac:dyDescent="0.3">
      <c r="A2346" s="1">
        <v>44669</v>
      </c>
      <c r="B2346" s="2" t="s">
        <v>8</v>
      </c>
      <c r="C2346" s="2" t="s">
        <v>68</v>
      </c>
      <c r="D2346" s="2" t="s">
        <v>10</v>
      </c>
      <c r="E2346" s="2" t="s">
        <v>14</v>
      </c>
      <c r="F2346" s="2">
        <v>75.180000000000007</v>
      </c>
      <c r="G2346" s="2">
        <v>6</v>
      </c>
      <c r="H2346" s="2">
        <v>35.33</v>
      </c>
      <c r="I2346" t="str">
        <f t="shared" si="36"/>
        <v>Apr</v>
      </c>
      <c r="J2346">
        <f>YEAR(datas[[#This Row],[Order Date]])</f>
        <v>2022</v>
      </c>
    </row>
    <row r="2347" spans="1:10" ht="14.25" customHeight="1" x14ac:dyDescent="0.3">
      <c r="A2347" s="1">
        <v>44669</v>
      </c>
      <c r="B2347" s="2" t="s">
        <v>8</v>
      </c>
      <c r="C2347" s="2" t="s">
        <v>68</v>
      </c>
      <c r="D2347" s="2" t="s">
        <v>26</v>
      </c>
      <c r="E2347" s="2" t="s">
        <v>32</v>
      </c>
      <c r="F2347" s="2">
        <v>6.16</v>
      </c>
      <c r="G2347" s="2">
        <v>2</v>
      </c>
      <c r="H2347" s="2">
        <v>2.96</v>
      </c>
      <c r="I2347" t="str">
        <f t="shared" si="36"/>
        <v>Apr</v>
      </c>
      <c r="J2347">
        <f>YEAR(datas[[#This Row],[Order Date]])</f>
        <v>2022</v>
      </c>
    </row>
    <row r="2348" spans="1:10" ht="14.25" customHeight="1" x14ac:dyDescent="0.3">
      <c r="A2348" s="1">
        <v>44669</v>
      </c>
      <c r="B2348" s="2" t="s">
        <v>8</v>
      </c>
      <c r="C2348" s="2" t="s">
        <v>68</v>
      </c>
      <c r="D2348" s="2" t="s">
        <v>26</v>
      </c>
      <c r="E2348" s="2" t="s">
        <v>27</v>
      </c>
      <c r="F2348" s="2">
        <v>89.99</v>
      </c>
      <c r="G2348" s="2">
        <v>1</v>
      </c>
      <c r="H2348" s="2">
        <v>17.100000000000001</v>
      </c>
      <c r="I2348" t="str">
        <f t="shared" si="36"/>
        <v>Apr</v>
      </c>
      <c r="J2348">
        <f>YEAR(datas[[#This Row],[Order Date]])</f>
        <v>2022</v>
      </c>
    </row>
    <row r="2349" spans="1:10" ht="14.25" customHeight="1" x14ac:dyDescent="0.3">
      <c r="A2349" s="1">
        <v>44669</v>
      </c>
      <c r="B2349" s="2" t="s">
        <v>510</v>
      </c>
      <c r="C2349" s="2" t="s">
        <v>40</v>
      </c>
      <c r="D2349" s="2" t="s">
        <v>28</v>
      </c>
      <c r="E2349" s="2" t="s">
        <v>34</v>
      </c>
      <c r="F2349" s="2">
        <v>106.5</v>
      </c>
      <c r="G2349" s="2">
        <v>6</v>
      </c>
      <c r="H2349" s="2">
        <v>41.54</v>
      </c>
      <c r="I2349" t="str">
        <f t="shared" si="36"/>
        <v>Apr</v>
      </c>
      <c r="J2349">
        <f>YEAR(datas[[#This Row],[Order Date]])</f>
        <v>2022</v>
      </c>
    </row>
    <row r="2350" spans="1:10" ht="14.25" customHeight="1" x14ac:dyDescent="0.3">
      <c r="A2350" s="1">
        <v>44669</v>
      </c>
      <c r="B2350" s="2" t="s">
        <v>404</v>
      </c>
      <c r="C2350" s="2" t="s">
        <v>75</v>
      </c>
      <c r="D2350" s="2" t="s">
        <v>10</v>
      </c>
      <c r="E2350" s="2" t="s">
        <v>14</v>
      </c>
      <c r="F2350" s="2">
        <v>21.93</v>
      </c>
      <c r="G2350" s="2">
        <v>3</v>
      </c>
      <c r="H2350" s="2">
        <v>10.31</v>
      </c>
      <c r="I2350" t="str">
        <f t="shared" si="36"/>
        <v>Apr</v>
      </c>
      <c r="J2350">
        <f>YEAR(datas[[#This Row],[Order Date]])</f>
        <v>2022</v>
      </c>
    </row>
    <row r="2351" spans="1:10" ht="14.25" customHeight="1" x14ac:dyDescent="0.3">
      <c r="A2351" s="1">
        <v>44669</v>
      </c>
      <c r="B2351" s="2" t="s">
        <v>424</v>
      </c>
      <c r="C2351" s="2" t="s">
        <v>21</v>
      </c>
      <c r="D2351" s="2" t="s">
        <v>10</v>
      </c>
      <c r="E2351" s="2" t="s">
        <v>15</v>
      </c>
      <c r="F2351" s="2">
        <v>947.17</v>
      </c>
      <c r="G2351" s="2">
        <v>7</v>
      </c>
      <c r="H2351" s="2">
        <v>9.4700000000000006</v>
      </c>
      <c r="I2351" t="str">
        <f t="shared" si="36"/>
        <v>Apr</v>
      </c>
      <c r="J2351">
        <f>YEAR(datas[[#This Row],[Order Date]])</f>
        <v>2022</v>
      </c>
    </row>
    <row r="2352" spans="1:10" ht="14.25" customHeight="1" x14ac:dyDescent="0.3">
      <c r="A2352" s="1">
        <v>44669</v>
      </c>
      <c r="B2352" s="2" t="s">
        <v>424</v>
      </c>
      <c r="C2352" s="2" t="s">
        <v>21</v>
      </c>
      <c r="D2352" s="2" t="s">
        <v>10</v>
      </c>
      <c r="E2352" s="2" t="s">
        <v>11</v>
      </c>
      <c r="F2352" s="2">
        <v>61.96</v>
      </c>
      <c r="G2352" s="2">
        <v>2</v>
      </c>
      <c r="H2352" s="2">
        <v>27.88</v>
      </c>
      <c r="I2352" t="str">
        <f t="shared" si="36"/>
        <v>Apr</v>
      </c>
      <c r="J2352">
        <f>YEAR(datas[[#This Row],[Order Date]])</f>
        <v>2022</v>
      </c>
    </row>
    <row r="2353" spans="1:10" ht="14.25" customHeight="1" x14ac:dyDescent="0.3">
      <c r="A2353" s="1">
        <v>44669</v>
      </c>
      <c r="B2353" s="2" t="s">
        <v>245</v>
      </c>
      <c r="C2353" s="2" t="s">
        <v>21</v>
      </c>
      <c r="D2353" s="2" t="s">
        <v>10</v>
      </c>
      <c r="E2353" s="2" t="s">
        <v>15</v>
      </c>
      <c r="F2353" s="2">
        <v>115.44</v>
      </c>
      <c r="G2353" s="2">
        <v>3</v>
      </c>
      <c r="H2353" s="2">
        <v>30.01</v>
      </c>
      <c r="I2353" t="str">
        <f t="shared" si="36"/>
        <v>Apr</v>
      </c>
      <c r="J2353">
        <f>YEAR(datas[[#This Row],[Order Date]])</f>
        <v>2022</v>
      </c>
    </row>
    <row r="2354" spans="1:10" ht="14.25" customHeight="1" x14ac:dyDescent="0.3">
      <c r="A2354" s="1">
        <v>44669</v>
      </c>
      <c r="B2354" s="2" t="s">
        <v>706</v>
      </c>
      <c r="C2354" s="2" t="s">
        <v>9</v>
      </c>
      <c r="D2354" s="2" t="s">
        <v>28</v>
      </c>
      <c r="E2354" s="2" t="s">
        <v>34</v>
      </c>
      <c r="F2354" s="2">
        <v>41.42</v>
      </c>
      <c r="G2354" s="2">
        <v>2</v>
      </c>
      <c r="H2354" s="2">
        <v>8.2799999999999994</v>
      </c>
      <c r="I2354" t="str">
        <f t="shared" si="36"/>
        <v>Apr</v>
      </c>
      <c r="J2354">
        <f>YEAR(datas[[#This Row],[Order Date]])</f>
        <v>2022</v>
      </c>
    </row>
    <row r="2355" spans="1:10" ht="14.25" customHeight="1" x14ac:dyDescent="0.3">
      <c r="A2355" s="1">
        <v>44669</v>
      </c>
      <c r="B2355" s="2" t="s">
        <v>706</v>
      </c>
      <c r="C2355" s="2" t="s">
        <v>9</v>
      </c>
      <c r="D2355" s="2" t="s">
        <v>28</v>
      </c>
      <c r="E2355" s="2" t="s">
        <v>29</v>
      </c>
      <c r="F2355" s="2">
        <v>244.77</v>
      </c>
      <c r="G2355" s="2">
        <v>4</v>
      </c>
      <c r="H2355" s="2">
        <v>24.48</v>
      </c>
      <c r="I2355" t="str">
        <f t="shared" si="36"/>
        <v>Apr</v>
      </c>
      <c r="J2355">
        <f>YEAR(datas[[#This Row],[Order Date]])</f>
        <v>2022</v>
      </c>
    </row>
    <row r="2356" spans="1:10" ht="14.25" customHeight="1" x14ac:dyDescent="0.3">
      <c r="A2356" s="1">
        <v>44669</v>
      </c>
      <c r="B2356" s="2" t="s">
        <v>706</v>
      </c>
      <c r="C2356" s="2" t="s">
        <v>9</v>
      </c>
      <c r="D2356" s="2" t="s">
        <v>10</v>
      </c>
      <c r="E2356" s="2" t="s">
        <v>19</v>
      </c>
      <c r="F2356" s="2">
        <v>74.349999999999994</v>
      </c>
      <c r="G2356" s="2">
        <v>3</v>
      </c>
      <c r="H2356" s="2">
        <v>6.51</v>
      </c>
      <c r="I2356" t="str">
        <f t="shared" si="36"/>
        <v>Apr</v>
      </c>
      <c r="J2356">
        <f>YEAR(datas[[#This Row],[Order Date]])</f>
        <v>2022</v>
      </c>
    </row>
    <row r="2357" spans="1:10" ht="14.25" customHeight="1" x14ac:dyDescent="0.3">
      <c r="A2357" s="1">
        <v>44669</v>
      </c>
      <c r="B2357" s="2" t="s">
        <v>706</v>
      </c>
      <c r="C2357" s="2" t="s">
        <v>9</v>
      </c>
      <c r="D2357" s="2" t="s">
        <v>10</v>
      </c>
      <c r="E2357" s="2" t="s">
        <v>16</v>
      </c>
      <c r="F2357" s="2">
        <v>4.3099999999999996</v>
      </c>
      <c r="G2357" s="2">
        <v>2</v>
      </c>
      <c r="H2357" s="2">
        <v>-6.9</v>
      </c>
      <c r="I2357" t="str">
        <f t="shared" si="36"/>
        <v>Apr</v>
      </c>
      <c r="J2357">
        <f>YEAR(datas[[#This Row],[Order Date]])</f>
        <v>2022</v>
      </c>
    </row>
    <row r="2358" spans="1:10" ht="14.25" customHeight="1" x14ac:dyDescent="0.3">
      <c r="A2358" s="1">
        <v>44669</v>
      </c>
      <c r="B2358" s="2" t="s">
        <v>706</v>
      </c>
      <c r="C2358" s="2" t="s">
        <v>9</v>
      </c>
      <c r="D2358" s="2" t="s">
        <v>26</v>
      </c>
      <c r="E2358" s="2" t="s">
        <v>27</v>
      </c>
      <c r="F2358" s="2">
        <v>56.69</v>
      </c>
      <c r="G2358" s="2">
        <v>1</v>
      </c>
      <c r="H2358" s="2">
        <v>-20.25</v>
      </c>
      <c r="I2358" t="str">
        <f t="shared" si="36"/>
        <v>Apr</v>
      </c>
      <c r="J2358">
        <f>YEAR(datas[[#This Row],[Order Date]])</f>
        <v>2022</v>
      </c>
    </row>
    <row r="2359" spans="1:10" ht="14.25" customHeight="1" x14ac:dyDescent="0.3">
      <c r="A2359" s="1">
        <v>44669</v>
      </c>
      <c r="B2359" s="2" t="s">
        <v>706</v>
      </c>
      <c r="C2359" s="2" t="s">
        <v>9</v>
      </c>
      <c r="D2359" s="2" t="s">
        <v>28</v>
      </c>
      <c r="E2359" s="2" t="s">
        <v>29</v>
      </c>
      <c r="F2359" s="2">
        <v>97.97</v>
      </c>
      <c r="G2359" s="2">
        <v>2</v>
      </c>
      <c r="H2359" s="2">
        <v>6.12</v>
      </c>
      <c r="I2359" t="str">
        <f t="shared" si="36"/>
        <v>Apr</v>
      </c>
      <c r="J2359">
        <f>YEAR(datas[[#This Row],[Order Date]])</f>
        <v>2022</v>
      </c>
    </row>
    <row r="2360" spans="1:10" ht="14.25" customHeight="1" x14ac:dyDescent="0.3">
      <c r="A2360" s="1">
        <v>44669</v>
      </c>
      <c r="B2360" s="2" t="s">
        <v>706</v>
      </c>
      <c r="C2360" s="2" t="s">
        <v>9</v>
      </c>
      <c r="D2360" s="2" t="s">
        <v>10</v>
      </c>
      <c r="E2360" s="2" t="s">
        <v>19</v>
      </c>
      <c r="F2360" s="2">
        <v>7.87</v>
      </c>
      <c r="G2360" s="2">
        <v>3</v>
      </c>
      <c r="H2360" s="2">
        <v>0.89</v>
      </c>
      <c r="I2360" t="str">
        <f t="shared" si="36"/>
        <v>Apr</v>
      </c>
      <c r="J2360">
        <f>YEAR(datas[[#This Row],[Order Date]])</f>
        <v>2022</v>
      </c>
    </row>
    <row r="2361" spans="1:10" ht="14.25" customHeight="1" x14ac:dyDescent="0.3">
      <c r="A2361" s="1">
        <v>44669</v>
      </c>
      <c r="B2361" s="2" t="s">
        <v>706</v>
      </c>
      <c r="C2361" s="2" t="s">
        <v>9</v>
      </c>
      <c r="D2361" s="2" t="s">
        <v>10</v>
      </c>
      <c r="E2361" s="2" t="s">
        <v>11</v>
      </c>
      <c r="F2361" s="2">
        <v>15.55</v>
      </c>
      <c r="G2361" s="2">
        <v>3</v>
      </c>
      <c r="H2361" s="2">
        <v>5.44</v>
      </c>
      <c r="I2361" t="str">
        <f t="shared" si="36"/>
        <v>Apr</v>
      </c>
      <c r="J2361">
        <f>YEAR(datas[[#This Row],[Order Date]])</f>
        <v>2022</v>
      </c>
    </row>
    <row r="2362" spans="1:10" ht="14.25" customHeight="1" x14ac:dyDescent="0.3">
      <c r="A2362" s="1">
        <v>44669</v>
      </c>
      <c r="B2362" s="2" t="s">
        <v>706</v>
      </c>
      <c r="C2362" s="2" t="s">
        <v>9</v>
      </c>
      <c r="D2362" s="2" t="s">
        <v>10</v>
      </c>
      <c r="E2362" s="2" t="s">
        <v>16</v>
      </c>
      <c r="F2362" s="2">
        <v>1.48</v>
      </c>
      <c r="G2362" s="2">
        <v>1</v>
      </c>
      <c r="H2362" s="2">
        <v>-2.29</v>
      </c>
      <c r="I2362" t="str">
        <f t="shared" si="36"/>
        <v>Apr</v>
      </c>
      <c r="J2362">
        <f>YEAR(datas[[#This Row],[Order Date]])</f>
        <v>2022</v>
      </c>
    </row>
    <row r="2363" spans="1:10" ht="14.25" customHeight="1" x14ac:dyDescent="0.3">
      <c r="A2363" s="1">
        <v>44670</v>
      </c>
      <c r="B2363" s="2" t="s">
        <v>256</v>
      </c>
      <c r="C2363" s="2" t="s">
        <v>9</v>
      </c>
      <c r="D2363" s="2" t="s">
        <v>10</v>
      </c>
      <c r="E2363" s="2" t="s">
        <v>53</v>
      </c>
      <c r="F2363" s="2">
        <v>19.57</v>
      </c>
      <c r="G2363" s="2">
        <v>2</v>
      </c>
      <c r="H2363" s="2">
        <v>-52.83</v>
      </c>
      <c r="I2363" t="str">
        <f t="shared" si="36"/>
        <v>Apr</v>
      </c>
      <c r="J2363">
        <f>YEAR(datas[[#This Row],[Order Date]])</f>
        <v>2022</v>
      </c>
    </row>
    <row r="2364" spans="1:10" ht="14.25" customHeight="1" x14ac:dyDescent="0.3">
      <c r="A2364" s="1">
        <v>44670</v>
      </c>
      <c r="B2364" s="2" t="s">
        <v>256</v>
      </c>
      <c r="C2364" s="2" t="s">
        <v>9</v>
      </c>
      <c r="D2364" s="2" t="s">
        <v>10</v>
      </c>
      <c r="E2364" s="2" t="s">
        <v>16</v>
      </c>
      <c r="F2364" s="2">
        <v>310.39</v>
      </c>
      <c r="G2364" s="2">
        <v>4</v>
      </c>
      <c r="H2364" s="2">
        <v>-512.15</v>
      </c>
      <c r="I2364" t="str">
        <f t="shared" si="36"/>
        <v>Apr</v>
      </c>
      <c r="J2364">
        <f>YEAR(datas[[#This Row],[Order Date]])</f>
        <v>2022</v>
      </c>
    </row>
    <row r="2365" spans="1:10" ht="14.25" customHeight="1" x14ac:dyDescent="0.3">
      <c r="A2365" s="1">
        <v>44671</v>
      </c>
      <c r="B2365" s="2" t="s">
        <v>225</v>
      </c>
      <c r="C2365" s="2" t="s">
        <v>23</v>
      </c>
      <c r="D2365" s="2" t="s">
        <v>28</v>
      </c>
      <c r="E2365" s="2" t="s">
        <v>29</v>
      </c>
      <c r="F2365" s="2">
        <v>287.97000000000003</v>
      </c>
      <c r="G2365" s="2">
        <v>3</v>
      </c>
      <c r="H2365" s="2">
        <v>77.75</v>
      </c>
      <c r="I2365" t="str">
        <f t="shared" si="36"/>
        <v>Apr</v>
      </c>
      <c r="J2365">
        <f>YEAR(datas[[#This Row],[Order Date]])</f>
        <v>2022</v>
      </c>
    </row>
    <row r="2366" spans="1:10" ht="14.25" customHeight="1" x14ac:dyDescent="0.3">
      <c r="A2366" s="1">
        <v>44671</v>
      </c>
      <c r="B2366" s="2" t="s">
        <v>225</v>
      </c>
      <c r="C2366" s="2" t="s">
        <v>23</v>
      </c>
      <c r="D2366" s="2" t="s">
        <v>26</v>
      </c>
      <c r="E2366" s="2" t="s">
        <v>32</v>
      </c>
      <c r="F2366" s="2">
        <v>595.38</v>
      </c>
      <c r="G2366" s="2">
        <v>6</v>
      </c>
      <c r="H2366" s="2">
        <v>297.69</v>
      </c>
      <c r="I2366" t="str">
        <f t="shared" si="36"/>
        <v>Apr</v>
      </c>
      <c r="J2366">
        <f>YEAR(datas[[#This Row],[Order Date]])</f>
        <v>2022</v>
      </c>
    </row>
    <row r="2367" spans="1:10" ht="14.25" customHeight="1" x14ac:dyDescent="0.3">
      <c r="A2367" s="1">
        <v>44671</v>
      </c>
      <c r="B2367" s="2" t="s">
        <v>225</v>
      </c>
      <c r="C2367" s="2" t="s">
        <v>23</v>
      </c>
      <c r="D2367" s="2" t="s">
        <v>10</v>
      </c>
      <c r="E2367" s="2" t="s">
        <v>11</v>
      </c>
      <c r="F2367" s="2">
        <v>12.96</v>
      </c>
      <c r="G2367" s="2">
        <v>2</v>
      </c>
      <c r="H2367" s="2">
        <v>6.22</v>
      </c>
      <c r="I2367" t="str">
        <f t="shared" si="36"/>
        <v>Apr</v>
      </c>
      <c r="J2367">
        <f>YEAR(datas[[#This Row],[Order Date]])</f>
        <v>2022</v>
      </c>
    </row>
    <row r="2368" spans="1:10" ht="14.25" customHeight="1" x14ac:dyDescent="0.3">
      <c r="A2368" s="1">
        <v>44671</v>
      </c>
      <c r="B2368" s="2" t="s">
        <v>485</v>
      </c>
      <c r="C2368" s="2" t="s">
        <v>9</v>
      </c>
      <c r="D2368" s="2" t="s">
        <v>10</v>
      </c>
      <c r="E2368" s="2" t="s">
        <v>11</v>
      </c>
      <c r="F2368" s="2">
        <v>117.46</v>
      </c>
      <c r="G2368" s="2">
        <v>3</v>
      </c>
      <c r="H2368" s="2">
        <v>44.05</v>
      </c>
      <c r="I2368" t="str">
        <f t="shared" si="36"/>
        <v>Apr</v>
      </c>
      <c r="J2368">
        <f>YEAR(datas[[#This Row],[Order Date]])</f>
        <v>2022</v>
      </c>
    </row>
    <row r="2369" spans="1:10" ht="14.25" customHeight="1" x14ac:dyDescent="0.3">
      <c r="A2369" s="1">
        <v>44671</v>
      </c>
      <c r="B2369" s="2" t="s">
        <v>707</v>
      </c>
      <c r="C2369" s="2" t="s">
        <v>60</v>
      </c>
      <c r="D2369" s="2" t="s">
        <v>10</v>
      </c>
      <c r="E2369" s="2" t="s">
        <v>41</v>
      </c>
      <c r="F2369" s="2">
        <v>180.96</v>
      </c>
      <c r="G2369" s="2">
        <v>2</v>
      </c>
      <c r="H2369" s="2">
        <v>81.430000000000007</v>
      </c>
      <c r="I2369" t="str">
        <f t="shared" si="36"/>
        <v>Apr</v>
      </c>
      <c r="J2369">
        <f>YEAR(datas[[#This Row],[Order Date]])</f>
        <v>2022</v>
      </c>
    </row>
    <row r="2370" spans="1:10" ht="14.25" customHeight="1" x14ac:dyDescent="0.3">
      <c r="A2370" s="1">
        <v>44672</v>
      </c>
      <c r="B2370" s="2" t="s">
        <v>708</v>
      </c>
      <c r="C2370" s="2" t="s">
        <v>25</v>
      </c>
      <c r="D2370" s="2" t="s">
        <v>26</v>
      </c>
      <c r="E2370" s="2" t="s">
        <v>27</v>
      </c>
      <c r="F2370" s="2">
        <v>191.96</v>
      </c>
      <c r="G2370" s="2">
        <v>2</v>
      </c>
      <c r="H2370" s="2">
        <v>51.83</v>
      </c>
      <c r="I2370" t="str">
        <f t="shared" si="36"/>
        <v>Apr</v>
      </c>
      <c r="J2370">
        <f>YEAR(datas[[#This Row],[Order Date]])</f>
        <v>2022</v>
      </c>
    </row>
    <row r="2371" spans="1:10" ht="14.25" customHeight="1" x14ac:dyDescent="0.3">
      <c r="A2371" s="1">
        <v>44672</v>
      </c>
      <c r="B2371" s="2" t="s">
        <v>708</v>
      </c>
      <c r="C2371" s="2" t="s">
        <v>25</v>
      </c>
      <c r="D2371" s="2" t="s">
        <v>10</v>
      </c>
      <c r="E2371" s="2" t="s">
        <v>16</v>
      </c>
      <c r="F2371" s="2">
        <v>21.3</v>
      </c>
      <c r="G2371" s="2">
        <v>3</v>
      </c>
      <c r="H2371" s="2">
        <v>9.8000000000000007</v>
      </c>
      <c r="I2371" t="str">
        <f t="shared" ref="I2371:I2434" si="37">TEXT(A2371,"mmm")</f>
        <v>Apr</v>
      </c>
      <c r="J2371">
        <f>YEAR(datas[[#This Row],[Order Date]])</f>
        <v>2022</v>
      </c>
    </row>
    <row r="2372" spans="1:10" ht="14.25" customHeight="1" x14ac:dyDescent="0.3">
      <c r="A2372" s="1">
        <v>44672</v>
      </c>
      <c r="B2372" s="2" t="s">
        <v>708</v>
      </c>
      <c r="C2372" s="2" t="s">
        <v>25</v>
      </c>
      <c r="D2372" s="2" t="s">
        <v>28</v>
      </c>
      <c r="E2372" s="2" t="s">
        <v>29</v>
      </c>
      <c r="F2372" s="2">
        <v>469.95</v>
      </c>
      <c r="G2372" s="2">
        <v>5</v>
      </c>
      <c r="H2372" s="2">
        <v>131.59</v>
      </c>
      <c r="I2372" t="str">
        <f t="shared" si="37"/>
        <v>Apr</v>
      </c>
      <c r="J2372">
        <f>YEAR(datas[[#This Row],[Order Date]])</f>
        <v>2022</v>
      </c>
    </row>
    <row r="2373" spans="1:10" ht="14.25" customHeight="1" x14ac:dyDescent="0.3">
      <c r="A2373" s="1">
        <v>44672</v>
      </c>
      <c r="B2373" s="2" t="s">
        <v>708</v>
      </c>
      <c r="C2373" s="2" t="s">
        <v>25</v>
      </c>
      <c r="D2373" s="2" t="s">
        <v>26</v>
      </c>
      <c r="E2373" s="2" t="s">
        <v>32</v>
      </c>
      <c r="F2373" s="2">
        <v>209.88</v>
      </c>
      <c r="G2373" s="2">
        <v>3</v>
      </c>
      <c r="H2373" s="2">
        <v>35.68</v>
      </c>
      <c r="I2373" t="str">
        <f t="shared" si="37"/>
        <v>Apr</v>
      </c>
      <c r="J2373">
        <f>YEAR(datas[[#This Row],[Order Date]])</f>
        <v>2022</v>
      </c>
    </row>
    <row r="2374" spans="1:10" ht="14.25" customHeight="1" x14ac:dyDescent="0.3">
      <c r="A2374" s="1">
        <v>44673</v>
      </c>
      <c r="B2374" s="2" t="s">
        <v>142</v>
      </c>
      <c r="C2374" s="2" t="s">
        <v>21</v>
      </c>
      <c r="D2374" s="2" t="s">
        <v>28</v>
      </c>
      <c r="E2374" s="2" t="s">
        <v>29</v>
      </c>
      <c r="F2374" s="2">
        <v>88.78</v>
      </c>
      <c r="G2374" s="2">
        <v>3</v>
      </c>
      <c r="H2374" s="2">
        <v>7.77</v>
      </c>
      <c r="I2374" t="str">
        <f t="shared" si="37"/>
        <v>Apr</v>
      </c>
      <c r="J2374">
        <f>YEAR(datas[[#This Row],[Order Date]])</f>
        <v>2022</v>
      </c>
    </row>
    <row r="2375" spans="1:10" ht="14.25" customHeight="1" x14ac:dyDescent="0.3">
      <c r="A2375" s="1">
        <v>44673</v>
      </c>
      <c r="B2375" s="2" t="s">
        <v>142</v>
      </c>
      <c r="C2375" s="2" t="s">
        <v>21</v>
      </c>
      <c r="D2375" s="2" t="s">
        <v>10</v>
      </c>
      <c r="E2375" s="2" t="s">
        <v>19</v>
      </c>
      <c r="F2375" s="2">
        <v>64.14</v>
      </c>
      <c r="G2375" s="2">
        <v>3</v>
      </c>
      <c r="H2375" s="2">
        <v>16.68</v>
      </c>
      <c r="I2375" t="str">
        <f t="shared" si="37"/>
        <v>Apr</v>
      </c>
      <c r="J2375">
        <f>YEAR(datas[[#This Row],[Order Date]])</f>
        <v>2022</v>
      </c>
    </row>
    <row r="2376" spans="1:10" ht="14.25" customHeight="1" x14ac:dyDescent="0.3">
      <c r="A2376" s="1">
        <v>44675</v>
      </c>
      <c r="B2376" s="2" t="s">
        <v>83</v>
      </c>
      <c r="C2376" s="2" t="s">
        <v>75</v>
      </c>
      <c r="D2376" s="2" t="s">
        <v>10</v>
      </c>
      <c r="E2376" s="2" t="s">
        <v>19</v>
      </c>
      <c r="F2376" s="2">
        <v>25.99</v>
      </c>
      <c r="G2376" s="2">
        <v>1</v>
      </c>
      <c r="H2376" s="2">
        <v>7.54</v>
      </c>
      <c r="I2376" t="str">
        <f t="shared" si="37"/>
        <v>Apr</v>
      </c>
      <c r="J2376">
        <f>YEAR(datas[[#This Row],[Order Date]])</f>
        <v>2022</v>
      </c>
    </row>
    <row r="2377" spans="1:10" ht="14.25" customHeight="1" x14ac:dyDescent="0.3">
      <c r="A2377" s="1">
        <v>44676</v>
      </c>
      <c r="B2377" s="2" t="s">
        <v>117</v>
      </c>
      <c r="C2377" s="2" t="s">
        <v>21</v>
      </c>
      <c r="D2377" s="2" t="s">
        <v>10</v>
      </c>
      <c r="E2377" s="2" t="s">
        <v>16</v>
      </c>
      <c r="F2377" s="2">
        <v>13.94</v>
      </c>
      <c r="G2377" s="2">
        <v>3</v>
      </c>
      <c r="H2377" s="2">
        <v>4.53</v>
      </c>
      <c r="I2377" t="str">
        <f t="shared" si="37"/>
        <v>Apr</v>
      </c>
      <c r="J2377">
        <f>YEAR(datas[[#This Row],[Order Date]])</f>
        <v>2022</v>
      </c>
    </row>
    <row r="2378" spans="1:10" ht="14.25" customHeight="1" x14ac:dyDescent="0.3">
      <c r="A2378" s="1">
        <v>44676</v>
      </c>
      <c r="B2378" s="2" t="s">
        <v>384</v>
      </c>
      <c r="C2378" s="2" t="s">
        <v>75</v>
      </c>
      <c r="D2378" s="2" t="s">
        <v>10</v>
      </c>
      <c r="E2378" s="2" t="s">
        <v>53</v>
      </c>
      <c r="F2378" s="2">
        <v>206.43</v>
      </c>
      <c r="G2378" s="2">
        <v>3</v>
      </c>
      <c r="H2378" s="2">
        <v>90.83</v>
      </c>
      <c r="I2378" t="str">
        <f t="shared" si="37"/>
        <v>Apr</v>
      </c>
      <c r="J2378">
        <f>YEAR(datas[[#This Row],[Order Date]])</f>
        <v>2022</v>
      </c>
    </row>
    <row r="2379" spans="1:10" ht="14.25" customHeight="1" x14ac:dyDescent="0.3">
      <c r="A2379" s="1">
        <v>44676</v>
      </c>
      <c r="B2379" s="2" t="s">
        <v>675</v>
      </c>
      <c r="C2379" s="2" t="s">
        <v>79</v>
      </c>
      <c r="D2379" s="2" t="s">
        <v>10</v>
      </c>
      <c r="E2379" s="2" t="s">
        <v>19</v>
      </c>
      <c r="F2379" s="2">
        <v>57.75</v>
      </c>
      <c r="G2379" s="2">
        <v>5</v>
      </c>
      <c r="H2379" s="2">
        <v>16.170000000000002</v>
      </c>
      <c r="I2379" t="str">
        <f t="shared" si="37"/>
        <v>Apr</v>
      </c>
      <c r="J2379">
        <f>YEAR(datas[[#This Row],[Order Date]])</f>
        <v>2022</v>
      </c>
    </row>
    <row r="2380" spans="1:10" ht="14.25" customHeight="1" x14ac:dyDescent="0.3">
      <c r="A2380" s="1">
        <v>44676</v>
      </c>
      <c r="B2380" s="2" t="s">
        <v>675</v>
      </c>
      <c r="C2380" s="2" t="s">
        <v>79</v>
      </c>
      <c r="D2380" s="2" t="s">
        <v>10</v>
      </c>
      <c r="E2380" s="2" t="s">
        <v>53</v>
      </c>
      <c r="F2380" s="2">
        <v>272.39999999999998</v>
      </c>
      <c r="G2380" s="2">
        <v>5</v>
      </c>
      <c r="H2380" s="2">
        <v>76.27</v>
      </c>
      <c r="I2380" t="str">
        <f t="shared" si="37"/>
        <v>Apr</v>
      </c>
      <c r="J2380">
        <f>YEAR(datas[[#This Row],[Order Date]])</f>
        <v>2022</v>
      </c>
    </row>
    <row r="2381" spans="1:10" ht="14.25" customHeight="1" x14ac:dyDescent="0.3">
      <c r="A2381" s="1">
        <v>44676</v>
      </c>
      <c r="B2381" s="2" t="s">
        <v>527</v>
      </c>
      <c r="C2381" s="2" t="s">
        <v>13</v>
      </c>
      <c r="D2381" s="2" t="s">
        <v>10</v>
      </c>
      <c r="E2381" s="2" t="s">
        <v>15</v>
      </c>
      <c r="F2381" s="2">
        <v>221.02</v>
      </c>
      <c r="G2381" s="2">
        <v>2</v>
      </c>
      <c r="H2381" s="2">
        <v>-55.26</v>
      </c>
      <c r="I2381" t="str">
        <f t="shared" si="37"/>
        <v>Apr</v>
      </c>
      <c r="J2381">
        <f>YEAR(datas[[#This Row],[Order Date]])</f>
        <v>2022</v>
      </c>
    </row>
    <row r="2382" spans="1:10" ht="14.25" customHeight="1" x14ac:dyDescent="0.3">
      <c r="A2382" s="1">
        <v>44676</v>
      </c>
      <c r="B2382" s="2" t="s">
        <v>527</v>
      </c>
      <c r="C2382" s="2" t="s">
        <v>13</v>
      </c>
      <c r="D2382" s="2" t="s">
        <v>26</v>
      </c>
      <c r="E2382" s="2" t="s">
        <v>27</v>
      </c>
      <c r="F2382" s="2">
        <v>128.06</v>
      </c>
      <c r="G2382" s="2">
        <v>3</v>
      </c>
      <c r="H2382" s="2">
        <v>-23.78</v>
      </c>
      <c r="I2382" t="str">
        <f t="shared" si="37"/>
        <v>Apr</v>
      </c>
      <c r="J2382">
        <f>YEAR(datas[[#This Row],[Order Date]])</f>
        <v>2022</v>
      </c>
    </row>
    <row r="2383" spans="1:10" ht="14.25" customHeight="1" x14ac:dyDescent="0.3">
      <c r="A2383" s="1">
        <v>44676</v>
      </c>
      <c r="B2383" s="2" t="s">
        <v>709</v>
      </c>
      <c r="C2383" s="2" t="s">
        <v>21</v>
      </c>
      <c r="D2383" s="2" t="s">
        <v>10</v>
      </c>
      <c r="E2383" s="2" t="s">
        <v>41</v>
      </c>
      <c r="F2383" s="2">
        <v>21.34</v>
      </c>
      <c r="G2383" s="2">
        <v>2</v>
      </c>
      <c r="H2383" s="2">
        <v>9.82</v>
      </c>
      <c r="I2383" t="str">
        <f t="shared" si="37"/>
        <v>Apr</v>
      </c>
      <c r="J2383">
        <f>YEAR(datas[[#This Row],[Order Date]])</f>
        <v>2022</v>
      </c>
    </row>
    <row r="2384" spans="1:10" ht="14.25" customHeight="1" x14ac:dyDescent="0.3">
      <c r="A2384" s="1">
        <v>44677</v>
      </c>
      <c r="B2384" s="2" t="s">
        <v>332</v>
      </c>
      <c r="C2384" s="2" t="s">
        <v>62</v>
      </c>
      <c r="D2384" s="2" t="s">
        <v>26</v>
      </c>
      <c r="E2384" s="2" t="s">
        <v>27</v>
      </c>
      <c r="F2384" s="2">
        <v>831.94</v>
      </c>
      <c r="G2384" s="2">
        <v>8</v>
      </c>
      <c r="H2384" s="2">
        <v>-114.39</v>
      </c>
      <c r="I2384" t="str">
        <f t="shared" si="37"/>
        <v>Apr</v>
      </c>
      <c r="J2384">
        <f>YEAR(datas[[#This Row],[Order Date]])</f>
        <v>2022</v>
      </c>
    </row>
    <row r="2385" spans="1:10" ht="14.25" customHeight="1" x14ac:dyDescent="0.3">
      <c r="A2385" s="1">
        <v>44677</v>
      </c>
      <c r="B2385" s="2" t="s">
        <v>332</v>
      </c>
      <c r="C2385" s="2" t="s">
        <v>62</v>
      </c>
      <c r="D2385" s="2" t="s">
        <v>26</v>
      </c>
      <c r="E2385" s="2" t="s">
        <v>32</v>
      </c>
      <c r="F2385" s="2">
        <v>97.04</v>
      </c>
      <c r="G2385" s="2">
        <v>2</v>
      </c>
      <c r="H2385" s="2">
        <v>1.21</v>
      </c>
      <c r="I2385" t="str">
        <f t="shared" si="37"/>
        <v>Apr</v>
      </c>
      <c r="J2385">
        <f>YEAR(datas[[#This Row],[Order Date]])</f>
        <v>2022</v>
      </c>
    </row>
    <row r="2386" spans="1:10" ht="14.25" customHeight="1" x14ac:dyDescent="0.3">
      <c r="A2386" s="1">
        <v>44677</v>
      </c>
      <c r="B2386" s="2" t="s">
        <v>332</v>
      </c>
      <c r="C2386" s="2" t="s">
        <v>62</v>
      </c>
      <c r="D2386" s="2" t="s">
        <v>10</v>
      </c>
      <c r="E2386" s="2" t="s">
        <v>15</v>
      </c>
      <c r="F2386" s="2">
        <v>72.78</v>
      </c>
      <c r="G2386" s="2">
        <v>1</v>
      </c>
      <c r="H2386" s="2">
        <v>-18.2</v>
      </c>
      <c r="I2386" t="str">
        <f t="shared" si="37"/>
        <v>Apr</v>
      </c>
      <c r="J2386">
        <f>YEAR(datas[[#This Row],[Order Date]])</f>
        <v>2022</v>
      </c>
    </row>
    <row r="2387" spans="1:10" ht="14.25" customHeight="1" x14ac:dyDescent="0.3">
      <c r="A2387" s="1">
        <v>44677</v>
      </c>
      <c r="B2387" s="2" t="s">
        <v>589</v>
      </c>
      <c r="C2387" s="2" t="s">
        <v>9</v>
      </c>
      <c r="D2387" s="2" t="s">
        <v>26</v>
      </c>
      <c r="E2387" s="2" t="s">
        <v>27</v>
      </c>
      <c r="F2387" s="2">
        <v>408.42</v>
      </c>
      <c r="G2387" s="2">
        <v>2</v>
      </c>
      <c r="H2387" s="2">
        <v>-5.83</v>
      </c>
      <c r="I2387" t="str">
        <f t="shared" si="37"/>
        <v>Apr</v>
      </c>
      <c r="J2387">
        <f>YEAR(datas[[#This Row],[Order Date]])</f>
        <v>2022</v>
      </c>
    </row>
    <row r="2388" spans="1:10" ht="14.25" customHeight="1" x14ac:dyDescent="0.3">
      <c r="A2388" s="1">
        <v>44677</v>
      </c>
      <c r="B2388" s="2" t="s">
        <v>692</v>
      </c>
      <c r="C2388" s="2" t="s">
        <v>21</v>
      </c>
      <c r="D2388" s="2" t="s">
        <v>26</v>
      </c>
      <c r="E2388" s="2" t="s">
        <v>27</v>
      </c>
      <c r="F2388" s="2">
        <v>63.94</v>
      </c>
      <c r="G2388" s="2">
        <v>3</v>
      </c>
      <c r="H2388" s="2">
        <v>6.39</v>
      </c>
      <c r="I2388" t="str">
        <f t="shared" si="37"/>
        <v>Apr</v>
      </c>
      <c r="J2388">
        <f>YEAR(datas[[#This Row],[Order Date]])</f>
        <v>2022</v>
      </c>
    </row>
    <row r="2389" spans="1:10" ht="14.25" customHeight="1" x14ac:dyDescent="0.3">
      <c r="A2389" s="1">
        <v>44677</v>
      </c>
      <c r="B2389" s="2" t="s">
        <v>692</v>
      </c>
      <c r="C2389" s="2" t="s">
        <v>21</v>
      </c>
      <c r="D2389" s="2" t="s">
        <v>10</v>
      </c>
      <c r="E2389" s="2" t="s">
        <v>19</v>
      </c>
      <c r="F2389" s="2">
        <v>59.52</v>
      </c>
      <c r="G2389" s="2">
        <v>3</v>
      </c>
      <c r="H2389" s="2">
        <v>15.48</v>
      </c>
      <c r="I2389" t="str">
        <f t="shared" si="37"/>
        <v>Apr</v>
      </c>
      <c r="J2389">
        <f>YEAR(datas[[#This Row],[Order Date]])</f>
        <v>2022</v>
      </c>
    </row>
    <row r="2390" spans="1:10" ht="14.25" customHeight="1" x14ac:dyDescent="0.3">
      <c r="A2390" s="1">
        <v>44677</v>
      </c>
      <c r="B2390" s="2" t="s">
        <v>692</v>
      </c>
      <c r="C2390" s="2" t="s">
        <v>21</v>
      </c>
      <c r="D2390" s="2" t="s">
        <v>28</v>
      </c>
      <c r="E2390" s="2" t="s">
        <v>29</v>
      </c>
      <c r="F2390" s="2">
        <v>311.98</v>
      </c>
      <c r="G2390" s="2">
        <v>3</v>
      </c>
      <c r="H2390" s="2">
        <v>39</v>
      </c>
      <c r="I2390" t="str">
        <f t="shared" si="37"/>
        <v>Apr</v>
      </c>
      <c r="J2390">
        <f>YEAR(datas[[#This Row],[Order Date]])</f>
        <v>2022</v>
      </c>
    </row>
    <row r="2391" spans="1:10" ht="14.25" customHeight="1" x14ac:dyDescent="0.3">
      <c r="A2391" s="1">
        <v>44677</v>
      </c>
      <c r="B2391" s="2" t="s">
        <v>692</v>
      </c>
      <c r="C2391" s="2" t="s">
        <v>21</v>
      </c>
      <c r="D2391" s="2" t="s">
        <v>10</v>
      </c>
      <c r="E2391" s="2" t="s">
        <v>16</v>
      </c>
      <c r="F2391" s="2">
        <v>50.35</v>
      </c>
      <c r="G2391" s="2">
        <v>3</v>
      </c>
      <c r="H2391" s="2">
        <v>17.62</v>
      </c>
      <c r="I2391" t="str">
        <f t="shared" si="37"/>
        <v>Apr</v>
      </c>
      <c r="J2391">
        <f>YEAR(datas[[#This Row],[Order Date]])</f>
        <v>2022</v>
      </c>
    </row>
    <row r="2392" spans="1:10" ht="14.25" customHeight="1" x14ac:dyDescent="0.3">
      <c r="A2392" s="1">
        <v>44677</v>
      </c>
      <c r="B2392" s="2" t="s">
        <v>103</v>
      </c>
      <c r="C2392" s="2" t="s">
        <v>64</v>
      </c>
      <c r="D2392" s="2" t="s">
        <v>26</v>
      </c>
      <c r="E2392" s="2" t="s">
        <v>73</v>
      </c>
      <c r="F2392" s="2">
        <v>191.52</v>
      </c>
      <c r="G2392" s="2">
        <v>1</v>
      </c>
      <c r="H2392" s="2">
        <v>-76.61</v>
      </c>
      <c r="I2392" t="str">
        <f t="shared" si="37"/>
        <v>Apr</v>
      </c>
      <c r="J2392">
        <f>YEAR(datas[[#This Row],[Order Date]])</f>
        <v>2022</v>
      </c>
    </row>
    <row r="2393" spans="1:10" ht="14.25" customHeight="1" x14ac:dyDescent="0.3">
      <c r="A2393" s="1">
        <v>44677</v>
      </c>
      <c r="B2393" s="2" t="s">
        <v>103</v>
      </c>
      <c r="C2393" s="2" t="s">
        <v>64</v>
      </c>
      <c r="D2393" s="2" t="s">
        <v>10</v>
      </c>
      <c r="E2393" s="2" t="s">
        <v>19</v>
      </c>
      <c r="F2393" s="2">
        <v>2.62</v>
      </c>
      <c r="G2393" s="2">
        <v>1</v>
      </c>
      <c r="H2393" s="2">
        <v>0.43</v>
      </c>
      <c r="I2393" t="str">
        <f t="shared" si="37"/>
        <v>Apr</v>
      </c>
      <c r="J2393">
        <f>YEAR(datas[[#This Row],[Order Date]])</f>
        <v>2022</v>
      </c>
    </row>
    <row r="2394" spans="1:10" ht="14.25" customHeight="1" x14ac:dyDescent="0.3">
      <c r="A2394" s="1">
        <v>44678</v>
      </c>
      <c r="B2394" s="2" t="s">
        <v>284</v>
      </c>
      <c r="C2394" s="2" t="s">
        <v>710</v>
      </c>
      <c r="D2394" s="2" t="s">
        <v>10</v>
      </c>
      <c r="E2394" s="2" t="s">
        <v>19</v>
      </c>
      <c r="F2394" s="2">
        <v>22.74</v>
      </c>
      <c r="G2394" s="2">
        <v>3</v>
      </c>
      <c r="H2394" s="2">
        <v>8.8699999999999992</v>
      </c>
      <c r="I2394" t="str">
        <f t="shared" si="37"/>
        <v>Apr</v>
      </c>
      <c r="J2394">
        <f>YEAR(datas[[#This Row],[Order Date]])</f>
        <v>2022</v>
      </c>
    </row>
    <row r="2395" spans="1:10" ht="14.25" customHeight="1" x14ac:dyDescent="0.3">
      <c r="A2395" s="1">
        <v>44678</v>
      </c>
      <c r="B2395" s="2" t="s">
        <v>284</v>
      </c>
      <c r="C2395" s="2" t="s">
        <v>710</v>
      </c>
      <c r="D2395" s="2" t="s">
        <v>26</v>
      </c>
      <c r="E2395" s="2" t="s">
        <v>27</v>
      </c>
      <c r="F2395" s="2">
        <v>1267.53</v>
      </c>
      <c r="G2395" s="2">
        <v>3</v>
      </c>
      <c r="H2395" s="2">
        <v>316.88</v>
      </c>
      <c r="I2395" t="str">
        <f t="shared" si="37"/>
        <v>Apr</v>
      </c>
      <c r="J2395">
        <f>YEAR(datas[[#This Row],[Order Date]])</f>
        <v>2022</v>
      </c>
    </row>
    <row r="2396" spans="1:10" ht="14.25" customHeight="1" x14ac:dyDescent="0.3">
      <c r="A2396" s="1">
        <v>44678</v>
      </c>
      <c r="B2396" s="2" t="s">
        <v>284</v>
      </c>
      <c r="C2396" s="2" t="s">
        <v>710</v>
      </c>
      <c r="D2396" s="2" t="s">
        <v>28</v>
      </c>
      <c r="E2396" s="2" t="s">
        <v>136</v>
      </c>
      <c r="F2396" s="2">
        <v>1379.92</v>
      </c>
      <c r="G2396" s="2">
        <v>8</v>
      </c>
      <c r="H2396" s="2">
        <v>648.55999999999995</v>
      </c>
      <c r="I2396" t="str">
        <f t="shared" si="37"/>
        <v>Apr</v>
      </c>
      <c r="J2396">
        <f>YEAR(datas[[#This Row],[Order Date]])</f>
        <v>2022</v>
      </c>
    </row>
    <row r="2397" spans="1:10" ht="14.25" customHeight="1" x14ac:dyDescent="0.3">
      <c r="A2397" s="1">
        <v>44678</v>
      </c>
      <c r="B2397" s="2" t="s">
        <v>601</v>
      </c>
      <c r="C2397" s="2" t="s">
        <v>126</v>
      </c>
      <c r="D2397" s="2" t="s">
        <v>10</v>
      </c>
      <c r="E2397" s="2" t="s">
        <v>53</v>
      </c>
      <c r="F2397" s="2">
        <v>43.56</v>
      </c>
      <c r="G2397" s="2">
        <v>5</v>
      </c>
      <c r="H2397" s="2">
        <v>3.27</v>
      </c>
      <c r="I2397" t="str">
        <f t="shared" si="37"/>
        <v>Apr</v>
      </c>
      <c r="J2397">
        <f>YEAR(datas[[#This Row],[Order Date]])</f>
        <v>2022</v>
      </c>
    </row>
    <row r="2398" spans="1:10" ht="14.25" customHeight="1" x14ac:dyDescent="0.3">
      <c r="A2398" s="1">
        <v>44678</v>
      </c>
      <c r="B2398" s="2" t="s">
        <v>601</v>
      </c>
      <c r="C2398" s="2" t="s">
        <v>126</v>
      </c>
      <c r="D2398" s="2" t="s">
        <v>10</v>
      </c>
      <c r="E2398" s="2" t="s">
        <v>95</v>
      </c>
      <c r="F2398" s="2">
        <v>5.84</v>
      </c>
      <c r="G2398" s="2">
        <v>2</v>
      </c>
      <c r="H2398" s="2">
        <v>0.73</v>
      </c>
      <c r="I2398" t="str">
        <f t="shared" si="37"/>
        <v>Apr</v>
      </c>
      <c r="J2398">
        <f>YEAR(datas[[#This Row],[Order Date]])</f>
        <v>2022</v>
      </c>
    </row>
    <row r="2399" spans="1:10" ht="14.25" customHeight="1" x14ac:dyDescent="0.3">
      <c r="A2399" s="1">
        <v>44679</v>
      </c>
      <c r="B2399" s="2" t="s">
        <v>345</v>
      </c>
      <c r="C2399" s="2" t="s">
        <v>9</v>
      </c>
      <c r="D2399" s="2" t="s">
        <v>10</v>
      </c>
      <c r="E2399" s="2" t="s">
        <v>53</v>
      </c>
      <c r="F2399" s="2">
        <v>8.65</v>
      </c>
      <c r="G2399" s="2">
        <v>3</v>
      </c>
      <c r="H2399" s="2">
        <v>-20.329999999999998</v>
      </c>
      <c r="I2399" t="str">
        <f t="shared" si="37"/>
        <v>Apr</v>
      </c>
      <c r="J2399">
        <f>YEAR(datas[[#This Row],[Order Date]])</f>
        <v>2022</v>
      </c>
    </row>
    <row r="2400" spans="1:10" ht="14.25" customHeight="1" x14ac:dyDescent="0.3">
      <c r="A2400" s="1">
        <v>44679</v>
      </c>
      <c r="B2400" s="2" t="s">
        <v>345</v>
      </c>
      <c r="C2400" s="2" t="s">
        <v>9</v>
      </c>
      <c r="D2400" s="2" t="s">
        <v>10</v>
      </c>
      <c r="E2400" s="2" t="s">
        <v>15</v>
      </c>
      <c r="F2400" s="2">
        <v>23.83</v>
      </c>
      <c r="G2400" s="2">
        <v>3</v>
      </c>
      <c r="H2400" s="2">
        <v>2.68</v>
      </c>
      <c r="I2400" t="str">
        <f t="shared" si="37"/>
        <v>Apr</v>
      </c>
      <c r="J2400">
        <f>YEAR(datas[[#This Row],[Order Date]])</f>
        <v>2022</v>
      </c>
    </row>
    <row r="2401" spans="1:10" ht="14.25" customHeight="1" x14ac:dyDescent="0.3">
      <c r="A2401" s="1">
        <v>44679</v>
      </c>
      <c r="B2401" s="2" t="s">
        <v>345</v>
      </c>
      <c r="C2401" s="2" t="s">
        <v>9</v>
      </c>
      <c r="D2401" s="2" t="s">
        <v>10</v>
      </c>
      <c r="E2401" s="2" t="s">
        <v>16</v>
      </c>
      <c r="F2401" s="2">
        <v>12.18</v>
      </c>
      <c r="G2401" s="2">
        <v>4</v>
      </c>
      <c r="H2401" s="2">
        <v>-18.87</v>
      </c>
      <c r="I2401" t="str">
        <f t="shared" si="37"/>
        <v>Apr</v>
      </c>
      <c r="J2401">
        <f>YEAR(datas[[#This Row],[Order Date]])</f>
        <v>2022</v>
      </c>
    </row>
    <row r="2402" spans="1:10" ht="14.25" customHeight="1" x14ac:dyDescent="0.3">
      <c r="A2402" s="1">
        <v>44679</v>
      </c>
      <c r="B2402" s="2" t="s">
        <v>69</v>
      </c>
      <c r="C2402" s="2" t="s">
        <v>60</v>
      </c>
      <c r="D2402" s="2" t="s">
        <v>10</v>
      </c>
      <c r="E2402" s="2" t="s">
        <v>53</v>
      </c>
      <c r="F2402" s="2">
        <v>186.73</v>
      </c>
      <c r="G2402" s="2">
        <v>1</v>
      </c>
      <c r="H2402" s="2">
        <v>41.5</v>
      </c>
      <c r="I2402" t="str">
        <f t="shared" si="37"/>
        <v>Apr</v>
      </c>
      <c r="J2402">
        <f>YEAR(datas[[#This Row],[Order Date]])</f>
        <v>2022</v>
      </c>
    </row>
    <row r="2403" spans="1:10" ht="14.25" customHeight="1" x14ac:dyDescent="0.3">
      <c r="A2403" s="1">
        <v>44679</v>
      </c>
      <c r="B2403" s="2" t="s">
        <v>69</v>
      </c>
      <c r="C2403" s="2" t="s">
        <v>60</v>
      </c>
      <c r="D2403" s="2" t="s">
        <v>10</v>
      </c>
      <c r="E2403" s="2" t="s">
        <v>16</v>
      </c>
      <c r="F2403" s="2">
        <v>3812.97</v>
      </c>
      <c r="G2403" s="2">
        <v>3</v>
      </c>
      <c r="H2403" s="2">
        <v>1906.49</v>
      </c>
      <c r="I2403" t="str">
        <f t="shared" si="37"/>
        <v>Apr</v>
      </c>
      <c r="J2403">
        <f>YEAR(datas[[#This Row],[Order Date]])</f>
        <v>2022</v>
      </c>
    </row>
    <row r="2404" spans="1:10" ht="14.25" customHeight="1" x14ac:dyDescent="0.3">
      <c r="A2404" s="1">
        <v>44680</v>
      </c>
      <c r="B2404" s="2" t="s">
        <v>483</v>
      </c>
      <c r="C2404" s="2" t="s">
        <v>18</v>
      </c>
      <c r="D2404" s="2" t="s">
        <v>10</v>
      </c>
      <c r="E2404" s="2" t="s">
        <v>11</v>
      </c>
      <c r="F2404" s="2">
        <v>7.97</v>
      </c>
      <c r="G2404" s="2">
        <v>2</v>
      </c>
      <c r="H2404" s="2">
        <v>2.89</v>
      </c>
      <c r="I2404" t="str">
        <f t="shared" si="37"/>
        <v>Apr</v>
      </c>
      <c r="J2404">
        <f>YEAR(datas[[#This Row],[Order Date]])</f>
        <v>2022</v>
      </c>
    </row>
    <row r="2405" spans="1:10" ht="14.25" customHeight="1" x14ac:dyDescent="0.3">
      <c r="A2405" s="1">
        <v>44681</v>
      </c>
      <c r="B2405" s="2" t="s">
        <v>216</v>
      </c>
      <c r="C2405" s="2" t="s">
        <v>13</v>
      </c>
      <c r="D2405" s="2" t="s">
        <v>26</v>
      </c>
      <c r="E2405" s="2" t="s">
        <v>27</v>
      </c>
      <c r="F2405" s="2">
        <v>213.12</v>
      </c>
      <c r="G2405" s="2">
        <v>5</v>
      </c>
      <c r="H2405" s="2">
        <v>-15.22</v>
      </c>
      <c r="I2405" t="str">
        <f t="shared" si="37"/>
        <v>Apr</v>
      </c>
      <c r="J2405">
        <f>YEAR(datas[[#This Row],[Order Date]])</f>
        <v>2022</v>
      </c>
    </row>
    <row r="2406" spans="1:10" ht="14.25" customHeight="1" x14ac:dyDescent="0.3">
      <c r="A2406" s="1">
        <v>44681</v>
      </c>
      <c r="B2406" s="2" t="s">
        <v>221</v>
      </c>
      <c r="C2406" s="2" t="s">
        <v>47</v>
      </c>
      <c r="D2406" s="2" t="s">
        <v>28</v>
      </c>
      <c r="E2406" s="2" t="s">
        <v>29</v>
      </c>
      <c r="F2406" s="2">
        <v>1022.97</v>
      </c>
      <c r="G2406" s="2">
        <v>5</v>
      </c>
      <c r="H2406" s="2">
        <v>-255.74</v>
      </c>
      <c r="I2406" t="str">
        <f t="shared" si="37"/>
        <v>Apr</v>
      </c>
      <c r="J2406">
        <f>YEAR(datas[[#This Row],[Order Date]])</f>
        <v>2022</v>
      </c>
    </row>
    <row r="2407" spans="1:10" ht="14.25" customHeight="1" x14ac:dyDescent="0.3">
      <c r="A2407" s="1">
        <v>44681</v>
      </c>
      <c r="B2407" s="2" t="s">
        <v>187</v>
      </c>
      <c r="C2407" s="2" t="s">
        <v>21</v>
      </c>
      <c r="D2407" s="2" t="s">
        <v>10</v>
      </c>
      <c r="E2407" s="2" t="s">
        <v>19</v>
      </c>
      <c r="F2407" s="2">
        <v>34.65</v>
      </c>
      <c r="G2407" s="2">
        <v>3</v>
      </c>
      <c r="H2407" s="2">
        <v>9.6999999999999993</v>
      </c>
      <c r="I2407" t="str">
        <f t="shared" si="37"/>
        <v>Apr</v>
      </c>
      <c r="J2407">
        <f>YEAR(datas[[#This Row],[Order Date]])</f>
        <v>2022</v>
      </c>
    </row>
    <row r="2408" spans="1:10" ht="14.25" customHeight="1" x14ac:dyDescent="0.3">
      <c r="A2408" s="1">
        <v>44681</v>
      </c>
      <c r="B2408" s="2" t="s">
        <v>187</v>
      </c>
      <c r="C2408" s="2" t="s">
        <v>21</v>
      </c>
      <c r="D2408" s="2" t="s">
        <v>28</v>
      </c>
      <c r="E2408" s="2" t="s">
        <v>29</v>
      </c>
      <c r="F2408" s="2">
        <v>19.8</v>
      </c>
      <c r="G2408" s="2">
        <v>5</v>
      </c>
      <c r="H2408" s="2">
        <v>1.73</v>
      </c>
      <c r="I2408" t="str">
        <f t="shared" si="37"/>
        <v>Apr</v>
      </c>
      <c r="J2408">
        <f>YEAR(datas[[#This Row],[Order Date]])</f>
        <v>2022</v>
      </c>
    </row>
    <row r="2409" spans="1:10" ht="14.25" customHeight="1" x14ac:dyDescent="0.3">
      <c r="A2409" s="1">
        <v>44681</v>
      </c>
      <c r="B2409" s="2" t="s">
        <v>711</v>
      </c>
      <c r="C2409" s="2" t="s">
        <v>181</v>
      </c>
      <c r="D2409" s="2" t="s">
        <v>26</v>
      </c>
      <c r="E2409" s="2" t="s">
        <v>32</v>
      </c>
      <c r="F2409" s="2">
        <v>31.4</v>
      </c>
      <c r="G2409" s="2">
        <v>5</v>
      </c>
      <c r="H2409" s="2">
        <v>13.19</v>
      </c>
      <c r="I2409" t="str">
        <f t="shared" si="37"/>
        <v>Apr</v>
      </c>
      <c r="J2409">
        <f>YEAR(datas[[#This Row],[Order Date]])</f>
        <v>2022</v>
      </c>
    </row>
    <row r="2410" spans="1:10" ht="14.25" customHeight="1" x14ac:dyDescent="0.3">
      <c r="A2410" s="1">
        <v>44681</v>
      </c>
      <c r="B2410" s="2" t="s">
        <v>711</v>
      </c>
      <c r="C2410" s="2" t="s">
        <v>181</v>
      </c>
      <c r="D2410" s="2" t="s">
        <v>26</v>
      </c>
      <c r="E2410" s="2" t="s">
        <v>32</v>
      </c>
      <c r="F2410" s="2">
        <v>9.48</v>
      </c>
      <c r="G2410" s="2">
        <v>1</v>
      </c>
      <c r="H2410" s="2">
        <v>3.79</v>
      </c>
      <c r="I2410" t="str">
        <f t="shared" si="37"/>
        <v>Apr</v>
      </c>
      <c r="J2410">
        <f>YEAR(datas[[#This Row],[Order Date]])</f>
        <v>2022</v>
      </c>
    </row>
    <row r="2411" spans="1:10" ht="14.25" customHeight="1" x14ac:dyDescent="0.3">
      <c r="A2411" s="1">
        <v>44681</v>
      </c>
      <c r="B2411" s="2" t="s">
        <v>711</v>
      </c>
      <c r="C2411" s="2" t="s">
        <v>181</v>
      </c>
      <c r="D2411" s="2" t="s">
        <v>28</v>
      </c>
      <c r="E2411" s="2" t="s">
        <v>29</v>
      </c>
      <c r="F2411" s="2">
        <v>209.5</v>
      </c>
      <c r="G2411" s="2">
        <v>10</v>
      </c>
      <c r="H2411" s="2">
        <v>58.66</v>
      </c>
      <c r="I2411" t="str">
        <f t="shared" si="37"/>
        <v>Apr</v>
      </c>
      <c r="J2411">
        <f>YEAR(datas[[#This Row],[Order Date]])</f>
        <v>2022</v>
      </c>
    </row>
    <row r="2412" spans="1:10" ht="14.25" customHeight="1" x14ac:dyDescent="0.3">
      <c r="A2412" s="1">
        <v>44681</v>
      </c>
      <c r="B2412" s="2" t="s">
        <v>711</v>
      </c>
      <c r="C2412" s="2" t="s">
        <v>181</v>
      </c>
      <c r="D2412" s="2" t="s">
        <v>26</v>
      </c>
      <c r="E2412" s="2" t="s">
        <v>32</v>
      </c>
      <c r="F2412" s="2">
        <v>24.3</v>
      </c>
      <c r="G2412" s="2">
        <v>5</v>
      </c>
      <c r="H2412" s="2">
        <v>10.45</v>
      </c>
      <c r="I2412" t="str">
        <f t="shared" si="37"/>
        <v>Apr</v>
      </c>
      <c r="J2412">
        <f>YEAR(datas[[#This Row],[Order Date]])</f>
        <v>2022</v>
      </c>
    </row>
    <row r="2413" spans="1:10" ht="14.25" customHeight="1" x14ac:dyDescent="0.3">
      <c r="A2413" s="1">
        <v>44681</v>
      </c>
      <c r="B2413" s="2" t="s">
        <v>711</v>
      </c>
      <c r="C2413" s="2" t="s">
        <v>181</v>
      </c>
      <c r="D2413" s="2" t="s">
        <v>10</v>
      </c>
      <c r="E2413" s="2" t="s">
        <v>11</v>
      </c>
      <c r="F2413" s="2">
        <v>6.48</v>
      </c>
      <c r="G2413" s="2">
        <v>1</v>
      </c>
      <c r="H2413" s="2">
        <v>3.11</v>
      </c>
      <c r="I2413" t="str">
        <f t="shared" si="37"/>
        <v>Apr</v>
      </c>
      <c r="J2413">
        <f>YEAR(datas[[#This Row],[Order Date]])</f>
        <v>2022</v>
      </c>
    </row>
    <row r="2414" spans="1:10" ht="14.25" customHeight="1" x14ac:dyDescent="0.3">
      <c r="A2414" s="1">
        <v>44682</v>
      </c>
      <c r="B2414" s="2" t="s">
        <v>474</v>
      </c>
      <c r="C2414" s="2" t="s">
        <v>21</v>
      </c>
      <c r="D2414" s="2" t="s">
        <v>28</v>
      </c>
      <c r="E2414" s="2" t="s">
        <v>29</v>
      </c>
      <c r="F2414" s="2">
        <v>88.75</v>
      </c>
      <c r="G2414" s="2">
        <v>3</v>
      </c>
      <c r="H2414" s="2">
        <v>11.09</v>
      </c>
      <c r="I2414" t="str">
        <f t="shared" si="37"/>
        <v>May</v>
      </c>
      <c r="J2414">
        <f>YEAR(datas[[#This Row],[Order Date]])</f>
        <v>2022</v>
      </c>
    </row>
    <row r="2415" spans="1:10" ht="14.25" customHeight="1" x14ac:dyDescent="0.3">
      <c r="A2415" s="1">
        <v>44682</v>
      </c>
      <c r="B2415" s="2" t="s">
        <v>712</v>
      </c>
      <c r="C2415" s="2" t="s">
        <v>64</v>
      </c>
      <c r="D2415" s="2" t="s">
        <v>26</v>
      </c>
      <c r="E2415" s="2" t="s">
        <v>32</v>
      </c>
      <c r="F2415" s="2">
        <v>63.55</v>
      </c>
      <c r="G2415" s="2">
        <v>3</v>
      </c>
      <c r="H2415" s="2">
        <v>14.3</v>
      </c>
      <c r="I2415" t="str">
        <f t="shared" si="37"/>
        <v>May</v>
      </c>
      <c r="J2415">
        <f>YEAR(datas[[#This Row],[Order Date]])</f>
        <v>2022</v>
      </c>
    </row>
    <row r="2416" spans="1:10" ht="14.25" customHeight="1" x14ac:dyDescent="0.3">
      <c r="A2416" s="1">
        <v>44682</v>
      </c>
      <c r="B2416" s="2" t="s">
        <v>712</v>
      </c>
      <c r="C2416" s="2" t="s">
        <v>64</v>
      </c>
      <c r="D2416" s="2" t="s">
        <v>10</v>
      </c>
      <c r="E2416" s="2" t="s">
        <v>95</v>
      </c>
      <c r="F2416" s="2">
        <v>41.38</v>
      </c>
      <c r="G2416" s="2">
        <v>3</v>
      </c>
      <c r="H2416" s="2">
        <v>4.6500000000000004</v>
      </c>
      <c r="I2416" t="str">
        <f t="shared" si="37"/>
        <v>May</v>
      </c>
      <c r="J2416">
        <f>YEAR(datas[[#This Row],[Order Date]])</f>
        <v>2022</v>
      </c>
    </row>
    <row r="2417" spans="1:10" ht="14.25" customHeight="1" x14ac:dyDescent="0.3">
      <c r="A2417" s="1">
        <v>44682</v>
      </c>
      <c r="B2417" s="2" t="s">
        <v>712</v>
      </c>
      <c r="C2417" s="2" t="s">
        <v>64</v>
      </c>
      <c r="D2417" s="2" t="s">
        <v>10</v>
      </c>
      <c r="E2417" s="2" t="s">
        <v>19</v>
      </c>
      <c r="F2417" s="2">
        <v>172.7</v>
      </c>
      <c r="G2417" s="2">
        <v>6</v>
      </c>
      <c r="H2417" s="2">
        <v>10.79</v>
      </c>
      <c r="I2417" t="str">
        <f t="shared" si="37"/>
        <v>May</v>
      </c>
      <c r="J2417">
        <f>YEAR(datas[[#This Row],[Order Date]])</f>
        <v>2022</v>
      </c>
    </row>
    <row r="2418" spans="1:10" ht="14.25" customHeight="1" x14ac:dyDescent="0.3">
      <c r="A2418" s="1">
        <v>44682</v>
      </c>
      <c r="B2418" s="2" t="s">
        <v>559</v>
      </c>
      <c r="C2418" s="2" t="s">
        <v>21</v>
      </c>
      <c r="D2418" s="2" t="s">
        <v>10</v>
      </c>
      <c r="E2418" s="2" t="s">
        <v>16</v>
      </c>
      <c r="F2418" s="2">
        <v>12.18</v>
      </c>
      <c r="G2418" s="2">
        <v>1</v>
      </c>
      <c r="H2418" s="2">
        <v>4.41</v>
      </c>
      <c r="I2418" t="str">
        <f t="shared" si="37"/>
        <v>May</v>
      </c>
      <c r="J2418">
        <f>YEAR(datas[[#This Row],[Order Date]])</f>
        <v>2022</v>
      </c>
    </row>
    <row r="2419" spans="1:10" ht="14.25" customHeight="1" x14ac:dyDescent="0.3">
      <c r="A2419" s="1">
        <v>44682</v>
      </c>
      <c r="B2419" s="2" t="s">
        <v>559</v>
      </c>
      <c r="C2419" s="2" t="s">
        <v>21</v>
      </c>
      <c r="D2419" s="2" t="s">
        <v>10</v>
      </c>
      <c r="E2419" s="2" t="s">
        <v>15</v>
      </c>
      <c r="F2419" s="2">
        <v>37.32</v>
      </c>
      <c r="G2419" s="2">
        <v>3</v>
      </c>
      <c r="H2419" s="2">
        <v>10.45</v>
      </c>
      <c r="I2419" t="str">
        <f t="shared" si="37"/>
        <v>May</v>
      </c>
      <c r="J2419">
        <f>YEAR(datas[[#This Row],[Order Date]])</f>
        <v>2022</v>
      </c>
    </row>
    <row r="2420" spans="1:10" ht="14.25" customHeight="1" x14ac:dyDescent="0.3">
      <c r="A2420" s="1">
        <v>44682</v>
      </c>
      <c r="B2420" s="2" t="s">
        <v>559</v>
      </c>
      <c r="C2420" s="2" t="s">
        <v>21</v>
      </c>
      <c r="D2420" s="2" t="s">
        <v>10</v>
      </c>
      <c r="E2420" s="2" t="s">
        <v>95</v>
      </c>
      <c r="F2420" s="2">
        <v>35.06</v>
      </c>
      <c r="G2420" s="2">
        <v>2</v>
      </c>
      <c r="H2420" s="2">
        <v>10.52</v>
      </c>
      <c r="I2420" t="str">
        <f t="shared" si="37"/>
        <v>May</v>
      </c>
      <c r="J2420">
        <f>YEAR(datas[[#This Row],[Order Date]])</f>
        <v>2022</v>
      </c>
    </row>
    <row r="2421" spans="1:10" ht="14.25" customHeight="1" x14ac:dyDescent="0.3">
      <c r="A2421" s="1">
        <v>44683</v>
      </c>
      <c r="B2421" s="2" t="s">
        <v>550</v>
      </c>
      <c r="C2421" s="2" t="s">
        <v>9</v>
      </c>
      <c r="D2421" s="2" t="s">
        <v>10</v>
      </c>
      <c r="E2421" s="2" t="s">
        <v>14</v>
      </c>
      <c r="F2421" s="2">
        <v>8.86</v>
      </c>
      <c r="G2421" s="2">
        <v>3</v>
      </c>
      <c r="H2421" s="2">
        <v>2.99</v>
      </c>
      <c r="I2421" t="str">
        <f t="shared" si="37"/>
        <v>May</v>
      </c>
      <c r="J2421">
        <f>YEAR(datas[[#This Row],[Order Date]])</f>
        <v>2022</v>
      </c>
    </row>
    <row r="2422" spans="1:10" ht="14.25" customHeight="1" x14ac:dyDescent="0.3">
      <c r="A2422" s="1">
        <v>44683</v>
      </c>
      <c r="B2422" s="2" t="s">
        <v>550</v>
      </c>
      <c r="C2422" s="2" t="s">
        <v>9</v>
      </c>
      <c r="D2422" s="2" t="s">
        <v>28</v>
      </c>
      <c r="E2422" s="2" t="s">
        <v>29</v>
      </c>
      <c r="F2422" s="2">
        <v>158.38</v>
      </c>
      <c r="G2422" s="2">
        <v>3</v>
      </c>
      <c r="H2422" s="2">
        <v>13.86</v>
      </c>
      <c r="I2422" t="str">
        <f t="shared" si="37"/>
        <v>May</v>
      </c>
      <c r="J2422">
        <f>YEAR(datas[[#This Row],[Order Date]])</f>
        <v>2022</v>
      </c>
    </row>
    <row r="2423" spans="1:10" ht="14.25" customHeight="1" x14ac:dyDescent="0.3">
      <c r="A2423" s="1">
        <v>44684</v>
      </c>
      <c r="B2423" s="2" t="s">
        <v>713</v>
      </c>
      <c r="C2423" s="2" t="s">
        <v>21</v>
      </c>
      <c r="D2423" s="2" t="s">
        <v>26</v>
      </c>
      <c r="E2423" s="2" t="s">
        <v>32</v>
      </c>
      <c r="F2423" s="2">
        <v>665.88</v>
      </c>
      <c r="G2423" s="2">
        <v>6</v>
      </c>
      <c r="H2423" s="2">
        <v>106.54</v>
      </c>
      <c r="I2423" t="str">
        <f t="shared" si="37"/>
        <v>May</v>
      </c>
      <c r="J2423">
        <f>YEAR(datas[[#This Row],[Order Date]])</f>
        <v>2022</v>
      </c>
    </row>
    <row r="2424" spans="1:10" ht="14.25" customHeight="1" x14ac:dyDescent="0.3">
      <c r="A2424" s="1">
        <v>44684</v>
      </c>
      <c r="B2424" s="2" t="s">
        <v>212</v>
      </c>
      <c r="C2424" s="2" t="s">
        <v>18</v>
      </c>
      <c r="D2424" s="2" t="s">
        <v>10</v>
      </c>
      <c r="E2424" s="2" t="s">
        <v>19</v>
      </c>
      <c r="F2424" s="2">
        <v>59.9</v>
      </c>
      <c r="G2424" s="2">
        <v>2</v>
      </c>
      <c r="H2424" s="2">
        <v>14.23</v>
      </c>
      <c r="I2424" t="str">
        <f t="shared" si="37"/>
        <v>May</v>
      </c>
      <c r="J2424">
        <f>YEAR(datas[[#This Row],[Order Date]])</f>
        <v>2022</v>
      </c>
    </row>
    <row r="2425" spans="1:10" ht="14.25" customHeight="1" x14ac:dyDescent="0.3">
      <c r="A2425" s="1">
        <v>44684</v>
      </c>
      <c r="B2425" s="2" t="s">
        <v>212</v>
      </c>
      <c r="C2425" s="2" t="s">
        <v>18</v>
      </c>
      <c r="D2425" s="2" t="s">
        <v>10</v>
      </c>
      <c r="E2425" s="2" t="s">
        <v>53</v>
      </c>
      <c r="F2425" s="2">
        <v>23.7</v>
      </c>
      <c r="G2425" s="2">
        <v>2</v>
      </c>
      <c r="H2425" s="2">
        <v>6.52</v>
      </c>
      <c r="I2425" t="str">
        <f t="shared" si="37"/>
        <v>May</v>
      </c>
      <c r="J2425">
        <f>YEAR(datas[[#This Row],[Order Date]])</f>
        <v>2022</v>
      </c>
    </row>
    <row r="2426" spans="1:10" ht="14.25" customHeight="1" x14ac:dyDescent="0.3">
      <c r="A2426" s="1">
        <v>44684</v>
      </c>
      <c r="B2426" s="2" t="s">
        <v>212</v>
      </c>
      <c r="C2426" s="2" t="s">
        <v>18</v>
      </c>
      <c r="D2426" s="2" t="s">
        <v>10</v>
      </c>
      <c r="E2426" s="2" t="s">
        <v>11</v>
      </c>
      <c r="F2426" s="2">
        <v>7.97</v>
      </c>
      <c r="G2426" s="2">
        <v>2</v>
      </c>
      <c r="H2426" s="2">
        <v>2.89</v>
      </c>
      <c r="I2426" t="str">
        <f t="shared" si="37"/>
        <v>May</v>
      </c>
      <c r="J2426">
        <f>YEAR(datas[[#This Row],[Order Date]])</f>
        <v>2022</v>
      </c>
    </row>
    <row r="2427" spans="1:10" ht="14.25" customHeight="1" x14ac:dyDescent="0.3">
      <c r="A2427" s="1">
        <v>44684</v>
      </c>
      <c r="B2427" s="2" t="s">
        <v>212</v>
      </c>
      <c r="C2427" s="2" t="s">
        <v>18</v>
      </c>
      <c r="D2427" s="2" t="s">
        <v>10</v>
      </c>
      <c r="E2427" s="2" t="s">
        <v>53</v>
      </c>
      <c r="F2427" s="2">
        <v>18.2</v>
      </c>
      <c r="G2427" s="2">
        <v>7</v>
      </c>
      <c r="H2427" s="2">
        <v>2.0499999999999998</v>
      </c>
      <c r="I2427" t="str">
        <f t="shared" si="37"/>
        <v>May</v>
      </c>
      <c r="J2427">
        <f>YEAR(datas[[#This Row],[Order Date]])</f>
        <v>2022</v>
      </c>
    </row>
    <row r="2428" spans="1:10" ht="14.25" customHeight="1" x14ac:dyDescent="0.3">
      <c r="A2428" s="1">
        <v>44684</v>
      </c>
      <c r="B2428" s="2" t="s">
        <v>212</v>
      </c>
      <c r="C2428" s="2" t="s">
        <v>18</v>
      </c>
      <c r="D2428" s="2" t="s">
        <v>28</v>
      </c>
      <c r="E2428" s="2" t="s">
        <v>34</v>
      </c>
      <c r="F2428" s="2">
        <v>27.55</v>
      </c>
      <c r="G2428" s="2">
        <v>3</v>
      </c>
      <c r="H2428" s="2">
        <v>-0.34</v>
      </c>
      <c r="I2428" t="str">
        <f t="shared" si="37"/>
        <v>May</v>
      </c>
      <c r="J2428">
        <f>YEAR(datas[[#This Row],[Order Date]])</f>
        <v>2022</v>
      </c>
    </row>
    <row r="2429" spans="1:10" ht="14.25" customHeight="1" x14ac:dyDescent="0.3">
      <c r="A2429" s="1">
        <v>44684</v>
      </c>
      <c r="B2429" s="2" t="s">
        <v>212</v>
      </c>
      <c r="C2429" s="2" t="s">
        <v>18</v>
      </c>
      <c r="D2429" s="2" t="s">
        <v>26</v>
      </c>
      <c r="E2429" s="2" t="s">
        <v>27</v>
      </c>
      <c r="F2429" s="2">
        <v>844.12</v>
      </c>
      <c r="G2429" s="2">
        <v>6</v>
      </c>
      <c r="H2429" s="2">
        <v>-36.18</v>
      </c>
      <c r="I2429" t="str">
        <f t="shared" si="37"/>
        <v>May</v>
      </c>
      <c r="J2429">
        <f>YEAR(datas[[#This Row],[Order Date]])</f>
        <v>2022</v>
      </c>
    </row>
    <row r="2430" spans="1:10" ht="14.25" customHeight="1" x14ac:dyDescent="0.3">
      <c r="A2430" s="1">
        <v>44684</v>
      </c>
      <c r="B2430" s="2" t="s">
        <v>212</v>
      </c>
      <c r="C2430" s="2" t="s">
        <v>18</v>
      </c>
      <c r="D2430" s="2" t="s">
        <v>10</v>
      </c>
      <c r="E2430" s="2" t="s">
        <v>15</v>
      </c>
      <c r="F2430" s="2">
        <v>76.75</v>
      </c>
      <c r="G2430" s="2">
        <v>3</v>
      </c>
      <c r="H2430" s="2">
        <v>-9.59</v>
      </c>
      <c r="I2430" t="str">
        <f t="shared" si="37"/>
        <v>May</v>
      </c>
      <c r="J2430">
        <f>YEAR(datas[[#This Row],[Order Date]])</f>
        <v>2022</v>
      </c>
    </row>
    <row r="2431" spans="1:10" ht="14.25" customHeight="1" x14ac:dyDescent="0.3">
      <c r="A2431" s="1">
        <v>44684</v>
      </c>
      <c r="B2431" s="2" t="s">
        <v>714</v>
      </c>
      <c r="C2431" s="2" t="s">
        <v>21</v>
      </c>
      <c r="D2431" s="2" t="s">
        <v>10</v>
      </c>
      <c r="E2431" s="2" t="s">
        <v>19</v>
      </c>
      <c r="F2431" s="2">
        <v>8.82</v>
      </c>
      <c r="G2431" s="2">
        <v>3</v>
      </c>
      <c r="H2431" s="2">
        <v>2.56</v>
      </c>
      <c r="I2431" t="str">
        <f t="shared" si="37"/>
        <v>May</v>
      </c>
      <c r="J2431">
        <f>YEAR(datas[[#This Row],[Order Date]])</f>
        <v>2022</v>
      </c>
    </row>
    <row r="2432" spans="1:10" ht="14.25" customHeight="1" x14ac:dyDescent="0.3">
      <c r="A2432" s="1">
        <v>44684</v>
      </c>
      <c r="B2432" s="2" t="s">
        <v>714</v>
      </c>
      <c r="C2432" s="2" t="s">
        <v>21</v>
      </c>
      <c r="D2432" s="2" t="s">
        <v>10</v>
      </c>
      <c r="E2432" s="2" t="s">
        <v>16</v>
      </c>
      <c r="F2432" s="2">
        <v>62.5</v>
      </c>
      <c r="G2432" s="2">
        <v>2</v>
      </c>
      <c r="H2432" s="2">
        <v>21.87</v>
      </c>
      <c r="I2432" t="str">
        <f t="shared" si="37"/>
        <v>May</v>
      </c>
      <c r="J2432">
        <f>YEAR(datas[[#This Row],[Order Date]])</f>
        <v>2022</v>
      </c>
    </row>
    <row r="2433" spans="1:10" ht="14.25" customHeight="1" x14ac:dyDescent="0.3">
      <c r="A2433" s="1">
        <v>44684</v>
      </c>
      <c r="B2433" s="2" t="s">
        <v>714</v>
      </c>
      <c r="C2433" s="2" t="s">
        <v>21</v>
      </c>
      <c r="D2433" s="2" t="s">
        <v>28</v>
      </c>
      <c r="E2433" s="2" t="s">
        <v>34</v>
      </c>
      <c r="F2433" s="2">
        <v>339.96</v>
      </c>
      <c r="G2433" s="2">
        <v>4</v>
      </c>
      <c r="H2433" s="2">
        <v>122.39</v>
      </c>
      <c r="I2433" t="str">
        <f t="shared" si="37"/>
        <v>May</v>
      </c>
      <c r="J2433">
        <f>YEAR(datas[[#This Row],[Order Date]])</f>
        <v>2022</v>
      </c>
    </row>
    <row r="2434" spans="1:10" ht="14.25" customHeight="1" x14ac:dyDescent="0.3">
      <c r="A2434" s="1">
        <v>44684</v>
      </c>
      <c r="B2434" s="2" t="s">
        <v>714</v>
      </c>
      <c r="C2434" s="2" t="s">
        <v>21</v>
      </c>
      <c r="D2434" s="2" t="s">
        <v>10</v>
      </c>
      <c r="E2434" s="2" t="s">
        <v>16</v>
      </c>
      <c r="F2434" s="2">
        <v>49.57</v>
      </c>
      <c r="G2434" s="2">
        <v>2</v>
      </c>
      <c r="H2434" s="2">
        <v>17.350000000000001</v>
      </c>
      <c r="I2434" t="str">
        <f t="shared" si="37"/>
        <v>May</v>
      </c>
      <c r="J2434">
        <f>YEAR(datas[[#This Row],[Order Date]])</f>
        <v>2022</v>
      </c>
    </row>
    <row r="2435" spans="1:10" ht="14.25" customHeight="1" x14ac:dyDescent="0.3">
      <c r="A2435" s="1">
        <v>44684</v>
      </c>
      <c r="B2435" s="2" t="s">
        <v>219</v>
      </c>
      <c r="C2435" s="2" t="s">
        <v>21</v>
      </c>
      <c r="D2435" s="2" t="s">
        <v>10</v>
      </c>
      <c r="E2435" s="2" t="s">
        <v>16</v>
      </c>
      <c r="F2435" s="2">
        <v>13.85</v>
      </c>
      <c r="G2435" s="2">
        <v>3</v>
      </c>
      <c r="H2435" s="2">
        <v>5.19</v>
      </c>
      <c r="I2435" t="str">
        <f t="shared" ref="I2435:I2498" si="38">TEXT(A2435,"mmm")</f>
        <v>May</v>
      </c>
      <c r="J2435">
        <f>YEAR(datas[[#This Row],[Order Date]])</f>
        <v>2022</v>
      </c>
    </row>
    <row r="2436" spans="1:10" ht="14.25" customHeight="1" x14ac:dyDescent="0.3">
      <c r="A2436" s="1">
        <v>44685</v>
      </c>
      <c r="B2436" s="2" t="s">
        <v>535</v>
      </c>
      <c r="C2436" s="2" t="s">
        <v>75</v>
      </c>
      <c r="D2436" s="2" t="s">
        <v>26</v>
      </c>
      <c r="E2436" s="2" t="s">
        <v>32</v>
      </c>
      <c r="F2436" s="2">
        <v>26.8</v>
      </c>
      <c r="G2436" s="2">
        <v>2</v>
      </c>
      <c r="H2436" s="2">
        <v>12.86</v>
      </c>
      <c r="I2436" t="str">
        <f t="shared" si="38"/>
        <v>May</v>
      </c>
      <c r="J2436">
        <f>YEAR(datas[[#This Row],[Order Date]])</f>
        <v>2022</v>
      </c>
    </row>
    <row r="2437" spans="1:10" ht="14.25" customHeight="1" x14ac:dyDescent="0.3">
      <c r="A2437" s="1">
        <v>44685</v>
      </c>
      <c r="B2437" s="2" t="s">
        <v>238</v>
      </c>
      <c r="C2437" s="2" t="s">
        <v>13</v>
      </c>
      <c r="D2437" s="2" t="s">
        <v>26</v>
      </c>
      <c r="E2437" s="2" t="s">
        <v>32</v>
      </c>
      <c r="F2437" s="2">
        <v>22.29</v>
      </c>
      <c r="G2437" s="2">
        <v>7</v>
      </c>
      <c r="H2437" s="2">
        <v>-8.92</v>
      </c>
      <c r="I2437" t="str">
        <f t="shared" si="38"/>
        <v>May</v>
      </c>
      <c r="J2437">
        <f>YEAR(datas[[#This Row],[Order Date]])</f>
        <v>2022</v>
      </c>
    </row>
    <row r="2438" spans="1:10" ht="14.25" customHeight="1" x14ac:dyDescent="0.3">
      <c r="A2438" s="1">
        <v>44685</v>
      </c>
      <c r="B2438" s="2" t="s">
        <v>183</v>
      </c>
      <c r="C2438" s="2" t="s">
        <v>9</v>
      </c>
      <c r="D2438" s="2" t="s">
        <v>28</v>
      </c>
      <c r="E2438" s="2" t="s">
        <v>29</v>
      </c>
      <c r="F2438" s="2">
        <v>946.34</v>
      </c>
      <c r="G2438" s="2">
        <v>7</v>
      </c>
      <c r="H2438" s="2">
        <v>118.29</v>
      </c>
      <c r="I2438" t="str">
        <f t="shared" si="38"/>
        <v>May</v>
      </c>
      <c r="J2438">
        <f>YEAR(datas[[#This Row],[Order Date]])</f>
        <v>2022</v>
      </c>
    </row>
    <row r="2439" spans="1:10" ht="14.25" customHeight="1" x14ac:dyDescent="0.3">
      <c r="A2439" s="1">
        <v>44685</v>
      </c>
      <c r="B2439" s="2" t="s">
        <v>715</v>
      </c>
      <c r="C2439" s="2" t="s">
        <v>68</v>
      </c>
      <c r="D2439" s="2" t="s">
        <v>10</v>
      </c>
      <c r="E2439" s="2" t="s">
        <v>19</v>
      </c>
      <c r="F2439" s="2">
        <v>125.93</v>
      </c>
      <c r="G2439" s="2">
        <v>7</v>
      </c>
      <c r="H2439" s="2">
        <v>35.26</v>
      </c>
      <c r="I2439" t="str">
        <f t="shared" si="38"/>
        <v>May</v>
      </c>
      <c r="J2439">
        <f>YEAR(datas[[#This Row],[Order Date]])</f>
        <v>2022</v>
      </c>
    </row>
    <row r="2440" spans="1:10" ht="14.25" customHeight="1" x14ac:dyDescent="0.3">
      <c r="A2440" s="1">
        <v>44688</v>
      </c>
      <c r="B2440" s="2" t="s">
        <v>716</v>
      </c>
      <c r="C2440" s="2" t="s">
        <v>9</v>
      </c>
      <c r="D2440" s="2" t="s">
        <v>26</v>
      </c>
      <c r="E2440" s="2" t="s">
        <v>73</v>
      </c>
      <c r="F2440" s="2">
        <v>244.01</v>
      </c>
      <c r="G2440" s="2">
        <v>2</v>
      </c>
      <c r="H2440" s="2">
        <v>-31.37</v>
      </c>
      <c r="I2440" t="str">
        <f t="shared" si="38"/>
        <v>May</v>
      </c>
      <c r="J2440">
        <f>YEAR(datas[[#This Row],[Order Date]])</f>
        <v>2022</v>
      </c>
    </row>
    <row r="2441" spans="1:10" ht="14.25" customHeight="1" x14ac:dyDescent="0.3">
      <c r="A2441" s="1">
        <v>44688</v>
      </c>
      <c r="B2441" s="2" t="s">
        <v>716</v>
      </c>
      <c r="C2441" s="2" t="s">
        <v>9</v>
      </c>
      <c r="D2441" s="2" t="s">
        <v>10</v>
      </c>
      <c r="E2441" s="2" t="s">
        <v>11</v>
      </c>
      <c r="F2441" s="2">
        <v>15.94</v>
      </c>
      <c r="G2441" s="2">
        <v>4</v>
      </c>
      <c r="H2441" s="2">
        <v>5.38</v>
      </c>
      <c r="I2441" t="str">
        <f t="shared" si="38"/>
        <v>May</v>
      </c>
      <c r="J2441">
        <f>YEAR(datas[[#This Row],[Order Date]])</f>
        <v>2022</v>
      </c>
    </row>
    <row r="2442" spans="1:10" ht="14.25" customHeight="1" x14ac:dyDescent="0.3">
      <c r="A2442" s="1">
        <v>44688</v>
      </c>
      <c r="B2442" s="2" t="s">
        <v>463</v>
      </c>
      <c r="C2442" s="2" t="s">
        <v>25</v>
      </c>
      <c r="D2442" s="2" t="s">
        <v>10</v>
      </c>
      <c r="E2442" s="2" t="s">
        <v>11</v>
      </c>
      <c r="F2442" s="2">
        <v>45.68</v>
      </c>
      <c r="G2442" s="2">
        <v>2</v>
      </c>
      <c r="H2442" s="2">
        <v>21.01</v>
      </c>
      <c r="I2442" t="str">
        <f t="shared" si="38"/>
        <v>May</v>
      </c>
      <c r="J2442">
        <f>YEAR(datas[[#This Row],[Order Date]])</f>
        <v>2022</v>
      </c>
    </row>
    <row r="2443" spans="1:10" ht="14.25" customHeight="1" x14ac:dyDescent="0.3">
      <c r="A2443" s="1">
        <v>44689</v>
      </c>
      <c r="B2443" s="2" t="s">
        <v>667</v>
      </c>
      <c r="C2443" s="2" t="s">
        <v>47</v>
      </c>
      <c r="D2443" s="2" t="s">
        <v>26</v>
      </c>
      <c r="E2443" s="2" t="s">
        <v>32</v>
      </c>
      <c r="F2443" s="2">
        <v>8.35</v>
      </c>
      <c r="G2443" s="2">
        <v>6</v>
      </c>
      <c r="H2443" s="2">
        <v>1.25</v>
      </c>
      <c r="I2443" t="str">
        <f t="shared" si="38"/>
        <v>May</v>
      </c>
      <c r="J2443">
        <f>YEAR(datas[[#This Row],[Order Date]])</f>
        <v>2022</v>
      </c>
    </row>
    <row r="2444" spans="1:10" ht="14.25" customHeight="1" x14ac:dyDescent="0.3">
      <c r="A2444" s="1">
        <v>44689</v>
      </c>
      <c r="B2444" s="2" t="s">
        <v>222</v>
      </c>
      <c r="C2444" s="2" t="s">
        <v>52</v>
      </c>
      <c r="D2444" s="2" t="s">
        <v>10</v>
      </c>
      <c r="E2444" s="2" t="s">
        <v>19</v>
      </c>
      <c r="F2444" s="2">
        <v>5.25</v>
      </c>
      <c r="G2444" s="2">
        <v>2</v>
      </c>
      <c r="H2444" s="2">
        <v>0.59</v>
      </c>
      <c r="I2444" t="str">
        <f t="shared" si="38"/>
        <v>May</v>
      </c>
      <c r="J2444">
        <f>YEAR(datas[[#This Row],[Order Date]])</f>
        <v>2022</v>
      </c>
    </row>
    <row r="2445" spans="1:10" ht="14.25" customHeight="1" x14ac:dyDescent="0.3">
      <c r="A2445" s="1">
        <v>44689</v>
      </c>
      <c r="B2445" s="2" t="s">
        <v>462</v>
      </c>
      <c r="C2445" s="2" t="s">
        <v>140</v>
      </c>
      <c r="D2445" s="2" t="s">
        <v>10</v>
      </c>
      <c r="E2445" s="2" t="s">
        <v>16</v>
      </c>
      <c r="F2445" s="2">
        <v>43.98</v>
      </c>
      <c r="G2445" s="2">
        <v>2</v>
      </c>
      <c r="H2445" s="2">
        <v>21.99</v>
      </c>
      <c r="I2445" t="str">
        <f t="shared" si="38"/>
        <v>May</v>
      </c>
      <c r="J2445">
        <f>YEAR(datas[[#This Row],[Order Date]])</f>
        <v>2022</v>
      </c>
    </row>
    <row r="2446" spans="1:10" ht="14.25" customHeight="1" x14ac:dyDescent="0.3">
      <c r="A2446" s="1">
        <v>44689</v>
      </c>
      <c r="B2446" s="2" t="s">
        <v>462</v>
      </c>
      <c r="C2446" s="2" t="s">
        <v>140</v>
      </c>
      <c r="D2446" s="2" t="s">
        <v>28</v>
      </c>
      <c r="E2446" s="2" t="s">
        <v>29</v>
      </c>
      <c r="F2446" s="2">
        <v>377.97</v>
      </c>
      <c r="G2446" s="2">
        <v>3</v>
      </c>
      <c r="H2446" s="2">
        <v>105.83</v>
      </c>
      <c r="I2446" t="str">
        <f t="shared" si="38"/>
        <v>May</v>
      </c>
      <c r="J2446">
        <f>YEAR(datas[[#This Row],[Order Date]])</f>
        <v>2022</v>
      </c>
    </row>
    <row r="2447" spans="1:10" ht="14.25" customHeight="1" x14ac:dyDescent="0.3">
      <c r="A2447" s="1">
        <v>44689</v>
      </c>
      <c r="B2447" s="2" t="s">
        <v>462</v>
      </c>
      <c r="C2447" s="2" t="s">
        <v>140</v>
      </c>
      <c r="D2447" s="2" t="s">
        <v>26</v>
      </c>
      <c r="E2447" s="2" t="s">
        <v>32</v>
      </c>
      <c r="F2447" s="2">
        <v>123.96</v>
      </c>
      <c r="G2447" s="2">
        <v>3</v>
      </c>
      <c r="H2447" s="2">
        <v>11.16</v>
      </c>
      <c r="I2447" t="str">
        <f t="shared" si="38"/>
        <v>May</v>
      </c>
      <c r="J2447">
        <f>YEAR(datas[[#This Row],[Order Date]])</f>
        <v>2022</v>
      </c>
    </row>
    <row r="2448" spans="1:10" ht="14.25" customHeight="1" x14ac:dyDescent="0.3">
      <c r="A2448" s="1">
        <v>44689</v>
      </c>
      <c r="B2448" s="2" t="s">
        <v>383</v>
      </c>
      <c r="C2448" s="2" t="s">
        <v>75</v>
      </c>
      <c r="D2448" s="2" t="s">
        <v>10</v>
      </c>
      <c r="E2448" s="2" t="s">
        <v>11</v>
      </c>
      <c r="F2448" s="2">
        <v>37.94</v>
      </c>
      <c r="G2448" s="2">
        <v>2</v>
      </c>
      <c r="H2448" s="2">
        <v>18.21</v>
      </c>
      <c r="I2448" t="str">
        <f t="shared" si="38"/>
        <v>May</v>
      </c>
      <c r="J2448">
        <f>YEAR(datas[[#This Row],[Order Date]])</f>
        <v>2022</v>
      </c>
    </row>
    <row r="2449" spans="1:10" ht="14.25" customHeight="1" x14ac:dyDescent="0.3">
      <c r="A2449" s="1">
        <v>44689</v>
      </c>
      <c r="B2449" s="2" t="s">
        <v>330</v>
      </c>
      <c r="C2449" s="2" t="s">
        <v>75</v>
      </c>
      <c r="D2449" s="2" t="s">
        <v>26</v>
      </c>
      <c r="E2449" s="2" t="s">
        <v>32</v>
      </c>
      <c r="F2449" s="2">
        <v>79.44</v>
      </c>
      <c r="G2449" s="2">
        <v>3</v>
      </c>
      <c r="H2449" s="2">
        <v>30.19</v>
      </c>
      <c r="I2449" t="str">
        <f t="shared" si="38"/>
        <v>May</v>
      </c>
      <c r="J2449">
        <f>YEAR(datas[[#This Row],[Order Date]])</f>
        <v>2022</v>
      </c>
    </row>
    <row r="2450" spans="1:10" ht="14.25" customHeight="1" x14ac:dyDescent="0.3">
      <c r="A2450" s="1">
        <v>44689</v>
      </c>
      <c r="B2450" s="2" t="s">
        <v>330</v>
      </c>
      <c r="C2450" s="2" t="s">
        <v>75</v>
      </c>
      <c r="D2450" s="2" t="s">
        <v>10</v>
      </c>
      <c r="E2450" s="2" t="s">
        <v>95</v>
      </c>
      <c r="F2450" s="2">
        <v>357.93</v>
      </c>
      <c r="G2450" s="2">
        <v>3</v>
      </c>
      <c r="H2450" s="2">
        <v>7.16</v>
      </c>
      <c r="I2450" t="str">
        <f t="shared" si="38"/>
        <v>May</v>
      </c>
      <c r="J2450">
        <f>YEAR(datas[[#This Row],[Order Date]])</f>
        <v>2022</v>
      </c>
    </row>
    <row r="2451" spans="1:10" ht="14.25" customHeight="1" x14ac:dyDescent="0.3">
      <c r="A2451" s="1">
        <v>44689</v>
      </c>
      <c r="B2451" s="2" t="s">
        <v>330</v>
      </c>
      <c r="C2451" s="2" t="s">
        <v>75</v>
      </c>
      <c r="D2451" s="2" t="s">
        <v>26</v>
      </c>
      <c r="E2451" s="2" t="s">
        <v>27</v>
      </c>
      <c r="F2451" s="2">
        <v>127.76</v>
      </c>
      <c r="G2451" s="2">
        <v>2</v>
      </c>
      <c r="H2451" s="2">
        <v>21.29</v>
      </c>
      <c r="I2451" t="str">
        <f t="shared" si="38"/>
        <v>May</v>
      </c>
      <c r="J2451">
        <f>YEAR(datas[[#This Row],[Order Date]])</f>
        <v>2022</v>
      </c>
    </row>
    <row r="2452" spans="1:10" ht="14.25" customHeight="1" x14ac:dyDescent="0.3">
      <c r="A2452" s="1">
        <v>44689</v>
      </c>
      <c r="B2452" s="2" t="s">
        <v>330</v>
      </c>
      <c r="C2452" s="2" t="s">
        <v>75</v>
      </c>
      <c r="D2452" s="2" t="s">
        <v>28</v>
      </c>
      <c r="E2452" s="2" t="s">
        <v>243</v>
      </c>
      <c r="F2452" s="2">
        <v>2799.94</v>
      </c>
      <c r="G2452" s="2">
        <v>7</v>
      </c>
      <c r="H2452" s="2">
        <v>1014.98</v>
      </c>
      <c r="I2452" t="str">
        <f t="shared" si="38"/>
        <v>May</v>
      </c>
      <c r="J2452">
        <f>YEAR(datas[[#This Row],[Order Date]])</f>
        <v>2022</v>
      </c>
    </row>
    <row r="2453" spans="1:10" ht="14.25" customHeight="1" x14ac:dyDescent="0.3">
      <c r="A2453" s="1">
        <v>44689</v>
      </c>
      <c r="B2453" s="2" t="s">
        <v>330</v>
      </c>
      <c r="C2453" s="2" t="s">
        <v>75</v>
      </c>
      <c r="D2453" s="2" t="s">
        <v>10</v>
      </c>
      <c r="E2453" s="2" t="s">
        <v>11</v>
      </c>
      <c r="F2453" s="2">
        <v>19.440000000000001</v>
      </c>
      <c r="G2453" s="2">
        <v>3</v>
      </c>
      <c r="H2453" s="2">
        <v>9.33</v>
      </c>
      <c r="I2453" t="str">
        <f t="shared" si="38"/>
        <v>May</v>
      </c>
      <c r="J2453">
        <f>YEAR(datas[[#This Row],[Order Date]])</f>
        <v>2022</v>
      </c>
    </row>
    <row r="2454" spans="1:10" ht="14.25" customHeight="1" x14ac:dyDescent="0.3">
      <c r="A2454" s="1">
        <v>44690</v>
      </c>
      <c r="B2454" s="2" t="s">
        <v>365</v>
      </c>
      <c r="C2454" s="2" t="s">
        <v>25</v>
      </c>
      <c r="D2454" s="2" t="s">
        <v>10</v>
      </c>
      <c r="E2454" s="2" t="s">
        <v>16</v>
      </c>
      <c r="F2454" s="2">
        <v>48.81</v>
      </c>
      <c r="G2454" s="2">
        <v>3</v>
      </c>
      <c r="H2454" s="2">
        <v>23.92</v>
      </c>
      <c r="I2454" t="str">
        <f t="shared" si="38"/>
        <v>May</v>
      </c>
      <c r="J2454">
        <f>YEAR(datas[[#This Row],[Order Date]])</f>
        <v>2022</v>
      </c>
    </row>
    <row r="2455" spans="1:10" ht="14.25" customHeight="1" x14ac:dyDescent="0.3">
      <c r="A2455" s="1">
        <v>44691</v>
      </c>
      <c r="B2455" s="2" t="s">
        <v>353</v>
      </c>
      <c r="C2455" s="2" t="s">
        <v>13</v>
      </c>
      <c r="D2455" s="2" t="s">
        <v>10</v>
      </c>
      <c r="E2455" s="2" t="s">
        <v>53</v>
      </c>
      <c r="F2455" s="2">
        <v>70.97</v>
      </c>
      <c r="G2455" s="2">
        <v>5</v>
      </c>
      <c r="H2455" s="2">
        <v>-191.62</v>
      </c>
      <c r="I2455" t="str">
        <f t="shared" si="38"/>
        <v>May</v>
      </c>
      <c r="J2455">
        <f>YEAR(datas[[#This Row],[Order Date]])</f>
        <v>2022</v>
      </c>
    </row>
    <row r="2456" spans="1:10" ht="14.25" customHeight="1" x14ac:dyDescent="0.3">
      <c r="A2456" s="1">
        <v>44691</v>
      </c>
      <c r="B2456" s="2" t="s">
        <v>353</v>
      </c>
      <c r="C2456" s="2" t="s">
        <v>13</v>
      </c>
      <c r="D2456" s="2" t="s">
        <v>10</v>
      </c>
      <c r="E2456" s="2" t="s">
        <v>19</v>
      </c>
      <c r="F2456" s="2">
        <v>36.78</v>
      </c>
      <c r="G2456" s="2">
        <v>2</v>
      </c>
      <c r="H2456" s="2">
        <v>3.68</v>
      </c>
      <c r="I2456" t="str">
        <f t="shared" si="38"/>
        <v>May</v>
      </c>
      <c r="J2456">
        <f>YEAR(datas[[#This Row],[Order Date]])</f>
        <v>2022</v>
      </c>
    </row>
    <row r="2457" spans="1:10" ht="14.25" customHeight="1" x14ac:dyDescent="0.3">
      <c r="A2457" s="1">
        <v>44691</v>
      </c>
      <c r="B2457" s="2" t="s">
        <v>585</v>
      </c>
      <c r="C2457" s="2" t="s">
        <v>126</v>
      </c>
      <c r="D2457" s="2" t="s">
        <v>28</v>
      </c>
      <c r="E2457" s="2" t="s">
        <v>34</v>
      </c>
      <c r="F2457" s="2">
        <v>46.69</v>
      </c>
      <c r="G2457" s="2">
        <v>4</v>
      </c>
      <c r="H2457" s="2">
        <v>-2.92</v>
      </c>
      <c r="I2457" t="str">
        <f t="shared" si="38"/>
        <v>May</v>
      </c>
      <c r="J2457">
        <f>YEAR(datas[[#This Row],[Order Date]])</f>
        <v>2022</v>
      </c>
    </row>
    <row r="2458" spans="1:10" ht="14.25" customHeight="1" x14ac:dyDescent="0.3">
      <c r="A2458" s="1">
        <v>44692</v>
      </c>
      <c r="B2458" s="2" t="s">
        <v>216</v>
      </c>
      <c r="C2458" s="2" t="s">
        <v>55</v>
      </c>
      <c r="D2458" s="2" t="s">
        <v>26</v>
      </c>
      <c r="E2458" s="2" t="s">
        <v>27</v>
      </c>
      <c r="F2458" s="2">
        <v>191.97</v>
      </c>
      <c r="G2458" s="2">
        <v>7</v>
      </c>
      <c r="H2458" s="2">
        <v>16.8</v>
      </c>
      <c r="I2458" t="str">
        <f t="shared" si="38"/>
        <v>May</v>
      </c>
      <c r="J2458">
        <f>YEAR(datas[[#This Row],[Order Date]])</f>
        <v>2022</v>
      </c>
    </row>
    <row r="2459" spans="1:10" ht="14.25" customHeight="1" x14ac:dyDescent="0.3">
      <c r="A2459" s="1">
        <v>44693</v>
      </c>
      <c r="B2459" s="2" t="s">
        <v>163</v>
      </c>
      <c r="C2459" s="2" t="s">
        <v>21</v>
      </c>
      <c r="D2459" s="2" t="s">
        <v>10</v>
      </c>
      <c r="E2459" s="2" t="s">
        <v>11</v>
      </c>
      <c r="F2459" s="2">
        <v>12.84</v>
      </c>
      <c r="G2459" s="2">
        <v>3</v>
      </c>
      <c r="H2459" s="2">
        <v>5.78</v>
      </c>
      <c r="I2459" t="str">
        <f t="shared" si="38"/>
        <v>May</v>
      </c>
      <c r="J2459">
        <f>YEAR(datas[[#This Row],[Order Date]])</f>
        <v>2022</v>
      </c>
    </row>
    <row r="2460" spans="1:10" ht="14.25" customHeight="1" x14ac:dyDescent="0.3">
      <c r="A2460" s="1">
        <v>44693</v>
      </c>
      <c r="B2460" s="2" t="s">
        <v>163</v>
      </c>
      <c r="C2460" s="2" t="s">
        <v>21</v>
      </c>
      <c r="D2460" s="2" t="s">
        <v>10</v>
      </c>
      <c r="E2460" s="2" t="s">
        <v>11</v>
      </c>
      <c r="F2460" s="2">
        <v>25.68</v>
      </c>
      <c r="G2460" s="2">
        <v>6</v>
      </c>
      <c r="H2460" s="2">
        <v>11.56</v>
      </c>
      <c r="I2460" t="str">
        <f t="shared" si="38"/>
        <v>May</v>
      </c>
      <c r="J2460">
        <f>YEAR(datas[[#This Row],[Order Date]])</f>
        <v>2022</v>
      </c>
    </row>
    <row r="2461" spans="1:10" ht="14.25" customHeight="1" x14ac:dyDescent="0.3">
      <c r="A2461" s="1">
        <v>44693</v>
      </c>
      <c r="B2461" s="2" t="s">
        <v>444</v>
      </c>
      <c r="C2461" s="2" t="s">
        <v>126</v>
      </c>
      <c r="D2461" s="2" t="s">
        <v>28</v>
      </c>
      <c r="E2461" s="2" t="s">
        <v>29</v>
      </c>
      <c r="F2461" s="2">
        <v>201.58</v>
      </c>
      <c r="G2461" s="2">
        <v>2</v>
      </c>
      <c r="H2461" s="2">
        <v>20.16</v>
      </c>
      <c r="I2461" t="str">
        <f t="shared" si="38"/>
        <v>May</v>
      </c>
      <c r="J2461">
        <f>YEAR(datas[[#This Row],[Order Date]])</f>
        <v>2022</v>
      </c>
    </row>
    <row r="2462" spans="1:10" ht="14.25" customHeight="1" x14ac:dyDescent="0.3">
      <c r="A2462" s="1">
        <v>44693</v>
      </c>
      <c r="B2462" s="2" t="s">
        <v>142</v>
      </c>
      <c r="C2462" s="2" t="s">
        <v>75</v>
      </c>
      <c r="D2462" s="2" t="s">
        <v>10</v>
      </c>
      <c r="E2462" s="2" t="s">
        <v>15</v>
      </c>
      <c r="F2462" s="2">
        <v>36.630000000000003</v>
      </c>
      <c r="G2462" s="2">
        <v>3</v>
      </c>
      <c r="H2462" s="2">
        <v>9.89</v>
      </c>
      <c r="I2462" t="str">
        <f t="shared" si="38"/>
        <v>May</v>
      </c>
      <c r="J2462">
        <f>YEAR(datas[[#This Row],[Order Date]])</f>
        <v>2022</v>
      </c>
    </row>
    <row r="2463" spans="1:10" ht="14.25" customHeight="1" x14ac:dyDescent="0.3">
      <c r="A2463" s="1">
        <v>44693</v>
      </c>
      <c r="B2463" s="2" t="s">
        <v>717</v>
      </c>
      <c r="C2463" s="2" t="s">
        <v>82</v>
      </c>
      <c r="D2463" s="2" t="s">
        <v>10</v>
      </c>
      <c r="E2463" s="2" t="s">
        <v>16</v>
      </c>
      <c r="F2463" s="2">
        <v>14.59</v>
      </c>
      <c r="G2463" s="2">
        <v>3</v>
      </c>
      <c r="H2463" s="2">
        <v>4.92</v>
      </c>
      <c r="I2463" t="str">
        <f t="shared" si="38"/>
        <v>May</v>
      </c>
      <c r="J2463">
        <f>YEAR(datas[[#This Row],[Order Date]])</f>
        <v>2022</v>
      </c>
    </row>
    <row r="2464" spans="1:10" ht="14.25" customHeight="1" x14ac:dyDescent="0.3">
      <c r="A2464" s="1">
        <v>44693</v>
      </c>
      <c r="B2464" s="2" t="s">
        <v>296</v>
      </c>
      <c r="C2464" s="2" t="s">
        <v>9</v>
      </c>
      <c r="D2464" s="2" t="s">
        <v>26</v>
      </c>
      <c r="E2464" s="2" t="s">
        <v>32</v>
      </c>
      <c r="F2464" s="2">
        <v>21.97</v>
      </c>
      <c r="G2464" s="2">
        <v>4</v>
      </c>
      <c r="H2464" s="2">
        <v>-15.93</v>
      </c>
      <c r="I2464" t="str">
        <f t="shared" si="38"/>
        <v>May</v>
      </c>
      <c r="J2464">
        <f>YEAR(datas[[#This Row],[Order Date]])</f>
        <v>2022</v>
      </c>
    </row>
    <row r="2465" spans="1:10" ht="14.25" customHeight="1" x14ac:dyDescent="0.3">
      <c r="A2465" s="1">
        <v>44693</v>
      </c>
      <c r="B2465" s="2" t="s">
        <v>296</v>
      </c>
      <c r="C2465" s="2" t="s">
        <v>9</v>
      </c>
      <c r="D2465" s="2" t="s">
        <v>28</v>
      </c>
      <c r="E2465" s="2" t="s">
        <v>29</v>
      </c>
      <c r="F2465" s="2">
        <v>619.15</v>
      </c>
      <c r="G2465" s="2">
        <v>6</v>
      </c>
      <c r="H2465" s="2">
        <v>69.650000000000006</v>
      </c>
      <c r="I2465" t="str">
        <f t="shared" si="38"/>
        <v>May</v>
      </c>
      <c r="J2465">
        <f>YEAR(datas[[#This Row],[Order Date]])</f>
        <v>2022</v>
      </c>
    </row>
    <row r="2466" spans="1:10" ht="14.25" customHeight="1" x14ac:dyDescent="0.3">
      <c r="A2466" s="1">
        <v>44693</v>
      </c>
      <c r="B2466" s="2" t="s">
        <v>296</v>
      </c>
      <c r="C2466" s="2" t="s">
        <v>9</v>
      </c>
      <c r="D2466" s="2" t="s">
        <v>10</v>
      </c>
      <c r="E2466" s="2" t="s">
        <v>11</v>
      </c>
      <c r="F2466" s="2">
        <v>127.9</v>
      </c>
      <c r="G2466" s="2">
        <v>7</v>
      </c>
      <c r="H2466" s="2">
        <v>41.57</v>
      </c>
      <c r="I2466" t="str">
        <f t="shared" si="38"/>
        <v>May</v>
      </c>
      <c r="J2466">
        <f>YEAR(datas[[#This Row],[Order Date]])</f>
        <v>2022</v>
      </c>
    </row>
    <row r="2467" spans="1:10" ht="14.25" customHeight="1" x14ac:dyDescent="0.3">
      <c r="A2467" s="1">
        <v>44694</v>
      </c>
      <c r="B2467" s="2" t="s">
        <v>214</v>
      </c>
      <c r="C2467" s="2" t="s">
        <v>13</v>
      </c>
      <c r="D2467" s="2" t="s">
        <v>28</v>
      </c>
      <c r="E2467" s="2" t="s">
        <v>29</v>
      </c>
      <c r="F2467" s="2">
        <v>222.38</v>
      </c>
      <c r="G2467" s="2">
        <v>2</v>
      </c>
      <c r="H2467" s="2">
        <v>16.68</v>
      </c>
      <c r="I2467" t="str">
        <f t="shared" si="38"/>
        <v>May</v>
      </c>
      <c r="J2467">
        <f>YEAR(datas[[#This Row],[Order Date]])</f>
        <v>2022</v>
      </c>
    </row>
    <row r="2468" spans="1:10" ht="14.25" customHeight="1" x14ac:dyDescent="0.3">
      <c r="A2468" s="1">
        <v>44694</v>
      </c>
      <c r="B2468" s="2" t="s">
        <v>214</v>
      </c>
      <c r="C2468" s="2" t="s">
        <v>13</v>
      </c>
      <c r="D2468" s="2" t="s">
        <v>10</v>
      </c>
      <c r="E2468" s="2" t="s">
        <v>30</v>
      </c>
      <c r="F2468" s="2">
        <v>16</v>
      </c>
      <c r="G2468" s="2">
        <v>4</v>
      </c>
      <c r="H2468" s="2">
        <v>5.6</v>
      </c>
      <c r="I2468" t="str">
        <f t="shared" si="38"/>
        <v>May</v>
      </c>
      <c r="J2468">
        <f>YEAR(datas[[#This Row],[Order Date]])</f>
        <v>2022</v>
      </c>
    </row>
    <row r="2469" spans="1:10" ht="14.25" customHeight="1" x14ac:dyDescent="0.3">
      <c r="A2469" s="1">
        <v>44695</v>
      </c>
      <c r="B2469" s="2" t="s">
        <v>690</v>
      </c>
      <c r="C2469" s="2" t="s">
        <v>18</v>
      </c>
      <c r="D2469" s="2" t="s">
        <v>10</v>
      </c>
      <c r="E2469" s="2" t="s">
        <v>19</v>
      </c>
      <c r="F2469" s="2">
        <v>198.27</v>
      </c>
      <c r="G2469" s="2">
        <v>8</v>
      </c>
      <c r="H2469" s="2">
        <v>17.350000000000001</v>
      </c>
      <c r="I2469" t="str">
        <f t="shared" si="38"/>
        <v>May</v>
      </c>
      <c r="J2469">
        <f>YEAR(datas[[#This Row],[Order Date]])</f>
        <v>2022</v>
      </c>
    </row>
    <row r="2470" spans="1:10" ht="14.25" customHeight="1" x14ac:dyDescent="0.3">
      <c r="A2470" s="1">
        <v>44695</v>
      </c>
      <c r="B2470" s="2" t="s">
        <v>690</v>
      </c>
      <c r="C2470" s="2" t="s">
        <v>18</v>
      </c>
      <c r="D2470" s="2" t="s">
        <v>10</v>
      </c>
      <c r="E2470" s="2" t="s">
        <v>14</v>
      </c>
      <c r="F2470" s="2">
        <v>47.36</v>
      </c>
      <c r="G2470" s="2">
        <v>4</v>
      </c>
      <c r="H2470" s="2">
        <v>17.760000000000002</v>
      </c>
      <c r="I2470" t="str">
        <f t="shared" si="38"/>
        <v>May</v>
      </c>
      <c r="J2470">
        <f>YEAR(datas[[#This Row],[Order Date]])</f>
        <v>2022</v>
      </c>
    </row>
    <row r="2471" spans="1:10" ht="14.25" customHeight="1" x14ac:dyDescent="0.3">
      <c r="A2471" s="1">
        <v>44695</v>
      </c>
      <c r="B2471" s="2" t="s">
        <v>690</v>
      </c>
      <c r="C2471" s="2" t="s">
        <v>18</v>
      </c>
      <c r="D2471" s="2" t="s">
        <v>10</v>
      </c>
      <c r="E2471" s="2" t="s">
        <v>41</v>
      </c>
      <c r="F2471" s="2">
        <v>200.98</v>
      </c>
      <c r="G2471" s="2">
        <v>7</v>
      </c>
      <c r="H2471" s="2">
        <v>62.81</v>
      </c>
      <c r="I2471" t="str">
        <f t="shared" si="38"/>
        <v>May</v>
      </c>
      <c r="J2471">
        <f>YEAR(datas[[#This Row],[Order Date]])</f>
        <v>2022</v>
      </c>
    </row>
    <row r="2472" spans="1:10" ht="14.25" customHeight="1" x14ac:dyDescent="0.3">
      <c r="A2472" s="1">
        <v>44695</v>
      </c>
      <c r="B2472" s="2" t="s">
        <v>690</v>
      </c>
      <c r="C2472" s="2" t="s">
        <v>18</v>
      </c>
      <c r="D2472" s="2" t="s">
        <v>10</v>
      </c>
      <c r="E2472" s="2" t="s">
        <v>14</v>
      </c>
      <c r="F2472" s="2">
        <v>97.7</v>
      </c>
      <c r="G2472" s="2">
        <v>4</v>
      </c>
      <c r="H2472" s="2">
        <v>31.75</v>
      </c>
      <c r="I2472" t="str">
        <f t="shared" si="38"/>
        <v>May</v>
      </c>
      <c r="J2472">
        <f>YEAR(datas[[#This Row],[Order Date]])</f>
        <v>2022</v>
      </c>
    </row>
    <row r="2473" spans="1:10" ht="14.25" customHeight="1" x14ac:dyDescent="0.3">
      <c r="A2473" s="1">
        <v>44695</v>
      </c>
      <c r="B2473" s="2" t="s">
        <v>690</v>
      </c>
      <c r="C2473" s="2" t="s">
        <v>18</v>
      </c>
      <c r="D2473" s="2" t="s">
        <v>10</v>
      </c>
      <c r="E2473" s="2" t="s">
        <v>19</v>
      </c>
      <c r="F2473" s="2">
        <v>2.7</v>
      </c>
      <c r="G2473" s="2">
        <v>1</v>
      </c>
      <c r="H2473" s="2">
        <v>0.81</v>
      </c>
      <c r="I2473" t="str">
        <f t="shared" si="38"/>
        <v>May</v>
      </c>
      <c r="J2473">
        <f>YEAR(datas[[#This Row],[Order Date]])</f>
        <v>2022</v>
      </c>
    </row>
    <row r="2474" spans="1:10" ht="14.25" customHeight="1" x14ac:dyDescent="0.3">
      <c r="A2474" s="1">
        <v>44695</v>
      </c>
      <c r="B2474" s="2" t="s">
        <v>690</v>
      </c>
      <c r="C2474" s="2" t="s">
        <v>18</v>
      </c>
      <c r="D2474" s="2" t="s">
        <v>10</v>
      </c>
      <c r="E2474" s="2" t="s">
        <v>16</v>
      </c>
      <c r="F2474" s="2">
        <v>18.59</v>
      </c>
      <c r="G2474" s="2">
        <v>2</v>
      </c>
      <c r="H2474" s="2">
        <v>-13.63</v>
      </c>
      <c r="I2474" t="str">
        <f t="shared" si="38"/>
        <v>May</v>
      </c>
      <c r="J2474">
        <f>YEAR(datas[[#This Row],[Order Date]])</f>
        <v>2022</v>
      </c>
    </row>
    <row r="2475" spans="1:10" ht="14.25" customHeight="1" x14ac:dyDescent="0.3">
      <c r="A2475" s="1">
        <v>44695</v>
      </c>
      <c r="B2475" s="2" t="s">
        <v>690</v>
      </c>
      <c r="C2475" s="2" t="s">
        <v>18</v>
      </c>
      <c r="D2475" s="2" t="s">
        <v>10</v>
      </c>
      <c r="E2475" s="2" t="s">
        <v>16</v>
      </c>
      <c r="F2475" s="2">
        <v>4.9000000000000004</v>
      </c>
      <c r="G2475" s="2">
        <v>3</v>
      </c>
      <c r="H2475" s="2">
        <v>-3.43</v>
      </c>
      <c r="I2475" t="str">
        <f t="shared" si="38"/>
        <v>May</v>
      </c>
      <c r="J2475">
        <f>YEAR(datas[[#This Row],[Order Date]])</f>
        <v>2022</v>
      </c>
    </row>
    <row r="2476" spans="1:10" ht="14.25" customHeight="1" x14ac:dyDescent="0.3">
      <c r="A2476" s="1">
        <v>44695</v>
      </c>
      <c r="B2476" s="2" t="s">
        <v>530</v>
      </c>
      <c r="C2476" s="2" t="s">
        <v>21</v>
      </c>
      <c r="D2476" s="2" t="s">
        <v>10</v>
      </c>
      <c r="E2476" s="2" t="s">
        <v>15</v>
      </c>
      <c r="F2476" s="2">
        <v>1117.92</v>
      </c>
      <c r="G2476" s="2">
        <v>4</v>
      </c>
      <c r="H2476" s="2">
        <v>55.9</v>
      </c>
      <c r="I2476" t="str">
        <f t="shared" si="38"/>
        <v>May</v>
      </c>
      <c r="J2476">
        <f>YEAR(datas[[#This Row],[Order Date]])</f>
        <v>2022</v>
      </c>
    </row>
    <row r="2477" spans="1:10" ht="14.25" customHeight="1" x14ac:dyDescent="0.3">
      <c r="A2477" s="1">
        <v>44695</v>
      </c>
      <c r="B2477" s="2" t="s">
        <v>667</v>
      </c>
      <c r="C2477" s="2" t="s">
        <v>21</v>
      </c>
      <c r="D2477" s="2" t="s">
        <v>26</v>
      </c>
      <c r="E2477" s="2" t="s">
        <v>45</v>
      </c>
      <c r="F2477" s="2">
        <v>509.96</v>
      </c>
      <c r="G2477" s="2">
        <v>5</v>
      </c>
      <c r="H2477" s="2">
        <v>42</v>
      </c>
      <c r="I2477" t="str">
        <f t="shared" si="38"/>
        <v>May</v>
      </c>
      <c r="J2477">
        <f>YEAR(datas[[#This Row],[Order Date]])</f>
        <v>2022</v>
      </c>
    </row>
    <row r="2478" spans="1:10" ht="14.25" customHeight="1" x14ac:dyDescent="0.3">
      <c r="A2478" s="1">
        <v>44695</v>
      </c>
      <c r="B2478" s="2" t="s">
        <v>667</v>
      </c>
      <c r="C2478" s="2" t="s">
        <v>21</v>
      </c>
      <c r="D2478" s="2" t="s">
        <v>26</v>
      </c>
      <c r="E2478" s="2" t="s">
        <v>32</v>
      </c>
      <c r="F2478" s="2">
        <v>122.91</v>
      </c>
      <c r="G2478" s="2">
        <v>3</v>
      </c>
      <c r="H2478" s="2">
        <v>34.409999999999997</v>
      </c>
      <c r="I2478" t="str">
        <f t="shared" si="38"/>
        <v>May</v>
      </c>
      <c r="J2478">
        <f>YEAR(datas[[#This Row],[Order Date]])</f>
        <v>2022</v>
      </c>
    </row>
    <row r="2479" spans="1:10" ht="14.25" customHeight="1" x14ac:dyDescent="0.3">
      <c r="A2479" s="1">
        <v>44695</v>
      </c>
      <c r="B2479" s="2" t="s">
        <v>667</v>
      </c>
      <c r="C2479" s="2" t="s">
        <v>21</v>
      </c>
      <c r="D2479" s="2" t="s">
        <v>26</v>
      </c>
      <c r="E2479" s="2" t="s">
        <v>27</v>
      </c>
      <c r="F2479" s="2">
        <v>97.57</v>
      </c>
      <c r="G2479" s="2">
        <v>2</v>
      </c>
      <c r="H2479" s="2">
        <v>-6.1</v>
      </c>
      <c r="I2479" t="str">
        <f t="shared" si="38"/>
        <v>May</v>
      </c>
      <c r="J2479">
        <f>YEAR(datas[[#This Row],[Order Date]])</f>
        <v>2022</v>
      </c>
    </row>
    <row r="2480" spans="1:10" ht="14.25" customHeight="1" x14ac:dyDescent="0.3">
      <c r="A2480" s="1">
        <v>44695</v>
      </c>
      <c r="B2480" s="2" t="s">
        <v>667</v>
      </c>
      <c r="C2480" s="2" t="s">
        <v>21</v>
      </c>
      <c r="D2480" s="2" t="s">
        <v>26</v>
      </c>
      <c r="E2480" s="2" t="s">
        <v>27</v>
      </c>
      <c r="F2480" s="2">
        <v>722.35</v>
      </c>
      <c r="G2480" s="2">
        <v>3</v>
      </c>
      <c r="H2480" s="2">
        <v>81.260000000000005</v>
      </c>
      <c r="I2480" t="str">
        <f t="shared" si="38"/>
        <v>May</v>
      </c>
      <c r="J2480">
        <f>YEAR(datas[[#This Row],[Order Date]])</f>
        <v>2022</v>
      </c>
    </row>
    <row r="2481" spans="1:10" ht="14.25" customHeight="1" x14ac:dyDescent="0.3">
      <c r="A2481" s="1">
        <v>44696</v>
      </c>
      <c r="B2481" s="2" t="s">
        <v>183</v>
      </c>
      <c r="C2481" s="2" t="s">
        <v>23</v>
      </c>
      <c r="D2481" s="2" t="s">
        <v>10</v>
      </c>
      <c r="E2481" s="2" t="s">
        <v>41</v>
      </c>
      <c r="F2481" s="2">
        <v>17.940000000000001</v>
      </c>
      <c r="G2481" s="2">
        <v>3</v>
      </c>
      <c r="H2481" s="2">
        <v>8.7899999999999991</v>
      </c>
      <c r="I2481" t="str">
        <f t="shared" si="38"/>
        <v>May</v>
      </c>
      <c r="J2481">
        <f>YEAR(datas[[#This Row],[Order Date]])</f>
        <v>2022</v>
      </c>
    </row>
    <row r="2482" spans="1:10" ht="14.25" customHeight="1" x14ac:dyDescent="0.3">
      <c r="A2482" s="1">
        <v>44696</v>
      </c>
      <c r="B2482" s="2" t="s">
        <v>523</v>
      </c>
      <c r="C2482" s="2" t="s">
        <v>18</v>
      </c>
      <c r="D2482" s="2" t="s">
        <v>10</v>
      </c>
      <c r="E2482" s="2" t="s">
        <v>15</v>
      </c>
      <c r="F2482" s="2">
        <v>51.97</v>
      </c>
      <c r="G2482" s="2">
        <v>2</v>
      </c>
      <c r="H2482" s="2">
        <v>-10.39</v>
      </c>
      <c r="I2482" t="str">
        <f t="shared" si="38"/>
        <v>May</v>
      </c>
      <c r="J2482">
        <f>YEAR(datas[[#This Row],[Order Date]])</f>
        <v>2022</v>
      </c>
    </row>
    <row r="2483" spans="1:10" ht="14.25" customHeight="1" x14ac:dyDescent="0.3">
      <c r="A2483" s="1">
        <v>44697</v>
      </c>
      <c r="B2483" s="2" t="s">
        <v>188</v>
      </c>
      <c r="C2483" s="2" t="s">
        <v>64</v>
      </c>
      <c r="D2483" s="2" t="s">
        <v>28</v>
      </c>
      <c r="E2483" s="2" t="s">
        <v>34</v>
      </c>
      <c r="F2483" s="2">
        <v>255.97</v>
      </c>
      <c r="G2483" s="2">
        <v>4</v>
      </c>
      <c r="H2483" s="2">
        <v>32</v>
      </c>
      <c r="I2483" t="str">
        <f t="shared" si="38"/>
        <v>May</v>
      </c>
      <c r="J2483">
        <f>YEAR(datas[[#This Row],[Order Date]])</f>
        <v>2022</v>
      </c>
    </row>
    <row r="2484" spans="1:10" ht="14.25" customHeight="1" x14ac:dyDescent="0.3">
      <c r="A2484" s="1">
        <v>44698</v>
      </c>
      <c r="B2484" s="2" t="s">
        <v>473</v>
      </c>
      <c r="C2484" s="2" t="s">
        <v>9</v>
      </c>
      <c r="D2484" s="2" t="s">
        <v>10</v>
      </c>
      <c r="E2484" s="2" t="s">
        <v>16</v>
      </c>
      <c r="F2484" s="2">
        <v>33.28</v>
      </c>
      <c r="G2484" s="2">
        <v>5</v>
      </c>
      <c r="H2484" s="2">
        <v>-49.92</v>
      </c>
      <c r="I2484" t="str">
        <f t="shared" si="38"/>
        <v>May</v>
      </c>
      <c r="J2484">
        <f>YEAR(datas[[#This Row],[Order Date]])</f>
        <v>2022</v>
      </c>
    </row>
    <row r="2485" spans="1:10" ht="14.25" customHeight="1" x14ac:dyDescent="0.3">
      <c r="A2485" s="1">
        <v>44698</v>
      </c>
      <c r="B2485" s="2" t="s">
        <v>473</v>
      </c>
      <c r="C2485" s="2" t="s">
        <v>9</v>
      </c>
      <c r="D2485" s="2" t="s">
        <v>10</v>
      </c>
      <c r="E2485" s="2" t="s">
        <v>11</v>
      </c>
      <c r="F2485" s="2">
        <v>14.09</v>
      </c>
      <c r="G2485" s="2">
        <v>3</v>
      </c>
      <c r="H2485" s="2">
        <v>4.93</v>
      </c>
      <c r="I2485" t="str">
        <f t="shared" si="38"/>
        <v>May</v>
      </c>
      <c r="J2485">
        <f>YEAR(datas[[#This Row],[Order Date]])</f>
        <v>2022</v>
      </c>
    </row>
    <row r="2486" spans="1:10" ht="14.25" customHeight="1" x14ac:dyDescent="0.3">
      <c r="A2486" s="1">
        <v>44698</v>
      </c>
      <c r="B2486" s="2" t="s">
        <v>333</v>
      </c>
      <c r="C2486" s="2" t="s">
        <v>75</v>
      </c>
      <c r="D2486" s="2" t="s">
        <v>10</v>
      </c>
      <c r="E2486" s="2" t="s">
        <v>14</v>
      </c>
      <c r="F2486" s="2">
        <v>31.5</v>
      </c>
      <c r="G2486" s="2">
        <v>10</v>
      </c>
      <c r="H2486" s="2">
        <v>15.12</v>
      </c>
      <c r="I2486" t="str">
        <f t="shared" si="38"/>
        <v>May</v>
      </c>
      <c r="J2486">
        <f>YEAR(datas[[#This Row],[Order Date]])</f>
        <v>2022</v>
      </c>
    </row>
    <row r="2487" spans="1:10" ht="14.25" customHeight="1" x14ac:dyDescent="0.3">
      <c r="A2487" s="1">
        <v>44698</v>
      </c>
      <c r="B2487" s="2" t="s">
        <v>333</v>
      </c>
      <c r="C2487" s="2" t="s">
        <v>75</v>
      </c>
      <c r="D2487" s="2" t="s">
        <v>10</v>
      </c>
      <c r="E2487" s="2" t="s">
        <v>95</v>
      </c>
      <c r="F2487" s="2">
        <v>55.6</v>
      </c>
      <c r="G2487" s="2">
        <v>4</v>
      </c>
      <c r="H2487" s="2">
        <v>16.12</v>
      </c>
      <c r="I2487" t="str">
        <f t="shared" si="38"/>
        <v>May</v>
      </c>
      <c r="J2487">
        <f>YEAR(datas[[#This Row],[Order Date]])</f>
        <v>2022</v>
      </c>
    </row>
    <row r="2488" spans="1:10" ht="14.25" customHeight="1" x14ac:dyDescent="0.3">
      <c r="A2488" s="1">
        <v>44699</v>
      </c>
      <c r="B2488" s="2" t="s">
        <v>35</v>
      </c>
      <c r="C2488" s="2" t="s">
        <v>21</v>
      </c>
      <c r="D2488" s="2" t="s">
        <v>10</v>
      </c>
      <c r="E2488" s="2" t="s">
        <v>11</v>
      </c>
      <c r="F2488" s="2">
        <v>10.86</v>
      </c>
      <c r="G2488" s="2">
        <v>2</v>
      </c>
      <c r="H2488" s="2">
        <v>5.32</v>
      </c>
      <c r="I2488" t="str">
        <f t="shared" si="38"/>
        <v>May</v>
      </c>
      <c r="J2488">
        <f>YEAR(datas[[#This Row],[Order Date]])</f>
        <v>2022</v>
      </c>
    </row>
    <row r="2489" spans="1:10" ht="14.25" customHeight="1" x14ac:dyDescent="0.3">
      <c r="A2489" s="1">
        <v>44701</v>
      </c>
      <c r="B2489" s="2" t="s">
        <v>389</v>
      </c>
      <c r="C2489" s="2" t="s">
        <v>115</v>
      </c>
      <c r="D2489" s="2" t="s">
        <v>26</v>
      </c>
      <c r="E2489" s="2" t="s">
        <v>32</v>
      </c>
      <c r="F2489" s="2">
        <v>163.13999999999999</v>
      </c>
      <c r="G2489" s="2">
        <v>4</v>
      </c>
      <c r="H2489" s="2">
        <v>20.39</v>
      </c>
      <c r="I2489" t="str">
        <f t="shared" si="38"/>
        <v>May</v>
      </c>
      <c r="J2489">
        <f>YEAR(datas[[#This Row],[Order Date]])</f>
        <v>2022</v>
      </c>
    </row>
    <row r="2490" spans="1:10" ht="14.25" customHeight="1" x14ac:dyDescent="0.3">
      <c r="A2490" s="1">
        <v>44701</v>
      </c>
      <c r="B2490" s="2" t="s">
        <v>389</v>
      </c>
      <c r="C2490" s="2" t="s">
        <v>115</v>
      </c>
      <c r="D2490" s="2" t="s">
        <v>10</v>
      </c>
      <c r="E2490" s="2" t="s">
        <v>16</v>
      </c>
      <c r="F2490" s="2">
        <v>6.41</v>
      </c>
      <c r="G2490" s="2">
        <v>4</v>
      </c>
      <c r="H2490" s="2">
        <v>-4.91</v>
      </c>
      <c r="I2490" t="str">
        <f t="shared" si="38"/>
        <v>May</v>
      </c>
      <c r="J2490">
        <f>YEAR(datas[[#This Row],[Order Date]])</f>
        <v>2022</v>
      </c>
    </row>
    <row r="2491" spans="1:10" ht="14.25" customHeight="1" x14ac:dyDescent="0.3">
      <c r="A2491" s="1">
        <v>44702</v>
      </c>
      <c r="B2491" s="2" t="s">
        <v>332</v>
      </c>
      <c r="C2491" s="2" t="s">
        <v>13</v>
      </c>
      <c r="D2491" s="2" t="s">
        <v>10</v>
      </c>
      <c r="E2491" s="2" t="s">
        <v>53</v>
      </c>
      <c r="F2491" s="2">
        <v>20.77</v>
      </c>
      <c r="G2491" s="2">
        <v>8</v>
      </c>
      <c r="H2491" s="2">
        <v>-52.96</v>
      </c>
      <c r="I2491" t="str">
        <f t="shared" si="38"/>
        <v>May</v>
      </c>
      <c r="J2491">
        <f>YEAR(datas[[#This Row],[Order Date]])</f>
        <v>2022</v>
      </c>
    </row>
    <row r="2492" spans="1:10" ht="14.25" customHeight="1" x14ac:dyDescent="0.3">
      <c r="A2492" s="1">
        <v>44702</v>
      </c>
      <c r="B2492" s="2" t="s">
        <v>379</v>
      </c>
      <c r="C2492" s="2" t="s">
        <v>82</v>
      </c>
      <c r="D2492" s="2" t="s">
        <v>10</v>
      </c>
      <c r="E2492" s="2" t="s">
        <v>16</v>
      </c>
      <c r="F2492" s="2">
        <v>26.98</v>
      </c>
      <c r="G2492" s="2">
        <v>4</v>
      </c>
      <c r="H2492" s="2">
        <v>8.77</v>
      </c>
      <c r="I2492" t="str">
        <f t="shared" si="38"/>
        <v>May</v>
      </c>
      <c r="J2492">
        <f>YEAR(datas[[#This Row],[Order Date]])</f>
        <v>2022</v>
      </c>
    </row>
    <row r="2493" spans="1:10" ht="14.25" customHeight="1" x14ac:dyDescent="0.3">
      <c r="A2493" s="1">
        <v>44702</v>
      </c>
      <c r="B2493" s="2" t="s">
        <v>489</v>
      </c>
      <c r="C2493" s="2" t="s">
        <v>18</v>
      </c>
      <c r="D2493" s="2" t="s">
        <v>10</v>
      </c>
      <c r="E2493" s="2" t="s">
        <v>16</v>
      </c>
      <c r="F2493" s="2">
        <v>24.59</v>
      </c>
      <c r="G2493" s="2">
        <v>2</v>
      </c>
      <c r="H2493" s="2">
        <v>-18.03</v>
      </c>
      <c r="I2493" t="str">
        <f t="shared" si="38"/>
        <v>May</v>
      </c>
      <c r="J2493">
        <f>YEAR(datas[[#This Row],[Order Date]])</f>
        <v>2022</v>
      </c>
    </row>
    <row r="2494" spans="1:10" ht="14.25" customHeight="1" x14ac:dyDescent="0.3">
      <c r="A2494" s="1">
        <v>44703</v>
      </c>
      <c r="B2494" s="2" t="s">
        <v>488</v>
      </c>
      <c r="C2494" s="2" t="s">
        <v>21</v>
      </c>
      <c r="D2494" s="2" t="s">
        <v>10</v>
      </c>
      <c r="E2494" s="2" t="s">
        <v>14</v>
      </c>
      <c r="F2494" s="2">
        <v>8.26</v>
      </c>
      <c r="G2494" s="2">
        <v>2</v>
      </c>
      <c r="H2494" s="2">
        <v>3.8</v>
      </c>
      <c r="I2494" t="str">
        <f t="shared" si="38"/>
        <v>May</v>
      </c>
      <c r="J2494">
        <f>YEAR(datas[[#This Row],[Order Date]])</f>
        <v>2022</v>
      </c>
    </row>
    <row r="2495" spans="1:10" ht="14.25" customHeight="1" x14ac:dyDescent="0.3">
      <c r="A2495" s="1">
        <v>44703</v>
      </c>
      <c r="B2495" s="2" t="s">
        <v>488</v>
      </c>
      <c r="C2495" s="2" t="s">
        <v>21</v>
      </c>
      <c r="D2495" s="2" t="s">
        <v>28</v>
      </c>
      <c r="E2495" s="2" t="s">
        <v>136</v>
      </c>
      <c r="F2495" s="2">
        <v>2973.32</v>
      </c>
      <c r="G2495" s="2">
        <v>7</v>
      </c>
      <c r="H2495" s="2">
        <v>334.5</v>
      </c>
      <c r="I2495" t="str">
        <f t="shared" si="38"/>
        <v>May</v>
      </c>
      <c r="J2495">
        <f>YEAR(datas[[#This Row],[Order Date]])</f>
        <v>2022</v>
      </c>
    </row>
    <row r="2496" spans="1:10" ht="14.25" customHeight="1" x14ac:dyDescent="0.3">
      <c r="A2496" s="1">
        <v>44703</v>
      </c>
      <c r="B2496" s="2" t="s">
        <v>488</v>
      </c>
      <c r="C2496" s="2" t="s">
        <v>21</v>
      </c>
      <c r="D2496" s="2" t="s">
        <v>10</v>
      </c>
      <c r="E2496" s="2" t="s">
        <v>15</v>
      </c>
      <c r="F2496" s="2">
        <v>104.79</v>
      </c>
      <c r="G2496" s="2">
        <v>7</v>
      </c>
      <c r="H2496" s="2">
        <v>29.34</v>
      </c>
      <c r="I2496" t="str">
        <f t="shared" si="38"/>
        <v>May</v>
      </c>
      <c r="J2496">
        <f>YEAR(datas[[#This Row],[Order Date]])</f>
        <v>2022</v>
      </c>
    </row>
    <row r="2497" spans="1:10" ht="14.25" customHeight="1" x14ac:dyDescent="0.3">
      <c r="A2497" s="1">
        <v>44703</v>
      </c>
      <c r="B2497" s="2" t="s">
        <v>488</v>
      </c>
      <c r="C2497" s="2" t="s">
        <v>21</v>
      </c>
      <c r="D2497" s="2" t="s">
        <v>28</v>
      </c>
      <c r="E2497" s="2" t="s">
        <v>29</v>
      </c>
      <c r="F2497" s="2">
        <v>775.73</v>
      </c>
      <c r="G2497" s="2">
        <v>6</v>
      </c>
      <c r="H2497" s="2">
        <v>58.18</v>
      </c>
      <c r="I2497" t="str">
        <f t="shared" si="38"/>
        <v>May</v>
      </c>
      <c r="J2497">
        <f>YEAR(datas[[#This Row],[Order Date]])</f>
        <v>2022</v>
      </c>
    </row>
    <row r="2498" spans="1:10" ht="14.25" customHeight="1" x14ac:dyDescent="0.3">
      <c r="A2498" s="1">
        <v>44704</v>
      </c>
      <c r="B2498" s="2" t="s">
        <v>471</v>
      </c>
      <c r="C2498" s="2" t="s">
        <v>43</v>
      </c>
      <c r="D2498" s="2" t="s">
        <v>10</v>
      </c>
      <c r="E2498" s="2" t="s">
        <v>41</v>
      </c>
      <c r="F2498" s="2">
        <v>186.69</v>
      </c>
      <c r="G2498" s="2">
        <v>3</v>
      </c>
      <c r="H2498" s="2">
        <v>87.74</v>
      </c>
      <c r="I2498" t="str">
        <f t="shared" si="38"/>
        <v>May</v>
      </c>
      <c r="J2498">
        <f>YEAR(datas[[#This Row],[Order Date]])</f>
        <v>2022</v>
      </c>
    </row>
    <row r="2499" spans="1:10" ht="14.25" customHeight="1" x14ac:dyDescent="0.3">
      <c r="A2499" s="1">
        <v>44704</v>
      </c>
      <c r="B2499" s="2" t="s">
        <v>251</v>
      </c>
      <c r="C2499" s="2" t="s">
        <v>55</v>
      </c>
      <c r="D2499" s="2" t="s">
        <v>10</v>
      </c>
      <c r="E2499" s="2" t="s">
        <v>16</v>
      </c>
      <c r="F2499" s="2">
        <v>19.190000000000001</v>
      </c>
      <c r="G2499" s="2">
        <v>7</v>
      </c>
      <c r="H2499" s="2">
        <v>-12.8</v>
      </c>
      <c r="I2499" t="str">
        <f t="shared" ref="I2499:I2562" si="39">TEXT(A2499,"mmm")</f>
        <v>May</v>
      </c>
      <c r="J2499">
        <f>YEAR(datas[[#This Row],[Order Date]])</f>
        <v>2022</v>
      </c>
    </row>
    <row r="2500" spans="1:10" ht="14.25" customHeight="1" x14ac:dyDescent="0.3">
      <c r="A2500" s="1">
        <v>44704</v>
      </c>
      <c r="B2500" s="2" t="s">
        <v>251</v>
      </c>
      <c r="C2500" s="2" t="s">
        <v>55</v>
      </c>
      <c r="D2500" s="2" t="s">
        <v>10</v>
      </c>
      <c r="E2500" s="2" t="s">
        <v>53</v>
      </c>
      <c r="F2500" s="2">
        <v>121.79</v>
      </c>
      <c r="G2500" s="2">
        <v>4</v>
      </c>
      <c r="H2500" s="2">
        <v>13.7</v>
      </c>
      <c r="I2500" t="str">
        <f t="shared" si="39"/>
        <v>May</v>
      </c>
      <c r="J2500">
        <f>YEAR(datas[[#This Row],[Order Date]])</f>
        <v>2022</v>
      </c>
    </row>
    <row r="2501" spans="1:10" ht="14.25" customHeight="1" x14ac:dyDescent="0.3">
      <c r="A2501" s="1">
        <v>44704</v>
      </c>
      <c r="B2501" s="2" t="s">
        <v>151</v>
      </c>
      <c r="C2501" s="2" t="s">
        <v>553</v>
      </c>
      <c r="D2501" s="2" t="s">
        <v>10</v>
      </c>
      <c r="E2501" s="2" t="s">
        <v>15</v>
      </c>
      <c r="F2501" s="2">
        <v>51.45</v>
      </c>
      <c r="G2501" s="2">
        <v>3</v>
      </c>
      <c r="H2501" s="2">
        <v>13.89</v>
      </c>
      <c r="I2501" t="str">
        <f t="shared" si="39"/>
        <v>May</v>
      </c>
      <c r="J2501">
        <f>YEAR(datas[[#This Row],[Order Date]])</f>
        <v>2022</v>
      </c>
    </row>
    <row r="2502" spans="1:10" ht="14.25" customHeight="1" x14ac:dyDescent="0.3">
      <c r="A2502" s="1">
        <v>44704</v>
      </c>
      <c r="B2502" s="2" t="s">
        <v>88</v>
      </c>
      <c r="C2502" s="2" t="s">
        <v>60</v>
      </c>
      <c r="D2502" s="2" t="s">
        <v>10</v>
      </c>
      <c r="E2502" s="2" t="s">
        <v>53</v>
      </c>
      <c r="F2502" s="2">
        <v>850.5</v>
      </c>
      <c r="G2502" s="2">
        <v>5</v>
      </c>
      <c r="H2502" s="2">
        <v>245.7</v>
      </c>
      <c r="I2502" t="str">
        <f t="shared" si="39"/>
        <v>May</v>
      </c>
      <c r="J2502">
        <f>YEAR(datas[[#This Row],[Order Date]])</f>
        <v>2022</v>
      </c>
    </row>
    <row r="2503" spans="1:10" ht="14.25" customHeight="1" x14ac:dyDescent="0.3">
      <c r="A2503" s="1">
        <v>44704</v>
      </c>
      <c r="B2503" s="2" t="s">
        <v>88</v>
      </c>
      <c r="C2503" s="2" t="s">
        <v>60</v>
      </c>
      <c r="D2503" s="2" t="s">
        <v>26</v>
      </c>
      <c r="E2503" s="2" t="s">
        <v>32</v>
      </c>
      <c r="F2503" s="2">
        <v>75.33</v>
      </c>
      <c r="G2503" s="2">
        <v>9</v>
      </c>
      <c r="H2503" s="2">
        <v>19.59</v>
      </c>
      <c r="I2503" t="str">
        <f t="shared" si="39"/>
        <v>May</v>
      </c>
      <c r="J2503">
        <f>YEAR(datas[[#This Row],[Order Date]])</f>
        <v>2022</v>
      </c>
    </row>
    <row r="2504" spans="1:10" ht="14.25" customHeight="1" x14ac:dyDescent="0.3">
      <c r="A2504" s="1">
        <v>44705</v>
      </c>
      <c r="B2504" s="2" t="s">
        <v>31</v>
      </c>
      <c r="C2504" s="2" t="s">
        <v>13</v>
      </c>
      <c r="D2504" s="2" t="s">
        <v>26</v>
      </c>
      <c r="E2504" s="2" t="s">
        <v>27</v>
      </c>
      <c r="F2504" s="2">
        <v>602.65</v>
      </c>
      <c r="G2504" s="2">
        <v>7</v>
      </c>
      <c r="H2504" s="2">
        <v>-163.58000000000001</v>
      </c>
      <c r="I2504" t="str">
        <f t="shared" si="39"/>
        <v>May</v>
      </c>
      <c r="J2504">
        <f>YEAR(datas[[#This Row],[Order Date]])</f>
        <v>2022</v>
      </c>
    </row>
    <row r="2505" spans="1:10" ht="14.25" customHeight="1" x14ac:dyDescent="0.3">
      <c r="A2505" s="1">
        <v>44705</v>
      </c>
      <c r="B2505" s="2" t="s">
        <v>31</v>
      </c>
      <c r="C2505" s="2" t="s">
        <v>13</v>
      </c>
      <c r="D2505" s="2" t="s">
        <v>10</v>
      </c>
      <c r="E2505" s="2" t="s">
        <v>16</v>
      </c>
      <c r="F2505" s="2">
        <v>7.66</v>
      </c>
      <c r="G2505" s="2">
        <v>6</v>
      </c>
      <c r="H2505" s="2">
        <v>-13.02</v>
      </c>
      <c r="I2505" t="str">
        <f t="shared" si="39"/>
        <v>May</v>
      </c>
      <c r="J2505">
        <f>YEAR(datas[[#This Row],[Order Date]])</f>
        <v>2022</v>
      </c>
    </row>
    <row r="2506" spans="1:10" ht="14.25" customHeight="1" x14ac:dyDescent="0.3">
      <c r="A2506" s="1">
        <v>44706</v>
      </c>
      <c r="B2506" s="2" t="s">
        <v>718</v>
      </c>
      <c r="C2506" s="2" t="s">
        <v>126</v>
      </c>
      <c r="D2506" s="2" t="s">
        <v>10</v>
      </c>
      <c r="E2506" s="2" t="s">
        <v>53</v>
      </c>
      <c r="F2506" s="2">
        <v>845.73</v>
      </c>
      <c r="G2506" s="2">
        <v>13</v>
      </c>
      <c r="H2506" s="2">
        <v>84.57</v>
      </c>
      <c r="I2506" t="str">
        <f t="shared" si="39"/>
        <v>May</v>
      </c>
      <c r="J2506">
        <f>YEAR(datas[[#This Row],[Order Date]])</f>
        <v>2022</v>
      </c>
    </row>
    <row r="2507" spans="1:10" ht="14.25" customHeight="1" x14ac:dyDescent="0.3">
      <c r="A2507" s="1">
        <v>44706</v>
      </c>
      <c r="B2507" s="2" t="s">
        <v>122</v>
      </c>
      <c r="C2507" s="2" t="s">
        <v>21</v>
      </c>
      <c r="D2507" s="2" t="s">
        <v>26</v>
      </c>
      <c r="E2507" s="2" t="s">
        <v>32</v>
      </c>
      <c r="F2507" s="2">
        <v>14.73</v>
      </c>
      <c r="G2507" s="2">
        <v>3</v>
      </c>
      <c r="H2507" s="2">
        <v>4.8600000000000003</v>
      </c>
      <c r="I2507" t="str">
        <f t="shared" si="39"/>
        <v>May</v>
      </c>
      <c r="J2507">
        <f>YEAR(datas[[#This Row],[Order Date]])</f>
        <v>2022</v>
      </c>
    </row>
    <row r="2508" spans="1:10" ht="14.25" customHeight="1" x14ac:dyDescent="0.3">
      <c r="A2508" s="1">
        <v>44706</v>
      </c>
      <c r="B2508" s="2" t="s">
        <v>88</v>
      </c>
      <c r="C2508" s="2" t="s">
        <v>469</v>
      </c>
      <c r="D2508" s="2" t="s">
        <v>10</v>
      </c>
      <c r="E2508" s="2" t="s">
        <v>19</v>
      </c>
      <c r="F2508" s="2">
        <v>21.24</v>
      </c>
      <c r="G2508" s="2">
        <v>3</v>
      </c>
      <c r="H2508" s="2">
        <v>8.07</v>
      </c>
      <c r="I2508" t="str">
        <f t="shared" si="39"/>
        <v>May</v>
      </c>
      <c r="J2508">
        <f>YEAR(datas[[#This Row],[Order Date]])</f>
        <v>2022</v>
      </c>
    </row>
    <row r="2509" spans="1:10" ht="14.25" customHeight="1" x14ac:dyDescent="0.3">
      <c r="A2509" s="1">
        <v>44706</v>
      </c>
      <c r="B2509" s="2" t="s">
        <v>88</v>
      </c>
      <c r="C2509" s="2" t="s">
        <v>469</v>
      </c>
      <c r="D2509" s="2" t="s">
        <v>10</v>
      </c>
      <c r="E2509" s="2" t="s">
        <v>16</v>
      </c>
      <c r="F2509" s="2">
        <v>127.96</v>
      </c>
      <c r="G2509" s="2">
        <v>2</v>
      </c>
      <c r="H2509" s="2">
        <v>60.14</v>
      </c>
      <c r="I2509" t="str">
        <f t="shared" si="39"/>
        <v>May</v>
      </c>
      <c r="J2509">
        <f>YEAR(datas[[#This Row],[Order Date]])</f>
        <v>2022</v>
      </c>
    </row>
    <row r="2510" spans="1:10" ht="14.25" customHeight="1" x14ac:dyDescent="0.3">
      <c r="A2510" s="1">
        <v>44706</v>
      </c>
      <c r="B2510" s="2" t="s">
        <v>635</v>
      </c>
      <c r="C2510" s="2" t="s">
        <v>62</v>
      </c>
      <c r="D2510" s="2" t="s">
        <v>28</v>
      </c>
      <c r="E2510" s="2" t="s">
        <v>29</v>
      </c>
      <c r="F2510" s="2">
        <v>467.04</v>
      </c>
      <c r="G2510" s="2">
        <v>4</v>
      </c>
      <c r="H2510" s="2">
        <v>58.38</v>
      </c>
      <c r="I2510" t="str">
        <f t="shared" si="39"/>
        <v>May</v>
      </c>
      <c r="J2510">
        <f>YEAR(datas[[#This Row],[Order Date]])</f>
        <v>2022</v>
      </c>
    </row>
    <row r="2511" spans="1:10" ht="14.25" customHeight="1" x14ac:dyDescent="0.3">
      <c r="A2511" s="1">
        <v>44706</v>
      </c>
      <c r="B2511" s="2" t="s">
        <v>61</v>
      </c>
      <c r="C2511" s="2" t="s">
        <v>9</v>
      </c>
      <c r="D2511" s="2" t="s">
        <v>10</v>
      </c>
      <c r="E2511" s="2" t="s">
        <v>95</v>
      </c>
      <c r="F2511" s="2">
        <v>22.37</v>
      </c>
      <c r="G2511" s="2">
        <v>2</v>
      </c>
      <c r="H2511" s="2">
        <v>1.68</v>
      </c>
      <c r="I2511" t="str">
        <f t="shared" si="39"/>
        <v>May</v>
      </c>
      <c r="J2511">
        <f>YEAR(datas[[#This Row],[Order Date]])</f>
        <v>2022</v>
      </c>
    </row>
    <row r="2512" spans="1:10" ht="14.25" customHeight="1" x14ac:dyDescent="0.3">
      <c r="A2512" s="1">
        <v>44706</v>
      </c>
      <c r="B2512" s="2" t="s">
        <v>61</v>
      </c>
      <c r="C2512" s="2" t="s">
        <v>9</v>
      </c>
      <c r="D2512" s="2" t="s">
        <v>10</v>
      </c>
      <c r="E2512" s="2" t="s">
        <v>11</v>
      </c>
      <c r="F2512" s="2">
        <v>32.369999999999997</v>
      </c>
      <c r="G2512" s="2">
        <v>7</v>
      </c>
      <c r="H2512" s="2">
        <v>11.73</v>
      </c>
      <c r="I2512" t="str">
        <f t="shared" si="39"/>
        <v>May</v>
      </c>
      <c r="J2512">
        <f>YEAR(datas[[#This Row],[Order Date]])</f>
        <v>2022</v>
      </c>
    </row>
    <row r="2513" spans="1:10" ht="14.25" customHeight="1" x14ac:dyDescent="0.3">
      <c r="A2513" s="1">
        <v>44706</v>
      </c>
      <c r="B2513" s="2" t="s">
        <v>61</v>
      </c>
      <c r="C2513" s="2" t="s">
        <v>9</v>
      </c>
      <c r="D2513" s="2" t="s">
        <v>28</v>
      </c>
      <c r="E2513" s="2" t="s">
        <v>34</v>
      </c>
      <c r="F2513" s="2">
        <v>207.98</v>
      </c>
      <c r="G2513" s="2">
        <v>2</v>
      </c>
      <c r="H2513" s="2">
        <v>36.4</v>
      </c>
      <c r="I2513" t="str">
        <f t="shared" si="39"/>
        <v>May</v>
      </c>
      <c r="J2513">
        <f>YEAR(datas[[#This Row],[Order Date]])</f>
        <v>2022</v>
      </c>
    </row>
    <row r="2514" spans="1:10" ht="14.25" customHeight="1" x14ac:dyDescent="0.3">
      <c r="A2514" s="1">
        <v>44707</v>
      </c>
      <c r="B2514" s="2" t="s">
        <v>214</v>
      </c>
      <c r="C2514" s="2" t="s">
        <v>115</v>
      </c>
      <c r="D2514" s="2" t="s">
        <v>10</v>
      </c>
      <c r="E2514" s="2" t="s">
        <v>11</v>
      </c>
      <c r="F2514" s="2">
        <v>18.27</v>
      </c>
      <c r="G2514" s="2">
        <v>1</v>
      </c>
      <c r="H2514" s="2">
        <v>5.94</v>
      </c>
      <c r="I2514" t="str">
        <f t="shared" si="39"/>
        <v>May</v>
      </c>
      <c r="J2514">
        <f>YEAR(datas[[#This Row],[Order Date]])</f>
        <v>2022</v>
      </c>
    </row>
    <row r="2515" spans="1:10" ht="14.25" customHeight="1" x14ac:dyDescent="0.3">
      <c r="A2515" s="1">
        <v>44707</v>
      </c>
      <c r="B2515" s="2" t="s">
        <v>214</v>
      </c>
      <c r="C2515" s="2" t="s">
        <v>115</v>
      </c>
      <c r="D2515" s="2" t="s">
        <v>10</v>
      </c>
      <c r="E2515" s="2" t="s">
        <v>11</v>
      </c>
      <c r="F2515" s="2">
        <v>153.72999999999999</v>
      </c>
      <c r="G2515" s="2">
        <v>4</v>
      </c>
      <c r="H2515" s="2">
        <v>53.8</v>
      </c>
      <c r="I2515" t="str">
        <f t="shared" si="39"/>
        <v>May</v>
      </c>
      <c r="J2515">
        <f>YEAR(datas[[#This Row],[Order Date]])</f>
        <v>2022</v>
      </c>
    </row>
    <row r="2516" spans="1:10" ht="14.25" customHeight="1" x14ac:dyDescent="0.3">
      <c r="A2516" s="1">
        <v>44707</v>
      </c>
      <c r="B2516" s="2" t="s">
        <v>214</v>
      </c>
      <c r="C2516" s="2" t="s">
        <v>115</v>
      </c>
      <c r="D2516" s="2" t="s">
        <v>10</v>
      </c>
      <c r="E2516" s="2" t="s">
        <v>41</v>
      </c>
      <c r="F2516" s="2">
        <v>12.22</v>
      </c>
      <c r="G2516" s="2">
        <v>2</v>
      </c>
      <c r="H2516" s="2">
        <v>4.43</v>
      </c>
      <c r="I2516" t="str">
        <f t="shared" si="39"/>
        <v>May</v>
      </c>
      <c r="J2516">
        <f>YEAR(datas[[#This Row],[Order Date]])</f>
        <v>2022</v>
      </c>
    </row>
    <row r="2517" spans="1:10" ht="14.25" customHeight="1" x14ac:dyDescent="0.3">
      <c r="A2517" s="1">
        <v>44707</v>
      </c>
      <c r="B2517" s="2" t="s">
        <v>214</v>
      </c>
      <c r="C2517" s="2" t="s">
        <v>115</v>
      </c>
      <c r="D2517" s="2" t="s">
        <v>28</v>
      </c>
      <c r="E2517" s="2" t="s">
        <v>34</v>
      </c>
      <c r="F2517" s="2">
        <v>167.94</v>
      </c>
      <c r="G2517" s="2">
        <v>7</v>
      </c>
      <c r="H2517" s="2">
        <v>50.38</v>
      </c>
      <c r="I2517" t="str">
        <f t="shared" si="39"/>
        <v>May</v>
      </c>
      <c r="J2517">
        <f>YEAR(datas[[#This Row],[Order Date]])</f>
        <v>2022</v>
      </c>
    </row>
    <row r="2518" spans="1:10" ht="14.25" customHeight="1" x14ac:dyDescent="0.3">
      <c r="A2518" s="1">
        <v>44707</v>
      </c>
      <c r="B2518" s="2" t="s">
        <v>191</v>
      </c>
      <c r="C2518" s="2" t="s">
        <v>82</v>
      </c>
      <c r="D2518" s="2" t="s">
        <v>26</v>
      </c>
      <c r="E2518" s="2" t="s">
        <v>32</v>
      </c>
      <c r="F2518" s="2">
        <v>20.239999999999998</v>
      </c>
      <c r="G2518" s="2">
        <v>1</v>
      </c>
      <c r="H2518" s="2">
        <v>7.89</v>
      </c>
      <c r="I2518" t="str">
        <f t="shared" si="39"/>
        <v>May</v>
      </c>
      <c r="J2518">
        <f>YEAR(datas[[#This Row],[Order Date]])</f>
        <v>2022</v>
      </c>
    </row>
    <row r="2519" spans="1:10" ht="14.25" customHeight="1" x14ac:dyDescent="0.3">
      <c r="A2519" s="1">
        <v>44707</v>
      </c>
      <c r="B2519" s="2" t="s">
        <v>322</v>
      </c>
      <c r="C2519" s="2" t="s">
        <v>9</v>
      </c>
      <c r="D2519" s="2" t="s">
        <v>26</v>
      </c>
      <c r="E2519" s="2" t="s">
        <v>27</v>
      </c>
      <c r="F2519" s="2">
        <v>105.69</v>
      </c>
      <c r="G2519" s="2">
        <v>1</v>
      </c>
      <c r="H2519" s="2">
        <v>-28.69</v>
      </c>
      <c r="I2519" t="str">
        <f t="shared" si="39"/>
        <v>May</v>
      </c>
      <c r="J2519">
        <f>YEAR(datas[[#This Row],[Order Date]])</f>
        <v>2022</v>
      </c>
    </row>
    <row r="2520" spans="1:10" ht="14.25" customHeight="1" x14ac:dyDescent="0.3">
      <c r="A2520" s="1">
        <v>44707</v>
      </c>
      <c r="B2520" s="2" t="s">
        <v>322</v>
      </c>
      <c r="C2520" s="2" t="s">
        <v>9</v>
      </c>
      <c r="D2520" s="2" t="s">
        <v>28</v>
      </c>
      <c r="E2520" s="2" t="s">
        <v>136</v>
      </c>
      <c r="F2520" s="2">
        <v>399.54</v>
      </c>
      <c r="G2520" s="2">
        <v>2</v>
      </c>
      <c r="H2520" s="2">
        <v>-79.91</v>
      </c>
      <c r="I2520" t="str">
        <f t="shared" si="39"/>
        <v>May</v>
      </c>
      <c r="J2520">
        <f>YEAR(datas[[#This Row],[Order Date]])</f>
        <v>2022</v>
      </c>
    </row>
    <row r="2521" spans="1:10" ht="14.25" customHeight="1" x14ac:dyDescent="0.3">
      <c r="A2521" s="1">
        <v>44707</v>
      </c>
      <c r="B2521" s="2" t="s">
        <v>322</v>
      </c>
      <c r="C2521" s="2" t="s">
        <v>9</v>
      </c>
      <c r="D2521" s="2" t="s">
        <v>26</v>
      </c>
      <c r="E2521" s="2" t="s">
        <v>27</v>
      </c>
      <c r="F2521" s="2">
        <v>104.93</v>
      </c>
      <c r="G2521" s="2">
        <v>5</v>
      </c>
      <c r="H2521" s="2">
        <v>-4.5</v>
      </c>
      <c r="I2521" t="str">
        <f t="shared" si="39"/>
        <v>May</v>
      </c>
      <c r="J2521">
        <f>YEAR(datas[[#This Row],[Order Date]])</f>
        <v>2022</v>
      </c>
    </row>
    <row r="2522" spans="1:10" ht="14.25" customHeight="1" x14ac:dyDescent="0.3">
      <c r="A2522" s="1">
        <v>44709</v>
      </c>
      <c r="B2522" s="2" t="s">
        <v>719</v>
      </c>
      <c r="C2522" s="2" t="s">
        <v>82</v>
      </c>
      <c r="D2522" s="2" t="s">
        <v>10</v>
      </c>
      <c r="E2522" s="2" t="s">
        <v>19</v>
      </c>
      <c r="F2522" s="2">
        <v>6.63</v>
      </c>
      <c r="G2522" s="2">
        <v>3</v>
      </c>
      <c r="H2522" s="2">
        <v>1.79</v>
      </c>
      <c r="I2522" t="str">
        <f t="shared" si="39"/>
        <v>May</v>
      </c>
      <c r="J2522">
        <f>YEAR(datas[[#This Row],[Order Date]])</f>
        <v>2022</v>
      </c>
    </row>
    <row r="2523" spans="1:10" ht="14.25" customHeight="1" x14ac:dyDescent="0.3">
      <c r="A2523" s="1">
        <v>44709</v>
      </c>
      <c r="B2523" s="2" t="s">
        <v>436</v>
      </c>
      <c r="C2523" s="2" t="s">
        <v>75</v>
      </c>
      <c r="D2523" s="2" t="s">
        <v>10</v>
      </c>
      <c r="E2523" s="2" t="s">
        <v>19</v>
      </c>
      <c r="F2523" s="2">
        <v>47.82</v>
      </c>
      <c r="G2523" s="2">
        <v>3</v>
      </c>
      <c r="H2523" s="2">
        <v>14.35</v>
      </c>
      <c r="I2523" t="str">
        <f t="shared" si="39"/>
        <v>May</v>
      </c>
      <c r="J2523">
        <f>YEAR(datas[[#This Row],[Order Date]])</f>
        <v>2022</v>
      </c>
    </row>
    <row r="2524" spans="1:10" ht="14.25" customHeight="1" x14ac:dyDescent="0.3">
      <c r="A2524" s="1">
        <v>44709</v>
      </c>
      <c r="B2524" s="2" t="s">
        <v>436</v>
      </c>
      <c r="C2524" s="2" t="s">
        <v>75</v>
      </c>
      <c r="D2524" s="2" t="s">
        <v>10</v>
      </c>
      <c r="E2524" s="2" t="s">
        <v>14</v>
      </c>
      <c r="F2524" s="2">
        <v>13.05</v>
      </c>
      <c r="G2524" s="2">
        <v>5</v>
      </c>
      <c r="H2524" s="2">
        <v>6</v>
      </c>
      <c r="I2524" t="str">
        <f t="shared" si="39"/>
        <v>May</v>
      </c>
      <c r="J2524">
        <f>YEAR(datas[[#This Row],[Order Date]])</f>
        <v>2022</v>
      </c>
    </row>
    <row r="2525" spans="1:10" ht="14.25" customHeight="1" x14ac:dyDescent="0.3">
      <c r="A2525" s="1">
        <v>44709</v>
      </c>
      <c r="B2525" s="2" t="s">
        <v>350</v>
      </c>
      <c r="C2525" s="2" t="s">
        <v>75</v>
      </c>
      <c r="D2525" s="2" t="s">
        <v>28</v>
      </c>
      <c r="E2525" s="2" t="s">
        <v>29</v>
      </c>
      <c r="F2525" s="2">
        <v>45.99</v>
      </c>
      <c r="G2525" s="2">
        <v>1</v>
      </c>
      <c r="H2525" s="2">
        <v>13.34</v>
      </c>
      <c r="I2525" t="str">
        <f t="shared" si="39"/>
        <v>May</v>
      </c>
      <c r="J2525">
        <f>YEAR(datas[[#This Row],[Order Date]])</f>
        <v>2022</v>
      </c>
    </row>
    <row r="2526" spans="1:10" ht="14.25" customHeight="1" x14ac:dyDescent="0.3">
      <c r="A2526" s="1">
        <v>44709</v>
      </c>
      <c r="B2526" s="2" t="s">
        <v>350</v>
      </c>
      <c r="C2526" s="2" t="s">
        <v>75</v>
      </c>
      <c r="D2526" s="2" t="s">
        <v>10</v>
      </c>
      <c r="E2526" s="2" t="s">
        <v>15</v>
      </c>
      <c r="F2526" s="2">
        <v>535.41</v>
      </c>
      <c r="G2526" s="2">
        <v>3</v>
      </c>
      <c r="H2526" s="2">
        <v>160.62</v>
      </c>
      <c r="I2526" t="str">
        <f t="shared" si="39"/>
        <v>May</v>
      </c>
      <c r="J2526">
        <f>YEAR(datas[[#This Row],[Order Date]])</f>
        <v>2022</v>
      </c>
    </row>
    <row r="2527" spans="1:10" ht="14.25" customHeight="1" x14ac:dyDescent="0.3">
      <c r="A2527" s="1">
        <v>44709</v>
      </c>
      <c r="B2527" s="2" t="s">
        <v>350</v>
      </c>
      <c r="C2527" s="2" t="s">
        <v>75</v>
      </c>
      <c r="D2527" s="2" t="s">
        <v>10</v>
      </c>
      <c r="E2527" s="2" t="s">
        <v>16</v>
      </c>
      <c r="F2527" s="2">
        <v>6.1</v>
      </c>
      <c r="G2527" s="2">
        <v>2</v>
      </c>
      <c r="H2527" s="2">
        <v>2.06</v>
      </c>
      <c r="I2527" t="str">
        <f t="shared" si="39"/>
        <v>May</v>
      </c>
      <c r="J2527">
        <f>YEAR(datas[[#This Row],[Order Date]])</f>
        <v>2022</v>
      </c>
    </row>
    <row r="2528" spans="1:10" ht="14.25" customHeight="1" x14ac:dyDescent="0.3">
      <c r="A2528" s="1">
        <v>44709</v>
      </c>
      <c r="B2528" s="2" t="s">
        <v>350</v>
      </c>
      <c r="C2528" s="2" t="s">
        <v>75</v>
      </c>
      <c r="D2528" s="2" t="s">
        <v>10</v>
      </c>
      <c r="E2528" s="2" t="s">
        <v>11</v>
      </c>
      <c r="F2528" s="2">
        <v>45.36</v>
      </c>
      <c r="G2528" s="2">
        <v>7</v>
      </c>
      <c r="H2528" s="2">
        <v>21.77</v>
      </c>
      <c r="I2528" t="str">
        <f t="shared" si="39"/>
        <v>May</v>
      </c>
      <c r="J2528">
        <f>YEAR(datas[[#This Row],[Order Date]])</f>
        <v>2022</v>
      </c>
    </row>
    <row r="2529" spans="1:10" ht="14.25" customHeight="1" x14ac:dyDescent="0.3">
      <c r="A2529" s="1">
        <v>44709</v>
      </c>
      <c r="B2529" s="2" t="s">
        <v>405</v>
      </c>
      <c r="C2529" s="2" t="s">
        <v>248</v>
      </c>
      <c r="D2529" s="2" t="s">
        <v>10</v>
      </c>
      <c r="E2529" s="2" t="s">
        <v>15</v>
      </c>
      <c r="F2529" s="2">
        <v>16.239999999999998</v>
      </c>
      <c r="G2529" s="2">
        <v>1</v>
      </c>
      <c r="H2529" s="2">
        <v>2.44</v>
      </c>
      <c r="I2529" t="str">
        <f t="shared" si="39"/>
        <v>May</v>
      </c>
      <c r="J2529">
        <f>YEAR(datas[[#This Row],[Order Date]])</f>
        <v>2022</v>
      </c>
    </row>
    <row r="2530" spans="1:10" ht="14.25" customHeight="1" x14ac:dyDescent="0.3">
      <c r="A2530" s="1">
        <v>44709</v>
      </c>
      <c r="B2530" s="2" t="s">
        <v>405</v>
      </c>
      <c r="C2530" s="2" t="s">
        <v>248</v>
      </c>
      <c r="D2530" s="2" t="s">
        <v>10</v>
      </c>
      <c r="E2530" s="2" t="s">
        <v>15</v>
      </c>
      <c r="F2530" s="2">
        <v>77.55</v>
      </c>
      <c r="G2530" s="2">
        <v>5</v>
      </c>
      <c r="H2530" s="2">
        <v>21.71</v>
      </c>
      <c r="I2530" t="str">
        <f t="shared" si="39"/>
        <v>May</v>
      </c>
      <c r="J2530">
        <f>YEAR(datas[[#This Row],[Order Date]])</f>
        <v>2022</v>
      </c>
    </row>
    <row r="2531" spans="1:10" ht="14.25" customHeight="1" x14ac:dyDescent="0.3">
      <c r="A2531" s="1">
        <v>44710</v>
      </c>
      <c r="B2531" s="2" t="s">
        <v>384</v>
      </c>
      <c r="C2531" s="2" t="s">
        <v>82</v>
      </c>
      <c r="D2531" s="2" t="s">
        <v>10</v>
      </c>
      <c r="E2531" s="2" t="s">
        <v>11</v>
      </c>
      <c r="F2531" s="2">
        <v>32.4</v>
      </c>
      <c r="G2531" s="2">
        <v>5</v>
      </c>
      <c r="H2531" s="2">
        <v>15.55</v>
      </c>
      <c r="I2531" t="str">
        <f t="shared" si="39"/>
        <v>May</v>
      </c>
      <c r="J2531">
        <f>YEAR(datas[[#This Row],[Order Date]])</f>
        <v>2022</v>
      </c>
    </row>
    <row r="2532" spans="1:10" ht="14.25" customHeight="1" x14ac:dyDescent="0.3">
      <c r="A2532" s="1">
        <v>44710</v>
      </c>
      <c r="B2532" s="2" t="s">
        <v>384</v>
      </c>
      <c r="C2532" s="2" t="s">
        <v>82</v>
      </c>
      <c r="D2532" s="2" t="s">
        <v>10</v>
      </c>
      <c r="E2532" s="2" t="s">
        <v>15</v>
      </c>
      <c r="F2532" s="2">
        <v>540.57000000000005</v>
      </c>
      <c r="G2532" s="2">
        <v>3</v>
      </c>
      <c r="H2532" s="2">
        <v>140.55000000000001</v>
      </c>
      <c r="I2532" t="str">
        <f t="shared" si="39"/>
        <v>May</v>
      </c>
      <c r="J2532">
        <f>YEAR(datas[[#This Row],[Order Date]])</f>
        <v>2022</v>
      </c>
    </row>
    <row r="2533" spans="1:10" ht="14.25" customHeight="1" x14ac:dyDescent="0.3">
      <c r="A2533" s="1">
        <v>44710</v>
      </c>
      <c r="B2533" s="2" t="s">
        <v>384</v>
      </c>
      <c r="C2533" s="2" t="s">
        <v>82</v>
      </c>
      <c r="D2533" s="2" t="s">
        <v>10</v>
      </c>
      <c r="E2533" s="2" t="s">
        <v>16</v>
      </c>
      <c r="F2533" s="2">
        <v>167.76</v>
      </c>
      <c r="G2533" s="2">
        <v>5</v>
      </c>
      <c r="H2533" s="2">
        <v>62.91</v>
      </c>
      <c r="I2533" t="str">
        <f t="shared" si="39"/>
        <v>May</v>
      </c>
      <c r="J2533">
        <f>YEAR(datas[[#This Row],[Order Date]])</f>
        <v>2022</v>
      </c>
    </row>
    <row r="2534" spans="1:10" ht="14.25" customHeight="1" x14ac:dyDescent="0.3">
      <c r="A2534" s="1">
        <v>44710</v>
      </c>
      <c r="B2534" s="2" t="s">
        <v>449</v>
      </c>
      <c r="C2534" s="2" t="s">
        <v>47</v>
      </c>
      <c r="D2534" s="2" t="s">
        <v>26</v>
      </c>
      <c r="E2534" s="2" t="s">
        <v>32</v>
      </c>
      <c r="F2534" s="2">
        <v>41.57</v>
      </c>
      <c r="G2534" s="2">
        <v>4</v>
      </c>
      <c r="H2534" s="2">
        <v>-4.16</v>
      </c>
      <c r="I2534" t="str">
        <f t="shared" si="39"/>
        <v>May</v>
      </c>
      <c r="J2534">
        <f>YEAR(datas[[#This Row],[Order Date]])</f>
        <v>2022</v>
      </c>
    </row>
    <row r="2535" spans="1:10" ht="14.25" customHeight="1" x14ac:dyDescent="0.3">
      <c r="A2535" s="1">
        <v>44710</v>
      </c>
      <c r="B2535" s="2" t="s">
        <v>449</v>
      </c>
      <c r="C2535" s="2" t="s">
        <v>47</v>
      </c>
      <c r="D2535" s="2" t="s">
        <v>26</v>
      </c>
      <c r="E2535" s="2" t="s">
        <v>27</v>
      </c>
      <c r="F2535" s="2">
        <v>317.06</v>
      </c>
      <c r="G2535" s="2">
        <v>3</v>
      </c>
      <c r="H2535" s="2">
        <v>-86.06</v>
      </c>
      <c r="I2535" t="str">
        <f t="shared" si="39"/>
        <v>May</v>
      </c>
      <c r="J2535">
        <f>YEAR(datas[[#This Row],[Order Date]])</f>
        <v>2022</v>
      </c>
    </row>
    <row r="2536" spans="1:10" ht="14.25" customHeight="1" x14ac:dyDescent="0.3">
      <c r="A2536" s="1">
        <v>44710</v>
      </c>
      <c r="B2536" s="2" t="s">
        <v>449</v>
      </c>
      <c r="C2536" s="2" t="s">
        <v>47</v>
      </c>
      <c r="D2536" s="2" t="s">
        <v>10</v>
      </c>
      <c r="E2536" s="2" t="s">
        <v>30</v>
      </c>
      <c r="F2536" s="2">
        <v>8.0399999999999991</v>
      </c>
      <c r="G2536" s="2">
        <v>5</v>
      </c>
      <c r="H2536" s="2">
        <v>2.91</v>
      </c>
      <c r="I2536" t="str">
        <f t="shared" si="39"/>
        <v>May</v>
      </c>
      <c r="J2536">
        <f>YEAR(datas[[#This Row],[Order Date]])</f>
        <v>2022</v>
      </c>
    </row>
    <row r="2537" spans="1:10" ht="14.25" customHeight="1" x14ac:dyDescent="0.3">
      <c r="A2537" s="1">
        <v>44710</v>
      </c>
      <c r="B2537" s="2" t="s">
        <v>436</v>
      </c>
      <c r="C2537" s="2" t="s">
        <v>68</v>
      </c>
      <c r="D2537" s="2" t="s">
        <v>10</v>
      </c>
      <c r="E2537" s="2" t="s">
        <v>14</v>
      </c>
      <c r="F2537" s="2">
        <v>12.39</v>
      </c>
      <c r="G2537" s="2">
        <v>3</v>
      </c>
      <c r="H2537" s="2">
        <v>5.7</v>
      </c>
      <c r="I2537" t="str">
        <f t="shared" si="39"/>
        <v>May</v>
      </c>
      <c r="J2537">
        <f>YEAR(datas[[#This Row],[Order Date]])</f>
        <v>2022</v>
      </c>
    </row>
    <row r="2538" spans="1:10" ht="14.25" customHeight="1" x14ac:dyDescent="0.3">
      <c r="A2538" s="1">
        <v>44710</v>
      </c>
      <c r="B2538" s="2" t="s">
        <v>642</v>
      </c>
      <c r="C2538" s="2" t="s">
        <v>47</v>
      </c>
      <c r="D2538" s="2" t="s">
        <v>10</v>
      </c>
      <c r="E2538" s="2" t="s">
        <v>11</v>
      </c>
      <c r="F2538" s="2">
        <v>85.06</v>
      </c>
      <c r="G2538" s="2">
        <v>3</v>
      </c>
      <c r="H2538" s="2">
        <v>28.71</v>
      </c>
      <c r="I2538" t="str">
        <f t="shared" si="39"/>
        <v>May</v>
      </c>
      <c r="J2538">
        <f>YEAR(datas[[#This Row],[Order Date]])</f>
        <v>2022</v>
      </c>
    </row>
    <row r="2539" spans="1:10" ht="14.25" customHeight="1" x14ac:dyDescent="0.3">
      <c r="A2539" s="1">
        <v>44711</v>
      </c>
      <c r="B2539" s="2" t="s">
        <v>720</v>
      </c>
      <c r="C2539" s="2" t="s">
        <v>75</v>
      </c>
      <c r="D2539" s="2" t="s">
        <v>28</v>
      </c>
      <c r="E2539" s="2" t="s">
        <v>29</v>
      </c>
      <c r="F2539" s="2">
        <v>239.97</v>
      </c>
      <c r="G2539" s="2">
        <v>3</v>
      </c>
      <c r="H2539" s="2">
        <v>2.4</v>
      </c>
      <c r="I2539" t="str">
        <f t="shared" si="39"/>
        <v>May</v>
      </c>
      <c r="J2539">
        <f>YEAR(datas[[#This Row],[Order Date]])</f>
        <v>2022</v>
      </c>
    </row>
    <row r="2540" spans="1:10" ht="14.25" customHeight="1" x14ac:dyDescent="0.3">
      <c r="A2540" s="1">
        <v>44711</v>
      </c>
      <c r="B2540" s="2" t="s">
        <v>720</v>
      </c>
      <c r="C2540" s="2" t="s">
        <v>75</v>
      </c>
      <c r="D2540" s="2" t="s">
        <v>10</v>
      </c>
      <c r="E2540" s="2" t="s">
        <v>53</v>
      </c>
      <c r="F2540" s="2">
        <v>160.32</v>
      </c>
      <c r="G2540" s="2">
        <v>2</v>
      </c>
      <c r="H2540" s="2">
        <v>44.89</v>
      </c>
      <c r="I2540" t="str">
        <f t="shared" si="39"/>
        <v>May</v>
      </c>
      <c r="J2540">
        <f>YEAR(datas[[#This Row],[Order Date]])</f>
        <v>2022</v>
      </c>
    </row>
    <row r="2541" spans="1:10" ht="14.25" customHeight="1" x14ac:dyDescent="0.3">
      <c r="A2541" s="1">
        <v>44711</v>
      </c>
      <c r="B2541" s="2" t="s">
        <v>720</v>
      </c>
      <c r="C2541" s="2" t="s">
        <v>75</v>
      </c>
      <c r="D2541" s="2" t="s">
        <v>28</v>
      </c>
      <c r="E2541" s="2" t="s">
        <v>29</v>
      </c>
      <c r="F2541" s="2">
        <v>128.85</v>
      </c>
      <c r="G2541" s="2">
        <v>3</v>
      </c>
      <c r="H2541" s="2">
        <v>3.87</v>
      </c>
      <c r="I2541" t="str">
        <f t="shared" si="39"/>
        <v>May</v>
      </c>
      <c r="J2541">
        <f>YEAR(datas[[#This Row],[Order Date]])</f>
        <v>2022</v>
      </c>
    </row>
    <row r="2542" spans="1:10" ht="14.25" customHeight="1" x14ac:dyDescent="0.3">
      <c r="A2542" s="1">
        <v>44711</v>
      </c>
      <c r="B2542" s="2" t="s">
        <v>721</v>
      </c>
      <c r="C2542" s="2" t="s">
        <v>36</v>
      </c>
      <c r="D2542" s="2" t="s">
        <v>28</v>
      </c>
      <c r="E2542" s="2" t="s">
        <v>34</v>
      </c>
      <c r="F2542" s="2">
        <v>151.96</v>
      </c>
      <c r="G2542" s="2">
        <v>4</v>
      </c>
      <c r="H2542" s="2">
        <v>36.47</v>
      </c>
      <c r="I2542" t="str">
        <f t="shared" si="39"/>
        <v>May</v>
      </c>
      <c r="J2542">
        <f>YEAR(datas[[#This Row],[Order Date]])</f>
        <v>2022</v>
      </c>
    </row>
    <row r="2543" spans="1:10" ht="14.25" customHeight="1" x14ac:dyDescent="0.3">
      <c r="A2543" s="1">
        <v>44712</v>
      </c>
      <c r="B2543" s="2" t="s">
        <v>217</v>
      </c>
      <c r="C2543" s="2" t="s">
        <v>21</v>
      </c>
      <c r="D2543" s="2" t="s">
        <v>10</v>
      </c>
      <c r="E2543" s="2" t="s">
        <v>11</v>
      </c>
      <c r="F2543" s="2">
        <v>58.38</v>
      </c>
      <c r="G2543" s="2">
        <v>7</v>
      </c>
      <c r="H2543" s="2">
        <v>26.27</v>
      </c>
      <c r="I2543" t="str">
        <f t="shared" si="39"/>
        <v>May</v>
      </c>
      <c r="J2543">
        <f>YEAR(datas[[#This Row],[Order Date]])</f>
        <v>2022</v>
      </c>
    </row>
    <row r="2544" spans="1:10" ht="14.25" customHeight="1" x14ac:dyDescent="0.3">
      <c r="A2544" s="1">
        <v>44712</v>
      </c>
      <c r="B2544" s="2" t="s">
        <v>217</v>
      </c>
      <c r="C2544" s="2" t="s">
        <v>21</v>
      </c>
      <c r="D2544" s="2" t="s">
        <v>10</v>
      </c>
      <c r="E2544" s="2" t="s">
        <v>11</v>
      </c>
      <c r="F2544" s="2">
        <v>105.52</v>
      </c>
      <c r="G2544" s="2">
        <v>4</v>
      </c>
      <c r="H2544" s="2">
        <v>48.54</v>
      </c>
      <c r="I2544" t="str">
        <f t="shared" si="39"/>
        <v>May</v>
      </c>
      <c r="J2544">
        <f>YEAR(datas[[#This Row],[Order Date]])</f>
        <v>2022</v>
      </c>
    </row>
    <row r="2545" spans="1:10" ht="14.25" customHeight="1" x14ac:dyDescent="0.3">
      <c r="A2545" s="1">
        <v>44712</v>
      </c>
      <c r="B2545" s="2" t="s">
        <v>217</v>
      </c>
      <c r="C2545" s="2" t="s">
        <v>21</v>
      </c>
      <c r="D2545" s="2" t="s">
        <v>10</v>
      </c>
      <c r="E2545" s="2" t="s">
        <v>15</v>
      </c>
      <c r="F2545" s="2">
        <v>80.88</v>
      </c>
      <c r="G2545" s="2">
        <v>6</v>
      </c>
      <c r="H2545" s="2">
        <v>21.03</v>
      </c>
      <c r="I2545" t="str">
        <f t="shared" si="39"/>
        <v>May</v>
      </c>
      <c r="J2545">
        <f>YEAR(datas[[#This Row],[Order Date]])</f>
        <v>2022</v>
      </c>
    </row>
    <row r="2546" spans="1:10" ht="14.25" customHeight="1" x14ac:dyDescent="0.3">
      <c r="A2546" s="1">
        <v>44712</v>
      </c>
      <c r="B2546" s="2" t="s">
        <v>147</v>
      </c>
      <c r="C2546" s="2" t="s">
        <v>248</v>
      </c>
      <c r="D2546" s="2" t="s">
        <v>26</v>
      </c>
      <c r="E2546" s="2" t="s">
        <v>32</v>
      </c>
      <c r="F2546" s="2">
        <v>22.2</v>
      </c>
      <c r="G2546" s="2">
        <v>6</v>
      </c>
      <c r="H2546" s="2">
        <v>9.1</v>
      </c>
      <c r="I2546" t="str">
        <f t="shared" si="39"/>
        <v>May</v>
      </c>
      <c r="J2546">
        <f>YEAR(datas[[#This Row],[Order Date]])</f>
        <v>2022</v>
      </c>
    </row>
    <row r="2547" spans="1:10" ht="14.25" customHeight="1" x14ac:dyDescent="0.3">
      <c r="A2547" s="1">
        <v>44712</v>
      </c>
      <c r="B2547" s="2" t="s">
        <v>102</v>
      </c>
      <c r="C2547" s="2" t="s">
        <v>134</v>
      </c>
      <c r="D2547" s="2" t="s">
        <v>26</v>
      </c>
      <c r="E2547" s="2" t="s">
        <v>45</v>
      </c>
      <c r="F2547" s="2">
        <v>1406.86</v>
      </c>
      <c r="G2547" s="2">
        <v>7</v>
      </c>
      <c r="H2547" s="2">
        <v>140.69</v>
      </c>
      <c r="I2547" t="str">
        <f t="shared" si="39"/>
        <v>May</v>
      </c>
      <c r="J2547">
        <f>YEAR(datas[[#This Row],[Order Date]])</f>
        <v>2022</v>
      </c>
    </row>
    <row r="2548" spans="1:10" ht="14.25" customHeight="1" x14ac:dyDescent="0.3">
      <c r="A2548" s="1">
        <v>44712</v>
      </c>
      <c r="B2548" s="2" t="s">
        <v>102</v>
      </c>
      <c r="C2548" s="2" t="s">
        <v>134</v>
      </c>
      <c r="D2548" s="2" t="s">
        <v>10</v>
      </c>
      <c r="E2548" s="2" t="s">
        <v>14</v>
      </c>
      <c r="F2548" s="2">
        <v>15.75</v>
      </c>
      <c r="G2548" s="2">
        <v>5</v>
      </c>
      <c r="H2548" s="2">
        <v>7.56</v>
      </c>
      <c r="I2548" t="str">
        <f t="shared" si="39"/>
        <v>May</v>
      </c>
      <c r="J2548">
        <f>YEAR(datas[[#This Row],[Order Date]])</f>
        <v>2022</v>
      </c>
    </row>
    <row r="2549" spans="1:10" ht="14.25" customHeight="1" x14ac:dyDescent="0.3">
      <c r="A2549" s="1">
        <v>44712</v>
      </c>
      <c r="B2549" s="2" t="s">
        <v>102</v>
      </c>
      <c r="C2549" s="2" t="s">
        <v>134</v>
      </c>
      <c r="D2549" s="2" t="s">
        <v>10</v>
      </c>
      <c r="E2549" s="2" t="s">
        <v>15</v>
      </c>
      <c r="F2549" s="2">
        <v>323.10000000000002</v>
      </c>
      <c r="G2549" s="2">
        <v>2</v>
      </c>
      <c r="H2549" s="2">
        <v>61.39</v>
      </c>
      <c r="I2549" t="str">
        <f t="shared" si="39"/>
        <v>May</v>
      </c>
      <c r="J2549">
        <f>YEAR(datas[[#This Row],[Order Date]])</f>
        <v>2022</v>
      </c>
    </row>
    <row r="2550" spans="1:10" ht="14.25" customHeight="1" x14ac:dyDescent="0.3">
      <c r="A2550" s="1">
        <v>44712</v>
      </c>
      <c r="B2550" s="2" t="s">
        <v>722</v>
      </c>
      <c r="C2550" s="2" t="s">
        <v>140</v>
      </c>
      <c r="D2550" s="2" t="s">
        <v>26</v>
      </c>
      <c r="E2550" s="2" t="s">
        <v>27</v>
      </c>
      <c r="F2550" s="2">
        <v>2567.84</v>
      </c>
      <c r="G2550" s="2">
        <v>8</v>
      </c>
      <c r="H2550" s="2">
        <v>770.35</v>
      </c>
      <c r="I2550" t="str">
        <f t="shared" si="39"/>
        <v>May</v>
      </c>
      <c r="J2550">
        <f>YEAR(datas[[#This Row],[Order Date]])</f>
        <v>2022</v>
      </c>
    </row>
    <row r="2551" spans="1:10" ht="14.25" customHeight="1" x14ac:dyDescent="0.3">
      <c r="A2551" s="1">
        <v>44712</v>
      </c>
      <c r="B2551" s="2" t="s">
        <v>723</v>
      </c>
      <c r="C2551" s="2" t="s">
        <v>115</v>
      </c>
      <c r="D2551" s="2" t="s">
        <v>10</v>
      </c>
      <c r="E2551" s="2" t="s">
        <v>19</v>
      </c>
      <c r="F2551" s="2">
        <v>10.27</v>
      </c>
      <c r="G2551" s="2">
        <v>3</v>
      </c>
      <c r="H2551" s="2">
        <v>1.1599999999999999</v>
      </c>
      <c r="I2551" t="str">
        <f t="shared" si="39"/>
        <v>May</v>
      </c>
      <c r="J2551">
        <f>YEAR(datas[[#This Row],[Order Date]])</f>
        <v>2022</v>
      </c>
    </row>
    <row r="2552" spans="1:10" ht="14.25" customHeight="1" x14ac:dyDescent="0.3">
      <c r="A2552" s="1">
        <v>44712</v>
      </c>
      <c r="B2552" s="2" t="s">
        <v>316</v>
      </c>
      <c r="C2552" s="2" t="s">
        <v>75</v>
      </c>
      <c r="D2552" s="2" t="s">
        <v>10</v>
      </c>
      <c r="E2552" s="2" t="s">
        <v>30</v>
      </c>
      <c r="F2552" s="2">
        <v>7.56</v>
      </c>
      <c r="G2552" s="2">
        <v>6</v>
      </c>
      <c r="H2552" s="2">
        <v>0.3</v>
      </c>
      <c r="I2552" t="str">
        <f t="shared" si="39"/>
        <v>May</v>
      </c>
      <c r="J2552">
        <f>YEAR(datas[[#This Row],[Order Date]])</f>
        <v>2022</v>
      </c>
    </row>
    <row r="2553" spans="1:10" ht="14.25" customHeight="1" x14ac:dyDescent="0.3">
      <c r="A2553" s="1">
        <v>44712</v>
      </c>
      <c r="B2553" s="2" t="s">
        <v>432</v>
      </c>
      <c r="C2553" s="2" t="s">
        <v>13</v>
      </c>
      <c r="D2553" s="2" t="s">
        <v>10</v>
      </c>
      <c r="E2553" s="2" t="s">
        <v>14</v>
      </c>
      <c r="F2553" s="2">
        <v>5.9</v>
      </c>
      <c r="G2553" s="2">
        <v>2</v>
      </c>
      <c r="H2553" s="2">
        <v>1.99</v>
      </c>
      <c r="I2553" t="str">
        <f t="shared" si="39"/>
        <v>May</v>
      </c>
      <c r="J2553">
        <f>YEAR(datas[[#This Row],[Order Date]])</f>
        <v>2022</v>
      </c>
    </row>
    <row r="2554" spans="1:10" ht="14.25" customHeight="1" x14ac:dyDescent="0.3">
      <c r="A2554" s="1">
        <v>44712</v>
      </c>
      <c r="B2554" s="2" t="s">
        <v>432</v>
      </c>
      <c r="C2554" s="2" t="s">
        <v>13</v>
      </c>
      <c r="D2554" s="2" t="s">
        <v>10</v>
      </c>
      <c r="E2554" s="2" t="s">
        <v>11</v>
      </c>
      <c r="F2554" s="2">
        <v>173.49</v>
      </c>
      <c r="G2554" s="2">
        <v>7</v>
      </c>
      <c r="H2554" s="2">
        <v>54.22</v>
      </c>
      <c r="I2554" t="str">
        <f t="shared" si="39"/>
        <v>May</v>
      </c>
      <c r="J2554">
        <f>YEAR(datas[[#This Row],[Order Date]])</f>
        <v>2022</v>
      </c>
    </row>
    <row r="2555" spans="1:10" ht="14.25" customHeight="1" x14ac:dyDescent="0.3">
      <c r="A2555" s="1">
        <v>44712</v>
      </c>
      <c r="B2555" s="2" t="s">
        <v>432</v>
      </c>
      <c r="C2555" s="2" t="s">
        <v>13</v>
      </c>
      <c r="D2555" s="2" t="s">
        <v>26</v>
      </c>
      <c r="E2555" s="2" t="s">
        <v>32</v>
      </c>
      <c r="F2555" s="2">
        <v>51.56</v>
      </c>
      <c r="G2555" s="2">
        <v>2</v>
      </c>
      <c r="H2555" s="2">
        <v>-61.87</v>
      </c>
      <c r="I2555" t="str">
        <f t="shared" si="39"/>
        <v>May</v>
      </c>
      <c r="J2555">
        <f>YEAR(datas[[#This Row],[Order Date]])</f>
        <v>2022</v>
      </c>
    </row>
    <row r="2556" spans="1:10" ht="14.25" customHeight="1" x14ac:dyDescent="0.3">
      <c r="A2556" s="1">
        <v>44712</v>
      </c>
      <c r="B2556" s="2" t="s">
        <v>432</v>
      </c>
      <c r="C2556" s="2" t="s">
        <v>13</v>
      </c>
      <c r="D2556" s="2" t="s">
        <v>10</v>
      </c>
      <c r="E2556" s="2" t="s">
        <v>16</v>
      </c>
      <c r="F2556" s="2">
        <v>3.56</v>
      </c>
      <c r="G2556" s="2">
        <v>3</v>
      </c>
      <c r="H2556" s="2">
        <v>-6.24</v>
      </c>
      <c r="I2556" t="str">
        <f t="shared" si="39"/>
        <v>May</v>
      </c>
      <c r="J2556">
        <f>YEAR(datas[[#This Row],[Order Date]])</f>
        <v>2022</v>
      </c>
    </row>
    <row r="2557" spans="1:10" ht="14.25" customHeight="1" x14ac:dyDescent="0.3">
      <c r="A2557" s="1">
        <v>44712</v>
      </c>
      <c r="B2557" s="2" t="s">
        <v>623</v>
      </c>
      <c r="C2557" s="2" t="s">
        <v>87</v>
      </c>
      <c r="D2557" s="2" t="s">
        <v>10</v>
      </c>
      <c r="E2557" s="2" t="s">
        <v>11</v>
      </c>
      <c r="F2557" s="2">
        <v>274.8</v>
      </c>
      <c r="G2557" s="2">
        <v>5</v>
      </c>
      <c r="H2557" s="2">
        <v>134.65</v>
      </c>
      <c r="I2557" t="str">
        <f t="shared" si="39"/>
        <v>May</v>
      </c>
      <c r="J2557">
        <f>YEAR(datas[[#This Row],[Order Date]])</f>
        <v>2022</v>
      </c>
    </row>
    <row r="2558" spans="1:10" ht="14.25" customHeight="1" x14ac:dyDescent="0.3">
      <c r="A2558" s="1">
        <v>44712</v>
      </c>
      <c r="B2558" s="2" t="s">
        <v>623</v>
      </c>
      <c r="C2558" s="2" t="s">
        <v>87</v>
      </c>
      <c r="D2558" s="2" t="s">
        <v>10</v>
      </c>
      <c r="E2558" s="2" t="s">
        <v>15</v>
      </c>
      <c r="F2558" s="2">
        <v>62.18</v>
      </c>
      <c r="G2558" s="2">
        <v>1</v>
      </c>
      <c r="H2558" s="2">
        <v>16.79</v>
      </c>
      <c r="I2558" t="str">
        <f t="shared" si="39"/>
        <v>May</v>
      </c>
      <c r="J2558">
        <f>YEAR(datas[[#This Row],[Order Date]])</f>
        <v>2022</v>
      </c>
    </row>
    <row r="2559" spans="1:10" ht="14.25" customHeight="1" x14ac:dyDescent="0.3">
      <c r="A2559" s="1">
        <v>44712</v>
      </c>
      <c r="B2559" s="2" t="s">
        <v>623</v>
      </c>
      <c r="C2559" s="2" t="s">
        <v>87</v>
      </c>
      <c r="D2559" s="2" t="s">
        <v>26</v>
      </c>
      <c r="E2559" s="2" t="s">
        <v>32</v>
      </c>
      <c r="F2559" s="2">
        <v>8.2799999999999994</v>
      </c>
      <c r="G2559" s="2">
        <v>2</v>
      </c>
      <c r="H2559" s="2">
        <v>2.98</v>
      </c>
      <c r="I2559" t="str">
        <f t="shared" si="39"/>
        <v>May</v>
      </c>
      <c r="J2559">
        <f>YEAR(datas[[#This Row],[Order Date]])</f>
        <v>2022</v>
      </c>
    </row>
    <row r="2560" spans="1:10" ht="14.25" customHeight="1" x14ac:dyDescent="0.3">
      <c r="A2560" s="1">
        <v>44713</v>
      </c>
      <c r="B2560" s="2" t="s">
        <v>184</v>
      </c>
      <c r="C2560" s="2" t="s">
        <v>9</v>
      </c>
      <c r="D2560" s="2" t="s">
        <v>10</v>
      </c>
      <c r="E2560" s="2" t="s">
        <v>16</v>
      </c>
      <c r="F2560" s="2">
        <v>5.73</v>
      </c>
      <c r="G2560" s="2">
        <v>8</v>
      </c>
      <c r="H2560" s="2">
        <v>-9.16</v>
      </c>
      <c r="I2560" t="str">
        <f t="shared" si="39"/>
        <v>Jun</v>
      </c>
      <c r="J2560">
        <f>YEAR(datas[[#This Row],[Order Date]])</f>
        <v>2022</v>
      </c>
    </row>
    <row r="2561" spans="1:10" ht="14.25" customHeight="1" x14ac:dyDescent="0.3">
      <c r="A2561" s="1">
        <v>44713</v>
      </c>
      <c r="B2561" s="2" t="s">
        <v>184</v>
      </c>
      <c r="C2561" s="2" t="s">
        <v>9</v>
      </c>
      <c r="D2561" s="2" t="s">
        <v>10</v>
      </c>
      <c r="E2561" s="2" t="s">
        <v>11</v>
      </c>
      <c r="F2561" s="2">
        <v>42.24</v>
      </c>
      <c r="G2561" s="2">
        <v>10</v>
      </c>
      <c r="H2561" s="2">
        <v>13.2</v>
      </c>
      <c r="I2561" t="str">
        <f t="shared" si="39"/>
        <v>Jun</v>
      </c>
      <c r="J2561">
        <f>YEAR(datas[[#This Row],[Order Date]])</f>
        <v>2022</v>
      </c>
    </row>
    <row r="2562" spans="1:10" ht="14.25" customHeight="1" x14ac:dyDescent="0.3">
      <c r="A2562" s="1">
        <v>44713</v>
      </c>
      <c r="B2562" s="2" t="s">
        <v>114</v>
      </c>
      <c r="C2562" s="2" t="s">
        <v>60</v>
      </c>
      <c r="D2562" s="2" t="s">
        <v>28</v>
      </c>
      <c r="E2562" s="2" t="s">
        <v>29</v>
      </c>
      <c r="F2562" s="2">
        <v>299.98</v>
      </c>
      <c r="G2562" s="2">
        <v>2</v>
      </c>
      <c r="H2562" s="2">
        <v>83.99</v>
      </c>
      <c r="I2562" t="str">
        <f t="shared" si="39"/>
        <v>Jun</v>
      </c>
      <c r="J2562">
        <f>YEAR(datas[[#This Row],[Order Date]])</f>
        <v>2022</v>
      </c>
    </row>
    <row r="2563" spans="1:10" ht="14.25" customHeight="1" x14ac:dyDescent="0.3">
      <c r="A2563" s="1">
        <v>44713</v>
      </c>
      <c r="B2563" s="2" t="s">
        <v>114</v>
      </c>
      <c r="C2563" s="2" t="s">
        <v>60</v>
      </c>
      <c r="D2563" s="2" t="s">
        <v>10</v>
      </c>
      <c r="E2563" s="2" t="s">
        <v>16</v>
      </c>
      <c r="F2563" s="2">
        <v>403.68</v>
      </c>
      <c r="G2563" s="2">
        <v>6</v>
      </c>
      <c r="H2563" s="2">
        <v>181.66</v>
      </c>
      <c r="I2563" t="str">
        <f t="shared" ref="I2563:I2626" si="40">TEXT(A2563,"mmm")</f>
        <v>Jun</v>
      </c>
      <c r="J2563">
        <f>YEAR(datas[[#This Row],[Order Date]])</f>
        <v>2022</v>
      </c>
    </row>
    <row r="2564" spans="1:10" ht="14.25" customHeight="1" x14ac:dyDescent="0.3">
      <c r="A2564" s="1">
        <v>44713</v>
      </c>
      <c r="B2564" s="2" t="s">
        <v>114</v>
      </c>
      <c r="C2564" s="2" t="s">
        <v>60</v>
      </c>
      <c r="D2564" s="2" t="s">
        <v>28</v>
      </c>
      <c r="E2564" s="2" t="s">
        <v>29</v>
      </c>
      <c r="F2564" s="2">
        <v>41.9</v>
      </c>
      <c r="G2564" s="2">
        <v>2</v>
      </c>
      <c r="H2564" s="2">
        <v>11.73</v>
      </c>
      <c r="I2564" t="str">
        <f t="shared" si="40"/>
        <v>Jun</v>
      </c>
      <c r="J2564">
        <f>YEAR(datas[[#This Row],[Order Date]])</f>
        <v>2022</v>
      </c>
    </row>
    <row r="2565" spans="1:10" ht="14.25" customHeight="1" x14ac:dyDescent="0.3">
      <c r="A2565" s="1">
        <v>44713</v>
      </c>
      <c r="B2565" s="2" t="s">
        <v>114</v>
      </c>
      <c r="C2565" s="2" t="s">
        <v>60</v>
      </c>
      <c r="D2565" s="2" t="s">
        <v>10</v>
      </c>
      <c r="E2565" s="2" t="s">
        <v>14</v>
      </c>
      <c r="F2565" s="2">
        <v>28.91</v>
      </c>
      <c r="G2565" s="2">
        <v>7</v>
      </c>
      <c r="H2565" s="2">
        <v>13.3</v>
      </c>
      <c r="I2565" t="str">
        <f t="shared" si="40"/>
        <v>Jun</v>
      </c>
      <c r="J2565">
        <f>YEAR(datas[[#This Row],[Order Date]])</f>
        <v>2022</v>
      </c>
    </row>
    <row r="2566" spans="1:10" ht="14.25" customHeight="1" x14ac:dyDescent="0.3">
      <c r="A2566" s="1">
        <v>44713</v>
      </c>
      <c r="B2566" s="2" t="s">
        <v>724</v>
      </c>
      <c r="C2566" s="2" t="s">
        <v>21</v>
      </c>
      <c r="D2566" s="2" t="s">
        <v>10</v>
      </c>
      <c r="E2566" s="2" t="s">
        <v>11</v>
      </c>
      <c r="F2566" s="2">
        <v>11.76</v>
      </c>
      <c r="G2566" s="2">
        <v>2</v>
      </c>
      <c r="H2566" s="2">
        <v>5.76</v>
      </c>
      <c r="I2566" t="str">
        <f t="shared" si="40"/>
        <v>Jun</v>
      </c>
      <c r="J2566">
        <f>YEAR(datas[[#This Row],[Order Date]])</f>
        <v>2022</v>
      </c>
    </row>
    <row r="2567" spans="1:10" ht="14.25" customHeight="1" x14ac:dyDescent="0.3">
      <c r="A2567" s="1">
        <v>44716</v>
      </c>
      <c r="B2567" s="2" t="s">
        <v>236</v>
      </c>
      <c r="C2567" s="2" t="s">
        <v>82</v>
      </c>
      <c r="D2567" s="2" t="s">
        <v>10</v>
      </c>
      <c r="E2567" s="2" t="s">
        <v>14</v>
      </c>
      <c r="F2567" s="2">
        <v>7.38</v>
      </c>
      <c r="G2567" s="2">
        <v>2</v>
      </c>
      <c r="H2567" s="2">
        <v>3.47</v>
      </c>
      <c r="I2567" t="str">
        <f t="shared" si="40"/>
        <v>Jun</v>
      </c>
      <c r="J2567">
        <f>YEAR(datas[[#This Row],[Order Date]])</f>
        <v>2022</v>
      </c>
    </row>
    <row r="2568" spans="1:10" ht="14.25" customHeight="1" x14ac:dyDescent="0.3">
      <c r="A2568" s="1">
        <v>44716</v>
      </c>
      <c r="B2568" s="2" t="s">
        <v>236</v>
      </c>
      <c r="C2568" s="2" t="s">
        <v>82</v>
      </c>
      <c r="D2568" s="2" t="s">
        <v>10</v>
      </c>
      <c r="E2568" s="2" t="s">
        <v>19</v>
      </c>
      <c r="F2568" s="2">
        <v>9.26</v>
      </c>
      <c r="G2568" s="2">
        <v>2</v>
      </c>
      <c r="H2568" s="2">
        <v>3.06</v>
      </c>
      <c r="I2568" t="str">
        <f t="shared" si="40"/>
        <v>Jun</v>
      </c>
      <c r="J2568">
        <f>YEAR(datas[[#This Row],[Order Date]])</f>
        <v>2022</v>
      </c>
    </row>
    <row r="2569" spans="1:10" ht="14.25" customHeight="1" x14ac:dyDescent="0.3">
      <c r="A2569" s="1">
        <v>44716</v>
      </c>
      <c r="B2569" s="2" t="s">
        <v>564</v>
      </c>
      <c r="C2569" s="2" t="s">
        <v>75</v>
      </c>
      <c r="D2569" s="2" t="s">
        <v>10</v>
      </c>
      <c r="E2569" s="2" t="s">
        <v>11</v>
      </c>
      <c r="F2569" s="2">
        <v>30.44</v>
      </c>
      <c r="G2569" s="2">
        <v>4</v>
      </c>
      <c r="H2569" s="2">
        <v>14.31</v>
      </c>
      <c r="I2569" t="str">
        <f t="shared" si="40"/>
        <v>Jun</v>
      </c>
      <c r="J2569">
        <f>YEAR(datas[[#This Row],[Order Date]])</f>
        <v>2022</v>
      </c>
    </row>
    <row r="2570" spans="1:10" ht="14.25" customHeight="1" x14ac:dyDescent="0.3">
      <c r="A2570" s="1">
        <v>44716</v>
      </c>
      <c r="B2570" s="2" t="s">
        <v>564</v>
      </c>
      <c r="C2570" s="2" t="s">
        <v>75</v>
      </c>
      <c r="D2570" s="2" t="s">
        <v>26</v>
      </c>
      <c r="E2570" s="2" t="s">
        <v>32</v>
      </c>
      <c r="F2570" s="2">
        <v>35.28</v>
      </c>
      <c r="G2570" s="2">
        <v>3</v>
      </c>
      <c r="H2570" s="2">
        <v>12</v>
      </c>
      <c r="I2570" t="str">
        <f t="shared" si="40"/>
        <v>Jun</v>
      </c>
      <c r="J2570">
        <f>YEAR(datas[[#This Row],[Order Date]])</f>
        <v>2022</v>
      </c>
    </row>
    <row r="2571" spans="1:10" ht="14.25" customHeight="1" x14ac:dyDescent="0.3">
      <c r="A2571" s="1">
        <v>44716</v>
      </c>
      <c r="B2571" s="2" t="s">
        <v>725</v>
      </c>
      <c r="C2571" s="2" t="s">
        <v>21</v>
      </c>
      <c r="D2571" s="2" t="s">
        <v>28</v>
      </c>
      <c r="E2571" s="2" t="s">
        <v>34</v>
      </c>
      <c r="F2571" s="2">
        <v>119.98</v>
      </c>
      <c r="G2571" s="2">
        <v>2</v>
      </c>
      <c r="H2571" s="2">
        <v>35.99</v>
      </c>
      <c r="I2571" t="str">
        <f t="shared" si="40"/>
        <v>Jun</v>
      </c>
      <c r="J2571">
        <f>YEAR(datas[[#This Row],[Order Date]])</f>
        <v>2022</v>
      </c>
    </row>
    <row r="2572" spans="1:10" ht="14.25" customHeight="1" x14ac:dyDescent="0.3">
      <c r="A2572" s="1">
        <v>44716</v>
      </c>
      <c r="B2572" s="2" t="s">
        <v>725</v>
      </c>
      <c r="C2572" s="2" t="s">
        <v>21</v>
      </c>
      <c r="D2572" s="2" t="s">
        <v>28</v>
      </c>
      <c r="E2572" s="2" t="s">
        <v>34</v>
      </c>
      <c r="F2572" s="2">
        <v>989.97</v>
      </c>
      <c r="G2572" s="2">
        <v>3</v>
      </c>
      <c r="H2572" s="2">
        <v>395.99</v>
      </c>
      <c r="I2572" t="str">
        <f t="shared" si="40"/>
        <v>Jun</v>
      </c>
      <c r="J2572">
        <f>YEAR(datas[[#This Row],[Order Date]])</f>
        <v>2022</v>
      </c>
    </row>
    <row r="2573" spans="1:10" ht="14.25" customHeight="1" x14ac:dyDescent="0.3">
      <c r="A2573" s="1">
        <v>44717</v>
      </c>
      <c r="B2573" s="2" t="s">
        <v>687</v>
      </c>
      <c r="C2573" s="2" t="s">
        <v>75</v>
      </c>
      <c r="D2573" s="2" t="s">
        <v>26</v>
      </c>
      <c r="E2573" s="2" t="s">
        <v>27</v>
      </c>
      <c r="F2573" s="2">
        <v>1522.64</v>
      </c>
      <c r="G2573" s="2">
        <v>9</v>
      </c>
      <c r="H2573" s="2">
        <v>169.18</v>
      </c>
      <c r="I2573" t="str">
        <f t="shared" si="40"/>
        <v>Jun</v>
      </c>
      <c r="J2573">
        <f>YEAR(datas[[#This Row],[Order Date]])</f>
        <v>2022</v>
      </c>
    </row>
    <row r="2574" spans="1:10" ht="14.25" customHeight="1" x14ac:dyDescent="0.3">
      <c r="A2574" s="1">
        <v>44717</v>
      </c>
      <c r="B2574" s="2" t="s">
        <v>726</v>
      </c>
      <c r="C2574" s="2" t="s">
        <v>91</v>
      </c>
      <c r="D2574" s="2" t="s">
        <v>10</v>
      </c>
      <c r="E2574" s="2" t="s">
        <v>11</v>
      </c>
      <c r="F2574" s="2">
        <v>10.56</v>
      </c>
      <c r="G2574" s="2">
        <v>2</v>
      </c>
      <c r="H2574" s="2">
        <v>4.75</v>
      </c>
      <c r="I2574" t="str">
        <f t="shared" si="40"/>
        <v>Jun</v>
      </c>
      <c r="J2574">
        <f>YEAR(datas[[#This Row],[Order Date]])</f>
        <v>2022</v>
      </c>
    </row>
    <row r="2575" spans="1:10" ht="14.25" customHeight="1" x14ac:dyDescent="0.3">
      <c r="A2575" s="1">
        <v>44719</v>
      </c>
      <c r="B2575" s="2" t="s">
        <v>727</v>
      </c>
      <c r="C2575" s="2" t="s">
        <v>21</v>
      </c>
      <c r="D2575" s="2" t="s">
        <v>10</v>
      </c>
      <c r="E2575" s="2" t="s">
        <v>16</v>
      </c>
      <c r="F2575" s="2">
        <v>7.52</v>
      </c>
      <c r="G2575" s="2">
        <v>5</v>
      </c>
      <c r="H2575" s="2">
        <v>2.63</v>
      </c>
      <c r="I2575" t="str">
        <f t="shared" si="40"/>
        <v>Jun</v>
      </c>
      <c r="J2575">
        <f>YEAR(datas[[#This Row],[Order Date]])</f>
        <v>2022</v>
      </c>
    </row>
    <row r="2576" spans="1:10" ht="14.25" customHeight="1" x14ac:dyDescent="0.3">
      <c r="A2576" s="1">
        <v>44719</v>
      </c>
      <c r="B2576" s="2" t="s">
        <v>264</v>
      </c>
      <c r="C2576" s="2" t="s">
        <v>18</v>
      </c>
      <c r="D2576" s="2" t="s">
        <v>10</v>
      </c>
      <c r="E2576" s="2" t="s">
        <v>16</v>
      </c>
      <c r="F2576" s="2">
        <v>18.309999999999999</v>
      </c>
      <c r="G2576" s="2">
        <v>4</v>
      </c>
      <c r="H2576" s="2">
        <v>-12.21</v>
      </c>
      <c r="I2576" t="str">
        <f t="shared" si="40"/>
        <v>Jun</v>
      </c>
      <c r="J2576">
        <f>YEAR(datas[[#This Row],[Order Date]])</f>
        <v>2022</v>
      </c>
    </row>
    <row r="2577" spans="1:10" ht="14.25" customHeight="1" x14ac:dyDescent="0.3">
      <c r="A2577" s="1">
        <v>44719</v>
      </c>
      <c r="B2577" s="2" t="s">
        <v>264</v>
      </c>
      <c r="C2577" s="2" t="s">
        <v>18</v>
      </c>
      <c r="D2577" s="2" t="s">
        <v>10</v>
      </c>
      <c r="E2577" s="2" t="s">
        <v>11</v>
      </c>
      <c r="F2577" s="2">
        <v>25.92</v>
      </c>
      <c r="G2577" s="2">
        <v>5</v>
      </c>
      <c r="H2577" s="2">
        <v>9.07</v>
      </c>
      <c r="I2577" t="str">
        <f t="shared" si="40"/>
        <v>Jun</v>
      </c>
      <c r="J2577">
        <f>YEAR(datas[[#This Row],[Order Date]])</f>
        <v>2022</v>
      </c>
    </row>
    <row r="2578" spans="1:10" ht="14.25" customHeight="1" x14ac:dyDescent="0.3">
      <c r="A2578" s="1">
        <v>44719</v>
      </c>
      <c r="B2578" s="2" t="s">
        <v>264</v>
      </c>
      <c r="C2578" s="2" t="s">
        <v>18</v>
      </c>
      <c r="D2578" s="2" t="s">
        <v>10</v>
      </c>
      <c r="E2578" s="2" t="s">
        <v>19</v>
      </c>
      <c r="F2578" s="2">
        <v>8.02</v>
      </c>
      <c r="G2578" s="2">
        <v>3</v>
      </c>
      <c r="H2578" s="2">
        <v>1</v>
      </c>
      <c r="I2578" t="str">
        <f t="shared" si="40"/>
        <v>Jun</v>
      </c>
      <c r="J2578">
        <f>YEAR(datas[[#This Row],[Order Date]])</f>
        <v>2022</v>
      </c>
    </row>
    <row r="2579" spans="1:10" ht="14.25" customHeight="1" x14ac:dyDescent="0.3">
      <c r="A2579" s="1">
        <v>44720</v>
      </c>
      <c r="B2579" s="2" t="s">
        <v>657</v>
      </c>
      <c r="C2579" s="2" t="s">
        <v>13</v>
      </c>
      <c r="D2579" s="2" t="s">
        <v>28</v>
      </c>
      <c r="E2579" s="2" t="s">
        <v>34</v>
      </c>
      <c r="F2579" s="2">
        <v>2.38</v>
      </c>
      <c r="G2579" s="2">
        <v>3</v>
      </c>
      <c r="H2579" s="2">
        <v>0.74</v>
      </c>
      <c r="I2579" t="str">
        <f t="shared" si="40"/>
        <v>Jun</v>
      </c>
      <c r="J2579">
        <f>YEAR(datas[[#This Row],[Order Date]])</f>
        <v>2022</v>
      </c>
    </row>
    <row r="2580" spans="1:10" ht="14.25" customHeight="1" x14ac:dyDescent="0.3">
      <c r="A2580" s="1">
        <v>44720</v>
      </c>
      <c r="B2580" s="2" t="s">
        <v>657</v>
      </c>
      <c r="C2580" s="2" t="s">
        <v>13</v>
      </c>
      <c r="D2580" s="2" t="s">
        <v>10</v>
      </c>
      <c r="E2580" s="2" t="s">
        <v>53</v>
      </c>
      <c r="F2580" s="2">
        <v>143.13</v>
      </c>
      <c r="G2580" s="2">
        <v>2</v>
      </c>
      <c r="H2580" s="2">
        <v>-393.6</v>
      </c>
      <c r="I2580" t="str">
        <f t="shared" si="40"/>
        <v>Jun</v>
      </c>
      <c r="J2580">
        <f>YEAR(datas[[#This Row],[Order Date]])</f>
        <v>2022</v>
      </c>
    </row>
    <row r="2581" spans="1:10" ht="14.25" customHeight="1" x14ac:dyDescent="0.3">
      <c r="A2581" s="1">
        <v>44720</v>
      </c>
      <c r="B2581" s="2" t="s">
        <v>669</v>
      </c>
      <c r="C2581" s="2" t="s">
        <v>64</v>
      </c>
      <c r="D2581" s="2" t="s">
        <v>10</v>
      </c>
      <c r="E2581" s="2" t="s">
        <v>11</v>
      </c>
      <c r="F2581" s="2">
        <v>173.49</v>
      </c>
      <c r="G2581" s="2">
        <v>7</v>
      </c>
      <c r="H2581" s="2">
        <v>54.22</v>
      </c>
      <c r="I2581" t="str">
        <f t="shared" si="40"/>
        <v>Jun</v>
      </c>
      <c r="J2581">
        <f>YEAR(datas[[#This Row],[Order Date]])</f>
        <v>2022</v>
      </c>
    </row>
    <row r="2582" spans="1:10" ht="14.25" customHeight="1" x14ac:dyDescent="0.3">
      <c r="A2582" s="1">
        <v>44720</v>
      </c>
      <c r="B2582" s="2" t="s">
        <v>669</v>
      </c>
      <c r="C2582" s="2" t="s">
        <v>64</v>
      </c>
      <c r="D2582" s="2" t="s">
        <v>10</v>
      </c>
      <c r="E2582" s="2" t="s">
        <v>15</v>
      </c>
      <c r="F2582" s="2">
        <v>516.96</v>
      </c>
      <c r="G2582" s="2">
        <v>4</v>
      </c>
      <c r="H2582" s="2">
        <v>-6.46</v>
      </c>
      <c r="I2582" t="str">
        <f t="shared" si="40"/>
        <v>Jun</v>
      </c>
      <c r="J2582">
        <f>YEAR(datas[[#This Row],[Order Date]])</f>
        <v>2022</v>
      </c>
    </row>
    <row r="2583" spans="1:10" ht="14.25" customHeight="1" x14ac:dyDescent="0.3">
      <c r="A2583" s="1">
        <v>44720</v>
      </c>
      <c r="B2583" s="2" t="s">
        <v>669</v>
      </c>
      <c r="C2583" s="2" t="s">
        <v>64</v>
      </c>
      <c r="D2583" s="2" t="s">
        <v>26</v>
      </c>
      <c r="E2583" s="2" t="s">
        <v>32</v>
      </c>
      <c r="F2583" s="2">
        <v>173.21</v>
      </c>
      <c r="G2583" s="2">
        <v>7</v>
      </c>
      <c r="H2583" s="2">
        <v>45.47</v>
      </c>
      <c r="I2583" t="str">
        <f t="shared" si="40"/>
        <v>Jun</v>
      </c>
      <c r="J2583">
        <f>YEAR(datas[[#This Row],[Order Date]])</f>
        <v>2022</v>
      </c>
    </row>
    <row r="2584" spans="1:10" ht="14.25" customHeight="1" x14ac:dyDescent="0.3">
      <c r="A2584" s="1">
        <v>44720</v>
      </c>
      <c r="B2584" s="2" t="s">
        <v>669</v>
      </c>
      <c r="C2584" s="2" t="s">
        <v>64</v>
      </c>
      <c r="D2584" s="2" t="s">
        <v>10</v>
      </c>
      <c r="E2584" s="2" t="s">
        <v>19</v>
      </c>
      <c r="F2584" s="2">
        <v>4.45</v>
      </c>
      <c r="G2584" s="2">
        <v>2</v>
      </c>
      <c r="H2584" s="2">
        <v>0.33</v>
      </c>
      <c r="I2584" t="str">
        <f t="shared" si="40"/>
        <v>Jun</v>
      </c>
      <c r="J2584">
        <f>YEAR(datas[[#This Row],[Order Date]])</f>
        <v>2022</v>
      </c>
    </row>
    <row r="2585" spans="1:10" ht="14.25" customHeight="1" x14ac:dyDescent="0.3">
      <c r="A2585" s="1">
        <v>44720</v>
      </c>
      <c r="B2585" s="2" t="s">
        <v>669</v>
      </c>
      <c r="C2585" s="2" t="s">
        <v>64</v>
      </c>
      <c r="D2585" s="2" t="s">
        <v>10</v>
      </c>
      <c r="E2585" s="2" t="s">
        <v>14</v>
      </c>
      <c r="F2585" s="2">
        <v>9</v>
      </c>
      <c r="G2585" s="2">
        <v>3</v>
      </c>
      <c r="H2585" s="2">
        <v>3.15</v>
      </c>
      <c r="I2585" t="str">
        <f t="shared" si="40"/>
        <v>Jun</v>
      </c>
      <c r="J2585">
        <f>YEAR(datas[[#This Row],[Order Date]])</f>
        <v>2022</v>
      </c>
    </row>
    <row r="2586" spans="1:10" ht="14.25" customHeight="1" x14ac:dyDescent="0.3">
      <c r="A2586" s="1">
        <v>44720</v>
      </c>
      <c r="B2586" s="2" t="s">
        <v>669</v>
      </c>
      <c r="C2586" s="2" t="s">
        <v>64</v>
      </c>
      <c r="D2586" s="2" t="s">
        <v>10</v>
      </c>
      <c r="E2586" s="2" t="s">
        <v>11</v>
      </c>
      <c r="F2586" s="2">
        <v>42.24</v>
      </c>
      <c r="G2586" s="2">
        <v>10</v>
      </c>
      <c r="H2586" s="2">
        <v>13.2</v>
      </c>
      <c r="I2586" t="str">
        <f t="shared" si="40"/>
        <v>Jun</v>
      </c>
      <c r="J2586">
        <f>YEAR(datas[[#This Row],[Order Date]])</f>
        <v>2022</v>
      </c>
    </row>
    <row r="2587" spans="1:10" ht="14.25" customHeight="1" x14ac:dyDescent="0.3">
      <c r="A2587" s="1">
        <v>44720</v>
      </c>
      <c r="B2587" s="2" t="s">
        <v>669</v>
      </c>
      <c r="C2587" s="2" t="s">
        <v>64</v>
      </c>
      <c r="D2587" s="2" t="s">
        <v>10</v>
      </c>
      <c r="E2587" s="2" t="s">
        <v>16</v>
      </c>
      <c r="F2587" s="2">
        <v>18.260000000000002</v>
      </c>
      <c r="G2587" s="2">
        <v>2</v>
      </c>
      <c r="H2587" s="2">
        <v>-13.39</v>
      </c>
      <c r="I2587" t="str">
        <f t="shared" si="40"/>
        <v>Jun</v>
      </c>
      <c r="J2587">
        <f>YEAR(datas[[#This Row],[Order Date]])</f>
        <v>2022</v>
      </c>
    </row>
    <row r="2588" spans="1:10" ht="14.25" customHeight="1" x14ac:dyDescent="0.3">
      <c r="A2588" s="1">
        <v>44721</v>
      </c>
      <c r="B2588" s="2" t="s">
        <v>479</v>
      </c>
      <c r="C2588" s="2" t="s">
        <v>36</v>
      </c>
      <c r="D2588" s="2" t="s">
        <v>10</v>
      </c>
      <c r="E2588" s="2" t="s">
        <v>16</v>
      </c>
      <c r="F2588" s="2">
        <v>113.1</v>
      </c>
      <c r="G2588" s="2">
        <v>3</v>
      </c>
      <c r="H2588" s="2">
        <v>56.55</v>
      </c>
      <c r="I2588" t="str">
        <f t="shared" si="40"/>
        <v>Jun</v>
      </c>
      <c r="J2588">
        <f>YEAR(datas[[#This Row],[Order Date]])</f>
        <v>2022</v>
      </c>
    </row>
    <row r="2589" spans="1:10" ht="14.25" customHeight="1" x14ac:dyDescent="0.3">
      <c r="A2589" s="1">
        <v>44721</v>
      </c>
      <c r="B2589" s="2" t="s">
        <v>245</v>
      </c>
      <c r="C2589" s="2" t="s">
        <v>60</v>
      </c>
      <c r="D2589" s="2" t="s">
        <v>10</v>
      </c>
      <c r="E2589" s="2" t="s">
        <v>11</v>
      </c>
      <c r="F2589" s="2">
        <v>12.96</v>
      </c>
      <c r="G2589" s="2">
        <v>2</v>
      </c>
      <c r="H2589" s="2">
        <v>6.22</v>
      </c>
      <c r="I2589" t="str">
        <f t="shared" si="40"/>
        <v>Jun</v>
      </c>
      <c r="J2589">
        <f>YEAR(datas[[#This Row],[Order Date]])</f>
        <v>2022</v>
      </c>
    </row>
    <row r="2590" spans="1:10" ht="14.25" customHeight="1" x14ac:dyDescent="0.3">
      <c r="A2590" s="1">
        <v>44721</v>
      </c>
      <c r="B2590" s="2" t="s">
        <v>179</v>
      </c>
      <c r="C2590" s="2" t="s">
        <v>207</v>
      </c>
      <c r="D2590" s="2" t="s">
        <v>26</v>
      </c>
      <c r="E2590" s="2" t="s">
        <v>32</v>
      </c>
      <c r="F2590" s="2">
        <v>355.36</v>
      </c>
      <c r="G2590" s="2">
        <v>4</v>
      </c>
      <c r="H2590" s="2">
        <v>92.39</v>
      </c>
      <c r="I2590" t="str">
        <f t="shared" si="40"/>
        <v>Jun</v>
      </c>
      <c r="J2590">
        <f>YEAR(datas[[#This Row],[Order Date]])</f>
        <v>2022</v>
      </c>
    </row>
    <row r="2591" spans="1:10" ht="14.25" customHeight="1" x14ac:dyDescent="0.3">
      <c r="A2591" s="1">
        <v>44721</v>
      </c>
      <c r="B2591" s="2" t="s">
        <v>179</v>
      </c>
      <c r="C2591" s="2" t="s">
        <v>207</v>
      </c>
      <c r="D2591" s="2" t="s">
        <v>28</v>
      </c>
      <c r="E2591" s="2" t="s">
        <v>29</v>
      </c>
      <c r="F2591" s="2">
        <v>140.38</v>
      </c>
      <c r="G2591" s="2">
        <v>3</v>
      </c>
      <c r="H2591" s="2">
        <v>8.77</v>
      </c>
      <c r="I2591" t="str">
        <f t="shared" si="40"/>
        <v>Jun</v>
      </c>
      <c r="J2591">
        <f>YEAR(datas[[#This Row],[Order Date]])</f>
        <v>2022</v>
      </c>
    </row>
    <row r="2592" spans="1:10" ht="14.25" customHeight="1" x14ac:dyDescent="0.3">
      <c r="A2592" s="1">
        <v>44721</v>
      </c>
      <c r="B2592" s="2" t="s">
        <v>728</v>
      </c>
      <c r="C2592" s="2" t="s">
        <v>64</v>
      </c>
      <c r="D2592" s="2" t="s">
        <v>10</v>
      </c>
      <c r="E2592" s="2" t="s">
        <v>16</v>
      </c>
      <c r="F2592" s="2">
        <v>64.2</v>
      </c>
      <c r="G2592" s="2">
        <v>5</v>
      </c>
      <c r="H2592" s="2">
        <v>-42.8</v>
      </c>
      <c r="I2592" t="str">
        <f t="shared" si="40"/>
        <v>Jun</v>
      </c>
      <c r="J2592">
        <f>YEAR(datas[[#This Row],[Order Date]])</f>
        <v>2022</v>
      </c>
    </row>
    <row r="2593" spans="1:10" ht="14.25" customHeight="1" x14ac:dyDescent="0.3">
      <c r="A2593" s="1">
        <v>44721</v>
      </c>
      <c r="B2593" s="2" t="s">
        <v>728</v>
      </c>
      <c r="C2593" s="2" t="s">
        <v>64</v>
      </c>
      <c r="D2593" s="2" t="s">
        <v>10</v>
      </c>
      <c r="E2593" s="2" t="s">
        <v>16</v>
      </c>
      <c r="F2593" s="2">
        <v>38.520000000000003</v>
      </c>
      <c r="G2593" s="2">
        <v>3</v>
      </c>
      <c r="H2593" s="2">
        <v>-26.96</v>
      </c>
      <c r="I2593" t="str">
        <f t="shared" si="40"/>
        <v>Jun</v>
      </c>
      <c r="J2593">
        <f>YEAR(datas[[#This Row],[Order Date]])</f>
        <v>2022</v>
      </c>
    </row>
    <row r="2594" spans="1:10" ht="14.25" customHeight="1" x14ac:dyDescent="0.3">
      <c r="A2594" s="1">
        <v>44721</v>
      </c>
      <c r="B2594" s="2" t="s">
        <v>728</v>
      </c>
      <c r="C2594" s="2" t="s">
        <v>64</v>
      </c>
      <c r="D2594" s="2" t="s">
        <v>28</v>
      </c>
      <c r="E2594" s="2" t="s">
        <v>34</v>
      </c>
      <c r="F2594" s="2">
        <v>72.599999999999994</v>
      </c>
      <c r="G2594" s="2">
        <v>5</v>
      </c>
      <c r="H2594" s="2">
        <v>-8.17</v>
      </c>
      <c r="I2594" t="str">
        <f t="shared" si="40"/>
        <v>Jun</v>
      </c>
      <c r="J2594">
        <f>YEAR(datas[[#This Row],[Order Date]])</f>
        <v>2022</v>
      </c>
    </row>
    <row r="2595" spans="1:10" ht="14.25" customHeight="1" x14ac:dyDescent="0.3">
      <c r="A2595" s="1">
        <v>44723</v>
      </c>
      <c r="B2595" s="2" t="s">
        <v>44</v>
      </c>
      <c r="C2595" s="2" t="s">
        <v>40</v>
      </c>
      <c r="D2595" s="2" t="s">
        <v>28</v>
      </c>
      <c r="E2595" s="2" t="s">
        <v>34</v>
      </c>
      <c r="F2595" s="2">
        <v>53.7</v>
      </c>
      <c r="G2595" s="2">
        <v>6</v>
      </c>
      <c r="H2595" s="2">
        <v>10.199999999999999</v>
      </c>
      <c r="I2595" t="str">
        <f t="shared" si="40"/>
        <v>Jun</v>
      </c>
      <c r="J2595">
        <f>YEAR(datas[[#This Row],[Order Date]])</f>
        <v>2022</v>
      </c>
    </row>
    <row r="2596" spans="1:10" ht="14.25" customHeight="1" x14ac:dyDescent="0.3">
      <c r="A2596" s="1">
        <v>44723</v>
      </c>
      <c r="B2596" s="2" t="s">
        <v>44</v>
      </c>
      <c r="C2596" s="2" t="s">
        <v>40</v>
      </c>
      <c r="D2596" s="2" t="s">
        <v>10</v>
      </c>
      <c r="E2596" s="2" t="s">
        <v>16</v>
      </c>
      <c r="F2596" s="2">
        <v>36.26</v>
      </c>
      <c r="G2596" s="2">
        <v>7</v>
      </c>
      <c r="H2596" s="2">
        <v>16.68</v>
      </c>
      <c r="I2596" t="str">
        <f t="shared" si="40"/>
        <v>Jun</v>
      </c>
      <c r="J2596">
        <f>YEAR(datas[[#This Row],[Order Date]])</f>
        <v>2022</v>
      </c>
    </row>
    <row r="2597" spans="1:10" ht="14.25" customHeight="1" x14ac:dyDescent="0.3">
      <c r="A2597" s="1">
        <v>44723</v>
      </c>
      <c r="B2597" s="2" t="s">
        <v>44</v>
      </c>
      <c r="C2597" s="2" t="s">
        <v>40</v>
      </c>
      <c r="D2597" s="2" t="s">
        <v>10</v>
      </c>
      <c r="E2597" s="2" t="s">
        <v>19</v>
      </c>
      <c r="F2597" s="2">
        <v>56.3</v>
      </c>
      <c r="G2597" s="2">
        <v>2</v>
      </c>
      <c r="H2597" s="2">
        <v>15.76</v>
      </c>
      <c r="I2597" t="str">
        <f t="shared" si="40"/>
        <v>Jun</v>
      </c>
      <c r="J2597">
        <f>YEAR(datas[[#This Row],[Order Date]])</f>
        <v>2022</v>
      </c>
    </row>
    <row r="2598" spans="1:10" ht="14.25" customHeight="1" x14ac:dyDescent="0.3">
      <c r="A2598" s="1">
        <v>44723</v>
      </c>
      <c r="B2598" s="2" t="s">
        <v>44</v>
      </c>
      <c r="C2598" s="2" t="s">
        <v>40</v>
      </c>
      <c r="D2598" s="2" t="s">
        <v>10</v>
      </c>
      <c r="E2598" s="2" t="s">
        <v>11</v>
      </c>
      <c r="F2598" s="2">
        <v>32.4</v>
      </c>
      <c r="G2598" s="2">
        <v>5</v>
      </c>
      <c r="H2598" s="2">
        <v>15.55</v>
      </c>
      <c r="I2598" t="str">
        <f t="shared" si="40"/>
        <v>Jun</v>
      </c>
      <c r="J2598">
        <f>YEAR(datas[[#This Row],[Order Date]])</f>
        <v>2022</v>
      </c>
    </row>
    <row r="2599" spans="1:10" ht="14.25" customHeight="1" x14ac:dyDescent="0.3">
      <c r="A2599" s="1">
        <v>44723</v>
      </c>
      <c r="B2599" s="2" t="s">
        <v>44</v>
      </c>
      <c r="C2599" s="2" t="s">
        <v>40</v>
      </c>
      <c r="D2599" s="2" t="s">
        <v>26</v>
      </c>
      <c r="E2599" s="2" t="s">
        <v>32</v>
      </c>
      <c r="F2599" s="2">
        <v>29.16</v>
      </c>
      <c r="G2599" s="2">
        <v>2</v>
      </c>
      <c r="H2599" s="2">
        <v>10.79</v>
      </c>
      <c r="I2599" t="str">
        <f t="shared" si="40"/>
        <v>Jun</v>
      </c>
      <c r="J2599">
        <f>YEAR(datas[[#This Row],[Order Date]])</f>
        <v>2022</v>
      </c>
    </row>
    <row r="2600" spans="1:10" ht="14.25" customHeight="1" x14ac:dyDescent="0.3">
      <c r="A2600" s="1">
        <v>44723</v>
      </c>
      <c r="B2600" s="2" t="s">
        <v>529</v>
      </c>
      <c r="C2600" s="2" t="s">
        <v>64</v>
      </c>
      <c r="D2600" s="2" t="s">
        <v>26</v>
      </c>
      <c r="E2600" s="2" t="s">
        <v>27</v>
      </c>
      <c r="F2600" s="2">
        <v>1123.92</v>
      </c>
      <c r="G2600" s="2">
        <v>5</v>
      </c>
      <c r="H2600" s="2">
        <v>-182.64</v>
      </c>
      <c r="I2600" t="str">
        <f t="shared" si="40"/>
        <v>Jun</v>
      </c>
      <c r="J2600">
        <f>YEAR(datas[[#This Row],[Order Date]])</f>
        <v>2022</v>
      </c>
    </row>
    <row r="2601" spans="1:10" ht="14.25" customHeight="1" x14ac:dyDescent="0.3">
      <c r="A2601" s="1">
        <v>44723</v>
      </c>
      <c r="B2601" s="2" t="s">
        <v>529</v>
      </c>
      <c r="C2601" s="2" t="s">
        <v>64</v>
      </c>
      <c r="D2601" s="2" t="s">
        <v>28</v>
      </c>
      <c r="E2601" s="2" t="s">
        <v>29</v>
      </c>
      <c r="F2601" s="2">
        <v>249.58</v>
      </c>
      <c r="G2601" s="2">
        <v>2</v>
      </c>
      <c r="H2601" s="2">
        <v>31.2</v>
      </c>
      <c r="I2601" t="str">
        <f t="shared" si="40"/>
        <v>Jun</v>
      </c>
      <c r="J2601">
        <f>YEAR(datas[[#This Row],[Order Date]])</f>
        <v>2022</v>
      </c>
    </row>
    <row r="2602" spans="1:10" ht="14.25" customHeight="1" x14ac:dyDescent="0.3">
      <c r="A2602" s="1">
        <v>44723</v>
      </c>
      <c r="B2602" s="2" t="s">
        <v>529</v>
      </c>
      <c r="C2602" s="2" t="s">
        <v>64</v>
      </c>
      <c r="D2602" s="2" t="s">
        <v>26</v>
      </c>
      <c r="E2602" s="2" t="s">
        <v>32</v>
      </c>
      <c r="F2602" s="2">
        <v>48.67</v>
      </c>
      <c r="G2602" s="2">
        <v>3</v>
      </c>
      <c r="H2602" s="2">
        <v>7.3</v>
      </c>
      <c r="I2602" t="str">
        <f t="shared" si="40"/>
        <v>Jun</v>
      </c>
      <c r="J2602">
        <f>YEAR(datas[[#This Row],[Order Date]])</f>
        <v>2022</v>
      </c>
    </row>
    <row r="2603" spans="1:10" ht="14.25" customHeight="1" x14ac:dyDescent="0.3">
      <c r="A2603" s="1">
        <v>44723</v>
      </c>
      <c r="B2603" s="2" t="s">
        <v>529</v>
      </c>
      <c r="C2603" s="2" t="s">
        <v>64</v>
      </c>
      <c r="D2603" s="2" t="s">
        <v>10</v>
      </c>
      <c r="E2603" s="2" t="s">
        <v>19</v>
      </c>
      <c r="F2603" s="2">
        <v>60.77</v>
      </c>
      <c r="G2603" s="2">
        <v>2</v>
      </c>
      <c r="H2603" s="2">
        <v>7.6</v>
      </c>
      <c r="I2603" t="str">
        <f t="shared" si="40"/>
        <v>Jun</v>
      </c>
      <c r="J2603">
        <f>YEAR(datas[[#This Row],[Order Date]])</f>
        <v>2022</v>
      </c>
    </row>
    <row r="2604" spans="1:10" ht="14.25" customHeight="1" x14ac:dyDescent="0.3">
      <c r="A2604" s="1">
        <v>44723</v>
      </c>
      <c r="B2604" s="2" t="s">
        <v>529</v>
      </c>
      <c r="C2604" s="2" t="s">
        <v>64</v>
      </c>
      <c r="D2604" s="2" t="s">
        <v>10</v>
      </c>
      <c r="E2604" s="2" t="s">
        <v>16</v>
      </c>
      <c r="F2604" s="2">
        <v>78.599999999999994</v>
      </c>
      <c r="G2604" s="2">
        <v>5</v>
      </c>
      <c r="H2604" s="2">
        <v>-62.88</v>
      </c>
      <c r="I2604" t="str">
        <f t="shared" si="40"/>
        <v>Jun</v>
      </c>
      <c r="J2604">
        <f>YEAR(datas[[#This Row],[Order Date]])</f>
        <v>2022</v>
      </c>
    </row>
    <row r="2605" spans="1:10" ht="14.25" customHeight="1" x14ac:dyDescent="0.3">
      <c r="A2605" s="1">
        <v>44723</v>
      </c>
      <c r="B2605" s="2" t="s">
        <v>529</v>
      </c>
      <c r="C2605" s="2" t="s">
        <v>64</v>
      </c>
      <c r="D2605" s="2" t="s">
        <v>10</v>
      </c>
      <c r="E2605" s="2" t="s">
        <v>16</v>
      </c>
      <c r="F2605" s="2">
        <v>3.77</v>
      </c>
      <c r="G2605" s="2">
        <v>2</v>
      </c>
      <c r="H2605" s="2">
        <v>-3.14</v>
      </c>
      <c r="I2605" t="str">
        <f t="shared" si="40"/>
        <v>Jun</v>
      </c>
      <c r="J2605">
        <f>YEAR(datas[[#This Row],[Order Date]])</f>
        <v>2022</v>
      </c>
    </row>
    <row r="2606" spans="1:10" ht="14.25" customHeight="1" x14ac:dyDescent="0.3">
      <c r="A2606" s="1">
        <v>44723</v>
      </c>
      <c r="B2606" s="2" t="s">
        <v>529</v>
      </c>
      <c r="C2606" s="2" t="s">
        <v>64</v>
      </c>
      <c r="D2606" s="2" t="s">
        <v>10</v>
      </c>
      <c r="E2606" s="2" t="s">
        <v>15</v>
      </c>
      <c r="F2606" s="2">
        <v>1036.6199999999999</v>
      </c>
      <c r="G2606" s="2">
        <v>2</v>
      </c>
      <c r="H2606" s="2">
        <v>51.83</v>
      </c>
      <c r="I2606" t="str">
        <f t="shared" si="40"/>
        <v>Jun</v>
      </c>
      <c r="J2606">
        <f>YEAR(datas[[#This Row],[Order Date]])</f>
        <v>2022</v>
      </c>
    </row>
    <row r="2607" spans="1:10" ht="14.25" customHeight="1" x14ac:dyDescent="0.3">
      <c r="A2607" s="1">
        <v>44723</v>
      </c>
      <c r="B2607" s="2" t="s">
        <v>529</v>
      </c>
      <c r="C2607" s="2" t="s">
        <v>64</v>
      </c>
      <c r="D2607" s="2" t="s">
        <v>10</v>
      </c>
      <c r="E2607" s="2" t="s">
        <v>15</v>
      </c>
      <c r="F2607" s="2">
        <v>563.80999999999995</v>
      </c>
      <c r="G2607" s="2">
        <v>4</v>
      </c>
      <c r="H2607" s="2">
        <v>21.14</v>
      </c>
      <c r="I2607" t="str">
        <f t="shared" si="40"/>
        <v>Jun</v>
      </c>
      <c r="J2607">
        <f>YEAR(datas[[#This Row],[Order Date]])</f>
        <v>2022</v>
      </c>
    </row>
    <row r="2608" spans="1:10" ht="14.25" customHeight="1" x14ac:dyDescent="0.3">
      <c r="A2608" s="1">
        <v>44724</v>
      </c>
      <c r="B2608" s="2" t="s">
        <v>729</v>
      </c>
      <c r="C2608" s="2" t="s">
        <v>18</v>
      </c>
      <c r="D2608" s="2" t="s">
        <v>10</v>
      </c>
      <c r="E2608" s="2" t="s">
        <v>11</v>
      </c>
      <c r="F2608" s="2">
        <v>20.74</v>
      </c>
      <c r="G2608" s="2">
        <v>4</v>
      </c>
      <c r="H2608" s="2">
        <v>7.26</v>
      </c>
      <c r="I2608" t="str">
        <f t="shared" si="40"/>
        <v>Jun</v>
      </c>
      <c r="J2608">
        <f>YEAR(datas[[#This Row],[Order Date]])</f>
        <v>2022</v>
      </c>
    </row>
    <row r="2609" spans="1:10" ht="14.25" customHeight="1" x14ac:dyDescent="0.3">
      <c r="A2609" s="1">
        <v>44724</v>
      </c>
      <c r="B2609" s="2" t="s">
        <v>729</v>
      </c>
      <c r="C2609" s="2" t="s">
        <v>18</v>
      </c>
      <c r="D2609" s="2" t="s">
        <v>26</v>
      </c>
      <c r="E2609" s="2" t="s">
        <v>32</v>
      </c>
      <c r="F2609" s="2">
        <v>43.3</v>
      </c>
      <c r="G2609" s="2">
        <v>2</v>
      </c>
      <c r="H2609" s="2">
        <v>4.33</v>
      </c>
      <c r="I2609" t="str">
        <f t="shared" si="40"/>
        <v>Jun</v>
      </c>
      <c r="J2609">
        <f>YEAR(datas[[#This Row],[Order Date]])</f>
        <v>2022</v>
      </c>
    </row>
    <row r="2610" spans="1:10" ht="14.25" customHeight="1" x14ac:dyDescent="0.3">
      <c r="A2610" s="1">
        <v>44724</v>
      </c>
      <c r="B2610" s="2" t="s">
        <v>291</v>
      </c>
      <c r="C2610" s="2" t="s">
        <v>38</v>
      </c>
      <c r="D2610" s="2" t="s">
        <v>10</v>
      </c>
      <c r="E2610" s="2" t="s">
        <v>15</v>
      </c>
      <c r="F2610" s="2">
        <v>29.9</v>
      </c>
      <c r="G2610" s="2">
        <v>5</v>
      </c>
      <c r="H2610" s="2">
        <v>5.08</v>
      </c>
      <c r="I2610" t="str">
        <f t="shared" si="40"/>
        <v>Jun</v>
      </c>
      <c r="J2610">
        <f>YEAR(datas[[#This Row],[Order Date]])</f>
        <v>2022</v>
      </c>
    </row>
    <row r="2611" spans="1:10" ht="14.25" customHeight="1" x14ac:dyDescent="0.3">
      <c r="A2611" s="1">
        <v>44724</v>
      </c>
      <c r="B2611" s="2" t="s">
        <v>730</v>
      </c>
      <c r="C2611" s="2" t="s">
        <v>64</v>
      </c>
      <c r="D2611" s="2" t="s">
        <v>28</v>
      </c>
      <c r="E2611" s="2" t="s">
        <v>29</v>
      </c>
      <c r="F2611" s="2">
        <v>55.98</v>
      </c>
      <c r="G2611" s="2">
        <v>2</v>
      </c>
      <c r="H2611" s="2">
        <v>4.2</v>
      </c>
      <c r="I2611" t="str">
        <f t="shared" si="40"/>
        <v>Jun</v>
      </c>
      <c r="J2611">
        <f>YEAR(datas[[#This Row],[Order Date]])</f>
        <v>2022</v>
      </c>
    </row>
    <row r="2612" spans="1:10" ht="14.25" customHeight="1" x14ac:dyDescent="0.3">
      <c r="A2612" s="1">
        <v>44724</v>
      </c>
      <c r="B2612" s="2" t="s">
        <v>451</v>
      </c>
      <c r="C2612" s="2" t="s">
        <v>68</v>
      </c>
      <c r="D2612" s="2" t="s">
        <v>10</v>
      </c>
      <c r="E2612" s="2" t="s">
        <v>15</v>
      </c>
      <c r="F2612" s="2">
        <v>24.56</v>
      </c>
      <c r="G2612" s="2">
        <v>2</v>
      </c>
      <c r="H2612" s="2">
        <v>6.88</v>
      </c>
      <c r="I2612" t="str">
        <f t="shared" si="40"/>
        <v>Jun</v>
      </c>
      <c r="J2612">
        <f>YEAR(datas[[#This Row],[Order Date]])</f>
        <v>2022</v>
      </c>
    </row>
    <row r="2613" spans="1:10" ht="14.25" customHeight="1" x14ac:dyDescent="0.3">
      <c r="A2613" s="1">
        <v>44725</v>
      </c>
      <c r="B2613" s="2" t="s">
        <v>684</v>
      </c>
      <c r="C2613" s="2" t="s">
        <v>21</v>
      </c>
      <c r="D2613" s="2" t="s">
        <v>10</v>
      </c>
      <c r="E2613" s="2" t="s">
        <v>16</v>
      </c>
      <c r="F2613" s="2">
        <v>36.619999999999997</v>
      </c>
      <c r="G2613" s="2">
        <v>3</v>
      </c>
      <c r="H2613" s="2">
        <v>13.73</v>
      </c>
      <c r="I2613" t="str">
        <f t="shared" si="40"/>
        <v>Jun</v>
      </c>
      <c r="J2613">
        <f>YEAR(datas[[#This Row],[Order Date]])</f>
        <v>2022</v>
      </c>
    </row>
    <row r="2614" spans="1:10" ht="14.25" customHeight="1" x14ac:dyDescent="0.3">
      <c r="A2614" s="1">
        <v>44725</v>
      </c>
      <c r="B2614" s="2" t="s">
        <v>598</v>
      </c>
      <c r="C2614" s="2" t="s">
        <v>198</v>
      </c>
      <c r="D2614" s="2" t="s">
        <v>10</v>
      </c>
      <c r="E2614" s="2" t="s">
        <v>19</v>
      </c>
      <c r="F2614" s="2">
        <v>24.78</v>
      </c>
      <c r="G2614" s="2">
        <v>6</v>
      </c>
      <c r="H2614" s="2">
        <v>6.94</v>
      </c>
      <c r="I2614" t="str">
        <f t="shared" si="40"/>
        <v>Jun</v>
      </c>
      <c r="J2614">
        <f>YEAR(datas[[#This Row],[Order Date]])</f>
        <v>2022</v>
      </c>
    </row>
    <row r="2615" spans="1:10" ht="14.25" customHeight="1" x14ac:dyDescent="0.3">
      <c r="A2615" s="1">
        <v>44725</v>
      </c>
      <c r="B2615" s="2" t="s">
        <v>598</v>
      </c>
      <c r="C2615" s="2" t="s">
        <v>198</v>
      </c>
      <c r="D2615" s="2" t="s">
        <v>10</v>
      </c>
      <c r="E2615" s="2" t="s">
        <v>16</v>
      </c>
      <c r="F2615" s="2">
        <v>19.14</v>
      </c>
      <c r="G2615" s="2">
        <v>3</v>
      </c>
      <c r="H2615" s="2">
        <v>8.8000000000000007</v>
      </c>
      <c r="I2615" t="str">
        <f t="shared" si="40"/>
        <v>Jun</v>
      </c>
      <c r="J2615">
        <f>YEAR(datas[[#This Row],[Order Date]])</f>
        <v>2022</v>
      </c>
    </row>
    <row r="2616" spans="1:10" ht="14.25" customHeight="1" x14ac:dyDescent="0.3">
      <c r="A2616" s="1">
        <v>44725</v>
      </c>
      <c r="B2616" s="2" t="s">
        <v>598</v>
      </c>
      <c r="C2616" s="2" t="s">
        <v>198</v>
      </c>
      <c r="D2616" s="2" t="s">
        <v>28</v>
      </c>
      <c r="E2616" s="2" t="s">
        <v>243</v>
      </c>
      <c r="F2616" s="2">
        <v>899.97</v>
      </c>
      <c r="G2616" s="2">
        <v>3</v>
      </c>
      <c r="H2616" s="2">
        <v>314.99</v>
      </c>
      <c r="I2616" t="str">
        <f t="shared" si="40"/>
        <v>Jun</v>
      </c>
      <c r="J2616">
        <f>YEAR(datas[[#This Row],[Order Date]])</f>
        <v>2022</v>
      </c>
    </row>
    <row r="2617" spans="1:10" ht="14.25" customHeight="1" x14ac:dyDescent="0.3">
      <c r="A2617" s="1">
        <v>44725</v>
      </c>
      <c r="B2617" s="2" t="s">
        <v>598</v>
      </c>
      <c r="C2617" s="2" t="s">
        <v>198</v>
      </c>
      <c r="D2617" s="2" t="s">
        <v>10</v>
      </c>
      <c r="E2617" s="2" t="s">
        <v>11</v>
      </c>
      <c r="F2617" s="2">
        <v>32.4</v>
      </c>
      <c r="G2617" s="2">
        <v>5</v>
      </c>
      <c r="H2617" s="2">
        <v>15.55</v>
      </c>
      <c r="I2617" t="str">
        <f t="shared" si="40"/>
        <v>Jun</v>
      </c>
      <c r="J2617">
        <f>YEAR(datas[[#This Row],[Order Date]])</f>
        <v>2022</v>
      </c>
    </row>
    <row r="2618" spans="1:10" ht="14.25" customHeight="1" x14ac:dyDescent="0.3">
      <c r="A2618" s="1">
        <v>44725</v>
      </c>
      <c r="B2618" s="2" t="s">
        <v>649</v>
      </c>
      <c r="C2618" s="2" t="s">
        <v>399</v>
      </c>
      <c r="D2618" s="2" t="s">
        <v>10</v>
      </c>
      <c r="E2618" s="2" t="s">
        <v>16</v>
      </c>
      <c r="F2618" s="2">
        <v>8.26</v>
      </c>
      <c r="G2618" s="2">
        <v>2</v>
      </c>
      <c r="H2618" s="2">
        <v>3.88</v>
      </c>
      <c r="I2618" t="str">
        <f t="shared" si="40"/>
        <v>Jun</v>
      </c>
      <c r="J2618">
        <f>YEAR(datas[[#This Row],[Order Date]])</f>
        <v>2022</v>
      </c>
    </row>
    <row r="2619" spans="1:10" ht="14.25" customHeight="1" x14ac:dyDescent="0.3">
      <c r="A2619" s="1">
        <v>44725</v>
      </c>
      <c r="B2619" s="2" t="s">
        <v>649</v>
      </c>
      <c r="C2619" s="2" t="s">
        <v>399</v>
      </c>
      <c r="D2619" s="2" t="s">
        <v>10</v>
      </c>
      <c r="E2619" s="2" t="s">
        <v>16</v>
      </c>
      <c r="F2619" s="2">
        <v>29.84</v>
      </c>
      <c r="G2619" s="2">
        <v>2</v>
      </c>
      <c r="H2619" s="2">
        <v>13.43</v>
      </c>
      <c r="I2619" t="str">
        <f t="shared" si="40"/>
        <v>Jun</v>
      </c>
      <c r="J2619">
        <f>YEAR(datas[[#This Row],[Order Date]])</f>
        <v>2022</v>
      </c>
    </row>
    <row r="2620" spans="1:10" ht="14.25" customHeight="1" x14ac:dyDescent="0.3">
      <c r="A2620" s="1">
        <v>44725</v>
      </c>
      <c r="B2620" s="2" t="s">
        <v>649</v>
      </c>
      <c r="C2620" s="2" t="s">
        <v>399</v>
      </c>
      <c r="D2620" s="2" t="s">
        <v>28</v>
      </c>
      <c r="E2620" s="2" t="s">
        <v>34</v>
      </c>
      <c r="F2620" s="2">
        <v>67.98</v>
      </c>
      <c r="G2620" s="2">
        <v>2</v>
      </c>
      <c r="H2620" s="2">
        <v>14.96</v>
      </c>
      <c r="I2620" t="str">
        <f t="shared" si="40"/>
        <v>Jun</v>
      </c>
      <c r="J2620">
        <f>YEAR(datas[[#This Row],[Order Date]])</f>
        <v>2022</v>
      </c>
    </row>
    <row r="2621" spans="1:10" ht="14.25" customHeight="1" x14ac:dyDescent="0.3">
      <c r="A2621" s="1">
        <v>44725</v>
      </c>
      <c r="B2621" s="2" t="s">
        <v>370</v>
      </c>
      <c r="C2621" s="2" t="s">
        <v>23</v>
      </c>
      <c r="D2621" s="2" t="s">
        <v>10</v>
      </c>
      <c r="E2621" s="2" t="s">
        <v>11</v>
      </c>
      <c r="F2621" s="2">
        <v>6.48</v>
      </c>
      <c r="G2621" s="2">
        <v>1</v>
      </c>
      <c r="H2621" s="2">
        <v>3.11</v>
      </c>
      <c r="I2621" t="str">
        <f t="shared" si="40"/>
        <v>Jun</v>
      </c>
      <c r="J2621">
        <f>YEAR(datas[[#This Row],[Order Date]])</f>
        <v>2022</v>
      </c>
    </row>
    <row r="2622" spans="1:10" ht="14.25" customHeight="1" x14ac:dyDescent="0.3">
      <c r="A2622" s="1">
        <v>44725</v>
      </c>
      <c r="B2622" s="2" t="s">
        <v>731</v>
      </c>
      <c r="C2622" s="2" t="s">
        <v>47</v>
      </c>
      <c r="D2622" s="2" t="s">
        <v>10</v>
      </c>
      <c r="E2622" s="2" t="s">
        <v>19</v>
      </c>
      <c r="F2622" s="2">
        <v>3.42</v>
      </c>
      <c r="G2622" s="2">
        <v>1</v>
      </c>
      <c r="H2622" s="2">
        <v>0.3</v>
      </c>
      <c r="I2622" t="str">
        <f t="shared" si="40"/>
        <v>Jun</v>
      </c>
      <c r="J2622">
        <f>YEAR(datas[[#This Row],[Order Date]])</f>
        <v>2022</v>
      </c>
    </row>
    <row r="2623" spans="1:10" ht="14.25" customHeight="1" x14ac:dyDescent="0.3">
      <c r="A2623" s="1">
        <v>44726</v>
      </c>
      <c r="B2623" s="2" t="s">
        <v>597</v>
      </c>
      <c r="C2623" s="2" t="s">
        <v>18</v>
      </c>
      <c r="D2623" s="2" t="s">
        <v>26</v>
      </c>
      <c r="E2623" s="2" t="s">
        <v>32</v>
      </c>
      <c r="F2623" s="2">
        <v>51.07</v>
      </c>
      <c r="G2623" s="2">
        <v>6</v>
      </c>
      <c r="H2623" s="2">
        <v>5.1100000000000003</v>
      </c>
      <c r="I2623" t="str">
        <f t="shared" si="40"/>
        <v>Jun</v>
      </c>
      <c r="J2623">
        <f>YEAR(datas[[#This Row],[Order Date]])</f>
        <v>2022</v>
      </c>
    </row>
    <row r="2624" spans="1:10" ht="14.25" customHeight="1" x14ac:dyDescent="0.3">
      <c r="A2624" s="1">
        <v>44727</v>
      </c>
      <c r="B2624" s="2" t="s">
        <v>250</v>
      </c>
      <c r="C2624" s="2" t="s">
        <v>55</v>
      </c>
      <c r="D2624" s="2" t="s">
        <v>10</v>
      </c>
      <c r="E2624" s="2" t="s">
        <v>11</v>
      </c>
      <c r="F2624" s="2">
        <v>9.57</v>
      </c>
      <c r="G2624" s="2">
        <v>2</v>
      </c>
      <c r="H2624" s="2">
        <v>2.99</v>
      </c>
      <c r="I2624" t="str">
        <f t="shared" si="40"/>
        <v>Jun</v>
      </c>
      <c r="J2624">
        <f>YEAR(datas[[#This Row],[Order Date]])</f>
        <v>2022</v>
      </c>
    </row>
    <row r="2625" spans="1:10" ht="14.25" customHeight="1" x14ac:dyDescent="0.3">
      <c r="A2625" s="1">
        <v>44727</v>
      </c>
      <c r="B2625" s="2" t="s">
        <v>250</v>
      </c>
      <c r="C2625" s="2" t="s">
        <v>55</v>
      </c>
      <c r="D2625" s="2" t="s">
        <v>10</v>
      </c>
      <c r="E2625" s="2" t="s">
        <v>15</v>
      </c>
      <c r="F2625" s="2">
        <v>82.37</v>
      </c>
      <c r="G2625" s="2">
        <v>2</v>
      </c>
      <c r="H2625" s="2">
        <v>-19.559999999999999</v>
      </c>
      <c r="I2625" t="str">
        <f t="shared" si="40"/>
        <v>Jun</v>
      </c>
      <c r="J2625">
        <f>YEAR(datas[[#This Row],[Order Date]])</f>
        <v>2022</v>
      </c>
    </row>
    <row r="2626" spans="1:10" ht="14.25" customHeight="1" x14ac:dyDescent="0.3">
      <c r="A2626" s="1">
        <v>44727</v>
      </c>
      <c r="B2626" s="2" t="s">
        <v>250</v>
      </c>
      <c r="C2626" s="2" t="s">
        <v>55</v>
      </c>
      <c r="D2626" s="2" t="s">
        <v>26</v>
      </c>
      <c r="E2626" s="2" t="s">
        <v>32</v>
      </c>
      <c r="F2626" s="2">
        <v>364.7</v>
      </c>
      <c r="G2626" s="2">
        <v>6</v>
      </c>
      <c r="H2626" s="2">
        <v>-36.47</v>
      </c>
      <c r="I2626" t="str">
        <f t="shared" si="40"/>
        <v>Jun</v>
      </c>
      <c r="J2626">
        <f>YEAR(datas[[#This Row],[Order Date]])</f>
        <v>2022</v>
      </c>
    </row>
    <row r="2627" spans="1:10" ht="14.25" customHeight="1" x14ac:dyDescent="0.3">
      <c r="A2627" s="1">
        <v>44727</v>
      </c>
      <c r="B2627" s="2" t="s">
        <v>250</v>
      </c>
      <c r="C2627" s="2" t="s">
        <v>55</v>
      </c>
      <c r="D2627" s="2" t="s">
        <v>26</v>
      </c>
      <c r="E2627" s="2" t="s">
        <v>32</v>
      </c>
      <c r="F2627" s="2">
        <v>40.26</v>
      </c>
      <c r="G2627" s="2">
        <v>4</v>
      </c>
      <c r="H2627" s="2">
        <v>11.07</v>
      </c>
      <c r="I2627" t="str">
        <f t="shared" ref="I2627:I2690" si="41">TEXT(A2627,"mmm")</f>
        <v>Jun</v>
      </c>
      <c r="J2627">
        <f>YEAR(datas[[#This Row],[Order Date]])</f>
        <v>2022</v>
      </c>
    </row>
    <row r="2628" spans="1:10" ht="14.25" customHeight="1" x14ac:dyDescent="0.3">
      <c r="A2628" s="1">
        <v>44727</v>
      </c>
      <c r="B2628" s="2" t="s">
        <v>554</v>
      </c>
      <c r="C2628" s="2" t="s">
        <v>64</v>
      </c>
      <c r="D2628" s="2" t="s">
        <v>28</v>
      </c>
      <c r="E2628" s="2" t="s">
        <v>34</v>
      </c>
      <c r="F2628" s="2">
        <v>11.67</v>
      </c>
      <c r="G2628" s="2">
        <v>1</v>
      </c>
      <c r="H2628" s="2">
        <v>-0.73</v>
      </c>
      <c r="I2628" t="str">
        <f t="shared" si="41"/>
        <v>Jun</v>
      </c>
      <c r="J2628">
        <f>YEAR(datas[[#This Row],[Order Date]])</f>
        <v>2022</v>
      </c>
    </row>
    <row r="2629" spans="1:10" ht="14.25" customHeight="1" x14ac:dyDescent="0.3">
      <c r="A2629" s="1">
        <v>44727</v>
      </c>
      <c r="B2629" s="2" t="s">
        <v>339</v>
      </c>
      <c r="C2629" s="2" t="s">
        <v>21</v>
      </c>
      <c r="D2629" s="2" t="s">
        <v>28</v>
      </c>
      <c r="E2629" s="2" t="s">
        <v>29</v>
      </c>
      <c r="F2629" s="2">
        <v>225.58</v>
      </c>
      <c r="G2629" s="2">
        <v>3</v>
      </c>
      <c r="H2629" s="2">
        <v>22.56</v>
      </c>
      <c r="I2629" t="str">
        <f t="shared" si="41"/>
        <v>Jun</v>
      </c>
      <c r="J2629">
        <f>YEAR(datas[[#This Row],[Order Date]])</f>
        <v>2022</v>
      </c>
    </row>
    <row r="2630" spans="1:10" ht="14.25" customHeight="1" x14ac:dyDescent="0.3">
      <c r="A2630" s="1">
        <v>44728</v>
      </c>
      <c r="B2630" s="2" t="s">
        <v>368</v>
      </c>
      <c r="C2630" s="2" t="s">
        <v>18</v>
      </c>
      <c r="D2630" s="2" t="s">
        <v>10</v>
      </c>
      <c r="E2630" s="2" t="s">
        <v>41</v>
      </c>
      <c r="F2630" s="2">
        <v>6.21</v>
      </c>
      <c r="G2630" s="2">
        <v>2</v>
      </c>
      <c r="H2630" s="2">
        <v>2.17</v>
      </c>
      <c r="I2630" t="str">
        <f t="shared" si="41"/>
        <v>Jun</v>
      </c>
      <c r="J2630">
        <f>YEAR(datas[[#This Row],[Order Date]])</f>
        <v>2022</v>
      </c>
    </row>
    <row r="2631" spans="1:10" ht="14.25" customHeight="1" x14ac:dyDescent="0.3">
      <c r="A2631" s="1">
        <v>44728</v>
      </c>
      <c r="B2631" s="2" t="s">
        <v>20</v>
      </c>
      <c r="C2631" s="2" t="s">
        <v>9</v>
      </c>
      <c r="D2631" s="2" t="s">
        <v>10</v>
      </c>
      <c r="E2631" s="2" t="s">
        <v>41</v>
      </c>
      <c r="F2631" s="2">
        <v>28.75</v>
      </c>
      <c r="G2631" s="2">
        <v>3</v>
      </c>
      <c r="H2631" s="2">
        <v>9.34</v>
      </c>
      <c r="I2631" t="str">
        <f t="shared" si="41"/>
        <v>Jun</v>
      </c>
      <c r="J2631">
        <f>YEAR(datas[[#This Row],[Order Date]])</f>
        <v>2022</v>
      </c>
    </row>
    <row r="2632" spans="1:10" ht="14.25" customHeight="1" x14ac:dyDescent="0.3">
      <c r="A2632" s="1">
        <v>44728</v>
      </c>
      <c r="B2632" s="2" t="s">
        <v>20</v>
      </c>
      <c r="C2632" s="2" t="s">
        <v>9</v>
      </c>
      <c r="D2632" s="2" t="s">
        <v>10</v>
      </c>
      <c r="E2632" s="2" t="s">
        <v>11</v>
      </c>
      <c r="F2632" s="2">
        <v>27.22</v>
      </c>
      <c r="G2632" s="2">
        <v>3</v>
      </c>
      <c r="H2632" s="2">
        <v>9.8699999999999992</v>
      </c>
      <c r="I2632" t="str">
        <f t="shared" si="41"/>
        <v>Jun</v>
      </c>
      <c r="J2632">
        <f>YEAR(datas[[#This Row],[Order Date]])</f>
        <v>2022</v>
      </c>
    </row>
    <row r="2633" spans="1:10" ht="14.25" customHeight="1" x14ac:dyDescent="0.3">
      <c r="A2633" s="1">
        <v>44728</v>
      </c>
      <c r="B2633" s="2" t="s">
        <v>20</v>
      </c>
      <c r="C2633" s="2" t="s">
        <v>9</v>
      </c>
      <c r="D2633" s="2" t="s">
        <v>26</v>
      </c>
      <c r="E2633" s="2" t="s">
        <v>27</v>
      </c>
      <c r="F2633" s="2">
        <v>197.37</v>
      </c>
      <c r="G2633" s="2">
        <v>2</v>
      </c>
      <c r="H2633" s="2">
        <v>-25.38</v>
      </c>
      <c r="I2633" t="str">
        <f t="shared" si="41"/>
        <v>Jun</v>
      </c>
      <c r="J2633">
        <f>YEAR(datas[[#This Row],[Order Date]])</f>
        <v>2022</v>
      </c>
    </row>
    <row r="2634" spans="1:10" ht="14.25" customHeight="1" x14ac:dyDescent="0.3">
      <c r="A2634" s="1">
        <v>44728</v>
      </c>
      <c r="B2634" s="2" t="s">
        <v>228</v>
      </c>
      <c r="C2634" s="2" t="s">
        <v>75</v>
      </c>
      <c r="D2634" s="2" t="s">
        <v>10</v>
      </c>
      <c r="E2634" s="2" t="s">
        <v>16</v>
      </c>
      <c r="F2634" s="2">
        <v>3050.38</v>
      </c>
      <c r="G2634" s="2">
        <v>3</v>
      </c>
      <c r="H2634" s="2">
        <v>1143.8900000000001</v>
      </c>
      <c r="I2634" t="str">
        <f t="shared" si="41"/>
        <v>Jun</v>
      </c>
      <c r="J2634">
        <f>YEAR(datas[[#This Row],[Order Date]])</f>
        <v>2022</v>
      </c>
    </row>
    <row r="2635" spans="1:10" ht="14.25" customHeight="1" x14ac:dyDescent="0.3">
      <c r="A2635" s="1">
        <v>44728</v>
      </c>
      <c r="B2635" s="2" t="s">
        <v>228</v>
      </c>
      <c r="C2635" s="2" t="s">
        <v>75</v>
      </c>
      <c r="D2635" s="2" t="s">
        <v>28</v>
      </c>
      <c r="E2635" s="2" t="s">
        <v>29</v>
      </c>
      <c r="F2635" s="2">
        <v>133.97999999999999</v>
      </c>
      <c r="G2635" s="2">
        <v>2</v>
      </c>
      <c r="H2635" s="2">
        <v>33.5</v>
      </c>
      <c r="I2635" t="str">
        <f t="shared" si="41"/>
        <v>Jun</v>
      </c>
      <c r="J2635">
        <f>YEAR(datas[[#This Row],[Order Date]])</f>
        <v>2022</v>
      </c>
    </row>
    <row r="2636" spans="1:10" ht="14.25" customHeight="1" x14ac:dyDescent="0.3">
      <c r="A2636" s="1">
        <v>44730</v>
      </c>
      <c r="B2636" s="2" t="s">
        <v>732</v>
      </c>
      <c r="C2636" s="2" t="s">
        <v>55</v>
      </c>
      <c r="D2636" s="2" t="s">
        <v>10</v>
      </c>
      <c r="E2636" s="2" t="s">
        <v>11</v>
      </c>
      <c r="F2636" s="2">
        <v>11.95</v>
      </c>
      <c r="G2636" s="2">
        <v>3</v>
      </c>
      <c r="H2636" s="2">
        <v>4.33</v>
      </c>
      <c r="I2636" t="str">
        <f t="shared" si="41"/>
        <v>Jun</v>
      </c>
      <c r="J2636">
        <f>YEAR(datas[[#This Row],[Order Date]])</f>
        <v>2022</v>
      </c>
    </row>
    <row r="2637" spans="1:10" ht="14.25" customHeight="1" x14ac:dyDescent="0.3">
      <c r="A2637" s="1">
        <v>44730</v>
      </c>
      <c r="B2637" s="2" t="s">
        <v>732</v>
      </c>
      <c r="C2637" s="2" t="s">
        <v>55</v>
      </c>
      <c r="D2637" s="2" t="s">
        <v>10</v>
      </c>
      <c r="E2637" s="2" t="s">
        <v>16</v>
      </c>
      <c r="F2637" s="2">
        <v>4.54</v>
      </c>
      <c r="G2637" s="2">
        <v>7</v>
      </c>
      <c r="H2637" s="2">
        <v>-3.33</v>
      </c>
      <c r="I2637" t="str">
        <f t="shared" si="41"/>
        <v>Jun</v>
      </c>
      <c r="J2637">
        <f>YEAR(datas[[#This Row],[Order Date]])</f>
        <v>2022</v>
      </c>
    </row>
    <row r="2638" spans="1:10" ht="14.25" customHeight="1" x14ac:dyDescent="0.3">
      <c r="A2638" s="1">
        <v>44730</v>
      </c>
      <c r="B2638" s="2" t="s">
        <v>732</v>
      </c>
      <c r="C2638" s="2" t="s">
        <v>55</v>
      </c>
      <c r="D2638" s="2" t="s">
        <v>10</v>
      </c>
      <c r="E2638" s="2" t="s">
        <v>16</v>
      </c>
      <c r="F2638" s="2">
        <v>9.16</v>
      </c>
      <c r="G2638" s="2">
        <v>2</v>
      </c>
      <c r="H2638" s="2">
        <v>-6.1</v>
      </c>
      <c r="I2638" t="str">
        <f t="shared" si="41"/>
        <v>Jun</v>
      </c>
      <c r="J2638">
        <f>YEAR(datas[[#This Row],[Order Date]])</f>
        <v>2022</v>
      </c>
    </row>
    <row r="2639" spans="1:10" ht="14.25" customHeight="1" x14ac:dyDescent="0.3">
      <c r="A2639" s="1">
        <v>44730</v>
      </c>
      <c r="B2639" s="2" t="s">
        <v>732</v>
      </c>
      <c r="C2639" s="2" t="s">
        <v>55</v>
      </c>
      <c r="D2639" s="2" t="s">
        <v>26</v>
      </c>
      <c r="E2639" s="2" t="s">
        <v>32</v>
      </c>
      <c r="F2639" s="2">
        <v>75.36</v>
      </c>
      <c r="G2639" s="2">
        <v>5</v>
      </c>
      <c r="H2639" s="2">
        <v>20.72</v>
      </c>
      <c r="I2639" t="str">
        <f t="shared" si="41"/>
        <v>Jun</v>
      </c>
      <c r="J2639">
        <f>YEAR(datas[[#This Row],[Order Date]])</f>
        <v>2022</v>
      </c>
    </row>
    <row r="2640" spans="1:10" ht="14.25" customHeight="1" x14ac:dyDescent="0.3">
      <c r="A2640" s="1">
        <v>44730</v>
      </c>
      <c r="B2640" s="2" t="s">
        <v>157</v>
      </c>
      <c r="C2640" s="2" t="s">
        <v>21</v>
      </c>
      <c r="D2640" s="2" t="s">
        <v>10</v>
      </c>
      <c r="E2640" s="2" t="s">
        <v>19</v>
      </c>
      <c r="F2640" s="2">
        <v>51.98</v>
      </c>
      <c r="G2640" s="2">
        <v>2</v>
      </c>
      <c r="H2640" s="2">
        <v>15.07</v>
      </c>
      <c r="I2640" t="str">
        <f t="shared" si="41"/>
        <v>Jun</v>
      </c>
      <c r="J2640">
        <f>YEAR(datas[[#This Row],[Order Date]])</f>
        <v>2022</v>
      </c>
    </row>
    <row r="2641" spans="1:10" ht="14.25" customHeight="1" x14ac:dyDescent="0.3">
      <c r="A2641" s="1">
        <v>44730</v>
      </c>
      <c r="B2641" s="2" t="s">
        <v>607</v>
      </c>
      <c r="C2641" s="2" t="s">
        <v>64</v>
      </c>
      <c r="D2641" s="2" t="s">
        <v>10</v>
      </c>
      <c r="E2641" s="2" t="s">
        <v>19</v>
      </c>
      <c r="F2641" s="2">
        <v>13.63</v>
      </c>
      <c r="G2641" s="2">
        <v>4</v>
      </c>
      <c r="H2641" s="2">
        <v>3.58</v>
      </c>
      <c r="I2641" t="str">
        <f t="shared" si="41"/>
        <v>Jun</v>
      </c>
      <c r="J2641">
        <f>YEAR(datas[[#This Row],[Order Date]])</f>
        <v>2022</v>
      </c>
    </row>
    <row r="2642" spans="1:10" ht="14.25" customHeight="1" x14ac:dyDescent="0.3">
      <c r="A2642" s="1">
        <v>44730</v>
      </c>
      <c r="B2642" s="2" t="s">
        <v>697</v>
      </c>
      <c r="C2642" s="2" t="s">
        <v>62</v>
      </c>
      <c r="D2642" s="2" t="s">
        <v>10</v>
      </c>
      <c r="E2642" s="2" t="s">
        <v>16</v>
      </c>
      <c r="F2642" s="2">
        <v>6.13</v>
      </c>
      <c r="G2642" s="2">
        <v>3</v>
      </c>
      <c r="H2642" s="2">
        <v>-4.49</v>
      </c>
      <c r="I2642" t="str">
        <f t="shared" si="41"/>
        <v>Jun</v>
      </c>
      <c r="J2642">
        <f>YEAR(datas[[#This Row],[Order Date]])</f>
        <v>2022</v>
      </c>
    </row>
    <row r="2643" spans="1:10" ht="14.25" customHeight="1" x14ac:dyDescent="0.3">
      <c r="A2643" s="1">
        <v>44730</v>
      </c>
      <c r="B2643" s="2" t="s">
        <v>697</v>
      </c>
      <c r="C2643" s="2" t="s">
        <v>62</v>
      </c>
      <c r="D2643" s="2" t="s">
        <v>26</v>
      </c>
      <c r="E2643" s="2" t="s">
        <v>27</v>
      </c>
      <c r="F2643" s="2">
        <v>643.14</v>
      </c>
      <c r="G2643" s="2">
        <v>4</v>
      </c>
      <c r="H2643" s="2">
        <v>56.27</v>
      </c>
      <c r="I2643" t="str">
        <f t="shared" si="41"/>
        <v>Jun</v>
      </c>
      <c r="J2643">
        <f>YEAR(datas[[#This Row],[Order Date]])</f>
        <v>2022</v>
      </c>
    </row>
    <row r="2644" spans="1:10" ht="14.25" customHeight="1" x14ac:dyDescent="0.3">
      <c r="A2644" s="1">
        <v>44730</v>
      </c>
      <c r="B2644" s="2" t="s">
        <v>697</v>
      </c>
      <c r="C2644" s="2" t="s">
        <v>62</v>
      </c>
      <c r="D2644" s="2" t="s">
        <v>10</v>
      </c>
      <c r="E2644" s="2" t="s">
        <v>11</v>
      </c>
      <c r="F2644" s="2">
        <v>20.74</v>
      </c>
      <c r="G2644" s="2">
        <v>4</v>
      </c>
      <c r="H2644" s="2">
        <v>7.26</v>
      </c>
      <c r="I2644" t="str">
        <f t="shared" si="41"/>
        <v>Jun</v>
      </c>
      <c r="J2644">
        <f>YEAR(datas[[#This Row],[Order Date]])</f>
        <v>2022</v>
      </c>
    </row>
    <row r="2645" spans="1:10" ht="14.25" customHeight="1" x14ac:dyDescent="0.3">
      <c r="A2645" s="1">
        <v>44730</v>
      </c>
      <c r="B2645" s="2" t="s">
        <v>418</v>
      </c>
      <c r="C2645" s="2" t="s">
        <v>36</v>
      </c>
      <c r="D2645" s="2" t="s">
        <v>26</v>
      </c>
      <c r="E2645" s="2" t="s">
        <v>32</v>
      </c>
      <c r="F2645" s="2">
        <v>60.84</v>
      </c>
      <c r="G2645" s="2">
        <v>3</v>
      </c>
      <c r="H2645" s="2">
        <v>19.47</v>
      </c>
      <c r="I2645" t="str">
        <f t="shared" si="41"/>
        <v>Jun</v>
      </c>
      <c r="J2645">
        <f>YEAR(datas[[#This Row],[Order Date]])</f>
        <v>2022</v>
      </c>
    </row>
    <row r="2646" spans="1:10" ht="14.25" customHeight="1" x14ac:dyDescent="0.3">
      <c r="A2646" s="1">
        <v>44730</v>
      </c>
      <c r="B2646" s="2" t="s">
        <v>418</v>
      </c>
      <c r="C2646" s="2" t="s">
        <v>36</v>
      </c>
      <c r="D2646" s="2" t="s">
        <v>10</v>
      </c>
      <c r="E2646" s="2" t="s">
        <v>15</v>
      </c>
      <c r="F2646" s="2">
        <v>450.04</v>
      </c>
      <c r="G2646" s="2">
        <v>2</v>
      </c>
      <c r="H2646" s="2">
        <v>58.51</v>
      </c>
      <c r="I2646" t="str">
        <f t="shared" si="41"/>
        <v>Jun</v>
      </c>
      <c r="J2646">
        <f>YEAR(datas[[#This Row],[Order Date]])</f>
        <v>2022</v>
      </c>
    </row>
    <row r="2647" spans="1:10" ht="14.25" customHeight="1" x14ac:dyDescent="0.3">
      <c r="A2647" s="1">
        <v>44730</v>
      </c>
      <c r="B2647" s="2" t="s">
        <v>418</v>
      </c>
      <c r="C2647" s="2" t="s">
        <v>36</v>
      </c>
      <c r="D2647" s="2" t="s">
        <v>10</v>
      </c>
      <c r="E2647" s="2" t="s">
        <v>16</v>
      </c>
      <c r="F2647" s="2">
        <v>34.6</v>
      </c>
      <c r="G2647" s="2">
        <v>2</v>
      </c>
      <c r="H2647" s="2">
        <v>16.61</v>
      </c>
      <c r="I2647" t="str">
        <f t="shared" si="41"/>
        <v>Jun</v>
      </c>
      <c r="J2647">
        <f>YEAR(datas[[#This Row],[Order Date]])</f>
        <v>2022</v>
      </c>
    </row>
    <row r="2648" spans="1:10" ht="14.25" customHeight="1" x14ac:dyDescent="0.3">
      <c r="A2648" s="1">
        <v>44730</v>
      </c>
      <c r="B2648" s="2" t="s">
        <v>418</v>
      </c>
      <c r="C2648" s="2" t="s">
        <v>36</v>
      </c>
      <c r="D2648" s="2" t="s">
        <v>28</v>
      </c>
      <c r="E2648" s="2" t="s">
        <v>29</v>
      </c>
      <c r="F2648" s="2">
        <v>467.97</v>
      </c>
      <c r="G2648" s="2">
        <v>3</v>
      </c>
      <c r="H2648" s="2">
        <v>140.38999999999999</v>
      </c>
      <c r="I2648" t="str">
        <f t="shared" si="41"/>
        <v>Jun</v>
      </c>
      <c r="J2648">
        <f>YEAR(datas[[#This Row],[Order Date]])</f>
        <v>2022</v>
      </c>
    </row>
    <row r="2649" spans="1:10" ht="14.25" customHeight="1" x14ac:dyDescent="0.3">
      <c r="A2649" s="1">
        <v>44730</v>
      </c>
      <c r="B2649" s="2" t="s">
        <v>418</v>
      </c>
      <c r="C2649" s="2" t="s">
        <v>36</v>
      </c>
      <c r="D2649" s="2" t="s">
        <v>10</v>
      </c>
      <c r="E2649" s="2" t="s">
        <v>16</v>
      </c>
      <c r="F2649" s="2">
        <v>33.020000000000003</v>
      </c>
      <c r="G2649" s="2">
        <v>2</v>
      </c>
      <c r="H2649" s="2">
        <v>15.85</v>
      </c>
      <c r="I2649" t="str">
        <f t="shared" si="41"/>
        <v>Jun</v>
      </c>
      <c r="J2649">
        <f>YEAR(datas[[#This Row],[Order Date]])</f>
        <v>2022</v>
      </c>
    </row>
    <row r="2650" spans="1:10" ht="14.25" customHeight="1" x14ac:dyDescent="0.3">
      <c r="A2650" s="1">
        <v>44731</v>
      </c>
      <c r="B2650" s="2" t="s">
        <v>636</v>
      </c>
      <c r="C2650" s="2" t="s">
        <v>21</v>
      </c>
      <c r="D2650" s="2" t="s">
        <v>26</v>
      </c>
      <c r="E2650" s="2" t="s">
        <v>32</v>
      </c>
      <c r="F2650" s="2">
        <v>12.56</v>
      </c>
      <c r="G2650" s="2">
        <v>2</v>
      </c>
      <c r="H2650" s="2">
        <v>4.0199999999999996</v>
      </c>
      <c r="I2650" t="str">
        <f t="shared" si="41"/>
        <v>Jun</v>
      </c>
      <c r="J2650">
        <f>YEAR(datas[[#This Row],[Order Date]])</f>
        <v>2022</v>
      </c>
    </row>
    <row r="2651" spans="1:10" ht="14.25" customHeight="1" x14ac:dyDescent="0.3">
      <c r="A2651" s="1">
        <v>44731</v>
      </c>
      <c r="B2651" s="2" t="s">
        <v>636</v>
      </c>
      <c r="C2651" s="2" t="s">
        <v>21</v>
      </c>
      <c r="D2651" s="2" t="s">
        <v>10</v>
      </c>
      <c r="E2651" s="2" t="s">
        <v>11</v>
      </c>
      <c r="F2651" s="2">
        <v>6.48</v>
      </c>
      <c r="G2651" s="2">
        <v>1</v>
      </c>
      <c r="H2651" s="2">
        <v>3.11</v>
      </c>
      <c r="I2651" t="str">
        <f t="shared" si="41"/>
        <v>Jun</v>
      </c>
      <c r="J2651">
        <f>YEAR(datas[[#This Row],[Order Date]])</f>
        <v>2022</v>
      </c>
    </row>
    <row r="2652" spans="1:10" ht="14.25" customHeight="1" x14ac:dyDescent="0.3">
      <c r="A2652" s="1">
        <v>44731</v>
      </c>
      <c r="B2652" s="2" t="s">
        <v>636</v>
      </c>
      <c r="C2652" s="2" t="s">
        <v>21</v>
      </c>
      <c r="D2652" s="2" t="s">
        <v>10</v>
      </c>
      <c r="E2652" s="2" t="s">
        <v>41</v>
      </c>
      <c r="F2652" s="2">
        <v>186.69</v>
      </c>
      <c r="G2652" s="2">
        <v>3</v>
      </c>
      <c r="H2652" s="2">
        <v>87.74</v>
      </c>
      <c r="I2652" t="str">
        <f t="shared" si="41"/>
        <v>Jun</v>
      </c>
      <c r="J2652">
        <f>YEAR(datas[[#This Row],[Order Date]])</f>
        <v>2022</v>
      </c>
    </row>
    <row r="2653" spans="1:10" ht="14.25" customHeight="1" x14ac:dyDescent="0.3">
      <c r="A2653" s="1">
        <v>44731</v>
      </c>
      <c r="B2653" s="2" t="s">
        <v>24</v>
      </c>
      <c r="C2653" s="2" t="s">
        <v>9</v>
      </c>
      <c r="D2653" s="2" t="s">
        <v>10</v>
      </c>
      <c r="E2653" s="2" t="s">
        <v>16</v>
      </c>
      <c r="F2653" s="2">
        <v>5.79</v>
      </c>
      <c r="G2653" s="2">
        <v>2</v>
      </c>
      <c r="H2653" s="2">
        <v>-9.56</v>
      </c>
      <c r="I2653" t="str">
        <f t="shared" si="41"/>
        <v>Jun</v>
      </c>
      <c r="J2653">
        <f>YEAR(datas[[#This Row],[Order Date]])</f>
        <v>2022</v>
      </c>
    </row>
    <row r="2654" spans="1:10" ht="14.25" customHeight="1" x14ac:dyDescent="0.3">
      <c r="A2654" s="1">
        <v>44731</v>
      </c>
      <c r="B2654" s="2" t="s">
        <v>375</v>
      </c>
      <c r="C2654" s="2" t="s">
        <v>9</v>
      </c>
      <c r="D2654" s="2" t="s">
        <v>10</v>
      </c>
      <c r="E2654" s="2" t="s">
        <v>15</v>
      </c>
      <c r="F2654" s="2">
        <v>228.92</v>
      </c>
      <c r="G2654" s="2">
        <v>5</v>
      </c>
      <c r="H2654" s="2">
        <v>14.31</v>
      </c>
      <c r="I2654" t="str">
        <f t="shared" si="41"/>
        <v>Jun</v>
      </c>
      <c r="J2654">
        <f>YEAR(datas[[#This Row],[Order Date]])</f>
        <v>2022</v>
      </c>
    </row>
    <row r="2655" spans="1:10" ht="14.25" customHeight="1" x14ac:dyDescent="0.3">
      <c r="A2655" s="1">
        <v>44731</v>
      </c>
      <c r="B2655" s="2" t="s">
        <v>437</v>
      </c>
      <c r="C2655" s="2" t="s">
        <v>18</v>
      </c>
      <c r="D2655" s="2" t="s">
        <v>10</v>
      </c>
      <c r="E2655" s="2" t="s">
        <v>14</v>
      </c>
      <c r="F2655" s="2">
        <v>5.9</v>
      </c>
      <c r="G2655" s="2">
        <v>2</v>
      </c>
      <c r="H2655" s="2">
        <v>1.99</v>
      </c>
      <c r="I2655" t="str">
        <f t="shared" si="41"/>
        <v>Jun</v>
      </c>
      <c r="J2655">
        <f>YEAR(datas[[#This Row],[Order Date]])</f>
        <v>2022</v>
      </c>
    </row>
    <row r="2656" spans="1:10" ht="14.25" customHeight="1" x14ac:dyDescent="0.3">
      <c r="A2656" s="1">
        <v>44732</v>
      </c>
      <c r="B2656" s="2" t="s">
        <v>733</v>
      </c>
      <c r="C2656" s="2" t="s">
        <v>21</v>
      </c>
      <c r="D2656" s="2" t="s">
        <v>26</v>
      </c>
      <c r="E2656" s="2" t="s">
        <v>32</v>
      </c>
      <c r="F2656" s="2">
        <v>257.64</v>
      </c>
      <c r="G2656" s="2">
        <v>6</v>
      </c>
      <c r="H2656" s="2">
        <v>100.48</v>
      </c>
      <c r="I2656" t="str">
        <f t="shared" si="41"/>
        <v>Jun</v>
      </c>
      <c r="J2656">
        <f>YEAR(datas[[#This Row],[Order Date]])</f>
        <v>2022</v>
      </c>
    </row>
    <row r="2657" spans="1:10" ht="14.25" customHeight="1" x14ac:dyDescent="0.3">
      <c r="A2657" s="1">
        <v>44732</v>
      </c>
      <c r="B2657" s="2" t="s">
        <v>733</v>
      </c>
      <c r="C2657" s="2" t="s">
        <v>21</v>
      </c>
      <c r="D2657" s="2" t="s">
        <v>28</v>
      </c>
      <c r="E2657" s="2" t="s">
        <v>29</v>
      </c>
      <c r="F2657" s="2">
        <v>125.98</v>
      </c>
      <c r="G2657" s="2">
        <v>3</v>
      </c>
      <c r="H2657" s="2">
        <v>47.24</v>
      </c>
      <c r="I2657" t="str">
        <f t="shared" si="41"/>
        <v>Jun</v>
      </c>
      <c r="J2657">
        <f>YEAR(datas[[#This Row],[Order Date]])</f>
        <v>2022</v>
      </c>
    </row>
    <row r="2658" spans="1:10" ht="14.25" customHeight="1" x14ac:dyDescent="0.3">
      <c r="A2658" s="1">
        <v>44732</v>
      </c>
      <c r="B2658" s="2" t="s">
        <v>240</v>
      </c>
      <c r="C2658" s="2" t="s">
        <v>126</v>
      </c>
      <c r="D2658" s="2" t="s">
        <v>28</v>
      </c>
      <c r="E2658" s="2" t="s">
        <v>29</v>
      </c>
      <c r="F2658" s="2">
        <v>125.94</v>
      </c>
      <c r="G2658" s="2">
        <v>7</v>
      </c>
      <c r="H2658" s="2">
        <v>15.74</v>
      </c>
      <c r="I2658" t="str">
        <f t="shared" si="41"/>
        <v>Jun</v>
      </c>
      <c r="J2658">
        <f>YEAR(datas[[#This Row],[Order Date]])</f>
        <v>2022</v>
      </c>
    </row>
    <row r="2659" spans="1:10" ht="14.25" customHeight="1" x14ac:dyDescent="0.3">
      <c r="A2659" s="1">
        <v>44732</v>
      </c>
      <c r="B2659" s="2" t="s">
        <v>356</v>
      </c>
      <c r="C2659" s="2" t="s">
        <v>18</v>
      </c>
      <c r="D2659" s="2" t="s">
        <v>28</v>
      </c>
      <c r="E2659" s="2" t="s">
        <v>34</v>
      </c>
      <c r="F2659" s="2">
        <v>319.98</v>
      </c>
      <c r="G2659" s="2">
        <v>2</v>
      </c>
      <c r="H2659" s="2">
        <v>92</v>
      </c>
      <c r="I2659" t="str">
        <f t="shared" si="41"/>
        <v>Jun</v>
      </c>
      <c r="J2659">
        <f>YEAR(datas[[#This Row],[Order Date]])</f>
        <v>2022</v>
      </c>
    </row>
    <row r="2660" spans="1:10" ht="14.25" customHeight="1" x14ac:dyDescent="0.3">
      <c r="A2660" s="1">
        <v>44733</v>
      </c>
      <c r="B2660" s="2" t="s">
        <v>355</v>
      </c>
      <c r="C2660" s="2" t="s">
        <v>64</v>
      </c>
      <c r="D2660" s="2" t="s">
        <v>28</v>
      </c>
      <c r="E2660" s="2" t="s">
        <v>29</v>
      </c>
      <c r="F2660" s="2">
        <v>107.98</v>
      </c>
      <c r="G2660" s="2">
        <v>3</v>
      </c>
      <c r="H2660" s="2">
        <v>37.79</v>
      </c>
      <c r="I2660" t="str">
        <f t="shared" si="41"/>
        <v>Jun</v>
      </c>
      <c r="J2660">
        <f>YEAR(datas[[#This Row],[Order Date]])</f>
        <v>2022</v>
      </c>
    </row>
    <row r="2661" spans="1:10" ht="14.25" customHeight="1" x14ac:dyDescent="0.3">
      <c r="A2661" s="1">
        <v>44734</v>
      </c>
      <c r="B2661" s="2" t="s">
        <v>387</v>
      </c>
      <c r="C2661" s="2" t="s">
        <v>134</v>
      </c>
      <c r="D2661" s="2" t="s">
        <v>10</v>
      </c>
      <c r="E2661" s="2" t="s">
        <v>30</v>
      </c>
      <c r="F2661" s="2">
        <v>4.96</v>
      </c>
      <c r="G2661" s="2">
        <v>4</v>
      </c>
      <c r="H2661" s="2">
        <v>2.33</v>
      </c>
      <c r="I2661" t="str">
        <f t="shared" si="41"/>
        <v>Jun</v>
      </c>
      <c r="J2661">
        <f>YEAR(datas[[#This Row],[Order Date]])</f>
        <v>2022</v>
      </c>
    </row>
    <row r="2662" spans="1:10" ht="14.25" customHeight="1" x14ac:dyDescent="0.3">
      <c r="A2662" s="1">
        <v>44734</v>
      </c>
      <c r="B2662" s="2" t="s">
        <v>104</v>
      </c>
      <c r="C2662" s="2" t="s">
        <v>13</v>
      </c>
      <c r="D2662" s="2" t="s">
        <v>26</v>
      </c>
      <c r="E2662" s="2" t="s">
        <v>73</v>
      </c>
      <c r="F2662" s="2">
        <v>796.43</v>
      </c>
      <c r="G2662" s="2">
        <v>7</v>
      </c>
      <c r="H2662" s="2">
        <v>-525.64</v>
      </c>
      <c r="I2662" t="str">
        <f t="shared" si="41"/>
        <v>Jun</v>
      </c>
      <c r="J2662">
        <f>YEAR(datas[[#This Row],[Order Date]])</f>
        <v>2022</v>
      </c>
    </row>
    <row r="2663" spans="1:10" ht="14.25" customHeight="1" x14ac:dyDescent="0.3">
      <c r="A2663" s="1">
        <v>44734</v>
      </c>
      <c r="B2663" s="2" t="s">
        <v>734</v>
      </c>
      <c r="C2663" s="2" t="s">
        <v>75</v>
      </c>
      <c r="D2663" s="2" t="s">
        <v>10</v>
      </c>
      <c r="E2663" s="2" t="s">
        <v>16</v>
      </c>
      <c r="F2663" s="2">
        <v>1217.57</v>
      </c>
      <c r="G2663" s="2">
        <v>2</v>
      </c>
      <c r="H2663" s="2">
        <v>456.59</v>
      </c>
      <c r="I2663" t="str">
        <f t="shared" si="41"/>
        <v>Jun</v>
      </c>
      <c r="J2663">
        <f>YEAR(datas[[#This Row],[Order Date]])</f>
        <v>2022</v>
      </c>
    </row>
    <row r="2664" spans="1:10" ht="14.25" customHeight="1" x14ac:dyDescent="0.3">
      <c r="A2664" s="1">
        <v>44735</v>
      </c>
      <c r="B2664" s="2" t="s">
        <v>314</v>
      </c>
      <c r="C2664" s="2" t="s">
        <v>82</v>
      </c>
      <c r="D2664" s="2" t="s">
        <v>28</v>
      </c>
      <c r="E2664" s="2" t="s">
        <v>29</v>
      </c>
      <c r="F2664" s="2">
        <v>201.57</v>
      </c>
      <c r="G2664" s="2">
        <v>4</v>
      </c>
      <c r="H2664" s="2">
        <v>22.68</v>
      </c>
      <c r="I2664" t="str">
        <f t="shared" si="41"/>
        <v>Jun</v>
      </c>
      <c r="J2664">
        <f>YEAR(datas[[#This Row],[Order Date]])</f>
        <v>2022</v>
      </c>
    </row>
    <row r="2665" spans="1:10" ht="14.25" customHeight="1" x14ac:dyDescent="0.3">
      <c r="A2665" s="1">
        <v>44735</v>
      </c>
      <c r="B2665" s="2" t="s">
        <v>419</v>
      </c>
      <c r="C2665" s="2" t="s">
        <v>21</v>
      </c>
      <c r="D2665" s="2" t="s">
        <v>28</v>
      </c>
      <c r="E2665" s="2" t="s">
        <v>29</v>
      </c>
      <c r="F2665" s="2">
        <v>217.58</v>
      </c>
      <c r="G2665" s="2">
        <v>2</v>
      </c>
      <c r="H2665" s="2">
        <v>19.04</v>
      </c>
      <c r="I2665" t="str">
        <f t="shared" si="41"/>
        <v>Jun</v>
      </c>
      <c r="J2665">
        <f>YEAR(datas[[#This Row],[Order Date]])</f>
        <v>2022</v>
      </c>
    </row>
    <row r="2666" spans="1:10" ht="14.25" customHeight="1" x14ac:dyDescent="0.3">
      <c r="A2666" s="1">
        <v>44735</v>
      </c>
      <c r="B2666" s="2" t="s">
        <v>419</v>
      </c>
      <c r="C2666" s="2" t="s">
        <v>21</v>
      </c>
      <c r="D2666" s="2" t="s">
        <v>10</v>
      </c>
      <c r="E2666" s="2" t="s">
        <v>30</v>
      </c>
      <c r="F2666" s="2">
        <v>5.43</v>
      </c>
      <c r="G2666" s="2">
        <v>3</v>
      </c>
      <c r="H2666" s="2">
        <v>1.79</v>
      </c>
      <c r="I2666" t="str">
        <f t="shared" si="41"/>
        <v>Jun</v>
      </c>
      <c r="J2666">
        <f>YEAR(datas[[#This Row],[Order Date]])</f>
        <v>2022</v>
      </c>
    </row>
    <row r="2667" spans="1:10" ht="14.25" customHeight="1" x14ac:dyDescent="0.3">
      <c r="A2667" s="1">
        <v>44735</v>
      </c>
      <c r="B2667" s="2" t="s">
        <v>419</v>
      </c>
      <c r="C2667" s="2" t="s">
        <v>21</v>
      </c>
      <c r="D2667" s="2" t="s">
        <v>28</v>
      </c>
      <c r="E2667" s="2" t="s">
        <v>29</v>
      </c>
      <c r="F2667" s="2">
        <v>143.97999999999999</v>
      </c>
      <c r="G2667" s="2">
        <v>3</v>
      </c>
      <c r="H2667" s="2">
        <v>9</v>
      </c>
      <c r="I2667" t="str">
        <f t="shared" si="41"/>
        <v>Jun</v>
      </c>
      <c r="J2667">
        <f>YEAR(datas[[#This Row],[Order Date]])</f>
        <v>2022</v>
      </c>
    </row>
    <row r="2668" spans="1:10" ht="14.25" customHeight="1" x14ac:dyDescent="0.3">
      <c r="A2668" s="1">
        <v>44735</v>
      </c>
      <c r="B2668" s="2" t="s">
        <v>277</v>
      </c>
      <c r="C2668" s="2" t="s">
        <v>23</v>
      </c>
      <c r="D2668" s="2" t="s">
        <v>26</v>
      </c>
      <c r="E2668" s="2" t="s">
        <v>32</v>
      </c>
      <c r="F2668" s="2">
        <v>27.42</v>
      </c>
      <c r="G2668" s="2">
        <v>3</v>
      </c>
      <c r="H2668" s="2">
        <v>9.32</v>
      </c>
      <c r="I2668" t="str">
        <f t="shared" si="41"/>
        <v>Jun</v>
      </c>
      <c r="J2668">
        <f>YEAR(datas[[#This Row],[Order Date]])</f>
        <v>2022</v>
      </c>
    </row>
    <row r="2669" spans="1:10" ht="14.25" customHeight="1" x14ac:dyDescent="0.3">
      <c r="A2669" s="1">
        <v>44735</v>
      </c>
      <c r="B2669" s="2" t="s">
        <v>277</v>
      </c>
      <c r="C2669" s="2" t="s">
        <v>23</v>
      </c>
      <c r="D2669" s="2" t="s">
        <v>10</v>
      </c>
      <c r="E2669" s="2" t="s">
        <v>16</v>
      </c>
      <c r="F2669" s="2">
        <v>165.98</v>
      </c>
      <c r="G2669" s="2">
        <v>1</v>
      </c>
      <c r="H2669" s="2">
        <v>74.69</v>
      </c>
      <c r="I2669" t="str">
        <f t="shared" si="41"/>
        <v>Jun</v>
      </c>
      <c r="J2669">
        <f>YEAR(datas[[#This Row],[Order Date]])</f>
        <v>2022</v>
      </c>
    </row>
    <row r="2670" spans="1:10" ht="14.25" customHeight="1" x14ac:dyDescent="0.3">
      <c r="A2670" s="1">
        <v>44735</v>
      </c>
      <c r="B2670" s="2" t="s">
        <v>277</v>
      </c>
      <c r="C2670" s="2" t="s">
        <v>23</v>
      </c>
      <c r="D2670" s="2" t="s">
        <v>28</v>
      </c>
      <c r="E2670" s="2" t="s">
        <v>34</v>
      </c>
      <c r="F2670" s="2">
        <v>75</v>
      </c>
      <c r="G2670" s="2">
        <v>3</v>
      </c>
      <c r="H2670" s="2">
        <v>18</v>
      </c>
      <c r="I2670" t="str">
        <f t="shared" si="41"/>
        <v>Jun</v>
      </c>
      <c r="J2670">
        <f>YEAR(datas[[#This Row],[Order Date]])</f>
        <v>2022</v>
      </c>
    </row>
    <row r="2671" spans="1:10" ht="14.25" customHeight="1" x14ac:dyDescent="0.3">
      <c r="A2671" s="1">
        <v>44737</v>
      </c>
      <c r="B2671" s="2" t="s">
        <v>735</v>
      </c>
      <c r="C2671" s="2" t="s">
        <v>18</v>
      </c>
      <c r="D2671" s="2" t="s">
        <v>10</v>
      </c>
      <c r="E2671" s="2" t="s">
        <v>11</v>
      </c>
      <c r="F2671" s="2">
        <v>31.1</v>
      </c>
      <c r="G2671" s="2">
        <v>6</v>
      </c>
      <c r="H2671" s="2">
        <v>10.89</v>
      </c>
      <c r="I2671" t="str">
        <f t="shared" si="41"/>
        <v>Jun</v>
      </c>
      <c r="J2671">
        <f>YEAR(datas[[#This Row],[Order Date]])</f>
        <v>2022</v>
      </c>
    </row>
    <row r="2672" spans="1:10" ht="14.25" customHeight="1" x14ac:dyDescent="0.3">
      <c r="A2672" s="1">
        <v>44737</v>
      </c>
      <c r="B2672" s="2" t="s">
        <v>735</v>
      </c>
      <c r="C2672" s="2" t="s">
        <v>18</v>
      </c>
      <c r="D2672" s="2" t="s">
        <v>10</v>
      </c>
      <c r="E2672" s="2" t="s">
        <v>15</v>
      </c>
      <c r="F2672" s="2">
        <v>78.260000000000005</v>
      </c>
      <c r="G2672" s="2">
        <v>2</v>
      </c>
      <c r="H2672" s="2">
        <v>-17.61</v>
      </c>
      <c r="I2672" t="str">
        <f t="shared" si="41"/>
        <v>Jun</v>
      </c>
      <c r="J2672">
        <f>YEAR(datas[[#This Row],[Order Date]])</f>
        <v>2022</v>
      </c>
    </row>
    <row r="2673" spans="1:10" ht="14.25" customHeight="1" x14ac:dyDescent="0.3">
      <c r="A2673" s="1">
        <v>44737</v>
      </c>
      <c r="B2673" s="2" t="s">
        <v>524</v>
      </c>
      <c r="C2673" s="2" t="s">
        <v>21</v>
      </c>
      <c r="D2673" s="2" t="s">
        <v>26</v>
      </c>
      <c r="E2673" s="2" t="s">
        <v>32</v>
      </c>
      <c r="F2673" s="2">
        <v>204.85</v>
      </c>
      <c r="G2673" s="2">
        <v>5</v>
      </c>
      <c r="H2673" s="2">
        <v>57.36</v>
      </c>
      <c r="I2673" t="str">
        <f t="shared" si="41"/>
        <v>Jun</v>
      </c>
      <c r="J2673">
        <f>YEAR(datas[[#This Row],[Order Date]])</f>
        <v>2022</v>
      </c>
    </row>
    <row r="2674" spans="1:10" ht="14.25" customHeight="1" x14ac:dyDescent="0.3">
      <c r="A2674" s="1">
        <v>44737</v>
      </c>
      <c r="B2674" s="2" t="s">
        <v>585</v>
      </c>
      <c r="C2674" s="2" t="s">
        <v>21</v>
      </c>
      <c r="D2674" s="2" t="s">
        <v>10</v>
      </c>
      <c r="E2674" s="2" t="s">
        <v>19</v>
      </c>
      <c r="F2674" s="2">
        <v>20.96</v>
      </c>
      <c r="G2674" s="2">
        <v>2</v>
      </c>
      <c r="H2674" s="2">
        <v>5.24</v>
      </c>
      <c r="I2674" t="str">
        <f t="shared" si="41"/>
        <v>Jun</v>
      </c>
      <c r="J2674">
        <f>YEAR(datas[[#This Row],[Order Date]])</f>
        <v>2022</v>
      </c>
    </row>
    <row r="2675" spans="1:10" ht="14.25" customHeight="1" x14ac:dyDescent="0.3">
      <c r="A2675" s="1">
        <v>44737</v>
      </c>
      <c r="B2675" s="2" t="s">
        <v>585</v>
      </c>
      <c r="C2675" s="2" t="s">
        <v>21</v>
      </c>
      <c r="D2675" s="2" t="s">
        <v>10</v>
      </c>
      <c r="E2675" s="2" t="s">
        <v>16</v>
      </c>
      <c r="F2675" s="2">
        <v>88.75</v>
      </c>
      <c r="G2675" s="2">
        <v>3</v>
      </c>
      <c r="H2675" s="2">
        <v>27.74</v>
      </c>
      <c r="I2675" t="str">
        <f t="shared" si="41"/>
        <v>Jun</v>
      </c>
      <c r="J2675">
        <f>YEAR(datas[[#This Row],[Order Date]])</f>
        <v>2022</v>
      </c>
    </row>
    <row r="2676" spans="1:10" ht="14.25" customHeight="1" x14ac:dyDescent="0.3">
      <c r="A2676" s="1">
        <v>44737</v>
      </c>
      <c r="B2676" s="2" t="s">
        <v>585</v>
      </c>
      <c r="C2676" s="2" t="s">
        <v>21</v>
      </c>
      <c r="D2676" s="2" t="s">
        <v>10</v>
      </c>
      <c r="E2676" s="2" t="s">
        <v>15</v>
      </c>
      <c r="F2676" s="2">
        <v>304.23</v>
      </c>
      <c r="G2676" s="2">
        <v>3</v>
      </c>
      <c r="H2676" s="2">
        <v>9.1300000000000008</v>
      </c>
      <c r="I2676" t="str">
        <f t="shared" si="41"/>
        <v>Jun</v>
      </c>
      <c r="J2676">
        <f>YEAR(datas[[#This Row],[Order Date]])</f>
        <v>2022</v>
      </c>
    </row>
    <row r="2677" spans="1:10" ht="14.25" customHeight="1" x14ac:dyDescent="0.3">
      <c r="A2677" s="1">
        <v>44737</v>
      </c>
      <c r="B2677" s="2" t="s">
        <v>58</v>
      </c>
      <c r="C2677" s="2" t="s">
        <v>9</v>
      </c>
      <c r="D2677" s="2" t="s">
        <v>10</v>
      </c>
      <c r="E2677" s="2" t="s">
        <v>11</v>
      </c>
      <c r="F2677" s="2">
        <v>47.95</v>
      </c>
      <c r="G2677" s="2">
        <v>3</v>
      </c>
      <c r="H2677" s="2">
        <v>16.18</v>
      </c>
      <c r="I2677" t="str">
        <f t="shared" si="41"/>
        <v>Jun</v>
      </c>
      <c r="J2677">
        <f>YEAR(datas[[#This Row],[Order Date]])</f>
        <v>2022</v>
      </c>
    </row>
    <row r="2678" spans="1:10" ht="14.25" customHeight="1" x14ac:dyDescent="0.3">
      <c r="A2678" s="1">
        <v>44737</v>
      </c>
      <c r="B2678" s="2" t="s">
        <v>58</v>
      </c>
      <c r="C2678" s="2" t="s">
        <v>9</v>
      </c>
      <c r="D2678" s="2" t="s">
        <v>10</v>
      </c>
      <c r="E2678" s="2" t="s">
        <v>16</v>
      </c>
      <c r="F2678" s="2">
        <v>0.98</v>
      </c>
      <c r="G2678" s="2">
        <v>2</v>
      </c>
      <c r="H2678" s="2">
        <v>-1.48</v>
      </c>
      <c r="I2678" t="str">
        <f t="shared" si="41"/>
        <v>Jun</v>
      </c>
      <c r="J2678">
        <f>YEAR(datas[[#This Row],[Order Date]])</f>
        <v>2022</v>
      </c>
    </row>
    <row r="2679" spans="1:10" ht="14.25" customHeight="1" x14ac:dyDescent="0.3">
      <c r="A2679" s="1">
        <v>44737</v>
      </c>
      <c r="B2679" s="2" t="s">
        <v>58</v>
      </c>
      <c r="C2679" s="2" t="s">
        <v>9</v>
      </c>
      <c r="D2679" s="2" t="s">
        <v>26</v>
      </c>
      <c r="E2679" s="2" t="s">
        <v>32</v>
      </c>
      <c r="F2679" s="2">
        <v>75.38</v>
      </c>
      <c r="G2679" s="2">
        <v>9</v>
      </c>
      <c r="H2679" s="2">
        <v>-20.73</v>
      </c>
      <c r="I2679" t="str">
        <f t="shared" si="41"/>
        <v>Jun</v>
      </c>
      <c r="J2679">
        <f>YEAR(datas[[#This Row],[Order Date]])</f>
        <v>2022</v>
      </c>
    </row>
    <row r="2680" spans="1:10" ht="14.25" customHeight="1" x14ac:dyDescent="0.3">
      <c r="A2680" s="1">
        <v>44737</v>
      </c>
      <c r="B2680" s="2" t="s">
        <v>58</v>
      </c>
      <c r="C2680" s="2" t="s">
        <v>9</v>
      </c>
      <c r="D2680" s="2" t="s">
        <v>10</v>
      </c>
      <c r="E2680" s="2" t="s">
        <v>14</v>
      </c>
      <c r="F2680" s="2">
        <v>4.6100000000000003</v>
      </c>
      <c r="G2680" s="2">
        <v>2</v>
      </c>
      <c r="H2680" s="2">
        <v>1.67</v>
      </c>
      <c r="I2680" t="str">
        <f t="shared" si="41"/>
        <v>Jun</v>
      </c>
      <c r="J2680">
        <f>YEAR(datas[[#This Row],[Order Date]])</f>
        <v>2022</v>
      </c>
    </row>
    <row r="2681" spans="1:10" ht="14.25" customHeight="1" x14ac:dyDescent="0.3">
      <c r="A2681" s="1">
        <v>44738</v>
      </c>
      <c r="B2681" s="2" t="s">
        <v>238</v>
      </c>
      <c r="C2681" s="2" t="s">
        <v>60</v>
      </c>
      <c r="D2681" s="2" t="s">
        <v>28</v>
      </c>
      <c r="E2681" s="2" t="s">
        <v>34</v>
      </c>
      <c r="F2681" s="2">
        <v>41.9</v>
      </c>
      <c r="G2681" s="2">
        <v>2</v>
      </c>
      <c r="H2681" s="2">
        <v>8.8000000000000007</v>
      </c>
      <c r="I2681" t="str">
        <f t="shared" si="41"/>
        <v>Jun</v>
      </c>
      <c r="J2681">
        <f>YEAR(datas[[#This Row],[Order Date]])</f>
        <v>2022</v>
      </c>
    </row>
    <row r="2682" spans="1:10" ht="14.25" customHeight="1" x14ac:dyDescent="0.3">
      <c r="A2682" s="1">
        <v>44738</v>
      </c>
      <c r="B2682" s="2" t="s">
        <v>103</v>
      </c>
      <c r="C2682" s="2" t="s">
        <v>36</v>
      </c>
      <c r="D2682" s="2" t="s">
        <v>10</v>
      </c>
      <c r="E2682" s="2" t="s">
        <v>16</v>
      </c>
      <c r="F2682" s="2">
        <v>143.96</v>
      </c>
      <c r="G2682" s="2">
        <v>4</v>
      </c>
      <c r="H2682" s="2">
        <v>69.099999999999994</v>
      </c>
      <c r="I2682" t="str">
        <f t="shared" si="41"/>
        <v>Jun</v>
      </c>
      <c r="J2682">
        <f>YEAR(datas[[#This Row],[Order Date]])</f>
        <v>2022</v>
      </c>
    </row>
    <row r="2683" spans="1:10" ht="14.25" customHeight="1" x14ac:dyDescent="0.3">
      <c r="A2683" s="1">
        <v>44738</v>
      </c>
      <c r="B2683" s="2" t="s">
        <v>103</v>
      </c>
      <c r="C2683" s="2" t="s">
        <v>36</v>
      </c>
      <c r="D2683" s="2" t="s">
        <v>10</v>
      </c>
      <c r="E2683" s="2" t="s">
        <v>15</v>
      </c>
      <c r="F2683" s="2">
        <v>15.42</v>
      </c>
      <c r="G2683" s="2">
        <v>1</v>
      </c>
      <c r="H2683" s="2">
        <v>4.16</v>
      </c>
      <c r="I2683" t="str">
        <f t="shared" si="41"/>
        <v>Jun</v>
      </c>
      <c r="J2683">
        <f>YEAR(datas[[#This Row],[Order Date]])</f>
        <v>2022</v>
      </c>
    </row>
    <row r="2684" spans="1:10" ht="14.25" customHeight="1" x14ac:dyDescent="0.3">
      <c r="A2684" s="1">
        <v>44738</v>
      </c>
      <c r="B2684" s="2" t="s">
        <v>103</v>
      </c>
      <c r="C2684" s="2" t="s">
        <v>36</v>
      </c>
      <c r="D2684" s="2" t="s">
        <v>10</v>
      </c>
      <c r="E2684" s="2" t="s">
        <v>16</v>
      </c>
      <c r="F2684" s="2">
        <v>43.04</v>
      </c>
      <c r="G2684" s="2">
        <v>8</v>
      </c>
      <c r="H2684" s="2">
        <v>21.09</v>
      </c>
      <c r="I2684" t="str">
        <f t="shared" si="41"/>
        <v>Jun</v>
      </c>
      <c r="J2684">
        <f>YEAR(datas[[#This Row],[Order Date]])</f>
        <v>2022</v>
      </c>
    </row>
    <row r="2685" spans="1:10" ht="14.25" customHeight="1" x14ac:dyDescent="0.3">
      <c r="A2685" s="1">
        <v>44738</v>
      </c>
      <c r="B2685" s="2" t="s">
        <v>103</v>
      </c>
      <c r="C2685" s="2" t="s">
        <v>36</v>
      </c>
      <c r="D2685" s="2" t="s">
        <v>26</v>
      </c>
      <c r="E2685" s="2" t="s">
        <v>27</v>
      </c>
      <c r="F2685" s="2">
        <v>332.94</v>
      </c>
      <c r="G2685" s="2">
        <v>3</v>
      </c>
      <c r="H2685" s="2">
        <v>79.91</v>
      </c>
      <c r="I2685" t="str">
        <f t="shared" si="41"/>
        <v>Jun</v>
      </c>
      <c r="J2685">
        <f>YEAR(datas[[#This Row],[Order Date]])</f>
        <v>2022</v>
      </c>
    </row>
    <row r="2686" spans="1:10" ht="14.25" customHeight="1" x14ac:dyDescent="0.3">
      <c r="A2686" s="1">
        <v>44738</v>
      </c>
      <c r="B2686" s="2" t="s">
        <v>398</v>
      </c>
      <c r="C2686" s="2" t="s">
        <v>9</v>
      </c>
      <c r="D2686" s="2" t="s">
        <v>28</v>
      </c>
      <c r="E2686" s="2" t="s">
        <v>29</v>
      </c>
      <c r="F2686" s="2">
        <v>971.88</v>
      </c>
      <c r="G2686" s="2">
        <v>3</v>
      </c>
      <c r="H2686" s="2">
        <v>109.34</v>
      </c>
      <c r="I2686" t="str">
        <f t="shared" si="41"/>
        <v>Jun</v>
      </c>
      <c r="J2686">
        <f>YEAR(datas[[#This Row],[Order Date]])</f>
        <v>2022</v>
      </c>
    </row>
    <row r="2687" spans="1:10" ht="14.25" customHeight="1" x14ac:dyDescent="0.3">
      <c r="A2687" s="1">
        <v>44738</v>
      </c>
      <c r="B2687" s="2" t="s">
        <v>596</v>
      </c>
      <c r="C2687" s="2" t="s">
        <v>47</v>
      </c>
      <c r="D2687" s="2" t="s">
        <v>10</v>
      </c>
      <c r="E2687" s="2" t="s">
        <v>11</v>
      </c>
      <c r="F2687" s="2">
        <v>43.06</v>
      </c>
      <c r="G2687" s="2">
        <v>9</v>
      </c>
      <c r="H2687" s="2">
        <v>15.61</v>
      </c>
      <c r="I2687" t="str">
        <f t="shared" si="41"/>
        <v>Jun</v>
      </c>
      <c r="J2687">
        <f>YEAR(datas[[#This Row],[Order Date]])</f>
        <v>2022</v>
      </c>
    </row>
    <row r="2688" spans="1:10" ht="14.25" customHeight="1" x14ac:dyDescent="0.3">
      <c r="A2688" s="1">
        <v>44740</v>
      </c>
      <c r="B2688" s="2" t="s">
        <v>635</v>
      </c>
      <c r="C2688" s="2" t="s">
        <v>55</v>
      </c>
      <c r="D2688" s="2" t="s">
        <v>10</v>
      </c>
      <c r="E2688" s="2" t="s">
        <v>14</v>
      </c>
      <c r="F2688" s="2">
        <v>5.9</v>
      </c>
      <c r="G2688" s="2">
        <v>2</v>
      </c>
      <c r="H2688" s="2">
        <v>1.99</v>
      </c>
      <c r="I2688" t="str">
        <f t="shared" si="41"/>
        <v>Jun</v>
      </c>
      <c r="J2688">
        <f>YEAR(datas[[#This Row],[Order Date]])</f>
        <v>2022</v>
      </c>
    </row>
    <row r="2689" spans="1:10" ht="14.25" customHeight="1" x14ac:dyDescent="0.3">
      <c r="A2689" s="1">
        <v>44740</v>
      </c>
      <c r="B2689" s="2" t="s">
        <v>635</v>
      </c>
      <c r="C2689" s="2" t="s">
        <v>55</v>
      </c>
      <c r="D2689" s="2" t="s">
        <v>26</v>
      </c>
      <c r="E2689" s="2" t="s">
        <v>32</v>
      </c>
      <c r="F2689" s="2">
        <v>621.76</v>
      </c>
      <c r="G2689" s="2">
        <v>4</v>
      </c>
      <c r="H2689" s="2">
        <v>46.63</v>
      </c>
      <c r="I2689" t="str">
        <f t="shared" si="41"/>
        <v>Jun</v>
      </c>
      <c r="J2689">
        <f>YEAR(datas[[#This Row],[Order Date]])</f>
        <v>2022</v>
      </c>
    </row>
    <row r="2690" spans="1:10" ht="14.25" customHeight="1" x14ac:dyDescent="0.3">
      <c r="A2690" s="1">
        <v>44740</v>
      </c>
      <c r="B2690" s="2" t="s">
        <v>430</v>
      </c>
      <c r="C2690" s="2" t="s">
        <v>47</v>
      </c>
      <c r="D2690" s="2" t="s">
        <v>10</v>
      </c>
      <c r="E2690" s="2" t="s">
        <v>11</v>
      </c>
      <c r="F2690" s="2">
        <v>15.55</v>
      </c>
      <c r="G2690" s="2">
        <v>3</v>
      </c>
      <c r="H2690" s="2">
        <v>5.44</v>
      </c>
      <c r="I2690" t="str">
        <f t="shared" si="41"/>
        <v>Jun</v>
      </c>
      <c r="J2690">
        <f>YEAR(datas[[#This Row],[Order Date]])</f>
        <v>2022</v>
      </c>
    </row>
    <row r="2691" spans="1:10" ht="14.25" customHeight="1" x14ac:dyDescent="0.3">
      <c r="A2691" s="1">
        <v>44740</v>
      </c>
      <c r="B2691" s="2" t="s">
        <v>430</v>
      </c>
      <c r="C2691" s="2" t="s">
        <v>47</v>
      </c>
      <c r="D2691" s="2" t="s">
        <v>26</v>
      </c>
      <c r="E2691" s="2" t="s">
        <v>45</v>
      </c>
      <c r="F2691" s="2">
        <v>482.94</v>
      </c>
      <c r="G2691" s="2">
        <v>6</v>
      </c>
      <c r="H2691" s="2">
        <v>-376.69</v>
      </c>
      <c r="I2691" t="str">
        <f t="shared" ref="I2691:I2754" si="42">TEXT(A2691,"mmm")</f>
        <v>Jun</v>
      </c>
      <c r="J2691">
        <f>YEAR(datas[[#This Row],[Order Date]])</f>
        <v>2022</v>
      </c>
    </row>
    <row r="2692" spans="1:10" ht="14.25" customHeight="1" x14ac:dyDescent="0.3">
      <c r="A2692" s="1">
        <v>44740</v>
      </c>
      <c r="B2692" s="2" t="s">
        <v>173</v>
      </c>
      <c r="C2692" s="2" t="s">
        <v>23</v>
      </c>
      <c r="D2692" s="2" t="s">
        <v>10</v>
      </c>
      <c r="E2692" s="2" t="s">
        <v>16</v>
      </c>
      <c r="F2692" s="2">
        <v>119.56</v>
      </c>
      <c r="G2692" s="2">
        <v>2</v>
      </c>
      <c r="H2692" s="2">
        <v>55</v>
      </c>
      <c r="I2692" t="str">
        <f t="shared" si="42"/>
        <v>Jun</v>
      </c>
      <c r="J2692">
        <f>YEAR(datas[[#This Row],[Order Date]])</f>
        <v>2022</v>
      </c>
    </row>
    <row r="2693" spans="1:10" ht="14.25" customHeight="1" x14ac:dyDescent="0.3">
      <c r="A2693" s="1">
        <v>44740</v>
      </c>
      <c r="B2693" s="2" t="s">
        <v>173</v>
      </c>
      <c r="C2693" s="2" t="s">
        <v>23</v>
      </c>
      <c r="D2693" s="2" t="s">
        <v>10</v>
      </c>
      <c r="E2693" s="2" t="s">
        <v>19</v>
      </c>
      <c r="F2693" s="2">
        <v>140.75</v>
      </c>
      <c r="G2693" s="2">
        <v>5</v>
      </c>
      <c r="H2693" s="2">
        <v>42.23</v>
      </c>
      <c r="I2693" t="str">
        <f t="shared" si="42"/>
        <v>Jun</v>
      </c>
      <c r="J2693">
        <f>YEAR(datas[[#This Row],[Order Date]])</f>
        <v>2022</v>
      </c>
    </row>
    <row r="2694" spans="1:10" ht="14.25" customHeight="1" x14ac:dyDescent="0.3">
      <c r="A2694" s="1">
        <v>44741</v>
      </c>
      <c r="B2694" s="2" t="s">
        <v>303</v>
      </c>
      <c r="C2694" s="2" t="s">
        <v>18</v>
      </c>
      <c r="D2694" s="2" t="s">
        <v>26</v>
      </c>
      <c r="E2694" s="2" t="s">
        <v>32</v>
      </c>
      <c r="F2694" s="2">
        <v>20.100000000000001</v>
      </c>
      <c r="G2694" s="2">
        <v>1</v>
      </c>
      <c r="H2694" s="2">
        <v>1.76</v>
      </c>
      <c r="I2694" t="str">
        <f t="shared" si="42"/>
        <v>Jun</v>
      </c>
      <c r="J2694">
        <f>YEAR(datas[[#This Row],[Order Date]])</f>
        <v>2022</v>
      </c>
    </row>
    <row r="2695" spans="1:10" ht="14.25" customHeight="1" x14ac:dyDescent="0.3">
      <c r="A2695" s="1">
        <v>44741</v>
      </c>
      <c r="B2695" s="2" t="s">
        <v>209</v>
      </c>
      <c r="C2695" s="2" t="s">
        <v>75</v>
      </c>
      <c r="D2695" s="2" t="s">
        <v>10</v>
      </c>
      <c r="E2695" s="2" t="s">
        <v>11</v>
      </c>
      <c r="F2695" s="2">
        <v>24.96</v>
      </c>
      <c r="G2695" s="2">
        <v>4</v>
      </c>
      <c r="H2695" s="2">
        <v>11.23</v>
      </c>
      <c r="I2695" t="str">
        <f t="shared" si="42"/>
        <v>Jun</v>
      </c>
      <c r="J2695">
        <f>YEAR(datas[[#This Row],[Order Date]])</f>
        <v>2022</v>
      </c>
    </row>
    <row r="2696" spans="1:10" ht="14.25" customHeight="1" x14ac:dyDescent="0.3">
      <c r="A2696" s="1">
        <v>44741</v>
      </c>
      <c r="B2696" s="2" t="s">
        <v>389</v>
      </c>
      <c r="C2696" s="2" t="s">
        <v>75</v>
      </c>
      <c r="D2696" s="2" t="s">
        <v>26</v>
      </c>
      <c r="E2696" s="2" t="s">
        <v>27</v>
      </c>
      <c r="F2696" s="2">
        <v>117.88</v>
      </c>
      <c r="G2696" s="2">
        <v>1</v>
      </c>
      <c r="H2696" s="2">
        <v>1.31</v>
      </c>
      <c r="I2696" t="str">
        <f t="shared" si="42"/>
        <v>Jun</v>
      </c>
      <c r="J2696">
        <f>YEAR(datas[[#This Row],[Order Date]])</f>
        <v>2022</v>
      </c>
    </row>
    <row r="2697" spans="1:10" ht="14.25" customHeight="1" x14ac:dyDescent="0.3">
      <c r="A2697" s="1">
        <v>44741</v>
      </c>
      <c r="B2697" s="2" t="s">
        <v>137</v>
      </c>
      <c r="C2697" s="2" t="s">
        <v>381</v>
      </c>
      <c r="D2697" s="2" t="s">
        <v>28</v>
      </c>
      <c r="E2697" s="2" t="s">
        <v>29</v>
      </c>
      <c r="F2697" s="2">
        <v>269.98</v>
      </c>
      <c r="G2697" s="2">
        <v>2</v>
      </c>
      <c r="H2697" s="2">
        <v>72.89</v>
      </c>
      <c r="I2697" t="str">
        <f t="shared" si="42"/>
        <v>Jun</v>
      </c>
      <c r="J2697">
        <f>YEAR(datas[[#This Row],[Order Date]])</f>
        <v>2022</v>
      </c>
    </row>
    <row r="2698" spans="1:10" ht="14.25" customHeight="1" x14ac:dyDescent="0.3">
      <c r="A2698" s="1">
        <v>44744</v>
      </c>
      <c r="B2698" s="2" t="s">
        <v>130</v>
      </c>
      <c r="C2698" s="2" t="s">
        <v>9</v>
      </c>
      <c r="D2698" s="2" t="s">
        <v>10</v>
      </c>
      <c r="E2698" s="2" t="s">
        <v>53</v>
      </c>
      <c r="F2698" s="2">
        <v>32.78</v>
      </c>
      <c r="G2698" s="2">
        <v>4</v>
      </c>
      <c r="H2698" s="2">
        <v>-85.24</v>
      </c>
      <c r="I2698" t="str">
        <f t="shared" si="42"/>
        <v>Jul</v>
      </c>
      <c r="J2698">
        <f>YEAR(datas[[#This Row],[Order Date]])</f>
        <v>2022</v>
      </c>
    </row>
    <row r="2699" spans="1:10" ht="14.25" customHeight="1" x14ac:dyDescent="0.3">
      <c r="A2699" s="1">
        <v>44744</v>
      </c>
      <c r="B2699" s="2" t="s">
        <v>736</v>
      </c>
      <c r="C2699" s="2" t="s">
        <v>13</v>
      </c>
      <c r="D2699" s="2" t="s">
        <v>26</v>
      </c>
      <c r="E2699" s="2" t="s">
        <v>27</v>
      </c>
      <c r="F2699" s="2">
        <v>408.42</v>
      </c>
      <c r="G2699" s="2">
        <v>2</v>
      </c>
      <c r="H2699" s="2">
        <v>-5.83</v>
      </c>
      <c r="I2699" t="str">
        <f t="shared" si="42"/>
        <v>Jul</v>
      </c>
      <c r="J2699">
        <f>YEAR(datas[[#This Row],[Order Date]])</f>
        <v>2022</v>
      </c>
    </row>
    <row r="2700" spans="1:10" ht="14.25" customHeight="1" x14ac:dyDescent="0.3">
      <c r="A2700" s="1">
        <v>44744</v>
      </c>
      <c r="B2700" s="2" t="s">
        <v>736</v>
      </c>
      <c r="C2700" s="2" t="s">
        <v>13</v>
      </c>
      <c r="D2700" s="2" t="s">
        <v>26</v>
      </c>
      <c r="E2700" s="2" t="s">
        <v>27</v>
      </c>
      <c r="F2700" s="2">
        <v>382.12</v>
      </c>
      <c r="G2700" s="2">
        <v>6</v>
      </c>
      <c r="H2700" s="2">
        <v>-92.8</v>
      </c>
      <c r="I2700" t="str">
        <f t="shared" si="42"/>
        <v>Jul</v>
      </c>
      <c r="J2700">
        <f>YEAR(datas[[#This Row],[Order Date]])</f>
        <v>2022</v>
      </c>
    </row>
    <row r="2701" spans="1:10" ht="14.25" customHeight="1" x14ac:dyDescent="0.3">
      <c r="A2701" s="1">
        <v>44744</v>
      </c>
      <c r="B2701" s="2" t="s">
        <v>736</v>
      </c>
      <c r="C2701" s="2" t="s">
        <v>13</v>
      </c>
      <c r="D2701" s="2" t="s">
        <v>10</v>
      </c>
      <c r="E2701" s="2" t="s">
        <v>15</v>
      </c>
      <c r="F2701" s="2">
        <v>68.599999999999994</v>
      </c>
      <c r="G2701" s="2">
        <v>5</v>
      </c>
      <c r="H2701" s="2">
        <v>6</v>
      </c>
      <c r="I2701" t="str">
        <f t="shared" si="42"/>
        <v>Jul</v>
      </c>
      <c r="J2701">
        <f>YEAR(datas[[#This Row],[Order Date]])</f>
        <v>2022</v>
      </c>
    </row>
    <row r="2702" spans="1:10" ht="14.25" customHeight="1" x14ac:dyDescent="0.3">
      <c r="A2702" s="1">
        <v>44744</v>
      </c>
      <c r="B2702" s="2" t="s">
        <v>736</v>
      </c>
      <c r="C2702" s="2" t="s">
        <v>13</v>
      </c>
      <c r="D2702" s="2" t="s">
        <v>10</v>
      </c>
      <c r="E2702" s="2" t="s">
        <v>15</v>
      </c>
      <c r="F2702" s="2">
        <v>435.5</v>
      </c>
      <c r="G2702" s="2">
        <v>3</v>
      </c>
      <c r="H2702" s="2">
        <v>48.99</v>
      </c>
      <c r="I2702" t="str">
        <f t="shared" si="42"/>
        <v>Jul</v>
      </c>
      <c r="J2702">
        <f>YEAR(datas[[#This Row],[Order Date]])</f>
        <v>2022</v>
      </c>
    </row>
    <row r="2703" spans="1:10" ht="14.25" customHeight="1" x14ac:dyDescent="0.3">
      <c r="A2703" s="1">
        <v>44744</v>
      </c>
      <c r="B2703" s="2" t="s">
        <v>736</v>
      </c>
      <c r="C2703" s="2" t="s">
        <v>13</v>
      </c>
      <c r="D2703" s="2" t="s">
        <v>10</v>
      </c>
      <c r="E2703" s="2" t="s">
        <v>11</v>
      </c>
      <c r="F2703" s="2">
        <v>11.17</v>
      </c>
      <c r="G2703" s="2">
        <v>2</v>
      </c>
      <c r="H2703" s="2">
        <v>3.77</v>
      </c>
      <c r="I2703" t="str">
        <f t="shared" si="42"/>
        <v>Jul</v>
      </c>
      <c r="J2703">
        <f>YEAR(datas[[#This Row],[Order Date]])</f>
        <v>2022</v>
      </c>
    </row>
    <row r="2704" spans="1:10" ht="14.25" customHeight="1" x14ac:dyDescent="0.3">
      <c r="A2704" s="1">
        <v>44744</v>
      </c>
      <c r="B2704" s="2" t="s">
        <v>436</v>
      </c>
      <c r="C2704" s="2" t="s">
        <v>64</v>
      </c>
      <c r="D2704" s="2" t="s">
        <v>10</v>
      </c>
      <c r="E2704" s="2" t="s">
        <v>11</v>
      </c>
      <c r="F2704" s="2">
        <v>11.95</v>
      </c>
      <c r="G2704" s="2">
        <v>3</v>
      </c>
      <c r="H2704" s="2">
        <v>4.03</v>
      </c>
      <c r="I2704" t="str">
        <f t="shared" si="42"/>
        <v>Jul</v>
      </c>
      <c r="J2704">
        <f>YEAR(datas[[#This Row],[Order Date]])</f>
        <v>2022</v>
      </c>
    </row>
    <row r="2705" spans="1:10" ht="14.25" customHeight="1" x14ac:dyDescent="0.3">
      <c r="A2705" s="1">
        <v>44744</v>
      </c>
      <c r="B2705" s="2" t="s">
        <v>436</v>
      </c>
      <c r="C2705" s="2" t="s">
        <v>64</v>
      </c>
      <c r="D2705" s="2" t="s">
        <v>10</v>
      </c>
      <c r="E2705" s="2" t="s">
        <v>11</v>
      </c>
      <c r="F2705" s="2">
        <v>15.55</v>
      </c>
      <c r="G2705" s="2">
        <v>3</v>
      </c>
      <c r="H2705" s="2">
        <v>5.64</v>
      </c>
      <c r="I2705" t="str">
        <f t="shared" si="42"/>
        <v>Jul</v>
      </c>
      <c r="J2705">
        <f>YEAR(datas[[#This Row],[Order Date]])</f>
        <v>2022</v>
      </c>
    </row>
    <row r="2706" spans="1:10" ht="14.25" customHeight="1" x14ac:dyDescent="0.3">
      <c r="A2706" s="1">
        <v>44744</v>
      </c>
      <c r="B2706" s="2" t="s">
        <v>101</v>
      </c>
      <c r="C2706" s="2" t="s">
        <v>75</v>
      </c>
      <c r="D2706" s="2" t="s">
        <v>10</v>
      </c>
      <c r="E2706" s="2" t="s">
        <v>11</v>
      </c>
      <c r="F2706" s="2">
        <v>19.440000000000001</v>
      </c>
      <c r="G2706" s="2">
        <v>3</v>
      </c>
      <c r="H2706" s="2">
        <v>9.33</v>
      </c>
      <c r="I2706" t="str">
        <f t="shared" si="42"/>
        <v>Jul</v>
      </c>
      <c r="J2706">
        <f>YEAR(datas[[#This Row],[Order Date]])</f>
        <v>2022</v>
      </c>
    </row>
    <row r="2707" spans="1:10" ht="14.25" customHeight="1" x14ac:dyDescent="0.3">
      <c r="A2707" s="1">
        <v>44744</v>
      </c>
      <c r="B2707" s="2" t="s">
        <v>481</v>
      </c>
      <c r="C2707" s="2" t="s">
        <v>115</v>
      </c>
      <c r="D2707" s="2" t="s">
        <v>28</v>
      </c>
      <c r="E2707" s="2" t="s">
        <v>29</v>
      </c>
      <c r="F2707" s="2">
        <v>74.239999999999995</v>
      </c>
      <c r="G2707" s="2">
        <v>1</v>
      </c>
      <c r="H2707" s="2">
        <v>8.35</v>
      </c>
      <c r="I2707" t="str">
        <f t="shared" si="42"/>
        <v>Jul</v>
      </c>
      <c r="J2707">
        <f>YEAR(datas[[#This Row],[Order Date]])</f>
        <v>2022</v>
      </c>
    </row>
    <row r="2708" spans="1:10" ht="14.25" customHeight="1" x14ac:dyDescent="0.3">
      <c r="A2708" s="1">
        <v>44744</v>
      </c>
      <c r="B2708" s="2" t="s">
        <v>481</v>
      </c>
      <c r="C2708" s="2" t="s">
        <v>115</v>
      </c>
      <c r="D2708" s="2" t="s">
        <v>26</v>
      </c>
      <c r="E2708" s="2" t="s">
        <v>32</v>
      </c>
      <c r="F2708" s="2">
        <v>159.84</v>
      </c>
      <c r="G2708" s="2">
        <v>10</v>
      </c>
      <c r="H2708" s="2">
        <v>45.95</v>
      </c>
      <c r="I2708" t="str">
        <f t="shared" si="42"/>
        <v>Jul</v>
      </c>
      <c r="J2708">
        <f>YEAR(datas[[#This Row],[Order Date]])</f>
        <v>2022</v>
      </c>
    </row>
    <row r="2709" spans="1:10" ht="14.25" customHeight="1" x14ac:dyDescent="0.3">
      <c r="A2709" s="1">
        <v>44744</v>
      </c>
      <c r="B2709" s="2" t="s">
        <v>481</v>
      </c>
      <c r="C2709" s="2" t="s">
        <v>115</v>
      </c>
      <c r="D2709" s="2" t="s">
        <v>10</v>
      </c>
      <c r="E2709" s="2" t="s">
        <v>16</v>
      </c>
      <c r="F2709" s="2">
        <v>2.89</v>
      </c>
      <c r="G2709" s="2">
        <v>2</v>
      </c>
      <c r="H2709" s="2">
        <v>-2.31</v>
      </c>
      <c r="I2709" t="str">
        <f t="shared" si="42"/>
        <v>Jul</v>
      </c>
      <c r="J2709">
        <f>YEAR(datas[[#This Row],[Order Date]])</f>
        <v>2022</v>
      </c>
    </row>
    <row r="2710" spans="1:10" ht="14.25" customHeight="1" x14ac:dyDescent="0.3">
      <c r="A2710" s="1">
        <v>44744</v>
      </c>
      <c r="B2710" s="2" t="s">
        <v>481</v>
      </c>
      <c r="C2710" s="2" t="s">
        <v>115</v>
      </c>
      <c r="D2710" s="2" t="s">
        <v>10</v>
      </c>
      <c r="E2710" s="2" t="s">
        <v>11</v>
      </c>
      <c r="F2710" s="2">
        <v>9.39</v>
      </c>
      <c r="G2710" s="2">
        <v>2</v>
      </c>
      <c r="H2710" s="2">
        <v>3.29</v>
      </c>
      <c r="I2710" t="str">
        <f t="shared" si="42"/>
        <v>Jul</v>
      </c>
      <c r="J2710">
        <f>YEAR(datas[[#This Row],[Order Date]])</f>
        <v>2022</v>
      </c>
    </row>
    <row r="2711" spans="1:10" ht="14.25" customHeight="1" x14ac:dyDescent="0.3">
      <c r="A2711" s="1">
        <v>44745</v>
      </c>
      <c r="B2711" s="2" t="s">
        <v>737</v>
      </c>
      <c r="C2711" s="2" t="s">
        <v>25</v>
      </c>
      <c r="D2711" s="2" t="s">
        <v>26</v>
      </c>
      <c r="E2711" s="2" t="s">
        <v>27</v>
      </c>
      <c r="F2711" s="2">
        <v>70.98</v>
      </c>
      <c r="G2711" s="2">
        <v>1</v>
      </c>
      <c r="H2711" s="2">
        <v>4.97</v>
      </c>
      <c r="I2711" t="str">
        <f t="shared" si="42"/>
        <v>Jul</v>
      </c>
      <c r="J2711">
        <f>YEAR(datas[[#This Row],[Order Date]])</f>
        <v>2022</v>
      </c>
    </row>
    <row r="2712" spans="1:10" ht="14.25" customHeight="1" x14ac:dyDescent="0.3">
      <c r="A2712" s="1">
        <v>44745</v>
      </c>
      <c r="B2712" s="2" t="s">
        <v>737</v>
      </c>
      <c r="C2712" s="2" t="s">
        <v>25</v>
      </c>
      <c r="D2712" s="2" t="s">
        <v>10</v>
      </c>
      <c r="E2712" s="2" t="s">
        <v>14</v>
      </c>
      <c r="F2712" s="2">
        <v>294.93</v>
      </c>
      <c r="G2712" s="2">
        <v>3</v>
      </c>
      <c r="H2712" s="2">
        <v>144.52000000000001</v>
      </c>
      <c r="I2712" t="str">
        <f t="shared" si="42"/>
        <v>Jul</v>
      </c>
      <c r="J2712">
        <f>YEAR(datas[[#This Row],[Order Date]])</f>
        <v>2022</v>
      </c>
    </row>
    <row r="2713" spans="1:10" ht="14.25" customHeight="1" x14ac:dyDescent="0.3">
      <c r="A2713" s="1">
        <v>44745</v>
      </c>
      <c r="B2713" s="2" t="s">
        <v>558</v>
      </c>
      <c r="C2713" s="2" t="s">
        <v>18</v>
      </c>
      <c r="D2713" s="2" t="s">
        <v>26</v>
      </c>
      <c r="E2713" s="2" t="s">
        <v>32</v>
      </c>
      <c r="F2713" s="2">
        <v>168.46</v>
      </c>
      <c r="G2713" s="2">
        <v>2</v>
      </c>
      <c r="H2713" s="2">
        <v>-29.48</v>
      </c>
      <c r="I2713" t="str">
        <f t="shared" si="42"/>
        <v>Jul</v>
      </c>
      <c r="J2713">
        <f>YEAR(datas[[#This Row],[Order Date]])</f>
        <v>2022</v>
      </c>
    </row>
    <row r="2714" spans="1:10" ht="14.25" customHeight="1" x14ac:dyDescent="0.3">
      <c r="A2714" s="1">
        <v>44745</v>
      </c>
      <c r="B2714" s="2" t="s">
        <v>558</v>
      </c>
      <c r="C2714" s="2" t="s">
        <v>18</v>
      </c>
      <c r="D2714" s="2" t="s">
        <v>10</v>
      </c>
      <c r="E2714" s="2" t="s">
        <v>11</v>
      </c>
      <c r="F2714" s="2">
        <v>6.72</v>
      </c>
      <c r="G2714" s="2">
        <v>2</v>
      </c>
      <c r="H2714" s="2">
        <v>2.44</v>
      </c>
      <c r="I2714" t="str">
        <f t="shared" si="42"/>
        <v>Jul</v>
      </c>
      <c r="J2714">
        <f>YEAR(datas[[#This Row],[Order Date]])</f>
        <v>2022</v>
      </c>
    </row>
    <row r="2715" spans="1:10" ht="14.25" customHeight="1" x14ac:dyDescent="0.3">
      <c r="A2715" s="1">
        <v>44745</v>
      </c>
      <c r="B2715" s="2" t="s">
        <v>558</v>
      </c>
      <c r="C2715" s="2" t="s">
        <v>18</v>
      </c>
      <c r="D2715" s="2" t="s">
        <v>26</v>
      </c>
      <c r="E2715" s="2" t="s">
        <v>32</v>
      </c>
      <c r="F2715" s="2">
        <v>282.89</v>
      </c>
      <c r="G2715" s="2">
        <v>9</v>
      </c>
      <c r="H2715" s="2">
        <v>56.58</v>
      </c>
      <c r="I2715" t="str">
        <f t="shared" si="42"/>
        <v>Jul</v>
      </c>
      <c r="J2715">
        <f>YEAR(datas[[#This Row],[Order Date]])</f>
        <v>2022</v>
      </c>
    </row>
    <row r="2716" spans="1:10" ht="14.25" customHeight="1" x14ac:dyDescent="0.3">
      <c r="A2716" s="1">
        <v>44746</v>
      </c>
      <c r="B2716" s="2" t="s">
        <v>648</v>
      </c>
      <c r="C2716" s="2" t="s">
        <v>79</v>
      </c>
      <c r="D2716" s="2" t="s">
        <v>28</v>
      </c>
      <c r="E2716" s="2" t="s">
        <v>29</v>
      </c>
      <c r="F2716" s="2">
        <v>1099.96</v>
      </c>
      <c r="G2716" s="2">
        <v>4</v>
      </c>
      <c r="H2716" s="2">
        <v>285.99</v>
      </c>
      <c r="I2716" t="str">
        <f t="shared" si="42"/>
        <v>Jul</v>
      </c>
      <c r="J2716">
        <f>YEAR(datas[[#This Row],[Order Date]])</f>
        <v>2022</v>
      </c>
    </row>
    <row r="2717" spans="1:10" ht="14.25" customHeight="1" x14ac:dyDescent="0.3">
      <c r="A2717" s="1">
        <v>44746</v>
      </c>
      <c r="B2717" s="2" t="s">
        <v>597</v>
      </c>
      <c r="C2717" s="2" t="s">
        <v>75</v>
      </c>
      <c r="D2717" s="2" t="s">
        <v>10</v>
      </c>
      <c r="E2717" s="2" t="s">
        <v>19</v>
      </c>
      <c r="F2717" s="2">
        <v>15.48</v>
      </c>
      <c r="G2717" s="2">
        <v>3</v>
      </c>
      <c r="H2717" s="2">
        <v>4.49</v>
      </c>
      <c r="I2717" t="str">
        <f t="shared" si="42"/>
        <v>Jul</v>
      </c>
      <c r="J2717">
        <f>YEAR(datas[[#This Row],[Order Date]])</f>
        <v>2022</v>
      </c>
    </row>
    <row r="2718" spans="1:10" ht="14.25" customHeight="1" x14ac:dyDescent="0.3">
      <c r="A2718" s="1">
        <v>44746</v>
      </c>
      <c r="B2718" s="2" t="s">
        <v>496</v>
      </c>
      <c r="C2718" s="2" t="s">
        <v>21</v>
      </c>
      <c r="D2718" s="2" t="s">
        <v>10</v>
      </c>
      <c r="E2718" s="2" t="s">
        <v>16</v>
      </c>
      <c r="F2718" s="2">
        <v>22.85</v>
      </c>
      <c r="G2718" s="2">
        <v>2</v>
      </c>
      <c r="H2718" s="2">
        <v>7.43</v>
      </c>
      <c r="I2718" t="str">
        <f t="shared" si="42"/>
        <v>Jul</v>
      </c>
      <c r="J2718">
        <f>YEAR(datas[[#This Row],[Order Date]])</f>
        <v>2022</v>
      </c>
    </row>
    <row r="2719" spans="1:10" ht="14.25" customHeight="1" x14ac:dyDescent="0.3">
      <c r="A2719" s="1">
        <v>44747</v>
      </c>
      <c r="B2719" s="2" t="s">
        <v>370</v>
      </c>
      <c r="C2719" s="2" t="s">
        <v>115</v>
      </c>
      <c r="D2719" s="2" t="s">
        <v>26</v>
      </c>
      <c r="E2719" s="2" t="s">
        <v>32</v>
      </c>
      <c r="F2719" s="2">
        <v>4.93</v>
      </c>
      <c r="G2719" s="2">
        <v>2</v>
      </c>
      <c r="H2719" s="2">
        <v>0.74</v>
      </c>
      <c r="I2719" t="str">
        <f t="shared" si="42"/>
        <v>Jul</v>
      </c>
      <c r="J2719">
        <f>YEAR(datas[[#This Row],[Order Date]])</f>
        <v>2022</v>
      </c>
    </row>
    <row r="2720" spans="1:10" ht="14.25" customHeight="1" x14ac:dyDescent="0.3">
      <c r="A2720" s="1">
        <v>44747</v>
      </c>
      <c r="B2720" s="2" t="s">
        <v>370</v>
      </c>
      <c r="C2720" s="2" t="s">
        <v>115</v>
      </c>
      <c r="D2720" s="2" t="s">
        <v>10</v>
      </c>
      <c r="E2720" s="2" t="s">
        <v>16</v>
      </c>
      <c r="F2720" s="2">
        <v>7.23</v>
      </c>
      <c r="G2720" s="2">
        <v>5</v>
      </c>
      <c r="H2720" s="2">
        <v>-5.78</v>
      </c>
      <c r="I2720" t="str">
        <f t="shared" si="42"/>
        <v>Jul</v>
      </c>
      <c r="J2720">
        <f>YEAR(datas[[#This Row],[Order Date]])</f>
        <v>2022</v>
      </c>
    </row>
    <row r="2721" spans="1:10" ht="14.25" customHeight="1" x14ac:dyDescent="0.3">
      <c r="A2721" s="1">
        <v>44747</v>
      </c>
      <c r="B2721" s="2" t="s">
        <v>738</v>
      </c>
      <c r="C2721" s="2" t="s">
        <v>60</v>
      </c>
      <c r="D2721" s="2" t="s">
        <v>10</v>
      </c>
      <c r="E2721" s="2" t="s">
        <v>16</v>
      </c>
      <c r="F2721" s="2">
        <v>19</v>
      </c>
      <c r="G2721" s="2">
        <v>5</v>
      </c>
      <c r="H2721" s="2">
        <v>8.93</v>
      </c>
      <c r="I2721" t="str">
        <f t="shared" si="42"/>
        <v>Jul</v>
      </c>
      <c r="J2721">
        <f>YEAR(datas[[#This Row],[Order Date]])</f>
        <v>2022</v>
      </c>
    </row>
    <row r="2722" spans="1:10" ht="14.25" customHeight="1" x14ac:dyDescent="0.3">
      <c r="A2722" s="1">
        <v>44747</v>
      </c>
      <c r="B2722" s="2" t="s">
        <v>433</v>
      </c>
      <c r="C2722" s="2" t="s">
        <v>18</v>
      </c>
      <c r="D2722" s="2" t="s">
        <v>28</v>
      </c>
      <c r="E2722" s="2" t="s">
        <v>34</v>
      </c>
      <c r="F2722" s="2">
        <v>34.799999999999997</v>
      </c>
      <c r="G2722" s="2">
        <v>3</v>
      </c>
      <c r="H2722" s="2">
        <v>2.1800000000000002</v>
      </c>
      <c r="I2722" t="str">
        <f t="shared" si="42"/>
        <v>Jul</v>
      </c>
      <c r="J2722">
        <f>YEAR(datas[[#This Row],[Order Date]])</f>
        <v>2022</v>
      </c>
    </row>
    <row r="2723" spans="1:10" ht="14.25" customHeight="1" x14ac:dyDescent="0.3">
      <c r="A2723" s="1">
        <v>44747</v>
      </c>
      <c r="B2723" s="2" t="s">
        <v>433</v>
      </c>
      <c r="C2723" s="2" t="s">
        <v>18</v>
      </c>
      <c r="D2723" s="2" t="s">
        <v>10</v>
      </c>
      <c r="E2723" s="2" t="s">
        <v>15</v>
      </c>
      <c r="F2723" s="2">
        <v>38.979999999999997</v>
      </c>
      <c r="G2723" s="2">
        <v>3</v>
      </c>
      <c r="H2723" s="2">
        <v>-2.44</v>
      </c>
      <c r="I2723" t="str">
        <f t="shared" si="42"/>
        <v>Jul</v>
      </c>
      <c r="J2723">
        <f>YEAR(datas[[#This Row],[Order Date]])</f>
        <v>2022</v>
      </c>
    </row>
    <row r="2724" spans="1:10" ht="14.25" customHeight="1" x14ac:dyDescent="0.3">
      <c r="A2724" s="1">
        <v>44747</v>
      </c>
      <c r="B2724" s="2" t="s">
        <v>199</v>
      </c>
      <c r="C2724" s="2" t="s">
        <v>115</v>
      </c>
      <c r="D2724" s="2" t="s">
        <v>26</v>
      </c>
      <c r="E2724" s="2" t="s">
        <v>32</v>
      </c>
      <c r="F2724" s="2">
        <v>4.93</v>
      </c>
      <c r="G2724" s="2">
        <v>2</v>
      </c>
      <c r="H2724" s="2">
        <v>0.74</v>
      </c>
      <c r="I2724" t="str">
        <f t="shared" si="42"/>
        <v>Jul</v>
      </c>
      <c r="J2724">
        <f>YEAR(datas[[#This Row],[Order Date]])</f>
        <v>2022</v>
      </c>
    </row>
    <row r="2725" spans="1:10" ht="14.25" customHeight="1" x14ac:dyDescent="0.3">
      <c r="A2725" s="1">
        <v>44747</v>
      </c>
      <c r="B2725" s="2" t="s">
        <v>199</v>
      </c>
      <c r="C2725" s="2" t="s">
        <v>115</v>
      </c>
      <c r="D2725" s="2" t="s">
        <v>10</v>
      </c>
      <c r="E2725" s="2" t="s">
        <v>14</v>
      </c>
      <c r="F2725" s="2">
        <v>11.78</v>
      </c>
      <c r="G2725" s="2">
        <v>3</v>
      </c>
      <c r="H2725" s="2">
        <v>4.2699999999999996</v>
      </c>
      <c r="I2725" t="str">
        <f t="shared" si="42"/>
        <v>Jul</v>
      </c>
      <c r="J2725">
        <f>YEAR(datas[[#This Row],[Order Date]])</f>
        <v>2022</v>
      </c>
    </row>
    <row r="2726" spans="1:10" ht="14.25" customHeight="1" x14ac:dyDescent="0.3">
      <c r="A2726" s="1">
        <v>44748</v>
      </c>
      <c r="B2726" s="2" t="s">
        <v>739</v>
      </c>
      <c r="C2726" s="2" t="s">
        <v>75</v>
      </c>
      <c r="D2726" s="2" t="s">
        <v>26</v>
      </c>
      <c r="E2726" s="2" t="s">
        <v>32</v>
      </c>
      <c r="F2726" s="2">
        <v>13.96</v>
      </c>
      <c r="G2726" s="2">
        <v>2</v>
      </c>
      <c r="H2726" s="2">
        <v>6.7</v>
      </c>
      <c r="I2726" t="str">
        <f t="shared" si="42"/>
        <v>Jul</v>
      </c>
      <c r="J2726">
        <f>YEAR(datas[[#This Row],[Order Date]])</f>
        <v>2022</v>
      </c>
    </row>
    <row r="2727" spans="1:10" ht="14.25" customHeight="1" x14ac:dyDescent="0.3">
      <c r="A2727" s="1">
        <v>44748</v>
      </c>
      <c r="B2727" s="2" t="s">
        <v>739</v>
      </c>
      <c r="C2727" s="2" t="s">
        <v>75</v>
      </c>
      <c r="D2727" s="2" t="s">
        <v>26</v>
      </c>
      <c r="E2727" s="2" t="s">
        <v>32</v>
      </c>
      <c r="F2727" s="2">
        <v>155.82</v>
      </c>
      <c r="G2727" s="2">
        <v>3</v>
      </c>
      <c r="H2727" s="2">
        <v>63.89</v>
      </c>
      <c r="I2727" t="str">
        <f t="shared" si="42"/>
        <v>Jul</v>
      </c>
      <c r="J2727">
        <f>YEAR(datas[[#This Row],[Order Date]])</f>
        <v>2022</v>
      </c>
    </row>
    <row r="2728" spans="1:10" ht="14.25" customHeight="1" x14ac:dyDescent="0.3">
      <c r="A2728" s="1">
        <v>44748</v>
      </c>
      <c r="B2728" s="2" t="s">
        <v>739</v>
      </c>
      <c r="C2728" s="2" t="s">
        <v>75</v>
      </c>
      <c r="D2728" s="2" t="s">
        <v>28</v>
      </c>
      <c r="E2728" s="2" t="s">
        <v>29</v>
      </c>
      <c r="F2728" s="2">
        <v>124.95</v>
      </c>
      <c r="G2728" s="2">
        <v>5</v>
      </c>
      <c r="H2728" s="2">
        <v>2.5</v>
      </c>
      <c r="I2728" t="str">
        <f t="shared" si="42"/>
        <v>Jul</v>
      </c>
      <c r="J2728">
        <f>YEAR(datas[[#This Row],[Order Date]])</f>
        <v>2022</v>
      </c>
    </row>
    <row r="2729" spans="1:10" ht="14.25" customHeight="1" x14ac:dyDescent="0.3">
      <c r="A2729" s="1">
        <v>44748</v>
      </c>
      <c r="B2729" s="2" t="s">
        <v>739</v>
      </c>
      <c r="C2729" s="2" t="s">
        <v>75</v>
      </c>
      <c r="D2729" s="2" t="s">
        <v>10</v>
      </c>
      <c r="E2729" s="2" t="s">
        <v>15</v>
      </c>
      <c r="F2729" s="2">
        <v>601.65</v>
      </c>
      <c r="G2729" s="2">
        <v>5</v>
      </c>
      <c r="H2729" s="2">
        <v>156.43</v>
      </c>
      <c r="I2729" t="str">
        <f t="shared" si="42"/>
        <v>Jul</v>
      </c>
      <c r="J2729">
        <f>YEAR(datas[[#This Row],[Order Date]])</f>
        <v>2022</v>
      </c>
    </row>
    <row r="2730" spans="1:10" ht="14.25" customHeight="1" x14ac:dyDescent="0.3">
      <c r="A2730" s="1">
        <v>44748</v>
      </c>
      <c r="B2730" s="2" t="s">
        <v>437</v>
      </c>
      <c r="C2730" s="2" t="s">
        <v>181</v>
      </c>
      <c r="D2730" s="2" t="s">
        <v>26</v>
      </c>
      <c r="E2730" s="2" t="s">
        <v>45</v>
      </c>
      <c r="F2730" s="2">
        <v>301.95999999999998</v>
      </c>
      <c r="G2730" s="2">
        <v>2</v>
      </c>
      <c r="H2730" s="2">
        <v>60.39</v>
      </c>
      <c r="I2730" t="str">
        <f t="shared" si="42"/>
        <v>Jul</v>
      </c>
      <c r="J2730">
        <f>YEAR(datas[[#This Row],[Order Date]])</f>
        <v>2022</v>
      </c>
    </row>
    <row r="2731" spans="1:10" ht="14.25" customHeight="1" x14ac:dyDescent="0.3">
      <c r="A2731" s="1">
        <v>44748</v>
      </c>
      <c r="B2731" s="2" t="s">
        <v>677</v>
      </c>
      <c r="C2731" s="2" t="s">
        <v>21</v>
      </c>
      <c r="D2731" s="2" t="s">
        <v>26</v>
      </c>
      <c r="E2731" s="2" t="s">
        <v>27</v>
      </c>
      <c r="F2731" s="2">
        <v>170.35</v>
      </c>
      <c r="G2731" s="2">
        <v>3</v>
      </c>
      <c r="H2731" s="2">
        <v>-17.04</v>
      </c>
      <c r="I2731" t="str">
        <f t="shared" si="42"/>
        <v>Jul</v>
      </c>
      <c r="J2731">
        <f>YEAR(datas[[#This Row],[Order Date]])</f>
        <v>2022</v>
      </c>
    </row>
    <row r="2732" spans="1:10" ht="14.25" customHeight="1" x14ac:dyDescent="0.3">
      <c r="A2732" s="1">
        <v>44748</v>
      </c>
      <c r="B2732" s="2" t="s">
        <v>370</v>
      </c>
      <c r="C2732" s="2" t="s">
        <v>87</v>
      </c>
      <c r="D2732" s="2" t="s">
        <v>10</v>
      </c>
      <c r="E2732" s="2" t="s">
        <v>19</v>
      </c>
      <c r="F2732" s="2">
        <v>11.12</v>
      </c>
      <c r="G2732" s="2">
        <v>4</v>
      </c>
      <c r="H2732" s="2">
        <v>2.89</v>
      </c>
      <c r="I2732" t="str">
        <f t="shared" si="42"/>
        <v>Jul</v>
      </c>
      <c r="J2732">
        <f>YEAR(datas[[#This Row],[Order Date]])</f>
        <v>2022</v>
      </c>
    </row>
    <row r="2733" spans="1:10" ht="14.25" customHeight="1" x14ac:dyDescent="0.3">
      <c r="A2733" s="1">
        <v>44750</v>
      </c>
      <c r="B2733" s="2" t="s">
        <v>477</v>
      </c>
      <c r="C2733" s="2" t="s">
        <v>9</v>
      </c>
      <c r="D2733" s="2" t="s">
        <v>10</v>
      </c>
      <c r="E2733" s="2" t="s">
        <v>11</v>
      </c>
      <c r="F2733" s="2">
        <v>21.12</v>
      </c>
      <c r="G2733" s="2">
        <v>5</v>
      </c>
      <c r="H2733" s="2">
        <v>6.6</v>
      </c>
      <c r="I2733" t="str">
        <f t="shared" si="42"/>
        <v>Jul</v>
      </c>
      <c r="J2733">
        <f>YEAR(datas[[#This Row],[Order Date]])</f>
        <v>2022</v>
      </c>
    </row>
    <row r="2734" spans="1:10" ht="14.25" customHeight="1" x14ac:dyDescent="0.3">
      <c r="A2734" s="1">
        <v>44751</v>
      </c>
      <c r="B2734" s="2" t="s">
        <v>667</v>
      </c>
      <c r="C2734" s="2" t="s">
        <v>181</v>
      </c>
      <c r="D2734" s="2" t="s">
        <v>10</v>
      </c>
      <c r="E2734" s="2" t="s">
        <v>11</v>
      </c>
      <c r="F2734" s="2">
        <v>6.58</v>
      </c>
      <c r="G2734" s="2">
        <v>2</v>
      </c>
      <c r="H2734" s="2">
        <v>3.03</v>
      </c>
      <c r="I2734" t="str">
        <f t="shared" si="42"/>
        <v>Jul</v>
      </c>
      <c r="J2734">
        <f>YEAR(datas[[#This Row],[Order Date]])</f>
        <v>2022</v>
      </c>
    </row>
    <row r="2735" spans="1:10" ht="14.25" customHeight="1" x14ac:dyDescent="0.3">
      <c r="A2735" s="1">
        <v>44751</v>
      </c>
      <c r="B2735" s="2" t="s">
        <v>667</v>
      </c>
      <c r="C2735" s="2" t="s">
        <v>181</v>
      </c>
      <c r="D2735" s="2" t="s">
        <v>10</v>
      </c>
      <c r="E2735" s="2" t="s">
        <v>16</v>
      </c>
      <c r="F2735" s="2">
        <v>122.94</v>
      </c>
      <c r="G2735" s="2">
        <v>3</v>
      </c>
      <c r="H2735" s="2">
        <v>59.01</v>
      </c>
      <c r="I2735" t="str">
        <f t="shared" si="42"/>
        <v>Jul</v>
      </c>
      <c r="J2735">
        <f>YEAR(datas[[#This Row],[Order Date]])</f>
        <v>2022</v>
      </c>
    </row>
    <row r="2736" spans="1:10" ht="14.25" customHeight="1" x14ac:dyDescent="0.3">
      <c r="A2736" s="1">
        <v>44751</v>
      </c>
      <c r="B2736" s="2" t="s">
        <v>251</v>
      </c>
      <c r="C2736" s="2" t="s">
        <v>62</v>
      </c>
      <c r="D2736" s="2" t="s">
        <v>10</v>
      </c>
      <c r="E2736" s="2" t="s">
        <v>19</v>
      </c>
      <c r="F2736" s="2">
        <v>5.16</v>
      </c>
      <c r="G2736" s="2">
        <v>3</v>
      </c>
      <c r="H2736" s="2">
        <v>0.84</v>
      </c>
      <c r="I2736" t="str">
        <f t="shared" si="42"/>
        <v>Jul</v>
      </c>
      <c r="J2736">
        <f>YEAR(datas[[#This Row],[Order Date]])</f>
        <v>2022</v>
      </c>
    </row>
    <row r="2737" spans="1:10" ht="14.25" customHeight="1" x14ac:dyDescent="0.3">
      <c r="A2737" s="1">
        <v>44751</v>
      </c>
      <c r="B2737" s="2" t="s">
        <v>614</v>
      </c>
      <c r="C2737" s="2" t="s">
        <v>215</v>
      </c>
      <c r="D2737" s="2" t="s">
        <v>10</v>
      </c>
      <c r="E2737" s="2" t="s">
        <v>30</v>
      </c>
      <c r="F2737" s="2">
        <v>15.8</v>
      </c>
      <c r="G2737" s="2">
        <v>4</v>
      </c>
      <c r="H2737" s="2">
        <v>5.0599999999999996</v>
      </c>
      <c r="I2737" t="str">
        <f t="shared" si="42"/>
        <v>Jul</v>
      </c>
      <c r="J2737">
        <f>YEAR(datas[[#This Row],[Order Date]])</f>
        <v>2022</v>
      </c>
    </row>
    <row r="2738" spans="1:10" ht="14.25" customHeight="1" x14ac:dyDescent="0.3">
      <c r="A2738" s="1">
        <v>44751</v>
      </c>
      <c r="B2738" s="2" t="s">
        <v>614</v>
      </c>
      <c r="C2738" s="2" t="s">
        <v>215</v>
      </c>
      <c r="D2738" s="2" t="s">
        <v>28</v>
      </c>
      <c r="E2738" s="2" t="s">
        <v>136</v>
      </c>
      <c r="F2738" s="2">
        <v>464.97</v>
      </c>
      <c r="G2738" s="2">
        <v>3</v>
      </c>
      <c r="H2738" s="2">
        <v>209.24</v>
      </c>
      <c r="I2738" t="str">
        <f t="shared" si="42"/>
        <v>Jul</v>
      </c>
      <c r="J2738">
        <f>YEAR(datas[[#This Row],[Order Date]])</f>
        <v>2022</v>
      </c>
    </row>
    <row r="2739" spans="1:10" ht="14.25" customHeight="1" x14ac:dyDescent="0.3">
      <c r="A2739" s="1">
        <v>44751</v>
      </c>
      <c r="B2739" s="2" t="s">
        <v>614</v>
      </c>
      <c r="C2739" s="2" t="s">
        <v>215</v>
      </c>
      <c r="D2739" s="2" t="s">
        <v>26</v>
      </c>
      <c r="E2739" s="2" t="s">
        <v>32</v>
      </c>
      <c r="F2739" s="2">
        <v>181.96</v>
      </c>
      <c r="G2739" s="2">
        <v>2</v>
      </c>
      <c r="H2739" s="2">
        <v>20.02</v>
      </c>
      <c r="I2739" t="str">
        <f t="shared" si="42"/>
        <v>Jul</v>
      </c>
      <c r="J2739">
        <f>YEAR(datas[[#This Row],[Order Date]])</f>
        <v>2022</v>
      </c>
    </row>
    <row r="2740" spans="1:10" ht="14.25" customHeight="1" x14ac:dyDescent="0.3">
      <c r="A2740" s="1">
        <v>44751</v>
      </c>
      <c r="B2740" s="2" t="s">
        <v>614</v>
      </c>
      <c r="C2740" s="2" t="s">
        <v>215</v>
      </c>
      <c r="D2740" s="2" t="s">
        <v>10</v>
      </c>
      <c r="E2740" s="2" t="s">
        <v>14</v>
      </c>
      <c r="F2740" s="2">
        <v>12.39</v>
      </c>
      <c r="G2740" s="2">
        <v>3</v>
      </c>
      <c r="H2740" s="2">
        <v>5.7</v>
      </c>
      <c r="I2740" t="str">
        <f t="shared" si="42"/>
        <v>Jul</v>
      </c>
      <c r="J2740">
        <f>YEAR(datas[[#This Row],[Order Date]])</f>
        <v>2022</v>
      </c>
    </row>
    <row r="2741" spans="1:10" ht="14.25" customHeight="1" x14ac:dyDescent="0.3">
      <c r="A2741" s="1">
        <v>44751</v>
      </c>
      <c r="B2741" s="2" t="s">
        <v>614</v>
      </c>
      <c r="C2741" s="2" t="s">
        <v>215</v>
      </c>
      <c r="D2741" s="2" t="s">
        <v>10</v>
      </c>
      <c r="E2741" s="2" t="s">
        <v>16</v>
      </c>
      <c r="F2741" s="2">
        <v>84.09</v>
      </c>
      <c r="G2741" s="2">
        <v>3</v>
      </c>
      <c r="H2741" s="2">
        <v>42.05</v>
      </c>
      <c r="I2741" t="str">
        <f t="shared" si="42"/>
        <v>Jul</v>
      </c>
      <c r="J2741">
        <f>YEAR(datas[[#This Row],[Order Date]])</f>
        <v>2022</v>
      </c>
    </row>
    <row r="2742" spans="1:10" ht="14.25" customHeight="1" x14ac:dyDescent="0.3">
      <c r="A2742" s="1">
        <v>44751</v>
      </c>
      <c r="B2742" s="2" t="s">
        <v>614</v>
      </c>
      <c r="C2742" s="2" t="s">
        <v>215</v>
      </c>
      <c r="D2742" s="2" t="s">
        <v>10</v>
      </c>
      <c r="E2742" s="2" t="s">
        <v>19</v>
      </c>
      <c r="F2742" s="2">
        <v>79.36</v>
      </c>
      <c r="G2742" s="2">
        <v>4</v>
      </c>
      <c r="H2742" s="2">
        <v>32.54</v>
      </c>
      <c r="I2742" t="str">
        <f t="shared" si="42"/>
        <v>Jul</v>
      </c>
      <c r="J2742">
        <f>YEAR(datas[[#This Row],[Order Date]])</f>
        <v>2022</v>
      </c>
    </row>
    <row r="2743" spans="1:10" ht="14.25" customHeight="1" x14ac:dyDescent="0.3">
      <c r="A2743" s="1">
        <v>44751</v>
      </c>
      <c r="B2743" s="2" t="s">
        <v>614</v>
      </c>
      <c r="C2743" s="2" t="s">
        <v>215</v>
      </c>
      <c r="D2743" s="2" t="s">
        <v>10</v>
      </c>
      <c r="E2743" s="2" t="s">
        <v>16</v>
      </c>
      <c r="F2743" s="2">
        <v>153.36000000000001</v>
      </c>
      <c r="G2743" s="2">
        <v>9</v>
      </c>
      <c r="H2743" s="2">
        <v>70.55</v>
      </c>
      <c r="I2743" t="str">
        <f t="shared" si="42"/>
        <v>Jul</v>
      </c>
      <c r="J2743">
        <f>YEAR(datas[[#This Row],[Order Date]])</f>
        <v>2022</v>
      </c>
    </row>
    <row r="2744" spans="1:10" ht="14.25" customHeight="1" x14ac:dyDescent="0.3">
      <c r="A2744" s="1">
        <v>44751</v>
      </c>
      <c r="B2744" s="2" t="s">
        <v>614</v>
      </c>
      <c r="C2744" s="2" t="s">
        <v>215</v>
      </c>
      <c r="D2744" s="2" t="s">
        <v>10</v>
      </c>
      <c r="E2744" s="2" t="s">
        <v>16</v>
      </c>
      <c r="F2744" s="2">
        <v>43.68</v>
      </c>
      <c r="G2744" s="2">
        <v>6</v>
      </c>
      <c r="H2744" s="2">
        <v>21.4</v>
      </c>
      <c r="I2744" t="str">
        <f t="shared" si="42"/>
        <v>Jul</v>
      </c>
      <c r="J2744">
        <f>YEAR(datas[[#This Row],[Order Date]])</f>
        <v>2022</v>
      </c>
    </row>
    <row r="2745" spans="1:10" ht="14.25" customHeight="1" x14ac:dyDescent="0.3">
      <c r="A2745" s="1">
        <v>44751</v>
      </c>
      <c r="B2745" s="2" t="s">
        <v>614</v>
      </c>
      <c r="C2745" s="2" t="s">
        <v>215</v>
      </c>
      <c r="D2745" s="2" t="s">
        <v>10</v>
      </c>
      <c r="E2745" s="2" t="s">
        <v>15</v>
      </c>
      <c r="F2745" s="2">
        <v>98.21</v>
      </c>
      <c r="G2745" s="2">
        <v>7</v>
      </c>
      <c r="H2745" s="2">
        <v>28.48</v>
      </c>
      <c r="I2745" t="str">
        <f t="shared" si="42"/>
        <v>Jul</v>
      </c>
      <c r="J2745">
        <f>YEAR(datas[[#This Row],[Order Date]])</f>
        <v>2022</v>
      </c>
    </row>
    <row r="2746" spans="1:10" ht="14.25" customHeight="1" x14ac:dyDescent="0.3">
      <c r="A2746" s="1">
        <v>44751</v>
      </c>
      <c r="B2746" s="2" t="s">
        <v>622</v>
      </c>
      <c r="C2746" s="2" t="s">
        <v>18</v>
      </c>
      <c r="D2746" s="2" t="s">
        <v>28</v>
      </c>
      <c r="E2746" s="2" t="s">
        <v>29</v>
      </c>
      <c r="F2746" s="2">
        <v>269.98</v>
      </c>
      <c r="G2746" s="2">
        <v>3</v>
      </c>
      <c r="H2746" s="2">
        <v>40.5</v>
      </c>
      <c r="I2746" t="str">
        <f t="shared" si="42"/>
        <v>Jul</v>
      </c>
      <c r="J2746">
        <f>YEAR(datas[[#This Row],[Order Date]])</f>
        <v>2022</v>
      </c>
    </row>
    <row r="2747" spans="1:10" ht="14.25" customHeight="1" x14ac:dyDescent="0.3">
      <c r="A2747" s="1">
        <v>44751</v>
      </c>
      <c r="B2747" s="2" t="s">
        <v>211</v>
      </c>
      <c r="C2747" s="2" t="s">
        <v>9</v>
      </c>
      <c r="D2747" s="2" t="s">
        <v>10</v>
      </c>
      <c r="E2747" s="2" t="s">
        <v>53</v>
      </c>
      <c r="F2747" s="2">
        <v>48.63</v>
      </c>
      <c r="G2747" s="2">
        <v>2</v>
      </c>
      <c r="H2747" s="2">
        <v>-121.58</v>
      </c>
      <c r="I2747" t="str">
        <f t="shared" si="42"/>
        <v>Jul</v>
      </c>
      <c r="J2747">
        <f>YEAR(datas[[#This Row],[Order Date]])</f>
        <v>2022</v>
      </c>
    </row>
    <row r="2748" spans="1:10" ht="14.25" customHeight="1" x14ac:dyDescent="0.3">
      <c r="A2748" s="1">
        <v>44752</v>
      </c>
      <c r="B2748" s="2" t="s">
        <v>349</v>
      </c>
      <c r="C2748" s="2" t="s">
        <v>55</v>
      </c>
      <c r="D2748" s="2" t="s">
        <v>10</v>
      </c>
      <c r="E2748" s="2" t="s">
        <v>16</v>
      </c>
      <c r="F2748" s="2">
        <v>3.37</v>
      </c>
      <c r="G2748" s="2">
        <v>3</v>
      </c>
      <c r="H2748" s="2">
        <v>-2.2400000000000002</v>
      </c>
      <c r="I2748" t="str">
        <f t="shared" si="42"/>
        <v>Jul</v>
      </c>
      <c r="J2748">
        <f>YEAR(datas[[#This Row],[Order Date]])</f>
        <v>2022</v>
      </c>
    </row>
    <row r="2749" spans="1:10" ht="14.25" customHeight="1" x14ac:dyDescent="0.3">
      <c r="A2749" s="1">
        <v>44752</v>
      </c>
      <c r="B2749" s="2" t="s">
        <v>76</v>
      </c>
      <c r="C2749" s="2" t="s">
        <v>21</v>
      </c>
      <c r="D2749" s="2" t="s">
        <v>10</v>
      </c>
      <c r="E2749" s="2" t="s">
        <v>16</v>
      </c>
      <c r="F2749" s="2">
        <v>39.92</v>
      </c>
      <c r="G2749" s="2">
        <v>2</v>
      </c>
      <c r="H2749" s="2">
        <v>12.97</v>
      </c>
      <c r="I2749" t="str">
        <f t="shared" si="42"/>
        <v>Jul</v>
      </c>
      <c r="J2749">
        <f>YEAR(datas[[#This Row],[Order Date]])</f>
        <v>2022</v>
      </c>
    </row>
    <row r="2750" spans="1:10" ht="14.25" customHeight="1" x14ac:dyDescent="0.3">
      <c r="A2750" s="1">
        <v>44753</v>
      </c>
      <c r="B2750" s="2" t="s">
        <v>656</v>
      </c>
      <c r="C2750" s="2" t="s">
        <v>18</v>
      </c>
      <c r="D2750" s="2" t="s">
        <v>26</v>
      </c>
      <c r="E2750" s="2" t="s">
        <v>32</v>
      </c>
      <c r="F2750" s="2">
        <v>289.8</v>
      </c>
      <c r="G2750" s="2">
        <v>7</v>
      </c>
      <c r="H2750" s="2">
        <v>36.229999999999997</v>
      </c>
      <c r="I2750" t="str">
        <f t="shared" si="42"/>
        <v>Jul</v>
      </c>
      <c r="J2750">
        <f>YEAR(datas[[#This Row],[Order Date]])</f>
        <v>2022</v>
      </c>
    </row>
    <row r="2751" spans="1:10" ht="14.25" customHeight="1" x14ac:dyDescent="0.3">
      <c r="A2751" s="1">
        <v>44753</v>
      </c>
      <c r="B2751" s="2" t="s">
        <v>656</v>
      </c>
      <c r="C2751" s="2" t="s">
        <v>18</v>
      </c>
      <c r="D2751" s="2" t="s">
        <v>10</v>
      </c>
      <c r="E2751" s="2" t="s">
        <v>16</v>
      </c>
      <c r="F2751" s="2">
        <v>2.5</v>
      </c>
      <c r="G2751" s="2">
        <v>3</v>
      </c>
      <c r="H2751" s="2">
        <v>-2</v>
      </c>
      <c r="I2751" t="str">
        <f t="shared" si="42"/>
        <v>Jul</v>
      </c>
      <c r="J2751">
        <f>YEAR(datas[[#This Row],[Order Date]])</f>
        <v>2022</v>
      </c>
    </row>
    <row r="2752" spans="1:10" ht="14.25" customHeight="1" x14ac:dyDescent="0.3">
      <c r="A2752" s="1">
        <v>44753</v>
      </c>
      <c r="B2752" s="2" t="s">
        <v>656</v>
      </c>
      <c r="C2752" s="2" t="s">
        <v>18</v>
      </c>
      <c r="D2752" s="2" t="s">
        <v>10</v>
      </c>
      <c r="E2752" s="2" t="s">
        <v>16</v>
      </c>
      <c r="F2752" s="2">
        <v>6.48</v>
      </c>
      <c r="G2752" s="2">
        <v>4</v>
      </c>
      <c r="H2752" s="2">
        <v>-4.75</v>
      </c>
      <c r="I2752" t="str">
        <f t="shared" si="42"/>
        <v>Jul</v>
      </c>
      <c r="J2752">
        <f>YEAR(datas[[#This Row],[Order Date]])</f>
        <v>2022</v>
      </c>
    </row>
    <row r="2753" spans="1:10" ht="14.25" customHeight="1" x14ac:dyDescent="0.3">
      <c r="A2753" s="1">
        <v>44753</v>
      </c>
      <c r="B2753" s="2" t="s">
        <v>656</v>
      </c>
      <c r="C2753" s="2" t="s">
        <v>18</v>
      </c>
      <c r="D2753" s="2" t="s">
        <v>26</v>
      </c>
      <c r="E2753" s="2" t="s">
        <v>27</v>
      </c>
      <c r="F2753" s="2">
        <v>341.49</v>
      </c>
      <c r="G2753" s="2">
        <v>8</v>
      </c>
      <c r="H2753" s="2">
        <v>-73.180000000000007</v>
      </c>
      <c r="I2753" t="str">
        <f t="shared" si="42"/>
        <v>Jul</v>
      </c>
      <c r="J2753">
        <f>YEAR(datas[[#This Row],[Order Date]])</f>
        <v>2022</v>
      </c>
    </row>
    <row r="2754" spans="1:10" ht="14.25" customHeight="1" x14ac:dyDescent="0.3">
      <c r="A2754" s="1">
        <v>44753</v>
      </c>
      <c r="B2754" s="2" t="s">
        <v>656</v>
      </c>
      <c r="C2754" s="2" t="s">
        <v>18</v>
      </c>
      <c r="D2754" s="2" t="s">
        <v>10</v>
      </c>
      <c r="E2754" s="2" t="s">
        <v>19</v>
      </c>
      <c r="F2754" s="2">
        <v>11.12</v>
      </c>
      <c r="G2754" s="2">
        <v>5</v>
      </c>
      <c r="H2754" s="2">
        <v>0.83</v>
      </c>
      <c r="I2754" t="str">
        <f t="shared" si="42"/>
        <v>Jul</v>
      </c>
      <c r="J2754">
        <f>YEAR(datas[[#This Row],[Order Date]])</f>
        <v>2022</v>
      </c>
    </row>
    <row r="2755" spans="1:10" ht="14.25" customHeight="1" x14ac:dyDescent="0.3">
      <c r="A2755" s="1">
        <v>44753</v>
      </c>
      <c r="B2755" s="2" t="s">
        <v>656</v>
      </c>
      <c r="C2755" s="2" t="s">
        <v>18</v>
      </c>
      <c r="D2755" s="2" t="s">
        <v>26</v>
      </c>
      <c r="E2755" s="2" t="s">
        <v>32</v>
      </c>
      <c r="F2755" s="2">
        <v>25.34</v>
      </c>
      <c r="G2755" s="2">
        <v>6</v>
      </c>
      <c r="H2755" s="2">
        <v>3.48</v>
      </c>
      <c r="I2755" t="str">
        <f t="shared" ref="I2755:I2818" si="43">TEXT(A2755,"mmm")</f>
        <v>Jul</v>
      </c>
      <c r="J2755">
        <f>YEAR(datas[[#This Row],[Order Date]])</f>
        <v>2022</v>
      </c>
    </row>
    <row r="2756" spans="1:10" ht="14.25" customHeight="1" x14ac:dyDescent="0.3">
      <c r="A2756" s="1">
        <v>44753</v>
      </c>
      <c r="B2756" s="2" t="s">
        <v>110</v>
      </c>
      <c r="C2756" s="2" t="s">
        <v>82</v>
      </c>
      <c r="D2756" s="2" t="s">
        <v>10</v>
      </c>
      <c r="E2756" s="2" t="s">
        <v>11</v>
      </c>
      <c r="F2756" s="2">
        <v>29.97</v>
      </c>
      <c r="G2756" s="2">
        <v>3</v>
      </c>
      <c r="H2756" s="2">
        <v>13.49</v>
      </c>
      <c r="I2756" t="str">
        <f t="shared" si="43"/>
        <v>Jul</v>
      </c>
      <c r="J2756">
        <f>YEAR(datas[[#This Row],[Order Date]])</f>
        <v>2022</v>
      </c>
    </row>
    <row r="2757" spans="1:10" ht="14.25" customHeight="1" x14ac:dyDescent="0.3">
      <c r="A2757" s="1">
        <v>44753</v>
      </c>
      <c r="B2757" s="2" t="s">
        <v>110</v>
      </c>
      <c r="C2757" s="2" t="s">
        <v>82</v>
      </c>
      <c r="D2757" s="2" t="s">
        <v>10</v>
      </c>
      <c r="E2757" s="2" t="s">
        <v>16</v>
      </c>
      <c r="F2757" s="2">
        <v>98.35</v>
      </c>
      <c r="G2757" s="2">
        <v>3</v>
      </c>
      <c r="H2757" s="2">
        <v>34.42</v>
      </c>
      <c r="I2757" t="str">
        <f t="shared" si="43"/>
        <v>Jul</v>
      </c>
      <c r="J2757">
        <f>YEAR(datas[[#This Row],[Order Date]])</f>
        <v>2022</v>
      </c>
    </row>
    <row r="2758" spans="1:10" ht="14.25" customHeight="1" x14ac:dyDescent="0.3">
      <c r="A2758" s="1">
        <v>44753</v>
      </c>
      <c r="B2758" s="2" t="s">
        <v>548</v>
      </c>
      <c r="C2758" s="2" t="s">
        <v>38</v>
      </c>
      <c r="D2758" s="2" t="s">
        <v>26</v>
      </c>
      <c r="E2758" s="2" t="s">
        <v>73</v>
      </c>
      <c r="F2758" s="2">
        <v>199.84</v>
      </c>
      <c r="G2758" s="2">
        <v>4</v>
      </c>
      <c r="H2758" s="2">
        <v>-37.11</v>
      </c>
      <c r="I2758" t="str">
        <f t="shared" si="43"/>
        <v>Jul</v>
      </c>
      <c r="J2758">
        <f>YEAR(datas[[#This Row],[Order Date]])</f>
        <v>2022</v>
      </c>
    </row>
    <row r="2759" spans="1:10" ht="14.25" customHeight="1" x14ac:dyDescent="0.3">
      <c r="A2759" s="1">
        <v>44753</v>
      </c>
      <c r="B2759" s="2" t="s">
        <v>548</v>
      </c>
      <c r="C2759" s="2" t="s">
        <v>38</v>
      </c>
      <c r="D2759" s="2" t="s">
        <v>28</v>
      </c>
      <c r="E2759" s="2" t="s">
        <v>29</v>
      </c>
      <c r="F2759" s="2">
        <v>716</v>
      </c>
      <c r="G2759" s="2">
        <v>2</v>
      </c>
      <c r="H2759" s="2">
        <v>193.32</v>
      </c>
      <c r="I2759" t="str">
        <f t="shared" si="43"/>
        <v>Jul</v>
      </c>
      <c r="J2759">
        <f>YEAR(datas[[#This Row],[Order Date]])</f>
        <v>2022</v>
      </c>
    </row>
    <row r="2760" spans="1:10" ht="14.25" customHeight="1" x14ac:dyDescent="0.3">
      <c r="A2760" s="1">
        <v>44753</v>
      </c>
      <c r="B2760" s="2" t="s">
        <v>548</v>
      </c>
      <c r="C2760" s="2" t="s">
        <v>38</v>
      </c>
      <c r="D2760" s="2" t="s">
        <v>10</v>
      </c>
      <c r="E2760" s="2" t="s">
        <v>16</v>
      </c>
      <c r="F2760" s="2">
        <v>221.06</v>
      </c>
      <c r="G2760" s="2">
        <v>7</v>
      </c>
      <c r="H2760" s="2">
        <v>103.9</v>
      </c>
      <c r="I2760" t="str">
        <f t="shared" si="43"/>
        <v>Jul</v>
      </c>
      <c r="J2760">
        <f>YEAR(datas[[#This Row],[Order Date]])</f>
        <v>2022</v>
      </c>
    </row>
    <row r="2761" spans="1:10" ht="14.25" customHeight="1" x14ac:dyDescent="0.3">
      <c r="A2761" s="1">
        <v>44754</v>
      </c>
      <c r="B2761" s="2" t="s">
        <v>628</v>
      </c>
      <c r="C2761" s="2" t="s">
        <v>13</v>
      </c>
      <c r="D2761" s="2" t="s">
        <v>26</v>
      </c>
      <c r="E2761" s="2" t="s">
        <v>27</v>
      </c>
      <c r="F2761" s="2">
        <v>383.61</v>
      </c>
      <c r="G2761" s="2">
        <v>9</v>
      </c>
      <c r="H2761" s="2">
        <v>-5.48</v>
      </c>
      <c r="I2761" t="str">
        <f t="shared" si="43"/>
        <v>Jul</v>
      </c>
      <c r="J2761">
        <f>YEAR(datas[[#This Row],[Order Date]])</f>
        <v>2022</v>
      </c>
    </row>
    <row r="2762" spans="1:10" ht="14.25" customHeight="1" x14ac:dyDescent="0.3">
      <c r="A2762" s="1">
        <v>44754</v>
      </c>
      <c r="B2762" s="2" t="s">
        <v>628</v>
      </c>
      <c r="C2762" s="2" t="s">
        <v>13</v>
      </c>
      <c r="D2762" s="2" t="s">
        <v>28</v>
      </c>
      <c r="E2762" s="2" t="s">
        <v>29</v>
      </c>
      <c r="F2762" s="2">
        <v>148.47999999999999</v>
      </c>
      <c r="G2762" s="2">
        <v>2</v>
      </c>
      <c r="H2762" s="2">
        <v>16.7</v>
      </c>
      <c r="I2762" t="str">
        <f t="shared" si="43"/>
        <v>Jul</v>
      </c>
      <c r="J2762">
        <f>YEAR(datas[[#This Row],[Order Date]])</f>
        <v>2022</v>
      </c>
    </row>
    <row r="2763" spans="1:10" ht="14.25" customHeight="1" x14ac:dyDescent="0.3">
      <c r="A2763" s="1">
        <v>44754</v>
      </c>
      <c r="B2763" s="2" t="s">
        <v>628</v>
      </c>
      <c r="C2763" s="2" t="s">
        <v>13</v>
      </c>
      <c r="D2763" s="2" t="s">
        <v>28</v>
      </c>
      <c r="E2763" s="2" t="s">
        <v>29</v>
      </c>
      <c r="F2763" s="2">
        <v>537.54</v>
      </c>
      <c r="G2763" s="2">
        <v>7</v>
      </c>
      <c r="H2763" s="2">
        <v>53.75</v>
      </c>
      <c r="I2763" t="str">
        <f t="shared" si="43"/>
        <v>Jul</v>
      </c>
      <c r="J2763">
        <f>YEAR(datas[[#This Row],[Order Date]])</f>
        <v>2022</v>
      </c>
    </row>
    <row r="2764" spans="1:10" ht="14.25" customHeight="1" x14ac:dyDescent="0.3">
      <c r="A2764" s="1">
        <v>44754</v>
      </c>
      <c r="B2764" s="2" t="s">
        <v>628</v>
      </c>
      <c r="C2764" s="2" t="s">
        <v>13</v>
      </c>
      <c r="D2764" s="2" t="s">
        <v>10</v>
      </c>
      <c r="E2764" s="2" t="s">
        <v>16</v>
      </c>
      <c r="F2764" s="2">
        <v>1.93</v>
      </c>
      <c r="G2764" s="2">
        <v>2</v>
      </c>
      <c r="H2764" s="2">
        <v>-2.99</v>
      </c>
      <c r="I2764" t="str">
        <f t="shared" si="43"/>
        <v>Jul</v>
      </c>
      <c r="J2764">
        <f>YEAR(datas[[#This Row],[Order Date]])</f>
        <v>2022</v>
      </c>
    </row>
    <row r="2765" spans="1:10" ht="14.25" customHeight="1" x14ac:dyDescent="0.3">
      <c r="A2765" s="1">
        <v>44754</v>
      </c>
      <c r="B2765" s="2" t="s">
        <v>628</v>
      </c>
      <c r="C2765" s="2" t="s">
        <v>13</v>
      </c>
      <c r="D2765" s="2" t="s">
        <v>10</v>
      </c>
      <c r="E2765" s="2" t="s">
        <v>19</v>
      </c>
      <c r="F2765" s="2">
        <v>6.91</v>
      </c>
      <c r="G2765" s="2">
        <v>3</v>
      </c>
      <c r="H2765" s="2">
        <v>0.69</v>
      </c>
      <c r="I2765" t="str">
        <f t="shared" si="43"/>
        <v>Jul</v>
      </c>
      <c r="J2765">
        <f>YEAR(datas[[#This Row],[Order Date]])</f>
        <v>2022</v>
      </c>
    </row>
    <row r="2766" spans="1:10" ht="14.25" customHeight="1" x14ac:dyDescent="0.3">
      <c r="A2766" s="1">
        <v>44754</v>
      </c>
      <c r="B2766" s="2" t="s">
        <v>628</v>
      </c>
      <c r="C2766" s="2" t="s">
        <v>13</v>
      </c>
      <c r="D2766" s="2" t="s">
        <v>26</v>
      </c>
      <c r="E2766" s="2" t="s">
        <v>32</v>
      </c>
      <c r="F2766" s="2">
        <v>7.76</v>
      </c>
      <c r="G2766" s="2">
        <v>1</v>
      </c>
      <c r="H2766" s="2">
        <v>-2.13</v>
      </c>
      <c r="I2766" t="str">
        <f t="shared" si="43"/>
        <v>Jul</v>
      </c>
      <c r="J2766">
        <f>YEAR(datas[[#This Row],[Order Date]])</f>
        <v>2022</v>
      </c>
    </row>
    <row r="2767" spans="1:10" ht="14.25" customHeight="1" x14ac:dyDescent="0.3">
      <c r="A2767" s="1">
        <v>44754</v>
      </c>
      <c r="B2767" s="2" t="s">
        <v>628</v>
      </c>
      <c r="C2767" s="2" t="s">
        <v>13</v>
      </c>
      <c r="D2767" s="2" t="s">
        <v>28</v>
      </c>
      <c r="E2767" s="2" t="s">
        <v>29</v>
      </c>
      <c r="F2767" s="2">
        <v>659.17</v>
      </c>
      <c r="G2767" s="2">
        <v>4</v>
      </c>
      <c r="H2767" s="2">
        <v>49.44</v>
      </c>
      <c r="I2767" t="str">
        <f t="shared" si="43"/>
        <v>Jul</v>
      </c>
      <c r="J2767">
        <f>YEAR(datas[[#This Row],[Order Date]])</f>
        <v>2022</v>
      </c>
    </row>
    <row r="2768" spans="1:10" ht="14.25" customHeight="1" x14ac:dyDescent="0.3">
      <c r="A2768" s="1">
        <v>44754</v>
      </c>
      <c r="B2768" s="2" t="s">
        <v>740</v>
      </c>
      <c r="C2768" s="2" t="s">
        <v>9</v>
      </c>
      <c r="D2768" s="2" t="s">
        <v>28</v>
      </c>
      <c r="E2768" s="2" t="s">
        <v>29</v>
      </c>
      <c r="F2768" s="2">
        <v>307.17</v>
      </c>
      <c r="G2768" s="2">
        <v>4</v>
      </c>
      <c r="H2768" s="2">
        <v>30.72</v>
      </c>
      <c r="I2768" t="str">
        <f t="shared" si="43"/>
        <v>Jul</v>
      </c>
      <c r="J2768">
        <f>YEAR(datas[[#This Row],[Order Date]])</f>
        <v>2022</v>
      </c>
    </row>
    <row r="2769" spans="1:10" ht="14.25" customHeight="1" x14ac:dyDescent="0.3">
      <c r="A2769" s="1">
        <v>44755</v>
      </c>
      <c r="B2769" s="2" t="s">
        <v>42</v>
      </c>
      <c r="C2769" s="2" t="s">
        <v>75</v>
      </c>
      <c r="D2769" s="2" t="s">
        <v>10</v>
      </c>
      <c r="E2769" s="2" t="s">
        <v>16</v>
      </c>
      <c r="F2769" s="2">
        <v>11.81</v>
      </c>
      <c r="G2769" s="2">
        <v>2</v>
      </c>
      <c r="H2769" s="2">
        <v>4.28</v>
      </c>
      <c r="I2769" t="str">
        <f t="shared" si="43"/>
        <v>Jul</v>
      </c>
      <c r="J2769">
        <f>YEAR(datas[[#This Row],[Order Date]])</f>
        <v>2022</v>
      </c>
    </row>
    <row r="2770" spans="1:10" ht="14.25" customHeight="1" x14ac:dyDescent="0.3">
      <c r="A2770" s="1">
        <v>44755</v>
      </c>
      <c r="B2770" s="2" t="s">
        <v>42</v>
      </c>
      <c r="C2770" s="2" t="s">
        <v>75</v>
      </c>
      <c r="D2770" s="2" t="s">
        <v>26</v>
      </c>
      <c r="E2770" s="2" t="s">
        <v>27</v>
      </c>
      <c r="F2770" s="2">
        <v>1931.04</v>
      </c>
      <c r="G2770" s="2">
        <v>9</v>
      </c>
      <c r="H2770" s="2">
        <v>321.83999999999997</v>
      </c>
      <c r="I2770" t="str">
        <f t="shared" si="43"/>
        <v>Jul</v>
      </c>
      <c r="J2770">
        <f>YEAR(datas[[#This Row],[Order Date]])</f>
        <v>2022</v>
      </c>
    </row>
    <row r="2771" spans="1:10" ht="14.25" customHeight="1" x14ac:dyDescent="0.3">
      <c r="A2771" s="1">
        <v>44755</v>
      </c>
      <c r="B2771" s="2" t="s">
        <v>42</v>
      </c>
      <c r="C2771" s="2" t="s">
        <v>75</v>
      </c>
      <c r="D2771" s="2" t="s">
        <v>10</v>
      </c>
      <c r="E2771" s="2" t="s">
        <v>11</v>
      </c>
      <c r="F2771" s="2">
        <v>9.9600000000000009</v>
      </c>
      <c r="G2771" s="2">
        <v>2</v>
      </c>
      <c r="H2771" s="2">
        <v>4.68</v>
      </c>
      <c r="I2771" t="str">
        <f t="shared" si="43"/>
        <v>Jul</v>
      </c>
      <c r="J2771">
        <f>YEAR(datas[[#This Row],[Order Date]])</f>
        <v>2022</v>
      </c>
    </row>
    <row r="2772" spans="1:10" ht="14.25" customHeight="1" x14ac:dyDescent="0.3">
      <c r="A2772" s="1">
        <v>44755</v>
      </c>
      <c r="B2772" s="2" t="s">
        <v>492</v>
      </c>
      <c r="C2772" s="2" t="s">
        <v>9</v>
      </c>
      <c r="D2772" s="2" t="s">
        <v>10</v>
      </c>
      <c r="E2772" s="2" t="s">
        <v>16</v>
      </c>
      <c r="F2772" s="2">
        <v>41.57</v>
      </c>
      <c r="G2772" s="2">
        <v>6</v>
      </c>
      <c r="H2772" s="2">
        <v>-66.510000000000005</v>
      </c>
      <c r="I2772" t="str">
        <f t="shared" si="43"/>
        <v>Jul</v>
      </c>
      <c r="J2772">
        <f>YEAR(datas[[#This Row],[Order Date]])</f>
        <v>2022</v>
      </c>
    </row>
    <row r="2773" spans="1:10" ht="14.25" customHeight="1" x14ac:dyDescent="0.3">
      <c r="A2773" s="1">
        <v>44755</v>
      </c>
      <c r="B2773" s="2" t="s">
        <v>85</v>
      </c>
      <c r="C2773" s="2" t="s">
        <v>23</v>
      </c>
      <c r="D2773" s="2" t="s">
        <v>10</v>
      </c>
      <c r="E2773" s="2" t="s">
        <v>11</v>
      </c>
      <c r="F2773" s="2">
        <v>38.880000000000003</v>
      </c>
      <c r="G2773" s="2">
        <v>6</v>
      </c>
      <c r="H2773" s="2">
        <v>18.66</v>
      </c>
      <c r="I2773" t="str">
        <f t="shared" si="43"/>
        <v>Jul</v>
      </c>
      <c r="J2773">
        <f>YEAR(datas[[#This Row],[Order Date]])</f>
        <v>2022</v>
      </c>
    </row>
    <row r="2774" spans="1:10" ht="14.25" customHeight="1" x14ac:dyDescent="0.3">
      <c r="A2774" s="1">
        <v>44756</v>
      </c>
      <c r="B2774" s="2" t="s">
        <v>686</v>
      </c>
      <c r="C2774" s="2" t="s">
        <v>55</v>
      </c>
      <c r="D2774" s="2" t="s">
        <v>10</v>
      </c>
      <c r="E2774" s="2" t="s">
        <v>15</v>
      </c>
      <c r="F2774" s="2">
        <v>272.74</v>
      </c>
      <c r="G2774" s="2">
        <v>3</v>
      </c>
      <c r="H2774" s="2">
        <v>-64.77</v>
      </c>
      <c r="I2774" t="str">
        <f t="shared" si="43"/>
        <v>Jul</v>
      </c>
      <c r="J2774">
        <f>YEAR(datas[[#This Row],[Order Date]])</f>
        <v>2022</v>
      </c>
    </row>
    <row r="2775" spans="1:10" ht="14.25" customHeight="1" x14ac:dyDescent="0.3">
      <c r="A2775" s="1">
        <v>44756</v>
      </c>
      <c r="B2775" s="2" t="s">
        <v>686</v>
      </c>
      <c r="C2775" s="2" t="s">
        <v>55</v>
      </c>
      <c r="D2775" s="2" t="s">
        <v>10</v>
      </c>
      <c r="E2775" s="2" t="s">
        <v>11</v>
      </c>
      <c r="F2775" s="2">
        <v>18.5</v>
      </c>
      <c r="G2775" s="2">
        <v>4</v>
      </c>
      <c r="H2775" s="2">
        <v>6.7</v>
      </c>
      <c r="I2775" t="str">
        <f t="shared" si="43"/>
        <v>Jul</v>
      </c>
      <c r="J2775">
        <f>YEAR(datas[[#This Row],[Order Date]])</f>
        <v>2022</v>
      </c>
    </row>
    <row r="2776" spans="1:10" ht="14.25" customHeight="1" x14ac:dyDescent="0.3">
      <c r="A2776" s="1">
        <v>44756</v>
      </c>
      <c r="B2776" s="2" t="s">
        <v>686</v>
      </c>
      <c r="C2776" s="2" t="s">
        <v>55</v>
      </c>
      <c r="D2776" s="2" t="s">
        <v>26</v>
      </c>
      <c r="E2776" s="2" t="s">
        <v>27</v>
      </c>
      <c r="F2776" s="2">
        <v>441.92</v>
      </c>
      <c r="G2776" s="2">
        <v>2</v>
      </c>
      <c r="H2776" s="2">
        <v>49.72</v>
      </c>
      <c r="I2776" t="str">
        <f t="shared" si="43"/>
        <v>Jul</v>
      </c>
      <c r="J2776">
        <f>YEAR(datas[[#This Row],[Order Date]])</f>
        <v>2022</v>
      </c>
    </row>
    <row r="2777" spans="1:10" ht="14.25" customHeight="1" x14ac:dyDescent="0.3">
      <c r="A2777" s="1">
        <v>44756</v>
      </c>
      <c r="B2777" s="2" t="s">
        <v>686</v>
      </c>
      <c r="C2777" s="2" t="s">
        <v>55</v>
      </c>
      <c r="D2777" s="2" t="s">
        <v>26</v>
      </c>
      <c r="E2777" s="2" t="s">
        <v>45</v>
      </c>
      <c r="F2777" s="2">
        <v>127.76</v>
      </c>
      <c r="G2777" s="2">
        <v>6</v>
      </c>
      <c r="H2777" s="2">
        <v>-191.65</v>
      </c>
      <c r="I2777" t="str">
        <f t="shared" si="43"/>
        <v>Jul</v>
      </c>
      <c r="J2777">
        <f>YEAR(datas[[#This Row],[Order Date]])</f>
        <v>2022</v>
      </c>
    </row>
    <row r="2778" spans="1:10" ht="14.25" customHeight="1" x14ac:dyDescent="0.3">
      <c r="A2778" s="1">
        <v>44758</v>
      </c>
      <c r="B2778" s="2" t="s">
        <v>727</v>
      </c>
      <c r="C2778" s="2" t="s">
        <v>21</v>
      </c>
      <c r="D2778" s="2" t="s">
        <v>26</v>
      </c>
      <c r="E2778" s="2" t="s">
        <v>27</v>
      </c>
      <c r="F2778" s="2">
        <v>1348.7</v>
      </c>
      <c r="G2778" s="2">
        <v>6</v>
      </c>
      <c r="H2778" s="2">
        <v>-219.16</v>
      </c>
      <c r="I2778" t="str">
        <f t="shared" si="43"/>
        <v>Jul</v>
      </c>
      <c r="J2778">
        <f>YEAR(datas[[#This Row],[Order Date]])</f>
        <v>2022</v>
      </c>
    </row>
    <row r="2779" spans="1:10" ht="14.25" customHeight="1" x14ac:dyDescent="0.3">
      <c r="A2779" s="1">
        <v>44758</v>
      </c>
      <c r="B2779" s="2" t="s">
        <v>727</v>
      </c>
      <c r="C2779" s="2" t="s">
        <v>21</v>
      </c>
      <c r="D2779" s="2" t="s">
        <v>26</v>
      </c>
      <c r="E2779" s="2" t="s">
        <v>27</v>
      </c>
      <c r="F2779" s="2">
        <v>700.15</v>
      </c>
      <c r="G2779" s="2">
        <v>3</v>
      </c>
      <c r="H2779" s="2">
        <v>78.77</v>
      </c>
      <c r="I2779" t="str">
        <f t="shared" si="43"/>
        <v>Jul</v>
      </c>
      <c r="J2779">
        <f>YEAR(datas[[#This Row],[Order Date]])</f>
        <v>2022</v>
      </c>
    </row>
    <row r="2780" spans="1:10" ht="14.25" customHeight="1" x14ac:dyDescent="0.3">
      <c r="A2780" s="1">
        <v>44758</v>
      </c>
      <c r="B2780" s="2" t="s">
        <v>184</v>
      </c>
      <c r="C2780" s="2" t="s">
        <v>75</v>
      </c>
      <c r="D2780" s="2" t="s">
        <v>10</v>
      </c>
      <c r="E2780" s="2" t="s">
        <v>11</v>
      </c>
      <c r="F2780" s="2">
        <v>80.88</v>
      </c>
      <c r="G2780" s="2">
        <v>3</v>
      </c>
      <c r="H2780" s="2">
        <v>39.630000000000003</v>
      </c>
      <c r="I2780" t="str">
        <f t="shared" si="43"/>
        <v>Jul</v>
      </c>
      <c r="J2780">
        <f>YEAR(datas[[#This Row],[Order Date]])</f>
        <v>2022</v>
      </c>
    </row>
    <row r="2781" spans="1:10" ht="14.25" customHeight="1" x14ac:dyDescent="0.3">
      <c r="A2781" s="1">
        <v>44758</v>
      </c>
      <c r="B2781" s="2" t="s">
        <v>184</v>
      </c>
      <c r="C2781" s="2" t="s">
        <v>75</v>
      </c>
      <c r="D2781" s="2" t="s">
        <v>28</v>
      </c>
      <c r="E2781" s="2" t="s">
        <v>34</v>
      </c>
      <c r="F2781" s="2">
        <v>599.9</v>
      </c>
      <c r="G2781" s="2">
        <v>10</v>
      </c>
      <c r="H2781" s="2">
        <v>191.97</v>
      </c>
      <c r="I2781" t="str">
        <f t="shared" si="43"/>
        <v>Jul</v>
      </c>
      <c r="J2781">
        <f>YEAR(datas[[#This Row],[Order Date]])</f>
        <v>2022</v>
      </c>
    </row>
    <row r="2782" spans="1:10" ht="14.25" customHeight="1" x14ac:dyDescent="0.3">
      <c r="A2782" s="1">
        <v>44758</v>
      </c>
      <c r="B2782" s="2" t="s">
        <v>660</v>
      </c>
      <c r="C2782" s="2" t="s">
        <v>215</v>
      </c>
      <c r="D2782" s="2" t="s">
        <v>26</v>
      </c>
      <c r="E2782" s="2" t="s">
        <v>27</v>
      </c>
      <c r="F2782" s="2">
        <v>150.97999999999999</v>
      </c>
      <c r="G2782" s="2">
        <v>1</v>
      </c>
      <c r="H2782" s="2">
        <v>43.78</v>
      </c>
      <c r="I2782" t="str">
        <f t="shared" si="43"/>
        <v>Jul</v>
      </c>
      <c r="J2782">
        <f>YEAR(datas[[#This Row],[Order Date]])</f>
        <v>2022</v>
      </c>
    </row>
    <row r="2783" spans="1:10" ht="14.25" customHeight="1" x14ac:dyDescent="0.3">
      <c r="A2783" s="1">
        <v>44758</v>
      </c>
      <c r="B2783" s="2" t="s">
        <v>660</v>
      </c>
      <c r="C2783" s="2" t="s">
        <v>215</v>
      </c>
      <c r="D2783" s="2" t="s">
        <v>10</v>
      </c>
      <c r="E2783" s="2" t="s">
        <v>41</v>
      </c>
      <c r="F2783" s="2">
        <v>137.25</v>
      </c>
      <c r="G2783" s="2">
        <v>9</v>
      </c>
      <c r="H2783" s="2">
        <v>63.14</v>
      </c>
      <c r="I2783" t="str">
        <f t="shared" si="43"/>
        <v>Jul</v>
      </c>
      <c r="J2783">
        <f>YEAR(datas[[#This Row],[Order Date]])</f>
        <v>2022</v>
      </c>
    </row>
    <row r="2784" spans="1:10" ht="14.25" customHeight="1" x14ac:dyDescent="0.3">
      <c r="A2784" s="1">
        <v>44758</v>
      </c>
      <c r="B2784" s="2" t="s">
        <v>660</v>
      </c>
      <c r="C2784" s="2" t="s">
        <v>215</v>
      </c>
      <c r="D2784" s="2" t="s">
        <v>10</v>
      </c>
      <c r="E2784" s="2" t="s">
        <v>30</v>
      </c>
      <c r="F2784" s="2">
        <v>11.52</v>
      </c>
      <c r="G2784" s="2">
        <v>4</v>
      </c>
      <c r="H2784" s="2">
        <v>5.41</v>
      </c>
      <c r="I2784" t="str">
        <f t="shared" si="43"/>
        <v>Jul</v>
      </c>
      <c r="J2784">
        <f>YEAR(datas[[#This Row],[Order Date]])</f>
        <v>2022</v>
      </c>
    </row>
    <row r="2785" spans="1:10" ht="14.25" customHeight="1" x14ac:dyDescent="0.3">
      <c r="A2785" s="1">
        <v>44759</v>
      </c>
      <c r="B2785" s="2" t="s">
        <v>472</v>
      </c>
      <c r="C2785" s="2" t="s">
        <v>21</v>
      </c>
      <c r="D2785" s="2" t="s">
        <v>26</v>
      </c>
      <c r="E2785" s="2" t="s">
        <v>45</v>
      </c>
      <c r="F2785" s="2">
        <v>195.47</v>
      </c>
      <c r="G2785" s="2">
        <v>2</v>
      </c>
      <c r="H2785" s="2">
        <v>-13.8</v>
      </c>
      <c r="I2785" t="str">
        <f t="shared" si="43"/>
        <v>Jul</v>
      </c>
      <c r="J2785">
        <f>YEAR(datas[[#This Row],[Order Date]])</f>
        <v>2022</v>
      </c>
    </row>
    <row r="2786" spans="1:10" ht="14.25" customHeight="1" x14ac:dyDescent="0.3">
      <c r="A2786" s="1">
        <v>44759</v>
      </c>
      <c r="B2786" s="2" t="s">
        <v>706</v>
      </c>
      <c r="C2786" s="2" t="s">
        <v>64</v>
      </c>
      <c r="D2786" s="2" t="s">
        <v>26</v>
      </c>
      <c r="E2786" s="2" t="s">
        <v>45</v>
      </c>
      <c r="F2786" s="2">
        <v>231.92</v>
      </c>
      <c r="G2786" s="2">
        <v>5</v>
      </c>
      <c r="H2786" s="2">
        <v>5.8</v>
      </c>
      <c r="I2786" t="str">
        <f t="shared" si="43"/>
        <v>Jul</v>
      </c>
      <c r="J2786">
        <f>YEAR(datas[[#This Row],[Order Date]])</f>
        <v>2022</v>
      </c>
    </row>
    <row r="2787" spans="1:10" ht="14.25" customHeight="1" x14ac:dyDescent="0.3">
      <c r="A2787" s="1">
        <v>44759</v>
      </c>
      <c r="B2787" s="2" t="s">
        <v>741</v>
      </c>
      <c r="C2787" s="2" t="s">
        <v>9</v>
      </c>
      <c r="D2787" s="2" t="s">
        <v>10</v>
      </c>
      <c r="E2787" s="2" t="s">
        <v>14</v>
      </c>
      <c r="F2787" s="2">
        <v>6.26</v>
      </c>
      <c r="G2787" s="2">
        <v>3</v>
      </c>
      <c r="H2787" s="2">
        <v>2.04</v>
      </c>
      <c r="I2787" t="str">
        <f t="shared" si="43"/>
        <v>Jul</v>
      </c>
      <c r="J2787">
        <f>YEAR(datas[[#This Row],[Order Date]])</f>
        <v>2022</v>
      </c>
    </row>
    <row r="2788" spans="1:10" ht="14.25" customHeight="1" x14ac:dyDescent="0.3">
      <c r="A2788" s="1">
        <v>44759</v>
      </c>
      <c r="B2788" s="2" t="s">
        <v>741</v>
      </c>
      <c r="C2788" s="2" t="s">
        <v>9</v>
      </c>
      <c r="D2788" s="2" t="s">
        <v>10</v>
      </c>
      <c r="E2788" s="2" t="s">
        <v>30</v>
      </c>
      <c r="F2788" s="2">
        <v>14.43</v>
      </c>
      <c r="G2788" s="2">
        <v>4</v>
      </c>
      <c r="H2788" s="2">
        <v>3.43</v>
      </c>
      <c r="I2788" t="str">
        <f t="shared" si="43"/>
        <v>Jul</v>
      </c>
      <c r="J2788">
        <f>YEAR(datas[[#This Row],[Order Date]])</f>
        <v>2022</v>
      </c>
    </row>
    <row r="2789" spans="1:10" ht="14.25" customHeight="1" x14ac:dyDescent="0.3">
      <c r="A2789" s="1">
        <v>44760</v>
      </c>
      <c r="B2789" s="2" t="s">
        <v>404</v>
      </c>
      <c r="C2789" s="2" t="s">
        <v>21</v>
      </c>
      <c r="D2789" s="2" t="s">
        <v>28</v>
      </c>
      <c r="E2789" s="2" t="s">
        <v>34</v>
      </c>
      <c r="F2789" s="2">
        <v>519.96</v>
      </c>
      <c r="G2789" s="2">
        <v>4</v>
      </c>
      <c r="H2789" s="2">
        <v>176.79</v>
      </c>
      <c r="I2789" t="str">
        <f t="shared" si="43"/>
        <v>Jul</v>
      </c>
      <c r="J2789">
        <f>YEAR(datas[[#This Row],[Order Date]])</f>
        <v>2022</v>
      </c>
    </row>
    <row r="2790" spans="1:10" ht="14.25" customHeight="1" x14ac:dyDescent="0.3">
      <c r="A2790" s="1">
        <v>44760</v>
      </c>
      <c r="B2790" s="2" t="s">
        <v>455</v>
      </c>
      <c r="C2790" s="2" t="s">
        <v>75</v>
      </c>
      <c r="D2790" s="2" t="s">
        <v>10</v>
      </c>
      <c r="E2790" s="2" t="s">
        <v>19</v>
      </c>
      <c r="F2790" s="2">
        <v>5.76</v>
      </c>
      <c r="G2790" s="2">
        <v>2</v>
      </c>
      <c r="H2790" s="2">
        <v>1.61</v>
      </c>
      <c r="I2790" t="str">
        <f t="shared" si="43"/>
        <v>Jul</v>
      </c>
      <c r="J2790">
        <f>YEAR(datas[[#This Row],[Order Date]])</f>
        <v>2022</v>
      </c>
    </row>
    <row r="2791" spans="1:10" ht="14.25" customHeight="1" x14ac:dyDescent="0.3">
      <c r="A2791" s="1">
        <v>44760</v>
      </c>
      <c r="B2791" s="2" t="s">
        <v>197</v>
      </c>
      <c r="C2791" s="2" t="s">
        <v>75</v>
      </c>
      <c r="D2791" s="2" t="s">
        <v>10</v>
      </c>
      <c r="E2791" s="2" t="s">
        <v>16</v>
      </c>
      <c r="F2791" s="2">
        <v>3.33</v>
      </c>
      <c r="G2791" s="2">
        <v>2</v>
      </c>
      <c r="H2791" s="2">
        <v>1.21</v>
      </c>
      <c r="I2791" t="str">
        <f t="shared" si="43"/>
        <v>Jul</v>
      </c>
      <c r="J2791">
        <f>YEAR(datas[[#This Row],[Order Date]])</f>
        <v>2022</v>
      </c>
    </row>
    <row r="2792" spans="1:10" ht="14.25" customHeight="1" x14ac:dyDescent="0.3">
      <c r="A2792" s="1">
        <v>44760</v>
      </c>
      <c r="B2792" s="2" t="s">
        <v>197</v>
      </c>
      <c r="C2792" s="2" t="s">
        <v>75</v>
      </c>
      <c r="D2792" s="2" t="s">
        <v>28</v>
      </c>
      <c r="E2792" s="2" t="s">
        <v>29</v>
      </c>
      <c r="F2792" s="2">
        <v>135.99</v>
      </c>
      <c r="G2792" s="2">
        <v>1</v>
      </c>
      <c r="H2792" s="2">
        <v>36.72</v>
      </c>
      <c r="I2792" t="str">
        <f t="shared" si="43"/>
        <v>Jul</v>
      </c>
      <c r="J2792">
        <f>YEAR(datas[[#This Row],[Order Date]])</f>
        <v>2022</v>
      </c>
    </row>
    <row r="2793" spans="1:10" ht="14.25" customHeight="1" x14ac:dyDescent="0.3">
      <c r="A2793" s="1">
        <v>44760</v>
      </c>
      <c r="B2793" s="2" t="s">
        <v>197</v>
      </c>
      <c r="C2793" s="2" t="s">
        <v>75</v>
      </c>
      <c r="D2793" s="2" t="s">
        <v>26</v>
      </c>
      <c r="E2793" s="2" t="s">
        <v>32</v>
      </c>
      <c r="F2793" s="2">
        <v>7.38</v>
      </c>
      <c r="G2793" s="2">
        <v>1</v>
      </c>
      <c r="H2793" s="2">
        <v>2.14</v>
      </c>
      <c r="I2793" t="str">
        <f t="shared" si="43"/>
        <v>Jul</v>
      </c>
      <c r="J2793">
        <f>YEAR(datas[[#This Row],[Order Date]])</f>
        <v>2022</v>
      </c>
    </row>
    <row r="2794" spans="1:10" ht="14.25" customHeight="1" x14ac:dyDescent="0.3">
      <c r="A2794" s="1">
        <v>44761</v>
      </c>
      <c r="B2794" s="2" t="s">
        <v>742</v>
      </c>
      <c r="C2794" s="2" t="s">
        <v>55</v>
      </c>
      <c r="D2794" s="2" t="s">
        <v>10</v>
      </c>
      <c r="E2794" s="2" t="s">
        <v>16</v>
      </c>
      <c r="F2794" s="2">
        <v>2.0299999999999998</v>
      </c>
      <c r="G2794" s="2">
        <v>1</v>
      </c>
      <c r="H2794" s="2">
        <v>-1.35</v>
      </c>
      <c r="I2794" t="str">
        <f t="shared" si="43"/>
        <v>Jul</v>
      </c>
      <c r="J2794">
        <f>YEAR(datas[[#This Row],[Order Date]])</f>
        <v>2022</v>
      </c>
    </row>
    <row r="2795" spans="1:10" ht="14.25" customHeight="1" x14ac:dyDescent="0.3">
      <c r="A2795" s="1">
        <v>44762</v>
      </c>
      <c r="B2795" s="2" t="s">
        <v>743</v>
      </c>
      <c r="C2795" s="2" t="s">
        <v>68</v>
      </c>
      <c r="D2795" s="2" t="s">
        <v>10</v>
      </c>
      <c r="E2795" s="2" t="s">
        <v>15</v>
      </c>
      <c r="F2795" s="2">
        <v>34.76</v>
      </c>
      <c r="G2795" s="2">
        <v>1</v>
      </c>
      <c r="H2795" s="2">
        <v>9.73</v>
      </c>
      <c r="I2795" t="str">
        <f t="shared" si="43"/>
        <v>Jul</v>
      </c>
      <c r="J2795">
        <f>YEAR(datas[[#This Row],[Order Date]])</f>
        <v>2022</v>
      </c>
    </row>
    <row r="2796" spans="1:10" ht="14.25" customHeight="1" x14ac:dyDescent="0.3">
      <c r="A2796" s="1">
        <v>44762</v>
      </c>
      <c r="B2796" s="2" t="s">
        <v>743</v>
      </c>
      <c r="C2796" s="2" t="s">
        <v>68</v>
      </c>
      <c r="D2796" s="2" t="s">
        <v>28</v>
      </c>
      <c r="E2796" s="2" t="s">
        <v>34</v>
      </c>
      <c r="F2796" s="2">
        <v>831.2</v>
      </c>
      <c r="G2796" s="2">
        <v>5</v>
      </c>
      <c r="H2796" s="2">
        <v>124.68</v>
      </c>
      <c r="I2796" t="str">
        <f t="shared" si="43"/>
        <v>Jul</v>
      </c>
      <c r="J2796">
        <f>YEAR(datas[[#This Row],[Order Date]])</f>
        <v>2022</v>
      </c>
    </row>
    <row r="2797" spans="1:10" ht="14.25" customHeight="1" x14ac:dyDescent="0.3">
      <c r="A2797" s="1">
        <v>44762</v>
      </c>
      <c r="B2797" s="2" t="s">
        <v>743</v>
      </c>
      <c r="C2797" s="2" t="s">
        <v>68</v>
      </c>
      <c r="D2797" s="2" t="s">
        <v>10</v>
      </c>
      <c r="E2797" s="2" t="s">
        <v>11</v>
      </c>
      <c r="F2797" s="2">
        <v>26.4</v>
      </c>
      <c r="G2797" s="2">
        <v>5</v>
      </c>
      <c r="H2797" s="2">
        <v>11.88</v>
      </c>
      <c r="I2797" t="str">
        <f t="shared" si="43"/>
        <v>Jul</v>
      </c>
      <c r="J2797">
        <f>YEAR(datas[[#This Row],[Order Date]])</f>
        <v>2022</v>
      </c>
    </row>
    <row r="2798" spans="1:10" ht="14.25" customHeight="1" x14ac:dyDescent="0.3">
      <c r="A2798" s="1">
        <v>44762</v>
      </c>
      <c r="B2798" s="2" t="s">
        <v>743</v>
      </c>
      <c r="C2798" s="2" t="s">
        <v>68</v>
      </c>
      <c r="D2798" s="2" t="s">
        <v>10</v>
      </c>
      <c r="E2798" s="2" t="s">
        <v>41</v>
      </c>
      <c r="F2798" s="2">
        <v>106.75</v>
      </c>
      <c r="G2798" s="2">
        <v>7</v>
      </c>
      <c r="H2798" s="2">
        <v>49.11</v>
      </c>
      <c r="I2798" t="str">
        <f t="shared" si="43"/>
        <v>Jul</v>
      </c>
      <c r="J2798">
        <f>YEAR(datas[[#This Row],[Order Date]])</f>
        <v>2022</v>
      </c>
    </row>
    <row r="2799" spans="1:10" ht="14.25" customHeight="1" x14ac:dyDescent="0.3">
      <c r="A2799" s="1">
        <v>44762</v>
      </c>
      <c r="B2799" s="2" t="s">
        <v>743</v>
      </c>
      <c r="C2799" s="2" t="s">
        <v>68</v>
      </c>
      <c r="D2799" s="2" t="s">
        <v>10</v>
      </c>
      <c r="E2799" s="2" t="s">
        <v>11</v>
      </c>
      <c r="F2799" s="2">
        <v>97.82</v>
      </c>
      <c r="G2799" s="2">
        <v>2</v>
      </c>
      <c r="H2799" s="2">
        <v>45.98</v>
      </c>
      <c r="I2799" t="str">
        <f t="shared" si="43"/>
        <v>Jul</v>
      </c>
      <c r="J2799">
        <f>YEAR(datas[[#This Row],[Order Date]])</f>
        <v>2022</v>
      </c>
    </row>
    <row r="2800" spans="1:10" ht="14.25" customHeight="1" x14ac:dyDescent="0.3">
      <c r="A2800" s="1">
        <v>44762</v>
      </c>
      <c r="B2800" s="2" t="s">
        <v>743</v>
      </c>
      <c r="C2800" s="2" t="s">
        <v>68</v>
      </c>
      <c r="D2800" s="2" t="s">
        <v>10</v>
      </c>
      <c r="E2800" s="2" t="s">
        <v>15</v>
      </c>
      <c r="F2800" s="2">
        <v>141.4</v>
      </c>
      <c r="G2800" s="2">
        <v>5</v>
      </c>
      <c r="H2800" s="2">
        <v>38.18</v>
      </c>
      <c r="I2800" t="str">
        <f t="shared" si="43"/>
        <v>Jul</v>
      </c>
      <c r="J2800">
        <f>YEAR(datas[[#This Row],[Order Date]])</f>
        <v>2022</v>
      </c>
    </row>
    <row r="2801" spans="1:10" ht="14.25" customHeight="1" x14ac:dyDescent="0.3">
      <c r="A2801" s="1">
        <v>44762</v>
      </c>
      <c r="B2801" s="2" t="s">
        <v>345</v>
      </c>
      <c r="C2801" s="2" t="s">
        <v>13</v>
      </c>
      <c r="D2801" s="2" t="s">
        <v>10</v>
      </c>
      <c r="E2801" s="2" t="s">
        <v>16</v>
      </c>
      <c r="F2801" s="2">
        <v>2.88</v>
      </c>
      <c r="G2801" s="2">
        <v>5</v>
      </c>
      <c r="H2801" s="2">
        <v>-4.46</v>
      </c>
      <c r="I2801" t="str">
        <f t="shared" si="43"/>
        <v>Jul</v>
      </c>
      <c r="J2801">
        <f>YEAR(datas[[#This Row],[Order Date]])</f>
        <v>2022</v>
      </c>
    </row>
    <row r="2802" spans="1:10" ht="14.25" customHeight="1" x14ac:dyDescent="0.3">
      <c r="A2802" s="1">
        <v>44762</v>
      </c>
      <c r="B2802" s="2" t="s">
        <v>345</v>
      </c>
      <c r="C2802" s="2" t="s">
        <v>13</v>
      </c>
      <c r="D2802" s="2" t="s">
        <v>26</v>
      </c>
      <c r="E2802" s="2" t="s">
        <v>45</v>
      </c>
      <c r="F2802" s="2">
        <v>384.94</v>
      </c>
      <c r="G2802" s="2">
        <v>4</v>
      </c>
      <c r="H2802" s="2">
        <v>-126.48</v>
      </c>
      <c r="I2802" t="str">
        <f t="shared" si="43"/>
        <v>Jul</v>
      </c>
      <c r="J2802">
        <f>YEAR(datas[[#This Row],[Order Date]])</f>
        <v>2022</v>
      </c>
    </row>
    <row r="2803" spans="1:10" ht="14.25" customHeight="1" x14ac:dyDescent="0.3">
      <c r="A2803" s="1">
        <v>44762</v>
      </c>
      <c r="B2803" s="2" t="s">
        <v>345</v>
      </c>
      <c r="C2803" s="2" t="s">
        <v>13</v>
      </c>
      <c r="D2803" s="2" t="s">
        <v>28</v>
      </c>
      <c r="E2803" s="2" t="s">
        <v>29</v>
      </c>
      <c r="F2803" s="2">
        <v>153.58000000000001</v>
      </c>
      <c r="G2803" s="2">
        <v>2</v>
      </c>
      <c r="H2803" s="2">
        <v>13.44</v>
      </c>
      <c r="I2803" t="str">
        <f t="shared" si="43"/>
        <v>Jul</v>
      </c>
      <c r="J2803">
        <f>YEAR(datas[[#This Row],[Order Date]])</f>
        <v>2022</v>
      </c>
    </row>
    <row r="2804" spans="1:10" ht="14.25" customHeight="1" x14ac:dyDescent="0.3">
      <c r="A2804" s="1">
        <v>44762</v>
      </c>
      <c r="B2804" s="2" t="s">
        <v>345</v>
      </c>
      <c r="C2804" s="2" t="s">
        <v>13</v>
      </c>
      <c r="D2804" s="2" t="s">
        <v>26</v>
      </c>
      <c r="E2804" s="2" t="s">
        <v>45</v>
      </c>
      <c r="F2804" s="2">
        <v>913.43</v>
      </c>
      <c r="G2804" s="2">
        <v>5</v>
      </c>
      <c r="H2804" s="2">
        <v>-52.2</v>
      </c>
      <c r="I2804" t="str">
        <f t="shared" si="43"/>
        <v>Jul</v>
      </c>
      <c r="J2804">
        <f>YEAR(datas[[#This Row],[Order Date]])</f>
        <v>2022</v>
      </c>
    </row>
    <row r="2805" spans="1:10" ht="14.25" customHeight="1" x14ac:dyDescent="0.3">
      <c r="A2805" s="1">
        <v>44765</v>
      </c>
      <c r="B2805" s="2" t="s">
        <v>188</v>
      </c>
      <c r="C2805" s="2" t="s">
        <v>75</v>
      </c>
      <c r="D2805" s="2" t="s">
        <v>10</v>
      </c>
      <c r="E2805" s="2" t="s">
        <v>53</v>
      </c>
      <c r="F2805" s="2">
        <v>68.94</v>
      </c>
      <c r="G2805" s="2">
        <v>3</v>
      </c>
      <c r="H2805" s="2">
        <v>20.68</v>
      </c>
      <c r="I2805" t="str">
        <f t="shared" si="43"/>
        <v>Jul</v>
      </c>
      <c r="J2805">
        <f>YEAR(datas[[#This Row],[Order Date]])</f>
        <v>2022</v>
      </c>
    </row>
    <row r="2806" spans="1:10" ht="14.25" customHeight="1" x14ac:dyDescent="0.3">
      <c r="A2806" s="1">
        <v>44765</v>
      </c>
      <c r="B2806" s="2" t="s">
        <v>188</v>
      </c>
      <c r="C2806" s="2" t="s">
        <v>75</v>
      </c>
      <c r="D2806" s="2" t="s">
        <v>26</v>
      </c>
      <c r="E2806" s="2" t="s">
        <v>32</v>
      </c>
      <c r="F2806" s="2">
        <v>128.82</v>
      </c>
      <c r="G2806" s="2">
        <v>3</v>
      </c>
      <c r="H2806" s="2">
        <v>50.24</v>
      </c>
      <c r="I2806" t="str">
        <f t="shared" si="43"/>
        <v>Jul</v>
      </c>
      <c r="J2806">
        <f>YEAR(datas[[#This Row],[Order Date]])</f>
        <v>2022</v>
      </c>
    </row>
    <row r="2807" spans="1:10" ht="14.25" customHeight="1" x14ac:dyDescent="0.3">
      <c r="A2807" s="1">
        <v>44765</v>
      </c>
      <c r="B2807" s="2" t="s">
        <v>33</v>
      </c>
      <c r="C2807" s="2" t="s">
        <v>75</v>
      </c>
      <c r="D2807" s="2" t="s">
        <v>10</v>
      </c>
      <c r="E2807" s="2" t="s">
        <v>16</v>
      </c>
      <c r="F2807" s="2">
        <v>10.51</v>
      </c>
      <c r="G2807" s="2">
        <v>3</v>
      </c>
      <c r="H2807" s="2">
        <v>3.68</v>
      </c>
      <c r="I2807" t="str">
        <f t="shared" si="43"/>
        <v>Jul</v>
      </c>
      <c r="J2807">
        <f>YEAR(datas[[#This Row],[Order Date]])</f>
        <v>2022</v>
      </c>
    </row>
    <row r="2808" spans="1:10" ht="14.25" customHeight="1" x14ac:dyDescent="0.3">
      <c r="A2808" s="1">
        <v>44766</v>
      </c>
      <c r="B2808" s="2" t="s">
        <v>369</v>
      </c>
      <c r="C2808" s="2" t="s">
        <v>25</v>
      </c>
      <c r="D2808" s="2" t="s">
        <v>26</v>
      </c>
      <c r="E2808" s="2" t="s">
        <v>32</v>
      </c>
      <c r="F2808" s="2">
        <v>20.94</v>
      </c>
      <c r="G2808" s="2">
        <v>3</v>
      </c>
      <c r="H2808" s="2">
        <v>6.07</v>
      </c>
      <c r="I2808" t="str">
        <f t="shared" si="43"/>
        <v>Jul</v>
      </c>
      <c r="J2808">
        <f>YEAR(datas[[#This Row],[Order Date]])</f>
        <v>2022</v>
      </c>
    </row>
    <row r="2809" spans="1:10" ht="14.25" customHeight="1" x14ac:dyDescent="0.3">
      <c r="A2809" s="1">
        <v>44766</v>
      </c>
      <c r="B2809" s="2" t="s">
        <v>369</v>
      </c>
      <c r="C2809" s="2" t="s">
        <v>25</v>
      </c>
      <c r="D2809" s="2" t="s">
        <v>10</v>
      </c>
      <c r="E2809" s="2" t="s">
        <v>16</v>
      </c>
      <c r="F2809" s="2">
        <v>135.09</v>
      </c>
      <c r="G2809" s="2">
        <v>9</v>
      </c>
      <c r="H2809" s="2">
        <v>62.14</v>
      </c>
      <c r="I2809" t="str">
        <f t="shared" si="43"/>
        <v>Jul</v>
      </c>
      <c r="J2809">
        <f>YEAR(datas[[#This Row],[Order Date]])</f>
        <v>2022</v>
      </c>
    </row>
    <row r="2810" spans="1:10" ht="14.25" customHeight="1" x14ac:dyDescent="0.3">
      <c r="A2810" s="1">
        <v>44766</v>
      </c>
      <c r="B2810" s="2" t="s">
        <v>369</v>
      </c>
      <c r="C2810" s="2" t="s">
        <v>25</v>
      </c>
      <c r="D2810" s="2" t="s">
        <v>28</v>
      </c>
      <c r="E2810" s="2" t="s">
        <v>34</v>
      </c>
      <c r="F2810" s="2">
        <v>279.86</v>
      </c>
      <c r="G2810" s="2">
        <v>14</v>
      </c>
      <c r="H2810" s="2">
        <v>64.37</v>
      </c>
      <c r="I2810" t="str">
        <f t="shared" si="43"/>
        <v>Jul</v>
      </c>
      <c r="J2810">
        <f>YEAR(datas[[#This Row],[Order Date]])</f>
        <v>2022</v>
      </c>
    </row>
    <row r="2811" spans="1:10" ht="14.25" customHeight="1" x14ac:dyDescent="0.3">
      <c r="A2811" s="1">
        <v>44766</v>
      </c>
      <c r="B2811" s="2" t="s">
        <v>369</v>
      </c>
      <c r="C2811" s="2" t="s">
        <v>25</v>
      </c>
      <c r="D2811" s="2" t="s">
        <v>10</v>
      </c>
      <c r="E2811" s="2" t="s">
        <v>16</v>
      </c>
      <c r="F2811" s="2">
        <v>90.06</v>
      </c>
      <c r="G2811" s="2">
        <v>6</v>
      </c>
      <c r="H2811" s="2">
        <v>41.43</v>
      </c>
      <c r="I2811" t="str">
        <f t="shared" si="43"/>
        <v>Jul</v>
      </c>
      <c r="J2811">
        <f>YEAR(datas[[#This Row],[Order Date]])</f>
        <v>2022</v>
      </c>
    </row>
    <row r="2812" spans="1:10" ht="14.25" customHeight="1" x14ac:dyDescent="0.3">
      <c r="A2812" s="1">
        <v>44767</v>
      </c>
      <c r="B2812" s="2" t="s">
        <v>304</v>
      </c>
      <c r="C2812" s="2" t="s">
        <v>18</v>
      </c>
      <c r="D2812" s="2" t="s">
        <v>10</v>
      </c>
      <c r="E2812" s="2" t="s">
        <v>16</v>
      </c>
      <c r="F2812" s="2">
        <v>25.18</v>
      </c>
      <c r="G2812" s="2">
        <v>4</v>
      </c>
      <c r="H2812" s="2">
        <v>-18.46</v>
      </c>
      <c r="I2812" t="str">
        <f t="shared" si="43"/>
        <v>Jul</v>
      </c>
      <c r="J2812">
        <f>YEAR(datas[[#This Row],[Order Date]])</f>
        <v>2022</v>
      </c>
    </row>
    <row r="2813" spans="1:10" ht="14.25" customHeight="1" x14ac:dyDescent="0.3">
      <c r="A2813" s="1">
        <v>44767</v>
      </c>
      <c r="B2813" s="2" t="s">
        <v>357</v>
      </c>
      <c r="C2813" s="2" t="s">
        <v>82</v>
      </c>
      <c r="D2813" s="2" t="s">
        <v>10</v>
      </c>
      <c r="E2813" s="2" t="s">
        <v>30</v>
      </c>
      <c r="F2813" s="2">
        <v>9.42</v>
      </c>
      <c r="G2813" s="2">
        <v>2</v>
      </c>
      <c r="H2813" s="2">
        <v>0.47</v>
      </c>
      <c r="I2813" t="str">
        <f t="shared" si="43"/>
        <v>Jul</v>
      </c>
      <c r="J2813">
        <f>YEAR(datas[[#This Row],[Order Date]])</f>
        <v>2022</v>
      </c>
    </row>
    <row r="2814" spans="1:10" ht="14.25" customHeight="1" x14ac:dyDescent="0.3">
      <c r="A2814" s="1">
        <v>44767</v>
      </c>
      <c r="B2814" s="2" t="s">
        <v>357</v>
      </c>
      <c r="C2814" s="2" t="s">
        <v>82</v>
      </c>
      <c r="D2814" s="2" t="s">
        <v>10</v>
      </c>
      <c r="E2814" s="2" t="s">
        <v>11</v>
      </c>
      <c r="F2814" s="2">
        <v>12.96</v>
      </c>
      <c r="G2814" s="2">
        <v>2</v>
      </c>
      <c r="H2814" s="2">
        <v>6.22</v>
      </c>
      <c r="I2814" t="str">
        <f t="shared" si="43"/>
        <v>Jul</v>
      </c>
      <c r="J2814">
        <f>YEAR(datas[[#This Row],[Order Date]])</f>
        <v>2022</v>
      </c>
    </row>
    <row r="2815" spans="1:10" ht="14.25" customHeight="1" x14ac:dyDescent="0.3">
      <c r="A2815" s="1">
        <v>44767</v>
      </c>
      <c r="B2815" s="2" t="s">
        <v>357</v>
      </c>
      <c r="C2815" s="2" t="s">
        <v>82</v>
      </c>
      <c r="D2815" s="2" t="s">
        <v>26</v>
      </c>
      <c r="E2815" s="2" t="s">
        <v>45</v>
      </c>
      <c r="F2815" s="2">
        <v>704.9</v>
      </c>
      <c r="G2815" s="2">
        <v>5</v>
      </c>
      <c r="H2815" s="2">
        <v>56.39</v>
      </c>
      <c r="I2815" t="str">
        <f t="shared" si="43"/>
        <v>Jul</v>
      </c>
      <c r="J2815">
        <f>YEAR(datas[[#This Row],[Order Date]])</f>
        <v>2022</v>
      </c>
    </row>
    <row r="2816" spans="1:10" ht="14.25" customHeight="1" x14ac:dyDescent="0.3">
      <c r="A2816" s="1">
        <v>44767</v>
      </c>
      <c r="B2816" s="2" t="s">
        <v>357</v>
      </c>
      <c r="C2816" s="2" t="s">
        <v>82</v>
      </c>
      <c r="D2816" s="2" t="s">
        <v>26</v>
      </c>
      <c r="E2816" s="2" t="s">
        <v>27</v>
      </c>
      <c r="F2816" s="2">
        <v>561.57000000000005</v>
      </c>
      <c r="G2816" s="2">
        <v>2</v>
      </c>
      <c r="H2816" s="2">
        <v>28.08</v>
      </c>
      <c r="I2816" t="str">
        <f t="shared" si="43"/>
        <v>Jul</v>
      </c>
      <c r="J2816">
        <f>YEAR(datas[[#This Row],[Order Date]])</f>
        <v>2022</v>
      </c>
    </row>
    <row r="2817" spans="1:10" ht="14.25" customHeight="1" x14ac:dyDescent="0.3">
      <c r="A2817" s="1">
        <v>44767</v>
      </c>
      <c r="B2817" s="2" t="s">
        <v>670</v>
      </c>
      <c r="C2817" s="2" t="s">
        <v>198</v>
      </c>
      <c r="D2817" s="2" t="s">
        <v>10</v>
      </c>
      <c r="E2817" s="2" t="s">
        <v>41</v>
      </c>
      <c r="F2817" s="2">
        <v>98.46</v>
      </c>
      <c r="G2817" s="2">
        <v>9</v>
      </c>
      <c r="H2817" s="2">
        <v>49.23</v>
      </c>
      <c r="I2817" t="str">
        <f t="shared" si="43"/>
        <v>Jul</v>
      </c>
      <c r="J2817">
        <f>YEAR(datas[[#This Row],[Order Date]])</f>
        <v>2022</v>
      </c>
    </row>
    <row r="2818" spans="1:10" ht="14.25" customHeight="1" x14ac:dyDescent="0.3">
      <c r="A2818" s="1">
        <v>44767</v>
      </c>
      <c r="B2818" s="2" t="s">
        <v>670</v>
      </c>
      <c r="C2818" s="2" t="s">
        <v>198</v>
      </c>
      <c r="D2818" s="2" t="s">
        <v>26</v>
      </c>
      <c r="E2818" s="2" t="s">
        <v>73</v>
      </c>
      <c r="F2818" s="2">
        <v>358.58</v>
      </c>
      <c r="G2818" s="2">
        <v>2</v>
      </c>
      <c r="H2818" s="2">
        <v>39.44</v>
      </c>
      <c r="I2818" t="str">
        <f t="shared" si="43"/>
        <v>Jul</v>
      </c>
      <c r="J2818">
        <f>YEAR(datas[[#This Row],[Order Date]])</f>
        <v>2022</v>
      </c>
    </row>
    <row r="2819" spans="1:10" ht="14.25" customHeight="1" x14ac:dyDescent="0.3">
      <c r="A2819" s="1">
        <v>44767</v>
      </c>
      <c r="B2819" s="2" t="s">
        <v>517</v>
      </c>
      <c r="C2819" s="2" t="s">
        <v>21</v>
      </c>
      <c r="D2819" s="2" t="s">
        <v>28</v>
      </c>
      <c r="E2819" s="2" t="s">
        <v>29</v>
      </c>
      <c r="F2819" s="2">
        <v>623.96</v>
      </c>
      <c r="G2819" s="2">
        <v>5</v>
      </c>
      <c r="H2819" s="2">
        <v>39</v>
      </c>
      <c r="I2819" t="str">
        <f t="shared" ref="I2819:I2882" si="44">TEXT(A2819,"mmm")</f>
        <v>Jul</v>
      </c>
      <c r="J2819">
        <f>YEAR(datas[[#This Row],[Order Date]])</f>
        <v>2022</v>
      </c>
    </row>
    <row r="2820" spans="1:10" ht="14.25" customHeight="1" x14ac:dyDescent="0.3">
      <c r="A2820" s="1">
        <v>44768</v>
      </c>
      <c r="B2820" s="2" t="s">
        <v>341</v>
      </c>
      <c r="C2820" s="2" t="s">
        <v>55</v>
      </c>
      <c r="D2820" s="2" t="s">
        <v>26</v>
      </c>
      <c r="E2820" s="2" t="s">
        <v>73</v>
      </c>
      <c r="F2820" s="2">
        <v>393.17</v>
      </c>
      <c r="G2820" s="2">
        <v>3</v>
      </c>
      <c r="H2820" s="2">
        <v>-204.45</v>
      </c>
      <c r="I2820" t="str">
        <f t="shared" si="44"/>
        <v>Jul</v>
      </c>
      <c r="J2820">
        <f>YEAR(datas[[#This Row],[Order Date]])</f>
        <v>2022</v>
      </c>
    </row>
    <row r="2821" spans="1:10" ht="14.25" customHeight="1" x14ac:dyDescent="0.3">
      <c r="A2821" s="1">
        <v>44768</v>
      </c>
      <c r="B2821" s="2" t="s">
        <v>525</v>
      </c>
      <c r="C2821" s="2" t="s">
        <v>21</v>
      </c>
      <c r="D2821" s="2" t="s">
        <v>10</v>
      </c>
      <c r="E2821" s="2" t="s">
        <v>41</v>
      </c>
      <c r="F2821" s="2">
        <v>167.86</v>
      </c>
      <c r="G2821" s="2">
        <v>2</v>
      </c>
      <c r="H2821" s="2">
        <v>78.89</v>
      </c>
      <c r="I2821" t="str">
        <f t="shared" si="44"/>
        <v>Jul</v>
      </c>
      <c r="J2821">
        <f>YEAR(datas[[#This Row],[Order Date]])</f>
        <v>2022</v>
      </c>
    </row>
    <row r="2822" spans="1:10" ht="14.25" customHeight="1" x14ac:dyDescent="0.3">
      <c r="A2822" s="1">
        <v>44768</v>
      </c>
      <c r="B2822" s="2" t="s">
        <v>311</v>
      </c>
      <c r="C2822" s="2" t="s">
        <v>21</v>
      </c>
      <c r="D2822" s="2" t="s">
        <v>10</v>
      </c>
      <c r="E2822" s="2" t="s">
        <v>16</v>
      </c>
      <c r="F2822" s="2">
        <v>9.14</v>
      </c>
      <c r="G2822" s="2">
        <v>3</v>
      </c>
      <c r="H2822" s="2">
        <v>3.09</v>
      </c>
      <c r="I2822" t="str">
        <f t="shared" si="44"/>
        <v>Jul</v>
      </c>
      <c r="J2822">
        <f>YEAR(datas[[#This Row],[Order Date]])</f>
        <v>2022</v>
      </c>
    </row>
    <row r="2823" spans="1:10" ht="14.25" customHeight="1" x14ac:dyDescent="0.3">
      <c r="A2823" s="1">
        <v>44768</v>
      </c>
      <c r="B2823" s="2" t="s">
        <v>311</v>
      </c>
      <c r="C2823" s="2" t="s">
        <v>21</v>
      </c>
      <c r="D2823" s="2" t="s">
        <v>10</v>
      </c>
      <c r="E2823" s="2" t="s">
        <v>16</v>
      </c>
      <c r="F2823" s="2">
        <v>23.14</v>
      </c>
      <c r="G2823" s="2">
        <v>6</v>
      </c>
      <c r="H2823" s="2">
        <v>8.39</v>
      </c>
      <c r="I2823" t="str">
        <f t="shared" si="44"/>
        <v>Jul</v>
      </c>
      <c r="J2823">
        <f>YEAR(datas[[#This Row],[Order Date]])</f>
        <v>2022</v>
      </c>
    </row>
    <row r="2824" spans="1:10" ht="14.25" customHeight="1" x14ac:dyDescent="0.3">
      <c r="A2824" s="1">
        <v>44768</v>
      </c>
      <c r="B2824" s="2" t="s">
        <v>311</v>
      </c>
      <c r="C2824" s="2" t="s">
        <v>21</v>
      </c>
      <c r="D2824" s="2" t="s">
        <v>10</v>
      </c>
      <c r="E2824" s="2" t="s">
        <v>19</v>
      </c>
      <c r="F2824" s="2">
        <v>99.2</v>
      </c>
      <c r="G2824" s="2">
        <v>5</v>
      </c>
      <c r="H2824" s="2">
        <v>25.79</v>
      </c>
      <c r="I2824" t="str">
        <f t="shared" si="44"/>
        <v>Jul</v>
      </c>
      <c r="J2824">
        <f>YEAR(datas[[#This Row],[Order Date]])</f>
        <v>2022</v>
      </c>
    </row>
    <row r="2825" spans="1:10" ht="14.25" customHeight="1" x14ac:dyDescent="0.3">
      <c r="A2825" s="1">
        <v>44768</v>
      </c>
      <c r="B2825" s="2" t="s">
        <v>86</v>
      </c>
      <c r="C2825" s="2" t="s">
        <v>55</v>
      </c>
      <c r="D2825" s="2" t="s">
        <v>26</v>
      </c>
      <c r="E2825" s="2" t="s">
        <v>27</v>
      </c>
      <c r="F2825" s="2">
        <v>266.35000000000002</v>
      </c>
      <c r="G2825" s="2">
        <v>3</v>
      </c>
      <c r="H2825" s="2">
        <v>13.32</v>
      </c>
      <c r="I2825" t="str">
        <f t="shared" si="44"/>
        <v>Jul</v>
      </c>
      <c r="J2825">
        <f>YEAR(datas[[#This Row],[Order Date]])</f>
        <v>2022</v>
      </c>
    </row>
    <row r="2826" spans="1:10" ht="14.25" customHeight="1" x14ac:dyDescent="0.3">
      <c r="A2826" s="1">
        <v>44768</v>
      </c>
      <c r="B2826" s="2" t="s">
        <v>138</v>
      </c>
      <c r="C2826" s="2" t="s">
        <v>18</v>
      </c>
      <c r="D2826" s="2" t="s">
        <v>10</v>
      </c>
      <c r="E2826" s="2" t="s">
        <v>11</v>
      </c>
      <c r="F2826" s="2">
        <v>10.37</v>
      </c>
      <c r="G2826" s="2">
        <v>2</v>
      </c>
      <c r="H2826" s="2">
        <v>3.63</v>
      </c>
      <c r="I2826" t="str">
        <f t="shared" si="44"/>
        <v>Jul</v>
      </c>
      <c r="J2826">
        <f>YEAR(datas[[#This Row],[Order Date]])</f>
        <v>2022</v>
      </c>
    </row>
    <row r="2827" spans="1:10" ht="14.25" customHeight="1" x14ac:dyDescent="0.3">
      <c r="A2827" s="1">
        <v>44769</v>
      </c>
      <c r="B2827" s="2" t="s">
        <v>256</v>
      </c>
      <c r="C2827" s="2" t="s">
        <v>25</v>
      </c>
      <c r="D2827" s="2" t="s">
        <v>28</v>
      </c>
      <c r="E2827" s="2" t="s">
        <v>29</v>
      </c>
      <c r="F2827" s="2">
        <v>29.97</v>
      </c>
      <c r="G2827" s="2">
        <v>3</v>
      </c>
      <c r="H2827" s="2">
        <v>0.3</v>
      </c>
      <c r="I2827" t="str">
        <f t="shared" si="44"/>
        <v>Jul</v>
      </c>
      <c r="J2827">
        <f>YEAR(datas[[#This Row],[Order Date]])</f>
        <v>2022</v>
      </c>
    </row>
    <row r="2828" spans="1:10" ht="14.25" customHeight="1" x14ac:dyDescent="0.3">
      <c r="A2828" s="1">
        <v>44772</v>
      </c>
      <c r="B2828" s="2" t="s">
        <v>525</v>
      </c>
      <c r="C2828" s="2" t="s">
        <v>21</v>
      </c>
      <c r="D2828" s="2" t="s">
        <v>28</v>
      </c>
      <c r="E2828" s="2" t="s">
        <v>34</v>
      </c>
      <c r="F2828" s="2">
        <v>209.93</v>
      </c>
      <c r="G2828" s="2">
        <v>7</v>
      </c>
      <c r="H2828" s="2">
        <v>92.37</v>
      </c>
      <c r="I2828" t="str">
        <f t="shared" si="44"/>
        <v>Jul</v>
      </c>
      <c r="J2828">
        <f>YEAR(datas[[#This Row],[Order Date]])</f>
        <v>2022</v>
      </c>
    </row>
    <row r="2829" spans="1:10" ht="14.25" customHeight="1" x14ac:dyDescent="0.3">
      <c r="A2829" s="1">
        <v>44772</v>
      </c>
      <c r="B2829" s="2" t="s">
        <v>525</v>
      </c>
      <c r="C2829" s="2" t="s">
        <v>21</v>
      </c>
      <c r="D2829" s="2" t="s">
        <v>26</v>
      </c>
      <c r="E2829" s="2" t="s">
        <v>32</v>
      </c>
      <c r="F2829" s="2">
        <v>5.28</v>
      </c>
      <c r="G2829" s="2">
        <v>3</v>
      </c>
      <c r="H2829" s="2">
        <v>2.3199999999999998</v>
      </c>
      <c r="I2829" t="str">
        <f t="shared" si="44"/>
        <v>Jul</v>
      </c>
      <c r="J2829">
        <f>YEAR(datas[[#This Row],[Order Date]])</f>
        <v>2022</v>
      </c>
    </row>
    <row r="2830" spans="1:10" ht="14.25" customHeight="1" x14ac:dyDescent="0.3">
      <c r="A2830" s="1">
        <v>44772</v>
      </c>
      <c r="B2830" s="2" t="s">
        <v>525</v>
      </c>
      <c r="C2830" s="2" t="s">
        <v>21</v>
      </c>
      <c r="D2830" s="2" t="s">
        <v>10</v>
      </c>
      <c r="E2830" s="2" t="s">
        <v>16</v>
      </c>
      <c r="F2830" s="2">
        <v>10.92</v>
      </c>
      <c r="G2830" s="2">
        <v>3</v>
      </c>
      <c r="H2830" s="2">
        <v>4.0999999999999996</v>
      </c>
      <c r="I2830" t="str">
        <f t="shared" si="44"/>
        <v>Jul</v>
      </c>
      <c r="J2830">
        <f>YEAR(datas[[#This Row],[Order Date]])</f>
        <v>2022</v>
      </c>
    </row>
    <row r="2831" spans="1:10" ht="14.25" customHeight="1" x14ac:dyDescent="0.3">
      <c r="A2831" s="1">
        <v>44772</v>
      </c>
      <c r="B2831" s="2" t="s">
        <v>439</v>
      </c>
      <c r="C2831" s="2" t="s">
        <v>9</v>
      </c>
      <c r="D2831" s="2" t="s">
        <v>10</v>
      </c>
      <c r="E2831" s="2" t="s">
        <v>15</v>
      </c>
      <c r="F2831" s="2">
        <v>61.79</v>
      </c>
      <c r="G2831" s="2">
        <v>4</v>
      </c>
      <c r="H2831" s="2">
        <v>6.18</v>
      </c>
      <c r="I2831" t="str">
        <f t="shared" si="44"/>
        <v>Jul</v>
      </c>
      <c r="J2831">
        <f>YEAR(datas[[#This Row],[Order Date]])</f>
        <v>2022</v>
      </c>
    </row>
    <row r="2832" spans="1:10" ht="14.25" customHeight="1" x14ac:dyDescent="0.3">
      <c r="A2832" s="1">
        <v>44772</v>
      </c>
      <c r="B2832" s="2" t="s">
        <v>360</v>
      </c>
      <c r="C2832" s="2" t="s">
        <v>140</v>
      </c>
      <c r="D2832" s="2" t="s">
        <v>26</v>
      </c>
      <c r="E2832" s="2" t="s">
        <v>27</v>
      </c>
      <c r="F2832" s="2">
        <v>155.88</v>
      </c>
      <c r="G2832" s="2">
        <v>6</v>
      </c>
      <c r="H2832" s="2">
        <v>38.97</v>
      </c>
      <c r="I2832" t="str">
        <f t="shared" si="44"/>
        <v>Jul</v>
      </c>
      <c r="J2832">
        <f>YEAR(datas[[#This Row],[Order Date]])</f>
        <v>2022</v>
      </c>
    </row>
    <row r="2833" spans="1:10" ht="14.25" customHeight="1" x14ac:dyDescent="0.3">
      <c r="A2833" s="1">
        <v>44773</v>
      </c>
      <c r="B2833" s="2" t="s">
        <v>426</v>
      </c>
      <c r="C2833" s="2" t="s">
        <v>75</v>
      </c>
      <c r="D2833" s="2" t="s">
        <v>28</v>
      </c>
      <c r="E2833" s="2" t="s">
        <v>34</v>
      </c>
      <c r="F2833" s="2">
        <v>2309.65</v>
      </c>
      <c r="G2833" s="2">
        <v>7</v>
      </c>
      <c r="H2833" s="2">
        <v>762.18</v>
      </c>
      <c r="I2833" t="str">
        <f t="shared" si="44"/>
        <v>Jul</v>
      </c>
      <c r="J2833">
        <f>YEAR(datas[[#This Row],[Order Date]])</f>
        <v>2022</v>
      </c>
    </row>
    <row r="2834" spans="1:10" ht="14.25" customHeight="1" x14ac:dyDescent="0.3">
      <c r="A2834" s="1">
        <v>44773</v>
      </c>
      <c r="B2834" s="2" t="s">
        <v>426</v>
      </c>
      <c r="C2834" s="2" t="s">
        <v>75</v>
      </c>
      <c r="D2834" s="2" t="s">
        <v>26</v>
      </c>
      <c r="E2834" s="2" t="s">
        <v>73</v>
      </c>
      <c r="F2834" s="2">
        <v>1090.78</v>
      </c>
      <c r="G2834" s="2">
        <v>7</v>
      </c>
      <c r="H2834" s="2">
        <v>-290.88</v>
      </c>
      <c r="I2834" t="str">
        <f t="shared" si="44"/>
        <v>Jul</v>
      </c>
      <c r="J2834">
        <f>YEAR(datas[[#This Row],[Order Date]])</f>
        <v>2022</v>
      </c>
    </row>
    <row r="2835" spans="1:10" ht="14.25" customHeight="1" x14ac:dyDescent="0.3">
      <c r="A2835" s="1">
        <v>44773</v>
      </c>
      <c r="B2835" s="2" t="s">
        <v>426</v>
      </c>
      <c r="C2835" s="2" t="s">
        <v>75</v>
      </c>
      <c r="D2835" s="2" t="s">
        <v>10</v>
      </c>
      <c r="E2835" s="2" t="s">
        <v>11</v>
      </c>
      <c r="F2835" s="2">
        <v>19.440000000000001</v>
      </c>
      <c r="G2835" s="2">
        <v>3</v>
      </c>
      <c r="H2835" s="2">
        <v>9.33</v>
      </c>
      <c r="I2835" t="str">
        <f t="shared" si="44"/>
        <v>Jul</v>
      </c>
      <c r="J2835">
        <f>YEAR(datas[[#This Row],[Order Date]])</f>
        <v>2022</v>
      </c>
    </row>
    <row r="2836" spans="1:10" ht="14.25" customHeight="1" x14ac:dyDescent="0.3">
      <c r="A2836" s="1">
        <v>44773</v>
      </c>
      <c r="B2836" s="2" t="s">
        <v>515</v>
      </c>
      <c r="C2836" s="2" t="s">
        <v>143</v>
      </c>
      <c r="D2836" s="2" t="s">
        <v>28</v>
      </c>
      <c r="E2836" s="2" t="s">
        <v>34</v>
      </c>
      <c r="F2836" s="2">
        <v>239.7</v>
      </c>
      <c r="G2836" s="2">
        <v>6</v>
      </c>
      <c r="H2836" s="2">
        <v>105.47</v>
      </c>
      <c r="I2836" t="str">
        <f t="shared" si="44"/>
        <v>Jul</v>
      </c>
      <c r="J2836">
        <f>YEAR(datas[[#This Row],[Order Date]])</f>
        <v>2022</v>
      </c>
    </row>
    <row r="2837" spans="1:10" ht="14.25" customHeight="1" x14ac:dyDescent="0.3">
      <c r="A2837" s="1">
        <v>44773</v>
      </c>
      <c r="B2837" s="2" t="s">
        <v>643</v>
      </c>
      <c r="C2837" s="2" t="s">
        <v>91</v>
      </c>
      <c r="D2837" s="2" t="s">
        <v>10</v>
      </c>
      <c r="E2837" s="2" t="s">
        <v>95</v>
      </c>
      <c r="F2837" s="2">
        <v>52.59</v>
      </c>
      <c r="G2837" s="2">
        <v>3</v>
      </c>
      <c r="H2837" s="2">
        <v>15.78</v>
      </c>
      <c r="I2837" t="str">
        <f t="shared" si="44"/>
        <v>Jul</v>
      </c>
      <c r="J2837">
        <f>YEAR(datas[[#This Row],[Order Date]])</f>
        <v>2022</v>
      </c>
    </row>
    <row r="2838" spans="1:10" ht="14.25" customHeight="1" x14ac:dyDescent="0.3">
      <c r="A2838" s="1">
        <v>44774</v>
      </c>
      <c r="B2838" s="2" t="s">
        <v>203</v>
      </c>
      <c r="C2838" s="2" t="s">
        <v>21</v>
      </c>
      <c r="D2838" s="2" t="s">
        <v>10</v>
      </c>
      <c r="E2838" s="2" t="s">
        <v>19</v>
      </c>
      <c r="F2838" s="2">
        <v>6.72</v>
      </c>
      <c r="G2838" s="2">
        <v>4</v>
      </c>
      <c r="H2838" s="2">
        <v>3.36</v>
      </c>
      <c r="I2838" t="str">
        <f t="shared" si="44"/>
        <v>Aug</v>
      </c>
      <c r="J2838">
        <f>YEAR(datas[[#This Row],[Order Date]])</f>
        <v>2022</v>
      </c>
    </row>
    <row r="2839" spans="1:10" ht="14.25" customHeight="1" x14ac:dyDescent="0.3">
      <c r="A2839" s="1">
        <v>44774</v>
      </c>
      <c r="B2839" s="2" t="s">
        <v>203</v>
      </c>
      <c r="C2839" s="2" t="s">
        <v>21</v>
      </c>
      <c r="D2839" s="2" t="s">
        <v>26</v>
      </c>
      <c r="E2839" s="2" t="s">
        <v>73</v>
      </c>
      <c r="F2839" s="2">
        <v>1004.98</v>
      </c>
      <c r="G2839" s="2">
        <v>6</v>
      </c>
      <c r="H2839" s="2">
        <v>-175.87</v>
      </c>
      <c r="I2839" t="str">
        <f t="shared" si="44"/>
        <v>Aug</v>
      </c>
      <c r="J2839">
        <f>YEAR(datas[[#This Row],[Order Date]])</f>
        <v>2022</v>
      </c>
    </row>
    <row r="2840" spans="1:10" ht="14.25" customHeight="1" x14ac:dyDescent="0.3">
      <c r="A2840" s="1">
        <v>44775</v>
      </c>
      <c r="B2840" s="2" t="s">
        <v>328</v>
      </c>
      <c r="C2840" s="2" t="s">
        <v>82</v>
      </c>
      <c r="D2840" s="2" t="s">
        <v>10</v>
      </c>
      <c r="E2840" s="2" t="s">
        <v>16</v>
      </c>
      <c r="F2840" s="2">
        <v>6.37</v>
      </c>
      <c r="G2840" s="2">
        <v>2</v>
      </c>
      <c r="H2840" s="2">
        <v>2.15</v>
      </c>
      <c r="I2840" t="str">
        <f t="shared" si="44"/>
        <v>Aug</v>
      </c>
      <c r="J2840">
        <f>YEAR(datas[[#This Row],[Order Date]])</f>
        <v>2022</v>
      </c>
    </row>
    <row r="2841" spans="1:10" ht="14.25" customHeight="1" x14ac:dyDescent="0.3">
      <c r="A2841" s="1">
        <v>44775</v>
      </c>
      <c r="B2841" s="2" t="s">
        <v>328</v>
      </c>
      <c r="C2841" s="2" t="s">
        <v>82</v>
      </c>
      <c r="D2841" s="2" t="s">
        <v>28</v>
      </c>
      <c r="E2841" s="2" t="s">
        <v>136</v>
      </c>
      <c r="F2841" s="2">
        <v>558.4</v>
      </c>
      <c r="G2841" s="2">
        <v>2</v>
      </c>
      <c r="H2841" s="2">
        <v>41.88</v>
      </c>
      <c r="I2841" t="str">
        <f t="shared" si="44"/>
        <v>Aug</v>
      </c>
      <c r="J2841">
        <f>YEAR(datas[[#This Row],[Order Date]])</f>
        <v>2022</v>
      </c>
    </row>
    <row r="2842" spans="1:10" ht="14.25" customHeight="1" x14ac:dyDescent="0.3">
      <c r="A2842" s="1">
        <v>44775</v>
      </c>
      <c r="B2842" s="2" t="s">
        <v>744</v>
      </c>
      <c r="C2842" s="2" t="s">
        <v>553</v>
      </c>
      <c r="D2842" s="2" t="s">
        <v>28</v>
      </c>
      <c r="E2842" s="2" t="s">
        <v>29</v>
      </c>
      <c r="F2842" s="2">
        <v>128.85</v>
      </c>
      <c r="G2842" s="2">
        <v>3</v>
      </c>
      <c r="H2842" s="2">
        <v>3.87</v>
      </c>
      <c r="I2842" t="str">
        <f t="shared" si="44"/>
        <v>Aug</v>
      </c>
      <c r="J2842">
        <f>YEAR(datas[[#This Row],[Order Date]])</f>
        <v>2022</v>
      </c>
    </row>
    <row r="2843" spans="1:10" ht="14.25" customHeight="1" x14ac:dyDescent="0.3">
      <c r="A2843" s="1">
        <v>44775</v>
      </c>
      <c r="B2843" s="2" t="s">
        <v>744</v>
      </c>
      <c r="C2843" s="2" t="s">
        <v>553</v>
      </c>
      <c r="D2843" s="2" t="s">
        <v>10</v>
      </c>
      <c r="E2843" s="2" t="s">
        <v>11</v>
      </c>
      <c r="F2843" s="2">
        <v>8.4</v>
      </c>
      <c r="G2843" s="2">
        <v>2</v>
      </c>
      <c r="H2843" s="2">
        <v>4.12</v>
      </c>
      <c r="I2843" t="str">
        <f t="shared" si="44"/>
        <v>Aug</v>
      </c>
      <c r="J2843">
        <f>YEAR(datas[[#This Row],[Order Date]])</f>
        <v>2022</v>
      </c>
    </row>
    <row r="2844" spans="1:10" ht="14.25" customHeight="1" x14ac:dyDescent="0.3">
      <c r="A2844" s="1">
        <v>44775</v>
      </c>
      <c r="B2844" s="2" t="s">
        <v>744</v>
      </c>
      <c r="C2844" s="2" t="s">
        <v>553</v>
      </c>
      <c r="D2844" s="2" t="s">
        <v>28</v>
      </c>
      <c r="E2844" s="2" t="s">
        <v>34</v>
      </c>
      <c r="F2844" s="2">
        <v>199.98</v>
      </c>
      <c r="G2844" s="2">
        <v>2</v>
      </c>
      <c r="H2844" s="2">
        <v>83.99</v>
      </c>
      <c r="I2844" t="str">
        <f t="shared" si="44"/>
        <v>Aug</v>
      </c>
      <c r="J2844">
        <f>YEAR(datas[[#This Row],[Order Date]])</f>
        <v>2022</v>
      </c>
    </row>
    <row r="2845" spans="1:10" ht="14.25" customHeight="1" x14ac:dyDescent="0.3">
      <c r="A2845" s="1">
        <v>44775</v>
      </c>
      <c r="B2845" s="2" t="s">
        <v>744</v>
      </c>
      <c r="C2845" s="2" t="s">
        <v>553</v>
      </c>
      <c r="D2845" s="2" t="s">
        <v>26</v>
      </c>
      <c r="E2845" s="2" t="s">
        <v>27</v>
      </c>
      <c r="F2845" s="2">
        <v>110.98</v>
      </c>
      <c r="G2845" s="2">
        <v>1</v>
      </c>
      <c r="H2845" s="2">
        <v>15.54</v>
      </c>
      <c r="I2845" t="str">
        <f t="shared" si="44"/>
        <v>Aug</v>
      </c>
      <c r="J2845">
        <f>YEAR(datas[[#This Row],[Order Date]])</f>
        <v>2022</v>
      </c>
    </row>
    <row r="2846" spans="1:10" ht="14.25" customHeight="1" x14ac:dyDescent="0.3">
      <c r="A2846" s="1">
        <v>44775</v>
      </c>
      <c r="B2846" s="2" t="s">
        <v>608</v>
      </c>
      <c r="C2846" s="2" t="s">
        <v>52</v>
      </c>
      <c r="D2846" s="2" t="s">
        <v>26</v>
      </c>
      <c r="E2846" s="2" t="s">
        <v>73</v>
      </c>
      <c r="F2846" s="2">
        <v>277.5</v>
      </c>
      <c r="G2846" s="2">
        <v>4</v>
      </c>
      <c r="H2846" s="2">
        <v>-188.7</v>
      </c>
      <c r="I2846" t="str">
        <f t="shared" si="44"/>
        <v>Aug</v>
      </c>
      <c r="J2846">
        <f>YEAR(datas[[#This Row],[Order Date]])</f>
        <v>2022</v>
      </c>
    </row>
    <row r="2847" spans="1:10" ht="14.25" customHeight="1" x14ac:dyDescent="0.3">
      <c r="A2847" s="1">
        <v>44778</v>
      </c>
      <c r="B2847" s="2" t="s">
        <v>183</v>
      </c>
      <c r="C2847" s="2" t="s">
        <v>9</v>
      </c>
      <c r="D2847" s="2" t="s">
        <v>10</v>
      </c>
      <c r="E2847" s="2" t="s">
        <v>15</v>
      </c>
      <c r="F2847" s="2">
        <v>33.49</v>
      </c>
      <c r="G2847" s="2">
        <v>7</v>
      </c>
      <c r="H2847" s="2">
        <v>-1.26</v>
      </c>
      <c r="I2847" t="str">
        <f t="shared" si="44"/>
        <v>Aug</v>
      </c>
      <c r="J2847">
        <f>YEAR(datas[[#This Row],[Order Date]])</f>
        <v>2022</v>
      </c>
    </row>
    <row r="2848" spans="1:10" ht="14.25" customHeight="1" x14ac:dyDescent="0.3">
      <c r="A2848" s="1">
        <v>44778</v>
      </c>
      <c r="B2848" s="2" t="s">
        <v>183</v>
      </c>
      <c r="C2848" s="2" t="s">
        <v>9</v>
      </c>
      <c r="D2848" s="2" t="s">
        <v>10</v>
      </c>
      <c r="E2848" s="2" t="s">
        <v>95</v>
      </c>
      <c r="F2848" s="2">
        <v>23.04</v>
      </c>
      <c r="G2848" s="2">
        <v>3</v>
      </c>
      <c r="H2848" s="2">
        <v>-4.9000000000000004</v>
      </c>
      <c r="I2848" t="str">
        <f t="shared" si="44"/>
        <v>Aug</v>
      </c>
      <c r="J2848">
        <f>YEAR(datas[[#This Row],[Order Date]])</f>
        <v>2022</v>
      </c>
    </row>
    <row r="2849" spans="1:10" ht="14.25" customHeight="1" x14ac:dyDescent="0.3">
      <c r="A2849" s="1">
        <v>44778</v>
      </c>
      <c r="B2849" s="2" t="s">
        <v>183</v>
      </c>
      <c r="C2849" s="2" t="s">
        <v>9</v>
      </c>
      <c r="D2849" s="2" t="s">
        <v>10</v>
      </c>
      <c r="E2849" s="2" t="s">
        <v>16</v>
      </c>
      <c r="F2849" s="2">
        <v>1.36</v>
      </c>
      <c r="G2849" s="2">
        <v>1</v>
      </c>
      <c r="H2849" s="2">
        <v>-2.1800000000000002</v>
      </c>
      <c r="I2849" t="str">
        <f t="shared" si="44"/>
        <v>Aug</v>
      </c>
      <c r="J2849">
        <f>YEAR(datas[[#This Row],[Order Date]])</f>
        <v>2022</v>
      </c>
    </row>
    <row r="2850" spans="1:10" ht="14.25" customHeight="1" x14ac:dyDescent="0.3">
      <c r="A2850" s="1">
        <v>44778</v>
      </c>
      <c r="B2850" s="2" t="s">
        <v>183</v>
      </c>
      <c r="C2850" s="2" t="s">
        <v>9</v>
      </c>
      <c r="D2850" s="2" t="s">
        <v>26</v>
      </c>
      <c r="E2850" s="2" t="s">
        <v>32</v>
      </c>
      <c r="F2850" s="2">
        <v>14.76</v>
      </c>
      <c r="G2850" s="2">
        <v>5</v>
      </c>
      <c r="H2850" s="2">
        <v>-11.44</v>
      </c>
      <c r="I2850" t="str">
        <f t="shared" si="44"/>
        <v>Aug</v>
      </c>
      <c r="J2850">
        <f>YEAR(datas[[#This Row],[Order Date]])</f>
        <v>2022</v>
      </c>
    </row>
    <row r="2851" spans="1:10" ht="14.25" customHeight="1" x14ac:dyDescent="0.3">
      <c r="A2851" s="1">
        <v>44779</v>
      </c>
      <c r="B2851" s="2" t="s">
        <v>347</v>
      </c>
      <c r="C2851" s="2" t="s">
        <v>9</v>
      </c>
      <c r="D2851" s="2" t="s">
        <v>10</v>
      </c>
      <c r="E2851" s="2" t="s">
        <v>11</v>
      </c>
      <c r="F2851" s="2">
        <v>27.22</v>
      </c>
      <c r="G2851" s="2">
        <v>3</v>
      </c>
      <c r="H2851" s="2">
        <v>9.8699999999999992</v>
      </c>
      <c r="I2851" t="str">
        <f t="shared" si="44"/>
        <v>Aug</v>
      </c>
      <c r="J2851">
        <f>YEAR(datas[[#This Row],[Order Date]])</f>
        <v>2022</v>
      </c>
    </row>
    <row r="2852" spans="1:10" ht="14.25" customHeight="1" x14ac:dyDescent="0.3">
      <c r="A2852" s="1">
        <v>44779</v>
      </c>
      <c r="B2852" s="2" t="s">
        <v>539</v>
      </c>
      <c r="C2852" s="2" t="s">
        <v>9</v>
      </c>
      <c r="D2852" s="2" t="s">
        <v>10</v>
      </c>
      <c r="E2852" s="2" t="s">
        <v>14</v>
      </c>
      <c r="F2852" s="2">
        <v>35.520000000000003</v>
      </c>
      <c r="G2852" s="2">
        <v>3</v>
      </c>
      <c r="H2852" s="2">
        <v>13.32</v>
      </c>
      <c r="I2852" t="str">
        <f t="shared" si="44"/>
        <v>Aug</v>
      </c>
      <c r="J2852">
        <f>YEAR(datas[[#This Row],[Order Date]])</f>
        <v>2022</v>
      </c>
    </row>
    <row r="2853" spans="1:10" ht="14.25" customHeight="1" x14ac:dyDescent="0.3">
      <c r="A2853" s="1">
        <v>44779</v>
      </c>
      <c r="B2853" s="2" t="s">
        <v>539</v>
      </c>
      <c r="C2853" s="2" t="s">
        <v>9</v>
      </c>
      <c r="D2853" s="2" t="s">
        <v>10</v>
      </c>
      <c r="E2853" s="2" t="s">
        <v>16</v>
      </c>
      <c r="F2853" s="2">
        <v>6.23</v>
      </c>
      <c r="G2853" s="2">
        <v>5</v>
      </c>
      <c r="H2853" s="2">
        <v>-9.66</v>
      </c>
      <c r="I2853" t="str">
        <f t="shared" si="44"/>
        <v>Aug</v>
      </c>
      <c r="J2853">
        <f>YEAR(datas[[#This Row],[Order Date]])</f>
        <v>2022</v>
      </c>
    </row>
    <row r="2854" spans="1:10" ht="14.25" customHeight="1" x14ac:dyDescent="0.3">
      <c r="A2854" s="1">
        <v>44779</v>
      </c>
      <c r="B2854" s="2" t="s">
        <v>539</v>
      </c>
      <c r="C2854" s="2" t="s">
        <v>9</v>
      </c>
      <c r="D2854" s="2" t="s">
        <v>10</v>
      </c>
      <c r="E2854" s="2" t="s">
        <v>11</v>
      </c>
      <c r="F2854" s="2">
        <v>56.7</v>
      </c>
      <c r="G2854" s="2">
        <v>2</v>
      </c>
      <c r="H2854" s="2">
        <v>19.14</v>
      </c>
      <c r="I2854" t="str">
        <f t="shared" si="44"/>
        <v>Aug</v>
      </c>
      <c r="J2854">
        <f>YEAR(datas[[#This Row],[Order Date]])</f>
        <v>2022</v>
      </c>
    </row>
    <row r="2855" spans="1:10" ht="14.25" customHeight="1" x14ac:dyDescent="0.3">
      <c r="A2855" s="1">
        <v>44779</v>
      </c>
      <c r="B2855" s="2" t="s">
        <v>539</v>
      </c>
      <c r="C2855" s="2" t="s">
        <v>9</v>
      </c>
      <c r="D2855" s="2" t="s">
        <v>26</v>
      </c>
      <c r="E2855" s="2" t="s">
        <v>45</v>
      </c>
      <c r="F2855" s="2">
        <v>369.2</v>
      </c>
      <c r="G2855" s="2">
        <v>3</v>
      </c>
      <c r="H2855" s="2">
        <v>-114.02</v>
      </c>
      <c r="I2855" t="str">
        <f t="shared" si="44"/>
        <v>Aug</v>
      </c>
      <c r="J2855">
        <f>YEAR(datas[[#This Row],[Order Date]])</f>
        <v>2022</v>
      </c>
    </row>
    <row r="2856" spans="1:10" ht="14.25" customHeight="1" x14ac:dyDescent="0.3">
      <c r="A2856" s="1">
        <v>44780</v>
      </c>
      <c r="B2856" s="2" t="s">
        <v>338</v>
      </c>
      <c r="C2856" s="2" t="s">
        <v>207</v>
      </c>
      <c r="D2856" s="2" t="s">
        <v>10</v>
      </c>
      <c r="E2856" s="2" t="s">
        <v>16</v>
      </c>
      <c r="F2856" s="2">
        <v>3.3</v>
      </c>
      <c r="G2856" s="2">
        <v>1</v>
      </c>
      <c r="H2856" s="2">
        <v>1.1200000000000001</v>
      </c>
      <c r="I2856" t="str">
        <f t="shared" si="44"/>
        <v>Aug</v>
      </c>
      <c r="J2856">
        <f>YEAR(datas[[#This Row],[Order Date]])</f>
        <v>2022</v>
      </c>
    </row>
    <row r="2857" spans="1:10" ht="14.25" customHeight="1" x14ac:dyDescent="0.3">
      <c r="A2857" s="1">
        <v>44780</v>
      </c>
      <c r="B2857" s="2" t="s">
        <v>745</v>
      </c>
      <c r="C2857" s="2" t="s">
        <v>21</v>
      </c>
      <c r="D2857" s="2" t="s">
        <v>10</v>
      </c>
      <c r="E2857" s="2" t="s">
        <v>16</v>
      </c>
      <c r="F2857" s="2">
        <v>19.149999999999999</v>
      </c>
      <c r="G2857" s="2">
        <v>3</v>
      </c>
      <c r="H2857" s="2">
        <v>6.46</v>
      </c>
      <c r="I2857" t="str">
        <f t="shared" si="44"/>
        <v>Aug</v>
      </c>
      <c r="J2857">
        <f>YEAR(datas[[#This Row],[Order Date]])</f>
        <v>2022</v>
      </c>
    </row>
    <row r="2858" spans="1:10" ht="14.25" customHeight="1" x14ac:dyDescent="0.3">
      <c r="A2858" s="1">
        <v>44780</v>
      </c>
      <c r="B2858" s="2" t="s">
        <v>510</v>
      </c>
      <c r="C2858" s="2" t="s">
        <v>91</v>
      </c>
      <c r="D2858" s="2" t="s">
        <v>10</v>
      </c>
      <c r="E2858" s="2" t="s">
        <v>16</v>
      </c>
      <c r="F2858" s="2">
        <v>28.4</v>
      </c>
      <c r="G2858" s="2">
        <v>4</v>
      </c>
      <c r="H2858" s="2">
        <v>13.06</v>
      </c>
      <c r="I2858" t="str">
        <f t="shared" si="44"/>
        <v>Aug</v>
      </c>
      <c r="J2858">
        <f>YEAR(datas[[#This Row],[Order Date]])</f>
        <v>2022</v>
      </c>
    </row>
    <row r="2859" spans="1:10" ht="14.25" customHeight="1" x14ac:dyDescent="0.3">
      <c r="A2859" s="1">
        <v>44780</v>
      </c>
      <c r="B2859" s="2" t="s">
        <v>510</v>
      </c>
      <c r="C2859" s="2" t="s">
        <v>91</v>
      </c>
      <c r="D2859" s="2" t="s">
        <v>26</v>
      </c>
      <c r="E2859" s="2" t="s">
        <v>32</v>
      </c>
      <c r="F2859" s="2">
        <v>212.94</v>
      </c>
      <c r="G2859" s="2">
        <v>3</v>
      </c>
      <c r="H2859" s="2">
        <v>34.07</v>
      </c>
      <c r="I2859" t="str">
        <f t="shared" si="44"/>
        <v>Aug</v>
      </c>
      <c r="J2859">
        <f>YEAR(datas[[#This Row],[Order Date]])</f>
        <v>2022</v>
      </c>
    </row>
    <row r="2860" spans="1:10" ht="14.25" customHeight="1" x14ac:dyDescent="0.3">
      <c r="A2860" s="1">
        <v>44780</v>
      </c>
      <c r="B2860" s="2" t="s">
        <v>299</v>
      </c>
      <c r="C2860" s="2" t="s">
        <v>18</v>
      </c>
      <c r="D2860" s="2" t="s">
        <v>10</v>
      </c>
      <c r="E2860" s="2" t="s">
        <v>19</v>
      </c>
      <c r="F2860" s="2">
        <v>106.8</v>
      </c>
      <c r="G2860" s="2">
        <v>10</v>
      </c>
      <c r="H2860" s="2">
        <v>10.68</v>
      </c>
      <c r="I2860" t="str">
        <f t="shared" si="44"/>
        <v>Aug</v>
      </c>
      <c r="J2860">
        <f>YEAR(datas[[#This Row],[Order Date]])</f>
        <v>2022</v>
      </c>
    </row>
    <row r="2861" spans="1:10" ht="14.25" customHeight="1" x14ac:dyDescent="0.3">
      <c r="A2861" s="1">
        <v>44780</v>
      </c>
      <c r="B2861" s="2" t="s">
        <v>338</v>
      </c>
      <c r="C2861" s="2" t="s">
        <v>215</v>
      </c>
      <c r="D2861" s="2" t="s">
        <v>10</v>
      </c>
      <c r="E2861" s="2" t="s">
        <v>53</v>
      </c>
      <c r="F2861" s="2">
        <v>77.58</v>
      </c>
      <c r="G2861" s="2">
        <v>9</v>
      </c>
      <c r="H2861" s="2">
        <v>20.170000000000002</v>
      </c>
      <c r="I2861" t="str">
        <f t="shared" si="44"/>
        <v>Aug</v>
      </c>
      <c r="J2861">
        <f>YEAR(datas[[#This Row],[Order Date]])</f>
        <v>2022</v>
      </c>
    </row>
    <row r="2862" spans="1:10" ht="14.25" customHeight="1" x14ac:dyDescent="0.3">
      <c r="A2862" s="1">
        <v>44780</v>
      </c>
      <c r="B2862" s="2" t="s">
        <v>746</v>
      </c>
      <c r="C2862" s="2" t="s">
        <v>36</v>
      </c>
      <c r="D2862" s="2" t="s">
        <v>28</v>
      </c>
      <c r="E2862" s="2" t="s">
        <v>29</v>
      </c>
      <c r="F2862" s="2">
        <v>494.97</v>
      </c>
      <c r="G2862" s="2">
        <v>3</v>
      </c>
      <c r="H2862" s="2">
        <v>148.49</v>
      </c>
      <c r="I2862" t="str">
        <f t="shared" si="44"/>
        <v>Aug</v>
      </c>
      <c r="J2862">
        <f>YEAR(datas[[#This Row],[Order Date]])</f>
        <v>2022</v>
      </c>
    </row>
    <row r="2863" spans="1:10" ht="14.25" customHeight="1" x14ac:dyDescent="0.3">
      <c r="A2863" s="1">
        <v>44780</v>
      </c>
      <c r="B2863" s="2" t="s">
        <v>746</v>
      </c>
      <c r="C2863" s="2" t="s">
        <v>36</v>
      </c>
      <c r="D2863" s="2" t="s">
        <v>10</v>
      </c>
      <c r="E2863" s="2" t="s">
        <v>14</v>
      </c>
      <c r="F2863" s="2">
        <v>25.06</v>
      </c>
      <c r="G2863" s="2">
        <v>2</v>
      </c>
      <c r="H2863" s="2">
        <v>11.78</v>
      </c>
      <c r="I2863" t="str">
        <f t="shared" si="44"/>
        <v>Aug</v>
      </c>
      <c r="J2863">
        <f>YEAR(datas[[#This Row],[Order Date]])</f>
        <v>2022</v>
      </c>
    </row>
    <row r="2864" spans="1:10" ht="14.25" customHeight="1" x14ac:dyDescent="0.3">
      <c r="A2864" s="1">
        <v>44781</v>
      </c>
      <c r="B2864" s="2" t="s">
        <v>497</v>
      </c>
      <c r="C2864" s="2" t="s">
        <v>21</v>
      </c>
      <c r="D2864" s="2" t="s">
        <v>10</v>
      </c>
      <c r="E2864" s="2" t="s">
        <v>16</v>
      </c>
      <c r="F2864" s="2">
        <v>6.61</v>
      </c>
      <c r="G2864" s="2">
        <v>2</v>
      </c>
      <c r="H2864" s="2">
        <v>2.23</v>
      </c>
      <c r="I2864" t="str">
        <f t="shared" si="44"/>
        <v>Aug</v>
      </c>
      <c r="J2864">
        <f>YEAR(datas[[#This Row],[Order Date]])</f>
        <v>2022</v>
      </c>
    </row>
    <row r="2865" spans="1:10" ht="14.25" customHeight="1" x14ac:dyDescent="0.3">
      <c r="A2865" s="1">
        <v>44781</v>
      </c>
      <c r="B2865" s="2" t="s">
        <v>497</v>
      </c>
      <c r="C2865" s="2" t="s">
        <v>21</v>
      </c>
      <c r="D2865" s="2" t="s">
        <v>10</v>
      </c>
      <c r="E2865" s="2" t="s">
        <v>16</v>
      </c>
      <c r="F2865" s="2">
        <v>7.28</v>
      </c>
      <c r="G2865" s="2">
        <v>2</v>
      </c>
      <c r="H2865" s="2">
        <v>2.73</v>
      </c>
      <c r="I2865" t="str">
        <f t="shared" si="44"/>
        <v>Aug</v>
      </c>
      <c r="J2865">
        <f>YEAR(datas[[#This Row],[Order Date]])</f>
        <v>2022</v>
      </c>
    </row>
    <row r="2866" spans="1:10" ht="14.25" customHeight="1" x14ac:dyDescent="0.3">
      <c r="A2866" s="1">
        <v>44781</v>
      </c>
      <c r="B2866" s="2" t="s">
        <v>497</v>
      </c>
      <c r="C2866" s="2" t="s">
        <v>21</v>
      </c>
      <c r="D2866" s="2" t="s">
        <v>26</v>
      </c>
      <c r="E2866" s="2" t="s">
        <v>27</v>
      </c>
      <c r="F2866" s="2">
        <v>144.78</v>
      </c>
      <c r="G2866" s="2">
        <v>1</v>
      </c>
      <c r="H2866" s="2">
        <v>10.86</v>
      </c>
      <c r="I2866" t="str">
        <f t="shared" si="44"/>
        <v>Aug</v>
      </c>
      <c r="J2866">
        <f>YEAR(datas[[#This Row],[Order Date]])</f>
        <v>2022</v>
      </c>
    </row>
    <row r="2867" spans="1:10" ht="14.25" customHeight="1" x14ac:dyDescent="0.3">
      <c r="A2867" s="1">
        <v>44781</v>
      </c>
      <c r="B2867" s="2" t="s">
        <v>747</v>
      </c>
      <c r="C2867" s="2" t="s">
        <v>181</v>
      </c>
      <c r="D2867" s="2" t="s">
        <v>10</v>
      </c>
      <c r="E2867" s="2" t="s">
        <v>19</v>
      </c>
      <c r="F2867" s="2">
        <v>39.659999999999997</v>
      </c>
      <c r="G2867" s="2">
        <v>2</v>
      </c>
      <c r="H2867" s="2">
        <v>11.9</v>
      </c>
      <c r="I2867" t="str">
        <f t="shared" si="44"/>
        <v>Aug</v>
      </c>
      <c r="J2867">
        <f>YEAR(datas[[#This Row],[Order Date]])</f>
        <v>2022</v>
      </c>
    </row>
    <row r="2868" spans="1:10" ht="14.25" customHeight="1" x14ac:dyDescent="0.3">
      <c r="A2868" s="1">
        <v>44781</v>
      </c>
      <c r="B2868" s="2" t="s">
        <v>747</v>
      </c>
      <c r="C2868" s="2" t="s">
        <v>181</v>
      </c>
      <c r="D2868" s="2" t="s">
        <v>10</v>
      </c>
      <c r="E2868" s="2" t="s">
        <v>53</v>
      </c>
      <c r="F2868" s="2">
        <v>113.92</v>
      </c>
      <c r="G2868" s="2">
        <v>2</v>
      </c>
      <c r="H2868" s="2">
        <v>33.04</v>
      </c>
      <c r="I2868" t="str">
        <f t="shared" si="44"/>
        <v>Aug</v>
      </c>
      <c r="J2868">
        <f>YEAR(datas[[#This Row],[Order Date]])</f>
        <v>2022</v>
      </c>
    </row>
    <row r="2869" spans="1:10" ht="14.25" customHeight="1" x14ac:dyDescent="0.3">
      <c r="A2869" s="1">
        <v>44781</v>
      </c>
      <c r="B2869" s="2" t="s">
        <v>747</v>
      </c>
      <c r="C2869" s="2" t="s">
        <v>181</v>
      </c>
      <c r="D2869" s="2" t="s">
        <v>10</v>
      </c>
      <c r="E2869" s="2" t="s">
        <v>16</v>
      </c>
      <c r="F2869" s="2">
        <v>447.86</v>
      </c>
      <c r="G2869" s="2">
        <v>7</v>
      </c>
      <c r="H2869" s="2">
        <v>210.49</v>
      </c>
      <c r="I2869" t="str">
        <f t="shared" si="44"/>
        <v>Aug</v>
      </c>
      <c r="J2869">
        <f>YEAR(datas[[#This Row],[Order Date]])</f>
        <v>2022</v>
      </c>
    </row>
    <row r="2870" spans="1:10" ht="14.25" customHeight="1" x14ac:dyDescent="0.3">
      <c r="A2870" s="1">
        <v>44781</v>
      </c>
      <c r="B2870" s="2" t="s">
        <v>182</v>
      </c>
      <c r="C2870" s="2" t="s">
        <v>75</v>
      </c>
      <c r="D2870" s="2" t="s">
        <v>28</v>
      </c>
      <c r="E2870" s="2" t="s">
        <v>34</v>
      </c>
      <c r="F2870" s="2">
        <v>79.989999999999995</v>
      </c>
      <c r="G2870" s="2">
        <v>1</v>
      </c>
      <c r="H2870" s="2">
        <v>28.8</v>
      </c>
      <c r="I2870" t="str">
        <f t="shared" si="44"/>
        <v>Aug</v>
      </c>
      <c r="J2870">
        <f>YEAR(datas[[#This Row],[Order Date]])</f>
        <v>2022</v>
      </c>
    </row>
    <row r="2871" spans="1:10" ht="14.25" customHeight="1" x14ac:dyDescent="0.3">
      <c r="A2871" s="1">
        <v>44782</v>
      </c>
      <c r="B2871" s="2" t="s">
        <v>235</v>
      </c>
      <c r="C2871" s="2" t="s">
        <v>60</v>
      </c>
      <c r="D2871" s="2" t="s">
        <v>10</v>
      </c>
      <c r="E2871" s="2" t="s">
        <v>19</v>
      </c>
      <c r="F2871" s="2">
        <v>2.2000000000000002</v>
      </c>
      <c r="G2871" s="2">
        <v>1</v>
      </c>
      <c r="H2871" s="2">
        <v>0.97</v>
      </c>
      <c r="I2871" t="str">
        <f t="shared" si="44"/>
        <v>Aug</v>
      </c>
      <c r="J2871">
        <f>YEAR(datas[[#This Row],[Order Date]])</f>
        <v>2022</v>
      </c>
    </row>
    <row r="2872" spans="1:10" ht="14.25" customHeight="1" x14ac:dyDescent="0.3">
      <c r="A2872" s="1">
        <v>44782</v>
      </c>
      <c r="B2872" s="2" t="s">
        <v>235</v>
      </c>
      <c r="C2872" s="2" t="s">
        <v>60</v>
      </c>
      <c r="D2872" s="2" t="s">
        <v>26</v>
      </c>
      <c r="E2872" s="2" t="s">
        <v>73</v>
      </c>
      <c r="F2872" s="2">
        <v>622.45000000000005</v>
      </c>
      <c r="G2872" s="2">
        <v>5</v>
      </c>
      <c r="H2872" s="2">
        <v>136.94</v>
      </c>
      <c r="I2872" t="str">
        <f t="shared" si="44"/>
        <v>Aug</v>
      </c>
      <c r="J2872">
        <f>YEAR(datas[[#This Row],[Order Date]])</f>
        <v>2022</v>
      </c>
    </row>
    <row r="2873" spans="1:10" ht="14.25" customHeight="1" x14ac:dyDescent="0.3">
      <c r="A2873" s="1">
        <v>44782</v>
      </c>
      <c r="B2873" s="2" t="s">
        <v>235</v>
      </c>
      <c r="C2873" s="2" t="s">
        <v>60</v>
      </c>
      <c r="D2873" s="2" t="s">
        <v>10</v>
      </c>
      <c r="E2873" s="2" t="s">
        <v>15</v>
      </c>
      <c r="F2873" s="2">
        <v>21.98</v>
      </c>
      <c r="G2873" s="2">
        <v>1</v>
      </c>
      <c r="H2873" s="2">
        <v>0.22</v>
      </c>
      <c r="I2873" t="str">
        <f t="shared" si="44"/>
        <v>Aug</v>
      </c>
      <c r="J2873">
        <f>YEAR(datas[[#This Row],[Order Date]])</f>
        <v>2022</v>
      </c>
    </row>
    <row r="2874" spans="1:10" ht="14.25" customHeight="1" x14ac:dyDescent="0.3">
      <c r="A2874" s="1">
        <v>44782</v>
      </c>
      <c r="B2874" s="2" t="s">
        <v>267</v>
      </c>
      <c r="C2874" s="2" t="s">
        <v>75</v>
      </c>
      <c r="D2874" s="2" t="s">
        <v>28</v>
      </c>
      <c r="E2874" s="2" t="s">
        <v>29</v>
      </c>
      <c r="F2874" s="2">
        <v>307.98</v>
      </c>
      <c r="G2874" s="2">
        <v>2</v>
      </c>
      <c r="H2874" s="2">
        <v>89.31</v>
      </c>
      <c r="I2874" t="str">
        <f t="shared" si="44"/>
        <v>Aug</v>
      </c>
      <c r="J2874">
        <f>YEAR(datas[[#This Row],[Order Date]])</f>
        <v>2022</v>
      </c>
    </row>
    <row r="2875" spans="1:10" ht="14.25" customHeight="1" x14ac:dyDescent="0.3">
      <c r="A2875" s="1">
        <v>44782</v>
      </c>
      <c r="B2875" s="2" t="s">
        <v>267</v>
      </c>
      <c r="C2875" s="2" t="s">
        <v>75</v>
      </c>
      <c r="D2875" s="2" t="s">
        <v>26</v>
      </c>
      <c r="E2875" s="2" t="s">
        <v>73</v>
      </c>
      <c r="F2875" s="2">
        <v>382.81</v>
      </c>
      <c r="G2875" s="2">
        <v>9</v>
      </c>
      <c r="H2875" s="2">
        <v>-153.12</v>
      </c>
      <c r="I2875" t="str">
        <f t="shared" si="44"/>
        <v>Aug</v>
      </c>
      <c r="J2875">
        <f>YEAR(datas[[#This Row],[Order Date]])</f>
        <v>2022</v>
      </c>
    </row>
    <row r="2876" spans="1:10" ht="14.25" customHeight="1" x14ac:dyDescent="0.3">
      <c r="A2876" s="1">
        <v>44782</v>
      </c>
      <c r="B2876" s="2" t="s">
        <v>267</v>
      </c>
      <c r="C2876" s="2" t="s">
        <v>75</v>
      </c>
      <c r="D2876" s="2" t="s">
        <v>10</v>
      </c>
      <c r="E2876" s="2" t="s">
        <v>15</v>
      </c>
      <c r="F2876" s="2">
        <v>41.96</v>
      </c>
      <c r="G2876" s="2">
        <v>2</v>
      </c>
      <c r="H2876" s="2">
        <v>2.94</v>
      </c>
      <c r="I2876" t="str">
        <f t="shared" si="44"/>
        <v>Aug</v>
      </c>
      <c r="J2876">
        <f>YEAR(datas[[#This Row],[Order Date]])</f>
        <v>2022</v>
      </c>
    </row>
    <row r="2877" spans="1:10" ht="14.25" customHeight="1" x14ac:dyDescent="0.3">
      <c r="A2877" s="1">
        <v>44782</v>
      </c>
      <c r="B2877" s="2" t="s">
        <v>267</v>
      </c>
      <c r="C2877" s="2" t="s">
        <v>75</v>
      </c>
      <c r="D2877" s="2" t="s">
        <v>10</v>
      </c>
      <c r="E2877" s="2" t="s">
        <v>16</v>
      </c>
      <c r="F2877" s="2">
        <v>1217.57</v>
      </c>
      <c r="G2877" s="2">
        <v>2</v>
      </c>
      <c r="H2877" s="2">
        <v>456.59</v>
      </c>
      <c r="I2877" t="str">
        <f t="shared" si="44"/>
        <v>Aug</v>
      </c>
      <c r="J2877">
        <f>YEAR(datas[[#This Row],[Order Date]])</f>
        <v>2022</v>
      </c>
    </row>
    <row r="2878" spans="1:10" ht="14.25" customHeight="1" x14ac:dyDescent="0.3">
      <c r="A2878" s="1">
        <v>44782</v>
      </c>
      <c r="B2878" s="2" t="s">
        <v>267</v>
      </c>
      <c r="C2878" s="2" t="s">
        <v>75</v>
      </c>
      <c r="D2878" s="2" t="s">
        <v>26</v>
      </c>
      <c r="E2878" s="2" t="s">
        <v>32</v>
      </c>
      <c r="F2878" s="2">
        <v>47.04</v>
      </c>
      <c r="G2878" s="2">
        <v>3</v>
      </c>
      <c r="H2878" s="2">
        <v>18.350000000000001</v>
      </c>
      <c r="I2878" t="str">
        <f t="shared" si="44"/>
        <v>Aug</v>
      </c>
      <c r="J2878">
        <f>YEAR(datas[[#This Row],[Order Date]])</f>
        <v>2022</v>
      </c>
    </row>
    <row r="2879" spans="1:10" ht="14.25" customHeight="1" x14ac:dyDescent="0.3">
      <c r="A2879" s="1">
        <v>44782</v>
      </c>
      <c r="B2879" s="2" t="s">
        <v>267</v>
      </c>
      <c r="C2879" s="2" t="s">
        <v>75</v>
      </c>
      <c r="D2879" s="2" t="s">
        <v>26</v>
      </c>
      <c r="E2879" s="2" t="s">
        <v>32</v>
      </c>
      <c r="F2879" s="2">
        <v>6.16</v>
      </c>
      <c r="G2879" s="2">
        <v>2</v>
      </c>
      <c r="H2879" s="2">
        <v>2.96</v>
      </c>
      <c r="I2879" t="str">
        <f t="shared" si="44"/>
        <v>Aug</v>
      </c>
      <c r="J2879">
        <f>YEAR(datas[[#This Row],[Order Date]])</f>
        <v>2022</v>
      </c>
    </row>
    <row r="2880" spans="1:10" ht="14.25" customHeight="1" x14ac:dyDescent="0.3">
      <c r="A2880" s="1">
        <v>44782</v>
      </c>
      <c r="B2880" s="2" t="s">
        <v>267</v>
      </c>
      <c r="C2880" s="2" t="s">
        <v>75</v>
      </c>
      <c r="D2880" s="2" t="s">
        <v>28</v>
      </c>
      <c r="E2880" s="2" t="s">
        <v>29</v>
      </c>
      <c r="F2880" s="2">
        <v>979.95</v>
      </c>
      <c r="G2880" s="2">
        <v>5</v>
      </c>
      <c r="H2880" s="2">
        <v>274.39</v>
      </c>
      <c r="I2880" t="str">
        <f t="shared" si="44"/>
        <v>Aug</v>
      </c>
      <c r="J2880">
        <f>YEAR(datas[[#This Row],[Order Date]])</f>
        <v>2022</v>
      </c>
    </row>
    <row r="2881" spans="1:10" ht="14.25" customHeight="1" x14ac:dyDescent="0.3">
      <c r="A2881" s="1">
        <v>44782</v>
      </c>
      <c r="B2881" s="2" t="s">
        <v>267</v>
      </c>
      <c r="C2881" s="2" t="s">
        <v>75</v>
      </c>
      <c r="D2881" s="2" t="s">
        <v>10</v>
      </c>
      <c r="E2881" s="2" t="s">
        <v>11</v>
      </c>
      <c r="F2881" s="2">
        <v>143.69999999999999</v>
      </c>
      <c r="G2881" s="2">
        <v>3</v>
      </c>
      <c r="H2881" s="2">
        <v>68.98</v>
      </c>
      <c r="I2881" t="str">
        <f t="shared" si="44"/>
        <v>Aug</v>
      </c>
      <c r="J2881">
        <f>YEAR(datas[[#This Row],[Order Date]])</f>
        <v>2022</v>
      </c>
    </row>
    <row r="2882" spans="1:10" ht="14.25" customHeight="1" x14ac:dyDescent="0.3">
      <c r="A2882" s="1">
        <v>44782</v>
      </c>
      <c r="B2882" s="2" t="s">
        <v>267</v>
      </c>
      <c r="C2882" s="2" t="s">
        <v>75</v>
      </c>
      <c r="D2882" s="2" t="s">
        <v>10</v>
      </c>
      <c r="E2882" s="2" t="s">
        <v>30</v>
      </c>
      <c r="F2882" s="2">
        <v>10.65</v>
      </c>
      <c r="G2882" s="2">
        <v>3</v>
      </c>
      <c r="H2882" s="2">
        <v>5.01</v>
      </c>
      <c r="I2882" t="str">
        <f t="shared" si="44"/>
        <v>Aug</v>
      </c>
      <c r="J2882">
        <f>YEAR(datas[[#This Row],[Order Date]])</f>
        <v>2022</v>
      </c>
    </row>
    <row r="2883" spans="1:10" ht="14.25" customHeight="1" x14ac:dyDescent="0.3">
      <c r="A2883" s="1">
        <v>44782</v>
      </c>
      <c r="B2883" s="2" t="s">
        <v>267</v>
      </c>
      <c r="C2883" s="2" t="s">
        <v>75</v>
      </c>
      <c r="D2883" s="2" t="s">
        <v>28</v>
      </c>
      <c r="E2883" s="2" t="s">
        <v>34</v>
      </c>
      <c r="F2883" s="2">
        <v>247.8</v>
      </c>
      <c r="G2883" s="2">
        <v>4</v>
      </c>
      <c r="H2883" s="2">
        <v>34.69</v>
      </c>
      <c r="I2883" t="str">
        <f t="shared" ref="I2883:I2946" si="45">TEXT(A2883,"mmm")</f>
        <v>Aug</v>
      </c>
      <c r="J2883">
        <f>YEAR(datas[[#This Row],[Order Date]])</f>
        <v>2022</v>
      </c>
    </row>
    <row r="2884" spans="1:10" ht="14.25" customHeight="1" x14ac:dyDescent="0.3">
      <c r="A2884" s="1">
        <v>44782</v>
      </c>
      <c r="B2884" s="2" t="s">
        <v>202</v>
      </c>
      <c r="C2884" s="2" t="s">
        <v>64</v>
      </c>
      <c r="D2884" s="2" t="s">
        <v>10</v>
      </c>
      <c r="E2884" s="2" t="s">
        <v>14</v>
      </c>
      <c r="F2884" s="2">
        <v>4.6100000000000003</v>
      </c>
      <c r="G2884" s="2">
        <v>2</v>
      </c>
      <c r="H2884" s="2">
        <v>1.67</v>
      </c>
      <c r="I2884" t="str">
        <f t="shared" si="45"/>
        <v>Aug</v>
      </c>
      <c r="J2884">
        <f>YEAR(datas[[#This Row],[Order Date]])</f>
        <v>2022</v>
      </c>
    </row>
    <row r="2885" spans="1:10" ht="14.25" customHeight="1" x14ac:dyDescent="0.3">
      <c r="A2885" s="1">
        <v>44782</v>
      </c>
      <c r="B2885" s="2" t="s">
        <v>108</v>
      </c>
      <c r="C2885" s="2" t="s">
        <v>79</v>
      </c>
      <c r="D2885" s="2" t="s">
        <v>26</v>
      </c>
      <c r="E2885" s="2" t="s">
        <v>45</v>
      </c>
      <c r="F2885" s="2">
        <v>687.4</v>
      </c>
      <c r="G2885" s="2">
        <v>5</v>
      </c>
      <c r="H2885" s="2">
        <v>48.12</v>
      </c>
      <c r="I2885" t="str">
        <f t="shared" si="45"/>
        <v>Aug</v>
      </c>
      <c r="J2885">
        <f>YEAR(datas[[#This Row],[Order Date]])</f>
        <v>2022</v>
      </c>
    </row>
    <row r="2886" spans="1:10" ht="14.25" customHeight="1" x14ac:dyDescent="0.3">
      <c r="A2886" s="1">
        <v>44782</v>
      </c>
      <c r="B2886" s="2" t="s">
        <v>478</v>
      </c>
      <c r="C2886" s="2" t="s">
        <v>75</v>
      </c>
      <c r="D2886" s="2" t="s">
        <v>26</v>
      </c>
      <c r="E2886" s="2" t="s">
        <v>32</v>
      </c>
      <c r="F2886" s="2">
        <v>10.02</v>
      </c>
      <c r="G2886" s="2">
        <v>3</v>
      </c>
      <c r="H2886" s="2">
        <v>4.41</v>
      </c>
      <c r="I2886" t="str">
        <f t="shared" si="45"/>
        <v>Aug</v>
      </c>
      <c r="J2886">
        <f>YEAR(datas[[#This Row],[Order Date]])</f>
        <v>2022</v>
      </c>
    </row>
    <row r="2887" spans="1:10" ht="14.25" customHeight="1" x14ac:dyDescent="0.3">
      <c r="A2887" s="1">
        <v>44782</v>
      </c>
      <c r="B2887" s="2" t="s">
        <v>478</v>
      </c>
      <c r="C2887" s="2" t="s">
        <v>75</v>
      </c>
      <c r="D2887" s="2" t="s">
        <v>10</v>
      </c>
      <c r="E2887" s="2" t="s">
        <v>11</v>
      </c>
      <c r="F2887" s="2">
        <v>144.12</v>
      </c>
      <c r="G2887" s="2">
        <v>3</v>
      </c>
      <c r="H2887" s="2">
        <v>69.180000000000007</v>
      </c>
      <c r="I2887" t="str">
        <f t="shared" si="45"/>
        <v>Aug</v>
      </c>
      <c r="J2887">
        <f>YEAR(datas[[#This Row],[Order Date]])</f>
        <v>2022</v>
      </c>
    </row>
    <row r="2888" spans="1:10" ht="14.25" customHeight="1" x14ac:dyDescent="0.3">
      <c r="A2888" s="1">
        <v>44783</v>
      </c>
      <c r="B2888" s="2" t="s">
        <v>560</v>
      </c>
      <c r="C2888" s="2" t="s">
        <v>140</v>
      </c>
      <c r="D2888" s="2" t="s">
        <v>10</v>
      </c>
      <c r="E2888" s="2" t="s">
        <v>14</v>
      </c>
      <c r="F2888" s="2">
        <v>3.75</v>
      </c>
      <c r="G2888" s="2">
        <v>1</v>
      </c>
      <c r="H2888" s="2">
        <v>1.8</v>
      </c>
      <c r="I2888" t="str">
        <f t="shared" si="45"/>
        <v>Aug</v>
      </c>
      <c r="J2888">
        <f>YEAR(datas[[#This Row],[Order Date]])</f>
        <v>2022</v>
      </c>
    </row>
    <row r="2889" spans="1:10" ht="14.25" customHeight="1" x14ac:dyDescent="0.3">
      <c r="A2889" s="1">
        <v>44783</v>
      </c>
      <c r="B2889" s="2" t="s">
        <v>560</v>
      </c>
      <c r="C2889" s="2" t="s">
        <v>140</v>
      </c>
      <c r="D2889" s="2" t="s">
        <v>10</v>
      </c>
      <c r="E2889" s="2" t="s">
        <v>14</v>
      </c>
      <c r="F2889" s="2">
        <v>41.4</v>
      </c>
      <c r="G2889" s="2">
        <v>4</v>
      </c>
      <c r="H2889" s="2">
        <v>19.87</v>
      </c>
      <c r="I2889" t="str">
        <f t="shared" si="45"/>
        <v>Aug</v>
      </c>
      <c r="J2889">
        <f>YEAR(datas[[#This Row],[Order Date]])</f>
        <v>2022</v>
      </c>
    </row>
    <row r="2890" spans="1:10" ht="14.25" customHeight="1" x14ac:dyDescent="0.3">
      <c r="A2890" s="1">
        <v>44783</v>
      </c>
      <c r="B2890" s="2" t="s">
        <v>560</v>
      </c>
      <c r="C2890" s="2" t="s">
        <v>140</v>
      </c>
      <c r="D2890" s="2" t="s">
        <v>10</v>
      </c>
      <c r="E2890" s="2" t="s">
        <v>19</v>
      </c>
      <c r="F2890" s="2">
        <v>29.79</v>
      </c>
      <c r="G2890" s="2">
        <v>3</v>
      </c>
      <c r="H2890" s="2">
        <v>12.51</v>
      </c>
      <c r="I2890" t="str">
        <f t="shared" si="45"/>
        <v>Aug</v>
      </c>
      <c r="J2890">
        <f>YEAR(datas[[#This Row],[Order Date]])</f>
        <v>2022</v>
      </c>
    </row>
    <row r="2891" spans="1:10" ht="14.25" customHeight="1" x14ac:dyDescent="0.3">
      <c r="A2891" s="1">
        <v>44783</v>
      </c>
      <c r="B2891" s="2" t="s">
        <v>566</v>
      </c>
      <c r="C2891" s="2" t="s">
        <v>52</v>
      </c>
      <c r="D2891" s="2" t="s">
        <v>28</v>
      </c>
      <c r="E2891" s="2" t="s">
        <v>29</v>
      </c>
      <c r="F2891" s="2">
        <v>438.37</v>
      </c>
      <c r="G2891" s="2">
        <v>4</v>
      </c>
      <c r="H2891" s="2">
        <v>38.36</v>
      </c>
      <c r="I2891" t="str">
        <f t="shared" si="45"/>
        <v>Aug</v>
      </c>
      <c r="J2891">
        <f>YEAR(datas[[#This Row],[Order Date]])</f>
        <v>2022</v>
      </c>
    </row>
    <row r="2892" spans="1:10" ht="14.25" customHeight="1" x14ac:dyDescent="0.3">
      <c r="A2892" s="1">
        <v>44783</v>
      </c>
      <c r="B2892" s="2" t="s">
        <v>566</v>
      </c>
      <c r="C2892" s="2" t="s">
        <v>52</v>
      </c>
      <c r="D2892" s="2" t="s">
        <v>28</v>
      </c>
      <c r="E2892" s="2" t="s">
        <v>29</v>
      </c>
      <c r="F2892" s="2">
        <v>139.94</v>
      </c>
      <c r="G2892" s="2">
        <v>7</v>
      </c>
      <c r="H2892" s="2">
        <v>-31.49</v>
      </c>
      <c r="I2892" t="str">
        <f t="shared" si="45"/>
        <v>Aug</v>
      </c>
      <c r="J2892">
        <f>YEAR(datas[[#This Row],[Order Date]])</f>
        <v>2022</v>
      </c>
    </row>
    <row r="2893" spans="1:10" ht="14.25" customHeight="1" x14ac:dyDescent="0.3">
      <c r="A2893" s="1">
        <v>44783</v>
      </c>
      <c r="B2893" s="2" t="s">
        <v>566</v>
      </c>
      <c r="C2893" s="2" t="s">
        <v>52</v>
      </c>
      <c r="D2893" s="2" t="s">
        <v>10</v>
      </c>
      <c r="E2893" s="2" t="s">
        <v>53</v>
      </c>
      <c r="F2893" s="2">
        <v>133.47</v>
      </c>
      <c r="G2893" s="2">
        <v>4</v>
      </c>
      <c r="H2893" s="2">
        <v>15.02</v>
      </c>
      <c r="I2893" t="str">
        <f t="shared" si="45"/>
        <v>Aug</v>
      </c>
      <c r="J2893">
        <f>YEAR(datas[[#This Row],[Order Date]])</f>
        <v>2022</v>
      </c>
    </row>
    <row r="2894" spans="1:10" ht="14.25" customHeight="1" x14ac:dyDescent="0.3">
      <c r="A2894" s="1">
        <v>44783</v>
      </c>
      <c r="B2894" s="2" t="s">
        <v>722</v>
      </c>
      <c r="C2894" s="2" t="s">
        <v>60</v>
      </c>
      <c r="D2894" s="2" t="s">
        <v>10</v>
      </c>
      <c r="E2894" s="2" t="s">
        <v>16</v>
      </c>
      <c r="F2894" s="2">
        <v>64.75</v>
      </c>
      <c r="G2894" s="2">
        <v>5</v>
      </c>
      <c r="H2894" s="2">
        <v>29.14</v>
      </c>
      <c r="I2894" t="str">
        <f t="shared" si="45"/>
        <v>Aug</v>
      </c>
      <c r="J2894">
        <f>YEAR(datas[[#This Row],[Order Date]])</f>
        <v>2022</v>
      </c>
    </row>
    <row r="2895" spans="1:10" ht="14.25" customHeight="1" x14ac:dyDescent="0.3">
      <c r="A2895" s="1">
        <v>44784</v>
      </c>
      <c r="B2895" s="2" t="s">
        <v>287</v>
      </c>
      <c r="C2895" s="2" t="s">
        <v>115</v>
      </c>
      <c r="D2895" s="2" t="s">
        <v>26</v>
      </c>
      <c r="E2895" s="2" t="s">
        <v>32</v>
      </c>
      <c r="F2895" s="2">
        <v>46.15</v>
      </c>
      <c r="G2895" s="2">
        <v>3</v>
      </c>
      <c r="H2895" s="2">
        <v>12.11</v>
      </c>
      <c r="I2895" t="str">
        <f t="shared" si="45"/>
        <v>Aug</v>
      </c>
      <c r="J2895">
        <f>YEAR(datas[[#This Row],[Order Date]])</f>
        <v>2022</v>
      </c>
    </row>
    <row r="2896" spans="1:10" ht="14.25" customHeight="1" x14ac:dyDescent="0.3">
      <c r="A2896" s="1">
        <v>44784</v>
      </c>
      <c r="B2896" s="2" t="s">
        <v>748</v>
      </c>
      <c r="C2896" s="2" t="s">
        <v>75</v>
      </c>
      <c r="D2896" s="2" t="s">
        <v>10</v>
      </c>
      <c r="E2896" s="2" t="s">
        <v>19</v>
      </c>
      <c r="F2896" s="2">
        <v>11.96</v>
      </c>
      <c r="G2896" s="2">
        <v>2</v>
      </c>
      <c r="H2896" s="2">
        <v>3.11</v>
      </c>
      <c r="I2896" t="str">
        <f t="shared" si="45"/>
        <v>Aug</v>
      </c>
      <c r="J2896">
        <f>YEAR(datas[[#This Row],[Order Date]])</f>
        <v>2022</v>
      </c>
    </row>
    <row r="2897" spans="1:10" ht="14.25" customHeight="1" x14ac:dyDescent="0.3">
      <c r="A2897" s="1">
        <v>44784</v>
      </c>
      <c r="B2897" s="2" t="s">
        <v>748</v>
      </c>
      <c r="C2897" s="2" t="s">
        <v>75</v>
      </c>
      <c r="D2897" s="2" t="s">
        <v>28</v>
      </c>
      <c r="E2897" s="2" t="s">
        <v>29</v>
      </c>
      <c r="F2897" s="2">
        <v>138</v>
      </c>
      <c r="G2897" s="2">
        <v>2</v>
      </c>
      <c r="H2897" s="2">
        <v>34.5</v>
      </c>
      <c r="I2897" t="str">
        <f t="shared" si="45"/>
        <v>Aug</v>
      </c>
      <c r="J2897">
        <f>YEAR(datas[[#This Row],[Order Date]])</f>
        <v>2022</v>
      </c>
    </row>
    <row r="2898" spans="1:10" ht="14.25" customHeight="1" x14ac:dyDescent="0.3">
      <c r="A2898" s="1">
        <v>44786</v>
      </c>
      <c r="B2898" s="2" t="s">
        <v>473</v>
      </c>
      <c r="C2898" s="2" t="s">
        <v>21</v>
      </c>
      <c r="D2898" s="2" t="s">
        <v>10</v>
      </c>
      <c r="E2898" s="2" t="s">
        <v>19</v>
      </c>
      <c r="F2898" s="2">
        <v>50.8</v>
      </c>
      <c r="G2898" s="2">
        <v>5</v>
      </c>
      <c r="H2898" s="2">
        <v>13.21</v>
      </c>
      <c r="I2898" t="str">
        <f t="shared" si="45"/>
        <v>Aug</v>
      </c>
      <c r="J2898">
        <f>YEAR(datas[[#This Row],[Order Date]])</f>
        <v>2022</v>
      </c>
    </row>
    <row r="2899" spans="1:10" ht="14.25" customHeight="1" x14ac:dyDescent="0.3">
      <c r="A2899" s="1">
        <v>44786</v>
      </c>
      <c r="B2899" s="2" t="s">
        <v>656</v>
      </c>
      <c r="C2899" s="2" t="s">
        <v>23</v>
      </c>
      <c r="D2899" s="2" t="s">
        <v>10</v>
      </c>
      <c r="E2899" s="2" t="s">
        <v>16</v>
      </c>
      <c r="F2899" s="2">
        <v>5.64</v>
      </c>
      <c r="G2899" s="2">
        <v>3</v>
      </c>
      <c r="H2899" s="2">
        <v>2.71</v>
      </c>
      <c r="I2899" t="str">
        <f t="shared" si="45"/>
        <v>Aug</v>
      </c>
      <c r="J2899">
        <f>YEAR(datas[[#This Row],[Order Date]])</f>
        <v>2022</v>
      </c>
    </row>
    <row r="2900" spans="1:10" ht="14.25" customHeight="1" x14ac:dyDescent="0.3">
      <c r="A2900" s="1">
        <v>44786</v>
      </c>
      <c r="B2900" s="2" t="s">
        <v>637</v>
      </c>
      <c r="C2900" s="2" t="s">
        <v>68</v>
      </c>
      <c r="D2900" s="2" t="s">
        <v>10</v>
      </c>
      <c r="E2900" s="2" t="s">
        <v>16</v>
      </c>
      <c r="F2900" s="2">
        <v>11.36</v>
      </c>
      <c r="G2900" s="2">
        <v>4</v>
      </c>
      <c r="H2900" s="2">
        <v>5.57</v>
      </c>
      <c r="I2900" t="str">
        <f t="shared" si="45"/>
        <v>Aug</v>
      </c>
      <c r="J2900">
        <f>YEAR(datas[[#This Row],[Order Date]])</f>
        <v>2022</v>
      </c>
    </row>
    <row r="2901" spans="1:10" ht="14.25" customHeight="1" x14ac:dyDescent="0.3">
      <c r="A2901" s="1">
        <v>44786</v>
      </c>
      <c r="B2901" s="2" t="s">
        <v>72</v>
      </c>
      <c r="C2901" s="2" t="s">
        <v>18</v>
      </c>
      <c r="D2901" s="2" t="s">
        <v>10</v>
      </c>
      <c r="E2901" s="2" t="s">
        <v>15</v>
      </c>
      <c r="F2901" s="2">
        <v>422.86</v>
      </c>
      <c r="G2901" s="2">
        <v>3</v>
      </c>
      <c r="H2901" s="2">
        <v>15.86</v>
      </c>
      <c r="I2901" t="str">
        <f t="shared" si="45"/>
        <v>Aug</v>
      </c>
      <c r="J2901">
        <f>YEAR(datas[[#This Row],[Order Date]])</f>
        <v>2022</v>
      </c>
    </row>
    <row r="2902" spans="1:10" ht="14.25" customHeight="1" x14ac:dyDescent="0.3">
      <c r="A2902" s="1">
        <v>44786</v>
      </c>
      <c r="B2902" s="2" t="s">
        <v>464</v>
      </c>
      <c r="C2902" s="2" t="s">
        <v>21</v>
      </c>
      <c r="D2902" s="2" t="s">
        <v>26</v>
      </c>
      <c r="E2902" s="2" t="s">
        <v>32</v>
      </c>
      <c r="F2902" s="2">
        <v>31.56</v>
      </c>
      <c r="G2902" s="2">
        <v>3</v>
      </c>
      <c r="H2902" s="2">
        <v>10.41</v>
      </c>
      <c r="I2902" t="str">
        <f t="shared" si="45"/>
        <v>Aug</v>
      </c>
      <c r="J2902">
        <f>YEAR(datas[[#This Row],[Order Date]])</f>
        <v>2022</v>
      </c>
    </row>
    <row r="2903" spans="1:10" ht="14.25" customHeight="1" x14ac:dyDescent="0.3">
      <c r="A2903" s="1">
        <v>44786</v>
      </c>
      <c r="B2903" s="2" t="s">
        <v>339</v>
      </c>
      <c r="C2903" s="2" t="s">
        <v>115</v>
      </c>
      <c r="D2903" s="2" t="s">
        <v>10</v>
      </c>
      <c r="E2903" s="2" t="s">
        <v>19</v>
      </c>
      <c r="F2903" s="2">
        <v>64.680000000000007</v>
      </c>
      <c r="G2903" s="2">
        <v>7</v>
      </c>
      <c r="H2903" s="2">
        <v>8.09</v>
      </c>
      <c r="I2903" t="str">
        <f t="shared" si="45"/>
        <v>Aug</v>
      </c>
      <c r="J2903">
        <f>YEAR(datas[[#This Row],[Order Date]])</f>
        <v>2022</v>
      </c>
    </row>
    <row r="2904" spans="1:10" ht="14.25" customHeight="1" x14ac:dyDescent="0.3">
      <c r="A2904" s="1">
        <v>44788</v>
      </c>
      <c r="B2904" s="2" t="s">
        <v>749</v>
      </c>
      <c r="C2904" s="2" t="s">
        <v>21</v>
      </c>
      <c r="D2904" s="2" t="s">
        <v>10</v>
      </c>
      <c r="E2904" s="2" t="s">
        <v>15</v>
      </c>
      <c r="F2904" s="2">
        <v>323.10000000000002</v>
      </c>
      <c r="G2904" s="2">
        <v>2</v>
      </c>
      <c r="H2904" s="2">
        <v>61.39</v>
      </c>
      <c r="I2904" t="str">
        <f t="shared" si="45"/>
        <v>Aug</v>
      </c>
      <c r="J2904">
        <f>YEAR(datas[[#This Row],[Order Date]])</f>
        <v>2022</v>
      </c>
    </row>
    <row r="2905" spans="1:10" ht="14.25" customHeight="1" x14ac:dyDescent="0.3">
      <c r="A2905" s="1">
        <v>44788</v>
      </c>
      <c r="B2905" s="2" t="s">
        <v>305</v>
      </c>
      <c r="C2905" s="2" t="s">
        <v>21</v>
      </c>
      <c r="D2905" s="2" t="s">
        <v>26</v>
      </c>
      <c r="E2905" s="2" t="s">
        <v>32</v>
      </c>
      <c r="F2905" s="2">
        <v>104.23</v>
      </c>
      <c r="G2905" s="2">
        <v>7</v>
      </c>
      <c r="H2905" s="2">
        <v>28.14</v>
      </c>
      <c r="I2905" t="str">
        <f t="shared" si="45"/>
        <v>Aug</v>
      </c>
      <c r="J2905">
        <f>YEAR(datas[[#This Row],[Order Date]])</f>
        <v>2022</v>
      </c>
    </row>
    <row r="2906" spans="1:10" ht="14.25" customHeight="1" x14ac:dyDescent="0.3">
      <c r="A2906" s="1">
        <v>44788</v>
      </c>
      <c r="B2906" s="2" t="s">
        <v>305</v>
      </c>
      <c r="C2906" s="2" t="s">
        <v>21</v>
      </c>
      <c r="D2906" s="2" t="s">
        <v>10</v>
      </c>
      <c r="E2906" s="2" t="s">
        <v>15</v>
      </c>
      <c r="F2906" s="2">
        <v>70.260000000000005</v>
      </c>
      <c r="G2906" s="2">
        <v>3</v>
      </c>
      <c r="H2906" s="2">
        <v>18.97</v>
      </c>
      <c r="I2906" t="str">
        <f t="shared" si="45"/>
        <v>Aug</v>
      </c>
      <c r="J2906">
        <f>YEAR(datas[[#This Row],[Order Date]])</f>
        <v>2022</v>
      </c>
    </row>
    <row r="2907" spans="1:10" ht="14.25" customHeight="1" x14ac:dyDescent="0.3">
      <c r="A2907" s="1">
        <v>44789</v>
      </c>
      <c r="B2907" s="2" t="s">
        <v>594</v>
      </c>
      <c r="C2907" s="2" t="s">
        <v>55</v>
      </c>
      <c r="D2907" s="2" t="s">
        <v>10</v>
      </c>
      <c r="E2907" s="2" t="s">
        <v>19</v>
      </c>
      <c r="F2907" s="2">
        <v>2.2999999999999998</v>
      </c>
      <c r="G2907" s="2">
        <v>1</v>
      </c>
      <c r="H2907" s="2">
        <v>0.26</v>
      </c>
      <c r="I2907" t="str">
        <f t="shared" si="45"/>
        <v>Aug</v>
      </c>
      <c r="J2907">
        <f>YEAR(datas[[#This Row],[Order Date]])</f>
        <v>2022</v>
      </c>
    </row>
    <row r="2908" spans="1:10" ht="14.25" customHeight="1" x14ac:dyDescent="0.3">
      <c r="A2908" s="1">
        <v>44789</v>
      </c>
      <c r="B2908" s="2" t="s">
        <v>594</v>
      </c>
      <c r="C2908" s="2" t="s">
        <v>55</v>
      </c>
      <c r="D2908" s="2" t="s">
        <v>28</v>
      </c>
      <c r="E2908" s="2" t="s">
        <v>29</v>
      </c>
      <c r="F2908" s="2">
        <v>1879.96</v>
      </c>
      <c r="G2908" s="2">
        <v>5</v>
      </c>
      <c r="H2908" s="2">
        <v>211.5</v>
      </c>
      <c r="I2908" t="str">
        <f t="shared" si="45"/>
        <v>Aug</v>
      </c>
      <c r="J2908">
        <f>YEAR(datas[[#This Row],[Order Date]])</f>
        <v>2022</v>
      </c>
    </row>
    <row r="2909" spans="1:10" ht="14.25" customHeight="1" x14ac:dyDescent="0.3">
      <c r="A2909" s="1">
        <v>44789</v>
      </c>
      <c r="B2909" s="2" t="s">
        <v>594</v>
      </c>
      <c r="C2909" s="2" t="s">
        <v>55</v>
      </c>
      <c r="D2909" s="2" t="s">
        <v>10</v>
      </c>
      <c r="E2909" s="2" t="s">
        <v>11</v>
      </c>
      <c r="F2909" s="2">
        <v>313.02</v>
      </c>
      <c r="G2909" s="2">
        <v>8</v>
      </c>
      <c r="H2909" s="2">
        <v>105.65</v>
      </c>
      <c r="I2909" t="str">
        <f t="shared" si="45"/>
        <v>Aug</v>
      </c>
      <c r="J2909">
        <f>YEAR(datas[[#This Row],[Order Date]])</f>
        <v>2022</v>
      </c>
    </row>
    <row r="2910" spans="1:10" ht="14.25" customHeight="1" x14ac:dyDescent="0.3">
      <c r="A2910" s="1">
        <v>44789</v>
      </c>
      <c r="B2910" s="2" t="s">
        <v>594</v>
      </c>
      <c r="C2910" s="2" t="s">
        <v>55</v>
      </c>
      <c r="D2910" s="2" t="s">
        <v>10</v>
      </c>
      <c r="E2910" s="2" t="s">
        <v>14</v>
      </c>
      <c r="F2910" s="2">
        <v>5.04</v>
      </c>
      <c r="G2910" s="2">
        <v>2</v>
      </c>
      <c r="H2910" s="2">
        <v>1.76</v>
      </c>
      <c r="I2910" t="str">
        <f t="shared" si="45"/>
        <v>Aug</v>
      </c>
      <c r="J2910">
        <f>YEAR(datas[[#This Row],[Order Date]])</f>
        <v>2022</v>
      </c>
    </row>
    <row r="2911" spans="1:10" ht="14.25" customHeight="1" x14ac:dyDescent="0.3">
      <c r="A2911" s="1">
        <v>44789</v>
      </c>
      <c r="B2911" s="2" t="s">
        <v>641</v>
      </c>
      <c r="C2911" s="2" t="s">
        <v>18</v>
      </c>
      <c r="D2911" s="2" t="s">
        <v>28</v>
      </c>
      <c r="E2911" s="2" t="s">
        <v>29</v>
      </c>
      <c r="F2911" s="2">
        <v>519.79</v>
      </c>
      <c r="G2911" s="2">
        <v>4</v>
      </c>
      <c r="H2911" s="2">
        <v>-112.62</v>
      </c>
      <c r="I2911" t="str">
        <f t="shared" si="45"/>
        <v>Aug</v>
      </c>
      <c r="J2911">
        <f>YEAR(datas[[#This Row],[Order Date]])</f>
        <v>2022</v>
      </c>
    </row>
    <row r="2912" spans="1:10" ht="14.25" customHeight="1" x14ac:dyDescent="0.3">
      <c r="A2912" s="1">
        <v>44789</v>
      </c>
      <c r="B2912" s="2" t="s">
        <v>641</v>
      </c>
      <c r="C2912" s="2" t="s">
        <v>18</v>
      </c>
      <c r="D2912" s="2" t="s">
        <v>28</v>
      </c>
      <c r="E2912" s="2" t="s">
        <v>34</v>
      </c>
      <c r="F2912" s="2">
        <v>31.18</v>
      </c>
      <c r="G2912" s="2">
        <v>3</v>
      </c>
      <c r="H2912" s="2">
        <v>-5.46</v>
      </c>
      <c r="I2912" t="str">
        <f t="shared" si="45"/>
        <v>Aug</v>
      </c>
      <c r="J2912">
        <f>YEAR(datas[[#This Row],[Order Date]])</f>
        <v>2022</v>
      </c>
    </row>
    <row r="2913" spans="1:10" ht="14.25" customHeight="1" x14ac:dyDescent="0.3">
      <c r="A2913" s="1">
        <v>44789</v>
      </c>
      <c r="B2913" s="2" t="s">
        <v>641</v>
      </c>
      <c r="C2913" s="2" t="s">
        <v>18</v>
      </c>
      <c r="D2913" s="2" t="s">
        <v>10</v>
      </c>
      <c r="E2913" s="2" t="s">
        <v>11</v>
      </c>
      <c r="F2913" s="2">
        <v>10.37</v>
      </c>
      <c r="G2913" s="2">
        <v>2</v>
      </c>
      <c r="H2913" s="2">
        <v>3.63</v>
      </c>
      <c r="I2913" t="str">
        <f t="shared" si="45"/>
        <v>Aug</v>
      </c>
      <c r="J2913">
        <f>YEAR(datas[[#This Row],[Order Date]])</f>
        <v>2022</v>
      </c>
    </row>
    <row r="2914" spans="1:10" ht="14.25" customHeight="1" x14ac:dyDescent="0.3">
      <c r="A2914" s="1">
        <v>44789</v>
      </c>
      <c r="B2914" s="2" t="s">
        <v>641</v>
      </c>
      <c r="C2914" s="2" t="s">
        <v>18</v>
      </c>
      <c r="D2914" s="2" t="s">
        <v>10</v>
      </c>
      <c r="E2914" s="2" t="s">
        <v>16</v>
      </c>
      <c r="F2914" s="2">
        <v>2.72</v>
      </c>
      <c r="G2914" s="2">
        <v>2</v>
      </c>
      <c r="H2914" s="2">
        <v>-1.91</v>
      </c>
      <c r="I2914" t="str">
        <f t="shared" si="45"/>
        <v>Aug</v>
      </c>
      <c r="J2914">
        <f>YEAR(datas[[#This Row],[Order Date]])</f>
        <v>2022</v>
      </c>
    </row>
    <row r="2915" spans="1:10" ht="14.25" customHeight="1" x14ac:dyDescent="0.3">
      <c r="A2915" s="1">
        <v>44789</v>
      </c>
      <c r="B2915" s="2" t="s">
        <v>641</v>
      </c>
      <c r="C2915" s="2" t="s">
        <v>18</v>
      </c>
      <c r="D2915" s="2" t="s">
        <v>26</v>
      </c>
      <c r="E2915" s="2" t="s">
        <v>32</v>
      </c>
      <c r="F2915" s="2">
        <v>254.35</v>
      </c>
      <c r="G2915" s="2">
        <v>3</v>
      </c>
      <c r="H2915" s="2">
        <v>0</v>
      </c>
      <c r="I2915" t="str">
        <f t="shared" si="45"/>
        <v>Aug</v>
      </c>
      <c r="J2915">
        <f>YEAR(datas[[#This Row],[Order Date]])</f>
        <v>2022</v>
      </c>
    </row>
    <row r="2916" spans="1:10" ht="14.25" customHeight="1" x14ac:dyDescent="0.3">
      <c r="A2916" s="1">
        <v>44789</v>
      </c>
      <c r="B2916" s="2" t="s">
        <v>641</v>
      </c>
      <c r="C2916" s="2" t="s">
        <v>18</v>
      </c>
      <c r="D2916" s="2" t="s">
        <v>10</v>
      </c>
      <c r="E2916" s="2" t="s">
        <v>16</v>
      </c>
      <c r="F2916" s="2">
        <v>3.76</v>
      </c>
      <c r="G2916" s="2">
        <v>3</v>
      </c>
      <c r="H2916" s="2">
        <v>-2.76</v>
      </c>
      <c r="I2916" t="str">
        <f t="shared" si="45"/>
        <v>Aug</v>
      </c>
      <c r="J2916">
        <f>YEAR(datas[[#This Row],[Order Date]])</f>
        <v>2022</v>
      </c>
    </row>
    <row r="2917" spans="1:10" ht="14.25" customHeight="1" x14ac:dyDescent="0.3">
      <c r="A2917" s="1">
        <v>44789</v>
      </c>
      <c r="B2917" s="2" t="s">
        <v>641</v>
      </c>
      <c r="C2917" s="2" t="s">
        <v>18</v>
      </c>
      <c r="D2917" s="2" t="s">
        <v>10</v>
      </c>
      <c r="E2917" s="2" t="s">
        <v>11</v>
      </c>
      <c r="F2917" s="2">
        <v>10.27</v>
      </c>
      <c r="G2917" s="2">
        <v>3</v>
      </c>
      <c r="H2917" s="2">
        <v>3.21</v>
      </c>
      <c r="I2917" t="str">
        <f t="shared" si="45"/>
        <v>Aug</v>
      </c>
      <c r="J2917">
        <f>YEAR(datas[[#This Row],[Order Date]])</f>
        <v>2022</v>
      </c>
    </row>
    <row r="2918" spans="1:10" ht="14.25" customHeight="1" x14ac:dyDescent="0.3">
      <c r="A2918" s="1">
        <v>44789</v>
      </c>
      <c r="B2918" s="2" t="s">
        <v>750</v>
      </c>
      <c r="C2918" s="2" t="s">
        <v>18</v>
      </c>
      <c r="D2918" s="2" t="s">
        <v>10</v>
      </c>
      <c r="E2918" s="2" t="s">
        <v>15</v>
      </c>
      <c r="F2918" s="2">
        <v>44.69</v>
      </c>
      <c r="G2918" s="2">
        <v>7</v>
      </c>
      <c r="H2918" s="2">
        <v>3.35</v>
      </c>
      <c r="I2918" t="str">
        <f t="shared" si="45"/>
        <v>Aug</v>
      </c>
      <c r="J2918">
        <f>YEAR(datas[[#This Row],[Order Date]])</f>
        <v>2022</v>
      </c>
    </row>
    <row r="2919" spans="1:10" ht="14.25" customHeight="1" x14ac:dyDescent="0.3">
      <c r="A2919" s="1">
        <v>44789</v>
      </c>
      <c r="B2919" s="2" t="s">
        <v>750</v>
      </c>
      <c r="C2919" s="2" t="s">
        <v>18</v>
      </c>
      <c r="D2919" s="2" t="s">
        <v>26</v>
      </c>
      <c r="E2919" s="2" t="s">
        <v>45</v>
      </c>
      <c r="F2919" s="2">
        <v>301.47000000000003</v>
      </c>
      <c r="G2919" s="2">
        <v>3</v>
      </c>
      <c r="H2919" s="2">
        <v>-205</v>
      </c>
      <c r="I2919" t="str">
        <f t="shared" si="45"/>
        <v>Aug</v>
      </c>
      <c r="J2919">
        <f>YEAR(datas[[#This Row],[Order Date]])</f>
        <v>2022</v>
      </c>
    </row>
    <row r="2920" spans="1:10" ht="14.25" customHeight="1" x14ac:dyDescent="0.3">
      <c r="A2920" s="1">
        <v>44790</v>
      </c>
      <c r="B2920" s="2" t="s">
        <v>751</v>
      </c>
      <c r="C2920" s="2" t="s">
        <v>181</v>
      </c>
      <c r="D2920" s="2" t="s">
        <v>10</v>
      </c>
      <c r="E2920" s="2" t="s">
        <v>16</v>
      </c>
      <c r="F2920" s="2">
        <v>52.2</v>
      </c>
      <c r="G2920" s="2">
        <v>9</v>
      </c>
      <c r="H2920" s="2">
        <v>23.49</v>
      </c>
      <c r="I2920" t="str">
        <f t="shared" si="45"/>
        <v>Aug</v>
      </c>
      <c r="J2920">
        <f>YEAR(datas[[#This Row],[Order Date]])</f>
        <v>2022</v>
      </c>
    </row>
    <row r="2921" spans="1:10" ht="14.25" customHeight="1" x14ac:dyDescent="0.3">
      <c r="A2921" s="1">
        <v>44790</v>
      </c>
      <c r="B2921" s="2" t="s">
        <v>303</v>
      </c>
      <c r="C2921" s="2" t="s">
        <v>55</v>
      </c>
      <c r="D2921" s="2" t="s">
        <v>28</v>
      </c>
      <c r="E2921" s="2" t="s">
        <v>34</v>
      </c>
      <c r="F2921" s="2">
        <v>30.08</v>
      </c>
      <c r="G2921" s="2">
        <v>2</v>
      </c>
      <c r="H2921" s="2">
        <v>-5.26</v>
      </c>
      <c r="I2921" t="str">
        <f t="shared" si="45"/>
        <v>Aug</v>
      </c>
      <c r="J2921">
        <f>YEAR(datas[[#This Row],[Order Date]])</f>
        <v>2022</v>
      </c>
    </row>
    <row r="2922" spans="1:10" ht="14.25" customHeight="1" x14ac:dyDescent="0.3">
      <c r="A2922" s="1">
        <v>44790</v>
      </c>
      <c r="B2922" s="2" t="s">
        <v>303</v>
      </c>
      <c r="C2922" s="2" t="s">
        <v>55</v>
      </c>
      <c r="D2922" s="2" t="s">
        <v>10</v>
      </c>
      <c r="E2922" s="2" t="s">
        <v>11</v>
      </c>
      <c r="F2922" s="2">
        <v>36.29</v>
      </c>
      <c r="G2922" s="2">
        <v>7</v>
      </c>
      <c r="H2922" s="2">
        <v>12.7</v>
      </c>
      <c r="I2922" t="str">
        <f t="shared" si="45"/>
        <v>Aug</v>
      </c>
      <c r="J2922">
        <f>YEAR(datas[[#This Row],[Order Date]])</f>
        <v>2022</v>
      </c>
    </row>
    <row r="2923" spans="1:10" ht="14.25" customHeight="1" x14ac:dyDescent="0.3">
      <c r="A2923" s="1">
        <v>44790</v>
      </c>
      <c r="B2923" s="2" t="s">
        <v>303</v>
      </c>
      <c r="C2923" s="2" t="s">
        <v>55</v>
      </c>
      <c r="D2923" s="2" t="s">
        <v>10</v>
      </c>
      <c r="E2923" s="2" t="s">
        <v>19</v>
      </c>
      <c r="F2923" s="2">
        <v>10.27</v>
      </c>
      <c r="G2923" s="2">
        <v>3</v>
      </c>
      <c r="H2923" s="2">
        <v>1.1599999999999999</v>
      </c>
      <c r="I2923" t="str">
        <f t="shared" si="45"/>
        <v>Aug</v>
      </c>
      <c r="J2923">
        <f>YEAR(datas[[#This Row],[Order Date]])</f>
        <v>2022</v>
      </c>
    </row>
    <row r="2924" spans="1:10" ht="14.25" customHeight="1" x14ac:dyDescent="0.3">
      <c r="A2924" s="1">
        <v>44790</v>
      </c>
      <c r="B2924" s="2" t="s">
        <v>303</v>
      </c>
      <c r="C2924" s="2" t="s">
        <v>55</v>
      </c>
      <c r="D2924" s="2" t="s">
        <v>28</v>
      </c>
      <c r="E2924" s="2" t="s">
        <v>34</v>
      </c>
      <c r="F2924" s="2">
        <v>252.8</v>
      </c>
      <c r="G2924" s="2">
        <v>4</v>
      </c>
      <c r="H2924" s="2">
        <v>-31.6</v>
      </c>
      <c r="I2924" t="str">
        <f t="shared" si="45"/>
        <v>Aug</v>
      </c>
      <c r="J2924">
        <f>YEAR(datas[[#This Row],[Order Date]])</f>
        <v>2022</v>
      </c>
    </row>
    <row r="2925" spans="1:10" ht="14.25" customHeight="1" x14ac:dyDescent="0.3">
      <c r="A2925" s="1">
        <v>44794</v>
      </c>
      <c r="B2925" s="2" t="s">
        <v>396</v>
      </c>
      <c r="C2925" s="2" t="s">
        <v>21</v>
      </c>
      <c r="D2925" s="2" t="s">
        <v>26</v>
      </c>
      <c r="E2925" s="2" t="s">
        <v>27</v>
      </c>
      <c r="F2925" s="2">
        <v>544.01</v>
      </c>
      <c r="G2925" s="2">
        <v>3</v>
      </c>
      <c r="H2925" s="2">
        <v>40.799999999999997</v>
      </c>
      <c r="I2925" t="str">
        <f t="shared" si="45"/>
        <v>Aug</v>
      </c>
      <c r="J2925">
        <f>YEAR(datas[[#This Row],[Order Date]])</f>
        <v>2022</v>
      </c>
    </row>
    <row r="2926" spans="1:10" ht="14.25" customHeight="1" x14ac:dyDescent="0.3">
      <c r="A2926" s="1">
        <v>44794</v>
      </c>
      <c r="B2926" s="2" t="s">
        <v>396</v>
      </c>
      <c r="C2926" s="2" t="s">
        <v>21</v>
      </c>
      <c r="D2926" s="2" t="s">
        <v>10</v>
      </c>
      <c r="E2926" s="2" t="s">
        <v>11</v>
      </c>
      <c r="F2926" s="2">
        <v>59.94</v>
      </c>
      <c r="G2926" s="2">
        <v>3</v>
      </c>
      <c r="H2926" s="2">
        <v>28.17</v>
      </c>
      <c r="I2926" t="str">
        <f t="shared" si="45"/>
        <v>Aug</v>
      </c>
      <c r="J2926">
        <f>YEAR(datas[[#This Row],[Order Date]])</f>
        <v>2022</v>
      </c>
    </row>
    <row r="2927" spans="1:10" ht="14.25" customHeight="1" x14ac:dyDescent="0.3">
      <c r="A2927" s="1">
        <v>44794</v>
      </c>
      <c r="B2927" s="2" t="s">
        <v>396</v>
      </c>
      <c r="C2927" s="2" t="s">
        <v>21</v>
      </c>
      <c r="D2927" s="2" t="s">
        <v>10</v>
      </c>
      <c r="E2927" s="2" t="s">
        <v>11</v>
      </c>
      <c r="F2927" s="2">
        <v>23.92</v>
      </c>
      <c r="G2927" s="2">
        <v>4</v>
      </c>
      <c r="H2927" s="2">
        <v>11.72</v>
      </c>
      <c r="I2927" t="str">
        <f t="shared" si="45"/>
        <v>Aug</v>
      </c>
      <c r="J2927">
        <f>YEAR(datas[[#This Row],[Order Date]])</f>
        <v>2022</v>
      </c>
    </row>
    <row r="2928" spans="1:10" ht="14.25" customHeight="1" x14ac:dyDescent="0.3">
      <c r="A2928" s="1">
        <v>44794</v>
      </c>
      <c r="B2928" s="2" t="s">
        <v>396</v>
      </c>
      <c r="C2928" s="2" t="s">
        <v>21</v>
      </c>
      <c r="D2928" s="2" t="s">
        <v>10</v>
      </c>
      <c r="E2928" s="2" t="s">
        <v>11</v>
      </c>
      <c r="F2928" s="2">
        <v>4.28</v>
      </c>
      <c r="G2928" s="2">
        <v>1</v>
      </c>
      <c r="H2928" s="2">
        <v>1.93</v>
      </c>
      <c r="I2928" t="str">
        <f t="shared" si="45"/>
        <v>Aug</v>
      </c>
      <c r="J2928">
        <f>YEAR(datas[[#This Row],[Order Date]])</f>
        <v>2022</v>
      </c>
    </row>
    <row r="2929" spans="1:10" ht="14.25" customHeight="1" x14ac:dyDescent="0.3">
      <c r="A2929" s="1">
        <v>44794</v>
      </c>
      <c r="B2929" s="2" t="s">
        <v>235</v>
      </c>
      <c r="C2929" s="2" t="s">
        <v>21</v>
      </c>
      <c r="D2929" s="2" t="s">
        <v>26</v>
      </c>
      <c r="E2929" s="2" t="s">
        <v>45</v>
      </c>
      <c r="F2929" s="2">
        <v>586.4</v>
      </c>
      <c r="G2929" s="2">
        <v>6</v>
      </c>
      <c r="H2929" s="2">
        <v>34.49</v>
      </c>
      <c r="I2929" t="str">
        <f t="shared" si="45"/>
        <v>Aug</v>
      </c>
      <c r="J2929">
        <f>YEAR(datas[[#This Row],[Order Date]])</f>
        <v>2022</v>
      </c>
    </row>
    <row r="2930" spans="1:10" ht="14.25" customHeight="1" x14ac:dyDescent="0.3">
      <c r="A2930" s="1">
        <v>44794</v>
      </c>
      <c r="B2930" s="2" t="s">
        <v>235</v>
      </c>
      <c r="C2930" s="2" t="s">
        <v>21</v>
      </c>
      <c r="D2930" s="2" t="s">
        <v>10</v>
      </c>
      <c r="E2930" s="2" t="s">
        <v>15</v>
      </c>
      <c r="F2930" s="2">
        <v>80.98</v>
      </c>
      <c r="G2930" s="2">
        <v>1</v>
      </c>
      <c r="H2930" s="2">
        <v>3.24</v>
      </c>
      <c r="I2930" t="str">
        <f t="shared" si="45"/>
        <v>Aug</v>
      </c>
      <c r="J2930">
        <f>YEAR(datas[[#This Row],[Order Date]])</f>
        <v>2022</v>
      </c>
    </row>
    <row r="2931" spans="1:10" ht="14.25" customHeight="1" x14ac:dyDescent="0.3">
      <c r="A2931" s="1">
        <v>44794</v>
      </c>
      <c r="B2931" s="2" t="s">
        <v>621</v>
      </c>
      <c r="C2931" s="2" t="s">
        <v>47</v>
      </c>
      <c r="D2931" s="2" t="s">
        <v>10</v>
      </c>
      <c r="E2931" s="2" t="s">
        <v>16</v>
      </c>
      <c r="F2931" s="2">
        <v>12.83</v>
      </c>
      <c r="G2931" s="2">
        <v>2</v>
      </c>
      <c r="H2931" s="2">
        <v>-8.98</v>
      </c>
      <c r="I2931" t="str">
        <f t="shared" si="45"/>
        <v>Aug</v>
      </c>
      <c r="J2931">
        <f>YEAR(datas[[#This Row],[Order Date]])</f>
        <v>2022</v>
      </c>
    </row>
    <row r="2932" spans="1:10" ht="14.25" customHeight="1" x14ac:dyDescent="0.3">
      <c r="A2932" s="1">
        <v>44794</v>
      </c>
      <c r="B2932" s="2" t="s">
        <v>621</v>
      </c>
      <c r="C2932" s="2" t="s">
        <v>47</v>
      </c>
      <c r="D2932" s="2" t="s">
        <v>26</v>
      </c>
      <c r="E2932" s="2" t="s">
        <v>27</v>
      </c>
      <c r="F2932" s="2">
        <v>598.46</v>
      </c>
      <c r="G2932" s="2">
        <v>3</v>
      </c>
      <c r="H2932" s="2">
        <v>-42.75</v>
      </c>
      <c r="I2932" t="str">
        <f t="shared" si="45"/>
        <v>Aug</v>
      </c>
      <c r="J2932">
        <f>YEAR(datas[[#This Row],[Order Date]])</f>
        <v>2022</v>
      </c>
    </row>
    <row r="2933" spans="1:10" ht="14.25" customHeight="1" x14ac:dyDescent="0.3">
      <c r="A2933" s="1">
        <v>44794</v>
      </c>
      <c r="B2933" s="2" t="s">
        <v>621</v>
      </c>
      <c r="C2933" s="2" t="s">
        <v>47</v>
      </c>
      <c r="D2933" s="2" t="s">
        <v>26</v>
      </c>
      <c r="E2933" s="2" t="s">
        <v>32</v>
      </c>
      <c r="F2933" s="2">
        <v>25.98</v>
      </c>
      <c r="G2933" s="2">
        <v>1</v>
      </c>
      <c r="H2933" s="2">
        <v>-3.9</v>
      </c>
      <c r="I2933" t="str">
        <f t="shared" si="45"/>
        <v>Aug</v>
      </c>
      <c r="J2933">
        <f>YEAR(datas[[#This Row],[Order Date]])</f>
        <v>2022</v>
      </c>
    </row>
    <row r="2934" spans="1:10" ht="14.25" customHeight="1" x14ac:dyDescent="0.3">
      <c r="A2934" s="1">
        <v>44794</v>
      </c>
      <c r="B2934" s="2" t="s">
        <v>489</v>
      </c>
      <c r="C2934" s="2" t="s">
        <v>25</v>
      </c>
      <c r="D2934" s="2" t="s">
        <v>10</v>
      </c>
      <c r="E2934" s="2" t="s">
        <v>19</v>
      </c>
      <c r="F2934" s="2">
        <v>17.52</v>
      </c>
      <c r="G2934" s="2">
        <v>3</v>
      </c>
      <c r="H2934" s="2">
        <v>8.23</v>
      </c>
      <c r="I2934" t="str">
        <f t="shared" si="45"/>
        <v>Aug</v>
      </c>
      <c r="J2934">
        <f>YEAR(datas[[#This Row],[Order Date]])</f>
        <v>2022</v>
      </c>
    </row>
    <row r="2935" spans="1:10" ht="14.25" customHeight="1" x14ac:dyDescent="0.3">
      <c r="A2935" s="1">
        <v>44794</v>
      </c>
      <c r="B2935" s="2" t="s">
        <v>489</v>
      </c>
      <c r="C2935" s="2" t="s">
        <v>25</v>
      </c>
      <c r="D2935" s="2" t="s">
        <v>10</v>
      </c>
      <c r="E2935" s="2" t="s">
        <v>19</v>
      </c>
      <c r="F2935" s="2">
        <v>35.76</v>
      </c>
      <c r="G2935" s="2">
        <v>12</v>
      </c>
      <c r="H2935" s="2">
        <v>10.01</v>
      </c>
      <c r="I2935" t="str">
        <f t="shared" si="45"/>
        <v>Aug</v>
      </c>
      <c r="J2935">
        <f>YEAR(datas[[#This Row],[Order Date]])</f>
        <v>2022</v>
      </c>
    </row>
    <row r="2936" spans="1:10" ht="14.25" customHeight="1" x14ac:dyDescent="0.3">
      <c r="A2936" s="1">
        <v>44794</v>
      </c>
      <c r="B2936" s="2" t="s">
        <v>145</v>
      </c>
      <c r="C2936" s="2" t="s">
        <v>18</v>
      </c>
      <c r="D2936" s="2" t="s">
        <v>10</v>
      </c>
      <c r="E2936" s="2" t="s">
        <v>95</v>
      </c>
      <c r="F2936" s="2">
        <v>3.49</v>
      </c>
      <c r="G2936" s="2">
        <v>2</v>
      </c>
      <c r="H2936" s="2">
        <v>-0.7</v>
      </c>
      <c r="I2936" t="str">
        <f t="shared" si="45"/>
        <v>Aug</v>
      </c>
      <c r="J2936">
        <f>YEAR(datas[[#This Row],[Order Date]])</f>
        <v>2022</v>
      </c>
    </row>
    <row r="2937" spans="1:10" ht="14.25" customHeight="1" x14ac:dyDescent="0.3">
      <c r="A2937" s="1">
        <v>44794</v>
      </c>
      <c r="B2937" s="2" t="s">
        <v>145</v>
      </c>
      <c r="C2937" s="2" t="s">
        <v>18</v>
      </c>
      <c r="D2937" s="2" t="s">
        <v>28</v>
      </c>
      <c r="E2937" s="2" t="s">
        <v>34</v>
      </c>
      <c r="F2937" s="2">
        <v>21.73</v>
      </c>
      <c r="G2937" s="2">
        <v>4</v>
      </c>
      <c r="H2937" s="2">
        <v>3.8</v>
      </c>
      <c r="I2937" t="str">
        <f t="shared" si="45"/>
        <v>Aug</v>
      </c>
      <c r="J2937">
        <f>YEAR(datas[[#This Row],[Order Date]])</f>
        <v>2022</v>
      </c>
    </row>
    <row r="2938" spans="1:10" ht="14.25" customHeight="1" x14ac:dyDescent="0.3">
      <c r="A2938" s="1">
        <v>44794</v>
      </c>
      <c r="B2938" s="2" t="s">
        <v>145</v>
      </c>
      <c r="C2938" s="2" t="s">
        <v>18</v>
      </c>
      <c r="D2938" s="2" t="s">
        <v>10</v>
      </c>
      <c r="E2938" s="2" t="s">
        <v>15</v>
      </c>
      <c r="F2938" s="2">
        <v>663.07</v>
      </c>
      <c r="G2938" s="2">
        <v>6</v>
      </c>
      <c r="H2938" s="2">
        <v>-165.77</v>
      </c>
      <c r="I2938" t="str">
        <f t="shared" si="45"/>
        <v>Aug</v>
      </c>
      <c r="J2938">
        <f>YEAR(datas[[#This Row],[Order Date]])</f>
        <v>2022</v>
      </c>
    </row>
    <row r="2939" spans="1:10" ht="14.25" customHeight="1" x14ac:dyDescent="0.3">
      <c r="A2939" s="1">
        <v>44794</v>
      </c>
      <c r="B2939" s="2" t="s">
        <v>145</v>
      </c>
      <c r="C2939" s="2" t="s">
        <v>18</v>
      </c>
      <c r="D2939" s="2" t="s">
        <v>10</v>
      </c>
      <c r="E2939" s="2" t="s">
        <v>16</v>
      </c>
      <c r="F2939" s="2">
        <v>99.59</v>
      </c>
      <c r="G2939" s="2">
        <v>2</v>
      </c>
      <c r="H2939" s="2">
        <v>-82.99</v>
      </c>
      <c r="I2939" t="str">
        <f t="shared" si="45"/>
        <v>Aug</v>
      </c>
      <c r="J2939">
        <f>YEAR(datas[[#This Row],[Order Date]])</f>
        <v>2022</v>
      </c>
    </row>
    <row r="2940" spans="1:10" ht="14.25" customHeight="1" x14ac:dyDescent="0.3">
      <c r="A2940" s="1">
        <v>44794</v>
      </c>
      <c r="B2940" s="2" t="s">
        <v>145</v>
      </c>
      <c r="C2940" s="2" t="s">
        <v>18</v>
      </c>
      <c r="D2940" s="2" t="s">
        <v>10</v>
      </c>
      <c r="E2940" s="2" t="s">
        <v>11</v>
      </c>
      <c r="F2940" s="2">
        <v>49.57</v>
      </c>
      <c r="G2940" s="2">
        <v>2</v>
      </c>
      <c r="H2940" s="2">
        <v>15.49</v>
      </c>
      <c r="I2940" t="str">
        <f t="shared" si="45"/>
        <v>Aug</v>
      </c>
      <c r="J2940">
        <f>YEAR(datas[[#This Row],[Order Date]])</f>
        <v>2022</v>
      </c>
    </row>
    <row r="2941" spans="1:10" ht="14.25" customHeight="1" x14ac:dyDescent="0.3">
      <c r="A2941" s="1">
        <v>44795</v>
      </c>
      <c r="B2941" s="2" t="s">
        <v>752</v>
      </c>
      <c r="C2941" s="2" t="s">
        <v>75</v>
      </c>
      <c r="D2941" s="2" t="s">
        <v>10</v>
      </c>
      <c r="E2941" s="2" t="s">
        <v>16</v>
      </c>
      <c r="F2941" s="2">
        <v>50.11</v>
      </c>
      <c r="G2941" s="2">
        <v>6</v>
      </c>
      <c r="H2941" s="2">
        <v>16.29</v>
      </c>
      <c r="I2941" t="str">
        <f t="shared" si="45"/>
        <v>Aug</v>
      </c>
      <c r="J2941">
        <f>YEAR(datas[[#This Row],[Order Date]])</f>
        <v>2022</v>
      </c>
    </row>
    <row r="2942" spans="1:10" ht="14.25" customHeight="1" x14ac:dyDescent="0.3">
      <c r="A2942" s="1">
        <v>44795</v>
      </c>
      <c r="B2942" s="2" t="s">
        <v>753</v>
      </c>
      <c r="C2942" s="2" t="s">
        <v>75</v>
      </c>
      <c r="D2942" s="2" t="s">
        <v>10</v>
      </c>
      <c r="E2942" s="2" t="s">
        <v>19</v>
      </c>
      <c r="F2942" s="2">
        <v>16.52</v>
      </c>
      <c r="G2942" s="2">
        <v>4</v>
      </c>
      <c r="H2942" s="2">
        <v>7.6</v>
      </c>
      <c r="I2942" t="str">
        <f t="shared" si="45"/>
        <v>Aug</v>
      </c>
      <c r="J2942">
        <f>YEAR(datas[[#This Row],[Order Date]])</f>
        <v>2022</v>
      </c>
    </row>
    <row r="2943" spans="1:10" ht="14.25" customHeight="1" x14ac:dyDescent="0.3">
      <c r="A2943" s="1">
        <v>44796</v>
      </c>
      <c r="B2943" s="2" t="s">
        <v>276</v>
      </c>
      <c r="C2943" s="2" t="s">
        <v>13</v>
      </c>
      <c r="D2943" s="2" t="s">
        <v>10</v>
      </c>
      <c r="E2943" s="2" t="s">
        <v>95</v>
      </c>
      <c r="F2943" s="2">
        <v>31.68</v>
      </c>
      <c r="G2943" s="2">
        <v>4</v>
      </c>
      <c r="H2943" s="2">
        <v>2.77</v>
      </c>
      <c r="I2943" t="str">
        <f t="shared" si="45"/>
        <v>Aug</v>
      </c>
      <c r="J2943">
        <f>YEAR(datas[[#This Row],[Order Date]])</f>
        <v>2022</v>
      </c>
    </row>
    <row r="2944" spans="1:10" ht="14.25" customHeight="1" x14ac:dyDescent="0.3">
      <c r="A2944" s="1">
        <v>44796</v>
      </c>
      <c r="B2944" s="2" t="s">
        <v>276</v>
      </c>
      <c r="C2944" s="2" t="s">
        <v>13</v>
      </c>
      <c r="D2944" s="2" t="s">
        <v>10</v>
      </c>
      <c r="E2944" s="2" t="s">
        <v>11</v>
      </c>
      <c r="F2944" s="2">
        <v>10.37</v>
      </c>
      <c r="G2944" s="2">
        <v>2</v>
      </c>
      <c r="H2944" s="2">
        <v>3.63</v>
      </c>
      <c r="I2944" t="str">
        <f t="shared" si="45"/>
        <v>Aug</v>
      </c>
      <c r="J2944">
        <f>YEAR(datas[[#This Row],[Order Date]])</f>
        <v>2022</v>
      </c>
    </row>
    <row r="2945" spans="1:10" ht="14.25" customHeight="1" x14ac:dyDescent="0.3">
      <c r="A2945" s="1">
        <v>44796</v>
      </c>
      <c r="B2945" s="2" t="s">
        <v>276</v>
      </c>
      <c r="C2945" s="2" t="s">
        <v>13</v>
      </c>
      <c r="D2945" s="2" t="s">
        <v>10</v>
      </c>
      <c r="E2945" s="2" t="s">
        <v>30</v>
      </c>
      <c r="F2945" s="2">
        <v>12.03</v>
      </c>
      <c r="G2945" s="2">
        <v>8</v>
      </c>
      <c r="H2945" s="2">
        <v>2.2599999999999998</v>
      </c>
      <c r="I2945" t="str">
        <f t="shared" si="45"/>
        <v>Aug</v>
      </c>
      <c r="J2945">
        <f>YEAR(datas[[#This Row],[Order Date]])</f>
        <v>2022</v>
      </c>
    </row>
    <row r="2946" spans="1:10" ht="14.25" customHeight="1" x14ac:dyDescent="0.3">
      <c r="A2946" s="1">
        <v>44796</v>
      </c>
      <c r="B2946" s="2" t="s">
        <v>276</v>
      </c>
      <c r="C2946" s="2" t="s">
        <v>13</v>
      </c>
      <c r="D2946" s="2" t="s">
        <v>10</v>
      </c>
      <c r="E2946" s="2" t="s">
        <v>53</v>
      </c>
      <c r="F2946" s="2">
        <v>5.77</v>
      </c>
      <c r="G2946" s="2">
        <v>2</v>
      </c>
      <c r="H2946" s="2">
        <v>-13.55</v>
      </c>
      <c r="I2946" t="str">
        <f t="shared" si="45"/>
        <v>Aug</v>
      </c>
      <c r="J2946">
        <f>YEAR(datas[[#This Row],[Order Date]])</f>
        <v>2022</v>
      </c>
    </row>
    <row r="2947" spans="1:10" ht="14.25" customHeight="1" x14ac:dyDescent="0.3">
      <c r="A2947" s="1">
        <v>44796</v>
      </c>
      <c r="B2947" s="2" t="s">
        <v>754</v>
      </c>
      <c r="C2947" s="2" t="s">
        <v>23</v>
      </c>
      <c r="D2947" s="2" t="s">
        <v>10</v>
      </c>
      <c r="E2947" s="2" t="s">
        <v>53</v>
      </c>
      <c r="F2947" s="2">
        <v>542.94000000000005</v>
      </c>
      <c r="G2947" s="2">
        <v>3</v>
      </c>
      <c r="H2947" s="2">
        <v>152.02000000000001</v>
      </c>
      <c r="I2947" t="str">
        <f t="shared" ref="I2947:I3010" si="46">TEXT(A2947,"mmm")</f>
        <v>Aug</v>
      </c>
      <c r="J2947">
        <f>YEAR(datas[[#This Row],[Order Date]])</f>
        <v>2022</v>
      </c>
    </row>
    <row r="2948" spans="1:10" ht="14.25" customHeight="1" x14ac:dyDescent="0.3">
      <c r="A2948" s="1">
        <v>44796</v>
      </c>
      <c r="B2948" s="2" t="s">
        <v>754</v>
      </c>
      <c r="C2948" s="2" t="s">
        <v>23</v>
      </c>
      <c r="D2948" s="2" t="s">
        <v>10</v>
      </c>
      <c r="E2948" s="2" t="s">
        <v>14</v>
      </c>
      <c r="F2948" s="2">
        <v>8.64</v>
      </c>
      <c r="G2948" s="2">
        <v>3</v>
      </c>
      <c r="H2948" s="2">
        <v>4.2300000000000004</v>
      </c>
      <c r="I2948" t="str">
        <f t="shared" si="46"/>
        <v>Aug</v>
      </c>
      <c r="J2948">
        <f>YEAR(datas[[#This Row],[Order Date]])</f>
        <v>2022</v>
      </c>
    </row>
    <row r="2949" spans="1:10" ht="14.25" customHeight="1" x14ac:dyDescent="0.3">
      <c r="A2949" s="1">
        <v>44796</v>
      </c>
      <c r="B2949" s="2" t="s">
        <v>754</v>
      </c>
      <c r="C2949" s="2" t="s">
        <v>23</v>
      </c>
      <c r="D2949" s="2" t="s">
        <v>10</v>
      </c>
      <c r="E2949" s="2" t="s">
        <v>11</v>
      </c>
      <c r="F2949" s="2">
        <v>193.8</v>
      </c>
      <c r="G2949" s="2">
        <v>5</v>
      </c>
      <c r="H2949" s="2">
        <v>94.96</v>
      </c>
      <c r="I2949" t="str">
        <f t="shared" si="46"/>
        <v>Aug</v>
      </c>
      <c r="J2949">
        <f>YEAR(datas[[#This Row],[Order Date]])</f>
        <v>2022</v>
      </c>
    </row>
    <row r="2950" spans="1:10" ht="14.25" customHeight="1" x14ac:dyDescent="0.3">
      <c r="A2950" s="1">
        <v>44796</v>
      </c>
      <c r="B2950" s="2" t="s">
        <v>754</v>
      </c>
      <c r="C2950" s="2" t="s">
        <v>23</v>
      </c>
      <c r="D2950" s="2" t="s">
        <v>10</v>
      </c>
      <c r="E2950" s="2" t="s">
        <v>11</v>
      </c>
      <c r="F2950" s="2">
        <v>21.4</v>
      </c>
      <c r="G2950" s="2">
        <v>5</v>
      </c>
      <c r="H2950" s="2">
        <v>9.6300000000000008</v>
      </c>
      <c r="I2950" t="str">
        <f t="shared" si="46"/>
        <v>Aug</v>
      </c>
      <c r="J2950">
        <f>YEAR(datas[[#This Row],[Order Date]])</f>
        <v>2022</v>
      </c>
    </row>
    <row r="2951" spans="1:10" ht="14.25" customHeight="1" x14ac:dyDescent="0.3">
      <c r="A2951" s="1">
        <v>44796</v>
      </c>
      <c r="B2951" s="2" t="s">
        <v>754</v>
      </c>
      <c r="C2951" s="2" t="s">
        <v>23</v>
      </c>
      <c r="D2951" s="2" t="s">
        <v>10</v>
      </c>
      <c r="E2951" s="2" t="s">
        <v>11</v>
      </c>
      <c r="F2951" s="2">
        <v>97.88</v>
      </c>
      <c r="G2951" s="2">
        <v>2</v>
      </c>
      <c r="H2951" s="2">
        <v>48.94</v>
      </c>
      <c r="I2951" t="str">
        <f t="shared" si="46"/>
        <v>Aug</v>
      </c>
      <c r="J2951">
        <f>YEAR(datas[[#This Row],[Order Date]])</f>
        <v>2022</v>
      </c>
    </row>
    <row r="2952" spans="1:10" ht="14.25" customHeight="1" x14ac:dyDescent="0.3">
      <c r="A2952" s="1">
        <v>44796</v>
      </c>
      <c r="B2952" s="2" t="s">
        <v>754</v>
      </c>
      <c r="C2952" s="2" t="s">
        <v>23</v>
      </c>
      <c r="D2952" s="2" t="s">
        <v>28</v>
      </c>
      <c r="E2952" s="2" t="s">
        <v>34</v>
      </c>
      <c r="F2952" s="2">
        <v>251.91</v>
      </c>
      <c r="G2952" s="2">
        <v>9</v>
      </c>
      <c r="H2952" s="2">
        <v>47.86</v>
      </c>
      <c r="I2952" t="str">
        <f t="shared" si="46"/>
        <v>Aug</v>
      </c>
      <c r="J2952">
        <f>YEAR(datas[[#This Row],[Order Date]])</f>
        <v>2022</v>
      </c>
    </row>
    <row r="2953" spans="1:10" ht="14.25" customHeight="1" x14ac:dyDescent="0.3">
      <c r="A2953" s="1">
        <v>44796</v>
      </c>
      <c r="B2953" s="2" t="s">
        <v>754</v>
      </c>
      <c r="C2953" s="2" t="s">
        <v>23</v>
      </c>
      <c r="D2953" s="2" t="s">
        <v>10</v>
      </c>
      <c r="E2953" s="2" t="s">
        <v>53</v>
      </c>
      <c r="F2953" s="2">
        <v>25.86</v>
      </c>
      <c r="G2953" s="2">
        <v>3</v>
      </c>
      <c r="H2953" s="2">
        <v>6.72</v>
      </c>
      <c r="I2953" t="str">
        <f t="shared" si="46"/>
        <v>Aug</v>
      </c>
      <c r="J2953">
        <f>YEAR(datas[[#This Row],[Order Date]])</f>
        <v>2022</v>
      </c>
    </row>
    <row r="2954" spans="1:10" ht="14.25" customHeight="1" x14ac:dyDescent="0.3">
      <c r="A2954" s="1">
        <v>44797</v>
      </c>
      <c r="B2954" s="2" t="s">
        <v>149</v>
      </c>
      <c r="C2954" s="2" t="s">
        <v>9</v>
      </c>
      <c r="D2954" s="2" t="s">
        <v>10</v>
      </c>
      <c r="E2954" s="2" t="s">
        <v>15</v>
      </c>
      <c r="F2954" s="2">
        <v>999.43</v>
      </c>
      <c r="G2954" s="2">
        <v>7</v>
      </c>
      <c r="H2954" s="2">
        <v>124.93</v>
      </c>
      <c r="I2954" t="str">
        <f t="shared" si="46"/>
        <v>Aug</v>
      </c>
      <c r="J2954">
        <f>YEAR(datas[[#This Row],[Order Date]])</f>
        <v>2022</v>
      </c>
    </row>
    <row r="2955" spans="1:10" ht="14.25" customHeight="1" x14ac:dyDescent="0.3">
      <c r="A2955" s="1">
        <v>44797</v>
      </c>
      <c r="B2955" s="2" t="s">
        <v>149</v>
      </c>
      <c r="C2955" s="2" t="s">
        <v>9</v>
      </c>
      <c r="D2955" s="2" t="s">
        <v>10</v>
      </c>
      <c r="E2955" s="2" t="s">
        <v>15</v>
      </c>
      <c r="F2955" s="2">
        <v>724.08</v>
      </c>
      <c r="G2955" s="2">
        <v>14</v>
      </c>
      <c r="H2955" s="2">
        <v>-135.77000000000001</v>
      </c>
      <c r="I2955" t="str">
        <f t="shared" si="46"/>
        <v>Aug</v>
      </c>
      <c r="J2955">
        <f>YEAR(datas[[#This Row],[Order Date]])</f>
        <v>2022</v>
      </c>
    </row>
    <row r="2956" spans="1:10" ht="14.25" customHeight="1" x14ac:dyDescent="0.3">
      <c r="A2956" s="1">
        <v>44797</v>
      </c>
      <c r="B2956" s="2" t="s">
        <v>149</v>
      </c>
      <c r="C2956" s="2" t="s">
        <v>9</v>
      </c>
      <c r="D2956" s="2" t="s">
        <v>26</v>
      </c>
      <c r="E2956" s="2" t="s">
        <v>73</v>
      </c>
      <c r="F2956" s="2">
        <v>918.79</v>
      </c>
      <c r="G2956" s="2">
        <v>5</v>
      </c>
      <c r="H2956" s="2">
        <v>-118.13</v>
      </c>
      <c r="I2956" t="str">
        <f t="shared" si="46"/>
        <v>Aug</v>
      </c>
      <c r="J2956">
        <f>YEAR(datas[[#This Row],[Order Date]])</f>
        <v>2022</v>
      </c>
    </row>
    <row r="2957" spans="1:10" ht="14.25" customHeight="1" x14ac:dyDescent="0.3">
      <c r="A2957" s="1">
        <v>44797</v>
      </c>
      <c r="B2957" s="2" t="s">
        <v>149</v>
      </c>
      <c r="C2957" s="2" t="s">
        <v>9</v>
      </c>
      <c r="D2957" s="2" t="s">
        <v>10</v>
      </c>
      <c r="E2957" s="2" t="s">
        <v>16</v>
      </c>
      <c r="F2957" s="2">
        <v>2.72</v>
      </c>
      <c r="G2957" s="2">
        <v>3</v>
      </c>
      <c r="H2957" s="2">
        <v>-4.22</v>
      </c>
      <c r="I2957" t="str">
        <f t="shared" si="46"/>
        <v>Aug</v>
      </c>
      <c r="J2957">
        <f>YEAR(datas[[#This Row],[Order Date]])</f>
        <v>2022</v>
      </c>
    </row>
    <row r="2958" spans="1:10" ht="14.25" customHeight="1" x14ac:dyDescent="0.3">
      <c r="A2958" s="1">
        <v>44797</v>
      </c>
      <c r="B2958" s="2" t="s">
        <v>727</v>
      </c>
      <c r="C2958" s="2" t="s">
        <v>75</v>
      </c>
      <c r="D2958" s="2" t="s">
        <v>26</v>
      </c>
      <c r="E2958" s="2" t="s">
        <v>73</v>
      </c>
      <c r="F2958" s="2">
        <v>284.36</v>
      </c>
      <c r="G2958" s="2">
        <v>2</v>
      </c>
      <c r="H2958" s="2">
        <v>-75.83</v>
      </c>
      <c r="I2958" t="str">
        <f t="shared" si="46"/>
        <v>Aug</v>
      </c>
      <c r="J2958">
        <f>YEAR(datas[[#This Row],[Order Date]])</f>
        <v>2022</v>
      </c>
    </row>
    <row r="2959" spans="1:10" ht="14.25" customHeight="1" x14ac:dyDescent="0.3">
      <c r="A2959" s="1">
        <v>44797</v>
      </c>
      <c r="B2959" s="2" t="s">
        <v>727</v>
      </c>
      <c r="C2959" s="2" t="s">
        <v>75</v>
      </c>
      <c r="D2959" s="2" t="s">
        <v>28</v>
      </c>
      <c r="E2959" s="2" t="s">
        <v>34</v>
      </c>
      <c r="F2959" s="2">
        <v>26</v>
      </c>
      <c r="G2959" s="2">
        <v>2</v>
      </c>
      <c r="H2959" s="2">
        <v>11.7</v>
      </c>
      <c r="I2959" t="str">
        <f t="shared" si="46"/>
        <v>Aug</v>
      </c>
      <c r="J2959">
        <f>YEAR(datas[[#This Row],[Order Date]])</f>
        <v>2022</v>
      </c>
    </row>
    <row r="2960" spans="1:10" ht="14.25" customHeight="1" x14ac:dyDescent="0.3">
      <c r="A2960" s="1">
        <v>44797</v>
      </c>
      <c r="B2960" s="2" t="s">
        <v>755</v>
      </c>
      <c r="C2960" s="2" t="s">
        <v>25</v>
      </c>
      <c r="D2960" s="2" t="s">
        <v>28</v>
      </c>
      <c r="E2960" s="2" t="s">
        <v>136</v>
      </c>
      <c r="F2960" s="2">
        <v>3080</v>
      </c>
      <c r="G2960" s="2">
        <v>7</v>
      </c>
      <c r="H2960" s="2">
        <v>1416.8</v>
      </c>
      <c r="I2960" t="str">
        <f t="shared" si="46"/>
        <v>Aug</v>
      </c>
      <c r="J2960">
        <f>YEAR(datas[[#This Row],[Order Date]])</f>
        <v>2022</v>
      </c>
    </row>
    <row r="2961" spans="1:10" ht="14.25" customHeight="1" x14ac:dyDescent="0.3">
      <c r="A2961" s="1">
        <v>44797</v>
      </c>
      <c r="B2961" s="2" t="s">
        <v>755</v>
      </c>
      <c r="C2961" s="2" t="s">
        <v>25</v>
      </c>
      <c r="D2961" s="2" t="s">
        <v>28</v>
      </c>
      <c r="E2961" s="2" t="s">
        <v>34</v>
      </c>
      <c r="F2961" s="2">
        <v>79.959999999999994</v>
      </c>
      <c r="G2961" s="2">
        <v>4</v>
      </c>
      <c r="H2961" s="2">
        <v>18.39</v>
      </c>
      <c r="I2961" t="str">
        <f t="shared" si="46"/>
        <v>Aug</v>
      </c>
      <c r="J2961">
        <f>YEAR(datas[[#This Row],[Order Date]])</f>
        <v>2022</v>
      </c>
    </row>
    <row r="2962" spans="1:10" ht="14.25" customHeight="1" x14ac:dyDescent="0.3">
      <c r="A2962" s="1">
        <v>44797</v>
      </c>
      <c r="B2962" s="2" t="s">
        <v>755</v>
      </c>
      <c r="C2962" s="2" t="s">
        <v>25</v>
      </c>
      <c r="D2962" s="2" t="s">
        <v>28</v>
      </c>
      <c r="E2962" s="2" t="s">
        <v>29</v>
      </c>
      <c r="F2962" s="2">
        <v>587.97</v>
      </c>
      <c r="G2962" s="2">
        <v>3</v>
      </c>
      <c r="H2962" s="2">
        <v>170.51</v>
      </c>
      <c r="I2962" t="str">
        <f t="shared" si="46"/>
        <v>Aug</v>
      </c>
      <c r="J2962">
        <f>YEAR(datas[[#This Row],[Order Date]])</f>
        <v>2022</v>
      </c>
    </row>
    <row r="2963" spans="1:10" ht="14.25" customHeight="1" x14ac:dyDescent="0.3">
      <c r="A2963" s="1">
        <v>44797</v>
      </c>
      <c r="B2963" s="2" t="s">
        <v>110</v>
      </c>
      <c r="C2963" s="2" t="s">
        <v>75</v>
      </c>
      <c r="D2963" s="2" t="s">
        <v>26</v>
      </c>
      <c r="E2963" s="2" t="s">
        <v>32</v>
      </c>
      <c r="F2963" s="2">
        <v>14.91</v>
      </c>
      <c r="G2963" s="2">
        <v>3</v>
      </c>
      <c r="H2963" s="2">
        <v>4.62</v>
      </c>
      <c r="I2963" t="str">
        <f t="shared" si="46"/>
        <v>Aug</v>
      </c>
      <c r="J2963">
        <f>YEAR(datas[[#This Row],[Order Date]])</f>
        <v>2022</v>
      </c>
    </row>
    <row r="2964" spans="1:10" ht="14.25" customHeight="1" x14ac:dyDescent="0.3">
      <c r="A2964" s="1">
        <v>44797</v>
      </c>
      <c r="B2964" s="2" t="s">
        <v>516</v>
      </c>
      <c r="C2964" s="2" t="s">
        <v>52</v>
      </c>
      <c r="D2964" s="2" t="s">
        <v>10</v>
      </c>
      <c r="E2964" s="2" t="s">
        <v>19</v>
      </c>
      <c r="F2964" s="2">
        <v>7.15</v>
      </c>
      <c r="G2964" s="2">
        <v>3</v>
      </c>
      <c r="H2964" s="2">
        <v>0.72</v>
      </c>
      <c r="I2964" t="str">
        <f t="shared" si="46"/>
        <v>Aug</v>
      </c>
      <c r="J2964">
        <f>YEAR(datas[[#This Row],[Order Date]])</f>
        <v>2022</v>
      </c>
    </row>
    <row r="2965" spans="1:10" ht="14.25" customHeight="1" x14ac:dyDescent="0.3">
      <c r="A2965" s="1">
        <v>44797</v>
      </c>
      <c r="B2965" s="2" t="s">
        <v>159</v>
      </c>
      <c r="C2965" s="2" t="s">
        <v>47</v>
      </c>
      <c r="D2965" s="2" t="s">
        <v>28</v>
      </c>
      <c r="E2965" s="2" t="s">
        <v>29</v>
      </c>
      <c r="F2965" s="2">
        <v>26.98</v>
      </c>
      <c r="G2965" s="2">
        <v>3</v>
      </c>
      <c r="H2965" s="2">
        <v>4.05</v>
      </c>
      <c r="I2965" t="str">
        <f t="shared" si="46"/>
        <v>Aug</v>
      </c>
      <c r="J2965">
        <f>YEAR(datas[[#This Row],[Order Date]])</f>
        <v>2022</v>
      </c>
    </row>
    <row r="2966" spans="1:10" ht="14.25" customHeight="1" x14ac:dyDescent="0.3">
      <c r="A2966" s="1">
        <v>44797</v>
      </c>
      <c r="B2966" s="2" t="s">
        <v>159</v>
      </c>
      <c r="C2966" s="2" t="s">
        <v>47</v>
      </c>
      <c r="D2966" s="2" t="s">
        <v>10</v>
      </c>
      <c r="E2966" s="2" t="s">
        <v>14</v>
      </c>
      <c r="F2966" s="2">
        <v>6.91</v>
      </c>
      <c r="G2966" s="2">
        <v>3</v>
      </c>
      <c r="H2966" s="2">
        <v>2.5099999999999998</v>
      </c>
      <c r="I2966" t="str">
        <f t="shared" si="46"/>
        <v>Aug</v>
      </c>
      <c r="J2966">
        <f>YEAR(datas[[#This Row],[Order Date]])</f>
        <v>2022</v>
      </c>
    </row>
    <row r="2967" spans="1:10" ht="14.25" customHeight="1" x14ac:dyDescent="0.3">
      <c r="A2967" s="1">
        <v>44797</v>
      </c>
      <c r="B2967" s="2" t="s">
        <v>159</v>
      </c>
      <c r="C2967" s="2" t="s">
        <v>47</v>
      </c>
      <c r="D2967" s="2" t="s">
        <v>10</v>
      </c>
      <c r="E2967" s="2" t="s">
        <v>15</v>
      </c>
      <c r="F2967" s="2">
        <v>435.5</v>
      </c>
      <c r="G2967" s="2">
        <v>3</v>
      </c>
      <c r="H2967" s="2">
        <v>48.99</v>
      </c>
      <c r="I2967" t="str">
        <f t="shared" si="46"/>
        <v>Aug</v>
      </c>
      <c r="J2967">
        <f>YEAR(datas[[#This Row],[Order Date]])</f>
        <v>2022</v>
      </c>
    </row>
    <row r="2968" spans="1:10" ht="14.25" customHeight="1" x14ac:dyDescent="0.3">
      <c r="A2968" s="1">
        <v>44798</v>
      </c>
      <c r="B2968" s="2" t="s">
        <v>555</v>
      </c>
      <c r="C2968" s="2" t="s">
        <v>21</v>
      </c>
      <c r="D2968" s="2" t="s">
        <v>26</v>
      </c>
      <c r="E2968" s="2" t="s">
        <v>27</v>
      </c>
      <c r="F2968" s="2">
        <v>40.78</v>
      </c>
      <c r="G2968" s="2">
        <v>1</v>
      </c>
      <c r="H2968" s="2">
        <v>4.59</v>
      </c>
      <c r="I2968" t="str">
        <f t="shared" si="46"/>
        <v>Aug</v>
      </c>
      <c r="J2968">
        <f>YEAR(datas[[#This Row],[Order Date]])</f>
        <v>2022</v>
      </c>
    </row>
    <row r="2969" spans="1:10" ht="14.25" customHeight="1" x14ac:dyDescent="0.3">
      <c r="A2969" s="1">
        <v>44798</v>
      </c>
      <c r="B2969" s="2" t="s">
        <v>555</v>
      </c>
      <c r="C2969" s="2" t="s">
        <v>21</v>
      </c>
      <c r="D2969" s="2" t="s">
        <v>10</v>
      </c>
      <c r="E2969" s="2" t="s">
        <v>53</v>
      </c>
      <c r="F2969" s="2">
        <v>105.96</v>
      </c>
      <c r="G2969" s="2">
        <v>4</v>
      </c>
      <c r="H2969" s="2">
        <v>29.67</v>
      </c>
      <c r="I2969" t="str">
        <f t="shared" si="46"/>
        <v>Aug</v>
      </c>
      <c r="J2969">
        <f>YEAR(datas[[#This Row],[Order Date]])</f>
        <v>2022</v>
      </c>
    </row>
    <row r="2970" spans="1:10" ht="14.25" customHeight="1" x14ac:dyDescent="0.3">
      <c r="A2970" s="1">
        <v>44798</v>
      </c>
      <c r="B2970" s="2" t="s">
        <v>327</v>
      </c>
      <c r="C2970" s="2" t="s">
        <v>9</v>
      </c>
      <c r="D2970" s="2" t="s">
        <v>26</v>
      </c>
      <c r="E2970" s="2" t="s">
        <v>32</v>
      </c>
      <c r="F2970" s="2">
        <v>20.100000000000001</v>
      </c>
      <c r="G2970" s="2">
        <v>2</v>
      </c>
      <c r="H2970" s="2">
        <v>-16.59</v>
      </c>
      <c r="I2970" t="str">
        <f t="shared" si="46"/>
        <v>Aug</v>
      </c>
      <c r="J2970">
        <f>YEAR(datas[[#This Row],[Order Date]])</f>
        <v>2022</v>
      </c>
    </row>
    <row r="2971" spans="1:10" ht="14.25" customHeight="1" x14ac:dyDescent="0.3">
      <c r="A2971" s="1">
        <v>44798</v>
      </c>
      <c r="B2971" s="2" t="s">
        <v>327</v>
      </c>
      <c r="C2971" s="2" t="s">
        <v>9</v>
      </c>
      <c r="D2971" s="2" t="s">
        <v>10</v>
      </c>
      <c r="E2971" s="2" t="s">
        <v>16</v>
      </c>
      <c r="F2971" s="2">
        <v>3.8</v>
      </c>
      <c r="G2971" s="2">
        <v>1</v>
      </c>
      <c r="H2971" s="2">
        <v>-6.08</v>
      </c>
      <c r="I2971" t="str">
        <f t="shared" si="46"/>
        <v>Aug</v>
      </c>
      <c r="J2971">
        <f>YEAR(datas[[#This Row],[Order Date]])</f>
        <v>2022</v>
      </c>
    </row>
    <row r="2972" spans="1:10" ht="14.25" customHeight="1" x14ac:dyDescent="0.3">
      <c r="A2972" s="1">
        <v>44798</v>
      </c>
      <c r="B2972" s="2" t="s">
        <v>327</v>
      </c>
      <c r="C2972" s="2" t="s">
        <v>9</v>
      </c>
      <c r="D2972" s="2" t="s">
        <v>26</v>
      </c>
      <c r="E2972" s="2" t="s">
        <v>32</v>
      </c>
      <c r="F2972" s="2">
        <v>7.88</v>
      </c>
      <c r="G2972" s="2">
        <v>5</v>
      </c>
      <c r="H2972" s="2">
        <v>-3.94</v>
      </c>
      <c r="I2972" t="str">
        <f t="shared" si="46"/>
        <v>Aug</v>
      </c>
      <c r="J2972">
        <f>YEAR(datas[[#This Row],[Order Date]])</f>
        <v>2022</v>
      </c>
    </row>
    <row r="2973" spans="1:10" ht="14.25" customHeight="1" x14ac:dyDescent="0.3">
      <c r="A2973" s="1">
        <v>44800</v>
      </c>
      <c r="B2973" s="2" t="s">
        <v>441</v>
      </c>
      <c r="C2973" s="2" t="s">
        <v>21</v>
      </c>
      <c r="D2973" s="2" t="s">
        <v>10</v>
      </c>
      <c r="E2973" s="2" t="s">
        <v>15</v>
      </c>
      <c r="F2973" s="2">
        <v>484.65</v>
      </c>
      <c r="G2973" s="2">
        <v>3</v>
      </c>
      <c r="H2973" s="2">
        <v>92.08</v>
      </c>
      <c r="I2973" t="str">
        <f t="shared" si="46"/>
        <v>Aug</v>
      </c>
      <c r="J2973">
        <f>YEAR(datas[[#This Row],[Order Date]])</f>
        <v>2022</v>
      </c>
    </row>
    <row r="2974" spans="1:10" ht="14.25" customHeight="1" x14ac:dyDescent="0.3">
      <c r="A2974" s="1">
        <v>44800</v>
      </c>
      <c r="B2974" s="2" t="s">
        <v>484</v>
      </c>
      <c r="C2974" s="2" t="s">
        <v>21</v>
      </c>
      <c r="D2974" s="2" t="s">
        <v>10</v>
      </c>
      <c r="E2974" s="2" t="s">
        <v>95</v>
      </c>
      <c r="F2974" s="2">
        <v>32.94</v>
      </c>
      <c r="G2974" s="2">
        <v>3</v>
      </c>
      <c r="H2974" s="2">
        <v>9.2200000000000006</v>
      </c>
      <c r="I2974" t="str">
        <f t="shared" si="46"/>
        <v>Aug</v>
      </c>
      <c r="J2974">
        <f>YEAR(datas[[#This Row],[Order Date]])</f>
        <v>2022</v>
      </c>
    </row>
    <row r="2975" spans="1:10" ht="14.25" customHeight="1" x14ac:dyDescent="0.3">
      <c r="A2975" s="1">
        <v>44800</v>
      </c>
      <c r="B2975" s="2" t="s">
        <v>484</v>
      </c>
      <c r="C2975" s="2" t="s">
        <v>21</v>
      </c>
      <c r="D2975" s="2" t="s">
        <v>10</v>
      </c>
      <c r="E2975" s="2" t="s">
        <v>11</v>
      </c>
      <c r="F2975" s="2">
        <v>114.2</v>
      </c>
      <c r="G2975" s="2">
        <v>5</v>
      </c>
      <c r="H2975" s="2">
        <v>52.53</v>
      </c>
      <c r="I2975" t="str">
        <f t="shared" si="46"/>
        <v>Aug</v>
      </c>
      <c r="J2975">
        <f>YEAR(datas[[#This Row],[Order Date]])</f>
        <v>2022</v>
      </c>
    </row>
    <row r="2976" spans="1:10" ht="14.25" customHeight="1" x14ac:dyDescent="0.3">
      <c r="A2976" s="1">
        <v>44800</v>
      </c>
      <c r="B2976" s="2" t="s">
        <v>484</v>
      </c>
      <c r="C2976" s="2" t="s">
        <v>21</v>
      </c>
      <c r="D2976" s="2" t="s">
        <v>10</v>
      </c>
      <c r="E2976" s="2" t="s">
        <v>14</v>
      </c>
      <c r="F2976" s="2">
        <v>3.08</v>
      </c>
      <c r="G2976" s="2">
        <v>1</v>
      </c>
      <c r="H2976" s="2">
        <v>1.48</v>
      </c>
      <c r="I2976" t="str">
        <f t="shared" si="46"/>
        <v>Aug</v>
      </c>
      <c r="J2976">
        <f>YEAR(datas[[#This Row],[Order Date]])</f>
        <v>2022</v>
      </c>
    </row>
    <row r="2977" spans="1:10" ht="14.25" customHeight="1" x14ac:dyDescent="0.3">
      <c r="A2977" s="1">
        <v>44800</v>
      </c>
      <c r="B2977" s="2" t="s">
        <v>642</v>
      </c>
      <c r="C2977" s="2" t="s">
        <v>21</v>
      </c>
      <c r="D2977" s="2" t="s">
        <v>10</v>
      </c>
      <c r="E2977" s="2" t="s">
        <v>16</v>
      </c>
      <c r="F2977" s="2">
        <v>5.0999999999999996</v>
      </c>
      <c r="G2977" s="2">
        <v>1</v>
      </c>
      <c r="H2977" s="2">
        <v>1.66</v>
      </c>
      <c r="I2977" t="str">
        <f t="shared" si="46"/>
        <v>Aug</v>
      </c>
      <c r="J2977">
        <f>YEAR(datas[[#This Row],[Order Date]])</f>
        <v>2022</v>
      </c>
    </row>
    <row r="2978" spans="1:10" ht="14.25" customHeight="1" x14ac:dyDescent="0.3">
      <c r="A2978" s="1">
        <v>44801</v>
      </c>
      <c r="B2978" s="2" t="s">
        <v>548</v>
      </c>
      <c r="C2978" s="2" t="s">
        <v>13</v>
      </c>
      <c r="D2978" s="2" t="s">
        <v>28</v>
      </c>
      <c r="E2978" s="2" t="s">
        <v>243</v>
      </c>
      <c r="F2978" s="2">
        <v>2799.96</v>
      </c>
      <c r="G2978" s="2">
        <v>5</v>
      </c>
      <c r="H2978" s="2">
        <v>874.99</v>
      </c>
      <c r="I2978" t="str">
        <f t="shared" si="46"/>
        <v>Aug</v>
      </c>
      <c r="J2978">
        <f>YEAR(datas[[#This Row],[Order Date]])</f>
        <v>2022</v>
      </c>
    </row>
    <row r="2979" spans="1:10" ht="14.25" customHeight="1" x14ac:dyDescent="0.3">
      <c r="A2979" s="1">
        <v>44801</v>
      </c>
      <c r="B2979" s="2" t="s">
        <v>149</v>
      </c>
      <c r="C2979" s="2" t="s">
        <v>21</v>
      </c>
      <c r="D2979" s="2" t="s">
        <v>10</v>
      </c>
      <c r="E2979" s="2" t="s">
        <v>15</v>
      </c>
      <c r="F2979" s="2">
        <v>892.35</v>
      </c>
      <c r="G2979" s="2">
        <v>5</v>
      </c>
      <c r="H2979" s="2">
        <v>267.70999999999998</v>
      </c>
      <c r="I2979" t="str">
        <f t="shared" si="46"/>
        <v>Aug</v>
      </c>
      <c r="J2979">
        <f>YEAR(datas[[#This Row],[Order Date]])</f>
        <v>2022</v>
      </c>
    </row>
    <row r="2980" spans="1:10" ht="14.25" customHeight="1" x14ac:dyDescent="0.3">
      <c r="A2980" s="1">
        <v>44801</v>
      </c>
      <c r="B2980" s="2" t="s">
        <v>149</v>
      </c>
      <c r="C2980" s="2" t="s">
        <v>21</v>
      </c>
      <c r="D2980" s="2" t="s">
        <v>26</v>
      </c>
      <c r="E2980" s="2" t="s">
        <v>45</v>
      </c>
      <c r="F2980" s="2">
        <v>307.67</v>
      </c>
      <c r="G2980" s="2">
        <v>2</v>
      </c>
      <c r="H2980" s="2">
        <v>28.96</v>
      </c>
      <c r="I2980" t="str">
        <f t="shared" si="46"/>
        <v>Aug</v>
      </c>
      <c r="J2980">
        <f>YEAR(datas[[#This Row],[Order Date]])</f>
        <v>2022</v>
      </c>
    </row>
    <row r="2981" spans="1:10" ht="14.25" customHeight="1" x14ac:dyDescent="0.3">
      <c r="A2981" s="1">
        <v>44801</v>
      </c>
      <c r="B2981" s="2" t="s">
        <v>149</v>
      </c>
      <c r="C2981" s="2" t="s">
        <v>21</v>
      </c>
      <c r="D2981" s="2" t="s">
        <v>10</v>
      </c>
      <c r="E2981" s="2" t="s">
        <v>15</v>
      </c>
      <c r="F2981" s="2">
        <v>728.82</v>
      </c>
      <c r="G2981" s="2">
        <v>9</v>
      </c>
      <c r="H2981" s="2">
        <v>29.15</v>
      </c>
      <c r="I2981" t="str">
        <f t="shared" si="46"/>
        <v>Aug</v>
      </c>
      <c r="J2981">
        <f>YEAR(datas[[#This Row],[Order Date]])</f>
        <v>2022</v>
      </c>
    </row>
    <row r="2982" spans="1:10" ht="14.25" customHeight="1" x14ac:dyDescent="0.3">
      <c r="A2982" s="1">
        <v>44801</v>
      </c>
      <c r="B2982" s="2" t="s">
        <v>149</v>
      </c>
      <c r="C2982" s="2" t="s">
        <v>21</v>
      </c>
      <c r="D2982" s="2" t="s">
        <v>10</v>
      </c>
      <c r="E2982" s="2" t="s">
        <v>16</v>
      </c>
      <c r="F2982" s="2">
        <v>41.36</v>
      </c>
      <c r="G2982" s="2">
        <v>5</v>
      </c>
      <c r="H2982" s="2">
        <v>13.96</v>
      </c>
      <c r="I2982" t="str">
        <f t="shared" si="46"/>
        <v>Aug</v>
      </c>
      <c r="J2982">
        <f>YEAR(datas[[#This Row],[Order Date]])</f>
        <v>2022</v>
      </c>
    </row>
    <row r="2983" spans="1:10" ht="14.25" customHeight="1" x14ac:dyDescent="0.3">
      <c r="A2983" s="1">
        <v>44801</v>
      </c>
      <c r="B2983" s="2" t="s">
        <v>149</v>
      </c>
      <c r="C2983" s="2" t="s">
        <v>21</v>
      </c>
      <c r="D2983" s="2" t="s">
        <v>28</v>
      </c>
      <c r="E2983" s="2" t="s">
        <v>29</v>
      </c>
      <c r="F2983" s="2">
        <v>43.18</v>
      </c>
      <c r="G2983" s="2">
        <v>3</v>
      </c>
      <c r="H2983" s="2">
        <v>15.11</v>
      </c>
      <c r="I2983" t="str">
        <f t="shared" si="46"/>
        <v>Aug</v>
      </c>
      <c r="J2983">
        <f>YEAR(datas[[#This Row],[Order Date]])</f>
        <v>2022</v>
      </c>
    </row>
    <row r="2984" spans="1:10" ht="14.25" customHeight="1" x14ac:dyDescent="0.3">
      <c r="A2984" s="1">
        <v>44801</v>
      </c>
      <c r="B2984" s="2" t="s">
        <v>149</v>
      </c>
      <c r="C2984" s="2" t="s">
        <v>21</v>
      </c>
      <c r="D2984" s="2" t="s">
        <v>26</v>
      </c>
      <c r="E2984" s="2" t="s">
        <v>32</v>
      </c>
      <c r="F2984" s="2">
        <v>4.16</v>
      </c>
      <c r="G2984" s="2">
        <v>2</v>
      </c>
      <c r="H2984" s="2">
        <v>1.75</v>
      </c>
      <c r="I2984" t="str">
        <f t="shared" si="46"/>
        <v>Aug</v>
      </c>
      <c r="J2984">
        <f>YEAR(datas[[#This Row],[Order Date]])</f>
        <v>2022</v>
      </c>
    </row>
    <row r="2985" spans="1:10" ht="14.25" customHeight="1" x14ac:dyDescent="0.3">
      <c r="A2985" s="1">
        <v>44801</v>
      </c>
      <c r="B2985" s="2" t="s">
        <v>696</v>
      </c>
      <c r="C2985" s="2" t="s">
        <v>9</v>
      </c>
      <c r="D2985" s="2" t="s">
        <v>28</v>
      </c>
      <c r="E2985" s="2" t="s">
        <v>29</v>
      </c>
      <c r="F2985" s="2">
        <v>1099.96</v>
      </c>
      <c r="G2985" s="2">
        <v>5</v>
      </c>
      <c r="H2985" s="2">
        <v>82.5</v>
      </c>
      <c r="I2985" t="str">
        <f t="shared" si="46"/>
        <v>Aug</v>
      </c>
      <c r="J2985">
        <f>YEAR(datas[[#This Row],[Order Date]])</f>
        <v>2022</v>
      </c>
    </row>
    <row r="2986" spans="1:10" ht="14.25" customHeight="1" x14ac:dyDescent="0.3">
      <c r="A2986" s="1">
        <v>44801</v>
      </c>
      <c r="B2986" s="2" t="s">
        <v>696</v>
      </c>
      <c r="C2986" s="2" t="s">
        <v>9</v>
      </c>
      <c r="D2986" s="2" t="s">
        <v>26</v>
      </c>
      <c r="E2986" s="2" t="s">
        <v>73</v>
      </c>
      <c r="F2986" s="2">
        <v>103.48</v>
      </c>
      <c r="G2986" s="2">
        <v>1</v>
      </c>
      <c r="H2986" s="2">
        <v>-16.260000000000002</v>
      </c>
      <c r="I2986" t="str">
        <f t="shared" si="46"/>
        <v>Aug</v>
      </c>
      <c r="J2986">
        <f>YEAR(datas[[#This Row],[Order Date]])</f>
        <v>2022</v>
      </c>
    </row>
    <row r="2987" spans="1:10" ht="14.25" customHeight="1" x14ac:dyDescent="0.3">
      <c r="A2987" s="1">
        <v>44801</v>
      </c>
      <c r="B2987" s="2" t="s">
        <v>507</v>
      </c>
      <c r="C2987" s="2" t="s">
        <v>248</v>
      </c>
      <c r="D2987" s="2" t="s">
        <v>10</v>
      </c>
      <c r="E2987" s="2" t="s">
        <v>15</v>
      </c>
      <c r="F2987" s="2">
        <v>470.36</v>
      </c>
      <c r="G2987" s="2">
        <v>11</v>
      </c>
      <c r="H2987" s="2">
        <v>122.29</v>
      </c>
      <c r="I2987" t="str">
        <f t="shared" si="46"/>
        <v>Aug</v>
      </c>
      <c r="J2987">
        <f>YEAR(datas[[#This Row],[Order Date]])</f>
        <v>2022</v>
      </c>
    </row>
    <row r="2988" spans="1:10" ht="14.25" customHeight="1" x14ac:dyDescent="0.3">
      <c r="A2988" s="1">
        <v>44802</v>
      </c>
      <c r="B2988" s="2" t="s">
        <v>642</v>
      </c>
      <c r="C2988" s="2" t="s">
        <v>60</v>
      </c>
      <c r="D2988" s="2" t="s">
        <v>28</v>
      </c>
      <c r="E2988" s="2" t="s">
        <v>29</v>
      </c>
      <c r="F2988" s="2">
        <v>131.97999999999999</v>
      </c>
      <c r="G2988" s="2">
        <v>2</v>
      </c>
      <c r="H2988" s="2">
        <v>35.630000000000003</v>
      </c>
      <c r="I2988" t="str">
        <f t="shared" si="46"/>
        <v>Aug</v>
      </c>
      <c r="J2988">
        <f>YEAR(datas[[#This Row],[Order Date]])</f>
        <v>2022</v>
      </c>
    </row>
    <row r="2989" spans="1:10" ht="14.25" customHeight="1" x14ac:dyDescent="0.3">
      <c r="A2989" s="1">
        <v>44802</v>
      </c>
      <c r="B2989" s="2" t="s">
        <v>642</v>
      </c>
      <c r="C2989" s="2" t="s">
        <v>60</v>
      </c>
      <c r="D2989" s="2" t="s">
        <v>28</v>
      </c>
      <c r="E2989" s="2" t="s">
        <v>34</v>
      </c>
      <c r="F2989" s="2">
        <v>114.52</v>
      </c>
      <c r="G2989" s="2">
        <v>7</v>
      </c>
      <c r="H2989" s="2">
        <v>11.45</v>
      </c>
      <c r="I2989" t="str">
        <f t="shared" si="46"/>
        <v>Aug</v>
      </c>
      <c r="J2989">
        <f>YEAR(datas[[#This Row],[Order Date]])</f>
        <v>2022</v>
      </c>
    </row>
    <row r="2990" spans="1:10" ht="14.25" customHeight="1" x14ac:dyDescent="0.3">
      <c r="A2990" s="1">
        <v>44804</v>
      </c>
      <c r="B2990" s="2" t="s">
        <v>241</v>
      </c>
      <c r="C2990" s="2" t="s">
        <v>21</v>
      </c>
      <c r="D2990" s="2" t="s">
        <v>10</v>
      </c>
      <c r="E2990" s="2" t="s">
        <v>11</v>
      </c>
      <c r="F2990" s="2">
        <v>58.32</v>
      </c>
      <c r="G2990" s="2">
        <v>9</v>
      </c>
      <c r="H2990" s="2">
        <v>27.99</v>
      </c>
      <c r="I2990" t="str">
        <f t="shared" si="46"/>
        <v>Aug</v>
      </c>
      <c r="J2990">
        <f>YEAR(datas[[#This Row],[Order Date]])</f>
        <v>2022</v>
      </c>
    </row>
    <row r="2991" spans="1:10" ht="14.25" customHeight="1" x14ac:dyDescent="0.3">
      <c r="A2991" s="1">
        <v>44804</v>
      </c>
      <c r="B2991" s="2" t="s">
        <v>194</v>
      </c>
      <c r="C2991" s="2" t="s">
        <v>21</v>
      </c>
      <c r="D2991" s="2" t="s">
        <v>26</v>
      </c>
      <c r="E2991" s="2" t="s">
        <v>45</v>
      </c>
      <c r="F2991" s="2">
        <v>1552.83</v>
      </c>
      <c r="G2991" s="2">
        <v>7</v>
      </c>
      <c r="H2991" s="2">
        <v>200.95</v>
      </c>
      <c r="I2991" t="str">
        <f t="shared" si="46"/>
        <v>Aug</v>
      </c>
      <c r="J2991">
        <f>YEAR(datas[[#This Row],[Order Date]])</f>
        <v>2022</v>
      </c>
    </row>
    <row r="2992" spans="1:10" ht="14.25" customHeight="1" x14ac:dyDescent="0.3">
      <c r="A2992" s="1">
        <v>44804</v>
      </c>
      <c r="B2992" s="2" t="s">
        <v>194</v>
      </c>
      <c r="C2992" s="2" t="s">
        <v>21</v>
      </c>
      <c r="D2992" s="2" t="s">
        <v>10</v>
      </c>
      <c r="E2992" s="2" t="s">
        <v>16</v>
      </c>
      <c r="F2992" s="2">
        <v>137.24</v>
      </c>
      <c r="G2992" s="2">
        <v>5</v>
      </c>
      <c r="H2992" s="2">
        <v>46.32</v>
      </c>
      <c r="I2992" t="str">
        <f t="shared" si="46"/>
        <v>Aug</v>
      </c>
      <c r="J2992">
        <f>YEAR(datas[[#This Row],[Order Date]])</f>
        <v>2022</v>
      </c>
    </row>
    <row r="2993" spans="1:10" ht="14.25" customHeight="1" x14ac:dyDescent="0.3">
      <c r="A2993" s="1">
        <v>44804</v>
      </c>
      <c r="B2993" s="2" t="s">
        <v>194</v>
      </c>
      <c r="C2993" s="2" t="s">
        <v>21</v>
      </c>
      <c r="D2993" s="2" t="s">
        <v>28</v>
      </c>
      <c r="E2993" s="2" t="s">
        <v>34</v>
      </c>
      <c r="F2993" s="2">
        <v>36.51</v>
      </c>
      <c r="G2993" s="2">
        <v>1</v>
      </c>
      <c r="H2993" s="2">
        <v>15.7</v>
      </c>
      <c r="I2993" t="str">
        <f t="shared" si="46"/>
        <v>Aug</v>
      </c>
      <c r="J2993">
        <f>YEAR(datas[[#This Row],[Order Date]])</f>
        <v>2022</v>
      </c>
    </row>
    <row r="2994" spans="1:10" ht="14.25" customHeight="1" x14ac:dyDescent="0.3">
      <c r="A2994" s="1">
        <v>44804</v>
      </c>
      <c r="B2994" s="2" t="s">
        <v>194</v>
      </c>
      <c r="C2994" s="2" t="s">
        <v>21</v>
      </c>
      <c r="D2994" s="2" t="s">
        <v>28</v>
      </c>
      <c r="E2994" s="2" t="s">
        <v>136</v>
      </c>
      <c r="F2994" s="2">
        <v>239.98</v>
      </c>
      <c r="G2994" s="2">
        <v>3</v>
      </c>
      <c r="H2994" s="2">
        <v>80.989999999999995</v>
      </c>
      <c r="I2994" t="str">
        <f t="shared" si="46"/>
        <v>Aug</v>
      </c>
      <c r="J2994">
        <f>YEAR(datas[[#This Row],[Order Date]])</f>
        <v>2022</v>
      </c>
    </row>
    <row r="2995" spans="1:10" ht="14.25" customHeight="1" x14ac:dyDescent="0.3">
      <c r="A2995" s="1">
        <v>44804</v>
      </c>
      <c r="B2995" s="2" t="s">
        <v>69</v>
      </c>
      <c r="C2995" s="2" t="s">
        <v>9</v>
      </c>
      <c r="D2995" s="2" t="s">
        <v>10</v>
      </c>
      <c r="E2995" s="2" t="s">
        <v>11</v>
      </c>
      <c r="F2995" s="2">
        <v>20.96</v>
      </c>
      <c r="G2995" s="2">
        <v>4</v>
      </c>
      <c r="H2995" s="2">
        <v>6.81</v>
      </c>
      <c r="I2995" t="str">
        <f t="shared" si="46"/>
        <v>Aug</v>
      </c>
      <c r="J2995">
        <f>YEAR(datas[[#This Row],[Order Date]])</f>
        <v>2022</v>
      </c>
    </row>
    <row r="2996" spans="1:10" ht="14.25" customHeight="1" x14ac:dyDescent="0.3">
      <c r="A2996" s="1">
        <v>44804</v>
      </c>
      <c r="B2996" s="2" t="s">
        <v>583</v>
      </c>
      <c r="C2996" s="2" t="s">
        <v>21</v>
      </c>
      <c r="D2996" s="2" t="s">
        <v>28</v>
      </c>
      <c r="E2996" s="2" t="s">
        <v>29</v>
      </c>
      <c r="F2996" s="2">
        <v>555.96</v>
      </c>
      <c r="G2996" s="2">
        <v>5</v>
      </c>
      <c r="H2996" s="2">
        <v>41.7</v>
      </c>
      <c r="I2996" t="str">
        <f t="shared" si="46"/>
        <v>Aug</v>
      </c>
      <c r="J2996">
        <f>YEAR(datas[[#This Row],[Order Date]])</f>
        <v>2022</v>
      </c>
    </row>
    <row r="2997" spans="1:10" ht="14.25" customHeight="1" x14ac:dyDescent="0.3">
      <c r="A2997" s="1">
        <v>44805</v>
      </c>
      <c r="B2997" s="2" t="s">
        <v>511</v>
      </c>
      <c r="C2997" s="2" t="s">
        <v>21</v>
      </c>
      <c r="D2997" s="2" t="s">
        <v>10</v>
      </c>
      <c r="E2997" s="2" t="s">
        <v>16</v>
      </c>
      <c r="F2997" s="2">
        <v>4.75</v>
      </c>
      <c r="G2997" s="2">
        <v>1</v>
      </c>
      <c r="H2997" s="2">
        <v>1.6</v>
      </c>
      <c r="I2997" t="str">
        <f t="shared" si="46"/>
        <v>Sep</v>
      </c>
      <c r="J2997">
        <f>YEAR(datas[[#This Row],[Order Date]])</f>
        <v>2022</v>
      </c>
    </row>
    <row r="2998" spans="1:10" ht="14.25" customHeight="1" x14ac:dyDescent="0.3">
      <c r="A2998" s="1">
        <v>44805</v>
      </c>
      <c r="B2998" s="2" t="s">
        <v>511</v>
      </c>
      <c r="C2998" s="2" t="s">
        <v>21</v>
      </c>
      <c r="D2998" s="2" t="s">
        <v>28</v>
      </c>
      <c r="E2998" s="2" t="s">
        <v>243</v>
      </c>
      <c r="F2998" s="2">
        <v>959.98</v>
      </c>
      <c r="G2998" s="2">
        <v>2</v>
      </c>
      <c r="H2998" s="2">
        <v>335.99</v>
      </c>
      <c r="I2998" t="str">
        <f t="shared" si="46"/>
        <v>Sep</v>
      </c>
      <c r="J2998">
        <f>YEAR(datas[[#This Row],[Order Date]])</f>
        <v>2022</v>
      </c>
    </row>
    <row r="2999" spans="1:10" ht="14.25" customHeight="1" x14ac:dyDescent="0.3">
      <c r="A2999" s="1">
        <v>44805</v>
      </c>
      <c r="B2999" s="2" t="s">
        <v>511</v>
      </c>
      <c r="C2999" s="2" t="s">
        <v>21</v>
      </c>
      <c r="D2999" s="2" t="s">
        <v>10</v>
      </c>
      <c r="E2999" s="2" t="s">
        <v>16</v>
      </c>
      <c r="F2999" s="2">
        <v>14.37</v>
      </c>
      <c r="G2999" s="2">
        <v>4</v>
      </c>
      <c r="H2999" s="2">
        <v>4.49</v>
      </c>
      <c r="I2999" t="str">
        <f t="shared" si="46"/>
        <v>Sep</v>
      </c>
      <c r="J2999">
        <f>YEAR(datas[[#This Row],[Order Date]])</f>
        <v>2022</v>
      </c>
    </row>
    <row r="3000" spans="1:10" ht="14.25" customHeight="1" x14ac:dyDescent="0.3">
      <c r="A3000" s="1">
        <v>44805</v>
      </c>
      <c r="B3000" s="2" t="s">
        <v>166</v>
      </c>
      <c r="C3000" s="2" t="s">
        <v>181</v>
      </c>
      <c r="D3000" s="2" t="s">
        <v>10</v>
      </c>
      <c r="E3000" s="2" t="s">
        <v>16</v>
      </c>
      <c r="F3000" s="2">
        <v>114.6</v>
      </c>
      <c r="G3000" s="2">
        <v>5</v>
      </c>
      <c r="H3000" s="2">
        <v>51.57</v>
      </c>
      <c r="I3000" t="str">
        <f t="shared" si="46"/>
        <v>Sep</v>
      </c>
      <c r="J3000">
        <f>YEAR(datas[[#This Row],[Order Date]])</f>
        <v>2022</v>
      </c>
    </row>
    <row r="3001" spans="1:10" ht="14.25" customHeight="1" x14ac:dyDescent="0.3">
      <c r="A3001" s="1">
        <v>44805</v>
      </c>
      <c r="B3001" s="2" t="s">
        <v>166</v>
      </c>
      <c r="C3001" s="2" t="s">
        <v>181</v>
      </c>
      <c r="D3001" s="2" t="s">
        <v>26</v>
      </c>
      <c r="E3001" s="2" t="s">
        <v>27</v>
      </c>
      <c r="F3001" s="2">
        <v>60.74</v>
      </c>
      <c r="G3001" s="2">
        <v>1</v>
      </c>
      <c r="H3001" s="2">
        <v>15.19</v>
      </c>
      <c r="I3001" t="str">
        <f t="shared" si="46"/>
        <v>Sep</v>
      </c>
      <c r="J3001">
        <f>YEAR(datas[[#This Row],[Order Date]])</f>
        <v>2022</v>
      </c>
    </row>
    <row r="3002" spans="1:10" ht="14.25" customHeight="1" x14ac:dyDescent="0.3">
      <c r="A3002" s="1">
        <v>44805</v>
      </c>
      <c r="B3002" s="2" t="s">
        <v>166</v>
      </c>
      <c r="C3002" s="2" t="s">
        <v>181</v>
      </c>
      <c r="D3002" s="2" t="s">
        <v>26</v>
      </c>
      <c r="E3002" s="2" t="s">
        <v>32</v>
      </c>
      <c r="F3002" s="2">
        <v>124.36</v>
      </c>
      <c r="G3002" s="2">
        <v>2</v>
      </c>
      <c r="H3002" s="2">
        <v>27.36</v>
      </c>
      <c r="I3002" t="str">
        <f t="shared" si="46"/>
        <v>Sep</v>
      </c>
      <c r="J3002">
        <f>YEAR(datas[[#This Row],[Order Date]])</f>
        <v>2022</v>
      </c>
    </row>
    <row r="3003" spans="1:10" ht="14.25" customHeight="1" x14ac:dyDescent="0.3">
      <c r="A3003" s="1">
        <v>44805</v>
      </c>
      <c r="B3003" s="2" t="s">
        <v>166</v>
      </c>
      <c r="C3003" s="2" t="s">
        <v>181</v>
      </c>
      <c r="D3003" s="2" t="s">
        <v>10</v>
      </c>
      <c r="E3003" s="2" t="s">
        <v>15</v>
      </c>
      <c r="F3003" s="2">
        <v>1088.76</v>
      </c>
      <c r="G3003" s="2">
        <v>6</v>
      </c>
      <c r="H3003" s="2">
        <v>315.74</v>
      </c>
      <c r="I3003" t="str">
        <f t="shared" si="46"/>
        <v>Sep</v>
      </c>
      <c r="J3003">
        <f>YEAR(datas[[#This Row],[Order Date]])</f>
        <v>2022</v>
      </c>
    </row>
    <row r="3004" spans="1:10" ht="14.25" customHeight="1" x14ac:dyDescent="0.3">
      <c r="A3004" s="1">
        <v>44807</v>
      </c>
      <c r="B3004" s="2" t="s">
        <v>592</v>
      </c>
      <c r="C3004" s="2" t="s">
        <v>115</v>
      </c>
      <c r="D3004" s="2" t="s">
        <v>10</v>
      </c>
      <c r="E3004" s="2" t="s">
        <v>41</v>
      </c>
      <c r="F3004" s="2">
        <v>200.98</v>
      </c>
      <c r="G3004" s="2">
        <v>7</v>
      </c>
      <c r="H3004" s="2">
        <v>62.81</v>
      </c>
      <c r="I3004" t="str">
        <f t="shared" si="46"/>
        <v>Sep</v>
      </c>
      <c r="J3004">
        <f>YEAR(datas[[#This Row],[Order Date]])</f>
        <v>2022</v>
      </c>
    </row>
    <row r="3005" spans="1:10" ht="14.25" customHeight="1" x14ac:dyDescent="0.3">
      <c r="A3005" s="1">
        <v>44807</v>
      </c>
      <c r="B3005" s="2" t="s">
        <v>169</v>
      </c>
      <c r="C3005" s="2" t="s">
        <v>18</v>
      </c>
      <c r="D3005" s="2" t="s">
        <v>10</v>
      </c>
      <c r="E3005" s="2" t="s">
        <v>15</v>
      </c>
      <c r="F3005" s="2">
        <v>36.340000000000003</v>
      </c>
      <c r="G3005" s="2">
        <v>3</v>
      </c>
      <c r="H3005" s="2">
        <v>-7.27</v>
      </c>
      <c r="I3005" t="str">
        <f t="shared" si="46"/>
        <v>Sep</v>
      </c>
      <c r="J3005">
        <f>YEAR(datas[[#This Row],[Order Date]])</f>
        <v>2022</v>
      </c>
    </row>
    <row r="3006" spans="1:10" ht="14.25" customHeight="1" x14ac:dyDescent="0.3">
      <c r="A3006" s="1">
        <v>44807</v>
      </c>
      <c r="B3006" s="2" t="s">
        <v>169</v>
      </c>
      <c r="C3006" s="2" t="s">
        <v>18</v>
      </c>
      <c r="D3006" s="2" t="s">
        <v>10</v>
      </c>
      <c r="E3006" s="2" t="s">
        <v>95</v>
      </c>
      <c r="F3006" s="2">
        <v>666.25</v>
      </c>
      <c r="G3006" s="2">
        <v>1</v>
      </c>
      <c r="H3006" s="2">
        <v>-149.91</v>
      </c>
      <c r="I3006" t="str">
        <f t="shared" si="46"/>
        <v>Sep</v>
      </c>
      <c r="J3006">
        <f>YEAR(datas[[#This Row],[Order Date]])</f>
        <v>2022</v>
      </c>
    </row>
    <row r="3007" spans="1:10" ht="14.25" customHeight="1" x14ac:dyDescent="0.3">
      <c r="A3007" s="1">
        <v>44807</v>
      </c>
      <c r="B3007" s="2" t="s">
        <v>169</v>
      </c>
      <c r="C3007" s="2" t="s">
        <v>18</v>
      </c>
      <c r="D3007" s="2" t="s">
        <v>10</v>
      </c>
      <c r="E3007" s="2" t="s">
        <v>41</v>
      </c>
      <c r="F3007" s="2">
        <v>52.51</v>
      </c>
      <c r="G3007" s="2">
        <v>6</v>
      </c>
      <c r="H3007" s="2">
        <v>19.690000000000001</v>
      </c>
      <c r="I3007" t="str">
        <f t="shared" si="46"/>
        <v>Sep</v>
      </c>
      <c r="J3007">
        <f>YEAR(datas[[#This Row],[Order Date]])</f>
        <v>2022</v>
      </c>
    </row>
    <row r="3008" spans="1:10" ht="14.25" customHeight="1" x14ac:dyDescent="0.3">
      <c r="A3008" s="1">
        <v>44807</v>
      </c>
      <c r="B3008" s="2" t="s">
        <v>712</v>
      </c>
      <c r="C3008" s="2" t="s">
        <v>21</v>
      </c>
      <c r="D3008" s="2" t="s">
        <v>10</v>
      </c>
      <c r="E3008" s="2" t="s">
        <v>15</v>
      </c>
      <c r="F3008" s="2">
        <v>31.44</v>
      </c>
      <c r="G3008" s="2">
        <v>3</v>
      </c>
      <c r="H3008" s="2">
        <v>8.49</v>
      </c>
      <c r="I3008" t="str">
        <f t="shared" si="46"/>
        <v>Sep</v>
      </c>
      <c r="J3008">
        <f>YEAR(datas[[#This Row],[Order Date]])</f>
        <v>2022</v>
      </c>
    </row>
    <row r="3009" spans="1:10" ht="14.25" customHeight="1" x14ac:dyDescent="0.3">
      <c r="A3009" s="1">
        <v>44807</v>
      </c>
      <c r="B3009" s="2" t="s">
        <v>712</v>
      </c>
      <c r="C3009" s="2" t="s">
        <v>21</v>
      </c>
      <c r="D3009" s="2" t="s">
        <v>28</v>
      </c>
      <c r="E3009" s="2" t="s">
        <v>34</v>
      </c>
      <c r="F3009" s="2">
        <v>17.899999999999999</v>
      </c>
      <c r="G3009" s="2">
        <v>2</v>
      </c>
      <c r="H3009" s="2">
        <v>3.4</v>
      </c>
      <c r="I3009" t="str">
        <f t="shared" si="46"/>
        <v>Sep</v>
      </c>
      <c r="J3009">
        <f>YEAR(datas[[#This Row],[Order Date]])</f>
        <v>2022</v>
      </c>
    </row>
    <row r="3010" spans="1:10" ht="14.25" customHeight="1" x14ac:dyDescent="0.3">
      <c r="A3010" s="1">
        <v>44807</v>
      </c>
      <c r="B3010" s="2" t="s">
        <v>712</v>
      </c>
      <c r="C3010" s="2" t="s">
        <v>21</v>
      </c>
      <c r="D3010" s="2" t="s">
        <v>28</v>
      </c>
      <c r="E3010" s="2" t="s">
        <v>34</v>
      </c>
      <c r="F3010" s="2">
        <v>129.44999999999999</v>
      </c>
      <c r="G3010" s="2">
        <v>5</v>
      </c>
      <c r="H3010" s="2">
        <v>46.6</v>
      </c>
      <c r="I3010" t="str">
        <f t="shared" si="46"/>
        <v>Sep</v>
      </c>
      <c r="J3010">
        <f>YEAR(datas[[#This Row],[Order Date]])</f>
        <v>2022</v>
      </c>
    </row>
    <row r="3011" spans="1:10" ht="14.25" customHeight="1" x14ac:dyDescent="0.3">
      <c r="A3011" s="1">
        <v>44807</v>
      </c>
      <c r="B3011" s="2" t="s">
        <v>474</v>
      </c>
      <c r="C3011" s="2" t="s">
        <v>248</v>
      </c>
      <c r="D3011" s="2" t="s">
        <v>10</v>
      </c>
      <c r="E3011" s="2" t="s">
        <v>53</v>
      </c>
      <c r="F3011" s="2">
        <v>137.62</v>
      </c>
      <c r="G3011" s="2">
        <v>2</v>
      </c>
      <c r="H3011" s="2">
        <v>60.55</v>
      </c>
      <c r="I3011" t="str">
        <f t="shared" ref="I3011:I3074" si="47">TEXT(A3011,"mmm")</f>
        <v>Sep</v>
      </c>
      <c r="J3011">
        <f>YEAR(datas[[#This Row],[Order Date]])</f>
        <v>2022</v>
      </c>
    </row>
    <row r="3012" spans="1:10" ht="14.25" customHeight="1" x14ac:dyDescent="0.3">
      <c r="A3012" s="1">
        <v>44807</v>
      </c>
      <c r="B3012" s="2" t="s">
        <v>474</v>
      </c>
      <c r="C3012" s="2" t="s">
        <v>248</v>
      </c>
      <c r="D3012" s="2" t="s">
        <v>28</v>
      </c>
      <c r="E3012" s="2" t="s">
        <v>29</v>
      </c>
      <c r="F3012" s="2">
        <v>100.49</v>
      </c>
      <c r="G3012" s="2">
        <v>1</v>
      </c>
      <c r="H3012" s="2">
        <v>25.12</v>
      </c>
      <c r="I3012" t="str">
        <f t="shared" si="47"/>
        <v>Sep</v>
      </c>
      <c r="J3012">
        <f>YEAR(datas[[#This Row],[Order Date]])</f>
        <v>2022</v>
      </c>
    </row>
    <row r="3013" spans="1:10" ht="14.25" customHeight="1" x14ac:dyDescent="0.3">
      <c r="A3013" s="1">
        <v>44807</v>
      </c>
      <c r="B3013" s="2" t="s">
        <v>474</v>
      </c>
      <c r="C3013" s="2" t="s">
        <v>75</v>
      </c>
      <c r="D3013" s="2" t="s">
        <v>10</v>
      </c>
      <c r="E3013" s="2" t="s">
        <v>15</v>
      </c>
      <c r="F3013" s="2">
        <v>120.33</v>
      </c>
      <c r="G3013" s="2">
        <v>1</v>
      </c>
      <c r="H3013" s="2">
        <v>31.29</v>
      </c>
      <c r="I3013" t="str">
        <f t="shared" si="47"/>
        <v>Sep</v>
      </c>
      <c r="J3013">
        <f>YEAR(datas[[#This Row],[Order Date]])</f>
        <v>2022</v>
      </c>
    </row>
    <row r="3014" spans="1:10" ht="14.25" customHeight="1" x14ac:dyDescent="0.3">
      <c r="A3014" s="1">
        <v>44807</v>
      </c>
      <c r="B3014" s="2" t="s">
        <v>395</v>
      </c>
      <c r="C3014" s="2" t="s">
        <v>21</v>
      </c>
      <c r="D3014" s="2" t="s">
        <v>26</v>
      </c>
      <c r="E3014" s="2" t="s">
        <v>27</v>
      </c>
      <c r="F3014" s="2">
        <v>129.57</v>
      </c>
      <c r="G3014" s="2">
        <v>2</v>
      </c>
      <c r="H3014" s="2">
        <v>-12.96</v>
      </c>
      <c r="I3014" t="str">
        <f t="shared" si="47"/>
        <v>Sep</v>
      </c>
      <c r="J3014">
        <f>YEAR(datas[[#This Row],[Order Date]])</f>
        <v>2022</v>
      </c>
    </row>
    <row r="3015" spans="1:10" ht="14.25" customHeight="1" x14ac:dyDescent="0.3">
      <c r="A3015" s="1">
        <v>44807</v>
      </c>
      <c r="B3015" s="2" t="s">
        <v>395</v>
      </c>
      <c r="C3015" s="2" t="s">
        <v>21</v>
      </c>
      <c r="D3015" s="2" t="s">
        <v>10</v>
      </c>
      <c r="E3015" s="2" t="s">
        <v>16</v>
      </c>
      <c r="F3015" s="2">
        <v>6.37</v>
      </c>
      <c r="G3015" s="2">
        <v>2</v>
      </c>
      <c r="H3015" s="2">
        <v>2.15</v>
      </c>
      <c r="I3015" t="str">
        <f t="shared" si="47"/>
        <v>Sep</v>
      </c>
      <c r="J3015">
        <f>YEAR(datas[[#This Row],[Order Date]])</f>
        <v>2022</v>
      </c>
    </row>
    <row r="3016" spans="1:10" ht="14.25" customHeight="1" x14ac:dyDescent="0.3">
      <c r="A3016" s="1">
        <v>44807</v>
      </c>
      <c r="B3016" s="2" t="s">
        <v>624</v>
      </c>
      <c r="C3016" s="2" t="s">
        <v>55</v>
      </c>
      <c r="D3016" s="2" t="s">
        <v>26</v>
      </c>
      <c r="E3016" s="2" t="s">
        <v>32</v>
      </c>
      <c r="F3016" s="2">
        <v>238.15</v>
      </c>
      <c r="G3016" s="2">
        <v>3</v>
      </c>
      <c r="H3016" s="2">
        <v>89.31</v>
      </c>
      <c r="I3016" t="str">
        <f t="shared" si="47"/>
        <v>Sep</v>
      </c>
      <c r="J3016">
        <f>YEAR(datas[[#This Row],[Order Date]])</f>
        <v>2022</v>
      </c>
    </row>
    <row r="3017" spans="1:10" ht="14.25" customHeight="1" x14ac:dyDescent="0.3">
      <c r="A3017" s="1">
        <v>44807</v>
      </c>
      <c r="B3017" s="2" t="s">
        <v>275</v>
      </c>
      <c r="C3017" s="2" t="s">
        <v>60</v>
      </c>
      <c r="D3017" s="2" t="s">
        <v>10</v>
      </c>
      <c r="E3017" s="2" t="s">
        <v>14</v>
      </c>
      <c r="F3017" s="2">
        <v>7.5</v>
      </c>
      <c r="G3017" s="2">
        <v>2</v>
      </c>
      <c r="H3017" s="2">
        <v>3.6</v>
      </c>
      <c r="I3017" t="str">
        <f t="shared" si="47"/>
        <v>Sep</v>
      </c>
      <c r="J3017">
        <f>YEAR(datas[[#This Row],[Order Date]])</f>
        <v>2022</v>
      </c>
    </row>
    <row r="3018" spans="1:10" ht="14.25" customHeight="1" x14ac:dyDescent="0.3">
      <c r="A3018" s="1">
        <v>44808</v>
      </c>
      <c r="B3018" s="2" t="s">
        <v>419</v>
      </c>
      <c r="C3018" s="2" t="s">
        <v>23</v>
      </c>
      <c r="D3018" s="2" t="s">
        <v>10</v>
      </c>
      <c r="E3018" s="2" t="s">
        <v>11</v>
      </c>
      <c r="F3018" s="2">
        <v>279.89999999999998</v>
      </c>
      <c r="G3018" s="2">
        <v>5</v>
      </c>
      <c r="H3018" s="2">
        <v>137.15</v>
      </c>
      <c r="I3018" t="str">
        <f t="shared" si="47"/>
        <v>Sep</v>
      </c>
      <c r="J3018">
        <f>YEAR(datas[[#This Row],[Order Date]])</f>
        <v>2022</v>
      </c>
    </row>
    <row r="3019" spans="1:10" ht="14.25" customHeight="1" x14ac:dyDescent="0.3">
      <c r="A3019" s="1">
        <v>44808</v>
      </c>
      <c r="B3019" s="2" t="s">
        <v>419</v>
      </c>
      <c r="C3019" s="2" t="s">
        <v>23</v>
      </c>
      <c r="D3019" s="2" t="s">
        <v>28</v>
      </c>
      <c r="E3019" s="2" t="s">
        <v>34</v>
      </c>
      <c r="F3019" s="2">
        <v>619.95000000000005</v>
      </c>
      <c r="G3019" s="2">
        <v>5</v>
      </c>
      <c r="H3019" s="2">
        <v>111.59</v>
      </c>
      <c r="I3019" t="str">
        <f t="shared" si="47"/>
        <v>Sep</v>
      </c>
      <c r="J3019">
        <f>YEAR(datas[[#This Row],[Order Date]])</f>
        <v>2022</v>
      </c>
    </row>
    <row r="3020" spans="1:10" ht="14.25" customHeight="1" x14ac:dyDescent="0.3">
      <c r="A3020" s="1">
        <v>44808</v>
      </c>
      <c r="B3020" s="2" t="s">
        <v>419</v>
      </c>
      <c r="C3020" s="2" t="s">
        <v>23</v>
      </c>
      <c r="D3020" s="2" t="s">
        <v>10</v>
      </c>
      <c r="E3020" s="2" t="s">
        <v>11</v>
      </c>
      <c r="F3020" s="2">
        <v>4.3600000000000003</v>
      </c>
      <c r="G3020" s="2">
        <v>2</v>
      </c>
      <c r="H3020" s="2">
        <v>2.0499999999999998</v>
      </c>
      <c r="I3020" t="str">
        <f t="shared" si="47"/>
        <v>Sep</v>
      </c>
      <c r="J3020">
        <f>YEAR(datas[[#This Row],[Order Date]])</f>
        <v>2022</v>
      </c>
    </row>
    <row r="3021" spans="1:10" ht="14.25" customHeight="1" x14ac:dyDescent="0.3">
      <c r="A3021" s="1">
        <v>44808</v>
      </c>
      <c r="B3021" s="2" t="s">
        <v>419</v>
      </c>
      <c r="C3021" s="2" t="s">
        <v>23</v>
      </c>
      <c r="D3021" s="2" t="s">
        <v>10</v>
      </c>
      <c r="E3021" s="2" t="s">
        <v>41</v>
      </c>
      <c r="F3021" s="2">
        <v>15.28</v>
      </c>
      <c r="G3021" s="2">
        <v>2</v>
      </c>
      <c r="H3021" s="2">
        <v>7.49</v>
      </c>
      <c r="I3021" t="str">
        <f t="shared" si="47"/>
        <v>Sep</v>
      </c>
      <c r="J3021">
        <f>YEAR(datas[[#This Row],[Order Date]])</f>
        <v>2022</v>
      </c>
    </row>
    <row r="3022" spans="1:10" ht="14.25" customHeight="1" x14ac:dyDescent="0.3">
      <c r="A3022" s="1">
        <v>44808</v>
      </c>
      <c r="B3022" s="2" t="s">
        <v>187</v>
      </c>
      <c r="C3022" s="2" t="s">
        <v>52</v>
      </c>
      <c r="D3022" s="2" t="s">
        <v>10</v>
      </c>
      <c r="E3022" s="2" t="s">
        <v>16</v>
      </c>
      <c r="F3022" s="2">
        <v>9.76</v>
      </c>
      <c r="G3022" s="2">
        <v>2</v>
      </c>
      <c r="H3022" s="2">
        <v>-6.83</v>
      </c>
      <c r="I3022" t="str">
        <f t="shared" si="47"/>
        <v>Sep</v>
      </c>
      <c r="J3022">
        <f>YEAR(datas[[#This Row],[Order Date]])</f>
        <v>2022</v>
      </c>
    </row>
    <row r="3023" spans="1:10" ht="14.25" customHeight="1" x14ac:dyDescent="0.3">
      <c r="A3023" s="1">
        <v>44808</v>
      </c>
      <c r="B3023" s="2" t="s">
        <v>235</v>
      </c>
      <c r="C3023" s="2" t="s">
        <v>9</v>
      </c>
      <c r="D3023" s="2" t="s">
        <v>28</v>
      </c>
      <c r="E3023" s="2" t="s">
        <v>34</v>
      </c>
      <c r="F3023" s="2">
        <v>134.38</v>
      </c>
      <c r="G3023" s="2">
        <v>3</v>
      </c>
      <c r="H3023" s="2">
        <v>6.72</v>
      </c>
      <c r="I3023" t="str">
        <f t="shared" si="47"/>
        <v>Sep</v>
      </c>
      <c r="J3023">
        <f>YEAR(datas[[#This Row],[Order Date]])</f>
        <v>2022</v>
      </c>
    </row>
    <row r="3024" spans="1:10" ht="14.25" customHeight="1" x14ac:dyDescent="0.3">
      <c r="A3024" s="1">
        <v>44808</v>
      </c>
      <c r="B3024" s="2" t="s">
        <v>751</v>
      </c>
      <c r="C3024" s="2" t="s">
        <v>18</v>
      </c>
      <c r="D3024" s="2" t="s">
        <v>10</v>
      </c>
      <c r="E3024" s="2" t="s">
        <v>16</v>
      </c>
      <c r="F3024" s="2">
        <v>7.66</v>
      </c>
      <c r="G3024" s="2">
        <v>4</v>
      </c>
      <c r="H3024" s="2">
        <v>-6.12</v>
      </c>
      <c r="I3024" t="str">
        <f t="shared" si="47"/>
        <v>Sep</v>
      </c>
      <c r="J3024">
        <f>YEAR(datas[[#This Row],[Order Date]])</f>
        <v>2022</v>
      </c>
    </row>
    <row r="3025" spans="1:10" ht="14.25" customHeight="1" x14ac:dyDescent="0.3">
      <c r="A3025" s="1">
        <v>44809</v>
      </c>
      <c r="B3025" s="2" t="s">
        <v>385</v>
      </c>
      <c r="C3025" s="2" t="s">
        <v>21</v>
      </c>
      <c r="D3025" s="2" t="s">
        <v>26</v>
      </c>
      <c r="E3025" s="2" t="s">
        <v>45</v>
      </c>
      <c r="F3025" s="2">
        <v>411.33</v>
      </c>
      <c r="G3025" s="2">
        <v>4</v>
      </c>
      <c r="H3025" s="2">
        <v>-4.84</v>
      </c>
      <c r="I3025" t="str">
        <f t="shared" si="47"/>
        <v>Sep</v>
      </c>
      <c r="J3025">
        <f>YEAR(datas[[#This Row],[Order Date]])</f>
        <v>2022</v>
      </c>
    </row>
    <row r="3026" spans="1:10" ht="14.25" customHeight="1" x14ac:dyDescent="0.3">
      <c r="A3026" s="1">
        <v>44809</v>
      </c>
      <c r="B3026" s="2" t="s">
        <v>385</v>
      </c>
      <c r="C3026" s="2" t="s">
        <v>21</v>
      </c>
      <c r="D3026" s="2" t="s">
        <v>10</v>
      </c>
      <c r="E3026" s="2" t="s">
        <v>16</v>
      </c>
      <c r="F3026" s="2">
        <v>28.75</v>
      </c>
      <c r="G3026" s="2">
        <v>6</v>
      </c>
      <c r="H3026" s="2">
        <v>9.6999999999999993</v>
      </c>
      <c r="I3026" t="str">
        <f t="shared" si="47"/>
        <v>Sep</v>
      </c>
      <c r="J3026">
        <f>YEAR(datas[[#This Row],[Order Date]])</f>
        <v>2022</v>
      </c>
    </row>
    <row r="3027" spans="1:10" ht="14.25" customHeight="1" x14ac:dyDescent="0.3">
      <c r="A3027" s="1">
        <v>44809</v>
      </c>
      <c r="B3027" s="2" t="s">
        <v>385</v>
      </c>
      <c r="C3027" s="2" t="s">
        <v>21</v>
      </c>
      <c r="D3027" s="2" t="s">
        <v>26</v>
      </c>
      <c r="E3027" s="2" t="s">
        <v>45</v>
      </c>
      <c r="F3027" s="2">
        <v>293.2</v>
      </c>
      <c r="G3027" s="2">
        <v>3</v>
      </c>
      <c r="H3027" s="2">
        <v>-20.7</v>
      </c>
      <c r="I3027" t="str">
        <f t="shared" si="47"/>
        <v>Sep</v>
      </c>
      <c r="J3027">
        <f>YEAR(datas[[#This Row],[Order Date]])</f>
        <v>2022</v>
      </c>
    </row>
    <row r="3028" spans="1:10" ht="14.25" customHeight="1" x14ac:dyDescent="0.3">
      <c r="A3028" s="1">
        <v>44809</v>
      </c>
      <c r="B3028" s="2" t="s">
        <v>756</v>
      </c>
      <c r="C3028" s="2" t="s">
        <v>9</v>
      </c>
      <c r="D3028" s="2" t="s">
        <v>10</v>
      </c>
      <c r="E3028" s="2" t="s">
        <v>16</v>
      </c>
      <c r="F3028" s="2">
        <v>16.27</v>
      </c>
      <c r="G3028" s="2">
        <v>5</v>
      </c>
      <c r="H3028" s="2">
        <v>-25.22</v>
      </c>
      <c r="I3028" t="str">
        <f t="shared" si="47"/>
        <v>Sep</v>
      </c>
      <c r="J3028">
        <f>YEAR(datas[[#This Row],[Order Date]])</f>
        <v>2022</v>
      </c>
    </row>
    <row r="3029" spans="1:10" ht="14.25" customHeight="1" x14ac:dyDescent="0.3">
      <c r="A3029" s="1">
        <v>44809</v>
      </c>
      <c r="B3029" s="2" t="s">
        <v>756</v>
      </c>
      <c r="C3029" s="2" t="s">
        <v>9</v>
      </c>
      <c r="D3029" s="2" t="s">
        <v>10</v>
      </c>
      <c r="E3029" s="2" t="s">
        <v>95</v>
      </c>
      <c r="F3029" s="2">
        <v>69.12</v>
      </c>
      <c r="G3029" s="2">
        <v>9</v>
      </c>
      <c r="H3029" s="2">
        <v>-14.69</v>
      </c>
      <c r="I3029" t="str">
        <f t="shared" si="47"/>
        <v>Sep</v>
      </c>
      <c r="J3029">
        <f>YEAR(datas[[#This Row],[Order Date]])</f>
        <v>2022</v>
      </c>
    </row>
    <row r="3030" spans="1:10" ht="14.25" customHeight="1" x14ac:dyDescent="0.3">
      <c r="A3030" s="1">
        <v>44809</v>
      </c>
      <c r="B3030" s="2" t="s">
        <v>756</v>
      </c>
      <c r="C3030" s="2" t="s">
        <v>9</v>
      </c>
      <c r="D3030" s="2" t="s">
        <v>10</v>
      </c>
      <c r="E3030" s="2" t="s">
        <v>16</v>
      </c>
      <c r="F3030" s="2">
        <v>4.47</v>
      </c>
      <c r="G3030" s="2">
        <v>3</v>
      </c>
      <c r="H3030" s="2">
        <v>-7.82</v>
      </c>
      <c r="I3030" t="str">
        <f t="shared" si="47"/>
        <v>Sep</v>
      </c>
      <c r="J3030">
        <f>YEAR(datas[[#This Row],[Order Date]])</f>
        <v>2022</v>
      </c>
    </row>
    <row r="3031" spans="1:10" ht="14.25" customHeight="1" x14ac:dyDescent="0.3">
      <c r="A3031" s="1">
        <v>44809</v>
      </c>
      <c r="B3031" s="2" t="s">
        <v>641</v>
      </c>
      <c r="C3031" s="2" t="s">
        <v>140</v>
      </c>
      <c r="D3031" s="2" t="s">
        <v>26</v>
      </c>
      <c r="E3031" s="2" t="s">
        <v>32</v>
      </c>
      <c r="F3031" s="2">
        <v>6.16</v>
      </c>
      <c r="G3031" s="2">
        <v>2</v>
      </c>
      <c r="H3031" s="2">
        <v>2.96</v>
      </c>
      <c r="I3031" t="str">
        <f t="shared" si="47"/>
        <v>Sep</v>
      </c>
      <c r="J3031">
        <f>YEAR(datas[[#This Row],[Order Date]])</f>
        <v>2022</v>
      </c>
    </row>
    <row r="3032" spans="1:10" ht="14.25" customHeight="1" x14ac:dyDescent="0.3">
      <c r="A3032" s="1">
        <v>44809</v>
      </c>
      <c r="B3032" s="2" t="s">
        <v>641</v>
      </c>
      <c r="C3032" s="2" t="s">
        <v>140</v>
      </c>
      <c r="D3032" s="2" t="s">
        <v>10</v>
      </c>
      <c r="E3032" s="2" t="s">
        <v>11</v>
      </c>
      <c r="F3032" s="2">
        <v>36.840000000000003</v>
      </c>
      <c r="G3032" s="2">
        <v>3</v>
      </c>
      <c r="H3032" s="2">
        <v>17.309999999999999</v>
      </c>
      <c r="I3032" t="str">
        <f t="shared" si="47"/>
        <v>Sep</v>
      </c>
      <c r="J3032">
        <f>YEAR(datas[[#This Row],[Order Date]])</f>
        <v>2022</v>
      </c>
    </row>
    <row r="3033" spans="1:10" ht="14.25" customHeight="1" x14ac:dyDescent="0.3">
      <c r="A3033" s="1">
        <v>44809</v>
      </c>
      <c r="B3033" s="2" t="s">
        <v>653</v>
      </c>
      <c r="C3033" s="2" t="s">
        <v>36</v>
      </c>
      <c r="D3033" s="2" t="s">
        <v>26</v>
      </c>
      <c r="E3033" s="2" t="s">
        <v>32</v>
      </c>
      <c r="F3033" s="2">
        <v>67.959999999999994</v>
      </c>
      <c r="G3033" s="2">
        <v>4</v>
      </c>
      <c r="H3033" s="2">
        <v>12.23</v>
      </c>
      <c r="I3033" t="str">
        <f t="shared" si="47"/>
        <v>Sep</v>
      </c>
      <c r="J3033">
        <f>YEAR(datas[[#This Row],[Order Date]])</f>
        <v>2022</v>
      </c>
    </row>
    <row r="3034" spans="1:10" ht="14.25" customHeight="1" x14ac:dyDescent="0.3">
      <c r="A3034" s="1">
        <v>44810</v>
      </c>
      <c r="B3034" s="2" t="s">
        <v>229</v>
      </c>
      <c r="C3034" s="2" t="s">
        <v>82</v>
      </c>
      <c r="D3034" s="2" t="s">
        <v>10</v>
      </c>
      <c r="E3034" s="2" t="s">
        <v>16</v>
      </c>
      <c r="F3034" s="2">
        <v>6.1</v>
      </c>
      <c r="G3034" s="2">
        <v>2</v>
      </c>
      <c r="H3034" s="2">
        <v>2.13</v>
      </c>
      <c r="I3034" t="str">
        <f t="shared" si="47"/>
        <v>Sep</v>
      </c>
      <c r="J3034">
        <f>YEAR(datas[[#This Row],[Order Date]])</f>
        <v>2022</v>
      </c>
    </row>
    <row r="3035" spans="1:10" ht="14.25" customHeight="1" x14ac:dyDescent="0.3">
      <c r="A3035" s="1">
        <v>44810</v>
      </c>
      <c r="B3035" s="2" t="s">
        <v>229</v>
      </c>
      <c r="C3035" s="2" t="s">
        <v>82</v>
      </c>
      <c r="D3035" s="2" t="s">
        <v>26</v>
      </c>
      <c r="E3035" s="2" t="s">
        <v>32</v>
      </c>
      <c r="F3035" s="2">
        <v>191.82</v>
      </c>
      <c r="G3035" s="2">
        <v>3</v>
      </c>
      <c r="H3035" s="2">
        <v>74.81</v>
      </c>
      <c r="I3035" t="str">
        <f t="shared" si="47"/>
        <v>Sep</v>
      </c>
      <c r="J3035">
        <f>YEAR(datas[[#This Row],[Order Date]])</f>
        <v>2022</v>
      </c>
    </row>
    <row r="3036" spans="1:10" ht="14.25" customHeight="1" x14ac:dyDescent="0.3">
      <c r="A3036" s="1">
        <v>44810</v>
      </c>
      <c r="B3036" s="2" t="s">
        <v>676</v>
      </c>
      <c r="C3036" s="2" t="s">
        <v>21</v>
      </c>
      <c r="D3036" s="2" t="s">
        <v>28</v>
      </c>
      <c r="E3036" s="2" t="s">
        <v>34</v>
      </c>
      <c r="F3036" s="2">
        <v>46.32</v>
      </c>
      <c r="G3036" s="2">
        <v>4</v>
      </c>
      <c r="H3036" s="2">
        <v>18.059999999999999</v>
      </c>
      <c r="I3036" t="str">
        <f t="shared" si="47"/>
        <v>Sep</v>
      </c>
      <c r="J3036">
        <f>YEAR(datas[[#This Row],[Order Date]])</f>
        <v>2022</v>
      </c>
    </row>
    <row r="3037" spans="1:10" ht="14.25" customHeight="1" x14ac:dyDescent="0.3">
      <c r="A3037" s="1">
        <v>44810</v>
      </c>
      <c r="B3037" s="2" t="s">
        <v>757</v>
      </c>
      <c r="C3037" s="2" t="s">
        <v>75</v>
      </c>
      <c r="D3037" s="2" t="s">
        <v>26</v>
      </c>
      <c r="E3037" s="2" t="s">
        <v>27</v>
      </c>
      <c r="F3037" s="2">
        <v>271.76</v>
      </c>
      <c r="G3037" s="2">
        <v>2</v>
      </c>
      <c r="H3037" s="2">
        <v>60.39</v>
      </c>
      <c r="I3037" t="str">
        <f t="shared" si="47"/>
        <v>Sep</v>
      </c>
      <c r="J3037">
        <f>YEAR(datas[[#This Row],[Order Date]])</f>
        <v>2022</v>
      </c>
    </row>
    <row r="3038" spans="1:10" ht="14.25" customHeight="1" x14ac:dyDescent="0.3">
      <c r="A3038" s="1">
        <v>44810</v>
      </c>
      <c r="B3038" s="2" t="s">
        <v>86</v>
      </c>
      <c r="C3038" s="2" t="s">
        <v>62</v>
      </c>
      <c r="D3038" s="2" t="s">
        <v>10</v>
      </c>
      <c r="E3038" s="2" t="s">
        <v>30</v>
      </c>
      <c r="F3038" s="2">
        <v>7.24</v>
      </c>
      <c r="G3038" s="2">
        <v>5</v>
      </c>
      <c r="H3038" s="2">
        <v>1.18</v>
      </c>
      <c r="I3038" t="str">
        <f t="shared" si="47"/>
        <v>Sep</v>
      </c>
      <c r="J3038">
        <f>YEAR(datas[[#This Row],[Order Date]])</f>
        <v>2022</v>
      </c>
    </row>
    <row r="3039" spans="1:10" ht="14.25" customHeight="1" x14ac:dyDescent="0.3">
      <c r="A3039" s="1">
        <v>44810</v>
      </c>
      <c r="B3039" s="2" t="s">
        <v>610</v>
      </c>
      <c r="C3039" s="2" t="s">
        <v>64</v>
      </c>
      <c r="D3039" s="2" t="s">
        <v>10</v>
      </c>
      <c r="E3039" s="2" t="s">
        <v>16</v>
      </c>
      <c r="F3039" s="2">
        <v>3.44</v>
      </c>
      <c r="G3039" s="2">
        <v>1</v>
      </c>
      <c r="H3039" s="2">
        <v>-2.5299999999999998</v>
      </c>
      <c r="I3039" t="str">
        <f t="shared" si="47"/>
        <v>Sep</v>
      </c>
      <c r="J3039">
        <f>YEAR(datas[[#This Row],[Order Date]])</f>
        <v>2022</v>
      </c>
    </row>
    <row r="3040" spans="1:10" ht="14.25" customHeight="1" x14ac:dyDescent="0.3">
      <c r="A3040" s="1">
        <v>44810</v>
      </c>
      <c r="B3040" s="2" t="s">
        <v>48</v>
      </c>
      <c r="C3040" s="2" t="s">
        <v>75</v>
      </c>
      <c r="D3040" s="2" t="s">
        <v>10</v>
      </c>
      <c r="E3040" s="2" t="s">
        <v>53</v>
      </c>
      <c r="F3040" s="2">
        <v>8.39</v>
      </c>
      <c r="G3040" s="2">
        <v>1</v>
      </c>
      <c r="H3040" s="2">
        <v>2.1</v>
      </c>
      <c r="I3040" t="str">
        <f t="shared" si="47"/>
        <v>Sep</v>
      </c>
      <c r="J3040">
        <f>YEAR(datas[[#This Row],[Order Date]])</f>
        <v>2022</v>
      </c>
    </row>
    <row r="3041" spans="1:10" ht="14.25" customHeight="1" x14ac:dyDescent="0.3">
      <c r="A3041" s="1">
        <v>44810</v>
      </c>
      <c r="B3041" s="2" t="s">
        <v>48</v>
      </c>
      <c r="C3041" s="2" t="s">
        <v>75</v>
      </c>
      <c r="D3041" s="2" t="s">
        <v>28</v>
      </c>
      <c r="E3041" s="2" t="s">
        <v>29</v>
      </c>
      <c r="F3041" s="2">
        <v>337.98</v>
      </c>
      <c r="G3041" s="2">
        <v>2</v>
      </c>
      <c r="H3041" s="2">
        <v>101.39</v>
      </c>
      <c r="I3041" t="str">
        <f t="shared" si="47"/>
        <v>Sep</v>
      </c>
      <c r="J3041">
        <f>YEAR(datas[[#This Row],[Order Date]])</f>
        <v>2022</v>
      </c>
    </row>
    <row r="3042" spans="1:10" ht="14.25" customHeight="1" x14ac:dyDescent="0.3">
      <c r="A3042" s="1">
        <v>44810</v>
      </c>
      <c r="B3042" s="2" t="s">
        <v>410</v>
      </c>
      <c r="C3042" s="2" t="s">
        <v>36</v>
      </c>
      <c r="D3042" s="2" t="s">
        <v>10</v>
      </c>
      <c r="E3042" s="2" t="s">
        <v>16</v>
      </c>
      <c r="F3042" s="2">
        <v>46.62</v>
      </c>
      <c r="G3042" s="2">
        <v>9</v>
      </c>
      <c r="H3042" s="2">
        <v>21.45</v>
      </c>
      <c r="I3042" t="str">
        <f t="shared" si="47"/>
        <v>Sep</v>
      </c>
      <c r="J3042">
        <f>YEAR(datas[[#This Row],[Order Date]])</f>
        <v>2022</v>
      </c>
    </row>
    <row r="3043" spans="1:10" ht="14.25" customHeight="1" x14ac:dyDescent="0.3">
      <c r="A3043" s="1">
        <v>44810</v>
      </c>
      <c r="B3043" s="2" t="s">
        <v>734</v>
      </c>
      <c r="C3043" s="2" t="s">
        <v>40</v>
      </c>
      <c r="D3043" s="2" t="s">
        <v>26</v>
      </c>
      <c r="E3043" s="2" t="s">
        <v>73</v>
      </c>
      <c r="F3043" s="2">
        <v>85.98</v>
      </c>
      <c r="G3043" s="2">
        <v>1</v>
      </c>
      <c r="H3043" s="2">
        <v>22.35</v>
      </c>
      <c r="I3043" t="str">
        <f t="shared" si="47"/>
        <v>Sep</v>
      </c>
      <c r="J3043">
        <f>YEAR(datas[[#This Row],[Order Date]])</f>
        <v>2022</v>
      </c>
    </row>
    <row r="3044" spans="1:10" ht="14.25" customHeight="1" x14ac:dyDescent="0.3">
      <c r="A3044" s="1">
        <v>44811</v>
      </c>
      <c r="B3044" s="2" t="s">
        <v>525</v>
      </c>
      <c r="C3044" s="2" t="s">
        <v>21</v>
      </c>
      <c r="D3044" s="2" t="s">
        <v>10</v>
      </c>
      <c r="E3044" s="2" t="s">
        <v>15</v>
      </c>
      <c r="F3044" s="2">
        <v>671.93</v>
      </c>
      <c r="G3044" s="2">
        <v>7</v>
      </c>
      <c r="H3044" s="2">
        <v>20.16</v>
      </c>
      <c r="I3044" t="str">
        <f t="shared" si="47"/>
        <v>Sep</v>
      </c>
      <c r="J3044">
        <f>YEAR(datas[[#This Row],[Order Date]])</f>
        <v>2022</v>
      </c>
    </row>
    <row r="3045" spans="1:10" ht="14.25" customHeight="1" x14ac:dyDescent="0.3">
      <c r="A3045" s="1">
        <v>44811</v>
      </c>
      <c r="B3045" s="2" t="s">
        <v>377</v>
      </c>
      <c r="C3045" s="2" t="s">
        <v>9</v>
      </c>
      <c r="D3045" s="2" t="s">
        <v>26</v>
      </c>
      <c r="E3045" s="2" t="s">
        <v>27</v>
      </c>
      <c r="F3045" s="2">
        <v>47.52</v>
      </c>
      <c r="G3045" s="2">
        <v>2</v>
      </c>
      <c r="H3045" s="2">
        <v>-2.04</v>
      </c>
      <c r="I3045" t="str">
        <f t="shared" si="47"/>
        <v>Sep</v>
      </c>
      <c r="J3045">
        <f>YEAR(datas[[#This Row],[Order Date]])</f>
        <v>2022</v>
      </c>
    </row>
    <row r="3046" spans="1:10" ht="14.25" customHeight="1" x14ac:dyDescent="0.3">
      <c r="A3046" s="1">
        <v>44811</v>
      </c>
      <c r="B3046" s="2" t="s">
        <v>457</v>
      </c>
      <c r="C3046" s="2" t="s">
        <v>75</v>
      </c>
      <c r="D3046" s="2" t="s">
        <v>10</v>
      </c>
      <c r="E3046" s="2" t="s">
        <v>15</v>
      </c>
      <c r="F3046" s="2">
        <v>13.96</v>
      </c>
      <c r="G3046" s="2">
        <v>2</v>
      </c>
      <c r="H3046" s="2">
        <v>0.28000000000000003</v>
      </c>
      <c r="I3046" t="str">
        <f t="shared" si="47"/>
        <v>Sep</v>
      </c>
      <c r="J3046">
        <f>YEAR(datas[[#This Row],[Order Date]])</f>
        <v>2022</v>
      </c>
    </row>
    <row r="3047" spans="1:10" ht="14.25" customHeight="1" x14ac:dyDescent="0.3">
      <c r="A3047" s="1">
        <v>44811</v>
      </c>
      <c r="B3047" s="2" t="s">
        <v>457</v>
      </c>
      <c r="C3047" s="2" t="s">
        <v>75</v>
      </c>
      <c r="D3047" s="2" t="s">
        <v>26</v>
      </c>
      <c r="E3047" s="2" t="s">
        <v>73</v>
      </c>
      <c r="F3047" s="2">
        <v>27.41</v>
      </c>
      <c r="G3047" s="2">
        <v>3</v>
      </c>
      <c r="H3047" s="2">
        <v>-14.16</v>
      </c>
      <c r="I3047" t="str">
        <f t="shared" si="47"/>
        <v>Sep</v>
      </c>
      <c r="J3047">
        <f>YEAR(datas[[#This Row],[Order Date]])</f>
        <v>2022</v>
      </c>
    </row>
    <row r="3048" spans="1:10" ht="14.25" customHeight="1" x14ac:dyDescent="0.3">
      <c r="A3048" s="1">
        <v>44811</v>
      </c>
      <c r="B3048" s="2" t="s">
        <v>452</v>
      </c>
      <c r="C3048" s="2" t="s">
        <v>18</v>
      </c>
      <c r="D3048" s="2" t="s">
        <v>10</v>
      </c>
      <c r="E3048" s="2" t="s">
        <v>16</v>
      </c>
      <c r="F3048" s="2">
        <v>9.52</v>
      </c>
      <c r="G3048" s="2">
        <v>1</v>
      </c>
      <c r="H3048" s="2">
        <v>-6.98</v>
      </c>
      <c r="I3048" t="str">
        <f t="shared" si="47"/>
        <v>Sep</v>
      </c>
      <c r="J3048">
        <f>YEAR(datas[[#This Row],[Order Date]])</f>
        <v>2022</v>
      </c>
    </row>
    <row r="3049" spans="1:10" ht="14.25" customHeight="1" x14ac:dyDescent="0.3">
      <c r="A3049" s="1">
        <v>44811</v>
      </c>
      <c r="B3049" s="2" t="s">
        <v>452</v>
      </c>
      <c r="C3049" s="2" t="s">
        <v>18</v>
      </c>
      <c r="D3049" s="2" t="s">
        <v>28</v>
      </c>
      <c r="E3049" s="2" t="s">
        <v>29</v>
      </c>
      <c r="F3049" s="2">
        <v>791.96</v>
      </c>
      <c r="G3049" s="2">
        <v>6</v>
      </c>
      <c r="H3049" s="2">
        <v>-131.99</v>
      </c>
      <c r="I3049" t="str">
        <f t="shared" si="47"/>
        <v>Sep</v>
      </c>
      <c r="J3049">
        <f>YEAR(datas[[#This Row],[Order Date]])</f>
        <v>2022</v>
      </c>
    </row>
    <row r="3050" spans="1:10" ht="14.25" customHeight="1" x14ac:dyDescent="0.3">
      <c r="A3050" s="1">
        <v>44811</v>
      </c>
      <c r="B3050" s="2" t="s">
        <v>452</v>
      </c>
      <c r="C3050" s="2" t="s">
        <v>18</v>
      </c>
      <c r="D3050" s="2" t="s">
        <v>10</v>
      </c>
      <c r="E3050" s="2" t="s">
        <v>16</v>
      </c>
      <c r="F3050" s="2">
        <v>4.92</v>
      </c>
      <c r="G3050" s="2">
        <v>3</v>
      </c>
      <c r="H3050" s="2">
        <v>-3.94</v>
      </c>
      <c r="I3050" t="str">
        <f t="shared" si="47"/>
        <v>Sep</v>
      </c>
      <c r="J3050">
        <f>YEAR(datas[[#This Row],[Order Date]])</f>
        <v>2022</v>
      </c>
    </row>
    <row r="3051" spans="1:10" ht="14.25" customHeight="1" x14ac:dyDescent="0.3">
      <c r="A3051" s="1">
        <v>44811</v>
      </c>
      <c r="B3051" s="2" t="s">
        <v>439</v>
      </c>
      <c r="C3051" s="2" t="s">
        <v>115</v>
      </c>
      <c r="D3051" s="2" t="s">
        <v>10</v>
      </c>
      <c r="E3051" s="2" t="s">
        <v>19</v>
      </c>
      <c r="F3051" s="2">
        <v>140.74</v>
      </c>
      <c r="G3051" s="2">
        <v>4</v>
      </c>
      <c r="H3051" s="2">
        <v>12.31</v>
      </c>
      <c r="I3051" t="str">
        <f t="shared" si="47"/>
        <v>Sep</v>
      </c>
      <c r="J3051">
        <f>YEAR(datas[[#This Row],[Order Date]])</f>
        <v>2022</v>
      </c>
    </row>
    <row r="3052" spans="1:10" ht="14.25" customHeight="1" x14ac:dyDescent="0.3">
      <c r="A3052" s="1">
        <v>44811</v>
      </c>
      <c r="B3052" s="2" t="s">
        <v>522</v>
      </c>
      <c r="C3052" s="2" t="s">
        <v>75</v>
      </c>
      <c r="D3052" s="2" t="s">
        <v>28</v>
      </c>
      <c r="E3052" s="2" t="s">
        <v>34</v>
      </c>
      <c r="F3052" s="2">
        <v>559.92999999999995</v>
      </c>
      <c r="G3052" s="2">
        <v>7</v>
      </c>
      <c r="H3052" s="2">
        <v>167.98</v>
      </c>
      <c r="I3052" t="str">
        <f t="shared" si="47"/>
        <v>Sep</v>
      </c>
      <c r="J3052">
        <f>YEAR(datas[[#This Row],[Order Date]])</f>
        <v>2022</v>
      </c>
    </row>
    <row r="3053" spans="1:10" ht="14.25" customHeight="1" x14ac:dyDescent="0.3">
      <c r="A3053" s="1">
        <v>44811</v>
      </c>
      <c r="B3053" s="2" t="s">
        <v>410</v>
      </c>
      <c r="C3053" s="2" t="s">
        <v>75</v>
      </c>
      <c r="D3053" s="2" t="s">
        <v>10</v>
      </c>
      <c r="E3053" s="2" t="s">
        <v>15</v>
      </c>
      <c r="F3053" s="2">
        <v>70.260000000000005</v>
      </c>
      <c r="G3053" s="2">
        <v>3</v>
      </c>
      <c r="H3053" s="2">
        <v>18.97</v>
      </c>
      <c r="I3053" t="str">
        <f t="shared" si="47"/>
        <v>Sep</v>
      </c>
      <c r="J3053">
        <f>YEAR(datas[[#This Row],[Order Date]])</f>
        <v>2022</v>
      </c>
    </row>
    <row r="3054" spans="1:10" ht="14.25" customHeight="1" x14ac:dyDescent="0.3">
      <c r="A3054" s="1">
        <v>44811</v>
      </c>
      <c r="B3054" s="2" t="s">
        <v>410</v>
      </c>
      <c r="C3054" s="2" t="s">
        <v>75</v>
      </c>
      <c r="D3054" s="2" t="s">
        <v>28</v>
      </c>
      <c r="E3054" s="2" t="s">
        <v>34</v>
      </c>
      <c r="F3054" s="2">
        <v>90</v>
      </c>
      <c r="G3054" s="2">
        <v>5</v>
      </c>
      <c r="H3054" s="2">
        <v>16.2</v>
      </c>
      <c r="I3054" t="str">
        <f t="shared" si="47"/>
        <v>Sep</v>
      </c>
      <c r="J3054">
        <f>YEAR(datas[[#This Row],[Order Date]])</f>
        <v>2022</v>
      </c>
    </row>
    <row r="3055" spans="1:10" ht="14.25" customHeight="1" x14ac:dyDescent="0.3">
      <c r="A3055" s="1">
        <v>44811</v>
      </c>
      <c r="B3055" s="2" t="s">
        <v>410</v>
      </c>
      <c r="C3055" s="2" t="s">
        <v>75</v>
      </c>
      <c r="D3055" s="2" t="s">
        <v>10</v>
      </c>
      <c r="E3055" s="2" t="s">
        <v>16</v>
      </c>
      <c r="F3055" s="2">
        <v>6.1</v>
      </c>
      <c r="G3055" s="2">
        <v>2</v>
      </c>
      <c r="H3055" s="2">
        <v>2.06</v>
      </c>
      <c r="I3055" t="str">
        <f t="shared" si="47"/>
        <v>Sep</v>
      </c>
      <c r="J3055">
        <f>YEAR(datas[[#This Row],[Order Date]])</f>
        <v>2022</v>
      </c>
    </row>
    <row r="3056" spans="1:10" ht="14.25" customHeight="1" x14ac:dyDescent="0.3">
      <c r="A3056" s="1">
        <v>44811</v>
      </c>
      <c r="B3056" s="2" t="s">
        <v>410</v>
      </c>
      <c r="C3056" s="2" t="s">
        <v>75</v>
      </c>
      <c r="D3056" s="2" t="s">
        <v>26</v>
      </c>
      <c r="E3056" s="2" t="s">
        <v>73</v>
      </c>
      <c r="F3056" s="2">
        <v>481.18</v>
      </c>
      <c r="G3056" s="2">
        <v>2</v>
      </c>
      <c r="H3056" s="2">
        <v>-120.29</v>
      </c>
      <c r="I3056" t="str">
        <f t="shared" si="47"/>
        <v>Sep</v>
      </c>
      <c r="J3056">
        <f>YEAR(datas[[#This Row],[Order Date]])</f>
        <v>2022</v>
      </c>
    </row>
    <row r="3057" spans="1:10" ht="14.25" customHeight="1" x14ac:dyDescent="0.3">
      <c r="A3057" s="1">
        <v>44811</v>
      </c>
      <c r="B3057" s="2" t="s">
        <v>410</v>
      </c>
      <c r="C3057" s="2" t="s">
        <v>75</v>
      </c>
      <c r="D3057" s="2" t="s">
        <v>10</v>
      </c>
      <c r="E3057" s="2" t="s">
        <v>30</v>
      </c>
      <c r="F3057" s="2">
        <v>7.24</v>
      </c>
      <c r="G3057" s="2">
        <v>4</v>
      </c>
      <c r="H3057" s="2">
        <v>2.39</v>
      </c>
      <c r="I3057" t="str">
        <f t="shared" si="47"/>
        <v>Sep</v>
      </c>
      <c r="J3057">
        <f>YEAR(datas[[#This Row],[Order Date]])</f>
        <v>2022</v>
      </c>
    </row>
    <row r="3058" spans="1:10" ht="14.25" customHeight="1" x14ac:dyDescent="0.3">
      <c r="A3058" s="1">
        <v>44812</v>
      </c>
      <c r="B3058" s="2" t="s">
        <v>758</v>
      </c>
      <c r="C3058" s="2" t="s">
        <v>21</v>
      </c>
      <c r="D3058" s="2" t="s">
        <v>10</v>
      </c>
      <c r="E3058" s="2" t="s">
        <v>11</v>
      </c>
      <c r="F3058" s="2">
        <v>26.4</v>
      </c>
      <c r="G3058" s="2">
        <v>5</v>
      </c>
      <c r="H3058" s="2">
        <v>11.88</v>
      </c>
      <c r="I3058" t="str">
        <f t="shared" si="47"/>
        <v>Sep</v>
      </c>
      <c r="J3058">
        <f>YEAR(datas[[#This Row],[Order Date]])</f>
        <v>2022</v>
      </c>
    </row>
    <row r="3059" spans="1:10" ht="14.25" customHeight="1" x14ac:dyDescent="0.3">
      <c r="A3059" s="1">
        <v>44812</v>
      </c>
      <c r="B3059" s="2" t="s">
        <v>758</v>
      </c>
      <c r="C3059" s="2" t="s">
        <v>21</v>
      </c>
      <c r="D3059" s="2" t="s">
        <v>10</v>
      </c>
      <c r="E3059" s="2" t="s">
        <v>15</v>
      </c>
      <c r="F3059" s="2">
        <v>41.88</v>
      </c>
      <c r="G3059" s="2">
        <v>6</v>
      </c>
      <c r="H3059" s="2">
        <v>0.84</v>
      </c>
      <c r="I3059" t="str">
        <f t="shared" si="47"/>
        <v>Sep</v>
      </c>
      <c r="J3059">
        <f>YEAR(datas[[#This Row],[Order Date]])</f>
        <v>2022</v>
      </c>
    </row>
    <row r="3060" spans="1:10" ht="14.25" customHeight="1" x14ac:dyDescent="0.3">
      <c r="A3060" s="1">
        <v>44812</v>
      </c>
      <c r="B3060" s="2" t="s">
        <v>263</v>
      </c>
      <c r="C3060" s="2" t="s">
        <v>198</v>
      </c>
      <c r="D3060" s="2" t="s">
        <v>26</v>
      </c>
      <c r="E3060" s="2" t="s">
        <v>32</v>
      </c>
      <c r="F3060" s="2">
        <v>21.36</v>
      </c>
      <c r="G3060" s="2">
        <v>8</v>
      </c>
      <c r="H3060" s="2">
        <v>8.1199999999999992</v>
      </c>
      <c r="I3060" t="str">
        <f t="shared" si="47"/>
        <v>Sep</v>
      </c>
      <c r="J3060">
        <f>YEAR(datas[[#This Row],[Order Date]])</f>
        <v>2022</v>
      </c>
    </row>
    <row r="3061" spans="1:10" ht="14.25" customHeight="1" x14ac:dyDescent="0.3">
      <c r="A3061" s="1">
        <v>44814</v>
      </c>
      <c r="B3061" s="2" t="s">
        <v>377</v>
      </c>
      <c r="C3061" s="2" t="s">
        <v>21</v>
      </c>
      <c r="D3061" s="2" t="s">
        <v>10</v>
      </c>
      <c r="E3061" s="2" t="s">
        <v>95</v>
      </c>
      <c r="F3061" s="2">
        <v>51.52</v>
      </c>
      <c r="G3061" s="2">
        <v>4</v>
      </c>
      <c r="H3061" s="2">
        <v>1.55</v>
      </c>
      <c r="I3061" t="str">
        <f t="shared" si="47"/>
        <v>Sep</v>
      </c>
      <c r="J3061">
        <f>YEAR(datas[[#This Row],[Order Date]])</f>
        <v>2022</v>
      </c>
    </row>
    <row r="3062" spans="1:10" ht="14.25" customHeight="1" x14ac:dyDescent="0.3">
      <c r="A3062" s="1">
        <v>44814</v>
      </c>
      <c r="B3062" s="2" t="s">
        <v>121</v>
      </c>
      <c r="C3062" s="2" t="s">
        <v>329</v>
      </c>
      <c r="D3062" s="2" t="s">
        <v>10</v>
      </c>
      <c r="E3062" s="2" t="s">
        <v>11</v>
      </c>
      <c r="F3062" s="2">
        <v>14.94</v>
      </c>
      <c r="G3062" s="2">
        <v>3</v>
      </c>
      <c r="H3062" s="2">
        <v>7.02</v>
      </c>
      <c r="I3062" t="str">
        <f t="shared" si="47"/>
        <v>Sep</v>
      </c>
      <c r="J3062">
        <f>YEAR(datas[[#This Row],[Order Date]])</f>
        <v>2022</v>
      </c>
    </row>
    <row r="3063" spans="1:10" ht="14.25" customHeight="1" x14ac:dyDescent="0.3">
      <c r="A3063" s="1">
        <v>44814</v>
      </c>
      <c r="B3063" s="2" t="s">
        <v>213</v>
      </c>
      <c r="C3063" s="2" t="s">
        <v>181</v>
      </c>
      <c r="D3063" s="2" t="s">
        <v>10</v>
      </c>
      <c r="E3063" s="2" t="s">
        <v>53</v>
      </c>
      <c r="F3063" s="2">
        <v>61.96</v>
      </c>
      <c r="G3063" s="2">
        <v>2</v>
      </c>
      <c r="H3063" s="2">
        <v>16.11</v>
      </c>
      <c r="I3063" t="str">
        <f t="shared" si="47"/>
        <v>Sep</v>
      </c>
      <c r="J3063">
        <f>YEAR(datas[[#This Row],[Order Date]])</f>
        <v>2022</v>
      </c>
    </row>
    <row r="3064" spans="1:10" ht="14.25" customHeight="1" x14ac:dyDescent="0.3">
      <c r="A3064" s="1">
        <v>44814</v>
      </c>
      <c r="B3064" s="2" t="s">
        <v>213</v>
      </c>
      <c r="C3064" s="2" t="s">
        <v>181</v>
      </c>
      <c r="D3064" s="2" t="s">
        <v>26</v>
      </c>
      <c r="E3064" s="2" t="s">
        <v>45</v>
      </c>
      <c r="F3064" s="2">
        <v>361.96</v>
      </c>
      <c r="G3064" s="2">
        <v>2</v>
      </c>
      <c r="H3064" s="2">
        <v>83.25</v>
      </c>
      <c r="I3064" t="str">
        <f t="shared" si="47"/>
        <v>Sep</v>
      </c>
      <c r="J3064">
        <f>YEAR(datas[[#This Row],[Order Date]])</f>
        <v>2022</v>
      </c>
    </row>
    <row r="3065" spans="1:10" ht="14.25" customHeight="1" x14ac:dyDescent="0.3">
      <c r="A3065" s="1">
        <v>44814</v>
      </c>
      <c r="B3065" s="2" t="s">
        <v>213</v>
      </c>
      <c r="C3065" s="2" t="s">
        <v>181</v>
      </c>
      <c r="D3065" s="2" t="s">
        <v>10</v>
      </c>
      <c r="E3065" s="2" t="s">
        <v>11</v>
      </c>
      <c r="F3065" s="2">
        <v>278.82</v>
      </c>
      <c r="G3065" s="2">
        <v>9</v>
      </c>
      <c r="H3065" s="2">
        <v>125.47</v>
      </c>
      <c r="I3065" t="str">
        <f t="shared" si="47"/>
        <v>Sep</v>
      </c>
      <c r="J3065">
        <f>YEAR(datas[[#This Row],[Order Date]])</f>
        <v>2022</v>
      </c>
    </row>
    <row r="3066" spans="1:10" ht="14.25" customHeight="1" x14ac:dyDescent="0.3">
      <c r="A3066" s="1">
        <v>44814</v>
      </c>
      <c r="B3066" s="2" t="s">
        <v>622</v>
      </c>
      <c r="C3066" s="2" t="s">
        <v>82</v>
      </c>
      <c r="D3066" s="2" t="s">
        <v>10</v>
      </c>
      <c r="E3066" s="2" t="s">
        <v>15</v>
      </c>
      <c r="F3066" s="2">
        <v>353.88</v>
      </c>
      <c r="G3066" s="2">
        <v>6</v>
      </c>
      <c r="H3066" s="2">
        <v>17.690000000000001</v>
      </c>
      <c r="I3066" t="str">
        <f t="shared" si="47"/>
        <v>Sep</v>
      </c>
      <c r="J3066">
        <f>YEAR(datas[[#This Row],[Order Date]])</f>
        <v>2022</v>
      </c>
    </row>
    <row r="3067" spans="1:10" ht="14.25" customHeight="1" x14ac:dyDescent="0.3">
      <c r="A3067" s="1">
        <v>44814</v>
      </c>
      <c r="B3067" s="2" t="s">
        <v>759</v>
      </c>
      <c r="C3067" s="2" t="s">
        <v>75</v>
      </c>
      <c r="D3067" s="2" t="s">
        <v>10</v>
      </c>
      <c r="E3067" s="2" t="s">
        <v>19</v>
      </c>
      <c r="F3067" s="2">
        <v>6.08</v>
      </c>
      <c r="G3067" s="2">
        <v>2</v>
      </c>
      <c r="H3067" s="2">
        <v>2.0699999999999998</v>
      </c>
      <c r="I3067" t="str">
        <f t="shared" si="47"/>
        <v>Sep</v>
      </c>
      <c r="J3067">
        <f>YEAR(datas[[#This Row],[Order Date]])</f>
        <v>2022</v>
      </c>
    </row>
    <row r="3068" spans="1:10" ht="14.25" customHeight="1" x14ac:dyDescent="0.3">
      <c r="A3068" s="1">
        <v>44814</v>
      </c>
      <c r="B3068" s="2" t="s">
        <v>481</v>
      </c>
      <c r="C3068" s="2" t="s">
        <v>21</v>
      </c>
      <c r="D3068" s="2" t="s">
        <v>26</v>
      </c>
      <c r="E3068" s="2" t="s">
        <v>32</v>
      </c>
      <c r="F3068" s="2">
        <v>106.68</v>
      </c>
      <c r="G3068" s="2">
        <v>6</v>
      </c>
      <c r="H3068" s="2">
        <v>33.07</v>
      </c>
      <c r="I3068" t="str">
        <f t="shared" si="47"/>
        <v>Sep</v>
      </c>
      <c r="J3068">
        <f>YEAR(datas[[#This Row],[Order Date]])</f>
        <v>2022</v>
      </c>
    </row>
    <row r="3069" spans="1:10" ht="14.25" customHeight="1" x14ac:dyDescent="0.3">
      <c r="A3069" s="1">
        <v>44814</v>
      </c>
      <c r="B3069" s="2" t="s">
        <v>664</v>
      </c>
      <c r="C3069" s="2" t="s">
        <v>9</v>
      </c>
      <c r="D3069" s="2" t="s">
        <v>26</v>
      </c>
      <c r="E3069" s="2" t="s">
        <v>27</v>
      </c>
      <c r="F3069" s="2">
        <v>179.89</v>
      </c>
      <c r="G3069" s="2">
        <v>1</v>
      </c>
      <c r="H3069" s="2">
        <v>-2.57</v>
      </c>
      <c r="I3069" t="str">
        <f t="shared" si="47"/>
        <v>Sep</v>
      </c>
      <c r="J3069">
        <f>YEAR(datas[[#This Row],[Order Date]])</f>
        <v>2022</v>
      </c>
    </row>
    <row r="3070" spans="1:10" ht="14.25" customHeight="1" x14ac:dyDescent="0.3">
      <c r="A3070" s="1">
        <v>44815</v>
      </c>
      <c r="B3070" s="2" t="s">
        <v>303</v>
      </c>
      <c r="C3070" s="2" t="s">
        <v>21</v>
      </c>
      <c r="D3070" s="2" t="s">
        <v>10</v>
      </c>
      <c r="E3070" s="2" t="s">
        <v>19</v>
      </c>
      <c r="F3070" s="2">
        <v>181.35</v>
      </c>
      <c r="G3070" s="2">
        <v>9</v>
      </c>
      <c r="H3070" s="2">
        <v>48.96</v>
      </c>
      <c r="I3070" t="str">
        <f t="shared" si="47"/>
        <v>Sep</v>
      </c>
      <c r="J3070">
        <f>YEAR(datas[[#This Row],[Order Date]])</f>
        <v>2022</v>
      </c>
    </row>
    <row r="3071" spans="1:10" ht="14.25" customHeight="1" x14ac:dyDescent="0.3">
      <c r="A3071" s="1">
        <v>44815</v>
      </c>
      <c r="B3071" s="2" t="s">
        <v>303</v>
      </c>
      <c r="C3071" s="2" t="s">
        <v>21</v>
      </c>
      <c r="D3071" s="2" t="s">
        <v>10</v>
      </c>
      <c r="E3071" s="2" t="s">
        <v>14</v>
      </c>
      <c r="F3071" s="2">
        <v>8.64</v>
      </c>
      <c r="G3071" s="2">
        <v>3</v>
      </c>
      <c r="H3071" s="2">
        <v>4.2300000000000004</v>
      </c>
      <c r="I3071" t="str">
        <f t="shared" si="47"/>
        <v>Sep</v>
      </c>
      <c r="J3071">
        <f>YEAR(datas[[#This Row],[Order Date]])</f>
        <v>2022</v>
      </c>
    </row>
    <row r="3072" spans="1:10" ht="14.25" customHeight="1" x14ac:dyDescent="0.3">
      <c r="A3072" s="1">
        <v>44815</v>
      </c>
      <c r="B3072" s="2" t="s">
        <v>257</v>
      </c>
      <c r="C3072" s="2" t="s">
        <v>21</v>
      </c>
      <c r="D3072" s="2" t="s">
        <v>10</v>
      </c>
      <c r="E3072" s="2" t="s">
        <v>19</v>
      </c>
      <c r="F3072" s="2">
        <v>265.86</v>
      </c>
      <c r="G3072" s="2">
        <v>7</v>
      </c>
      <c r="H3072" s="2">
        <v>79.760000000000005</v>
      </c>
      <c r="I3072" t="str">
        <f t="shared" si="47"/>
        <v>Sep</v>
      </c>
      <c r="J3072">
        <f>YEAR(datas[[#This Row],[Order Date]])</f>
        <v>2022</v>
      </c>
    </row>
    <row r="3073" spans="1:10" ht="14.25" customHeight="1" x14ac:dyDescent="0.3">
      <c r="A3073" s="1">
        <v>44815</v>
      </c>
      <c r="B3073" s="2" t="s">
        <v>354</v>
      </c>
      <c r="C3073" s="2" t="s">
        <v>75</v>
      </c>
      <c r="D3073" s="2" t="s">
        <v>26</v>
      </c>
      <c r="E3073" s="2" t="s">
        <v>32</v>
      </c>
      <c r="F3073" s="2">
        <v>210.68</v>
      </c>
      <c r="G3073" s="2">
        <v>2</v>
      </c>
      <c r="H3073" s="2">
        <v>50.56</v>
      </c>
      <c r="I3073" t="str">
        <f t="shared" si="47"/>
        <v>Sep</v>
      </c>
      <c r="J3073">
        <f>YEAR(datas[[#This Row],[Order Date]])</f>
        <v>2022</v>
      </c>
    </row>
    <row r="3074" spans="1:10" ht="14.25" customHeight="1" x14ac:dyDescent="0.3">
      <c r="A3074" s="1">
        <v>44815</v>
      </c>
      <c r="B3074" s="2" t="s">
        <v>354</v>
      </c>
      <c r="C3074" s="2" t="s">
        <v>75</v>
      </c>
      <c r="D3074" s="2" t="s">
        <v>10</v>
      </c>
      <c r="E3074" s="2" t="s">
        <v>15</v>
      </c>
      <c r="F3074" s="2">
        <v>78.8</v>
      </c>
      <c r="G3074" s="2">
        <v>1</v>
      </c>
      <c r="H3074" s="2">
        <v>1.58</v>
      </c>
      <c r="I3074" t="str">
        <f t="shared" si="47"/>
        <v>Sep</v>
      </c>
      <c r="J3074">
        <f>YEAR(datas[[#This Row],[Order Date]])</f>
        <v>2022</v>
      </c>
    </row>
    <row r="3075" spans="1:10" ht="14.25" customHeight="1" x14ac:dyDescent="0.3">
      <c r="A3075" s="1">
        <v>44815</v>
      </c>
      <c r="B3075" s="2" t="s">
        <v>354</v>
      </c>
      <c r="C3075" s="2" t="s">
        <v>75</v>
      </c>
      <c r="D3075" s="2" t="s">
        <v>28</v>
      </c>
      <c r="E3075" s="2" t="s">
        <v>34</v>
      </c>
      <c r="F3075" s="2">
        <v>19.989999999999998</v>
      </c>
      <c r="G3075" s="2">
        <v>1</v>
      </c>
      <c r="H3075" s="2">
        <v>6.8</v>
      </c>
      <c r="I3075" t="str">
        <f t="shared" ref="I3075:I3138" si="48">TEXT(A3075,"mmm")</f>
        <v>Sep</v>
      </c>
      <c r="J3075">
        <f>YEAR(datas[[#This Row],[Order Date]])</f>
        <v>2022</v>
      </c>
    </row>
    <row r="3076" spans="1:10" ht="14.25" customHeight="1" x14ac:dyDescent="0.3">
      <c r="A3076" s="1">
        <v>44815</v>
      </c>
      <c r="B3076" s="2" t="s">
        <v>354</v>
      </c>
      <c r="C3076" s="2" t="s">
        <v>75</v>
      </c>
      <c r="D3076" s="2" t="s">
        <v>10</v>
      </c>
      <c r="E3076" s="2" t="s">
        <v>15</v>
      </c>
      <c r="F3076" s="2">
        <v>772.68</v>
      </c>
      <c r="G3076" s="2">
        <v>4</v>
      </c>
      <c r="H3076" s="2">
        <v>108.18</v>
      </c>
      <c r="I3076" t="str">
        <f t="shared" si="48"/>
        <v>Sep</v>
      </c>
      <c r="J3076">
        <f>YEAR(datas[[#This Row],[Order Date]])</f>
        <v>2022</v>
      </c>
    </row>
    <row r="3077" spans="1:10" ht="14.25" customHeight="1" x14ac:dyDescent="0.3">
      <c r="A3077" s="1">
        <v>44815</v>
      </c>
      <c r="B3077" s="2" t="s">
        <v>233</v>
      </c>
      <c r="C3077" s="2" t="s">
        <v>126</v>
      </c>
      <c r="D3077" s="2" t="s">
        <v>26</v>
      </c>
      <c r="E3077" s="2" t="s">
        <v>32</v>
      </c>
      <c r="F3077" s="2">
        <v>24.64</v>
      </c>
      <c r="G3077" s="2">
        <v>4</v>
      </c>
      <c r="H3077" s="2">
        <v>4</v>
      </c>
      <c r="I3077" t="str">
        <f t="shared" si="48"/>
        <v>Sep</v>
      </c>
      <c r="J3077">
        <f>YEAR(datas[[#This Row],[Order Date]])</f>
        <v>2022</v>
      </c>
    </row>
    <row r="3078" spans="1:10" ht="14.25" customHeight="1" x14ac:dyDescent="0.3">
      <c r="A3078" s="1">
        <v>44815</v>
      </c>
      <c r="B3078" s="2" t="s">
        <v>732</v>
      </c>
      <c r="C3078" s="2" t="s">
        <v>87</v>
      </c>
      <c r="D3078" s="2" t="s">
        <v>10</v>
      </c>
      <c r="E3078" s="2" t="s">
        <v>14</v>
      </c>
      <c r="F3078" s="2">
        <v>31.05</v>
      </c>
      <c r="G3078" s="2">
        <v>3</v>
      </c>
      <c r="H3078" s="2">
        <v>14.9</v>
      </c>
      <c r="I3078" t="str">
        <f t="shared" si="48"/>
        <v>Sep</v>
      </c>
      <c r="J3078">
        <f>YEAR(datas[[#This Row],[Order Date]])</f>
        <v>2022</v>
      </c>
    </row>
    <row r="3079" spans="1:10" ht="14.25" customHeight="1" x14ac:dyDescent="0.3">
      <c r="A3079" s="1">
        <v>44815</v>
      </c>
      <c r="B3079" s="2" t="s">
        <v>732</v>
      </c>
      <c r="C3079" s="2" t="s">
        <v>87</v>
      </c>
      <c r="D3079" s="2" t="s">
        <v>26</v>
      </c>
      <c r="E3079" s="2" t="s">
        <v>32</v>
      </c>
      <c r="F3079" s="2">
        <v>8.92</v>
      </c>
      <c r="G3079" s="2">
        <v>4</v>
      </c>
      <c r="H3079" s="2">
        <v>3.92</v>
      </c>
      <c r="I3079" t="str">
        <f t="shared" si="48"/>
        <v>Sep</v>
      </c>
      <c r="J3079">
        <f>YEAR(datas[[#This Row],[Order Date]])</f>
        <v>2022</v>
      </c>
    </row>
    <row r="3080" spans="1:10" ht="14.25" customHeight="1" x14ac:dyDescent="0.3">
      <c r="A3080" s="1">
        <v>44815</v>
      </c>
      <c r="B3080" s="2" t="s">
        <v>732</v>
      </c>
      <c r="C3080" s="2" t="s">
        <v>87</v>
      </c>
      <c r="D3080" s="2" t="s">
        <v>10</v>
      </c>
      <c r="E3080" s="2" t="s">
        <v>16</v>
      </c>
      <c r="F3080" s="2">
        <v>209.6</v>
      </c>
      <c r="G3080" s="2">
        <v>4</v>
      </c>
      <c r="H3080" s="2">
        <v>96.42</v>
      </c>
      <c r="I3080" t="str">
        <f t="shared" si="48"/>
        <v>Sep</v>
      </c>
      <c r="J3080">
        <f>YEAR(datas[[#This Row],[Order Date]])</f>
        <v>2022</v>
      </c>
    </row>
    <row r="3081" spans="1:10" ht="14.25" customHeight="1" x14ac:dyDescent="0.3">
      <c r="A3081" s="1">
        <v>44815</v>
      </c>
      <c r="B3081" s="2" t="s">
        <v>732</v>
      </c>
      <c r="C3081" s="2" t="s">
        <v>87</v>
      </c>
      <c r="D3081" s="2" t="s">
        <v>10</v>
      </c>
      <c r="E3081" s="2" t="s">
        <v>53</v>
      </c>
      <c r="F3081" s="2">
        <v>111.04</v>
      </c>
      <c r="G3081" s="2">
        <v>4</v>
      </c>
      <c r="H3081" s="2">
        <v>29.98</v>
      </c>
      <c r="I3081" t="str">
        <f t="shared" si="48"/>
        <v>Sep</v>
      </c>
      <c r="J3081">
        <f>YEAR(datas[[#This Row],[Order Date]])</f>
        <v>2022</v>
      </c>
    </row>
    <row r="3082" spans="1:10" ht="14.25" customHeight="1" x14ac:dyDescent="0.3">
      <c r="A3082" s="1">
        <v>44815</v>
      </c>
      <c r="B3082" s="2" t="s">
        <v>732</v>
      </c>
      <c r="C3082" s="2" t="s">
        <v>87</v>
      </c>
      <c r="D3082" s="2" t="s">
        <v>10</v>
      </c>
      <c r="E3082" s="2" t="s">
        <v>11</v>
      </c>
      <c r="F3082" s="2">
        <v>38.880000000000003</v>
      </c>
      <c r="G3082" s="2">
        <v>6</v>
      </c>
      <c r="H3082" s="2">
        <v>18.66</v>
      </c>
      <c r="I3082" t="str">
        <f t="shared" si="48"/>
        <v>Sep</v>
      </c>
      <c r="J3082">
        <f>YEAR(datas[[#This Row],[Order Date]])</f>
        <v>2022</v>
      </c>
    </row>
    <row r="3083" spans="1:10" ht="14.25" customHeight="1" x14ac:dyDescent="0.3">
      <c r="A3083" s="1">
        <v>44816</v>
      </c>
      <c r="B3083" s="2" t="s">
        <v>260</v>
      </c>
      <c r="C3083" s="2" t="s">
        <v>75</v>
      </c>
      <c r="D3083" s="2" t="s">
        <v>28</v>
      </c>
      <c r="E3083" s="2" t="s">
        <v>243</v>
      </c>
      <c r="F3083" s="2">
        <v>479.98</v>
      </c>
      <c r="G3083" s="2">
        <v>2</v>
      </c>
      <c r="H3083" s="2">
        <v>60</v>
      </c>
      <c r="I3083" t="str">
        <f t="shared" si="48"/>
        <v>Sep</v>
      </c>
      <c r="J3083">
        <f>YEAR(datas[[#This Row],[Order Date]])</f>
        <v>2022</v>
      </c>
    </row>
    <row r="3084" spans="1:10" ht="14.25" customHeight="1" x14ac:dyDescent="0.3">
      <c r="A3084" s="1">
        <v>44816</v>
      </c>
      <c r="B3084" s="2" t="s">
        <v>260</v>
      </c>
      <c r="C3084" s="2" t="s">
        <v>75</v>
      </c>
      <c r="D3084" s="2" t="s">
        <v>10</v>
      </c>
      <c r="E3084" s="2" t="s">
        <v>14</v>
      </c>
      <c r="F3084" s="2">
        <v>12.6</v>
      </c>
      <c r="G3084" s="2">
        <v>4</v>
      </c>
      <c r="H3084" s="2">
        <v>6.05</v>
      </c>
      <c r="I3084" t="str">
        <f t="shared" si="48"/>
        <v>Sep</v>
      </c>
      <c r="J3084">
        <f>YEAR(datas[[#This Row],[Order Date]])</f>
        <v>2022</v>
      </c>
    </row>
    <row r="3085" spans="1:10" ht="14.25" customHeight="1" x14ac:dyDescent="0.3">
      <c r="A3085" s="1">
        <v>44816</v>
      </c>
      <c r="B3085" s="2" t="s">
        <v>102</v>
      </c>
      <c r="C3085" s="2" t="s">
        <v>75</v>
      </c>
      <c r="D3085" s="2" t="s">
        <v>10</v>
      </c>
      <c r="E3085" s="2" t="s">
        <v>19</v>
      </c>
      <c r="F3085" s="2">
        <v>9.26</v>
      </c>
      <c r="G3085" s="2">
        <v>2</v>
      </c>
      <c r="H3085" s="2">
        <v>3.06</v>
      </c>
      <c r="I3085" t="str">
        <f t="shared" si="48"/>
        <v>Sep</v>
      </c>
      <c r="J3085">
        <f>YEAR(datas[[#This Row],[Order Date]])</f>
        <v>2022</v>
      </c>
    </row>
    <row r="3086" spans="1:10" ht="14.25" customHeight="1" x14ac:dyDescent="0.3">
      <c r="A3086" s="1">
        <v>44816</v>
      </c>
      <c r="B3086" s="2" t="s">
        <v>102</v>
      </c>
      <c r="C3086" s="2" t="s">
        <v>75</v>
      </c>
      <c r="D3086" s="2" t="s">
        <v>10</v>
      </c>
      <c r="E3086" s="2" t="s">
        <v>15</v>
      </c>
      <c r="F3086" s="2">
        <v>105.98</v>
      </c>
      <c r="G3086" s="2">
        <v>2</v>
      </c>
      <c r="H3086" s="2">
        <v>4.24</v>
      </c>
      <c r="I3086" t="str">
        <f t="shared" si="48"/>
        <v>Sep</v>
      </c>
      <c r="J3086">
        <f>YEAR(datas[[#This Row],[Order Date]])</f>
        <v>2022</v>
      </c>
    </row>
    <row r="3087" spans="1:10" ht="14.25" customHeight="1" x14ac:dyDescent="0.3">
      <c r="A3087" s="1">
        <v>44816</v>
      </c>
      <c r="B3087" s="2" t="s">
        <v>102</v>
      </c>
      <c r="C3087" s="2" t="s">
        <v>75</v>
      </c>
      <c r="D3087" s="2" t="s">
        <v>10</v>
      </c>
      <c r="E3087" s="2" t="s">
        <v>30</v>
      </c>
      <c r="F3087" s="2">
        <v>1.24</v>
      </c>
      <c r="G3087" s="2">
        <v>1</v>
      </c>
      <c r="H3087" s="2">
        <v>0.57999999999999996</v>
      </c>
      <c r="I3087" t="str">
        <f t="shared" si="48"/>
        <v>Sep</v>
      </c>
      <c r="J3087">
        <f>YEAR(datas[[#This Row],[Order Date]])</f>
        <v>2022</v>
      </c>
    </row>
    <row r="3088" spans="1:10" ht="14.25" customHeight="1" x14ac:dyDescent="0.3">
      <c r="A3088" s="1">
        <v>44816</v>
      </c>
      <c r="B3088" s="2" t="s">
        <v>102</v>
      </c>
      <c r="C3088" s="2" t="s">
        <v>75</v>
      </c>
      <c r="D3088" s="2" t="s">
        <v>10</v>
      </c>
      <c r="E3088" s="2" t="s">
        <v>14</v>
      </c>
      <c r="F3088" s="2">
        <v>20.7</v>
      </c>
      <c r="G3088" s="2">
        <v>2</v>
      </c>
      <c r="H3088" s="2">
        <v>9.94</v>
      </c>
      <c r="I3088" t="str">
        <f t="shared" si="48"/>
        <v>Sep</v>
      </c>
      <c r="J3088">
        <f>YEAR(datas[[#This Row],[Order Date]])</f>
        <v>2022</v>
      </c>
    </row>
    <row r="3089" spans="1:10" ht="14.25" customHeight="1" x14ac:dyDescent="0.3">
      <c r="A3089" s="1">
        <v>44816</v>
      </c>
      <c r="B3089" s="2" t="s">
        <v>102</v>
      </c>
      <c r="C3089" s="2" t="s">
        <v>75</v>
      </c>
      <c r="D3089" s="2" t="s">
        <v>10</v>
      </c>
      <c r="E3089" s="2" t="s">
        <v>11</v>
      </c>
      <c r="F3089" s="2">
        <v>28.9</v>
      </c>
      <c r="G3089" s="2">
        <v>5</v>
      </c>
      <c r="H3089" s="2">
        <v>14.16</v>
      </c>
      <c r="I3089" t="str">
        <f t="shared" si="48"/>
        <v>Sep</v>
      </c>
      <c r="J3089">
        <f>YEAR(datas[[#This Row],[Order Date]])</f>
        <v>2022</v>
      </c>
    </row>
    <row r="3090" spans="1:10" ht="14.25" customHeight="1" x14ac:dyDescent="0.3">
      <c r="A3090" s="1">
        <v>44816</v>
      </c>
      <c r="B3090" s="2" t="s">
        <v>102</v>
      </c>
      <c r="C3090" s="2" t="s">
        <v>75</v>
      </c>
      <c r="D3090" s="2" t="s">
        <v>10</v>
      </c>
      <c r="E3090" s="2" t="s">
        <v>41</v>
      </c>
      <c r="F3090" s="2">
        <v>27.18</v>
      </c>
      <c r="G3090" s="2">
        <v>1</v>
      </c>
      <c r="H3090" s="2">
        <v>12.77</v>
      </c>
      <c r="I3090" t="str">
        <f t="shared" si="48"/>
        <v>Sep</v>
      </c>
      <c r="J3090">
        <f>YEAR(datas[[#This Row],[Order Date]])</f>
        <v>2022</v>
      </c>
    </row>
    <row r="3091" spans="1:10" ht="14.25" customHeight="1" x14ac:dyDescent="0.3">
      <c r="A3091" s="1">
        <v>44816</v>
      </c>
      <c r="B3091" s="2" t="s">
        <v>655</v>
      </c>
      <c r="C3091" s="2" t="s">
        <v>82</v>
      </c>
      <c r="D3091" s="2" t="s">
        <v>28</v>
      </c>
      <c r="E3091" s="2" t="s">
        <v>34</v>
      </c>
      <c r="F3091" s="2">
        <v>21.98</v>
      </c>
      <c r="G3091" s="2">
        <v>2</v>
      </c>
      <c r="H3091" s="2">
        <v>8.57</v>
      </c>
      <c r="I3091" t="str">
        <f t="shared" si="48"/>
        <v>Sep</v>
      </c>
      <c r="J3091">
        <f>YEAR(datas[[#This Row],[Order Date]])</f>
        <v>2022</v>
      </c>
    </row>
    <row r="3092" spans="1:10" ht="14.25" customHeight="1" x14ac:dyDescent="0.3">
      <c r="A3092" s="1">
        <v>44817</v>
      </c>
      <c r="B3092" s="2" t="s">
        <v>527</v>
      </c>
      <c r="C3092" s="2" t="s">
        <v>68</v>
      </c>
      <c r="D3092" s="2" t="s">
        <v>28</v>
      </c>
      <c r="E3092" s="2" t="s">
        <v>34</v>
      </c>
      <c r="F3092" s="2">
        <v>199.96</v>
      </c>
      <c r="G3092" s="2">
        <v>4</v>
      </c>
      <c r="H3092" s="2">
        <v>16</v>
      </c>
      <c r="I3092" t="str">
        <f t="shared" si="48"/>
        <v>Sep</v>
      </c>
      <c r="J3092">
        <f>YEAR(datas[[#This Row],[Order Date]])</f>
        <v>2022</v>
      </c>
    </row>
    <row r="3093" spans="1:10" ht="14.25" customHeight="1" x14ac:dyDescent="0.3">
      <c r="A3093" s="1">
        <v>44817</v>
      </c>
      <c r="B3093" s="2" t="s">
        <v>527</v>
      </c>
      <c r="C3093" s="2" t="s">
        <v>68</v>
      </c>
      <c r="D3093" s="2" t="s">
        <v>26</v>
      </c>
      <c r="E3093" s="2" t="s">
        <v>27</v>
      </c>
      <c r="F3093" s="2">
        <v>1516.2</v>
      </c>
      <c r="G3093" s="2">
        <v>7</v>
      </c>
      <c r="H3093" s="2">
        <v>394.21</v>
      </c>
      <c r="I3093" t="str">
        <f t="shared" si="48"/>
        <v>Sep</v>
      </c>
      <c r="J3093">
        <f>YEAR(datas[[#This Row],[Order Date]])</f>
        <v>2022</v>
      </c>
    </row>
    <row r="3094" spans="1:10" ht="14.25" customHeight="1" x14ac:dyDescent="0.3">
      <c r="A3094" s="1">
        <v>44817</v>
      </c>
      <c r="B3094" s="2" t="s">
        <v>237</v>
      </c>
      <c r="C3094" s="2" t="s">
        <v>18</v>
      </c>
      <c r="D3094" s="2" t="s">
        <v>10</v>
      </c>
      <c r="E3094" s="2" t="s">
        <v>16</v>
      </c>
      <c r="F3094" s="2">
        <v>2.41</v>
      </c>
      <c r="G3094" s="2">
        <v>1</v>
      </c>
      <c r="H3094" s="2">
        <v>-2.0099999999999998</v>
      </c>
      <c r="I3094" t="str">
        <f t="shared" si="48"/>
        <v>Sep</v>
      </c>
      <c r="J3094">
        <f>YEAR(datas[[#This Row],[Order Date]])</f>
        <v>2022</v>
      </c>
    </row>
    <row r="3095" spans="1:10" ht="14.25" customHeight="1" x14ac:dyDescent="0.3">
      <c r="A3095" s="1">
        <v>44817</v>
      </c>
      <c r="B3095" s="2" t="s">
        <v>730</v>
      </c>
      <c r="C3095" s="2" t="s">
        <v>23</v>
      </c>
      <c r="D3095" s="2" t="s">
        <v>26</v>
      </c>
      <c r="E3095" s="2" t="s">
        <v>32</v>
      </c>
      <c r="F3095" s="2">
        <v>129.93</v>
      </c>
      <c r="G3095" s="2">
        <v>3</v>
      </c>
      <c r="H3095" s="2">
        <v>12.99</v>
      </c>
      <c r="I3095" t="str">
        <f t="shared" si="48"/>
        <v>Sep</v>
      </c>
      <c r="J3095">
        <f>YEAR(datas[[#This Row],[Order Date]])</f>
        <v>2022</v>
      </c>
    </row>
    <row r="3096" spans="1:10" ht="14.25" customHeight="1" x14ac:dyDescent="0.3">
      <c r="A3096" s="1">
        <v>44817</v>
      </c>
      <c r="B3096" s="2" t="s">
        <v>730</v>
      </c>
      <c r="C3096" s="2" t="s">
        <v>23</v>
      </c>
      <c r="D3096" s="2" t="s">
        <v>10</v>
      </c>
      <c r="E3096" s="2" t="s">
        <v>11</v>
      </c>
      <c r="F3096" s="2">
        <v>69.930000000000007</v>
      </c>
      <c r="G3096" s="2">
        <v>7</v>
      </c>
      <c r="H3096" s="2">
        <v>31.47</v>
      </c>
      <c r="I3096" t="str">
        <f t="shared" si="48"/>
        <v>Sep</v>
      </c>
      <c r="J3096">
        <f>YEAR(datas[[#This Row],[Order Date]])</f>
        <v>2022</v>
      </c>
    </row>
    <row r="3097" spans="1:10" ht="14.25" customHeight="1" x14ac:dyDescent="0.3">
      <c r="A3097" s="1">
        <v>44817</v>
      </c>
      <c r="B3097" s="2" t="s">
        <v>385</v>
      </c>
      <c r="C3097" s="2" t="s">
        <v>13</v>
      </c>
      <c r="D3097" s="2" t="s">
        <v>10</v>
      </c>
      <c r="E3097" s="2" t="s">
        <v>41</v>
      </c>
      <c r="F3097" s="2">
        <v>7.82</v>
      </c>
      <c r="G3097" s="2">
        <v>1</v>
      </c>
      <c r="H3097" s="2">
        <v>2.93</v>
      </c>
      <c r="I3097" t="str">
        <f t="shared" si="48"/>
        <v>Sep</v>
      </c>
      <c r="J3097">
        <f>YEAR(datas[[#This Row],[Order Date]])</f>
        <v>2022</v>
      </c>
    </row>
    <row r="3098" spans="1:10" ht="14.25" customHeight="1" x14ac:dyDescent="0.3">
      <c r="A3098" s="1">
        <v>44817</v>
      </c>
      <c r="B3098" s="2" t="s">
        <v>385</v>
      </c>
      <c r="C3098" s="2" t="s">
        <v>13</v>
      </c>
      <c r="D3098" s="2" t="s">
        <v>26</v>
      </c>
      <c r="E3098" s="2" t="s">
        <v>27</v>
      </c>
      <c r="F3098" s="2">
        <v>170.07</v>
      </c>
      <c r="G3098" s="2">
        <v>4</v>
      </c>
      <c r="H3098" s="2">
        <v>-12.15</v>
      </c>
      <c r="I3098" t="str">
        <f t="shared" si="48"/>
        <v>Sep</v>
      </c>
      <c r="J3098">
        <f>YEAR(datas[[#This Row],[Order Date]])</f>
        <v>2022</v>
      </c>
    </row>
    <row r="3099" spans="1:10" ht="14.25" customHeight="1" x14ac:dyDescent="0.3">
      <c r="A3099" s="1">
        <v>44817</v>
      </c>
      <c r="B3099" s="2" t="s">
        <v>552</v>
      </c>
      <c r="C3099" s="2" t="s">
        <v>115</v>
      </c>
      <c r="D3099" s="2" t="s">
        <v>10</v>
      </c>
      <c r="E3099" s="2" t="s">
        <v>16</v>
      </c>
      <c r="F3099" s="2">
        <v>13.09</v>
      </c>
      <c r="G3099" s="2">
        <v>4</v>
      </c>
      <c r="H3099" s="2">
        <v>-10.039999999999999</v>
      </c>
      <c r="I3099" t="str">
        <f t="shared" si="48"/>
        <v>Sep</v>
      </c>
      <c r="J3099">
        <f>YEAR(datas[[#This Row],[Order Date]])</f>
        <v>2022</v>
      </c>
    </row>
    <row r="3100" spans="1:10" ht="14.25" customHeight="1" x14ac:dyDescent="0.3">
      <c r="A3100" s="1">
        <v>44817</v>
      </c>
      <c r="B3100" s="2" t="s">
        <v>760</v>
      </c>
      <c r="C3100" s="2" t="s">
        <v>21</v>
      </c>
      <c r="D3100" s="2" t="s">
        <v>26</v>
      </c>
      <c r="E3100" s="2" t="s">
        <v>32</v>
      </c>
      <c r="F3100" s="2">
        <v>131.88</v>
      </c>
      <c r="G3100" s="2">
        <v>7</v>
      </c>
      <c r="H3100" s="2">
        <v>55.39</v>
      </c>
      <c r="I3100" t="str">
        <f t="shared" si="48"/>
        <v>Sep</v>
      </c>
      <c r="J3100">
        <f>YEAR(datas[[#This Row],[Order Date]])</f>
        <v>2022</v>
      </c>
    </row>
    <row r="3101" spans="1:10" ht="14.25" customHeight="1" x14ac:dyDescent="0.3">
      <c r="A3101" s="1">
        <v>44817</v>
      </c>
      <c r="B3101" s="2" t="s">
        <v>760</v>
      </c>
      <c r="C3101" s="2" t="s">
        <v>21</v>
      </c>
      <c r="D3101" s="2" t="s">
        <v>10</v>
      </c>
      <c r="E3101" s="2" t="s">
        <v>16</v>
      </c>
      <c r="F3101" s="2">
        <v>25.03</v>
      </c>
      <c r="G3101" s="2">
        <v>3</v>
      </c>
      <c r="H3101" s="2">
        <v>7.82</v>
      </c>
      <c r="I3101" t="str">
        <f t="shared" si="48"/>
        <v>Sep</v>
      </c>
      <c r="J3101">
        <f>YEAR(datas[[#This Row],[Order Date]])</f>
        <v>2022</v>
      </c>
    </row>
    <row r="3102" spans="1:10" ht="14.25" customHeight="1" x14ac:dyDescent="0.3">
      <c r="A3102" s="1">
        <v>44817</v>
      </c>
      <c r="B3102" s="2" t="s">
        <v>760</v>
      </c>
      <c r="C3102" s="2" t="s">
        <v>21</v>
      </c>
      <c r="D3102" s="2" t="s">
        <v>26</v>
      </c>
      <c r="E3102" s="2" t="s">
        <v>27</v>
      </c>
      <c r="F3102" s="2">
        <v>717.72</v>
      </c>
      <c r="G3102" s="2">
        <v>3</v>
      </c>
      <c r="H3102" s="2">
        <v>71.77</v>
      </c>
      <c r="I3102" t="str">
        <f t="shared" si="48"/>
        <v>Sep</v>
      </c>
      <c r="J3102">
        <f>YEAR(datas[[#This Row],[Order Date]])</f>
        <v>2022</v>
      </c>
    </row>
    <row r="3103" spans="1:10" ht="14.25" customHeight="1" x14ac:dyDescent="0.3">
      <c r="A3103" s="1">
        <v>44817</v>
      </c>
      <c r="B3103" s="2" t="s">
        <v>760</v>
      </c>
      <c r="C3103" s="2" t="s">
        <v>21</v>
      </c>
      <c r="D3103" s="2" t="s">
        <v>26</v>
      </c>
      <c r="E3103" s="2" t="s">
        <v>32</v>
      </c>
      <c r="F3103" s="2">
        <v>207.35</v>
      </c>
      <c r="G3103" s="2">
        <v>5</v>
      </c>
      <c r="H3103" s="2">
        <v>24.88</v>
      </c>
      <c r="I3103" t="str">
        <f t="shared" si="48"/>
        <v>Sep</v>
      </c>
      <c r="J3103">
        <f>YEAR(datas[[#This Row],[Order Date]])</f>
        <v>2022</v>
      </c>
    </row>
    <row r="3104" spans="1:10" ht="14.25" customHeight="1" x14ac:dyDescent="0.3">
      <c r="A3104" s="1">
        <v>44817</v>
      </c>
      <c r="B3104" s="2" t="s">
        <v>760</v>
      </c>
      <c r="C3104" s="2" t="s">
        <v>21</v>
      </c>
      <c r="D3104" s="2" t="s">
        <v>26</v>
      </c>
      <c r="E3104" s="2" t="s">
        <v>32</v>
      </c>
      <c r="F3104" s="2">
        <v>44.67</v>
      </c>
      <c r="G3104" s="2">
        <v>3</v>
      </c>
      <c r="H3104" s="2">
        <v>12.06</v>
      </c>
      <c r="I3104" t="str">
        <f t="shared" si="48"/>
        <v>Sep</v>
      </c>
      <c r="J3104">
        <f>YEAR(datas[[#This Row],[Order Date]])</f>
        <v>2022</v>
      </c>
    </row>
    <row r="3105" spans="1:10" ht="14.25" customHeight="1" x14ac:dyDescent="0.3">
      <c r="A3105" s="1">
        <v>44817</v>
      </c>
      <c r="B3105" s="2" t="s">
        <v>760</v>
      </c>
      <c r="C3105" s="2" t="s">
        <v>21</v>
      </c>
      <c r="D3105" s="2" t="s">
        <v>10</v>
      </c>
      <c r="E3105" s="2" t="s">
        <v>11</v>
      </c>
      <c r="F3105" s="2">
        <v>209.7</v>
      </c>
      <c r="G3105" s="2">
        <v>2</v>
      </c>
      <c r="H3105" s="2">
        <v>100.66</v>
      </c>
      <c r="I3105" t="str">
        <f t="shared" si="48"/>
        <v>Sep</v>
      </c>
      <c r="J3105">
        <f>YEAR(datas[[#This Row],[Order Date]])</f>
        <v>2022</v>
      </c>
    </row>
    <row r="3106" spans="1:10" ht="14.25" customHeight="1" x14ac:dyDescent="0.3">
      <c r="A3106" s="1">
        <v>44818</v>
      </c>
      <c r="B3106" s="2" t="s">
        <v>160</v>
      </c>
      <c r="C3106" s="2" t="s">
        <v>134</v>
      </c>
      <c r="D3106" s="2" t="s">
        <v>26</v>
      </c>
      <c r="E3106" s="2" t="s">
        <v>73</v>
      </c>
      <c r="F3106" s="2">
        <v>912.75</v>
      </c>
      <c r="G3106" s="2">
        <v>5</v>
      </c>
      <c r="H3106" s="2">
        <v>118.66</v>
      </c>
      <c r="I3106" t="str">
        <f t="shared" si="48"/>
        <v>Sep</v>
      </c>
      <c r="J3106">
        <f>YEAR(datas[[#This Row],[Order Date]])</f>
        <v>2022</v>
      </c>
    </row>
    <row r="3107" spans="1:10" ht="14.25" customHeight="1" x14ac:dyDescent="0.3">
      <c r="A3107" s="1">
        <v>44818</v>
      </c>
      <c r="B3107" s="2" t="s">
        <v>456</v>
      </c>
      <c r="C3107" s="2" t="s">
        <v>21</v>
      </c>
      <c r="D3107" s="2" t="s">
        <v>26</v>
      </c>
      <c r="E3107" s="2" t="s">
        <v>73</v>
      </c>
      <c r="F3107" s="2">
        <v>170.14</v>
      </c>
      <c r="G3107" s="2">
        <v>3</v>
      </c>
      <c r="H3107" s="2">
        <v>-8.51</v>
      </c>
      <c r="I3107" t="str">
        <f t="shared" si="48"/>
        <v>Sep</v>
      </c>
      <c r="J3107">
        <f>YEAR(datas[[#This Row],[Order Date]])</f>
        <v>2022</v>
      </c>
    </row>
    <row r="3108" spans="1:10" ht="14.25" customHeight="1" x14ac:dyDescent="0.3">
      <c r="A3108" s="1">
        <v>44818</v>
      </c>
      <c r="B3108" s="2" t="s">
        <v>688</v>
      </c>
      <c r="C3108" s="2" t="s">
        <v>43</v>
      </c>
      <c r="D3108" s="2" t="s">
        <v>10</v>
      </c>
      <c r="E3108" s="2" t="s">
        <v>15</v>
      </c>
      <c r="F3108" s="2">
        <v>269.49</v>
      </c>
      <c r="G3108" s="2">
        <v>3</v>
      </c>
      <c r="H3108" s="2">
        <v>5.39</v>
      </c>
      <c r="I3108" t="str">
        <f t="shared" si="48"/>
        <v>Sep</v>
      </c>
      <c r="J3108">
        <f>YEAR(datas[[#This Row],[Order Date]])</f>
        <v>2022</v>
      </c>
    </row>
    <row r="3109" spans="1:10" ht="14.25" customHeight="1" x14ac:dyDescent="0.3">
      <c r="A3109" s="1">
        <v>44818</v>
      </c>
      <c r="B3109" s="2" t="s">
        <v>153</v>
      </c>
      <c r="C3109" s="2" t="s">
        <v>75</v>
      </c>
      <c r="D3109" s="2" t="s">
        <v>10</v>
      </c>
      <c r="E3109" s="2" t="s">
        <v>15</v>
      </c>
      <c r="F3109" s="2">
        <v>991.2</v>
      </c>
      <c r="G3109" s="2">
        <v>6</v>
      </c>
      <c r="H3109" s="2">
        <v>257.70999999999998</v>
      </c>
      <c r="I3109" t="str">
        <f t="shared" si="48"/>
        <v>Sep</v>
      </c>
      <c r="J3109">
        <f>YEAR(datas[[#This Row],[Order Date]])</f>
        <v>2022</v>
      </c>
    </row>
    <row r="3110" spans="1:10" ht="14.25" customHeight="1" x14ac:dyDescent="0.3">
      <c r="A3110" s="1">
        <v>44818</v>
      </c>
      <c r="B3110" s="2" t="s">
        <v>153</v>
      </c>
      <c r="C3110" s="2" t="s">
        <v>75</v>
      </c>
      <c r="D3110" s="2" t="s">
        <v>28</v>
      </c>
      <c r="E3110" s="2" t="s">
        <v>243</v>
      </c>
      <c r="F3110" s="2">
        <v>879.98</v>
      </c>
      <c r="G3110" s="2">
        <v>2</v>
      </c>
      <c r="H3110" s="2">
        <v>329.99</v>
      </c>
      <c r="I3110" t="str">
        <f t="shared" si="48"/>
        <v>Sep</v>
      </c>
      <c r="J3110">
        <f>YEAR(datas[[#This Row],[Order Date]])</f>
        <v>2022</v>
      </c>
    </row>
    <row r="3111" spans="1:10" ht="14.25" customHeight="1" x14ac:dyDescent="0.3">
      <c r="A3111" s="1">
        <v>44818</v>
      </c>
      <c r="B3111" s="2" t="s">
        <v>153</v>
      </c>
      <c r="C3111" s="2" t="s">
        <v>75</v>
      </c>
      <c r="D3111" s="2" t="s">
        <v>10</v>
      </c>
      <c r="E3111" s="2" t="s">
        <v>16</v>
      </c>
      <c r="F3111" s="2">
        <v>12.96</v>
      </c>
      <c r="G3111" s="2">
        <v>9</v>
      </c>
      <c r="H3111" s="2">
        <v>4.54</v>
      </c>
      <c r="I3111" t="str">
        <f t="shared" si="48"/>
        <v>Sep</v>
      </c>
      <c r="J3111">
        <f>YEAR(datas[[#This Row],[Order Date]])</f>
        <v>2022</v>
      </c>
    </row>
    <row r="3112" spans="1:10" ht="14.25" customHeight="1" x14ac:dyDescent="0.3">
      <c r="A3112" s="1">
        <v>44818</v>
      </c>
      <c r="B3112" s="2" t="s">
        <v>744</v>
      </c>
      <c r="C3112" s="2" t="s">
        <v>165</v>
      </c>
      <c r="D3112" s="2" t="s">
        <v>10</v>
      </c>
      <c r="E3112" s="2" t="s">
        <v>16</v>
      </c>
      <c r="F3112" s="2">
        <v>25.9</v>
      </c>
      <c r="G3112" s="2">
        <v>5</v>
      </c>
      <c r="H3112" s="2">
        <v>12.69</v>
      </c>
      <c r="I3112" t="str">
        <f t="shared" si="48"/>
        <v>Sep</v>
      </c>
      <c r="J3112">
        <f>YEAR(datas[[#This Row],[Order Date]])</f>
        <v>2022</v>
      </c>
    </row>
    <row r="3113" spans="1:10" ht="14.25" customHeight="1" x14ac:dyDescent="0.3">
      <c r="A3113" s="1">
        <v>44819</v>
      </c>
      <c r="B3113" s="2" t="s">
        <v>609</v>
      </c>
      <c r="C3113" s="2" t="s">
        <v>64</v>
      </c>
      <c r="D3113" s="2" t="s">
        <v>10</v>
      </c>
      <c r="E3113" s="2" t="s">
        <v>11</v>
      </c>
      <c r="F3113" s="2">
        <v>15.55</v>
      </c>
      <c r="G3113" s="2">
        <v>3</v>
      </c>
      <c r="H3113" s="2">
        <v>5.44</v>
      </c>
      <c r="I3113" t="str">
        <f t="shared" si="48"/>
        <v>Sep</v>
      </c>
      <c r="J3113">
        <f>YEAR(datas[[#This Row],[Order Date]])</f>
        <v>2022</v>
      </c>
    </row>
    <row r="3114" spans="1:10" ht="14.25" customHeight="1" x14ac:dyDescent="0.3">
      <c r="A3114" s="1">
        <v>44819</v>
      </c>
      <c r="B3114" s="2" t="s">
        <v>609</v>
      </c>
      <c r="C3114" s="2" t="s">
        <v>64</v>
      </c>
      <c r="D3114" s="2" t="s">
        <v>26</v>
      </c>
      <c r="E3114" s="2" t="s">
        <v>32</v>
      </c>
      <c r="F3114" s="2">
        <v>15.71</v>
      </c>
      <c r="G3114" s="2">
        <v>4</v>
      </c>
      <c r="H3114" s="2">
        <v>2.5499999999999998</v>
      </c>
      <c r="I3114" t="str">
        <f t="shared" si="48"/>
        <v>Sep</v>
      </c>
      <c r="J3114">
        <f>YEAR(datas[[#This Row],[Order Date]])</f>
        <v>2022</v>
      </c>
    </row>
    <row r="3115" spans="1:10" ht="14.25" customHeight="1" x14ac:dyDescent="0.3">
      <c r="A3115" s="1">
        <v>44819</v>
      </c>
      <c r="B3115" s="2" t="s">
        <v>609</v>
      </c>
      <c r="C3115" s="2" t="s">
        <v>64</v>
      </c>
      <c r="D3115" s="2" t="s">
        <v>10</v>
      </c>
      <c r="E3115" s="2" t="s">
        <v>15</v>
      </c>
      <c r="F3115" s="2">
        <v>24.67</v>
      </c>
      <c r="G3115" s="2">
        <v>2</v>
      </c>
      <c r="H3115" s="2">
        <v>2.16</v>
      </c>
      <c r="I3115" t="str">
        <f t="shared" si="48"/>
        <v>Sep</v>
      </c>
      <c r="J3115">
        <f>YEAR(datas[[#This Row],[Order Date]])</f>
        <v>2022</v>
      </c>
    </row>
    <row r="3116" spans="1:10" ht="14.25" customHeight="1" x14ac:dyDescent="0.3">
      <c r="A3116" s="1">
        <v>44819</v>
      </c>
      <c r="B3116" s="2" t="s">
        <v>609</v>
      </c>
      <c r="C3116" s="2" t="s">
        <v>64</v>
      </c>
      <c r="D3116" s="2" t="s">
        <v>26</v>
      </c>
      <c r="E3116" s="2" t="s">
        <v>32</v>
      </c>
      <c r="F3116" s="2">
        <v>55.97</v>
      </c>
      <c r="G3116" s="2">
        <v>1</v>
      </c>
      <c r="H3116" s="2">
        <v>-2.1</v>
      </c>
      <c r="I3116" t="str">
        <f t="shared" si="48"/>
        <v>Sep</v>
      </c>
      <c r="J3116">
        <f>YEAR(datas[[#This Row],[Order Date]])</f>
        <v>2022</v>
      </c>
    </row>
    <row r="3117" spans="1:10" ht="14.25" customHeight="1" x14ac:dyDescent="0.3">
      <c r="A3117" s="1">
        <v>44819</v>
      </c>
      <c r="B3117" s="2" t="s">
        <v>255</v>
      </c>
      <c r="C3117" s="2" t="s">
        <v>68</v>
      </c>
      <c r="D3117" s="2" t="s">
        <v>10</v>
      </c>
      <c r="E3117" s="2" t="s">
        <v>15</v>
      </c>
      <c r="F3117" s="2">
        <v>190.86</v>
      </c>
      <c r="G3117" s="2">
        <v>2</v>
      </c>
      <c r="H3117" s="2">
        <v>11.45</v>
      </c>
      <c r="I3117" t="str">
        <f t="shared" si="48"/>
        <v>Sep</v>
      </c>
      <c r="J3117">
        <f>YEAR(datas[[#This Row],[Order Date]])</f>
        <v>2022</v>
      </c>
    </row>
    <row r="3118" spans="1:10" ht="14.25" customHeight="1" x14ac:dyDescent="0.3">
      <c r="A3118" s="1">
        <v>44819</v>
      </c>
      <c r="B3118" s="2" t="s">
        <v>255</v>
      </c>
      <c r="C3118" s="2" t="s">
        <v>68</v>
      </c>
      <c r="D3118" s="2" t="s">
        <v>10</v>
      </c>
      <c r="E3118" s="2" t="s">
        <v>19</v>
      </c>
      <c r="F3118" s="2">
        <v>24.32</v>
      </c>
      <c r="G3118" s="2">
        <v>8</v>
      </c>
      <c r="H3118" s="2">
        <v>8.27</v>
      </c>
      <c r="I3118" t="str">
        <f t="shared" si="48"/>
        <v>Sep</v>
      </c>
      <c r="J3118">
        <f>YEAR(datas[[#This Row],[Order Date]])</f>
        <v>2022</v>
      </c>
    </row>
    <row r="3119" spans="1:10" ht="14.25" customHeight="1" x14ac:dyDescent="0.3">
      <c r="A3119" s="1">
        <v>44819</v>
      </c>
      <c r="B3119" s="2" t="s">
        <v>761</v>
      </c>
      <c r="C3119" s="2" t="s">
        <v>75</v>
      </c>
      <c r="D3119" s="2" t="s">
        <v>10</v>
      </c>
      <c r="E3119" s="2" t="s">
        <v>16</v>
      </c>
      <c r="F3119" s="2">
        <v>79.87</v>
      </c>
      <c r="G3119" s="2">
        <v>3</v>
      </c>
      <c r="H3119" s="2">
        <v>29.95</v>
      </c>
      <c r="I3119" t="str">
        <f t="shared" si="48"/>
        <v>Sep</v>
      </c>
      <c r="J3119">
        <f>YEAR(datas[[#This Row],[Order Date]])</f>
        <v>2022</v>
      </c>
    </row>
    <row r="3120" spans="1:10" ht="14.25" customHeight="1" x14ac:dyDescent="0.3">
      <c r="A3120" s="1">
        <v>44819</v>
      </c>
      <c r="B3120" s="2" t="s">
        <v>761</v>
      </c>
      <c r="C3120" s="2" t="s">
        <v>75</v>
      </c>
      <c r="D3120" s="2" t="s">
        <v>26</v>
      </c>
      <c r="E3120" s="2" t="s">
        <v>45</v>
      </c>
      <c r="F3120" s="2">
        <v>46.38</v>
      </c>
      <c r="G3120" s="2">
        <v>1</v>
      </c>
      <c r="H3120" s="2">
        <v>1.1599999999999999</v>
      </c>
      <c r="I3120" t="str">
        <f t="shared" si="48"/>
        <v>Sep</v>
      </c>
      <c r="J3120">
        <f>YEAR(datas[[#This Row],[Order Date]])</f>
        <v>2022</v>
      </c>
    </row>
    <row r="3121" spans="1:10" ht="14.25" customHeight="1" x14ac:dyDescent="0.3">
      <c r="A3121" s="1">
        <v>44819</v>
      </c>
      <c r="B3121" s="2" t="s">
        <v>761</v>
      </c>
      <c r="C3121" s="2" t="s">
        <v>75</v>
      </c>
      <c r="D3121" s="2" t="s">
        <v>10</v>
      </c>
      <c r="E3121" s="2" t="s">
        <v>11</v>
      </c>
      <c r="F3121" s="2">
        <v>12.96</v>
      </c>
      <c r="G3121" s="2">
        <v>2</v>
      </c>
      <c r="H3121" s="2">
        <v>6.22</v>
      </c>
      <c r="I3121" t="str">
        <f t="shared" si="48"/>
        <v>Sep</v>
      </c>
      <c r="J3121">
        <f>YEAR(datas[[#This Row],[Order Date]])</f>
        <v>2022</v>
      </c>
    </row>
    <row r="3122" spans="1:10" ht="14.25" customHeight="1" x14ac:dyDescent="0.3">
      <c r="A3122" s="1">
        <v>44819</v>
      </c>
      <c r="B3122" s="2" t="s">
        <v>330</v>
      </c>
      <c r="C3122" s="2" t="s">
        <v>198</v>
      </c>
      <c r="D3122" s="2" t="s">
        <v>26</v>
      </c>
      <c r="E3122" s="2" t="s">
        <v>73</v>
      </c>
      <c r="F3122" s="2">
        <v>801.96</v>
      </c>
      <c r="G3122" s="2">
        <v>2</v>
      </c>
      <c r="H3122" s="2">
        <v>200.49</v>
      </c>
      <c r="I3122" t="str">
        <f t="shared" si="48"/>
        <v>Sep</v>
      </c>
      <c r="J3122">
        <f>YEAR(datas[[#This Row],[Order Date]])</f>
        <v>2022</v>
      </c>
    </row>
    <row r="3123" spans="1:10" ht="14.25" customHeight="1" x14ac:dyDescent="0.3">
      <c r="A3123" s="1">
        <v>44819</v>
      </c>
      <c r="B3123" s="2" t="s">
        <v>330</v>
      </c>
      <c r="C3123" s="2" t="s">
        <v>198</v>
      </c>
      <c r="D3123" s="2" t="s">
        <v>28</v>
      </c>
      <c r="E3123" s="2" t="s">
        <v>29</v>
      </c>
      <c r="F3123" s="2">
        <v>59.97</v>
      </c>
      <c r="G3123" s="2">
        <v>3</v>
      </c>
      <c r="H3123" s="2">
        <v>0</v>
      </c>
      <c r="I3123" t="str">
        <f t="shared" si="48"/>
        <v>Sep</v>
      </c>
      <c r="J3123">
        <f>YEAR(datas[[#This Row],[Order Date]])</f>
        <v>2022</v>
      </c>
    </row>
    <row r="3124" spans="1:10" ht="14.25" customHeight="1" x14ac:dyDescent="0.3">
      <c r="A3124" s="1">
        <v>44819</v>
      </c>
      <c r="B3124" s="2" t="s">
        <v>330</v>
      </c>
      <c r="C3124" s="2" t="s">
        <v>198</v>
      </c>
      <c r="D3124" s="2" t="s">
        <v>26</v>
      </c>
      <c r="E3124" s="2" t="s">
        <v>27</v>
      </c>
      <c r="F3124" s="2">
        <v>1056.8599999999999</v>
      </c>
      <c r="G3124" s="2">
        <v>7</v>
      </c>
      <c r="H3124" s="2">
        <v>306.49</v>
      </c>
      <c r="I3124" t="str">
        <f t="shared" si="48"/>
        <v>Sep</v>
      </c>
      <c r="J3124">
        <f>YEAR(datas[[#This Row],[Order Date]])</f>
        <v>2022</v>
      </c>
    </row>
    <row r="3125" spans="1:10" ht="14.25" customHeight="1" x14ac:dyDescent="0.3">
      <c r="A3125" s="1">
        <v>44819</v>
      </c>
      <c r="B3125" s="2" t="s">
        <v>762</v>
      </c>
      <c r="C3125" s="2" t="s">
        <v>18</v>
      </c>
      <c r="D3125" s="2" t="s">
        <v>10</v>
      </c>
      <c r="E3125" s="2" t="s">
        <v>16</v>
      </c>
      <c r="F3125" s="2">
        <v>3.58</v>
      </c>
      <c r="G3125" s="2">
        <v>4</v>
      </c>
      <c r="H3125" s="2">
        <v>-2.86</v>
      </c>
      <c r="I3125" t="str">
        <f t="shared" si="48"/>
        <v>Sep</v>
      </c>
      <c r="J3125">
        <f>YEAR(datas[[#This Row],[Order Date]])</f>
        <v>2022</v>
      </c>
    </row>
    <row r="3126" spans="1:10" ht="14.25" customHeight="1" x14ac:dyDescent="0.3">
      <c r="A3126" s="1">
        <v>44819</v>
      </c>
      <c r="B3126" s="2" t="s">
        <v>762</v>
      </c>
      <c r="C3126" s="2" t="s">
        <v>18</v>
      </c>
      <c r="D3126" s="2" t="s">
        <v>10</v>
      </c>
      <c r="E3126" s="2" t="s">
        <v>15</v>
      </c>
      <c r="F3126" s="2">
        <v>147.18</v>
      </c>
      <c r="G3126" s="2">
        <v>2</v>
      </c>
      <c r="H3126" s="2">
        <v>-29.44</v>
      </c>
      <c r="I3126" t="str">
        <f t="shared" si="48"/>
        <v>Sep</v>
      </c>
      <c r="J3126">
        <f>YEAR(datas[[#This Row],[Order Date]])</f>
        <v>2022</v>
      </c>
    </row>
    <row r="3127" spans="1:10" ht="14.25" customHeight="1" x14ac:dyDescent="0.3">
      <c r="A3127" s="1">
        <v>44820</v>
      </c>
      <c r="B3127" s="2" t="s">
        <v>78</v>
      </c>
      <c r="C3127" s="2" t="s">
        <v>36</v>
      </c>
      <c r="D3127" s="2" t="s">
        <v>10</v>
      </c>
      <c r="E3127" s="2" t="s">
        <v>41</v>
      </c>
      <c r="F3127" s="2">
        <v>31.12</v>
      </c>
      <c r="G3127" s="2">
        <v>4</v>
      </c>
      <c r="H3127" s="2">
        <v>14.63</v>
      </c>
      <c r="I3127" t="str">
        <f t="shared" si="48"/>
        <v>Sep</v>
      </c>
      <c r="J3127">
        <f>YEAR(datas[[#This Row],[Order Date]])</f>
        <v>2022</v>
      </c>
    </row>
    <row r="3128" spans="1:10" ht="14.25" customHeight="1" x14ac:dyDescent="0.3">
      <c r="A3128" s="1">
        <v>44821</v>
      </c>
      <c r="B3128" s="2" t="s">
        <v>534</v>
      </c>
      <c r="C3128" s="2" t="s">
        <v>18</v>
      </c>
      <c r="D3128" s="2" t="s">
        <v>26</v>
      </c>
      <c r="E3128" s="2" t="s">
        <v>45</v>
      </c>
      <c r="F3128" s="2">
        <v>3083.43</v>
      </c>
      <c r="G3128" s="2">
        <v>7</v>
      </c>
      <c r="H3128" s="2">
        <v>-1665.05</v>
      </c>
      <c r="I3128" t="str">
        <f t="shared" si="48"/>
        <v>Sep</v>
      </c>
      <c r="J3128">
        <f>YEAR(datas[[#This Row],[Order Date]])</f>
        <v>2022</v>
      </c>
    </row>
    <row r="3129" spans="1:10" ht="14.25" customHeight="1" x14ac:dyDescent="0.3">
      <c r="A3129" s="1">
        <v>44821</v>
      </c>
      <c r="B3129" s="2" t="s">
        <v>534</v>
      </c>
      <c r="C3129" s="2" t="s">
        <v>18</v>
      </c>
      <c r="D3129" s="2" t="s">
        <v>10</v>
      </c>
      <c r="E3129" s="2" t="s">
        <v>16</v>
      </c>
      <c r="F3129" s="2">
        <v>9.6199999999999992</v>
      </c>
      <c r="G3129" s="2">
        <v>2</v>
      </c>
      <c r="H3129" s="2">
        <v>-7.05</v>
      </c>
      <c r="I3129" t="str">
        <f t="shared" si="48"/>
        <v>Sep</v>
      </c>
      <c r="J3129">
        <f>YEAR(datas[[#This Row],[Order Date]])</f>
        <v>2022</v>
      </c>
    </row>
    <row r="3130" spans="1:10" ht="14.25" customHeight="1" x14ac:dyDescent="0.3">
      <c r="A3130" s="1">
        <v>44821</v>
      </c>
      <c r="B3130" s="2" t="s">
        <v>534</v>
      </c>
      <c r="C3130" s="2" t="s">
        <v>18</v>
      </c>
      <c r="D3130" s="2" t="s">
        <v>26</v>
      </c>
      <c r="E3130" s="2" t="s">
        <v>32</v>
      </c>
      <c r="F3130" s="2">
        <v>124.2</v>
      </c>
      <c r="G3130" s="2">
        <v>3</v>
      </c>
      <c r="H3130" s="2">
        <v>15.53</v>
      </c>
      <c r="I3130" t="str">
        <f t="shared" si="48"/>
        <v>Sep</v>
      </c>
      <c r="J3130">
        <f>YEAR(datas[[#This Row],[Order Date]])</f>
        <v>2022</v>
      </c>
    </row>
    <row r="3131" spans="1:10" ht="14.25" customHeight="1" x14ac:dyDescent="0.3">
      <c r="A3131" s="1">
        <v>44821</v>
      </c>
      <c r="B3131" s="2" t="s">
        <v>534</v>
      </c>
      <c r="C3131" s="2" t="s">
        <v>18</v>
      </c>
      <c r="D3131" s="2" t="s">
        <v>10</v>
      </c>
      <c r="E3131" s="2" t="s">
        <v>41</v>
      </c>
      <c r="F3131" s="2">
        <v>3.26</v>
      </c>
      <c r="G3131" s="2">
        <v>2</v>
      </c>
      <c r="H3131" s="2">
        <v>1.1000000000000001</v>
      </c>
      <c r="I3131" t="str">
        <f t="shared" si="48"/>
        <v>Sep</v>
      </c>
      <c r="J3131">
        <f>YEAR(datas[[#This Row],[Order Date]])</f>
        <v>2022</v>
      </c>
    </row>
    <row r="3132" spans="1:10" ht="14.25" customHeight="1" x14ac:dyDescent="0.3">
      <c r="A3132" s="1">
        <v>44821</v>
      </c>
      <c r="B3132" s="2" t="s">
        <v>534</v>
      </c>
      <c r="C3132" s="2" t="s">
        <v>18</v>
      </c>
      <c r="D3132" s="2" t="s">
        <v>10</v>
      </c>
      <c r="E3132" s="2" t="s">
        <v>19</v>
      </c>
      <c r="F3132" s="2">
        <v>86.3</v>
      </c>
      <c r="G3132" s="2">
        <v>6</v>
      </c>
      <c r="H3132" s="2">
        <v>9.7100000000000009</v>
      </c>
      <c r="I3132" t="str">
        <f t="shared" si="48"/>
        <v>Sep</v>
      </c>
      <c r="J3132">
        <f>YEAR(datas[[#This Row],[Order Date]])</f>
        <v>2022</v>
      </c>
    </row>
    <row r="3133" spans="1:10" ht="14.25" customHeight="1" x14ac:dyDescent="0.3">
      <c r="A3133" s="1">
        <v>44821</v>
      </c>
      <c r="B3133" s="2" t="s">
        <v>534</v>
      </c>
      <c r="C3133" s="2" t="s">
        <v>18</v>
      </c>
      <c r="D3133" s="2" t="s">
        <v>10</v>
      </c>
      <c r="E3133" s="2" t="s">
        <v>16</v>
      </c>
      <c r="F3133" s="2">
        <v>6.86</v>
      </c>
      <c r="G3133" s="2">
        <v>6</v>
      </c>
      <c r="H3133" s="2">
        <v>-5.72</v>
      </c>
      <c r="I3133" t="str">
        <f t="shared" si="48"/>
        <v>Sep</v>
      </c>
      <c r="J3133">
        <f>YEAR(datas[[#This Row],[Order Date]])</f>
        <v>2022</v>
      </c>
    </row>
    <row r="3134" spans="1:10" ht="14.25" customHeight="1" x14ac:dyDescent="0.3">
      <c r="A3134" s="1">
        <v>44821</v>
      </c>
      <c r="B3134" s="2" t="s">
        <v>534</v>
      </c>
      <c r="C3134" s="2" t="s">
        <v>18</v>
      </c>
      <c r="D3134" s="2" t="s">
        <v>10</v>
      </c>
      <c r="E3134" s="2" t="s">
        <v>19</v>
      </c>
      <c r="F3134" s="2">
        <v>15.76</v>
      </c>
      <c r="G3134" s="2">
        <v>2</v>
      </c>
      <c r="H3134" s="2">
        <v>3.55</v>
      </c>
      <c r="I3134" t="str">
        <f t="shared" si="48"/>
        <v>Sep</v>
      </c>
      <c r="J3134">
        <f>YEAR(datas[[#This Row],[Order Date]])</f>
        <v>2022</v>
      </c>
    </row>
    <row r="3135" spans="1:10" ht="14.25" customHeight="1" x14ac:dyDescent="0.3">
      <c r="A3135" s="1">
        <v>44821</v>
      </c>
      <c r="B3135" s="2" t="s">
        <v>763</v>
      </c>
      <c r="C3135" s="2" t="s">
        <v>21</v>
      </c>
      <c r="D3135" s="2" t="s">
        <v>10</v>
      </c>
      <c r="E3135" s="2" t="s">
        <v>11</v>
      </c>
      <c r="F3135" s="2">
        <v>32.4</v>
      </c>
      <c r="G3135" s="2">
        <v>5</v>
      </c>
      <c r="H3135" s="2">
        <v>15.55</v>
      </c>
      <c r="I3135" t="str">
        <f t="shared" si="48"/>
        <v>Sep</v>
      </c>
      <c r="J3135">
        <f>YEAR(datas[[#This Row],[Order Date]])</f>
        <v>2022</v>
      </c>
    </row>
    <row r="3136" spans="1:10" ht="14.25" customHeight="1" x14ac:dyDescent="0.3">
      <c r="A3136" s="1">
        <v>44821</v>
      </c>
      <c r="B3136" s="2" t="s">
        <v>543</v>
      </c>
      <c r="C3136" s="2" t="s">
        <v>9</v>
      </c>
      <c r="D3136" s="2" t="s">
        <v>26</v>
      </c>
      <c r="E3136" s="2" t="s">
        <v>32</v>
      </c>
      <c r="F3136" s="2">
        <v>21.94</v>
      </c>
      <c r="G3136" s="2">
        <v>2</v>
      </c>
      <c r="H3136" s="2">
        <v>-10.42</v>
      </c>
      <c r="I3136" t="str">
        <f t="shared" si="48"/>
        <v>Sep</v>
      </c>
      <c r="J3136">
        <f>YEAR(datas[[#This Row],[Order Date]])</f>
        <v>2022</v>
      </c>
    </row>
    <row r="3137" spans="1:10" ht="14.25" customHeight="1" x14ac:dyDescent="0.3">
      <c r="A3137" s="1">
        <v>44821</v>
      </c>
      <c r="B3137" s="2" t="s">
        <v>543</v>
      </c>
      <c r="C3137" s="2" t="s">
        <v>9</v>
      </c>
      <c r="D3137" s="2" t="s">
        <v>10</v>
      </c>
      <c r="E3137" s="2" t="s">
        <v>16</v>
      </c>
      <c r="F3137" s="2">
        <v>6.59</v>
      </c>
      <c r="G3137" s="2">
        <v>3</v>
      </c>
      <c r="H3137" s="2">
        <v>-10.210000000000001</v>
      </c>
      <c r="I3137" t="str">
        <f t="shared" si="48"/>
        <v>Sep</v>
      </c>
      <c r="J3137">
        <f>YEAR(datas[[#This Row],[Order Date]])</f>
        <v>2022</v>
      </c>
    </row>
    <row r="3138" spans="1:10" ht="14.25" customHeight="1" x14ac:dyDescent="0.3">
      <c r="A3138" s="1">
        <v>44821</v>
      </c>
      <c r="B3138" s="2" t="s">
        <v>542</v>
      </c>
      <c r="C3138" s="2" t="s">
        <v>75</v>
      </c>
      <c r="D3138" s="2" t="s">
        <v>26</v>
      </c>
      <c r="E3138" s="2" t="s">
        <v>73</v>
      </c>
      <c r="F3138" s="2">
        <v>344.22</v>
      </c>
      <c r="G3138" s="2">
        <v>2</v>
      </c>
      <c r="H3138" s="2">
        <v>-103.27</v>
      </c>
      <c r="I3138" t="str">
        <f t="shared" si="48"/>
        <v>Sep</v>
      </c>
      <c r="J3138">
        <f>YEAR(datas[[#This Row],[Order Date]])</f>
        <v>2022</v>
      </c>
    </row>
    <row r="3139" spans="1:10" ht="14.25" customHeight="1" x14ac:dyDescent="0.3">
      <c r="A3139" s="1">
        <v>44821</v>
      </c>
      <c r="B3139" s="2" t="s">
        <v>747</v>
      </c>
      <c r="C3139" s="2" t="s">
        <v>64</v>
      </c>
      <c r="D3139" s="2" t="s">
        <v>28</v>
      </c>
      <c r="E3139" s="2" t="s">
        <v>34</v>
      </c>
      <c r="F3139" s="2">
        <v>87.17</v>
      </c>
      <c r="G3139" s="2">
        <v>3</v>
      </c>
      <c r="H3139" s="2">
        <v>10.9</v>
      </c>
      <c r="I3139" t="str">
        <f t="shared" ref="I3139:I3202" si="49">TEXT(A3139,"mmm")</f>
        <v>Sep</v>
      </c>
      <c r="J3139">
        <f>YEAR(datas[[#This Row],[Order Date]])</f>
        <v>2022</v>
      </c>
    </row>
    <row r="3140" spans="1:10" ht="14.25" customHeight="1" x14ac:dyDescent="0.3">
      <c r="A3140" s="1">
        <v>44821</v>
      </c>
      <c r="B3140" s="2" t="s">
        <v>640</v>
      </c>
      <c r="C3140" s="2" t="s">
        <v>82</v>
      </c>
      <c r="D3140" s="2" t="s">
        <v>10</v>
      </c>
      <c r="E3140" s="2" t="s">
        <v>16</v>
      </c>
      <c r="F3140" s="2">
        <v>25.03</v>
      </c>
      <c r="G3140" s="2">
        <v>3</v>
      </c>
      <c r="H3140" s="2">
        <v>7.82</v>
      </c>
      <c r="I3140" t="str">
        <f t="shared" si="49"/>
        <v>Sep</v>
      </c>
      <c r="J3140">
        <f>YEAR(datas[[#This Row],[Order Date]])</f>
        <v>2022</v>
      </c>
    </row>
    <row r="3141" spans="1:10" ht="14.25" customHeight="1" x14ac:dyDescent="0.3">
      <c r="A3141" s="1">
        <v>44821</v>
      </c>
      <c r="B3141" s="2" t="s">
        <v>250</v>
      </c>
      <c r="C3141" s="2" t="s">
        <v>75</v>
      </c>
      <c r="D3141" s="2" t="s">
        <v>10</v>
      </c>
      <c r="E3141" s="2" t="s">
        <v>15</v>
      </c>
      <c r="F3141" s="2">
        <v>14.9</v>
      </c>
      <c r="G3141" s="2">
        <v>5</v>
      </c>
      <c r="H3141" s="2">
        <v>1.04</v>
      </c>
      <c r="I3141" t="str">
        <f t="shared" si="49"/>
        <v>Sep</v>
      </c>
      <c r="J3141">
        <f>YEAR(datas[[#This Row],[Order Date]])</f>
        <v>2022</v>
      </c>
    </row>
    <row r="3142" spans="1:10" ht="14.25" customHeight="1" x14ac:dyDescent="0.3">
      <c r="A3142" s="1">
        <v>44821</v>
      </c>
      <c r="B3142" s="2" t="s">
        <v>250</v>
      </c>
      <c r="C3142" s="2" t="s">
        <v>75</v>
      </c>
      <c r="D3142" s="2" t="s">
        <v>10</v>
      </c>
      <c r="E3142" s="2" t="s">
        <v>14</v>
      </c>
      <c r="F3142" s="2">
        <v>87.71</v>
      </c>
      <c r="G3142" s="2">
        <v>7</v>
      </c>
      <c r="H3142" s="2">
        <v>41.22</v>
      </c>
      <c r="I3142" t="str">
        <f t="shared" si="49"/>
        <v>Sep</v>
      </c>
      <c r="J3142">
        <f>YEAR(datas[[#This Row],[Order Date]])</f>
        <v>2022</v>
      </c>
    </row>
    <row r="3143" spans="1:10" ht="14.25" customHeight="1" x14ac:dyDescent="0.3">
      <c r="A3143" s="1">
        <v>44821</v>
      </c>
      <c r="B3143" s="2" t="s">
        <v>250</v>
      </c>
      <c r="C3143" s="2" t="s">
        <v>75</v>
      </c>
      <c r="D3143" s="2" t="s">
        <v>26</v>
      </c>
      <c r="E3143" s="2" t="s">
        <v>27</v>
      </c>
      <c r="F3143" s="2">
        <v>199.76</v>
      </c>
      <c r="G3143" s="2">
        <v>2</v>
      </c>
      <c r="H3143" s="2">
        <v>8.8800000000000008</v>
      </c>
      <c r="I3143" t="str">
        <f t="shared" si="49"/>
        <v>Sep</v>
      </c>
      <c r="J3143">
        <f>YEAR(datas[[#This Row],[Order Date]])</f>
        <v>2022</v>
      </c>
    </row>
    <row r="3144" spans="1:10" ht="14.25" customHeight="1" x14ac:dyDescent="0.3">
      <c r="A3144" s="1">
        <v>44821</v>
      </c>
      <c r="B3144" s="2" t="s">
        <v>250</v>
      </c>
      <c r="C3144" s="2" t="s">
        <v>75</v>
      </c>
      <c r="D3144" s="2" t="s">
        <v>10</v>
      </c>
      <c r="E3144" s="2" t="s">
        <v>15</v>
      </c>
      <c r="F3144" s="2">
        <v>94.6</v>
      </c>
      <c r="G3144" s="2">
        <v>4</v>
      </c>
      <c r="H3144" s="2">
        <v>27.43</v>
      </c>
      <c r="I3144" t="str">
        <f t="shared" si="49"/>
        <v>Sep</v>
      </c>
      <c r="J3144">
        <f>YEAR(datas[[#This Row],[Order Date]])</f>
        <v>2022</v>
      </c>
    </row>
    <row r="3145" spans="1:10" ht="14.25" customHeight="1" x14ac:dyDescent="0.3">
      <c r="A3145" s="1">
        <v>44821</v>
      </c>
      <c r="B3145" s="2" t="s">
        <v>250</v>
      </c>
      <c r="C3145" s="2" t="s">
        <v>75</v>
      </c>
      <c r="D3145" s="2" t="s">
        <v>26</v>
      </c>
      <c r="E3145" s="2" t="s">
        <v>45</v>
      </c>
      <c r="F3145" s="2">
        <v>4228.7</v>
      </c>
      <c r="G3145" s="2">
        <v>6</v>
      </c>
      <c r="H3145" s="2">
        <v>158.58000000000001</v>
      </c>
      <c r="I3145" t="str">
        <f t="shared" si="49"/>
        <v>Sep</v>
      </c>
      <c r="J3145">
        <f>YEAR(datas[[#This Row],[Order Date]])</f>
        <v>2022</v>
      </c>
    </row>
    <row r="3146" spans="1:10" ht="14.25" customHeight="1" x14ac:dyDescent="0.3">
      <c r="A3146" s="1">
        <v>44821</v>
      </c>
      <c r="B3146" s="2" t="s">
        <v>250</v>
      </c>
      <c r="C3146" s="2" t="s">
        <v>75</v>
      </c>
      <c r="D3146" s="2" t="s">
        <v>26</v>
      </c>
      <c r="E3146" s="2" t="s">
        <v>45</v>
      </c>
      <c r="F3146" s="2">
        <v>2003.92</v>
      </c>
      <c r="G3146" s="2">
        <v>5</v>
      </c>
      <c r="H3146" s="2">
        <v>-25.05</v>
      </c>
      <c r="I3146" t="str">
        <f t="shared" si="49"/>
        <v>Sep</v>
      </c>
      <c r="J3146">
        <f>YEAR(datas[[#This Row],[Order Date]])</f>
        <v>2022</v>
      </c>
    </row>
    <row r="3147" spans="1:10" ht="14.25" customHeight="1" x14ac:dyDescent="0.3">
      <c r="A3147" s="1">
        <v>44821</v>
      </c>
      <c r="B3147" s="2" t="s">
        <v>250</v>
      </c>
      <c r="C3147" s="2" t="s">
        <v>75</v>
      </c>
      <c r="D3147" s="2" t="s">
        <v>28</v>
      </c>
      <c r="E3147" s="2" t="s">
        <v>29</v>
      </c>
      <c r="F3147" s="2">
        <v>209.97</v>
      </c>
      <c r="G3147" s="2">
        <v>3</v>
      </c>
      <c r="H3147" s="2">
        <v>58.79</v>
      </c>
      <c r="I3147" t="str">
        <f t="shared" si="49"/>
        <v>Sep</v>
      </c>
      <c r="J3147">
        <f>YEAR(datas[[#This Row],[Order Date]])</f>
        <v>2022</v>
      </c>
    </row>
    <row r="3148" spans="1:10" ht="14.25" customHeight="1" x14ac:dyDescent="0.3">
      <c r="A3148" s="1">
        <v>44821</v>
      </c>
      <c r="B3148" s="2" t="s">
        <v>250</v>
      </c>
      <c r="C3148" s="2" t="s">
        <v>75</v>
      </c>
      <c r="D3148" s="2" t="s">
        <v>28</v>
      </c>
      <c r="E3148" s="2" t="s">
        <v>34</v>
      </c>
      <c r="F3148" s="2">
        <v>659.9</v>
      </c>
      <c r="G3148" s="2">
        <v>2</v>
      </c>
      <c r="H3148" s="2">
        <v>217.77</v>
      </c>
      <c r="I3148" t="str">
        <f t="shared" si="49"/>
        <v>Sep</v>
      </c>
      <c r="J3148">
        <f>YEAR(datas[[#This Row],[Order Date]])</f>
        <v>2022</v>
      </c>
    </row>
    <row r="3149" spans="1:10" ht="14.25" customHeight="1" x14ac:dyDescent="0.3">
      <c r="A3149" s="1">
        <v>44821</v>
      </c>
      <c r="B3149" s="2" t="s">
        <v>250</v>
      </c>
      <c r="C3149" s="2" t="s">
        <v>75</v>
      </c>
      <c r="D3149" s="2" t="s">
        <v>10</v>
      </c>
      <c r="E3149" s="2" t="s">
        <v>11</v>
      </c>
      <c r="F3149" s="2">
        <v>110.96</v>
      </c>
      <c r="G3149" s="2">
        <v>2</v>
      </c>
      <c r="H3149" s="2">
        <v>53.26</v>
      </c>
      <c r="I3149" t="str">
        <f t="shared" si="49"/>
        <v>Sep</v>
      </c>
      <c r="J3149">
        <f>YEAR(datas[[#This Row],[Order Date]])</f>
        <v>2022</v>
      </c>
    </row>
    <row r="3150" spans="1:10" ht="14.25" customHeight="1" x14ac:dyDescent="0.3">
      <c r="A3150" s="1">
        <v>44821</v>
      </c>
      <c r="B3150" s="2" t="s">
        <v>250</v>
      </c>
      <c r="C3150" s="2" t="s">
        <v>75</v>
      </c>
      <c r="D3150" s="2" t="s">
        <v>28</v>
      </c>
      <c r="E3150" s="2" t="s">
        <v>29</v>
      </c>
      <c r="F3150" s="2">
        <v>67.8</v>
      </c>
      <c r="G3150" s="2">
        <v>4</v>
      </c>
      <c r="H3150" s="2">
        <v>1.36</v>
      </c>
      <c r="I3150" t="str">
        <f t="shared" si="49"/>
        <v>Sep</v>
      </c>
      <c r="J3150">
        <f>YEAR(datas[[#This Row],[Order Date]])</f>
        <v>2022</v>
      </c>
    </row>
    <row r="3151" spans="1:10" ht="14.25" customHeight="1" x14ac:dyDescent="0.3">
      <c r="A3151" s="1">
        <v>44822</v>
      </c>
      <c r="B3151" s="2" t="s">
        <v>179</v>
      </c>
      <c r="C3151" s="2" t="s">
        <v>21</v>
      </c>
      <c r="D3151" s="2" t="s">
        <v>10</v>
      </c>
      <c r="E3151" s="2" t="s">
        <v>11</v>
      </c>
      <c r="F3151" s="2">
        <v>160.72</v>
      </c>
      <c r="G3151" s="2">
        <v>14</v>
      </c>
      <c r="H3151" s="2">
        <v>78.75</v>
      </c>
      <c r="I3151" t="str">
        <f t="shared" si="49"/>
        <v>Sep</v>
      </c>
      <c r="J3151">
        <f>YEAR(datas[[#This Row],[Order Date]])</f>
        <v>2022</v>
      </c>
    </row>
    <row r="3152" spans="1:10" ht="14.25" customHeight="1" x14ac:dyDescent="0.3">
      <c r="A3152" s="1">
        <v>44822</v>
      </c>
      <c r="B3152" s="2" t="s">
        <v>179</v>
      </c>
      <c r="C3152" s="2" t="s">
        <v>21</v>
      </c>
      <c r="D3152" s="2" t="s">
        <v>10</v>
      </c>
      <c r="E3152" s="2" t="s">
        <v>11</v>
      </c>
      <c r="F3152" s="2">
        <v>19.920000000000002</v>
      </c>
      <c r="G3152" s="2">
        <v>4</v>
      </c>
      <c r="H3152" s="2">
        <v>9.76</v>
      </c>
      <c r="I3152" t="str">
        <f t="shared" si="49"/>
        <v>Sep</v>
      </c>
      <c r="J3152">
        <f>YEAR(datas[[#This Row],[Order Date]])</f>
        <v>2022</v>
      </c>
    </row>
    <row r="3153" spans="1:10" ht="14.25" customHeight="1" x14ac:dyDescent="0.3">
      <c r="A3153" s="1">
        <v>44822</v>
      </c>
      <c r="B3153" s="2" t="s">
        <v>179</v>
      </c>
      <c r="C3153" s="2" t="s">
        <v>21</v>
      </c>
      <c r="D3153" s="2" t="s">
        <v>10</v>
      </c>
      <c r="E3153" s="2" t="s">
        <v>95</v>
      </c>
      <c r="F3153" s="2">
        <v>7.3</v>
      </c>
      <c r="G3153" s="2">
        <v>2</v>
      </c>
      <c r="H3153" s="2">
        <v>2.19</v>
      </c>
      <c r="I3153" t="str">
        <f t="shared" si="49"/>
        <v>Sep</v>
      </c>
      <c r="J3153">
        <f>YEAR(datas[[#This Row],[Order Date]])</f>
        <v>2022</v>
      </c>
    </row>
    <row r="3154" spans="1:10" ht="14.25" customHeight="1" x14ac:dyDescent="0.3">
      <c r="A3154" s="1">
        <v>44822</v>
      </c>
      <c r="B3154" s="2" t="s">
        <v>556</v>
      </c>
      <c r="C3154" s="2" t="s">
        <v>215</v>
      </c>
      <c r="D3154" s="2" t="s">
        <v>10</v>
      </c>
      <c r="E3154" s="2" t="s">
        <v>15</v>
      </c>
      <c r="F3154" s="2">
        <v>41.96</v>
      </c>
      <c r="G3154" s="2">
        <v>2</v>
      </c>
      <c r="H3154" s="2">
        <v>7.97</v>
      </c>
      <c r="I3154" t="str">
        <f t="shared" si="49"/>
        <v>Sep</v>
      </c>
      <c r="J3154">
        <f>YEAR(datas[[#This Row],[Order Date]])</f>
        <v>2022</v>
      </c>
    </row>
    <row r="3155" spans="1:10" ht="14.25" customHeight="1" x14ac:dyDescent="0.3">
      <c r="A3155" s="1">
        <v>44822</v>
      </c>
      <c r="B3155" s="2" t="s">
        <v>556</v>
      </c>
      <c r="C3155" s="2" t="s">
        <v>215</v>
      </c>
      <c r="D3155" s="2" t="s">
        <v>10</v>
      </c>
      <c r="E3155" s="2" t="s">
        <v>15</v>
      </c>
      <c r="F3155" s="2">
        <v>636.86</v>
      </c>
      <c r="G3155" s="2">
        <v>7</v>
      </c>
      <c r="H3155" s="2">
        <v>0</v>
      </c>
      <c r="I3155" t="str">
        <f t="shared" si="49"/>
        <v>Sep</v>
      </c>
      <c r="J3155">
        <f>YEAR(datas[[#This Row],[Order Date]])</f>
        <v>2022</v>
      </c>
    </row>
    <row r="3156" spans="1:10" ht="14.25" customHeight="1" x14ac:dyDescent="0.3">
      <c r="A3156" s="1">
        <v>44822</v>
      </c>
      <c r="B3156" s="2" t="s">
        <v>556</v>
      </c>
      <c r="C3156" s="2" t="s">
        <v>215</v>
      </c>
      <c r="D3156" s="2" t="s">
        <v>28</v>
      </c>
      <c r="E3156" s="2" t="s">
        <v>29</v>
      </c>
      <c r="F3156" s="2">
        <v>499.99</v>
      </c>
      <c r="G3156" s="2">
        <v>1</v>
      </c>
      <c r="H3156" s="2">
        <v>130</v>
      </c>
      <c r="I3156" t="str">
        <f t="shared" si="49"/>
        <v>Sep</v>
      </c>
      <c r="J3156">
        <f>YEAR(datas[[#This Row],[Order Date]])</f>
        <v>2022</v>
      </c>
    </row>
    <row r="3157" spans="1:10" ht="14.25" customHeight="1" x14ac:dyDescent="0.3">
      <c r="A3157" s="1">
        <v>44822</v>
      </c>
      <c r="B3157" s="2" t="s">
        <v>556</v>
      </c>
      <c r="C3157" s="2" t="s">
        <v>215</v>
      </c>
      <c r="D3157" s="2" t="s">
        <v>28</v>
      </c>
      <c r="E3157" s="2" t="s">
        <v>29</v>
      </c>
      <c r="F3157" s="2">
        <v>1259.93</v>
      </c>
      <c r="G3157" s="2">
        <v>7</v>
      </c>
      <c r="H3157" s="2">
        <v>327.58</v>
      </c>
      <c r="I3157" t="str">
        <f t="shared" si="49"/>
        <v>Sep</v>
      </c>
      <c r="J3157">
        <f>YEAR(datas[[#This Row],[Order Date]])</f>
        <v>2022</v>
      </c>
    </row>
    <row r="3158" spans="1:10" ht="14.25" customHeight="1" x14ac:dyDescent="0.3">
      <c r="A3158" s="1">
        <v>44822</v>
      </c>
      <c r="B3158" s="2" t="s">
        <v>556</v>
      </c>
      <c r="C3158" s="2" t="s">
        <v>215</v>
      </c>
      <c r="D3158" s="2" t="s">
        <v>10</v>
      </c>
      <c r="E3158" s="2" t="s">
        <v>16</v>
      </c>
      <c r="F3158" s="2">
        <v>65.08</v>
      </c>
      <c r="G3158" s="2">
        <v>4</v>
      </c>
      <c r="H3158" s="2">
        <v>31.89</v>
      </c>
      <c r="I3158" t="str">
        <f t="shared" si="49"/>
        <v>Sep</v>
      </c>
      <c r="J3158">
        <f>YEAR(datas[[#This Row],[Order Date]])</f>
        <v>2022</v>
      </c>
    </row>
    <row r="3159" spans="1:10" ht="14.25" customHeight="1" x14ac:dyDescent="0.3">
      <c r="A3159" s="1">
        <v>44822</v>
      </c>
      <c r="B3159" s="2" t="s">
        <v>233</v>
      </c>
      <c r="C3159" s="2" t="s">
        <v>21</v>
      </c>
      <c r="D3159" s="2" t="s">
        <v>10</v>
      </c>
      <c r="E3159" s="2" t="s">
        <v>19</v>
      </c>
      <c r="F3159" s="2">
        <v>11.68</v>
      </c>
      <c r="G3159" s="2">
        <v>2</v>
      </c>
      <c r="H3159" s="2">
        <v>5.49</v>
      </c>
      <c r="I3159" t="str">
        <f t="shared" si="49"/>
        <v>Sep</v>
      </c>
      <c r="J3159">
        <f>YEAR(datas[[#This Row],[Order Date]])</f>
        <v>2022</v>
      </c>
    </row>
    <row r="3160" spans="1:10" ht="14.25" customHeight="1" x14ac:dyDescent="0.3">
      <c r="A3160" s="1">
        <v>44822</v>
      </c>
      <c r="B3160" s="2" t="s">
        <v>233</v>
      </c>
      <c r="C3160" s="2" t="s">
        <v>21</v>
      </c>
      <c r="D3160" s="2" t="s">
        <v>10</v>
      </c>
      <c r="E3160" s="2" t="s">
        <v>95</v>
      </c>
      <c r="F3160" s="2">
        <v>16.899999999999999</v>
      </c>
      <c r="G3160" s="2">
        <v>2</v>
      </c>
      <c r="H3160" s="2">
        <v>5.07</v>
      </c>
      <c r="I3160" t="str">
        <f t="shared" si="49"/>
        <v>Sep</v>
      </c>
      <c r="J3160">
        <f>YEAR(datas[[#This Row],[Order Date]])</f>
        <v>2022</v>
      </c>
    </row>
    <row r="3161" spans="1:10" ht="14.25" customHeight="1" x14ac:dyDescent="0.3">
      <c r="A3161" s="1">
        <v>44822</v>
      </c>
      <c r="B3161" s="2" t="s">
        <v>233</v>
      </c>
      <c r="C3161" s="2" t="s">
        <v>21</v>
      </c>
      <c r="D3161" s="2" t="s">
        <v>26</v>
      </c>
      <c r="E3161" s="2" t="s">
        <v>32</v>
      </c>
      <c r="F3161" s="2">
        <v>24.4</v>
      </c>
      <c r="G3161" s="2">
        <v>2</v>
      </c>
      <c r="H3161" s="2">
        <v>10.25</v>
      </c>
      <c r="I3161" t="str">
        <f t="shared" si="49"/>
        <v>Sep</v>
      </c>
      <c r="J3161">
        <f>YEAR(datas[[#This Row],[Order Date]])</f>
        <v>2022</v>
      </c>
    </row>
    <row r="3162" spans="1:10" ht="14.25" customHeight="1" x14ac:dyDescent="0.3">
      <c r="A3162" s="1">
        <v>44822</v>
      </c>
      <c r="B3162" s="2" t="s">
        <v>764</v>
      </c>
      <c r="C3162" s="2" t="s">
        <v>64</v>
      </c>
      <c r="D3162" s="2" t="s">
        <v>28</v>
      </c>
      <c r="E3162" s="2" t="s">
        <v>34</v>
      </c>
      <c r="F3162" s="2">
        <v>717.12</v>
      </c>
      <c r="G3162" s="2">
        <v>9</v>
      </c>
      <c r="H3162" s="2">
        <v>152.38999999999999</v>
      </c>
      <c r="I3162" t="str">
        <f t="shared" si="49"/>
        <v>Sep</v>
      </c>
      <c r="J3162">
        <f>YEAR(datas[[#This Row],[Order Date]])</f>
        <v>2022</v>
      </c>
    </row>
    <row r="3163" spans="1:10" ht="14.25" customHeight="1" x14ac:dyDescent="0.3">
      <c r="A3163" s="1">
        <v>44822</v>
      </c>
      <c r="B3163" s="2" t="s">
        <v>765</v>
      </c>
      <c r="C3163" s="2" t="s">
        <v>82</v>
      </c>
      <c r="D3163" s="2" t="s">
        <v>10</v>
      </c>
      <c r="E3163" s="2" t="s">
        <v>11</v>
      </c>
      <c r="F3163" s="2">
        <v>18.54</v>
      </c>
      <c r="G3163" s="2">
        <v>2</v>
      </c>
      <c r="H3163" s="2">
        <v>8.7100000000000009</v>
      </c>
      <c r="I3163" t="str">
        <f t="shared" si="49"/>
        <v>Sep</v>
      </c>
      <c r="J3163">
        <f>YEAR(datas[[#This Row],[Order Date]])</f>
        <v>2022</v>
      </c>
    </row>
    <row r="3164" spans="1:10" ht="14.25" customHeight="1" x14ac:dyDescent="0.3">
      <c r="A3164" s="1">
        <v>44822</v>
      </c>
      <c r="B3164" s="2" t="s">
        <v>766</v>
      </c>
      <c r="C3164" s="2" t="s">
        <v>21</v>
      </c>
      <c r="D3164" s="2" t="s">
        <v>10</v>
      </c>
      <c r="E3164" s="2" t="s">
        <v>15</v>
      </c>
      <c r="F3164" s="2">
        <v>443.92</v>
      </c>
      <c r="G3164" s="2">
        <v>4</v>
      </c>
      <c r="H3164" s="2">
        <v>8.8800000000000008</v>
      </c>
      <c r="I3164" t="str">
        <f t="shared" si="49"/>
        <v>Sep</v>
      </c>
      <c r="J3164">
        <f>YEAR(datas[[#This Row],[Order Date]])</f>
        <v>2022</v>
      </c>
    </row>
    <row r="3165" spans="1:10" ht="14.25" customHeight="1" x14ac:dyDescent="0.3">
      <c r="A3165" s="1">
        <v>44823</v>
      </c>
      <c r="B3165" s="2" t="s">
        <v>564</v>
      </c>
      <c r="C3165" s="2" t="s">
        <v>36</v>
      </c>
      <c r="D3165" s="2" t="s">
        <v>26</v>
      </c>
      <c r="E3165" s="2" t="s">
        <v>45</v>
      </c>
      <c r="F3165" s="2">
        <v>61.96</v>
      </c>
      <c r="G3165" s="2">
        <v>2</v>
      </c>
      <c r="H3165" s="2">
        <v>4.34</v>
      </c>
      <c r="I3165" t="str">
        <f t="shared" si="49"/>
        <v>Sep</v>
      </c>
      <c r="J3165">
        <f>YEAR(datas[[#This Row],[Order Date]])</f>
        <v>2022</v>
      </c>
    </row>
    <row r="3166" spans="1:10" ht="14.25" customHeight="1" x14ac:dyDescent="0.3">
      <c r="A3166" s="1">
        <v>44823</v>
      </c>
      <c r="B3166" s="2" t="s">
        <v>113</v>
      </c>
      <c r="C3166" s="2" t="s">
        <v>23</v>
      </c>
      <c r="D3166" s="2" t="s">
        <v>28</v>
      </c>
      <c r="E3166" s="2" t="s">
        <v>34</v>
      </c>
      <c r="F3166" s="2">
        <v>66.36</v>
      </c>
      <c r="G3166" s="2">
        <v>4</v>
      </c>
      <c r="H3166" s="2">
        <v>23.23</v>
      </c>
      <c r="I3166" t="str">
        <f t="shared" si="49"/>
        <v>Sep</v>
      </c>
      <c r="J3166">
        <f>YEAR(datas[[#This Row],[Order Date]])</f>
        <v>2022</v>
      </c>
    </row>
    <row r="3167" spans="1:10" ht="14.25" customHeight="1" x14ac:dyDescent="0.3">
      <c r="A3167" s="1">
        <v>44823</v>
      </c>
      <c r="B3167" s="2" t="s">
        <v>674</v>
      </c>
      <c r="C3167" s="2" t="s">
        <v>21</v>
      </c>
      <c r="D3167" s="2" t="s">
        <v>10</v>
      </c>
      <c r="E3167" s="2" t="s">
        <v>11</v>
      </c>
      <c r="F3167" s="2">
        <v>22.96</v>
      </c>
      <c r="G3167" s="2">
        <v>2</v>
      </c>
      <c r="H3167" s="2">
        <v>11.25</v>
      </c>
      <c r="I3167" t="str">
        <f t="shared" si="49"/>
        <v>Sep</v>
      </c>
      <c r="J3167">
        <f>YEAR(datas[[#This Row],[Order Date]])</f>
        <v>2022</v>
      </c>
    </row>
    <row r="3168" spans="1:10" ht="14.25" customHeight="1" x14ac:dyDescent="0.3">
      <c r="A3168" s="1">
        <v>44823</v>
      </c>
      <c r="B3168" s="2" t="s">
        <v>111</v>
      </c>
      <c r="C3168" s="2" t="s">
        <v>75</v>
      </c>
      <c r="D3168" s="2" t="s">
        <v>28</v>
      </c>
      <c r="E3168" s="2" t="s">
        <v>29</v>
      </c>
      <c r="F3168" s="2">
        <v>279.86</v>
      </c>
      <c r="G3168" s="2">
        <v>14</v>
      </c>
      <c r="H3168" s="2">
        <v>134.33000000000001</v>
      </c>
      <c r="I3168" t="str">
        <f t="shared" si="49"/>
        <v>Sep</v>
      </c>
      <c r="J3168">
        <f>YEAR(datas[[#This Row],[Order Date]])</f>
        <v>2022</v>
      </c>
    </row>
    <row r="3169" spans="1:10" ht="14.25" customHeight="1" x14ac:dyDescent="0.3">
      <c r="A3169" s="1">
        <v>44823</v>
      </c>
      <c r="B3169" s="2" t="s">
        <v>231</v>
      </c>
      <c r="C3169" s="2" t="s">
        <v>167</v>
      </c>
      <c r="D3169" s="2" t="s">
        <v>10</v>
      </c>
      <c r="E3169" s="2" t="s">
        <v>19</v>
      </c>
      <c r="F3169" s="2">
        <v>8.4</v>
      </c>
      <c r="G3169" s="2">
        <v>5</v>
      </c>
      <c r="H3169" s="2">
        <v>2.1800000000000002</v>
      </c>
      <c r="I3169" t="str">
        <f t="shared" si="49"/>
        <v>Sep</v>
      </c>
      <c r="J3169">
        <f>YEAR(datas[[#This Row],[Order Date]])</f>
        <v>2022</v>
      </c>
    </row>
    <row r="3170" spans="1:10" ht="14.25" customHeight="1" x14ac:dyDescent="0.3">
      <c r="A3170" s="1">
        <v>44823</v>
      </c>
      <c r="B3170" s="2" t="s">
        <v>731</v>
      </c>
      <c r="C3170" s="2" t="s">
        <v>21</v>
      </c>
      <c r="D3170" s="2" t="s">
        <v>26</v>
      </c>
      <c r="E3170" s="2" t="s">
        <v>32</v>
      </c>
      <c r="F3170" s="2">
        <v>60.84</v>
      </c>
      <c r="G3170" s="2">
        <v>3</v>
      </c>
      <c r="H3170" s="2">
        <v>19.47</v>
      </c>
      <c r="I3170" t="str">
        <f t="shared" si="49"/>
        <v>Sep</v>
      </c>
      <c r="J3170">
        <f>YEAR(datas[[#This Row],[Order Date]])</f>
        <v>2022</v>
      </c>
    </row>
    <row r="3171" spans="1:10" ht="14.25" customHeight="1" x14ac:dyDescent="0.3">
      <c r="A3171" s="1">
        <v>44824</v>
      </c>
      <c r="B3171" s="2" t="s">
        <v>265</v>
      </c>
      <c r="C3171" s="2" t="s">
        <v>181</v>
      </c>
      <c r="D3171" s="2" t="s">
        <v>10</v>
      </c>
      <c r="E3171" s="2" t="s">
        <v>16</v>
      </c>
      <c r="F3171" s="2">
        <v>37.68</v>
      </c>
      <c r="G3171" s="2">
        <v>6</v>
      </c>
      <c r="H3171" s="2">
        <v>16.96</v>
      </c>
      <c r="I3171" t="str">
        <f t="shared" si="49"/>
        <v>Sep</v>
      </c>
      <c r="J3171">
        <f>YEAR(datas[[#This Row],[Order Date]])</f>
        <v>2022</v>
      </c>
    </row>
    <row r="3172" spans="1:10" ht="14.25" customHeight="1" x14ac:dyDescent="0.3">
      <c r="A3172" s="1">
        <v>44824</v>
      </c>
      <c r="B3172" s="2" t="s">
        <v>570</v>
      </c>
      <c r="C3172" s="2" t="s">
        <v>75</v>
      </c>
      <c r="D3172" s="2" t="s">
        <v>10</v>
      </c>
      <c r="E3172" s="2" t="s">
        <v>11</v>
      </c>
      <c r="F3172" s="2">
        <v>61.4</v>
      </c>
      <c r="G3172" s="2">
        <v>5</v>
      </c>
      <c r="H3172" s="2">
        <v>28.86</v>
      </c>
      <c r="I3172" t="str">
        <f t="shared" si="49"/>
        <v>Sep</v>
      </c>
      <c r="J3172">
        <f>YEAR(datas[[#This Row],[Order Date]])</f>
        <v>2022</v>
      </c>
    </row>
    <row r="3173" spans="1:10" ht="14.25" customHeight="1" x14ac:dyDescent="0.3">
      <c r="A3173" s="1">
        <v>44824</v>
      </c>
      <c r="B3173" s="2" t="s">
        <v>570</v>
      </c>
      <c r="C3173" s="2" t="s">
        <v>75</v>
      </c>
      <c r="D3173" s="2" t="s">
        <v>10</v>
      </c>
      <c r="E3173" s="2" t="s">
        <v>16</v>
      </c>
      <c r="F3173" s="2">
        <v>24.45</v>
      </c>
      <c r="G3173" s="2">
        <v>2</v>
      </c>
      <c r="H3173" s="2">
        <v>8.86</v>
      </c>
      <c r="I3173" t="str">
        <f t="shared" si="49"/>
        <v>Sep</v>
      </c>
      <c r="J3173">
        <f>YEAR(datas[[#This Row],[Order Date]])</f>
        <v>2022</v>
      </c>
    </row>
    <row r="3174" spans="1:10" ht="14.25" customHeight="1" x14ac:dyDescent="0.3">
      <c r="A3174" s="1">
        <v>44824</v>
      </c>
      <c r="B3174" s="2" t="s">
        <v>569</v>
      </c>
      <c r="C3174" s="2" t="s">
        <v>62</v>
      </c>
      <c r="D3174" s="2" t="s">
        <v>10</v>
      </c>
      <c r="E3174" s="2" t="s">
        <v>16</v>
      </c>
      <c r="F3174" s="2">
        <v>1369.76</v>
      </c>
      <c r="G3174" s="2">
        <v>6</v>
      </c>
      <c r="H3174" s="2">
        <v>-913.18</v>
      </c>
      <c r="I3174" t="str">
        <f t="shared" si="49"/>
        <v>Sep</v>
      </c>
      <c r="J3174">
        <f>YEAR(datas[[#This Row],[Order Date]])</f>
        <v>2022</v>
      </c>
    </row>
    <row r="3175" spans="1:10" ht="14.25" customHeight="1" x14ac:dyDescent="0.3">
      <c r="A3175" s="1">
        <v>44824</v>
      </c>
      <c r="B3175" s="2" t="s">
        <v>569</v>
      </c>
      <c r="C3175" s="2" t="s">
        <v>62</v>
      </c>
      <c r="D3175" s="2" t="s">
        <v>10</v>
      </c>
      <c r="E3175" s="2" t="s">
        <v>15</v>
      </c>
      <c r="F3175" s="2">
        <v>294.37</v>
      </c>
      <c r="G3175" s="2">
        <v>4</v>
      </c>
      <c r="H3175" s="2">
        <v>-58.87</v>
      </c>
      <c r="I3175" t="str">
        <f t="shared" si="49"/>
        <v>Sep</v>
      </c>
      <c r="J3175">
        <f>YEAR(datas[[#This Row],[Order Date]])</f>
        <v>2022</v>
      </c>
    </row>
    <row r="3176" spans="1:10" ht="14.25" customHeight="1" x14ac:dyDescent="0.3">
      <c r="A3176" s="1">
        <v>44824</v>
      </c>
      <c r="B3176" s="2" t="s">
        <v>552</v>
      </c>
      <c r="C3176" s="2" t="s">
        <v>66</v>
      </c>
      <c r="D3176" s="2" t="s">
        <v>10</v>
      </c>
      <c r="E3176" s="2" t="s">
        <v>16</v>
      </c>
      <c r="F3176" s="2">
        <v>45.58</v>
      </c>
      <c r="G3176" s="2">
        <v>11</v>
      </c>
      <c r="H3176" s="2">
        <v>16.52</v>
      </c>
      <c r="I3176" t="str">
        <f t="shared" si="49"/>
        <v>Sep</v>
      </c>
      <c r="J3176">
        <f>YEAR(datas[[#This Row],[Order Date]])</f>
        <v>2022</v>
      </c>
    </row>
    <row r="3177" spans="1:10" ht="14.25" customHeight="1" x14ac:dyDescent="0.3">
      <c r="A3177" s="1">
        <v>44824</v>
      </c>
      <c r="B3177" s="2" t="s">
        <v>705</v>
      </c>
      <c r="C3177" s="2" t="s">
        <v>13</v>
      </c>
      <c r="D3177" s="2" t="s">
        <v>10</v>
      </c>
      <c r="E3177" s="2" t="s">
        <v>16</v>
      </c>
      <c r="F3177" s="2">
        <v>2.81</v>
      </c>
      <c r="G3177" s="2">
        <v>3</v>
      </c>
      <c r="H3177" s="2">
        <v>-4.49</v>
      </c>
      <c r="I3177" t="str">
        <f t="shared" si="49"/>
        <v>Sep</v>
      </c>
      <c r="J3177">
        <f>YEAR(datas[[#This Row],[Order Date]])</f>
        <v>2022</v>
      </c>
    </row>
    <row r="3178" spans="1:10" ht="14.25" customHeight="1" x14ac:dyDescent="0.3">
      <c r="A3178" s="1">
        <v>44825</v>
      </c>
      <c r="B3178" s="2" t="s">
        <v>715</v>
      </c>
      <c r="C3178" s="2" t="s">
        <v>9</v>
      </c>
      <c r="D3178" s="2" t="s">
        <v>28</v>
      </c>
      <c r="E3178" s="2" t="s">
        <v>29</v>
      </c>
      <c r="F3178" s="2">
        <v>946.34</v>
      </c>
      <c r="G3178" s="2">
        <v>7</v>
      </c>
      <c r="H3178" s="2">
        <v>118.29</v>
      </c>
      <c r="I3178" t="str">
        <f t="shared" si="49"/>
        <v>Sep</v>
      </c>
      <c r="J3178">
        <f>YEAR(datas[[#This Row],[Order Date]])</f>
        <v>2022</v>
      </c>
    </row>
    <row r="3179" spans="1:10" ht="14.25" customHeight="1" x14ac:dyDescent="0.3">
      <c r="A3179" s="1">
        <v>44825</v>
      </c>
      <c r="B3179" s="2" t="s">
        <v>715</v>
      </c>
      <c r="C3179" s="2" t="s">
        <v>9</v>
      </c>
      <c r="D3179" s="2" t="s">
        <v>28</v>
      </c>
      <c r="E3179" s="2" t="s">
        <v>34</v>
      </c>
      <c r="F3179" s="2">
        <v>151.19999999999999</v>
      </c>
      <c r="G3179" s="2">
        <v>3</v>
      </c>
      <c r="H3179" s="2">
        <v>32.130000000000003</v>
      </c>
      <c r="I3179" t="str">
        <f t="shared" si="49"/>
        <v>Sep</v>
      </c>
      <c r="J3179">
        <f>YEAR(datas[[#This Row],[Order Date]])</f>
        <v>2022</v>
      </c>
    </row>
    <row r="3180" spans="1:10" ht="14.25" customHeight="1" x14ac:dyDescent="0.3">
      <c r="A3180" s="1">
        <v>44825</v>
      </c>
      <c r="B3180" s="2" t="s">
        <v>715</v>
      </c>
      <c r="C3180" s="2" t="s">
        <v>9</v>
      </c>
      <c r="D3180" s="2" t="s">
        <v>26</v>
      </c>
      <c r="E3180" s="2" t="s">
        <v>32</v>
      </c>
      <c r="F3180" s="2">
        <v>4.93</v>
      </c>
      <c r="G3180" s="2">
        <v>4</v>
      </c>
      <c r="H3180" s="2">
        <v>-1.48</v>
      </c>
      <c r="I3180" t="str">
        <f t="shared" si="49"/>
        <v>Sep</v>
      </c>
      <c r="J3180">
        <f>YEAR(datas[[#This Row],[Order Date]])</f>
        <v>2022</v>
      </c>
    </row>
    <row r="3181" spans="1:10" ht="14.25" customHeight="1" x14ac:dyDescent="0.3">
      <c r="A3181" s="1">
        <v>44825</v>
      </c>
      <c r="B3181" s="2" t="s">
        <v>400</v>
      </c>
      <c r="C3181" s="2" t="s">
        <v>82</v>
      </c>
      <c r="D3181" s="2" t="s">
        <v>10</v>
      </c>
      <c r="E3181" s="2" t="s">
        <v>15</v>
      </c>
      <c r="F3181" s="2">
        <v>199.74</v>
      </c>
      <c r="G3181" s="2">
        <v>6</v>
      </c>
      <c r="H3181" s="2">
        <v>47.94</v>
      </c>
      <c r="I3181" t="str">
        <f t="shared" si="49"/>
        <v>Sep</v>
      </c>
      <c r="J3181">
        <f>YEAR(datas[[#This Row],[Order Date]])</f>
        <v>2022</v>
      </c>
    </row>
    <row r="3182" spans="1:10" ht="14.25" customHeight="1" x14ac:dyDescent="0.3">
      <c r="A3182" s="1">
        <v>44825</v>
      </c>
      <c r="B3182" s="2" t="s">
        <v>80</v>
      </c>
      <c r="C3182" s="2" t="s">
        <v>21</v>
      </c>
      <c r="D3182" s="2" t="s">
        <v>26</v>
      </c>
      <c r="E3182" s="2" t="s">
        <v>27</v>
      </c>
      <c r="F3182" s="2">
        <v>601.54</v>
      </c>
      <c r="G3182" s="2">
        <v>4</v>
      </c>
      <c r="H3182" s="2">
        <v>0</v>
      </c>
      <c r="I3182" t="str">
        <f t="shared" si="49"/>
        <v>Sep</v>
      </c>
      <c r="J3182">
        <f>YEAR(datas[[#This Row],[Order Date]])</f>
        <v>2022</v>
      </c>
    </row>
    <row r="3183" spans="1:10" ht="14.25" customHeight="1" x14ac:dyDescent="0.3">
      <c r="A3183" s="1">
        <v>44825</v>
      </c>
      <c r="B3183" s="2" t="s">
        <v>80</v>
      </c>
      <c r="C3183" s="2" t="s">
        <v>21</v>
      </c>
      <c r="D3183" s="2" t="s">
        <v>10</v>
      </c>
      <c r="E3183" s="2" t="s">
        <v>30</v>
      </c>
      <c r="F3183" s="2">
        <v>7.9</v>
      </c>
      <c r="G3183" s="2">
        <v>2</v>
      </c>
      <c r="H3183" s="2">
        <v>2.5299999999999998</v>
      </c>
      <c r="I3183" t="str">
        <f t="shared" si="49"/>
        <v>Sep</v>
      </c>
      <c r="J3183">
        <f>YEAR(datas[[#This Row],[Order Date]])</f>
        <v>2022</v>
      </c>
    </row>
    <row r="3184" spans="1:10" ht="14.25" customHeight="1" x14ac:dyDescent="0.3">
      <c r="A3184" s="1">
        <v>44825</v>
      </c>
      <c r="B3184" s="2" t="s">
        <v>512</v>
      </c>
      <c r="C3184" s="2" t="s">
        <v>60</v>
      </c>
      <c r="D3184" s="2" t="s">
        <v>26</v>
      </c>
      <c r="E3184" s="2" t="s">
        <v>45</v>
      </c>
      <c r="F3184" s="2">
        <v>194.32</v>
      </c>
      <c r="G3184" s="2">
        <v>4</v>
      </c>
      <c r="H3184" s="2">
        <v>31.09</v>
      </c>
      <c r="I3184" t="str">
        <f t="shared" si="49"/>
        <v>Sep</v>
      </c>
      <c r="J3184">
        <f>YEAR(datas[[#This Row],[Order Date]])</f>
        <v>2022</v>
      </c>
    </row>
    <row r="3185" spans="1:10" ht="14.25" customHeight="1" x14ac:dyDescent="0.3">
      <c r="A3185" s="1">
        <v>44825</v>
      </c>
      <c r="B3185" s="2" t="s">
        <v>512</v>
      </c>
      <c r="C3185" s="2" t="s">
        <v>60</v>
      </c>
      <c r="D3185" s="2" t="s">
        <v>10</v>
      </c>
      <c r="E3185" s="2" t="s">
        <v>19</v>
      </c>
      <c r="F3185" s="2">
        <v>25.99</v>
      </c>
      <c r="G3185" s="2">
        <v>1</v>
      </c>
      <c r="H3185" s="2">
        <v>7.54</v>
      </c>
      <c r="I3185" t="str">
        <f t="shared" si="49"/>
        <v>Sep</v>
      </c>
      <c r="J3185">
        <f>YEAR(datas[[#This Row],[Order Date]])</f>
        <v>2022</v>
      </c>
    </row>
    <row r="3186" spans="1:10" ht="14.25" customHeight="1" x14ac:dyDescent="0.3">
      <c r="A3186" s="1">
        <v>44825</v>
      </c>
      <c r="B3186" s="2" t="s">
        <v>417</v>
      </c>
      <c r="C3186" s="2" t="s">
        <v>181</v>
      </c>
      <c r="D3186" s="2" t="s">
        <v>26</v>
      </c>
      <c r="E3186" s="2" t="s">
        <v>32</v>
      </c>
      <c r="F3186" s="2">
        <v>85.3</v>
      </c>
      <c r="G3186" s="2">
        <v>2</v>
      </c>
      <c r="H3186" s="2">
        <v>14.5</v>
      </c>
      <c r="I3186" t="str">
        <f t="shared" si="49"/>
        <v>Sep</v>
      </c>
      <c r="J3186">
        <f>YEAR(datas[[#This Row],[Order Date]])</f>
        <v>2022</v>
      </c>
    </row>
    <row r="3187" spans="1:10" ht="14.25" customHeight="1" x14ac:dyDescent="0.3">
      <c r="A3187" s="1">
        <v>44825</v>
      </c>
      <c r="B3187" s="2" t="s">
        <v>188</v>
      </c>
      <c r="C3187" s="2" t="s">
        <v>181</v>
      </c>
      <c r="D3187" s="2" t="s">
        <v>28</v>
      </c>
      <c r="E3187" s="2" t="s">
        <v>29</v>
      </c>
      <c r="F3187" s="2">
        <v>589.9</v>
      </c>
      <c r="G3187" s="2">
        <v>2</v>
      </c>
      <c r="H3187" s="2">
        <v>147.47999999999999</v>
      </c>
      <c r="I3187" t="str">
        <f t="shared" si="49"/>
        <v>Sep</v>
      </c>
      <c r="J3187">
        <f>YEAR(datas[[#This Row],[Order Date]])</f>
        <v>2022</v>
      </c>
    </row>
    <row r="3188" spans="1:10" ht="14.25" customHeight="1" x14ac:dyDescent="0.3">
      <c r="A3188" s="1">
        <v>44825</v>
      </c>
      <c r="B3188" s="2" t="s">
        <v>188</v>
      </c>
      <c r="C3188" s="2" t="s">
        <v>181</v>
      </c>
      <c r="D3188" s="2" t="s">
        <v>26</v>
      </c>
      <c r="E3188" s="2" t="s">
        <v>27</v>
      </c>
      <c r="F3188" s="2">
        <v>542.94000000000005</v>
      </c>
      <c r="G3188" s="2">
        <v>3</v>
      </c>
      <c r="H3188" s="2">
        <v>141.16</v>
      </c>
      <c r="I3188" t="str">
        <f t="shared" si="49"/>
        <v>Sep</v>
      </c>
      <c r="J3188">
        <f>YEAR(datas[[#This Row],[Order Date]])</f>
        <v>2022</v>
      </c>
    </row>
    <row r="3189" spans="1:10" ht="14.25" customHeight="1" x14ac:dyDescent="0.3">
      <c r="A3189" s="1">
        <v>44825</v>
      </c>
      <c r="B3189" s="2" t="s">
        <v>729</v>
      </c>
      <c r="C3189" s="2" t="s">
        <v>43</v>
      </c>
      <c r="D3189" s="2" t="s">
        <v>26</v>
      </c>
      <c r="E3189" s="2" t="s">
        <v>27</v>
      </c>
      <c r="F3189" s="2">
        <v>1690.04</v>
      </c>
      <c r="G3189" s="2">
        <v>4</v>
      </c>
      <c r="H3189" s="2">
        <v>422.51</v>
      </c>
      <c r="I3189" t="str">
        <f t="shared" si="49"/>
        <v>Sep</v>
      </c>
      <c r="J3189">
        <f>YEAR(datas[[#This Row],[Order Date]])</f>
        <v>2022</v>
      </c>
    </row>
    <row r="3190" spans="1:10" ht="14.25" customHeight="1" x14ac:dyDescent="0.3">
      <c r="A3190" s="1">
        <v>44825</v>
      </c>
      <c r="B3190" s="2" t="s">
        <v>729</v>
      </c>
      <c r="C3190" s="2" t="s">
        <v>43</v>
      </c>
      <c r="D3190" s="2" t="s">
        <v>10</v>
      </c>
      <c r="E3190" s="2" t="s">
        <v>15</v>
      </c>
      <c r="F3190" s="2">
        <v>85.96</v>
      </c>
      <c r="G3190" s="2">
        <v>7</v>
      </c>
      <c r="H3190" s="2">
        <v>24.07</v>
      </c>
      <c r="I3190" t="str">
        <f t="shared" si="49"/>
        <v>Sep</v>
      </c>
      <c r="J3190">
        <f>YEAR(datas[[#This Row],[Order Date]])</f>
        <v>2022</v>
      </c>
    </row>
    <row r="3191" spans="1:10" ht="14.25" customHeight="1" x14ac:dyDescent="0.3">
      <c r="A3191" s="1">
        <v>44825</v>
      </c>
      <c r="B3191" s="2" t="s">
        <v>729</v>
      </c>
      <c r="C3191" s="2" t="s">
        <v>43</v>
      </c>
      <c r="D3191" s="2" t="s">
        <v>10</v>
      </c>
      <c r="E3191" s="2" t="s">
        <v>41</v>
      </c>
      <c r="F3191" s="2">
        <v>121.96</v>
      </c>
      <c r="G3191" s="2">
        <v>2</v>
      </c>
      <c r="H3191" s="2">
        <v>57.32</v>
      </c>
      <c r="I3191" t="str">
        <f t="shared" si="49"/>
        <v>Sep</v>
      </c>
      <c r="J3191">
        <f>YEAR(datas[[#This Row],[Order Date]])</f>
        <v>2022</v>
      </c>
    </row>
    <row r="3192" spans="1:10" ht="14.25" customHeight="1" x14ac:dyDescent="0.3">
      <c r="A3192" s="1">
        <v>44825</v>
      </c>
      <c r="B3192" s="2" t="s">
        <v>729</v>
      </c>
      <c r="C3192" s="2" t="s">
        <v>43</v>
      </c>
      <c r="D3192" s="2" t="s">
        <v>10</v>
      </c>
      <c r="E3192" s="2" t="s">
        <v>11</v>
      </c>
      <c r="F3192" s="2">
        <v>23.92</v>
      </c>
      <c r="G3192" s="2">
        <v>4</v>
      </c>
      <c r="H3192" s="2">
        <v>11.72</v>
      </c>
      <c r="I3192" t="str">
        <f t="shared" si="49"/>
        <v>Sep</v>
      </c>
      <c r="J3192">
        <f>YEAR(datas[[#This Row],[Order Date]])</f>
        <v>2022</v>
      </c>
    </row>
    <row r="3193" spans="1:10" ht="14.25" customHeight="1" x14ac:dyDescent="0.3">
      <c r="A3193" s="1">
        <v>44825</v>
      </c>
      <c r="B3193" s="2" t="s">
        <v>729</v>
      </c>
      <c r="C3193" s="2" t="s">
        <v>43</v>
      </c>
      <c r="D3193" s="2" t="s">
        <v>10</v>
      </c>
      <c r="E3193" s="2" t="s">
        <v>15</v>
      </c>
      <c r="F3193" s="2">
        <v>63.96</v>
      </c>
      <c r="G3193" s="2">
        <v>2</v>
      </c>
      <c r="H3193" s="2">
        <v>6.4</v>
      </c>
      <c r="I3193" t="str">
        <f t="shared" si="49"/>
        <v>Sep</v>
      </c>
      <c r="J3193">
        <f>YEAR(datas[[#This Row],[Order Date]])</f>
        <v>2022</v>
      </c>
    </row>
    <row r="3194" spans="1:10" ht="14.25" customHeight="1" x14ac:dyDescent="0.3">
      <c r="A3194" s="1">
        <v>44825</v>
      </c>
      <c r="B3194" s="2" t="s">
        <v>729</v>
      </c>
      <c r="C3194" s="2" t="s">
        <v>43</v>
      </c>
      <c r="D3194" s="2" t="s">
        <v>28</v>
      </c>
      <c r="E3194" s="2" t="s">
        <v>29</v>
      </c>
      <c r="F3194" s="2">
        <v>629.95000000000005</v>
      </c>
      <c r="G3194" s="2">
        <v>5</v>
      </c>
      <c r="H3194" s="2">
        <v>176.39</v>
      </c>
      <c r="I3194" t="str">
        <f t="shared" si="49"/>
        <v>Sep</v>
      </c>
      <c r="J3194">
        <f>YEAR(datas[[#This Row],[Order Date]])</f>
        <v>2022</v>
      </c>
    </row>
    <row r="3195" spans="1:10" ht="14.25" customHeight="1" x14ac:dyDescent="0.3">
      <c r="A3195" s="1">
        <v>44825</v>
      </c>
      <c r="B3195" s="2" t="s">
        <v>729</v>
      </c>
      <c r="C3195" s="2" t="s">
        <v>43</v>
      </c>
      <c r="D3195" s="2" t="s">
        <v>28</v>
      </c>
      <c r="E3195" s="2" t="s">
        <v>29</v>
      </c>
      <c r="F3195" s="2">
        <v>113.73</v>
      </c>
      <c r="G3195" s="2">
        <v>3</v>
      </c>
      <c r="H3195" s="2">
        <v>32.979999999999997</v>
      </c>
      <c r="I3195" t="str">
        <f t="shared" si="49"/>
        <v>Sep</v>
      </c>
      <c r="J3195">
        <f>YEAR(datas[[#This Row],[Order Date]])</f>
        <v>2022</v>
      </c>
    </row>
    <row r="3196" spans="1:10" ht="14.25" customHeight="1" x14ac:dyDescent="0.3">
      <c r="A3196" s="1">
        <v>44825</v>
      </c>
      <c r="B3196" s="2" t="s">
        <v>729</v>
      </c>
      <c r="C3196" s="2" t="s">
        <v>43</v>
      </c>
      <c r="D3196" s="2" t="s">
        <v>10</v>
      </c>
      <c r="E3196" s="2" t="s">
        <v>16</v>
      </c>
      <c r="F3196" s="2">
        <v>14.6</v>
      </c>
      <c r="G3196" s="2">
        <v>2</v>
      </c>
      <c r="H3196" s="2">
        <v>6.86</v>
      </c>
      <c r="I3196" t="str">
        <f t="shared" si="49"/>
        <v>Sep</v>
      </c>
      <c r="J3196">
        <f>YEAR(datas[[#This Row],[Order Date]])</f>
        <v>2022</v>
      </c>
    </row>
    <row r="3197" spans="1:10" ht="14.25" customHeight="1" x14ac:dyDescent="0.3">
      <c r="A3197" s="1">
        <v>44825</v>
      </c>
      <c r="B3197" s="2" t="s">
        <v>729</v>
      </c>
      <c r="C3197" s="2" t="s">
        <v>43</v>
      </c>
      <c r="D3197" s="2" t="s">
        <v>10</v>
      </c>
      <c r="E3197" s="2" t="s">
        <v>15</v>
      </c>
      <c r="F3197" s="2">
        <v>887.84</v>
      </c>
      <c r="G3197" s="2">
        <v>8</v>
      </c>
      <c r="H3197" s="2">
        <v>17.760000000000002</v>
      </c>
      <c r="I3197" t="str">
        <f t="shared" si="49"/>
        <v>Sep</v>
      </c>
      <c r="J3197">
        <f>YEAR(datas[[#This Row],[Order Date]])</f>
        <v>2022</v>
      </c>
    </row>
    <row r="3198" spans="1:10" ht="14.25" customHeight="1" x14ac:dyDescent="0.3">
      <c r="A3198" s="1">
        <v>44826</v>
      </c>
      <c r="B3198" s="2" t="s">
        <v>462</v>
      </c>
      <c r="C3198" s="2" t="s">
        <v>21</v>
      </c>
      <c r="D3198" s="2" t="s">
        <v>26</v>
      </c>
      <c r="E3198" s="2" t="s">
        <v>32</v>
      </c>
      <c r="F3198" s="2">
        <v>204.6</v>
      </c>
      <c r="G3198" s="2">
        <v>2</v>
      </c>
      <c r="H3198" s="2">
        <v>53.2</v>
      </c>
      <c r="I3198" t="str">
        <f t="shared" si="49"/>
        <v>Sep</v>
      </c>
      <c r="J3198">
        <f>YEAR(datas[[#This Row],[Order Date]])</f>
        <v>2022</v>
      </c>
    </row>
    <row r="3199" spans="1:10" ht="14.25" customHeight="1" x14ac:dyDescent="0.3">
      <c r="A3199" s="1">
        <v>44826</v>
      </c>
      <c r="B3199" s="2" t="s">
        <v>104</v>
      </c>
      <c r="C3199" s="2" t="s">
        <v>36</v>
      </c>
      <c r="D3199" s="2" t="s">
        <v>10</v>
      </c>
      <c r="E3199" s="2" t="s">
        <v>11</v>
      </c>
      <c r="F3199" s="2">
        <v>32.4</v>
      </c>
      <c r="G3199" s="2">
        <v>5</v>
      </c>
      <c r="H3199" s="2">
        <v>15.55</v>
      </c>
      <c r="I3199" t="str">
        <f t="shared" si="49"/>
        <v>Sep</v>
      </c>
      <c r="J3199">
        <f>YEAR(datas[[#This Row],[Order Date]])</f>
        <v>2022</v>
      </c>
    </row>
    <row r="3200" spans="1:10" ht="14.25" customHeight="1" x14ac:dyDescent="0.3">
      <c r="A3200" s="1">
        <v>44826</v>
      </c>
      <c r="B3200" s="2" t="s">
        <v>104</v>
      </c>
      <c r="C3200" s="2" t="s">
        <v>36</v>
      </c>
      <c r="D3200" s="2" t="s">
        <v>26</v>
      </c>
      <c r="E3200" s="2" t="s">
        <v>32</v>
      </c>
      <c r="F3200" s="2">
        <v>47.98</v>
      </c>
      <c r="G3200" s="2">
        <v>2</v>
      </c>
      <c r="H3200" s="2">
        <v>11.04</v>
      </c>
      <c r="I3200" t="str">
        <f t="shared" si="49"/>
        <v>Sep</v>
      </c>
      <c r="J3200">
        <f>YEAR(datas[[#This Row],[Order Date]])</f>
        <v>2022</v>
      </c>
    </row>
    <row r="3201" spans="1:10" ht="14.25" customHeight="1" x14ac:dyDescent="0.3">
      <c r="A3201" s="1">
        <v>44826</v>
      </c>
      <c r="B3201" s="2" t="s">
        <v>767</v>
      </c>
      <c r="C3201" s="2" t="s">
        <v>62</v>
      </c>
      <c r="D3201" s="2" t="s">
        <v>10</v>
      </c>
      <c r="E3201" s="2" t="s">
        <v>14</v>
      </c>
      <c r="F3201" s="2">
        <v>12</v>
      </c>
      <c r="G3201" s="2">
        <v>4</v>
      </c>
      <c r="H3201" s="2">
        <v>4.2</v>
      </c>
      <c r="I3201" t="str">
        <f t="shared" si="49"/>
        <v>Sep</v>
      </c>
      <c r="J3201">
        <f>YEAR(datas[[#This Row],[Order Date]])</f>
        <v>2022</v>
      </c>
    </row>
    <row r="3202" spans="1:10" ht="14.25" customHeight="1" x14ac:dyDescent="0.3">
      <c r="A3202" s="1">
        <v>44826</v>
      </c>
      <c r="B3202" s="2" t="s">
        <v>767</v>
      </c>
      <c r="C3202" s="2" t="s">
        <v>62</v>
      </c>
      <c r="D3202" s="2" t="s">
        <v>10</v>
      </c>
      <c r="E3202" s="2" t="s">
        <v>15</v>
      </c>
      <c r="F3202" s="2">
        <v>720.06</v>
      </c>
      <c r="G3202" s="2">
        <v>4</v>
      </c>
      <c r="H3202" s="2">
        <v>-63.01</v>
      </c>
      <c r="I3202" t="str">
        <f t="shared" si="49"/>
        <v>Sep</v>
      </c>
      <c r="J3202">
        <f>YEAR(datas[[#This Row],[Order Date]])</f>
        <v>2022</v>
      </c>
    </row>
    <row r="3203" spans="1:10" ht="14.25" customHeight="1" x14ac:dyDescent="0.3">
      <c r="A3203" s="1">
        <v>44826</v>
      </c>
      <c r="B3203" s="2" t="s">
        <v>767</v>
      </c>
      <c r="C3203" s="2" t="s">
        <v>62</v>
      </c>
      <c r="D3203" s="2" t="s">
        <v>10</v>
      </c>
      <c r="E3203" s="2" t="s">
        <v>15</v>
      </c>
      <c r="F3203" s="2">
        <v>25.42</v>
      </c>
      <c r="G3203" s="2">
        <v>1</v>
      </c>
      <c r="H3203" s="2">
        <v>-4.7699999999999996</v>
      </c>
      <c r="I3203" t="str">
        <f t="shared" ref="I3203:I3266" si="50">TEXT(A3203,"mmm")</f>
        <v>Sep</v>
      </c>
      <c r="J3203">
        <f>YEAR(datas[[#This Row],[Order Date]])</f>
        <v>2022</v>
      </c>
    </row>
    <row r="3204" spans="1:10" ht="14.25" customHeight="1" x14ac:dyDescent="0.3">
      <c r="A3204" s="1">
        <v>44826</v>
      </c>
      <c r="B3204" s="2" t="s">
        <v>767</v>
      </c>
      <c r="C3204" s="2" t="s">
        <v>62</v>
      </c>
      <c r="D3204" s="2" t="s">
        <v>10</v>
      </c>
      <c r="E3204" s="2" t="s">
        <v>19</v>
      </c>
      <c r="F3204" s="2">
        <v>2.82</v>
      </c>
      <c r="G3204" s="2">
        <v>2</v>
      </c>
      <c r="H3204" s="2">
        <v>0.32</v>
      </c>
      <c r="I3204" t="str">
        <f t="shared" si="50"/>
        <v>Sep</v>
      </c>
      <c r="J3204">
        <f>YEAR(datas[[#This Row],[Order Date]])</f>
        <v>2022</v>
      </c>
    </row>
    <row r="3205" spans="1:10" ht="14.25" customHeight="1" x14ac:dyDescent="0.3">
      <c r="A3205" s="1">
        <v>44826</v>
      </c>
      <c r="B3205" s="2" t="s">
        <v>767</v>
      </c>
      <c r="C3205" s="2" t="s">
        <v>62</v>
      </c>
      <c r="D3205" s="2" t="s">
        <v>10</v>
      </c>
      <c r="E3205" s="2" t="s">
        <v>16</v>
      </c>
      <c r="F3205" s="2">
        <v>3.2</v>
      </c>
      <c r="G3205" s="2">
        <v>2</v>
      </c>
      <c r="H3205" s="2">
        <v>-2.56</v>
      </c>
      <c r="I3205" t="str">
        <f t="shared" si="50"/>
        <v>Sep</v>
      </c>
      <c r="J3205">
        <f>YEAR(datas[[#This Row],[Order Date]])</f>
        <v>2022</v>
      </c>
    </row>
    <row r="3206" spans="1:10" ht="14.25" customHeight="1" x14ac:dyDescent="0.3">
      <c r="A3206" s="1">
        <v>44826</v>
      </c>
      <c r="B3206" s="2" t="s">
        <v>318</v>
      </c>
      <c r="C3206" s="2" t="s">
        <v>18</v>
      </c>
      <c r="D3206" s="2" t="s">
        <v>10</v>
      </c>
      <c r="E3206" s="2" t="s">
        <v>95</v>
      </c>
      <c r="F3206" s="2">
        <v>55.6</v>
      </c>
      <c r="G3206" s="2">
        <v>5</v>
      </c>
      <c r="H3206" s="2">
        <v>6.26</v>
      </c>
      <c r="I3206" t="str">
        <f t="shared" si="50"/>
        <v>Sep</v>
      </c>
      <c r="J3206">
        <f>YEAR(datas[[#This Row],[Order Date]])</f>
        <v>2022</v>
      </c>
    </row>
    <row r="3207" spans="1:10" ht="14.25" customHeight="1" x14ac:dyDescent="0.3">
      <c r="A3207" s="1">
        <v>44826</v>
      </c>
      <c r="B3207" s="2" t="s">
        <v>318</v>
      </c>
      <c r="C3207" s="2" t="s">
        <v>18</v>
      </c>
      <c r="D3207" s="2" t="s">
        <v>28</v>
      </c>
      <c r="E3207" s="2" t="s">
        <v>34</v>
      </c>
      <c r="F3207" s="2">
        <v>617.98</v>
      </c>
      <c r="G3207" s="2">
        <v>3</v>
      </c>
      <c r="H3207" s="2">
        <v>-7.72</v>
      </c>
      <c r="I3207" t="str">
        <f t="shared" si="50"/>
        <v>Sep</v>
      </c>
      <c r="J3207">
        <f>YEAR(datas[[#This Row],[Order Date]])</f>
        <v>2022</v>
      </c>
    </row>
    <row r="3208" spans="1:10" ht="14.25" customHeight="1" x14ac:dyDescent="0.3">
      <c r="A3208" s="1">
        <v>44826</v>
      </c>
      <c r="B3208" s="2" t="s">
        <v>61</v>
      </c>
      <c r="C3208" s="2" t="s">
        <v>21</v>
      </c>
      <c r="D3208" s="2" t="s">
        <v>10</v>
      </c>
      <c r="E3208" s="2" t="s">
        <v>53</v>
      </c>
      <c r="F3208" s="2">
        <v>61.44</v>
      </c>
      <c r="G3208" s="2">
        <v>3</v>
      </c>
      <c r="H3208" s="2">
        <v>16.59</v>
      </c>
      <c r="I3208" t="str">
        <f t="shared" si="50"/>
        <v>Sep</v>
      </c>
      <c r="J3208">
        <f>YEAR(datas[[#This Row],[Order Date]])</f>
        <v>2022</v>
      </c>
    </row>
    <row r="3209" spans="1:10" ht="14.25" customHeight="1" x14ac:dyDescent="0.3">
      <c r="A3209" s="1">
        <v>44828</v>
      </c>
      <c r="B3209" s="2" t="s">
        <v>473</v>
      </c>
      <c r="C3209" s="2" t="s">
        <v>18</v>
      </c>
      <c r="D3209" s="2" t="s">
        <v>10</v>
      </c>
      <c r="E3209" s="2" t="s">
        <v>19</v>
      </c>
      <c r="F3209" s="2">
        <v>6.85</v>
      </c>
      <c r="G3209" s="2">
        <v>2</v>
      </c>
      <c r="H3209" s="2">
        <v>0.6</v>
      </c>
      <c r="I3209" t="str">
        <f t="shared" si="50"/>
        <v>Sep</v>
      </c>
      <c r="J3209">
        <f>YEAR(datas[[#This Row],[Order Date]])</f>
        <v>2022</v>
      </c>
    </row>
    <row r="3210" spans="1:10" ht="14.25" customHeight="1" x14ac:dyDescent="0.3">
      <c r="A3210" s="1">
        <v>44828</v>
      </c>
      <c r="B3210" s="2" t="s">
        <v>457</v>
      </c>
      <c r="C3210" s="2" t="s">
        <v>40</v>
      </c>
      <c r="D3210" s="2" t="s">
        <v>26</v>
      </c>
      <c r="E3210" s="2" t="s">
        <v>27</v>
      </c>
      <c r="F3210" s="2">
        <v>517.5</v>
      </c>
      <c r="G3210" s="2">
        <v>6</v>
      </c>
      <c r="H3210" s="2">
        <v>155.25</v>
      </c>
      <c r="I3210" t="str">
        <f t="shared" si="50"/>
        <v>Sep</v>
      </c>
      <c r="J3210">
        <f>YEAR(datas[[#This Row],[Order Date]])</f>
        <v>2022</v>
      </c>
    </row>
    <row r="3211" spans="1:10" ht="14.25" customHeight="1" x14ac:dyDescent="0.3">
      <c r="A3211" s="1">
        <v>44828</v>
      </c>
      <c r="B3211" s="2" t="s">
        <v>424</v>
      </c>
      <c r="C3211" s="2" t="s">
        <v>165</v>
      </c>
      <c r="D3211" s="2" t="s">
        <v>10</v>
      </c>
      <c r="E3211" s="2" t="s">
        <v>16</v>
      </c>
      <c r="F3211" s="2">
        <v>15.24</v>
      </c>
      <c r="G3211" s="2">
        <v>4</v>
      </c>
      <c r="H3211" s="2">
        <v>6.86</v>
      </c>
      <c r="I3211" t="str">
        <f t="shared" si="50"/>
        <v>Sep</v>
      </c>
      <c r="J3211">
        <f>YEAR(datas[[#This Row],[Order Date]])</f>
        <v>2022</v>
      </c>
    </row>
    <row r="3212" spans="1:10" ht="14.25" customHeight="1" x14ac:dyDescent="0.3">
      <c r="A3212" s="1">
        <v>44828</v>
      </c>
      <c r="B3212" s="2" t="s">
        <v>424</v>
      </c>
      <c r="C3212" s="2" t="s">
        <v>165</v>
      </c>
      <c r="D3212" s="2" t="s">
        <v>26</v>
      </c>
      <c r="E3212" s="2" t="s">
        <v>27</v>
      </c>
      <c r="F3212" s="2">
        <v>1408.1</v>
      </c>
      <c r="G3212" s="2">
        <v>10</v>
      </c>
      <c r="H3212" s="2">
        <v>394.27</v>
      </c>
      <c r="I3212" t="str">
        <f t="shared" si="50"/>
        <v>Sep</v>
      </c>
      <c r="J3212">
        <f>YEAR(datas[[#This Row],[Order Date]])</f>
        <v>2022</v>
      </c>
    </row>
    <row r="3213" spans="1:10" ht="14.25" customHeight="1" x14ac:dyDescent="0.3">
      <c r="A3213" s="1">
        <v>44828</v>
      </c>
      <c r="B3213" s="2" t="s">
        <v>600</v>
      </c>
      <c r="C3213" s="2" t="s">
        <v>329</v>
      </c>
      <c r="D3213" s="2" t="s">
        <v>28</v>
      </c>
      <c r="E3213" s="2" t="s">
        <v>29</v>
      </c>
      <c r="F3213" s="2">
        <v>821.94</v>
      </c>
      <c r="G3213" s="2">
        <v>6</v>
      </c>
      <c r="H3213" s="2">
        <v>213.7</v>
      </c>
      <c r="I3213" t="str">
        <f t="shared" si="50"/>
        <v>Sep</v>
      </c>
      <c r="J3213">
        <f>YEAR(datas[[#This Row],[Order Date]])</f>
        <v>2022</v>
      </c>
    </row>
    <row r="3214" spans="1:10" ht="14.25" customHeight="1" x14ac:dyDescent="0.3">
      <c r="A3214" s="1">
        <v>44828</v>
      </c>
      <c r="B3214" s="2" t="s">
        <v>365</v>
      </c>
      <c r="C3214" s="2" t="s">
        <v>82</v>
      </c>
      <c r="D3214" s="2" t="s">
        <v>10</v>
      </c>
      <c r="E3214" s="2" t="s">
        <v>19</v>
      </c>
      <c r="F3214" s="2">
        <v>35.96</v>
      </c>
      <c r="G3214" s="2">
        <v>2</v>
      </c>
      <c r="H3214" s="2">
        <v>10.43</v>
      </c>
      <c r="I3214" t="str">
        <f t="shared" si="50"/>
        <v>Sep</v>
      </c>
      <c r="J3214">
        <f>YEAR(datas[[#This Row],[Order Date]])</f>
        <v>2022</v>
      </c>
    </row>
    <row r="3215" spans="1:10" ht="14.25" customHeight="1" x14ac:dyDescent="0.3">
      <c r="A3215" s="1">
        <v>44828</v>
      </c>
      <c r="B3215" s="2" t="s">
        <v>365</v>
      </c>
      <c r="C3215" s="2" t="s">
        <v>82</v>
      </c>
      <c r="D3215" s="2" t="s">
        <v>10</v>
      </c>
      <c r="E3215" s="2" t="s">
        <v>16</v>
      </c>
      <c r="F3215" s="2">
        <v>14.95</v>
      </c>
      <c r="G3215" s="2">
        <v>3</v>
      </c>
      <c r="H3215" s="2">
        <v>5.42</v>
      </c>
      <c r="I3215" t="str">
        <f t="shared" si="50"/>
        <v>Sep</v>
      </c>
      <c r="J3215">
        <f>YEAR(datas[[#This Row],[Order Date]])</f>
        <v>2022</v>
      </c>
    </row>
    <row r="3216" spans="1:10" ht="14.25" customHeight="1" x14ac:dyDescent="0.3">
      <c r="A3216" s="1">
        <v>44828</v>
      </c>
      <c r="B3216" s="2" t="s">
        <v>751</v>
      </c>
      <c r="C3216" s="2" t="s">
        <v>21</v>
      </c>
      <c r="D3216" s="2" t="s">
        <v>26</v>
      </c>
      <c r="E3216" s="2" t="s">
        <v>32</v>
      </c>
      <c r="F3216" s="2">
        <v>14.91</v>
      </c>
      <c r="G3216" s="2">
        <v>3</v>
      </c>
      <c r="H3216" s="2">
        <v>4.62</v>
      </c>
      <c r="I3216" t="str">
        <f t="shared" si="50"/>
        <v>Sep</v>
      </c>
      <c r="J3216">
        <f>YEAR(datas[[#This Row],[Order Date]])</f>
        <v>2022</v>
      </c>
    </row>
    <row r="3217" spans="1:10" ht="14.25" customHeight="1" x14ac:dyDescent="0.3">
      <c r="A3217" s="1">
        <v>44828</v>
      </c>
      <c r="B3217" s="2" t="s">
        <v>751</v>
      </c>
      <c r="C3217" s="2" t="s">
        <v>21</v>
      </c>
      <c r="D3217" s="2" t="s">
        <v>10</v>
      </c>
      <c r="E3217" s="2" t="s">
        <v>53</v>
      </c>
      <c r="F3217" s="2">
        <v>1158.1199999999999</v>
      </c>
      <c r="G3217" s="2">
        <v>4</v>
      </c>
      <c r="H3217" s="2">
        <v>335.85</v>
      </c>
      <c r="I3217" t="str">
        <f t="shared" si="50"/>
        <v>Sep</v>
      </c>
      <c r="J3217">
        <f>YEAR(datas[[#This Row],[Order Date]])</f>
        <v>2022</v>
      </c>
    </row>
    <row r="3218" spans="1:10" ht="14.25" customHeight="1" x14ac:dyDescent="0.3">
      <c r="A3218" s="1">
        <v>44828</v>
      </c>
      <c r="B3218" s="2" t="s">
        <v>768</v>
      </c>
      <c r="C3218" s="2" t="s">
        <v>55</v>
      </c>
      <c r="D3218" s="2" t="s">
        <v>28</v>
      </c>
      <c r="E3218" s="2" t="s">
        <v>29</v>
      </c>
      <c r="F3218" s="2">
        <v>35.119999999999997</v>
      </c>
      <c r="G3218" s="2">
        <v>2</v>
      </c>
      <c r="H3218" s="2">
        <v>13.17</v>
      </c>
      <c r="I3218" t="str">
        <f t="shared" si="50"/>
        <v>Sep</v>
      </c>
      <c r="J3218">
        <f>YEAR(datas[[#This Row],[Order Date]])</f>
        <v>2022</v>
      </c>
    </row>
    <row r="3219" spans="1:10" ht="14.25" customHeight="1" x14ac:dyDescent="0.3">
      <c r="A3219" s="1">
        <v>44828</v>
      </c>
      <c r="B3219" s="2" t="s">
        <v>170</v>
      </c>
      <c r="C3219" s="2" t="s">
        <v>55</v>
      </c>
      <c r="D3219" s="2" t="s">
        <v>10</v>
      </c>
      <c r="E3219" s="2" t="s">
        <v>19</v>
      </c>
      <c r="F3219" s="2">
        <v>14.58</v>
      </c>
      <c r="G3219" s="2">
        <v>2</v>
      </c>
      <c r="H3219" s="2">
        <v>2.37</v>
      </c>
      <c r="I3219" t="str">
        <f t="shared" si="50"/>
        <v>Sep</v>
      </c>
      <c r="J3219">
        <f>YEAR(datas[[#This Row],[Order Date]])</f>
        <v>2022</v>
      </c>
    </row>
    <row r="3220" spans="1:10" ht="14.25" customHeight="1" x14ac:dyDescent="0.3">
      <c r="A3220" s="1">
        <v>44828</v>
      </c>
      <c r="B3220" s="2" t="s">
        <v>170</v>
      </c>
      <c r="C3220" s="2" t="s">
        <v>55</v>
      </c>
      <c r="D3220" s="2" t="s">
        <v>28</v>
      </c>
      <c r="E3220" s="2" t="s">
        <v>34</v>
      </c>
      <c r="F3220" s="2">
        <v>23.2</v>
      </c>
      <c r="G3220" s="2">
        <v>2</v>
      </c>
      <c r="H3220" s="2">
        <v>1.45</v>
      </c>
      <c r="I3220" t="str">
        <f t="shared" si="50"/>
        <v>Sep</v>
      </c>
      <c r="J3220">
        <f>YEAR(datas[[#This Row],[Order Date]])</f>
        <v>2022</v>
      </c>
    </row>
    <row r="3221" spans="1:10" ht="14.25" customHeight="1" x14ac:dyDescent="0.3">
      <c r="A3221" s="1">
        <v>44828</v>
      </c>
      <c r="B3221" s="2" t="s">
        <v>170</v>
      </c>
      <c r="C3221" s="2" t="s">
        <v>55</v>
      </c>
      <c r="D3221" s="2" t="s">
        <v>10</v>
      </c>
      <c r="E3221" s="2" t="s">
        <v>19</v>
      </c>
      <c r="F3221" s="2">
        <v>16.46</v>
      </c>
      <c r="G3221" s="2">
        <v>7</v>
      </c>
      <c r="H3221" s="2">
        <v>1.85</v>
      </c>
      <c r="I3221" t="str">
        <f t="shared" si="50"/>
        <v>Sep</v>
      </c>
      <c r="J3221">
        <f>YEAR(datas[[#This Row],[Order Date]])</f>
        <v>2022</v>
      </c>
    </row>
    <row r="3222" spans="1:10" ht="14.25" customHeight="1" x14ac:dyDescent="0.3">
      <c r="A3222" s="1">
        <v>44828</v>
      </c>
      <c r="B3222" s="2" t="s">
        <v>407</v>
      </c>
      <c r="C3222" s="2" t="s">
        <v>47</v>
      </c>
      <c r="D3222" s="2" t="s">
        <v>10</v>
      </c>
      <c r="E3222" s="2" t="s">
        <v>16</v>
      </c>
      <c r="F3222" s="2">
        <v>6.73</v>
      </c>
      <c r="G3222" s="2">
        <v>6</v>
      </c>
      <c r="H3222" s="2">
        <v>-4.49</v>
      </c>
      <c r="I3222" t="str">
        <f t="shared" si="50"/>
        <v>Sep</v>
      </c>
      <c r="J3222">
        <f>YEAR(datas[[#This Row],[Order Date]])</f>
        <v>2022</v>
      </c>
    </row>
    <row r="3223" spans="1:10" ht="14.25" customHeight="1" x14ac:dyDescent="0.3">
      <c r="A3223" s="1">
        <v>44828</v>
      </c>
      <c r="B3223" s="2" t="s">
        <v>407</v>
      </c>
      <c r="C3223" s="2" t="s">
        <v>47</v>
      </c>
      <c r="D3223" s="2" t="s">
        <v>10</v>
      </c>
      <c r="E3223" s="2" t="s">
        <v>15</v>
      </c>
      <c r="F3223" s="2">
        <v>33.57</v>
      </c>
      <c r="G3223" s="2">
        <v>2</v>
      </c>
      <c r="H3223" s="2">
        <v>1.68</v>
      </c>
      <c r="I3223" t="str">
        <f t="shared" si="50"/>
        <v>Sep</v>
      </c>
      <c r="J3223">
        <f>YEAR(datas[[#This Row],[Order Date]])</f>
        <v>2022</v>
      </c>
    </row>
    <row r="3224" spans="1:10" ht="14.25" customHeight="1" x14ac:dyDescent="0.3">
      <c r="A3224" s="1">
        <v>44828</v>
      </c>
      <c r="B3224" s="2" t="s">
        <v>407</v>
      </c>
      <c r="C3224" s="2" t="s">
        <v>47</v>
      </c>
      <c r="D3224" s="2" t="s">
        <v>10</v>
      </c>
      <c r="E3224" s="2" t="s">
        <v>41</v>
      </c>
      <c r="F3224" s="2">
        <v>15.84</v>
      </c>
      <c r="G3224" s="2">
        <v>2</v>
      </c>
      <c r="H3224" s="2">
        <v>5.54</v>
      </c>
      <c r="I3224" t="str">
        <f t="shared" si="50"/>
        <v>Sep</v>
      </c>
      <c r="J3224">
        <f>YEAR(datas[[#This Row],[Order Date]])</f>
        <v>2022</v>
      </c>
    </row>
    <row r="3225" spans="1:10" ht="14.25" customHeight="1" x14ac:dyDescent="0.3">
      <c r="A3225" s="1">
        <v>44828</v>
      </c>
      <c r="B3225" s="2" t="s">
        <v>407</v>
      </c>
      <c r="C3225" s="2" t="s">
        <v>47</v>
      </c>
      <c r="D3225" s="2" t="s">
        <v>10</v>
      </c>
      <c r="E3225" s="2" t="s">
        <v>14</v>
      </c>
      <c r="F3225" s="2">
        <v>24.42</v>
      </c>
      <c r="G3225" s="2">
        <v>1</v>
      </c>
      <c r="H3225" s="2">
        <v>7.94</v>
      </c>
      <c r="I3225" t="str">
        <f t="shared" si="50"/>
        <v>Sep</v>
      </c>
      <c r="J3225">
        <f>YEAR(datas[[#This Row],[Order Date]])</f>
        <v>2022</v>
      </c>
    </row>
    <row r="3226" spans="1:10" ht="14.25" customHeight="1" x14ac:dyDescent="0.3">
      <c r="A3226" s="1">
        <v>44828</v>
      </c>
      <c r="B3226" s="2" t="s">
        <v>407</v>
      </c>
      <c r="C3226" s="2" t="s">
        <v>47</v>
      </c>
      <c r="D3226" s="2" t="s">
        <v>10</v>
      </c>
      <c r="E3226" s="2" t="s">
        <v>19</v>
      </c>
      <c r="F3226" s="2">
        <v>17.12</v>
      </c>
      <c r="G3226" s="2">
        <v>5</v>
      </c>
      <c r="H3226" s="2">
        <v>1.93</v>
      </c>
      <c r="I3226" t="str">
        <f t="shared" si="50"/>
        <v>Sep</v>
      </c>
      <c r="J3226">
        <f>YEAR(datas[[#This Row],[Order Date]])</f>
        <v>2022</v>
      </c>
    </row>
    <row r="3227" spans="1:10" ht="14.25" customHeight="1" x14ac:dyDescent="0.3">
      <c r="A3227" s="1">
        <v>44828</v>
      </c>
      <c r="B3227" s="2" t="s">
        <v>581</v>
      </c>
      <c r="C3227" s="2" t="s">
        <v>75</v>
      </c>
      <c r="D3227" s="2" t="s">
        <v>10</v>
      </c>
      <c r="E3227" s="2" t="s">
        <v>41</v>
      </c>
      <c r="F3227" s="2">
        <v>39.979999999999997</v>
      </c>
      <c r="G3227" s="2">
        <v>1</v>
      </c>
      <c r="H3227" s="2">
        <v>17.989999999999998</v>
      </c>
      <c r="I3227" t="str">
        <f t="shared" si="50"/>
        <v>Sep</v>
      </c>
      <c r="J3227">
        <f>YEAR(datas[[#This Row],[Order Date]])</f>
        <v>2022</v>
      </c>
    </row>
    <row r="3228" spans="1:10" ht="14.25" customHeight="1" x14ac:dyDescent="0.3">
      <c r="A3228" s="1">
        <v>44829</v>
      </c>
      <c r="B3228" s="2" t="s">
        <v>251</v>
      </c>
      <c r="C3228" s="2" t="s">
        <v>134</v>
      </c>
      <c r="D3228" s="2" t="s">
        <v>26</v>
      </c>
      <c r="E3228" s="2" t="s">
        <v>73</v>
      </c>
      <c r="F3228" s="2">
        <v>1044.6300000000001</v>
      </c>
      <c r="G3228" s="2">
        <v>3</v>
      </c>
      <c r="H3228" s="2">
        <v>240.26</v>
      </c>
      <c r="I3228" t="str">
        <f t="shared" si="50"/>
        <v>Sep</v>
      </c>
      <c r="J3228">
        <f>YEAR(datas[[#This Row],[Order Date]])</f>
        <v>2022</v>
      </c>
    </row>
    <row r="3229" spans="1:10" ht="14.25" customHeight="1" x14ac:dyDescent="0.3">
      <c r="A3229" s="1">
        <v>44829</v>
      </c>
      <c r="B3229" s="2" t="s">
        <v>12</v>
      </c>
      <c r="C3229" s="2" t="s">
        <v>87</v>
      </c>
      <c r="D3229" s="2" t="s">
        <v>28</v>
      </c>
      <c r="E3229" s="2" t="s">
        <v>34</v>
      </c>
      <c r="F3229" s="2">
        <v>63.96</v>
      </c>
      <c r="G3229" s="2">
        <v>4</v>
      </c>
      <c r="H3229" s="2">
        <v>19.829999999999998</v>
      </c>
      <c r="I3229" t="str">
        <f t="shared" si="50"/>
        <v>Sep</v>
      </c>
      <c r="J3229">
        <f>YEAR(datas[[#This Row],[Order Date]])</f>
        <v>2022</v>
      </c>
    </row>
    <row r="3230" spans="1:10" ht="14.25" customHeight="1" x14ac:dyDescent="0.3">
      <c r="A3230" s="1">
        <v>44829</v>
      </c>
      <c r="B3230" s="2" t="s">
        <v>12</v>
      </c>
      <c r="C3230" s="2" t="s">
        <v>87</v>
      </c>
      <c r="D3230" s="2" t="s">
        <v>10</v>
      </c>
      <c r="E3230" s="2" t="s">
        <v>16</v>
      </c>
      <c r="F3230" s="2">
        <v>14.46</v>
      </c>
      <c r="G3230" s="2">
        <v>3</v>
      </c>
      <c r="H3230" s="2">
        <v>7.09</v>
      </c>
      <c r="I3230" t="str">
        <f t="shared" si="50"/>
        <v>Sep</v>
      </c>
      <c r="J3230">
        <f>YEAR(datas[[#This Row],[Order Date]])</f>
        <v>2022</v>
      </c>
    </row>
    <row r="3231" spans="1:10" ht="14.25" customHeight="1" x14ac:dyDescent="0.3">
      <c r="A3231" s="1">
        <v>44829</v>
      </c>
      <c r="B3231" s="2" t="s">
        <v>12</v>
      </c>
      <c r="C3231" s="2" t="s">
        <v>87</v>
      </c>
      <c r="D3231" s="2" t="s">
        <v>28</v>
      </c>
      <c r="E3231" s="2" t="s">
        <v>29</v>
      </c>
      <c r="F3231" s="2">
        <v>104.98</v>
      </c>
      <c r="G3231" s="2">
        <v>2</v>
      </c>
      <c r="H3231" s="2">
        <v>52.49</v>
      </c>
      <c r="I3231" t="str">
        <f t="shared" si="50"/>
        <v>Sep</v>
      </c>
      <c r="J3231">
        <f>YEAR(datas[[#This Row],[Order Date]])</f>
        <v>2022</v>
      </c>
    </row>
    <row r="3232" spans="1:10" ht="14.25" customHeight="1" x14ac:dyDescent="0.3">
      <c r="A3232" s="1">
        <v>44829</v>
      </c>
      <c r="B3232" s="2" t="s">
        <v>552</v>
      </c>
      <c r="C3232" s="2" t="s">
        <v>21</v>
      </c>
      <c r="D3232" s="2" t="s">
        <v>10</v>
      </c>
      <c r="E3232" s="2" t="s">
        <v>41</v>
      </c>
      <c r="F3232" s="2">
        <v>17.48</v>
      </c>
      <c r="G3232" s="2">
        <v>2</v>
      </c>
      <c r="H3232" s="2">
        <v>8.2200000000000006</v>
      </c>
      <c r="I3232" t="str">
        <f t="shared" si="50"/>
        <v>Sep</v>
      </c>
      <c r="J3232">
        <f>YEAR(datas[[#This Row],[Order Date]])</f>
        <v>2022</v>
      </c>
    </row>
    <row r="3233" spans="1:10" ht="14.25" customHeight="1" x14ac:dyDescent="0.3">
      <c r="A3233" s="1">
        <v>44829</v>
      </c>
      <c r="B3233" s="2" t="s">
        <v>488</v>
      </c>
      <c r="C3233" s="2" t="s">
        <v>278</v>
      </c>
      <c r="D3233" s="2" t="s">
        <v>10</v>
      </c>
      <c r="E3233" s="2" t="s">
        <v>16</v>
      </c>
      <c r="F3233" s="2">
        <v>68.62</v>
      </c>
      <c r="G3233" s="2">
        <v>2</v>
      </c>
      <c r="H3233" s="2">
        <v>32.25</v>
      </c>
      <c r="I3233" t="str">
        <f t="shared" si="50"/>
        <v>Sep</v>
      </c>
      <c r="J3233">
        <f>YEAR(datas[[#This Row],[Order Date]])</f>
        <v>2022</v>
      </c>
    </row>
    <row r="3234" spans="1:10" ht="14.25" customHeight="1" x14ac:dyDescent="0.3">
      <c r="A3234" s="1">
        <v>44829</v>
      </c>
      <c r="B3234" s="2" t="s">
        <v>769</v>
      </c>
      <c r="C3234" s="2" t="s">
        <v>75</v>
      </c>
      <c r="D3234" s="2" t="s">
        <v>28</v>
      </c>
      <c r="E3234" s="2" t="s">
        <v>34</v>
      </c>
      <c r="F3234" s="2">
        <v>899.91</v>
      </c>
      <c r="G3234" s="2">
        <v>9</v>
      </c>
      <c r="H3234" s="2">
        <v>395.96</v>
      </c>
      <c r="I3234" t="str">
        <f t="shared" si="50"/>
        <v>Sep</v>
      </c>
      <c r="J3234">
        <f>YEAR(datas[[#This Row],[Order Date]])</f>
        <v>2022</v>
      </c>
    </row>
    <row r="3235" spans="1:10" ht="14.25" customHeight="1" x14ac:dyDescent="0.3">
      <c r="A3235" s="1">
        <v>44829</v>
      </c>
      <c r="B3235" s="2" t="s">
        <v>49</v>
      </c>
      <c r="C3235" s="2" t="s">
        <v>248</v>
      </c>
      <c r="D3235" s="2" t="s">
        <v>10</v>
      </c>
      <c r="E3235" s="2" t="s">
        <v>16</v>
      </c>
      <c r="F3235" s="2">
        <v>10.76</v>
      </c>
      <c r="G3235" s="2">
        <v>2</v>
      </c>
      <c r="H3235" s="2">
        <v>5.16</v>
      </c>
      <c r="I3235" t="str">
        <f t="shared" si="50"/>
        <v>Sep</v>
      </c>
      <c r="J3235">
        <f>YEAR(datas[[#This Row],[Order Date]])</f>
        <v>2022</v>
      </c>
    </row>
    <row r="3236" spans="1:10" ht="14.25" customHeight="1" x14ac:dyDescent="0.3">
      <c r="A3236" s="1">
        <v>44829</v>
      </c>
      <c r="B3236" s="2" t="s">
        <v>49</v>
      </c>
      <c r="C3236" s="2" t="s">
        <v>248</v>
      </c>
      <c r="D3236" s="2" t="s">
        <v>10</v>
      </c>
      <c r="E3236" s="2" t="s">
        <v>11</v>
      </c>
      <c r="F3236" s="2">
        <v>45.68</v>
      </c>
      <c r="G3236" s="2">
        <v>2</v>
      </c>
      <c r="H3236" s="2">
        <v>21.01</v>
      </c>
      <c r="I3236" t="str">
        <f t="shared" si="50"/>
        <v>Sep</v>
      </c>
      <c r="J3236">
        <f>YEAR(datas[[#This Row],[Order Date]])</f>
        <v>2022</v>
      </c>
    </row>
    <row r="3237" spans="1:10" ht="14.25" customHeight="1" x14ac:dyDescent="0.3">
      <c r="A3237" s="1">
        <v>44829</v>
      </c>
      <c r="B3237" s="2" t="s">
        <v>49</v>
      </c>
      <c r="C3237" s="2" t="s">
        <v>248</v>
      </c>
      <c r="D3237" s="2" t="s">
        <v>10</v>
      </c>
      <c r="E3237" s="2" t="s">
        <v>19</v>
      </c>
      <c r="F3237" s="2">
        <v>6.7</v>
      </c>
      <c r="G3237" s="2">
        <v>1</v>
      </c>
      <c r="H3237" s="2">
        <v>2.21</v>
      </c>
      <c r="I3237" t="str">
        <f t="shared" si="50"/>
        <v>Sep</v>
      </c>
      <c r="J3237">
        <f>YEAR(datas[[#This Row],[Order Date]])</f>
        <v>2022</v>
      </c>
    </row>
    <row r="3238" spans="1:10" ht="14.25" customHeight="1" x14ac:dyDescent="0.3">
      <c r="A3238" s="1">
        <v>44829</v>
      </c>
      <c r="B3238" s="2" t="s">
        <v>685</v>
      </c>
      <c r="C3238" s="2" t="s">
        <v>13</v>
      </c>
      <c r="D3238" s="2" t="s">
        <v>10</v>
      </c>
      <c r="E3238" s="2" t="s">
        <v>19</v>
      </c>
      <c r="F3238" s="2">
        <v>128.74</v>
      </c>
      <c r="G3238" s="2">
        <v>7</v>
      </c>
      <c r="H3238" s="2">
        <v>12.87</v>
      </c>
      <c r="I3238" t="str">
        <f t="shared" si="50"/>
        <v>Sep</v>
      </c>
      <c r="J3238">
        <f>YEAR(datas[[#This Row],[Order Date]])</f>
        <v>2022</v>
      </c>
    </row>
    <row r="3239" spans="1:10" ht="14.25" customHeight="1" x14ac:dyDescent="0.3">
      <c r="A3239" s="1">
        <v>44829</v>
      </c>
      <c r="B3239" s="2" t="s">
        <v>634</v>
      </c>
      <c r="C3239" s="2" t="s">
        <v>82</v>
      </c>
      <c r="D3239" s="2" t="s">
        <v>26</v>
      </c>
      <c r="E3239" s="2" t="s">
        <v>27</v>
      </c>
      <c r="F3239" s="2">
        <v>307.14</v>
      </c>
      <c r="G3239" s="2">
        <v>4</v>
      </c>
      <c r="H3239" s="2">
        <v>-11.52</v>
      </c>
      <c r="I3239" t="str">
        <f t="shared" si="50"/>
        <v>Sep</v>
      </c>
      <c r="J3239">
        <f>YEAR(datas[[#This Row],[Order Date]])</f>
        <v>2022</v>
      </c>
    </row>
    <row r="3240" spans="1:10" ht="14.25" customHeight="1" x14ac:dyDescent="0.3">
      <c r="A3240" s="1">
        <v>44829</v>
      </c>
      <c r="B3240" s="2" t="s">
        <v>634</v>
      </c>
      <c r="C3240" s="2" t="s">
        <v>82</v>
      </c>
      <c r="D3240" s="2" t="s">
        <v>10</v>
      </c>
      <c r="E3240" s="2" t="s">
        <v>14</v>
      </c>
      <c r="F3240" s="2">
        <v>12.6</v>
      </c>
      <c r="G3240" s="2">
        <v>2</v>
      </c>
      <c r="H3240" s="2">
        <v>5.8</v>
      </c>
      <c r="I3240" t="str">
        <f t="shared" si="50"/>
        <v>Sep</v>
      </c>
      <c r="J3240">
        <f>YEAR(datas[[#This Row],[Order Date]])</f>
        <v>2022</v>
      </c>
    </row>
    <row r="3241" spans="1:10" ht="14.25" customHeight="1" x14ac:dyDescent="0.3">
      <c r="A3241" s="1">
        <v>44829</v>
      </c>
      <c r="B3241" s="2" t="s">
        <v>634</v>
      </c>
      <c r="C3241" s="2" t="s">
        <v>82</v>
      </c>
      <c r="D3241" s="2" t="s">
        <v>28</v>
      </c>
      <c r="E3241" s="2" t="s">
        <v>34</v>
      </c>
      <c r="F3241" s="2">
        <v>159.97999999999999</v>
      </c>
      <c r="G3241" s="2">
        <v>2</v>
      </c>
      <c r="H3241" s="2">
        <v>57.59</v>
      </c>
      <c r="I3241" t="str">
        <f t="shared" si="50"/>
        <v>Sep</v>
      </c>
      <c r="J3241">
        <f>YEAR(datas[[#This Row],[Order Date]])</f>
        <v>2022</v>
      </c>
    </row>
    <row r="3242" spans="1:10" ht="14.25" customHeight="1" x14ac:dyDescent="0.3">
      <c r="A3242" s="1">
        <v>44829</v>
      </c>
      <c r="B3242" s="2" t="s">
        <v>94</v>
      </c>
      <c r="C3242" s="2" t="s">
        <v>62</v>
      </c>
      <c r="D3242" s="2" t="s">
        <v>10</v>
      </c>
      <c r="E3242" s="2" t="s">
        <v>16</v>
      </c>
      <c r="F3242" s="2">
        <v>6.34</v>
      </c>
      <c r="G3242" s="2">
        <v>4</v>
      </c>
      <c r="H3242" s="2">
        <v>-4.6500000000000004</v>
      </c>
      <c r="I3242" t="str">
        <f t="shared" si="50"/>
        <v>Sep</v>
      </c>
      <c r="J3242">
        <f>YEAR(datas[[#This Row],[Order Date]])</f>
        <v>2022</v>
      </c>
    </row>
    <row r="3243" spans="1:10" ht="14.25" customHeight="1" x14ac:dyDescent="0.3">
      <c r="A3243" s="1">
        <v>44829</v>
      </c>
      <c r="B3243" s="2" t="s">
        <v>94</v>
      </c>
      <c r="C3243" s="2" t="s">
        <v>62</v>
      </c>
      <c r="D3243" s="2" t="s">
        <v>10</v>
      </c>
      <c r="E3243" s="2" t="s">
        <v>11</v>
      </c>
      <c r="F3243" s="2">
        <v>10.48</v>
      </c>
      <c r="G3243" s="2">
        <v>1</v>
      </c>
      <c r="H3243" s="2">
        <v>3.8</v>
      </c>
      <c r="I3243" t="str">
        <f t="shared" si="50"/>
        <v>Sep</v>
      </c>
      <c r="J3243">
        <f>YEAR(datas[[#This Row],[Order Date]])</f>
        <v>2022</v>
      </c>
    </row>
    <row r="3244" spans="1:10" ht="14.25" customHeight="1" x14ac:dyDescent="0.3">
      <c r="A3244" s="1">
        <v>44829</v>
      </c>
      <c r="B3244" s="2" t="s">
        <v>94</v>
      </c>
      <c r="C3244" s="2" t="s">
        <v>62</v>
      </c>
      <c r="D3244" s="2" t="s">
        <v>10</v>
      </c>
      <c r="E3244" s="2" t="s">
        <v>16</v>
      </c>
      <c r="F3244" s="2">
        <v>2.4700000000000002</v>
      </c>
      <c r="G3244" s="2">
        <v>1</v>
      </c>
      <c r="H3244" s="2">
        <v>-1.81</v>
      </c>
      <c r="I3244" t="str">
        <f t="shared" si="50"/>
        <v>Sep</v>
      </c>
      <c r="J3244">
        <f>YEAR(datas[[#This Row],[Order Date]])</f>
        <v>2022</v>
      </c>
    </row>
    <row r="3245" spans="1:10" ht="14.25" customHeight="1" x14ac:dyDescent="0.3">
      <c r="A3245" s="1">
        <v>44829</v>
      </c>
      <c r="B3245" s="2" t="s">
        <v>94</v>
      </c>
      <c r="C3245" s="2" t="s">
        <v>62</v>
      </c>
      <c r="D3245" s="2" t="s">
        <v>10</v>
      </c>
      <c r="E3245" s="2" t="s">
        <v>16</v>
      </c>
      <c r="F3245" s="2">
        <v>3.26</v>
      </c>
      <c r="G3245" s="2">
        <v>2</v>
      </c>
      <c r="H3245" s="2">
        <v>-2.2799999999999998</v>
      </c>
      <c r="I3245" t="str">
        <f t="shared" si="50"/>
        <v>Sep</v>
      </c>
      <c r="J3245">
        <f>YEAR(datas[[#This Row],[Order Date]])</f>
        <v>2022</v>
      </c>
    </row>
    <row r="3246" spans="1:10" ht="14.25" customHeight="1" x14ac:dyDescent="0.3">
      <c r="A3246" s="1">
        <v>44829</v>
      </c>
      <c r="B3246" s="2" t="s">
        <v>313</v>
      </c>
      <c r="C3246" s="2" t="s">
        <v>75</v>
      </c>
      <c r="D3246" s="2" t="s">
        <v>26</v>
      </c>
      <c r="E3246" s="2" t="s">
        <v>27</v>
      </c>
      <c r="F3246" s="2">
        <v>102.58</v>
      </c>
      <c r="G3246" s="2">
        <v>1</v>
      </c>
      <c r="H3246" s="2">
        <v>6.84</v>
      </c>
      <c r="I3246" t="str">
        <f t="shared" si="50"/>
        <v>Sep</v>
      </c>
      <c r="J3246">
        <f>YEAR(datas[[#This Row],[Order Date]])</f>
        <v>2022</v>
      </c>
    </row>
    <row r="3247" spans="1:10" ht="14.25" customHeight="1" x14ac:dyDescent="0.3">
      <c r="A3247" s="1">
        <v>44829</v>
      </c>
      <c r="B3247" s="2" t="s">
        <v>313</v>
      </c>
      <c r="C3247" s="2" t="s">
        <v>75</v>
      </c>
      <c r="D3247" s="2" t="s">
        <v>10</v>
      </c>
      <c r="E3247" s="2" t="s">
        <v>11</v>
      </c>
      <c r="F3247" s="2">
        <v>20.04</v>
      </c>
      <c r="G3247" s="2">
        <v>3</v>
      </c>
      <c r="H3247" s="2">
        <v>9.6199999999999992</v>
      </c>
      <c r="I3247" t="str">
        <f t="shared" si="50"/>
        <v>Sep</v>
      </c>
      <c r="J3247">
        <f>YEAR(datas[[#This Row],[Order Date]])</f>
        <v>2022</v>
      </c>
    </row>
    <row r="3248" spans="1:10" ht="14.25" customHeight="1" x14ac:dyDescent="0.3">
      <c r="A3248" s="1">
        <v>44829</v>
      </c>
      <c r="B3248" s="2" t="s">
        <v>307</v>
      </c>
      <c r="C3248" s="2" t="s">
        <v>18</v>
      </c>
      <c r="D3248" s="2" t="s">
        <v>10</v>
      </c>
      <c r="E3248" s="2" t="s">
        <v>16</v>
      </c>
      <c r="F3248" s="2">
        <v>2.95</v>
      </c>
      <c r="G3248" s="2">
        <v>2</v>
      </c>
      <c r="H3248" s="2">
        <v>-2.06</v>
      </c>
      <c r="I3248" t="str">
        <f t="shared" si="50"/>
        <v>Sep</v>
      </c>
      <c r="J3248">
        <f>YEAR(datas[[#This Row],[Order Date]])</f>
        <v>2022</v>
      </c>
    </row>
    <row r="3249" spans="1:10" ht="14.25" customHeight="1" x14ac:dyDescent="0.3">
      <c r="A3249" s="1">
        <v>44830</v>
      </c>
      <c r="B3249" s="2" t="s">
        <v>303</v>
      </c>
      <c r="C3249" s="2" t="s">
        <v>9</v>
      </c>
      <c r="D3249" s="2" t="s">
        <v>10</v>
      </c>
      <c r="E3249" s="2" t="s">
        <v>16</v>
      </c>
      <c r="F3249" s="2">
        <v>2.08</v>
      </c>
      <c r="G3249" s="2">
        <v>5</v>
      </c>
      <c r="H3249" s="2">
        <v>-3.43</v>
      </c>
      <c r="I3249" t="str">
        <f t="shared" si="50"/>
        <v>Sep</v>
      </c>
      <c r="J3249">
        <f>YEAR(datas[[#This Row],[Order Date]])</f>
        <v>2022</v>
      </c>
    </row>
    <row r="3250" spans="1:10" ht="14.25" customHeight="1" x14ac:dyDescent="0.3">
      <c r="A3250" s="1">
        <v>44830</v>
      </c>
      <c r="B3250" s="2" t="s">
        <v>303</v>
      </c>
      <c r="C3250" s="2" t="s">
        <v>9</v>
      </c>
      <c r="D3250" s="2" t="s">
        <v>28</v>
      </c>
      <c r="E3250" s="2" t="s">
        <v>29</v>
      </c>
      <c r="F3250" s="2">
        <v>1114.4000000000001</v>
      </c>
      <c r="G3250" s="2">
        <v>7</v>
      </c>
      <c r="H3250" s="2">
        <v>376.11</v>
      </c>
      <c r="I3250" t="str">
        <f t="shared" si="50"/>
        <v>Sep</v>
      </c>
      <c r="J3250">
        <f>YEAR(datas[[#This Row],[Order Date]])</f>
        <v>2022</v>
      </c>
    </row>
    <row r="3251" spans="1:10" ht="14.25" customHeight="1" x14ac:dyDescent="0.3">
      <c r="A3251" s="1">
        <v>44830</v>
      </c>
      <c r="B3251" s="2" t="s">
        <v>534</v>
      </c>
      <c r="C3251" s="2" t="s">
        <v>52</v>
      </c>
      <c r="D3251" s="2" t="s">
        <v>10</v>
      </c>
      <c r="E3251" s="2" t="s">
        <v>11</v>
      </c>
      <c r="F3251" s="2">
        <v>141.76</v>
      </c>
      <c r="G3251" s="2">
        <v>5</v>
      </c>
      <c r="H3251" s="2">
        <v>47.84</v>
      </c>
      <c r="I3251" t="str">
        <f t="shared" si="50"/>
        <v>Sep</v>
      </c>
      <c r="J3251">
        <f>YEAR(datas[[#This Row],[Order Date]])</f>
        <v>2022</v>
      </c>
    </row>
    <row r="3252" spans="1:10" ht="14.25" customHeight="1" x14ac:dyDescent="0.3">
      <c r="A3252" s="1">
        <v>44830</v>
      </c>
      <c r="B3252" s="2" t="s">
        <v>534</v>
      </c>
      <c r="C3252" s="2" t="s">
        <v>52</v>
      </c>
      <c r="D3252" s="2" t="s">
        <v>28</v>
      </c>
      <c r="E3252" s="2" t="s">
        <v>34</v>
      </c>
      <c r="F3252" s="2">
        <v>239.8</v>
      </c>
      <c r="G3252" s="2">
        <v>5</v>
      </c>
      <c r="H3252" s="2">
        <v>47.96</v>
      </c>
      <c r="I3252" t="str">
        <f t="shared" si="50"/>
        <v>Sep</v>
      </c>
      <c r="J3252">
        <f>YEAR(datas[[#This Row],[Order Date]])</f>
        <v>2022</v>
      </c>
    </row>
    <row r="3253" spans="1:10" ht="14.25" customHeight="1" x14ac:dyDescent="0.3">
      <c r="A3253" s="1">
        <v>44830</v>
      </c>
      <c r="B3253" s="2" t="s">
        <v>534</v>
      </c>
      <c r="C3253" s="2" t="s">
        <v>52</v>
      </c>
      <c r="D3253" s="2" t="s">
        <v>10</v>
      </c>
      <c r="E3253" s="2" t="s">
        <v>11</v>
      </c>
      <c r="F3253" s="2">
        <v>31.1</v>
      </c>
      <c r="G3253" s="2">
        <v>6</v>
      </c>
      <c r="H3253" s="2">
        <v>10.89</v>
      </c>
      <c r="I3253" t="str">
        <f t="shared" si="50"/>
        <v>Sep</v>
      </c>
      <c r="J3253">
        <f>YEAR(datas[[#This Row],[Order Date]])</f>
        <v>2022</v>
      </c>
    </row>
    <row r="3254" spans="1:10" ht="14.25" customHeight="1" x14ac:dyDescent="0.3">
      <c r="A3254" s="1">
        <v>44830</v>
      </c>
      <c r="B3254" s="2" t="s">
        <v>674</v>
      </c>
      <c r="C3254" s="2" t="s">
        <v>55</v>
      </c>
      <c r="D3254" s="2" t="s">
        <v>10</v>
      </c>
      <c r="E3254" s="2" t="s">
        <v>11</v>
      </c>
      <c r="F3254" s="2">
        <v>86.27</v>
      </c>
      <c r="G3254" s="2">
        <v>4</v>
      </c>
      <c r="H3254" s="2">
        <v>31.27</v>
      </c>
      <c r="I3254" t="str">
        <f t="shared" si="50"/>
        <v>Sep</v>
      </c>
      <c r="J3254">
        <f>YEAR(datas[[#This Row],[Order Date]])</f>
        <v>2022</v>
      </c>
    </row>
    <row r="3255" spans="1:10" ht="14.25" customHeight="1" x14ac:dyDescent="0.3">
      <c r="A3255" s="1">
        <v>44830</v>
      </c>
      <c r="B3255" s="2" t="s">
        <v>674</v>
      </c>
      <c r="C3255" s="2" t="s">
        <v>55</v>
      </c>
      <c r="D3255" s="2" t="s">
        <v>10</v>
      </c>
      <c r="E3255" s="2" t="s">
        <v>16</v>
      </c>
      <c r="F3255" s="2">
        <v>72.59</v>
      </c>
      <c r="G3255" s="2">
        <v>2</v>
      </c>
      <c r="H3255" s="2">
        <v>-48.39</v>
      </c>
      <c r="I3255" t="str">
        <f t="shared" si="50"/>
        <v>Sep</v>
      </c>
      <c r="J3255">
        <f>YEAR(datas[[#This Row],[Order Date]])</f>
        <v>2022</v>
      </c>
    </row>
    <row r="3256" spans="1:10" ht="14.25" customHeight="1" x14ac:dyDescent="0.3">
      <c r="A3256" s="1">
        <v>44830</v>
      </c>
      <c r="B3256" s="2" t="s">
        <v>674</v>
      </c>
      <c r="C3256" s="2" t="s">
        <v>55</v>
      </c>
      <c r="D3256" s="2" t="s">
        <v>10</v>
      </c>
      <c r="E3256" s="2" t="s">
        <v>53</v>
      </c>
      <c r="F3256" s="2">
        <v>60.67</v>
      </c>
      <c r="G3256" s="2">
        <v>2</v>
      </c>
      <c r="H3256" s="2">
        <v>14.41</v>
      </c>
      <c r="I3256" t="str">
        <f t="shared" si="50"/>
        <v>Sep</v>
      </c>
      <c r="J3256">
        <f>YEAR(datas[[#This Row],[Order Date]])</f>
        <v>2022</v>
      </c>
    </row>
    <row r="3257" spans="1:10" ht="14.25" customHeight="1" x14ac:dyDescent="0.3">
      <c r="A3257" s="1">
        <v>44830</v>
      </c>
      <c r="B3257" s="2" t="s">
        <v>674</v>
      </c>
      <c r="C3257" s="2" t="s">
        <v>55</v>
      </c>
      <c r="D3257" s="2" t="s">
        <v>10</v>
      </c>
      <c r="E3257" s="2" t="s">
        <v>16</v>
      </c>
      <c r="F3257" s="2">
        <v>77.03</v>
      </c>
      <c r="G3257" s="2">
        <v>9</v>
      </c>
      <c r="H3257" s="2">
        <v>-59.06</v>
      </c>
      <c r="I3257" t="str">
        <f t="shared" si="50"/>
        <v>Sep</v>
      </c>
      <c r="J3257">
        <f>YEAR(datas[[#This Row],[Order Date]])</f>
        <v>2022</v>
      </c>
    </row>
    <row r="3258" spans="1:10" ht="14.25" customHeight="1" x14ac:dyDescent="0.3">
      <c r="A3258" s="1">
        <v>44830</v>
      </c>
      <c r="B3258" s="2" t="s">
        <v>674</v>
      </c>
      <c r="C3258" s="2" t="s">
        <v>55</v>
      </c>
      <c r="D3258" s="2" t="s">
        <v>10</v>
      </c>
      <c r="E3258" s="2" t="s">
        <v>15</v>
      </c>
      <c r="F3258" s="2">
        <v>119.9</v>
      </c>
      <c r="G3258" s="2">
        <v>6</v>
      </c>
      <c r="H3258" s="2">
        <v>-1.5</v>
      </c>
      <c r="I3258" t="str">
        <f t="shared" si="50"/>
        <v>Sep</v>
      </c>
      <c r="J3258">
        <f>YEAR(datas[[#This Row],[Order Date]])</f>
        <v>2022</v>
      </c>
    </row>
    <row r="3259" spans="1:10" ht="14.25" customHeight="1" x14ac:dyDescent="0.3">
      <c r="A3259" s="1">
        <v>44830</v>
      </c>
      <c r="B3259" s="2" t="s">
        <v>674</v>
      </c>
      <c r="C3259" s="2" t="s">
        <v>55</v>
      </c>
      <c r="D3259" s="2" t="s">
        <v>28</v>
      </c>
      <c r="E3259" s="2" t="s">
        <v>29</v>
      </c>
      <c r="F3259" s="2">
        <v>263.95999999999998</v>
      </c>
      <c r="G3259" s="2">
        <v>5</v>
      </c>
      <c r="H3259" s="2">
        <v>23.1</v>
      </c>
      <c r="I3259" t="str">
        <f t="shared" si="50"/>
        <v>Sep</v>
      </c>
      <c r="J3259">
        <f>YEAR(datas[[#This Row],[Order Date]])</f>
        <v>2022</v>
      </c>
    </row>
    <row r="3260" spans="1:10" ht="14.25" customHeight="1" x14ac:dyDescent="0.3">
      <c r="A3260" s="1">
        <v>44830</v>
      </c>
      <c r="B3260" s="2" t="s">
        <v>674</v>
      </c>
      <c r="C3260" s="2" t="s">
        <v>55</v>
      </c>
      <c r="D3260" s="2" t="s">
        <v>10</v>
      </c>
      <c r="E3260" s="2" t="s">
        <v>15</v>
      </c>
      <c r="F3260" s="2">
        <v>363.65</v>
      </c>
      <c r="G3260" s="2">
        <v>4</v>
      </c>
      <c r="H3260" s="2">
        <v>-86.37</v>
      </c>
      <c r="I3260" t="str">
        <f t="shared" si="50"/>
        <v>Sep</v>
      </c>
      <c r="J3260">
        <f>YEAR(datas[[#This Row],[Order Date]])</f>
        <v>2022</v>
      </c>
    </row>
    <row r="3261" spans="1:10" ht="14.25" customHeight="1" x14ac:dyDescent="0.3">
      <c r="A3261" s="1">
        <v>44830</v>
      </c>
      <c r="B3261" s="2" t="s">
        <v>654</v>
      </c>
      <c r="C3261" s="2" t="s">
        <v>18</v>
      </c>
      <c r="D3261" s="2" t="s">
        <v>10</v>
      </c>
      <c r="E3261" s="2" t="s">
        <v>16</v>
      </c>
      <c r="F3261" s="2">
        <v>121.1</v>
      </c>
      <c r="G3261" s="2">
        <v>6</v>
      </c>
      <c r="H3261" s="2">
        <v>-100.92</v>
      </c>
      <c r="I3261" t="str">
        <f t="shared" si="50"/>
        <v>Sep</v>
      </c>
      <c r="J3261">
        <f>YEAR(datas[[#This Row],[Order Date]])</f>
        <v>2022</v>
      </c>
    </row>
    <row r="3262" spans="1:10" ht="14.25" customHeight="1" x14ac:dyDescent="0.3">
      <c r="A3262" s="1">
        <v>44830</v>
      </c>
      <c r="B3262" s="2" t="s">
        <v>654</v>
      </c>
      <c r="C3262" s="2" t="s">
        <v>18</v>
      </c>
      <c r="D3262" s="2" t="s">
        <v>28</v>
      </c>
      <c r="E3262" s="2" t="s">
        <v>29</v>
      </c>
      <c r="F3262" s="2">
        <v>45.89</v>
      </c>
      <c r="G3262" s="2">
        <v>1</v>
      </c>
      <c r="H3262" s="2">
        <v>-9.18</v>
      </c>
      <c r="I3262" t="str">
        <f t="shared" si="50"/>
        <v>Sep</v>
      </c>
      <c r="J3262">
        <f>YEAR(datas[[#This Row],[Order Date]])</f>
        <v>2022</v>
      </c>
    </row>
    <row r="3263" spans="1:10" ht="14.25" customHeight="1" x14ac:dyDescent="0.3">
      <c r="A3263" s="1">
        <v>44830</v>
      </c>
      <c r="B3263" s="2" t="s">
        <v>770</v>
      </c>
      <c r="C3263" s="2" t="s">
        <v>21</v>
      </c>
      <c r="D3263" s="2" t="s">
        <v>10</v>
      </c>
      <c r="E3263" s="2" t="s">
        <v>15</v>
      </c>
      <c r="F3263" s="2">
        <v>64.17</v>
      </c>
      <c r="G3263" s="2">
        <v>3</v>
      </c>
      <c r="H3263" s="2">
        <v>18.61</v>
      </c>
      <c r="I3263" t="str">
        <f t="shared" si="50"/>
        <v>Sep</v>
      </c>
      <c r="J3263">
        <f>YEAR(datas[[#This Row],[Order Date]])</f>
        <v>2022</v>
      </c>
    </row>
    <row r="3264" spans="1:10" ht="14.25" customHeight="1" x14ac:dyDescent="0.3">
      <c r="A3264" s="1">
        <v>44830</v>
      </c>
      <c r="B3264" s="2" t="s">
        <v>770</v>
      </c>
      <c r="C3264" s="2" t="s">
        <v>21</v>
      </c>
      <c r="D3264" s="2" t="s">
        <v>10</v>
      </c>
      <c r="E3264" s="2" t="s">
        <v>41</v>
      </c>
      <c r="F3264" s="2">
        <v>124.46</v>
      </c>
      <c r="G3264" s="2">
        <v>2</v>
      </c>
      <c r="H3264" s="2">
        <v>58.5</v>
      </c>
      <c r="I3264" t="str">
        <f t="shared" si="50"/>
        <v>Sep</v>
      </c>
      <c r="J3264">
        <f>YEAR(datas[[#This Row],[Order Date]])</f>
        <v>2022</v>
      </c>
    </row>
    <row r="3265" spans="1:10" ht="14.25" customHeight="1" x14ac:dyDescent="0.3">
      <c r="A3265" s="1">
        <v>44830</v>
      </c>
      <c r="B3265" s="2" t="s">
        <v>484</v>
      </c>
      <c r="C3265" s="2" t="s">
        <v>75</v>
      </c>
      <c r="D3265" s="2" t="s">
        <v>28</v>
      </c>
      <c r="E3265" s="2" t="s">
        <v>34</v>
      </c>
      <c r="F3265" s="2">
        <v>50</v>
      </c>
      <c r="G3265" s="2">
        <v>2</v>
      </c>
      <c r="H3265" s="2">
        <v>12</v>
      </c>
      <c r="I3265" t="str">
        <f t="shared" si="50"/>
        <v>Sep</v>
      </c>
      <c r="J3265">
        <f>YEAR(datas[[#This Row],[Order Date]])</f>
        <v>2022</v>
      </c>
    </row>
    <row r="3266" spans="1:10" ht="14.25" customHeight="1" x14ac:dyDescent="0.3">
      <c r="A3266" s="1">
        <v>44830</v>
      </c>
      <c r="B3266" s="2" t="s">
        <v>414</v>
      </c>
      <c r="C3266" s="2" t="s">
        <v>75</v>
      </c>
      <c r="D3266" s="2" t="s">
        <v>10</v>
      </c>
      <c r="E3266" s="2" t="s">
        <v>30</v>
      </c>
      <c r="F3266" s="2">
        <v>34.44</v>
      </c>
      <c r="G3266" s="2">
        <v>3</v>
      </c>
      <c r="H3266" s="2">
        <v>16.190000000000001</v>
      </c>
      <c r="I3266" t="str">
        <f t="shared" si="50"/>
        <v>Sep</v>
      </c>
      <c r="J3266">
        <f>YEAR(datas[[#This Row],[Order Date]])</f>
        <v>2022</v>
      </c>
    </row>
    <row r="3267" spans="1:10" ht="14.25" customHeight="1" x14ac:dyDescent="0.3">
      <c r="A3267" s="1">
        <v>44830</v>
      </c>
      <c r="B3267" s="2" t="s">
        <v>414</v>
      </c>
      <c r="C3267" s="2" t="s">
        <v>75</v>
      </c>
      <c r="D3267" s="2" t="s">
        <v>28</v>
      </c>
      <c r="E3267" s="2" t="s">
        <v>136</v>
      </c>
      <c r="F3267" s="2">
        <v>629.92999999999995</v>
      </c>
      <c r="G3267" s="2">
        <v>7</v>
      </c>
      <c r="H3267" s="2">
        <v>296.07</v>
      </c>
      <c r="I3267" t="str">
        <f t="shared" ref="I3267:I3330" si="51">TEXT(A3267,"mmm")</f>
        <v>Sep</v>
      </c>
      <c r="J3267">
        <f>YEAR(datas[[#This Row],[Order Date]])</f>
        <v>2022</v>
      </c>
    </row>
    <row r="3268" spans="1:10" ht="14.25" customHeight="1" x14ac:dyDescent="0.3">
      <c r="A3268" s="1">
        <v>44830</v>
      </c>
      <c r="B3268" s="2" t="s">
        <v>414</v>
      </c>
      <c r="C3268" s="2" t="s">
        <v>75</v>
      </c>
      <c r="D3268" s="2" t="s">
        <v>10</v>
      </c>
      <c r="E3268" s="2" t="s">
        <v>16</v>
      </c>
      <c r="F3268" s="2">
        <v>79.06</v>
      </c>
      <c r="G3268" s="2">
        <v>9</v>
      </c>
      <c r="H3268" s="2">
        <v>28.66</v>
      </c>
      <c r="I3268" t="str">
        <f t="shared" si="51"/>
        <v>Sep</v>
      </c>
      <c r="J3268">
        <f>YEAR(datas[[#This Row],[Order Date]])</f>
        <v>2022</v>
      </c>
    </row>
    <row r="3269" spans="1:10" ht="14.25" customHeight="1" x14ac:dyDescent="0.3">
      <c r="A3269" s="1">
        <v>44831</v>
      </c>
      <c r="B3269" s="2" t="s">
        <v>758</v>
      </c>
      <c r="C3269" s="2" t="s">
        <v>13</v>
      </c>
      <c r="D3269" s="2" t="s">
        <v>10</v>
      </c>
      <c r="E3269" s="2" t="s">
        <v>16</v>
      </c>
      <c r="F3269" s="2">
        <v>15.08</v>
      </c>
      <c r="G3269" s="2">
        <v>2</v>
      </c>
      <c r="H3269" s="2">
        <v>-22.62</v>
      </c>
      <c r="I3269" t="str">
        <f t="shared" si="51"/>
        <v>Sep</v>
      </c>
      <c r="J3269">
        <f>YEAR(datas[[#This Row],[Order Date]])</f>
        <v>2022</v>
      </c>
    </row>
    <row r="3270" spans="1:10" ht="14.25" customHeight="1" x14ac:dyDescent="0.3">
      <c r="A3270" s="1">
        <v>44831</v>
      </c>
      <c r="B3270" s="2" t="s">
        <v>758</v>
      </c>
      <c r="C3270" s="2" t="s">
        <v>13</v>
      </c>
      <c r="D3270" s="2" t="s">
        <v>26</v>
      </c>
      <c r="E3270" s="2" t="s">
        <v>32</v>
      </c>
      <c r="F3270" s="2">
        <v>24.29</v>
      </c>
      <c r="G3270" s="2">
        <v>3</v>
      </c>
      <c r="H3270" s="2">
        <v>-12.75</v>
      </c>
      <c r="I3270" t="str">
        <f t="shared" si="51"/>
        <v>Sep</v>
      </c>
      <c r="J3270">
        <f>YEAR(datas[[#This Row],[Order Date]])</f>
        <v>2022</v>
      </c>
    </row>
    <row r="3271" spans="1:10" ht="14.25" customHeight="1" x14ac:dyDescent="0.3">
      <c r="A3271" s="1">
        <v>44831</v>
      </c>
      <c r="B3271" s="2" t="s">
        <v>583</v>
      </c>
      <c r="C3271" s="2" t="s">
        <v>21</v>
      </c>
      <c r="D3271" s="2" t="s">
        <v>10</v>
      </c>
      <c r="E3271" s="2" t="s">
        <v>15</v>
      </c>
      <c r="F3271" s="2">
        <v>15.51</v>
      </c>
      <c r="G3271" s="2">
        <v>1</v>
      </c>
      <c r="H3271" s="2">
        <v>4.34</v>
      </c>
      <c r="I3271" t="str">
        <f t="shared" si="51"/>
        <v>Sep</v>
      </c>
      <c r="J3271">
        <f>YEAR(datas[[#This Row],[Order Date]])</f>
        <v>2022</v>
      </c>
    </row>
    <row r="3272" spans="1:10" ht="14.25" customHeight="1" x14ac:dyDescent="0.3">
      <c r="A3272" s="1">
        <v>44831</v>
      </c>
      <c r="B3272" s="2" t="s">
        <v>583</v>
      </c>
      <c r="C3272" s="2" t="s">
        <v>21</v>
      </c>
      <c r="D3272" s="2" t="s">
        <v>10</v>
      </c>
      <c r="E3272" s="2" t="s">
        <v>11</v>
      </c>
      <c r="F3272" s="2">
        <v>146.82</v>
      </c>
      <c r="G3272" s="2">
        <v>3</v>
      </c>
      <c r="H3272" s="2">
        <v>73.41</v>
      </c>
      <c r="I3272" t="str">
        <f t="shared" si="51"/>
        <v>Sep</v>
      </c>
      <c r="J3272">
        <f>YEAR(datas[[#This Row],[Order Date]])</f>
        <v>2022</v>
      </c>
    </row>
    <row r="3273" spans="1:10" ht="14.25" customHeight="1" x14ac:dyDescent="0.3">
      <c r="A3273" s="1">
        <v>44831</v>
      </c>
      <c r="B3273" s="2" t="s">
        <v>583</v>
      </c>
      <c r="C3273" s="2" t="s">
        <v>21</v>
      </c>
      <c r="D3273" s="2" t="s">
        <v>10</v>
      </c>
      <c r="E3273" s="2" t="s">
        <v>11</v>
      </c>
      <c r="F3273" s="2">
        <v>12.96</v>
      </c>
      <c r="G3273" s="2">
        <v>2</v>
      </c>
      <c r="H3273" s="2">
        <v>6.22</v>
      </c>
      <c r="I3273" t="str">
        <f t="shared" si="51"/>
        <v>Sep</v>
      </c>
      <c r="J3273">
        <f>YEAR(datas[[#This Row],[Order Date]])</f>
        <v>2022</v>
      </c>
    </row>
    <row r="3274" spans="1:10" ht="14.25" customHeight="1" x14ac:dyDescent="0.3">
      <c r="A3274" s="1">
        <v>44831</v>
      </c>
      <c r="B3274" s="2" t="s">
        <v>771</v>
      </c>
      <c r="C3274" s="2" t="s">
        <v>60</v>
      </c>
      <c r="D3274" s="2" t="s">
        <v>10</v>
      </c>
      <c r="E3274" s="2" t="s">
        <v>19</v>
      </c>
      <c r="F3274" s="2">
        <v>16.399999999999999</v>
      </c>
      <c r="G3274" s="2">
        <v>5</v>
      </c>
      <c r="H3274" s="2">
        <v>4.76</v>
      </c>
      <c r="I3274" t="str">
        <f t="shared" si="51"/>
        <v>Sep</v>
      </c>
      <c r="J3274">
        <f>YEAR(datas[[#This Row],[Order Date]])</f>
        <v>2022</v>
      </c>
    </row>
    <row r="3275" spans="1:10" ht="14.25" customHeight="1" x14ac:dyDescent="0.3">
      <c r="A3275" s="1">
        <v>44831</v>
      </c>
      <c r="B3275" s="2" t="s">
        <v>771</v>
      </c>
      <c r="C3275" s="2" t="s">
        <v>60</v>
      </c>
      <c r="D3275" s="2" t="s">
        <v>10</v>
      </c>
      <c r="E3275" s="2" t="s">
        <v>11</v>
      </c>
      <c r="F3275" s="2">
        <v>25.92</v>
      </c>
      <c r="G3275" s="2">
        <v>4</v>
      </c>
      <c r="H3275" s="2">
        <v>12.44</v>
      </c>
      <c r="I3275" t="str">
        <f t="shared" si="51"/>
        <v>Sep</v>
      </c>
      <c r="J3275">
        <f>YEAR(datas[[#This Row],[Order Date]])</f>
        <v>2022</v>
      </c>
    </row>
    <row r="3276" spans="1:10" ht="14.25" customHeight="1" x14ac:dyDescent="0.3">
      <c r="A3276" s="1">
        <v>44831</v>
      </c>
      <c r="B3276" s="2" t="s">
        <v>363</v>
      </c>
      <c r="C3276" s="2" t="s">
        <v>36</v>
      </c>
      <c r="D3276" s="2" t="s">
        <v>10</v>
      </c>
      <c r="E3276" s="2" t="s">
        <v>11</v>
      </c>
      <c r="F3276" s="2">
        <v>154.9</v>
      </c>
      <c r="G3276" s="2">
        <v>5</v>
      </c>
      <c r="H3276" s="2">
        <v>69.709999999999994</v>
      </c>
      <c r="I3276" t="str">
        <f t="shared" si="51"/>
        <v>Sep</v>
      </c>
      <c r="J3276">
        <f>YEAR(datas[[#This Row],[Order Date]])</f>
        <v>2022</v>
      </c>
    </row>
    <row r="3277" spans="1:10" ht="14.25" customHeight="1" x14ac:dyDescent="0.3">
      <c r="A3277" s="1">
        <v>44831</v>
      </c>
      <c r="B3277" s="2" t="s">
        <v>363</v>
      </c>
      <c r="C3277" s="2" t="s">
        <v>36</v>
      </c>
      <c r="D3277" s="2" t="s">
        <v>28</v>
      </c>
      <c r="E3277" s="2" t="s">
        <v>29</v>
      </c>
      <c r="F3277" s="2">
        <v>1871.88</v>
      </c>
      <c r="G3277" s="2">
        <v>12</v>
      </c>
      <c r="H3277" s="2">
        <v>561.55999999999995</v>
      </c>
      <c r="I3277" t="str">
        <f t="shared" si="51"/>
        <v>Sep</v>
      </c>
      <c r="J3277">
        <f>YEAR(datas[[#This Row],[Order Date]])</f>
        <v>2022</v>
      </c>
    </row>
    <row r="3278" spans="1:10" ht="14.25" customHeight="1" x14ac:dyDescent="0.3">
      <c r="A3278" s="1">
        <v>44831</v>
      </c>
      <c r="B3278" s="2" t="s">
        <v>603</v>
      </c>
      <c r="C3278" s="2" t="s">
        <v>82</v>
      </c>
      <c r="D3278" s="2" t="s">
        <v>10</v>
      </c>
      <c r="E3278" s="2" t="s">
        <v>19</v>
      </c>
      <c r="F3278" s="2">
        <v>99.2</v>
      </c>
      <c r="G3278" s="2">
        <v>5</v>
      </c>
      <c r="H3278" s="2">
        <v>25.79</v>
      </c>
      <c r="I3278" t="str">
        <f t="shared" si="51"/>
        <v>Sep</v>
      </c>
      <c r="J3278">
        <f>YEAR(datas[[#This Row],[Order Date]])</f>
        <v>2022</v>
      </c>
    </row>
    <row r="3279" spans="1:10" ht="14.25" customHeight="1" x14ac:dyDescent="0.3">
      <c r="A3279" s="1">
        <v>44832</v>
      </c>
      <c r="B3279" s="2" t="s">
        <v>489</v>
      </c>
      <c r="C3279" s="2" t="s">
        <v>21</v>
      </c>
      <c r="D3279" s="2" t="s">
        <v>10</v>
      </c>
      <c r="E3279" s="2" t="s">
        <v>53</v>
      </c>
      <c r="F3279" s="2">
        <v>43.26</v>
      </c>
      <c r="G3279" s="2">
        <v>3</v>
      </c>
      <c r="H3279" s="2">
        <v>14.28</v>
      </c>
      <c r="I3279" t="str">
        <f t="shared" si="51"/>
        <v>Sep</v>
      </c>
      <c r="J3279">
        <f>YEAR(datas[[#This Row],[Order Date]])</f>
        <v>2022</v>
      </c>
    </row>
    <row r="3280" spans="1:10" ht="14.25" customHeight="1" x14ac:dyDescent="0.3">
      <c r="A3280" s="1">
        <v>44832</v>
      </c>
      <c r="B3280" s="2" t="s">
        <v>489</v>
      </c>
      <c r="C3280" s="2" t="s">
        <v>21</v>
      </c>
      <c r="D3280" s="2" t="s">
        <v>10</v>
      </c>
      <c r="E3280" s="2" t="s">
        <v>53</v>
      </c>
      <c r="F3280" s="2">
        <v>43.56</v>
      </c>
      <c r="G3280" s="2">
        <v>2</v>
      </c>
      <c r="H3280" s="2">
        <v>15.25</v>
      </c>
      <c r="I3280" t="str">
        <f t="shared" si="51"/>
        <v>Sep</v>
      </c>
      <c r="J3280">
        <f>YEAR(datas[[#This Row],[Order Date]])</f>
        <v>2022</v>
      </c>
    </row>
    <row r="3281" spans="1:10" ht="14.25" customHeight="1" x14ac:dyDescent="0.3">
      <c r="A3281" s="1">
        <v>44832</v>
      </c>
      <c r="B3281" s="2" t="s">
        <v>527</v>
      </c>
      <c r="C3281" s="2" t="s">
        <v>126</v>
      </c>
      <c r="D3281" s="2" t="s">
        <v>10</v>
      </c>
      <c r="E3281" s="2" t="s">
        <v>41</v>
      </c>
      <c r="F3281" s="2">
        <v>12.54</v>
      </c>
      <c r="G3281" s="2">
        <v>1</v>
      </c>
      <c r="H3281" s="2">
        <v>4.2300000000000004</v>
      </c>
      <c r="I3281" t="str">
        <f t="shared" si="51"/>
        <v>Sep</v>
      </c>
      <c r="J3281">
        <f>YEAR(datas[[#This Row],[Order Date]])</f>
        <v>2022</v>
      </c>
    </row>
    <row r="3282" spans="1:10" ht="14.25" customHeight="1" x14ac:dyDescent="0.3">
      <c r="A3282" s="1">
        <v>44832</v>
      </c>
      <c r="B3282" s="2" t="s">
        <v>527</v>
      </c>
      <c r="C3282" s="2" t="s">
        <v>126</v>
      </c>
      <c r="D3282" s="2" t="s">
        <v>10</v>
      </c>
      <c r="E3282" s="2" t="s">
        <v>16</v>
      </c>
      <c r="F3282" s="2">
        <v>1.08</v>
      </c>
      <c r="G3282" s="2">
        <v>2</v>
      </c>
      <c r="H3282" s="2">
        <v>-0.79</v>
      </c>
      <c r="I3282" t="str">
        <f t="shared" si="51"/>
        <v>Sep</v>
      </c>
      <c r="J3282">
        <f>YEAR(datas[[#This Row],[Order Date]])</f>
        <v>2022</v>
      </c>
    </row>
    <row r="3283" spans="1:10" ht="14.25" customHeight="1" x14ac:dyDescent="0.3">
      <c r="A3283" s="1">
        <v>44832</v>
      </c>
      <c r="B3283" s="2" t="s">
        <v>527</v>
      </c>
      <c r="C3283" s="2" t="s">
        <v>126</v>
      </c>
      <c r="D3283" s="2" t="s">
        <v>10</v>
      </c>
      <c r="E3283" s="2" t="s">
        <v>30</v>
      </c>
      <c r="F3283" s="2">
        <v>4.51</v>
      </c>
      <c r="G3283" s="2">
        <v>3</v>
      </c>
      <c r="H3283" s="2">
        <v>0.85</v>
      </c>
      <c r="I3283" t="str">
        <f t="shared" si="51"/>
        <v>Sep</v>
      </c>
      <c r="J3283">
        <f>YEAR(datas[[#This Row],[Order Date]])</f>
        <v>2022</v>
      </c>
    </row>
    <row r="3284" spans="1:10" ht="14.25" customHeight="1" x14ac:dyDescent="0.3">
      <c r="A3284" s="1">
        <v>44832</v>
      </c>
      <c r="B3284" s="2" t="s">
        <v>684</v>
      </c>
      <c r="C3284" s="2" t="s">
        <v>75</v>
      </c>
      <c r="D3284" s="2" t="s">
        <v>10</v>
      </c>
      <c r="E3284" s="2" t="s">
        <v>53</v>
      </c>
      <c r="F3284" s="2">
        <v>293.52</v>
      </c>
      <c r="G3284" s="2">
        <v>6</v>
      </c>
      <c r="H3284" s="2">
        <v>76.319999999999993</v>
      </c>
      <c r="I3284" t="str">
        <f t="shared" si="51"/>
        <v>Sep</v>
      </c>
      <c r="J3284">
        <f>YEAR(datas[[#This Row],[Order Date]])</f>
        <v>2022</v>
      </c>
    </row>
    <row r="3285" spans="1:10" ht="14.25" customHeight="1" x14ac:dyDescent="0.3">
      <c r="A3285" s="1">
        <v>44832</v>
      </c>
      <c r="B3285" s="2" t="s">
        <v>684</v>
      </c>
      <c r="C3285" s="2" t="s">
        <v>75</v>
      </c>
      <c r="D3285" s="2" t="s">
        <v>28</v>
      </c>
      <c r="E3285" s="2" t="s">
        <v>29</v>
      </c>
      <c r="F3285" s="2">
        <v>307.98</v>
      </c>
      <c r="G3285" s="2">
        <v>2</v>
      </c>
      <c r="H3285" s="2">
        <v>89.31</v>
      </c>
      <c r="I3285" t="str">
        <f t="shared" si="51"/>
        <v>Sep</v>
      </c>
      <c r="J3285">
        <f>YEAR(datas[[#This Row],[Order Date]])</f>
        <v>2022</v>
      </c>
    </row>
    <row r="3286" spans="1:10" ht="14.25" customHeight="1" x14ac:dyDescent="0.3">
      <c r="A3286" s="1">
        <v>44832</v>
      </c>
      <c r="B3286" s="2" t="s">
        <v>192</v>
      </c>
      <c r="C3286" s="2" t="s">
        <v>21</v>
      </c>
      <c r="D3286" s="2" t="s">
        <v>10</v>
      </c>
      <c r="E3286" s="2" t="s">
        <v>53</v>
      </c>
      <c r="F3286" s="2">
        <v>186.15</v>
      </c>
      <c r="G3286" s="2">
        <v>3</v>
      </c>
      <c r="H3286" s="2">
        <v>55.85</v>
      </c>
      <c r="I3286" t="str">
        <f t="shared" si="51"/>
        <v>Sep</v>
      </c>
      <c r="J3286">
        <f>YEAR(datas[[#This Row],[Order Date]])</f>
        <v>2022</v>
      </c>
    </row>
    <row r="3287" spans="1:10" ht="14.25" customHeight="1" x14ac:dyDescent="0.3">
      <c r="A3287" s="1">
        <v>44832</v>
      </c>
      <c r="B3287" s="2" t="s">
        <v>192</v>
      </c>
      <c r="C3287" s="2" t="s">
        <v>21</v>
      </c>
      <c r="D3287" s="2" t="s">
        <v>10</v>
      </c>
      <c r="E3287" s="2" t="s">
        <v>16</v>
      </c>
      <c r="F3287" s="2">
        <v>81.790000000000006</v>
      </c>
      <c r="G3287" s="2">
        <v>6</v>
      </c>
      <c r="H3287" s="2">
        <v>26.58</v>
      </c>
      <c r="I3287" t="str">
        <f t="shared" si="51"/>
        <v>Sep</v>
      </c>
      <c r="J3287">
        <f>YEAR(datas[[#This Row],[Order Date]])</f>
        <v>2022</v>
      </c>
    </row>
    <row r="3288" spans="1:10" ht="14.25" customHeight="1" x14ac:dyDescent="0.3">
      <c r="A3288" s="1">
        <v>44832</v>
      </c>
      <c r="B3288" s="2" t="s">
        <v>192</v>
      </c>
      <c r="C3288" s="2" t="s">
        <v>21</v>
      </c>
      <c r="D3288" s="2" t="s">
        <v>10</v>
      </c>
      <c r="E3288" s="2" t="s">
        <v>95</v>
      </c>
      <c r="F3288" s="2">
        <v>47.19</v>
      </c>
      <c r="G3288" s="2">
        <v>3</v>
      </c>
      <c r="H3288" s="2">
        <v>13.69</v>
      </c>
      <c r="I3288" t="str">
        <f t="shared" si="51"/>
        <v>Sep</v>
      </c>
      <c r="J3288">
        <f>YEAR(datas[[#This Row],[Order Date]])</f>
        <v>2022</v>
      </c>
    </row>
    <row r="3289" spans="1:10" ht="14.25" customHeight="1" x14ac:dyDescent="0.3">
      <c r="A3289" s="1">
        <v>44832</v>
      </c>
      <c r="B3289" s="2" t="s">
        <v>192</v>
      </c>
      <c r="C3289" s="2" t="s">
        <v>21</v>
      </c>
      <c r="D3289" s="2" t="s">
        <v>28</v>
      </c>
      <c r="E3289" s="2" t="s">
        <v>29</v>
      </c>
      <c r="F3289" s="2">
        <v>36.78</v>
      </c>
      <c r="G3289" s="2">
        <v>2</v>
      </c>
      <c r="H3289" s="2">
        <v>-8.2799999999999994</v>
      </c>
      <c r="I3289" t="str">
        <f t="shared" si="51"/>
        <v>Sep</v>
      </c>
      <c r="J3289">
        <f>YEAR(datas[[#This Row],[Order Date]])</f>
        <v>2022</v>
      </c>
    </row>
    <row r="3290" spans="1:10" ht="14.25" customHeight="1" x14ac:dyDescent="0.3">
      <c r="A3290" s="1">
        <v>44835</v>
      </c>
      <c r="B3290" s="2" t="s">
        <v>751</v>
      </c>
      <c r="C3290" s="2" t="s">
        <v>126</v>
      </c>
      <c r="D3290" s="2" t="s">
        <v>10</v>
      </c>
      <c r="E3290" s="2" t="s">
        <v>15</v>
      </c>
      <c r="F3290" s="2">
        <v>139.41999999999999</v>
      </c>
      <c r="G3290" s="2">
        <v>4</v>
      </c>
      <c r="H3290" s="2">
        <v>17.43</v>
      </c>
      <c r="I3290" t="str">
        <f t="shared" si="51"/>
        <v>Oct</v>
      </c>
      <c r="J3290">
        <f>YEAR(datas[[#This Row],[Order Date]])</f>
        <v>2022</v>
      </c>
    </row>
    <row r="3291" spans="1:10" ht="14.25" customHeight="1" x14ac:dyDescent="0.3">
      <c r="A3291" s="1">
        <v>44835</v>
      </c>
      <c r="B3291" s="2" t="s">
        <v>580</v>
      </c>
      <c r="C3291" s="2" t="s">
        <v>181</v>
      </c>
      <c r="D3291" s="2" t="s">
        <v>28</v>
      </c>
      <c r="E3291" s="2" t="s">
        <v>29</v>
      </c>
      <c r="F3291" s="2">
        <v>311.98</v>
      </c>
      <c r="G3291" s="2">
        <v>2</v>
      </c>
      <c r="H3291" s="2">
        <v>93.59</v>
      </c>
      <c r="I3291" t="str">
        <f t="shared" si="51"/>
        <v>Oct</v>
      </c>
      <c r="J3291">
        <f>YEAR(datas[[#This Row],[Order Date]])</f>
        <v>2022</v>
      </c>
    </row>
    <row r="3292" spans="1:10" ht="14.25" customHeight="1" x14ac:dyDescent="0.3">
      <c r="A3292" s="1">
        <v>44835</v>
      </c>
      <c r="B3292" s="2" t="s">
        <v>580</v>
      </c>
      <c r="C3292" s="2" t="s">
        <v>181</v>
      </c>
      <c r="D3292" s="2" t="s">
        <v>10</v>
      </c>
      <c r="E3292" s="2" t="s">
        <v>16</v>
      </c>
      <c r="F3292" s="2">
        <v>22.45</v>
      </c>
      <c r="G3292" s="2">
        <v>5</v>
      </c>
      <c r="H3292" s="2">
        <v>10.33</v>
      </c>
      <c r="I3292" t="str">
        <f t="shared" si="51"/>
        <v>Oct</v>
      </c>
      <c r="J3292">
        <f>YEAR(datas[[#This Row],[Order Date]])</f>
        <v>2022</v>
      </c>
    </row>
    <row r="3293" spans="1:10" ht="14.25" customHeight="1" x14ac:dyDescent="0.3">
      <c r="A3293" s="1">
        <v>44835</v>
      </c>
      <c r="B3293" s="2" t="s">
        <v>772</v>
      </c>
      <c r="C3293" s="2" t="s">
        <v>13</v>
      </c>
      <c r="D3293" s="2" t="s">
        <v>10</v>
      </c>
      <c r="E3293" s="2" t="s">
        <v>16</v>
      </c>
      <c r="F3293" s="2">
        <v>2.99</v>
      </c>
      <c r="G3293" s="2">
        <v>4</v>
      </c>
      <c r="H3293" s="2">
        <v>-4.49</v>
      </c>
      <c r="I3293" t="str">
        <f t="shared" si="51"/>
        <v>Oct</v>
      </c>
      <c r="J3293">
        <f>YEAR(datas[[#This Row],[Order Date]])</f>
        <v>2022</v>
      </c>
    </row>
    <row r="3294" spans="1:10" ht="14.25" customHeight="1" x14ac:dyDescent="0.3">
      <c r="A3294" s="1">
        <v>44835</v>
      </c>
      <c r="B3294" s="2" t="s">
        <v>772</v>
      </c>
      <c r="C3294" s="2" t="s">
        <v>13</v>
      </c>
      <c r="D3294" s="2" t="s">
        <v>28</v>
      </c>
      <c r="E3294" s="2" t="s">
        <v>34</v>
      </c>
      <c r="F3294" s="2">
        <v>108.77</v>
      </c>
      <c r="G3294" s="2">
        <v>4</v>
      </c>
      <c r="H3294" s="2">
        <v>2.72</v>
      </c>
      <c r="I3294" t="str">
        <f t="shared" si="51"/>
        <v>Oct</v>
      </c>
      <c r="J3294">
        <f>YEAR(datas[[#This Row],[Order Date]])</f>
        <v>2022</v>
      </c>
    </row>
    <row r="3295" spans="1:10" ht="14.25" customHeight="1" x14ac:dyDescent="0.3">
      <c r="A3295" s="1">
        <v>44835</v>
      </c>
      <c r="B3295" s="2" t="s">
        <v>772</v>
      </c>
      <c r="C3295" s="2" t="s">
        <v>52</v>
      </c>
      <c r="D3295" s="2" t="s">
        <v>28</v>
      </c>
      <c r="E3295" s="2" t="s">
        <v>29</v>
      </c>
      <c r="F3295" s="2">
        <v>572.79999999999995</v>
      </c>
      <c r="G3295" s="2">
        <v>2</v>
      </c>
      <c r="H3295" s="2">
        <v>50.12</v>
      </c>
      <c r="I3295" t="str">
        <f t="shared" si="51"/>
        <v>Oct</v>
      </c>
      <c r="J3295">
        <f>YEAR(datas[[#This Row],[Order Date]])</f>
        <v>2022</v>
      </c>
    </row>
    <row r="3296" spans="1:10" ht="14.25" customHeight="1" x14ac:dyDescent="0.3">
      <c r="A3296" s="1">
        <v>44836</v>
      </c>
      <c r="B3296" s="2" t="s">
        <v>358</v>
      </c>
      <c r="C3296" s="2" t="s">
        <v>21</v>
      </c>
      <c r="D3296" s="2" t="s">
        <v>10</v>
      </c>
      <c r="E3296" s="2" t="s">
        <v>16</v>
      </c>
      <c r="F3296" s="2">
        <v>57.5</v>
      </c>
      <c r="G3296" s="2">
        <v>6</v>
      </c>
      <c r="H3296" s="2">
        <v>20.13</v>
      </c>
      <c r="I3296" t="str">
        <f t="shared" si="51"/>
        <v>Oct</v>
      </c>
      <c r="J3296">
        <f>YEAR(datas[[#This Row],[Order Date]])</f>
        <v>2022</v>
      </c>
    </row>
    <row r="3297" spans="1:10" ht="14.25" customHeight="1" x14ac:dyDescent="0.3">
      <c r="A3297" s="1">
        <v>44836</v>
      </c>
      <c r="B3297" s="2" t="s">
        <v>429</v>
      </c>
      <c r="C3297" s="2" t="s">
        <v>87</v>
      </c>
      <c r="D3297" s="2" t="s">
        <v>10</v>
      </c>
      <c r="E3297" s="2" t="s">
        <v>11</v>
      </c>
      <c r="F3297" s="2">
        <v>94.85</v>
      </c>
      <c r="G3297" s="2">
        <v>5</v>
      </c>
      <c r="H3297" s="2">
        <v>45.53</v>
      </c>
      <c r="I3297" t="str">
        <f t="shared" si="51"/>
        <v>Oct</v>
      </c>
      <c r="J3297">
        <f>YEAR(datas[[#This Row],[Order Date]])</f>
        <v>2022</v>
      </c>
    </row>
    <row r="3298" spans="1:10" ht="14.25" customHeight="1" x14ac:dyDescent="0.3">
      <c r="A3298" s="1">
        <v>44836</v>
      </c>
      <c r="B3298" s="2" t="s">
        <v>429</v>
      </c>
      <c r="C3298" s="2" t="s">
        <v>87</v>
      </c>
      <c r="D3298" s="2" t="s">
        <v>10</v>
      </c>
      <c r="E3298" s="2" t="s">
        <v>41</v>
      </c>
      <c r="F3298" s="2">
        <v>51.12</v>
      </c>
      <c r="G3298" s="2">
        <v>4</v>
      </c>
      <c r="H3298" s="2">
        <v>23</v>
      </c>
      <c r="I3298" t="str">
        <f t="shared" si="51"/>
        <v>Oct</v>
      </c>
      <c r="J3298">
        <f>YEAR(datas[[#This Row],[Order Date]])</f>
        <v>2022</v>
      </c>
    </row>
    <row r="3299" spans="1:10" ht="14.25" customHeight="1" x14ac:dyDescent="0.3">
      <c r="A3299" s="1">
        <v>44836</v>
      </c>
      <c r="B3299" s="2" t="s">
        <v>429</v>
      </c>
      <c r="C3299" s="2" t="s">
        <v>87</v>
      </c>
      <c r="D3299" s="2" t="s">
        <v>28</v>
      </c>
      <c r="E3299" s="2" t="s">
        <v>34</v>
      </c>
      <c r="F3299" s="2">
        <v>90</v>
      </c>
      <c r="G3299" s="2">
        <v>1</v>
      </c>
      <c r="H3299" s="2">
        <v>32.4</v>
      </c>
      <c r="I3299" t="str">
        <f t="shared" si="51"/>
        <v>Oct</v>
      </c>
      <c r="J3299">
        <f>YEAR(datas[[#This Row],[Order Date]])</f>
        <v>2022</v>
      </c>
    </row>
    <row r="3300" spans="1:10" ht="14.25" customHeight="1" x14ac:dyDescent="0.3">
      <c r="A3300" s="1">
        <v>44836</v>
      </c>
      <c r="B3300" s="2" t="s">
        <v>502</v>
      </c>
      <c r="C3300" s="2" t="s">
        <v>21</v>
      </c>
      <c r="D3300" s="2" t="s">
        <v>10</v>
      </c>
      <c r="E3300" s="2" t="s">
        <v>15</v>
      </c>
      <c r="F3300" s="2">
        <v>270.33999999999997</v>
      </c>
      <c r="G3300" s="2">
        <v>14</v>
      </c>
      <c r="H3300" s="2">
        <v>75.7</v>
      </c>
      <c r="I3300" t="str">
        <f t="shared" si="51"/>
        <v>Oct</v>
      </c>
      <c r="J3300">
        <f>YEAR(datas[[#This Row],[Order Date]])</f>
        <v>2022</v>
      </c>
    </row>
    <row r="3301" spans="1:10" ht="14.25" customHeight="1" x14ac:dyDescent="0.3">
      <c r="A3301" s="1">
        <v>44836</v>
      </c>
      <c r="B3301" s="2" t="s">
        <v>122</v>
      </c>
      <c r="C3301" s="2" t="s">
        <v>115</v>
      </c>
      <c r="D3301" s="2" t="s">
        <v>10</v>
      </c>
      <c r="E3301" s="2" t="s">
        <v>16</v>
      </c>
      <c r="F3301" s="2">
        <v>7.38</v>
      </c>
      <c r="G3301" s="2">
        <v>5</v>
      </c>
      <c r="H3301" s="2">
        <v>-5.41</v>
      </c>
      <c r="I3301" t="str">
        <f t="shared" si="51"/>
        <v>Oct</v>
      </c>
      <c r="J3301">
        <f>YEAR(datas[[#This Row],[Order Date]])</f>
        <v>2022</v>
      </c>
    </row>
    <row r="3302" spans="1:10" ht="14.25" customHeight="1" x14ac:dyDescent="0.3">
      <c r="A3302" s="1">
        <v>44836</v>
      </c>
      <c r="B3302" s="2" t="s">
        <v>773</v>
      </c>
      <c r="C3302" s="2" t="s">
        <v>21</v>
      </c>
      <c r="D3302" s="2" t="s">
        <v>10</v>
      </c>
      <c r="E3302" s="2" t="s">
        <v>16</v>
      </c>
      <c r="F3302" s="2">
        <v>11.81</v>
      </c>
      <c r="G3302" s="2">
        <v>3</v>
      </c>
      <c r="H3302" s="2">
        <v>4.13</v>
      </c>
      <c r="I3302" t="str">
        <f t="shared" si="51"/>
        <v>Oct</v>
      </c>
      <c r="J3302">
        <f>YEAR(datas[[#This Row],[Order Date]])</f>
        <v>2022</v>
      </c>
    </row>
    <row r="3303" spans="1:10" ht="14.25" customHeight="1" x14ac:dyDescent="0.3">
      <c r="A3303" s="1">
        <v>44836</v>
      </c>
      <c r="B3303" s="2" t="s">
        <v>773</v>
      </c>
      <c r="C3303" s="2" t="s">
        <v>21</v>
      </c>
      <c r="D3303" s="2" t="s">
        <v>10</v>
      </c>
      <c r="E3303" s="2" t="s">
        <v>16</v>
      </c>
      <c r="F3303" s="2">
        <v>53.57</v>
      </c>
      <c r="G3303" s="2">
        <v>4</v>
      </c>
      <c r="H3303" s="2">
        <v>19.420000000000002</v>
      </c>
      <c r="I3303" t="str">
        <f t="shared" si="51"/>
        <v>Oct</v>
      </c>
      <c r="J3303">
        <f>YEAR(datas[[#This Row],[Order Date]])</f>
        <v>2022</v>
      </c>
    </row>
    <row r="3304" spans="1:10" ht="14.25" customHeight="1" x14ac:dyDescent="0.3">
      <c r="A3304" s="1">
        <v>44836</v>
      </c>
      <c r="B3304" s="2" t="s">
        <v>773</v>
      </c>
      <c r="C3304" s="2" t="s">
        <v>21</v>
      </c>
      <c r="D3304" s="2" t="s">
        <v>28</v>
      </c>
      <c r="E3304" s="2" t="s">
        <v>29</v>
      </c>
      <c r="F3304" s="2">
        <v>503.96</v>
      </c>
      <c r="G3304" s="2">
        <v>5</v>
      </c>
      <c r="H3304" s="2">
        <v>50.4</v>
      </c>
      <c r="I3304" t="str">
        <f t="shared" si="51"/>
        <v>Oct</v>
      </c>
      <c r="J3304">
        <f>YEAR(datas[[#This Row],[Order Date]])</f>
        <v>2022</v>
      </c>
    </row>
    <row r="3305" spans="1:10" ht="14.25" customHeight="1" x14ac:dyDescent="0.3">
      <c r="A3305" s="1">
        <v>44836</v>
      </c>
      <c r="B3305" s="2" t="s">
        <v>706</v>
      </c>
      <c r="C3305" s="2" t="s">
        <v>248</v>
      </c>
      <c r="D3305" s="2" t="s">
        <v>10</v>
      </c>
      <c r="E3305" s="2" t="s">
        <v>16</v>
      </c>
      <c r="F3305" s="2">
        <v>26.9</v>
      </c>
      <c r="G3305" s="2">
        <v>5</v>
      </c>
      <c r="H3305" s="2">
        <v>13.18</v>
      </c>
      <c r="I3305" t="str">
        <f t="shared" si="51"/>
        <v>Oct</v>
      </c>
      <c r="J3305">
        <f>YEAR(datas[[#This Row],[Order Date]])</f>
        <v>2022</v>
      </c>
    </row>
    <row r="3306" spans="1:10" ht="14.25" customHeight="1" x14ac:dyDescent="0.3">
      <c r="A3306" s="1">
        <v>44836</v>
      </c>
      <c r="B3306" s="2" t="s">
        <v>389</v>
      </c>
      <c r="C3306" s="2" t="s">
        <v>215</v>
      </c>
      <c r="D3306" s="2" t="s">
        <v>10</v>
      </c>
      <c r="E3306" s="2" t="s">
        <v>11</v>
      </c>
      <c r="F3306" s="2">
        <v>19.440000000000001</v>
      </c>
      <c r="G3306" s="2">
        <v>3</v>
      </c>
      <c r="H3306" s="2">
        <v>9.33</v>
      </c>
      <c r="I3306" t="str">
        <f t="shared" si="51"/>
        <v>Oct</v>
      </c>
      <c r="J3306">
        <f>YEAR(datas[[#This Row],[Order Date]])</f>
        <v>2022</v>
      </c>
    </row>
    <row r="3307" spans="1:10" ht="14.25" customHeight="1" x14ac:dyDescent="0.3">
      <c r="A3307" s="1">
        <v>44836</v>
      </c>
      <c r="B3307" s="2" t="s">
        <v>389</v>
      </c>
      <c r="C3307" s="2" t="s">
        <v>215</v>
      </c>
      <c r="D3307" s="2" t="s">
        <v>10</v>
      </c>
      <c r="E3307" s="2" t="s">
        <v>16</v>
      </c>
      <c r="F3307" s="2">
        <v>7.38</v>
      </c>
      <c r="G3307" s="2">
        <v>1</v>
      </c>
      <c r="H3307" s="2">
        <v>3.62</v>
      </c>
      <c r="I3307" t="str">
        <f t="shared" si="51"/>
        <v>Oct</v>
      </c>
      <c r="J3307">
        <f>YEAR(datas[[#This Row],[Order Date]])</f>
        <v>2022</v>
      </c>
    </row>
    <row r="3308" spans="1:10" ht="14.25" customHeight="1" x14ac:dyDescent="0.3">
      <c r="A3308" s="1">
        <v>44836</v>
      </c>
      <c r="B3308" s="2" t="s">
        <v>285</v>
      </c>
      <c r="C3308" s="2" t="s">
        <v>126</v>
      </c>
      <c r="D3308" s="2" t="s">
        <v>10</v>
      </c>
      <c r="E3308" s="2" t="s">
        <v>95</v>
      </c>
      <c r="F3308" s="2">
        <v>10.94</v>
      </c>
      <c r="G3308" s="2">
        <v>2</v>
      </c>
      <c r="H3308" s="2">
        <v>0.96</v>
      </c>
      <c r="I3308" t="str">
        <f t="shared" si="51"/>
        <v>Oct</v>
      </c>
      <c r="J3308">
        <f>YEAR(datas[[#This Row],[Order Date]])</f>
        <v>2022</v>
      </c>
    </row>
    <row r="3309" spans="1:10" ht="14.25" customHeight="1" x14ac:dyDescent="0.3">
      <c r="A3309" s="1">
        <v>44836</v>
      </c>
      <c r="B3309" s="2" t="s">
        <v>127</v>
      </c>
      <c r="C3309" s="2" t="s">
        <v>52</v>
      </c>
      <c r="D3309" s="2" t="s">
        <v>26</v>
      </c>
      <c r="E3309" s="2" t="s">
        <v>32</v>
      </c>
      <c r="F3309" s="2">
        <v>11.03</v>
      </c>
      <c r="G3309" s="2">
        <v>1</v>
      </c>
      <c r="H3309" s="2">
        <v>3.03</v>
      </c>
      <c r="I3309" t="str">
        <f t="shared" si="51"/>
        <v>Oct</v>
      </c>
      <c r="J3309">
        <f>YEAR(datas[[#This Row],[Order Date]])</f>
        <v>2022</v>
      </c>
    </row>
    <row r="3310" spans="1:10" ht="14.25" customHeight="1" x14ac:dyDescent="0.3">
      <c r="A3310" s="1">
        <v>44836</v>
      </c>
      <c r="B3310" s="2" t="s">
        <v>127</v>
      </c>
      <c r="C3310" s="2" t="s">
        <v>52</v>
      </c>
      <c r="D3310" s="2" t="s">
        <v>28</v>
      </c>
      <c r="E3310" s="2" t="s">
        <v>34</v>
      </c>
      <c r="F3310" s="2">
        <v>53.04</v>
      </c>
      <c r="G3310" s="2">
        <v>3</v>
      </c>
      <c r="H3310" s="2">
        <v>-4.6399999999999997</v>
      </c>
      <c r="I3310" t="str">
        <f t="shared" si="51"/>
        <v>Oct</v>
      </c>
      <c r="J3310">
        <f>YEAR(datas[[#This Row],[Order Date]])</f>
        <v>2022</v>
      </c>
    </row>
    <row r="3311" spans="1:10" ht="14.25" customHeight="1" x14ac:dyDescent="0.3">
      <c r="A3311" s="1">
        <v>44837</v>
      </c>
      <c r="B3311" s="2" t="s">
        <v>307</v>
      </c>
      <c r="C3311" s="2" t="s">
        <v>47</v>
      </c>
      <c r="D3311" s="2" t="s">
        <v>10</v>
      </c>
      <c r="E3311" s="2" t="s">
        <v>16</v>
      </c>
      <c r="F3311" s="2">
        <v>32.07</v>
      </c>
      <c r="G3311" s="2">
        <v>5</v>
      </c>
      <c r="H3311" s="2">
        <v>-22.45</v>
      </c>
      <c r="I3311" t="str">
        <f t="shared" si="51"/>
        <v>Oct</v>
      </c>
      <c r="J3311">
        <f>YEAR(datas[[#This Row],[Order Date]])</f>
        <v>2022</v>
      </c>
    </row>
    <row r="3312" spans="1:10" ht="14.25" customHeight="1" x14ac:dyDescent="0.3">
      <c r="A3312" s="1">
        <v>44837</v>
      </c>
      <c r="B3312" s="2" t="s">
        <v>307</v>
      </c>
      <c r="C3312" s="2" t="s">
        <v>47</v>
      </c>
      <c r="D3312" s="2" t="s">
        <v>28</v>
      </c>
      <c r="E3312" s="2" t="s">
        <v>34</v>
      </c>
      <c r="F3312" s="2">
        <v>24</v>
      </c>
      <c r="G3312" s="2">
        <v>2</v>
      </c>
      <c r="H3312" s="2">
        <v>-2.7</v>
      </c>
      <c r="I3312" t="str">
        <f t="shared" si="51"/>
        <v>Oct</v>
      </c>
      <c r="J3312">
        <f>YEAR(datas[[#This Row],[Order Date]])</f>
        <v>2022</v>
      </c>
    </row>
    <row r="3313" spans="1:10" ht="14.25" customHeight="1" x14ac:dyDescent="0.3">
      <c r="A3313" s="1">
        <v>44837</v>
      </c>
      <c r="B3313" s="2" t="s">
        <v>307</v>
      </c>
      <c r="C3313" s="2" t="s">
        <v>47</v>
      </c>
      <c r="D3313" s="2" t="s">
        <v>26</v>
      </c>
      <c r="E3313" s="2" t="s">
        <v>45</v>
      </c>
      <c r="F3313" s="2">
        <v>35.49</v>
      </c>
      <c r="G3313" s="2">
        <v>1</v>
      </c>
      <c r="H3313" s="2">
        <v>-15.62</v>
      </c>
      <c r="I3313" t="str">
        <f t="shared" si="51"/>
        <v>Oct</v>
      </c>
      <c r="J3313">
        <f>YEAR(datas[[#This Row],[Order Date]])</f>
        <v>2022</v>
      </c>
    </row>
    <row r="3314" spans="1:10" ht="14.25" customHeight="1" x14ac:dyDescent="0.3">
      <c r="A3314" s="1">
        <v>44837</v>
      </c>
      <c r="B3314" s="2" t="s">
        <v>307</v>
      </c>
      <c r="C3314" s="2" t="s">
        <v>47</v>
      </c>
      <c r="D3314" s="2" t="s">
        <v>28</v>
      </c>
      <c r="E3314" s="2" t="s">
        <v>34</v>
      </c>
      <c r="F3314" s="2">
        <v>47.98</v>
      </c>
      <c r="G3314" s="2">
        <v>2</v>
      </c>
      <c r="H3314" s="2">
        <v>0.6</v>
      </c>
      <c r="I3314" t="str">
        <f t="shared" si="51"/>
        <v>Oct</v>
      </c>
      <c r="J3314">
        <f>YEAR(datas[[#This Row],[Order Date]])</f>
        <v>2022</v>
      </c>
    </row>
    <row r="3315" spans="1:10" ht="14.25" customHeight="1" x14ac:dyDescent="0.3">
      <c r="A3315" s="1">
        <v>44837</v>
      </c>
      <c r="B3315" s="2" t="s">
        <v>186</v>
      </c>
      <c r="C3315" s="2" t="s">
        <v>18</v>
      </c>
      <c r="D3315" s="2" t="s">
        <v>10</v>
      </c>
      <c r="E3315" s="2" t="s">
        <v>15</v>
      </c>
      <c r="F3315" s="2">
        <v>15.01</v>
      </c>
      <c r="G3315" s="2">
        <v>2</v>
      </c>
      <c r="H3315" s="2">
        <v>1.5</v>
      </c>
      <c r="I3315" t="str">
        <f t="shared" si="51"/>
        <v>Oct</v>
      </c>
      <c r="J3315">
        <f>YEAR(datas[[#This Row],[Order Date]])</f>
        <v>2022</v>
      </c>
    </row>
    <row r="3316" spans="1:10" ht="14.25" customHeight="1" x14ac:dyDescent="0.3">
      <c r="A3316" s="1">
        <v>44837</v>
      </c>
      <c r="B3316" s="2" t="s">
        <v>272</v>
      </c>
      <c r="C3316" s="2" t="s">
        <v>21</v>
      </c>
      <c r="D3316" s="2" t="s">
        <v>26</v>
      </c>
      <c r="E3316" s="2" t="s">
        <v>45</v>
      </c>
      <c r="F3316" s="2">
        <v>120.67</v>
      </c>
      <c r="G3316" s="2">
        <v>2</v>
      </c>
      <c r="H3316" s="2">
        <v>18.45</v>
      </c>
      <c r="I3316" t="str">
        <f t="shared" si="51"/>
        <v>Oct</v>
      </c>
      <c r="J3316">
        <f>YEAR(datas[[#This Row],[Order Date]])</f>
        <v>2022</v>
      </c>
    </row>
    <row r="3317" spans="1:10" ht="14.25" customHeight="1" x14ac:dyDescent="0.3">
      <c r="A3317" s="1">
        <v>44838</v>
      </c>
      <c r="B3317" s="2" t="s">
        <v>633</v>
      </c>
      <c r="C3317" s="2" t="s">
        <v>23</v>
      </c>
      <c r="D3317" s="2" t="s">
        <v>26</v>
      </c>
      <c r="E3317" s="2" t="s">
        <v>27</v>
      </c>
      <c r="F3317" s="2">
        <v>392.94</v>
      </c>
      <c r="G3317" s="2">
        <v>3</v>
      </c>
      <c r="H3317" s="2">
        <v>43.22</v>
      </c>
      <c r="I3317" t="str">
        <f t="shared" si="51"/>
        <v>Oct</v>
      </c>
      <c r="J3317">
        <f>YEAR(datas[[#This Row],[Order Date]])</f>
        <v>2022</v>
      </c>
    </row>
    <row r="3318" spans="1:10" ht="14.25" customHeight="1" x14ac:dyDescent="0.3">
      <c r="A3318" s="1">
        <v>44838</v>
      </c>
      <c r="B3318" s="2" t="s">
        <v>175</v>
      </c>
      <c r="C3318" s="2" t="s">
        <v>21</v>
      </c>
      <c r="D3318" s="2" t="s">
        <v>10</v>
      </c>
      <c r="E3318" s="2" t="s">
        <v>15</v>
      </c>
      <c r="F3318" s="2">
        <v>26.96</v>
      </c>
      <c r="G3318" s="2">
        <v>2</v>
      </c>
      <c r="H3318" s="2">
        <v>7.01</v>
      </c>
      <c r="I3318" t="str">
        <f t="shared" si="51"/>
        <v>Oct</v>
      </c>
      <c r="J3318">
        <f>YEAR(datas[[#This Row],[Order Date]])</f>
        <v>2022</v>
      </c>
    </row>
    <row r="3319" spans="1:10" ht="14.25" customHeight="1" x14ac:dyDescent="0.3">
      <c r="A3319" s="1">
        <v>44838</v>
      </c>
      <c r="B3319" s="2" t="s">
        <v>560</v>
      </c>
      <c r="C3319" s="2" t="s">
        <v>18</v>
      </c>
      <c r="D3319" s="2" t="s">
        <v>26</v>
      </c>
      <c r="E3319" s="2" t="s">
        <v>32</v>
      </c>
      <c r="F3319" s="2">
        <v>64.94</v>
      </c>
      <c r="G3319" s="2">
        <v>3</v>
      </c>
      <c r="H3319" s="2">
        <v>6.49</v>
      </c>
      <c r="I3319" t="str">
        <f t="shared" si="51"/>
        <v>Oct</v>
      </c>
      <c r="J3319">
        <f>YEAR(datas[[#This Row],[Order Date]])</f>
        <v>2022</v>
      </c>
    </row>
    <row r="3320" spans="1:10" ht="14.25" customHeight="1" x14ac:dyDescent="0.3">
      <c r="A3320" s="1">
        <v>44838</v>
      </c>
      <c r="B3320" s="2" t="s">
        <v>560</v>
      </c>
      <c r="C3320" s="2" t="s">
        <v>18</v>
      </c>
      <c r="D3320" s="2" t="s">
        <v>10</v>
      </c>
      <c r="E3320" s="2" t="s">
        <v>11</v>
      </c>
      <c r="F3320" s="2">
        <v>20.74</v>
      </c>
      <c r="G3320" s="2">
        <v>4</v>
      </c>
      <c r="H3320" s="2">
        <v>7.26</v>
      </c>
      <c r="I3320" t="str">
        <f t="shared" si="51"/>
        <v>Oct</v>
      </c>
      <c r="J3320">
        <f>YEAR(datas[[#This Row],[Order Date]])</f>
        <v>2022</v>
      </c>
    </row>
    <row r="3321" spans="1:10" ht="14.25" customHeight="1" x14ac:dyDescent="0.3">
      <c r="A3321" s="1">
        <v>44839</v>
      </c>
      <c r="B3321" s="2" t="s">
        <v>774</v>
      </c>
      <c r="C3321" s="2" t="s">
        <v>36</v>
      </c>
      <c r="D3321" s="2" t="s">
        <v>10</v>
      </c>
      <c r="E3321" s="2" t="s">
        <v>19</v>
      </c>
      <c r="F3321" s="2">
        <v>46.2</v>
      </c>
      <c r="G3321" s="2">
        <v>4</v>
      </c>
      <c r="H3321" s="2">
        <v>12.94</v>
      </c>
      <c r="I3321" t="str">
        <f t="shared" si="51"/>
        <v>Oct</v>
      </c>
      <c r="J3321">
        <f>YEAR(datas[[#This Row],[Order Date]])</f>
        <v>2022</v>
      </c>
    </row>
    <row r="3322" spans="1:10" ht="14.25" customHeight="1" x14ac:dyDescent="0.3">
      <c r="A3322" s="1">
        <v>44839</v>
      </c>
      <c r="B3322" s="2" t="s">
        <v>774</v>
      </c>
      <c r="C3322" s="2" t="s">
        <v>36</v>
      </c>
      <c r="D3322" s="2" t="s">
        <v>10</v>
      </c>
      <c r="E3322" s="2" t="s">
        <v>53</v>
      </c>
      <c r="F3322" s="2">
        <v>28.84</v>
      </c>
      <c r="G3322" s="2">
        <v>2</v>
      </c>
      <c r="H3322" s="2">
        <v>9.52</v>
      </c>
      <c r="I3322" t="str">
        <f t="shared" si="51"/>
        <v>Oct</v>
      </c>
      <c r="J3322">
        <f>YEAR(datas[[#This Row],[Order Date]])</f>
        <v>2022</v>
      </c>
    </row>
    <row r="3323" spans="1:10" ht="14.25" customHeight="1" x14ac:dyDescent="0.3">
      <c r="A3323" s="1">
        <v>44839</v>
      </c>
      <c r="B3323" s="2" t="s">
        <v>543</v>
      </c>
      <c r="C3323" s="2" t="s">
        <v>38</v>
      </c>
      <c r="D3323" s="2" t="s">
        <v>10</v>
      </c>
      <c r="E3323" s="2" t="s">
        <v>15</v>
      </c>
      <c r="F3323" s="2">
        <v>77.55</v>
      </c>
      <c r="G3323" s="2">
        <v>5</v>
      </c>
      <c r="H3323" s="2">
        <v>21.71</v>
      </c>
      <c r="I3323" t="str">
        <f t="shared" si="51"/>
        <v>Oct</v>
      </c>
      <c r="J3323">
        <f>YEAR(datas[[#This Row],[Order Date]])</f>
        <v>2022</v>
      </c>
    </row>
    <row r="3324" spans="1:10" ht="14.25" customHeight="1" x14ac:dyDescent="0.3">
      <c r="A3324" s="1">
        <v>44839</v>
      </c>
      <c r="B3324" s="2" t="s">
        <v>407</v>
      </c>
      <c r="C3324" s="2" t="s">
        <v>47</v>
      </c>
      <c r="D3324" s="2" t="s">
        <v>28</v>
      </c>
      <c r="E3324" s="2" t="s">
        <v>34</v>
      </c>
      <c r="F3324" s="2">
        <v>53.04</v>
      </c>
      <c r="G3324" s="2">
        <v>3</v>
      </c>
      <c r="H3324" s="2">
        <v>-4.6399999999999997</v>
      </c>
      <c r="I3324" t="str">
        <f t="shared" si="51"/>
        <v>Oct</v>
      </c>
      <c r="J3324">
        <f>YEAR(datas[[#This Row],[Order Date]])</f>
        <v>2022</v>
      </c>
    </row>
    <row r="3325" spans="1:10" ht="14.25" customHeight="1" x14ac:dyDescent="0.3">
      <c r="A3325" s="1">
        <v>44839</v>
      </c>
      <c r="B3325" s="2" t="s">
        <v>538</v>
      </c>
      <c r="C3325" s="2" t="s">
        <v>52</v>
      </c>
      <c r="D3325" s="2" t="s">
        <v>26</v>
      </c>
      <c r="E3325" s="2" t="s">
        <v>45</v>
      </c>
      <c r="F3325" s="2">
        <v>66.290000000000006</v>
      </c>
      <c r="G3325" s="2">
        <v>1</v>
      </c>
      <c r="H3325" s="2">
        <v>-103.86</v>
      </c>
      <c r="I3325" t="str">
        <f t="shared" si="51"/>
        <v>Oct</v>
      </c>
      <c r="J3325">
        <f>YEAR(datas[[#This Row],[Order Date]])</f>
        <v>2022</v>
      </c>
    </row>
    <row r="3326" spans="1:10" ht="14.25" customHeight="1" x14ac:dyDescent="0.3">
      <c r="A3326" s="1">
        <v>44839</v>
      </c>
      <c r="B3326" s="2" t="s">
        <v>538</v>
      </c>
      <c r="C3326" s="2" t="s">
        <v>52</v>
      </c>
      <c r="D3326" s="2" t="s">
        <v>26</v>
      </c>
      <c r="E3326" s="2" t="s">
        <v>27</v>
      </c>
      <c r="F3326" s="2">
        <v>291.17</v>
      </c>
      <c r="G3326" s="2">
        <v>4</v>
      </c>
      <c r="H3326" s="2">
        <v>-14.56</v>
      </c>
      <c r="I3326" t="str">
        <f t="shared" si="51"/>
        <v>Oct</v>
      </c>
      <c r="J3326">
        <f>YEAR(datas[[#This Row],[Order Date]])</f>
        <v>2022</v>
      </c>
    </row>
    <row r="3327" spans="1:10" ht="14.25" customHeight="1" x14ac:dyDescent="0.3">
      <c r="A3327" s="1">
        <v>44839</v>
      </c>
      <c r="B3327" s="2" t="s">
        <v>394</v>
      </c>
      <c r="C3327" s="2" t="s">
        <v>47</v>
      </c>
      <c r="D3327" s="2" t="s">
        <v>28</v>
      </c>
      <c r="E3327" s="2" t="s">
        <v>34</v>
      </c>
      <c r="F3327" s="2">
        <v>288</v>
      </c>
      <c r="G3327" s="2">
        <v>4</v>
      </c>
      <c r="H3327" s="2">
        <v>57.6</v>
      </c>
      <c r="I3327" t="str">
        <f t="shared" si="51"/>
        <v>Oct</v>
      </c>
      <c r="J3327">
        <f>YEAR(datas[[#This Row],[Order Date]])</f>
        <v>2022</v>
      </c>
    </row>
    <row r="3328" spans="1:10" ht="14.25" customHeight="1" x14ac:dyDescent="0.3">
      <c r="A3328" s="1">
        <v>44842</v>
      </c>
      <c r="B3328" s="2" t="s">
        <v>407</v>
      </c>
      <c r="C3328" s="2" t="s">
        <v>21</v>
      </c>
      <c r="D3328" s="2" t="s">
        <v>26</v>
      </c>
      <c r="E3328" s="2" t="s">
        <v>32</v>
      </c>
      <c r="F3328" s="2">
        <v>145.9</v>
      </c>
      <c r="G3328" s="2">
        <v>5</v>
      </c>
      <c r="H3328" s="2">
        <v>62.74</v>
      </c>
      <c r="I3328" t="str">
        <f t="shared" si="51"/>
        <v>Oct</v>
      </c>
      <c r="J3328">
        <f>YEAR(datas[[#This Row],[Order Date]])</f>
        <v>2022</v>
      </c>
    </row>
    <row r="3329" spans="1:10" ht="14.25" customHeight="1" x14ac:dyDescent="0.3">
      <c r="A3329" s="1">
        <v>44842</v>
      </c>
      <c r="B3329" s="2" t="s">
        <v>614</v>
      </c>
      <c r="C3329" s="2" t="s">
        <v>9</v>
      </c>
      <c r="D3329" s="2" t="s">
        <v>10</v>
      </c>
      <c r="E3329" s="2" t="s">
        <v>19</v>
      </c>
      <c r="F3329" s="2">
        <v>3.44</v>
      </c>
      <c r="G3329" s="2">
        <v>2</v>
      </c>
      <c r="H3329" s="2">
        <v>0.56000000000000005</v>
      </c>
      <c r="I3329" t="str">
        <f t="shared" si="51"/>
        <v>Oct</v>
      </c>
      <c r="J3329">
        <f>YEAR(datas[[#This Row],[Order Date]])</f>
        <v>2022</v>
      </c>
    </row>
    <row r="3330" spans="1:10" ht="14.25" customHeight="1" x14ac:dyDescent="0.3">
      <c r="A3330" s="1">
        <v>44842</v>
      </c>
      <c r="B3330" s="2" t="s">
        <v>775</v>
      </c>
      <c r="C3330" s="2" t="s">
        <v>9</v>
      </c>
      <c r="D3330" s="2" t="s">
        <v>26</v>
      </c>
      <c r="E3330" s="2" t="s">
        <v>32</v>
      </c>
      <c r="F3330" s="2">
        <v>72.78</v>
      </c>
      <c r="G3330" s="2">
        <v>3</v>
      </c>
      <c r="H3330" s="2">
        <v>-70.959999999999994</v>
      </c>
      <c r="I3330" t="str">
        <f t="shared" si="51"/>
        <v>Oct</v>
      </c>
      <c r="J3330">
        <f>YEAR(datas[[#This Row],[Order Date]])</f>
        <v>2022</v>
      </c>
    </row>
    <row r="3331" spans="1:10" ht="14.25" customHeight="1" x14ac:dyDescent="0.3">
      <c r="A3331" s="1">
        <v>44843</v>
      </c>
      <c r="B3331" s="2" t="s">
        <v>682</v>
      </c>
      <c r="C3331" s="2" t="s">
        <v>36</v>
      </c>
      <c r="D3331" s="2" t="s">
        <v>10</v>
      </c>
      <c r="E3331" s="2" t="s">
        <v>15</v>
      </c>
      <c r="F3331" s="2">
        <v>30.84</v>
      </c>
      <c r="G3331" s="2">
        <v>2</v>
      </c>
      <c r="H3331" s="2">
        <v>8.33</v>
      </c>
      <c r="I3331" t="str">
        <f t="shared" ref="I3331:I3394" si="52">TEXT(A3331,"mmm")</f>
        <v>Oct</v>
      </c>
      <c r="J3331">
        <f>YEAR(datas[[#This Row],[Order Date]])</f>
        <v>2022</v>
      </c>
    </row>
    <row r="3332" spans="1:10" ht="14.25" customHeight="1" x14ac:dyDescent="0.3">
      <c r="A3332" s="1">
        <v>44843</v>
      </c>
      <c r="B3332" s="2" t="s">
        <v>632</v>
      </c>
      <c r="C3332" s="2" t="s">
        <v>75</v>
      </c>
      <c r="D3332" s="2" t="s">
        <v>28</v>
      </c>
      <c r="E3332" s="2" t="s">
        <v>29</v>
      </c>
      <c r="F3332" s="2">
        <v>631.96</v>
      </c>
      <c r="G3332" s="2">
        <v>4</v>
      </c>
      <c r="H3332" s="2">
        <v>303.33999999999997</v>
      </c>
      <c r="I3332" t="str">
        <f t="shared" si="52"/>
        <v>Oct</v>
      </c>
      <c r="J3332">
        <f>YEAR(datas[[#This Row],[Order Date]])</f>
        <v>2022</v>
      </c>
    </row>
    <row r="3333" spans="1:10" ht="14.25" customHeight="1" x14ac:dyDescent="0.3">
      <c r="A3333" s="1">
        <v>44843</v>
      </c>
      <c r="B3333" s="2" t="s">
        <v>632</v>
      </c>
      <c r="C3333" s="2" t="s">
        <v>75</v>
      </c>
      <c r="D3333" s="2" t="s">
        <v>10</v>
      </c>
      <c r="E3333" s="2" t="s">
        <v>11</v>
      </c>
      <c r="F3333" s="2">
        <v>23.92</v>
      </c>
      <c r="G3333" s="2">
        <v>4</v>
      </c>
      <c r="H3333" s="2">
        <v>10.76</v>
      </c>
      <c r="I3333" t="str">
        <f t="shared" si="52"/>
        <v>Oct</v>
      </c>
      <c r="J3333">
        <f>YEAR(datas[[#This Row],[Order Date]])</f>
        <v>2022</v>
      </c>
    </row>
    <row r="3334" spans="1:10" ht="14.25" customHeight="1" x14ac:dyDescent="0.3">
      <c r="A3334" s="1">
        <v>44843</v>
      </c>
      <c r="B3334" s="2" t="s">
        <v>359</v>
      </c>
      <c r="C3334" s="2" t="s">
        <v>60</v>
      </c>
      <c r="D3334" s="2" t="s">
        <v>28</v>
      </c>
      <c r="E3334" s="2" t="s">
        <v>34</v>
      </c>
      <c r="F3334" s="2">
        <v>619.95000000000005</v>
      </c>
      <c r="G3334" s="2">
        <v>5</v>
      </c>
      <c r="H3334" s="2">
        <v>111.59</v>
      </c>
      <c r="I3334" t="str">
        <f t="shared" si="52"/>
        <v>Oct</v>
      </c>
      <c r="J3334">
        <f>YEAR(datas[[#This Row],[Order Date]])</f>
        <v>2022</v>
      </c>
    </row>
    <row r="3335" spans="1:10" ht="14.25" customHeight="1" x14ac:dyDescent="0.3">
      <c r="A3335" s="1">
        <v>44843</v>
      </c>
      <c r="B3335" s="2" t="s">
        <v>359</v>
      </c>
      <c r="C3335" s="2" t="s">
        <v>60</v>
      </c>
      <c r="D3335" s="2" t="s">
        <v>28</v>
      </c>
      <c r="E3335" s="2" t="s">
        <v>29</v>
      </c>
      <c r="F3335" s="2">
        <v>29.16</v>
      </c>
      <c r="G3335" s="2">
        <v>3</v>
      </c>
      <c r="H3335" s="2">
        <v>8.4600000000000009</v>
      </c>
      <c r="I3335" t="str">
        <f t="shared" si="52"/>
        <v>Oct</v>
      </c>
      <c r="J3335">
        <f>YEAR(datas[[#This Row],[Order Date]])</f>
        <v>2022</v>
      </c>
    </row>
    <row r="3336" spans="1:10" ht="14.25" customHeight="1" x14ac:dyDescent="0.3">
      <c r="A3336" s="1">
        <v>44843</v>
      </c>
      <c r="B3336" s="2" t="s">
        <v>359</v>
      </c>
      <c r="C3336" s="2" t="s">
        <v>60</v>
      </c>
      <c r="D3336" s="2" t="s">
        <v>10</v>
      </c>
      <c r="E3336" s="2" t="s">
        <v>41</v>
      </c>
      <c r="F3336" s="2">
        <v>57.96</v>
      </c>
      <c r="G3336" s="2">
        <v>7</v>
      </c>
      <c r="H3336" s="2">
        <v>27.24</v>
      </c>
      <c r="I3336" t="str">
        <f t="shared" si="52"/>
        <v>Oct</v>
      </c>
      <c r="J3336">
        <f>YEAR(datas[[#This Row],[Order Date]])</f>
        <v>2022</v>
      </c>
    </row>
    <row r="3337" spans="1:10" ht="14.25" customHeight="1" x14ac:dyDescent="0.3">
      <c r="A3337" s="1">
        <v>44843</v>
      </c>
      <c r="B3337" s="2" t="s">
        <v>359</v>
      </c>
      <c r="C3337" s="2" t="s">
        <v>60</v>
      </c>
      <c r="D3337" s="2" t="s">
        <v>10</v>
      </c>
      <c r="E3337" s="2" t="s">
        <v>53</v>
      </c>
      <c r="F3337" s="2">
        <v>29.4</v>
      </c>
      <c r="G3337" s="2">
        <v>3</v>
      </c>
      <c r="H3337" s="2">
        <v>5.23</v>
      </c>
      <c r="I3337" t="str">
        <f t="shared" si="52"/>
        <v>Oct</v>
      </c>
      <c r="J3337">
        <f>YEAR(datas[[#This Row],[Order Date]])</f>
        <v>2022</v>
      </c>
    </row>
    <row r="3338" spans="1:10" ht="14.25" customHeight="1" x14ac:dyDescent="0.3">
      <c r="A3338" s="1">
        <v>44843</v>
      </c>
      <c r="B3338" s="2" t="s">
        <v>323</v>
      </c>
      <c r="C3338" s="2" t="s">
        <v>64</v>
      </c>
      <c r="D3338" s="2" t="s">
        <v>10</v>
      </c>
      <c r="E3338" s="2" t="s">
        <v>16</v>
      </c>
      <c r="F3338" s="2">
        <v>1.87</v>
      </c>
      <c r="G3338" s="2">
        <v>2</v>
      </c>
      <c r="H3338" s="2">
        <v>-1.31</v>
      </c>
      <c r="I3338" t="str">
        <f t="shared" si="52"/>
        <v>Oct</v>
      </c>
      <c r="J3338">
        <f>YEAR(datas[[#This Row],[Order Date]])</f>
        <v>2022</v>
      </c>
    </row>
    <row r="3339" spans="1:10" ht="14.25" customHeight="1" x14ac:dyDescent="0.3">
      <c r="A3339" s="1">
        <v>44843</v>
      </c>
      <c r="B3339" s="2" t="s">
        <v>323</v>
      </c>
      <c r="C3339" s="2" t="s">
        <v>64</v>
      </c>
      <c r="D3339" s="2" t="s">
        <v>10</v>
      </c>
      <c r="E3339" s="2" t="s">
        <v>16</v>
      </c>
      <c r="F3339" s="2">
        <v>11.21</v>
      </c>
      <c r="G3339" s="2">
        <v>2</v>
      </c>
      <c r="H3339" s="2">
        <v>-8.6</v>
      </c>
      <c r="I3339" t="str">
        <f t="shared" si="52"/>
        <v>Oct</v>
      </c>
      <c r="J3339">
        <f>YEAR(datas[[#This Row],[Order Date]])</f>
        <v>2022</v>
      </c>
    </row>
    <row r="3340" spans="1:10" ht="14.25" customHeight="1" x14ac:dyDescent="0.3">
      <c r="A3340" s="1">
        <v>44843</v>
      </c>
      <c r="B3340" s="2" t="s">
        <v>323</v>
      </c>
      <c r="C3340" s="2" t="s">
        <v>64</v>
      </c>
      <c r="D3340" s="2" t="s">
        <v>10</v>
      </c>
      <c r="E3340" s="2" t="s">
        <v>19</v>
      </c>
      <c r="F3340" s="2">
        <v>37.380000000000003</v>
      </c>
      <c r="G3340" s="2">
        <v>8</v>
      </c>
      <c r="H3340" s="2">
        <v>7.48</v>
      </c>
      <c r="I3340" t="str">
        <f t="shared" si="52"/>
        <v>Oct</v>
      </c>
      <c r="J3340">
        <f>YEAR(datas[[#This Row],[Order Date]])</f>
        <v>2022</v>
      </c>
    </row>
    <row r="3341" spans="1:10" ht="14.25" customHeight="1" x14ac:dyDescent="0.3">
      <c r="A3341" s="1">
        <v>44843</v>
      </c>
      <c r="B3341" s="2" t="s">
        <v>740</v>
      </c>
      <c r="C3341" s="2" t="s">
        <v>60</v>
      </c>
      <c r="D3341" s="2" t="s">
        <v>26</v>
      </c>
      <c r="E3341" s="2" t="s">
        <v>27</v>
      </c>
      <c r="F3341" s="2">
        <v>389.97</v>
      </c>
      <c r="G3341" s="2">
        <v>3</v>
      </c>
      <c r="H3341" s="2">
        <v>35.1</v>
      </c>
      <c r="I3341" t="str">
        <f t="shared" si="52"/>
        <v>Oct</v>
      </c>
      <c r="J3341">
        <f>YEAR(datas[[#This Row],[Order Date]])</f>
        <v>2022</v>
      </c>
    </row>
    <row r="3342" spans="1:10" ht="14.25" customHeight="1" x14ac:dyDescent="0.3">
      <c r="A3342" s="1">
        <v>44843</v>
      </c>
      <c r="B3342" s="2" t="s">
        <v>740</v>
      </c>
      <c r="C3342" s="2" t="s">
        <v>60</v>
      </c>
      <c r="D3342" s="2" t="s">
        <v>10</v>
      </c>
      <c r="E3342" s="2" t="s">
        <v>53</v>
      </c>
      <c r="F3342" s="2">
        <v>269.91000000000003</v>
      </c>
      <c r="G3342" s="2">
        <v>5</v>
      </c>
      <c r="H3342" s="2">
        <v>53.98</v>
      </c>
      <c r="I3342" t="str">
        <f t="shared" si="52"/>
        <v>Oct</v>
      </c>
      <c r="J3342">
        <f>YEAR(datas[[#This Row],[Order Date]])</f>
        <v>2022</v>
      </c>
    </row>
    <row r="3343" spans="1:10" ht="14.25" customHeight="1" x14ac:dyDescent="0.3">
      <c r="A3343" s="1">
        <v>44844</v>
      </c>
      <c r="B3343" s="2" t="s">
        <v>633</v>
      </c>
      <c r="C3343" s="2" t="s">
        <v>21</v>
      </c>
      <c r="D3343" s="2" t="s">
        <v>10</v>
      </c>
      <c r="E3343" s="2" t="s">
        <v>11</v>
      </c>
      <c r="F3343" s="2">
        <v>45.36</v>
      </c>
      <c r="G3343" s="2">
        <v>7</v>
      </c>
      <c r="H3343" s="2">
        <v>21.77</v>
      </c>
      <c r="I3343" t="str">
        <f t="shared" si="52"/>
        <v>Oct</v>
      </c>
      <c r="J3343">
        <f>YEAR(datas[[#This Row],[Order Date]])</f>
        <v>2022</v>
      </c>
    </row>
    <row r="3344" spans="1:10" ht="14.25" customHeight="1" x14ac:dyDescent="0.3">
      <c r="A3344" s="1">
        <v>44844</v>
      </c>
      <c r="B3344" s="2" t="s">
        <v>700</v>
      </c>
      <c r="C3344" s="2" t="s">
        <v>64</v>
      </c>
      <c r="D3344" s="2" t="s">
        <v>10</v>
      </c>
      <c r="E3344" s="2" t="s">
        <v>15</v>
      </c>
      <c r="F3344" s="2">
        <v>1801.63</v>
      </c>
      <c r="G3344" s="2">
        <v>6</v>
      </c>
      <c r="H3344" s="2">
        <v>-337.81</v>
      </c>
      <c r="I3344" t="str">
        <f t="shared" si="52"/>
        <v>Oct</v>
      </c>
      <c r="J3344">
        <f>YEAR(datas[[#This Row],[Order Date]])</f>
        <v>2022</v>
      </c>
    </row>
    <row r="3345" spans="1:10" ht="14.25" customHeight="1" x14ac:dyDescent="0.3">
      <c r="A3345" s="1">
        <v>44844</v>
      </c>
      <c r="B3345" s="2" t="s">
        <v>619</v>
      </c>
      <c r="C3345" s="2" t="s">
        <v>13</v>
      </c>
      <c r="D3345" s="2" t="s">
        <v>10</v>
      </c>
      <c r="E3345" s="2" t="s">
        <v>19</v>
      </c>
      <c r="F3345" s="2">
        <v>8.02</v>
      </c>
      <c r="G3345" s="2">
        <v>3</v>
      </c>
      <c r="H3345" s="2">
        <v>1</v>
      </c>
      <c r="I3345" t="str">
        <f t="shared" si="52"/>
        <v>Oct</v>
      </c>
      <c r="J3345">
        <f>YEAR(datas[[#This Row],[Order Date]])</f>
        <v>2022</v>
      </c>
    </row>
    <row r="3346" spans="1:10" ht="14.25" customHeight="1" x14ac:dyDescent="0.3">
      <c r="A3346" s="1">
        <v>44844</v>
      </c>
      <c r="B3346" s="2" t="s">
        <v>621</v>
      </c>
      <c r="C3346" s="2" t="s">
        <v>21</v>
      </c>
      <c r="D3346" s="2" t="s">
        <v>26</v>
      </c>
      <c r="E3346" s="2" t="s">
        <v>27</v>
      </c>
      <c r="F3346" s="2">
        <v>362.14</v>
      </c>
      <c r="G3346" s="2">
        <v>3</v>
      </c>
      <c r="H3346" s="2">
        <v>-54.32</v>
      </c>
      <c r="I3346" t="str">
        <f t="shared" si="52"/>
        <v>Oct</v>
      </c>
      <c r="J3346">
        <f>YEAR(datas[[#This Row],[Order Date]])</f>
        <v>2022</v>
      </c>
    </row>
    <row r="3347" spans="1:10" ht="14.25" customHeight="1" x14ac:dyDescent="0.3">
      <c r="A3347" s="1">
        <v>44844</v>
      </c>
      <c r="B3347" s="2" t="s">
        <v>621</v>
      </c>
      <c r="C3347" s="2" t="s">
        <v>21</v>
      </c>
      <c r="D3347" s="2" t="s">
        <v>10</v>
      </c>
      <c r="E3347" s="2" t="s">
        <v>14</v>
      </c>
      <c r="F3347" s="2">
        <v>31.05</v>
      </c>
      <c r="G3347" s="2">
        <v>3</v>
      </c>
      <c r="H3347" s="2">
        <v>14.9</v>
      </c>
      <c r="I3347" t="str">
        <f t="shared" si="52"/>
        <v>Oct</v>
      </c>
      <c r="J3347">
        <f>YEAR(datas[[#This Row],[Order Date]])</f>
        <v>2022</v>
      </c>
    </row>
    <row r="3348" spans="1:10" ht="14.25" customHeight="1" x14ac:dyDescent="0.3">
      <c r="A3348" s="1">
        <v>44845</v>
      </c>
      <c r="B3348" s="2" t="s">
        <v>776</v>
      </c>
      <c r="C3348" s="2" t="s">
        <v>64</v>
      </c>
      <c r="D3348" s="2" t="s">
        <v>26</v>
      </c>
      <c r="E3348" s="2" t="s">
        <v>73</v>
      </c>
      <c r="F3348" s="2">
        <v>957.58</v>
      </c>
      <c r="G3348" s="2">
        <v>5</v>
      </c>
      <c r="H3348" s="2">
        <v>-383.03</v>
      </c>
      <c r="I3348" t="str">
        <f t="shared" si="52"/>
        <v>Oct</v>
      </c>
      <c r="J3348">
        <f>YEAR(datas[[#This Row],[Order Date]])</f>
        <v>2022</v>
      </c>
    </row>
    <row r="3349" spans="1:10" ht="14.25" customHeight="1" x14ac:dyDescent="0.3">
      <c r="A3349" s="1">
        <v>44845</v>
      </c>
      <c r="B3349" s="2" t="s">
        <v>776</v>
      </c>
      <c r="C3349" s="2" t="s">
        <v>64</v>
      </c>
      <c r="D3349" s="2" t="s">
        <v>10</v>
      </c>
      <c r="E3349" s="2" t="s">
        <v>15</v>
      </c>
      <c r="F3349" s="2">
        <v>22.37</v>
      </c>
      <c r="G3349" s="2">
        <v>2</v>
      </c>
      <c r="H3349" s="2">
        <v>2.52</v>
      </c>
      <c r="I3349" t="str">
        <f t="shared" si="52"/>
        <v>Oct</v>
      </c>
      <c r="J3349">
        <f>YEAR(datas[[#This Row],[Order Date]])</f>
        <v>2022</v>
      </c>
    </row>
    <row r="3350" spans="1:10" ht="14.25" customHeight="1" x14ac:dyDescent="0.3">
      <c r="A3350" s="1">
        <v>44845</v>
      </c>
      <c r="B3350" s="2" t="s">
        <v>561</v>
      </c>
      <c r="C3350" s="2" t="s">
        <v>75</v>
      </c>
      <c r="D3350" s="2" t="s">
        <v>28</v>
      </c>
      <c r="E3350" s="2" t="s">
        <v>34</v>
      </c>
      <c r="F3350" s="2">
        <v>31.95</v>
      </c>
      <c r="G3350" s="2">
        <v>1</v>
      </c>
      <c r="H3350" s="2">
        <v>2.2400000000000002</v>
      </c>
      <c r="I3350" t="str">
        <f t="shared" si="52"/>
        <v>Oct</v>
      </c>
      <c r="J3350">
        <f>YEAR(datas[[#This Row],[Order Date]])</f>
        <v>2022</v>
      </c>
    </row>
    <row r="3351" spans="1:10" ht="14.25" customHeight="1" x14ac:dyDescent="0.3">
      <c r="A3351" s="1">
        <v>44846</v>
      </c>
      <c r="B3351" s="2" t="s">
        <v>173</v>
      </c>
      <c r="C3351" s="2" t="s">
        <v>75</v>
      </c>
      <c r="D3351" s="2" t="s">
        <v>26</v>
      </c>
      <c r="E3351" s="2" t="s">
        <v>45</v>
      </c>
      <c r="F3351" s="2">
        <v>899.14</v>
      </c>
      <c r="G3351" s="2">
        <v>4</v>
      </c>
      <c r="H3351" s="2">
        <v>112.39</v>
      </c>
      <c r="I3351" t="str">
        <f t="shared" si="52"/>
        <v>Oct</v>
      </c>
      <c r="J3351">
        <f>YEAR(datas[[#This Row],[Order Date]])</f>
        <v>2022</v>
      </c>
    </row>
    <row r="3352" spans="1:10" ht="14.25" customHeight="1" x14ac:dyDescent="0.3">
      <c r="A3352" s="1">
        <v>44846</v>
      </c>
      <c r="B3352" s="2" t="s">
        <v>173</v>
      </c>
      <c r="C3352" s="2" t="s">
        <v>75</v>
      </c>
      <c r="D3352" s="2" t="s">
        <v>28</v>
      </c>
      <c r="E3352" s="2" t="s">
        <v>29</v>
      </c>
      <c r="F3352" s="2">
        <v>71.760000000000005</v>
      </c>
      <c r="G3352" s="2">
        <v>6</v>
      </c>
      <c r="H3352" s="2">
        <v>20.09</v>
      </c>
      <c r="I3352" t="str">
        <f t="shared" si="52"/>
        <v>Oct</v>
      </c>
      <c r="J3352">
        <f>YEAR(datas[[#This Row],[Order Date]])</f>
        <v>2022</v>
      </c>
    </row>
    <row r="3353" spans="1:10" ht="14.25" customHeight="1" x14ac:dyDescent="0.3">
      <c r="A3353" s="1">
        <v>44846</v>
      </c>
      <c r="B3353" s="2" t="s">
        <v>173</v>
      </c>
      <c r="C3353" s="2" t="s">
        <v>75</v>
      </c>
      <c r="D3353" s="2" t="s">
        <v>10</v>
      </c>
      <c r="E3353" s="2" t="s">
        <v>11</v>
      </c>
      <c r="F3353" s="2">
        <v>51.84</v>
      </c>
      <c r="G3353" s="2">
        <v>8</v>
      </c>
      <c r="H3353" s="2">
        <v>24.88</v>
      </c>
      <c r="I3353" t="str">
        <f t="shared" si="52"/>
        <v>Oct</v>
      </c>
      <c r="J3353">
        <f>YEAR(datas[[#This Row],[Order Date]])</f>
        <v>2022</v>
      </c>
    </row>
    <row r="3354" spans="1:10" ht="14.25" customHeight="1" x14ac:dyDescent="0.3">
      <c r="A3354" s="1">
        <v>44846</v>
      </c>
      <c r="B3354" s="2" t="s">
        <v>173</v>
      </c>
      <c r="C3354" s="2" t="s">
        <v>75</v>
      </c>
      <c r="D3354" s="2" t="s">
        <v>26</v>
      </c>
      <c r="E3354" s="2" t="s">
        <v>45</v>
      </c>
      <c r="F3354" s="2">
        <v>626.35</v>
      </c>
      <c r="G3354" s="2">
        <v>3</v>
      </c>
      <c r="H3354" s="2">
        <v>46.98</v>
      </c>
      <c r="I3354" t="str">
        <f t="shared" si="52"/>
        <v>Oct</v>
      </c>
      <c r="J3354">
        <f>YEAR(datas[[#This Row],[Order Date]])</f>
        <v>2022</v>
      </c>
    </row>
    <row r="3355" spans="1:10" ht="14.25" customHeight="1" x14ac:dyDescent="0.3">
      <c r="A3355" s="1">
        <v>44846</v>
      </c>
      <c r="B3355" s="2" t="s">
        <v>173</v>
      </c>
      <c r="C3355" s="2" t="s">
        <v>75</v>
      </c>
      <c r="D3355" s="2" t="s">
        <v>10</v>
      </c>
      <c r="E3355" s="2" t="s">
        <v>19</v>
      </c>
      <c r="F3355" s="2">
        <v>19.899999999999999</v>
      </c>
      <c r="G3355" s="2">
        <v>5</v>
      </c>
      <c r="H3355" s="2">
        <v>6.57</v>
      </c>
      <c r="I3355" t="str">
        <f t="shared" si="52"/>
        <v>Oct</v>
      </c>
      <c r="J3355">
        <f>YEAR(datas[[#This Row],[Order Date]])</f>
        <v>2022</v>
      </c>
    </row>
    <row r="3356" spans="1:10" ht="14.25" customHeight="1" x14ac:dyDescent="0.3">
      <c r="A3356" s="1">
        <v>44846</v>
      </c>
      <c r="B3356" s="2" t="s">
        <v>743</v>
      </c>
      <c r="C3356" s="2" t="s">
        <v>75</v>
      </c>
      <c r="D3356" s="2" t="s">
        <v>26</v>
      </c>
      <c r="E3356" s="2" t="s">
        <v>73</v>
      </c>
      <c r="F3356" s="2">
        <v>209.67</v>
      </c>
      <c r="G3356" s="2">
        <v>1</v>
      </c>
      <c r="H3356" s="2">
        <v>-13.98</v>
      </c>
      <c r="I3356" t="str">
        <f t="shared" si="52"/>
        <v>Oct</v>
      </c>
      <c r="J3356">
        <f>YEAR(datas[[#This Row],[Order Date]])</f>
        <v>2022</v>
      </c>
    </row>
    <row r="3357" spans="1:10" ht="14.25" customHeight="1" x14ac:dyDescent="0.3">
      <c r="A3357" s="1">
        <v>44846</v>
      </c>
      <c r="B3357" s="2" t="s">
        <v>462</v>
      </c>
      <c r="C3357" s="2" t="s">
        <v>68</v>
      </c>
      <c r="D3357" s="2" t="s">
        <v>28</v>
      </c>
      <c r="E3357" s="2" t="s">
        <v>29</v>
      </c>
      <c r="F3357" s="2">
        <v>135.72</v>
      </c>
      <c r="G3357" s="2">
        <v>3</v>
      </c>
      <c r="H3357" s="2">
        <v>35.29</v>
      </c>
      <c r="I3357" t="str">
        <f t="shared" si="52"/>
        <v>Oct</v>
      </c>
      <c r="J3357">
        <f>YEAR(datas[[#This Row],[Order Date]])</f>
        <v>2022</v>
      </c>
    </row>
    <row r="3358" spans="1:10" ht="14.25" customHeight="1" x14ac:dyDescent="0.3">
      <c r="A3358" s="1">
        <v>44846</v>
      </c>
      <c r="B3358" s="2" t="s">
        <v>462</v>
      </c>
      <c r="C3358" s="2" t="s">
        <v>68</v>
      </c>
      <c r="D3358" s="2" t="s">
        <v>10</v>
      </c>
      <c r="E3358" s="2" t="s">
        <v>16</v>
      </c>
      <c r="F3358" s="2">
        <v>12.56</v>
      </c>
      <c r="G3358" s="2">
        <v>2</v>
      </c>
      <c r="H3358" s="2">
        <v>5.65</v>
      </c>
      <c r="I3358" t="str">
        <f t="shared" si="52"/>
        <v>Oct</v>
      </c>
      <c r="J3358">
        <f>YEAR(datas[[#This Row],[Order Date]])</f>
        <v>2022</v>
      </c>
    </row>
    <row r="3359" spans="1:10" ht="14.25" customHeight="1" x14ac:dyDescent="0.3">
      <c r="A3359" s="1">
        <v>44846</v>
      </c>
      <c r="B3359" s="2" t="s">
        <v>462</v>
      </c>
      <c r="C3359" s="2" t="s">
        <v>68</v>
      </c>
      <c r="D3359" s="2" t="s">
        <v>28</v>
      </c>
      <c r="E3359" s="2" t="s">
        <v>29</v>
      </c>
      <c r="F3359" s="2">
        <v>263.95999999999998</v>
      </c>
      <c r="G3359" s="2">
        <v>4</v>
      </c>
      <c r="H3359" s="2">
        <v>71.27</v>
      </c>
      <c r="I3359" t="str">
        <f t="shared" si="52"/>
        <v>Oct</v>
      </c>
      <c r="J3359">
        <f>YEAR(datas[[#This Row],[Order Date]])</f>
        <v>2022</v>
      </c>
    </row>
    <row r="3360" spans="1:10" ht="14.25" customHeight="1" x14ac:dyDescent="0.3">
      <c r="A3360" s="1">
        <v>44846</v>
      </c>
      <c r="B3360" s="2" t="s">
        <v>128</v>
      </c>
      <c r="C3360" s="2" t="s">
        <v>82</v>
      </c>
      <c r="D3360" s="2" t="s">
        <v>28</v>
      </c>
      <c r="E3360" s="2" t="s">
        <v>34</v>
      </c>
      <c r="F3360" s="2">
        <v>17.899999999999999</v>
      </c>
      <c r="G3360" s="2">
        <v>2</v>
      </c>
      <c r="H3360" s="2">
        <v>3.4</v>
      </c>
      <c r="I3360" t="str">
        <f t="shared" si="52"/>
        <v>Oct</v>
      </c>
      <c r="J3360">
        <f>YEAR(datas[[#This Row],[Order Date]])</f>
        <v>2022</v>
      </c>
    </row>
    <row r="3361" spans="1:10" ht="14.25" customHeight="1" x14ac:dyDescent="0.3">
      <c r="A3361" s="1">
        <v>44846</v>
      </c>
      <c r="B3361" s="2" t="s">
        <v>128</v>
      </c>
      <c r="C3361" s="2" t="s">
        <v>82</v>
      </c>
      <c r="D3361" s="2" t="s">
        <v>10</v>
      </c>
      <c r="E3361" s="2" t="s">
        <v>15</v>
      </c>
      <c r="F3361" s="2">
        <v>81.96</v>
      </c>
      <c r="G3361" s="2">
        <v>2</v>
      </c>
      <c r="H3361" s="2">
        <v>0</v>
      </c>
      <c r="I3361" t="str">
        <f t="shared" si="52"/>
        <v>Oct</v>
      </c>
      <c r="J3361">
        <f>YEAR(datas[[#This Row],[Order Date]])</f>
        <v>2022</v>
      </c>
    </row>
    <row r="3362" spans="1:10" ht="14.25" customHeight="1" x14ac:dyDescent="0.3">
      <c r="A3362" s="1">
        <v>44847</v>
      </c>
      <c r="B3362" s="2" t="s">
        <v>258</v>
      </c>
      <c r="C3362" s="2" t="s">
        <v>25</v>
      </c>
      <c r="D3362" s="2" t="s">
        <v>28</v>
      </c>
      <c r="E3362" s="2" t="s">
        <v>29</v>
      </c>
      <c r="F3362" s="2">
        <v>83.72</v>
      </c>
      <c r="G3362" s="2">
        <v>7</v>
      </c>
      <c r="H3362" s="2">
        <v>23.44</v>
      </c>
      <c r="I3362" t="str">
        <f t="shared" si="52"/>
        <v>Oct</v>
      </c>
      <c r="J3362">
        <f>YEAR(datas[[#This Row],[Order Date]])</f>
        <v>2022</v>
      </c>
    </row>
    <row r="3363" spans="1:10" ht="14.25" customHeight="1" x14ac:dyDescent="0.3">
      <c r="A3363" s="1">
        <v>44847</v>
      </c>
      <c r="B3363" s="2" t="s">
        <v>258</v>
      </c>
      <c r="C3363" s="2" t="s">
        <v>25</v>
      </c>
      <c r="D3363" s="2" t="s">
        <v>26</v>
      </c>
      <c r="E3363" s="2" t="s">
        <v>27</v>
      </c>
      <c r="F3363" s="2">
        <v>287.94</v>
      </c>
      <c r="G3363" s="2">
        <v>3</v>
      </c>
      <c r="H3363" s="2">
        <v>77.739999999999995</v>
      </c>
      <c r="I3363" t="str">
        <f t="shared" si="52"/>
        <v>Oct</v>
      </c>
      <c r="J3363">
        <f>YEAR(datas[[#This Row],[Order Date]])</f>
        <v>2022</v>
      </c>
    </row>
    <row r="3364" spans="1:10" ht="14.25" customHeight="1" x14ac:dyDescent="0.3">
      <c r="A3364" s="1">
        <v>44849</v>
      </c>
      <c r="B3364" s="2" t="s">
        <v>271</v>
      </c>
      <c r="C3364" s="2" t="s">
        <v>13</v>
      </c>
      <c r="D3364" s="2" t="s">
        <v>28</v>
      </c>
      <c r="E3364" s="2" t="s">
        <v>34</v>
      </c>
      <c r="F3364" s="2">
        <v>339.96</v>
      </c>
      <c r="G3364" s="2">
        <v>5</v>
      </c>
      <c r="H3364" s="2">
        <v>67.989999999999995</v>
      </c>
      <c r="I3364" t="str">
        <f t="shared" si="52"/>
        <v>Oct</v>
      </c>
      <c r="J3364">
        <f>YEAR(datas[[#This Row],[Order Date]])</f>
        <v>2022</v>
      </c>
    </row>
    <row r="3365" spans="1:10" ht="14.25" customHeight="1" x14ac:dyDescent="0.3">
      <c r="A3365" s="1">
        <v>44849</v>
      </c>
      <c r="B3365" s="2" t="s">
        <v>332</v>
      </c>
      <c r="C3365" s="2" t="s">
        <v>9</v>
      </c>
      <c r="D3365" s="2" t="s">
        <v>28</v>
      </c>
      <c r="E3365" s="2" t="s">
        <v>34</v>
      </c>
      <c r="F3365" s="2">
        <v>263.88</v>
      </c>
      <c r="G3365" s="2">
        <v>3</v>
      </c>
      <c r="H3365" s="2">
        <v>42.88</v>
      </c>
      <c r="I3365" t="str">
        <f t="shared" si="52"/>
        <v>Oct</v>
      </c>
      <c r="J3365">
        <f>YEAR(datas[[#This Row],[Order Date]])</f>
        <v>2022</v>
      </c>
    </row>
    <row r="3366" spans="1:10" ht="14.25" customHeight="1" x14ac:dyDescent="0.3">
      <c r="A3366" s="1">
        <v>44849</v>
      </c>
      <c r="B3366" s="2" t="s">
        <v>332</v>
      </c>
      <c r="C3366" s="2" t="s">
        <v>9</v>
      </c>
      <c r="D3366" s="2" t="s">
        <v>26</v>
      </c>
      <c r="E3366" s="2" t="s">
        <v>27</v>
      </c>
      <c r="F3366" s="2">
        <v>2453.4299999999998</v>
      </c>
      <c r="G3366" s="2">
        <v>5</v>
      </c>
      <c r="H3366" s="2">
        <v>-350.49</v>
      </c>
      <c r="I3366" t="str">
        <f t="shared" si="52"/>
        <v>Oct</v>
      </c>
      <c r="J3366">
        <f>YEAR(datas[[#This Row],[Order Date]])</f>
        <v>2022</v>
      </c>
    </row>
    <row r="3367" spans="1:10" ht="14.25" customHeight="1" x14ac:dyDescent="0.3">
      <c r="A3367" s="1">
        <v>44849</v>
      </c>
      <c r="B3367" s="2" t="s">
        <v>90</v>
      </c>
      <c r="C3367" s="2" t="s">
        <v>60</v>
      </c>
      <c r="D3367" s="2" t="s">
        <v>26</v>
      </c>
      <c r="E3367" s="2" t="s">
        <v>32</v>
      </c>
      <c r="F3367" s="2">
        <v>17.14</v>
      </c>
      <c r="G3367" s="2">
        <v>2</v>
      </c>
      <c r="H3367" s="2">
        <v>6.17</v>
      </c>
      <c r="I3367" t="str">
        <f t="shared" si="52"/>
        <v>Oct</v>
      </c>
      <c r="J3367">
        <f>YEAR(datas[[#This Row],[Order Date]])</f>
        <v>2022</v>
      </c>
    </row>
    <row r="3368" spans="1:10" ht="14.25" customHeight="1" x14ac:dyDescent="0.3">
      <c r="A3368" s="1">
        <v>44849</v>
      </c>
      <c r="B3368" s="2" t="s">
        <v>777</v>
      </c>
      <c r="C3368" s="2" t="s">
        <v>9</v>
      </c>
      <c r="D3368" s="2" t="s">
        <v>26</v>
      </c>
      <c r="E3368" s="2" t="s">
        <v>32</v>
      </c>
      <c r="F3368" s="2">
        <v>131.38</v>
      </c>
      <c r="G3368" s="2">
        <v>6</v>
      </c>
      <c r="H3368" s="2">
        <v>-95.25</v>
      </c>
      <c r="I3368" t="str">
        <f t="shared" si="52"/>
        <v>Oct</v>
      </c>
      <c r="J3368">
        <f>YEAR(datas[[#This Row],[Order Date]])</f>
        <v>2022</v>
      </c>
    </row>
    <row r="3369" spans="1:10" ht="14.25" customHeight="1" x14ac:dyDescent="0.3">
      <c r="A3369" s="1">
        <v>44849</v>
      </c>
      <c r="B3369" s="2" t="s">
        <v>777</v>
      </c>
      <c r="C3369" s="2" t="s">
        <v>9</v>
      </c>
      <c r="D3369" s="2" t="s">
        <v>10</v>
      </c>
      <c r="E3369" s="2" t="s">
        <v>11</v>
      </c>
      <c r="F3369" s="2">
        <v>5.34</v>
      </c>
      <c r="G3369" s="2">
        <v>1</v>
      </c>
      <c r="H3369" s="2">
        <v>1.87</v>
      </c>
      <c r="I3369" t="str">
        <f t="shared" si="52"/>
        <v>Oct</v>
      </c>
      <c r="J3369">
        <f>YEAR(datas[[#This Row],[Order Date]])</f>
        <v>2022</v>
      </c>
    </row>
    <row r="3370" spans="1:10" ht="14.25" customHeight="1" x14ac:dyDescent="0.3">
      <c r="A3370" s="1">
        <v>44849</v>
      </c>
      <c r="B3370" s="2" t="s">
        <v>542</v>
      </c>
      <c r="C3370" s="2" t="s">
        <v>9</v>
      </c>
      <c r="D3370" s="2" t="s">
        <v>10</v>
      </c>
      <c r="E3370" s="2" t="s">
        <v>41</v>
      </c>
      <c r="F3370" s="2">
        <v>4.46</v>
      </c>
      <c r="G3370" s="2">
        <v>1</v>
      </c>
      <c r="H3370" s="2">
        <v>1.67</v>
      </c>
      <c r="I3370" t="str">
        <f t="shared" si="52"/>
        <v>Oct</v>
      </c>
      <c r="J3370">
        <f>YEAR(datas[[#This Row],[Order Date]])</f>
        <v>2022</v>
      </c>
    </row>
    <row r="3371" spans="1:10" ht="14.25" customHeight="1" x14ac:dyDescent="0.3">
      <c r="A3371" s="1">
        <v>44849</v>
      </c>
      <c r="B3371" s="2" t="s">
        <v>542</v>
      </c>
      <c r="C3371" s="2" t="s">
        <v>9</v>
      </c>
      <c r="D3371" s="2" t="s">
        <v>10</v>
      </c>
      <c r="E3371" s="2" t="s">
        <v>16</v>
      </c>
      <c r="F3371" s="2">
        <v>3.96</v>
      </c>
      <c r="G3371" s="2">
        <v>10</v>
      </c>
      <c r="H3371" s="2">
        <v>-6.93</v>
      </c>
      <c r="I3371" t="str">
        <f t="shared" si="52"/>
        <v>Oct</v>
      </c>
      <c r="J3371">
        <f>YEAR(datas[[#This Row],[Order Date]])</f>
        <v>2022</v>
      </c>
    </row>
    <row r="3372" spans="1:10" ht="14.25" customHeight="1" x14ac:dyDescent="0.3">
      <c r="A3372" s="1">
        <v>44850</v>
      </c>
      <c r="B3372" s="2" t="s">
        <v>706</v>
      </c>
      <c r="C3372" s="2" t="s">
        <v>75</v>
      </c>
      <c r="D3372" s="2" t="s">
        <v>28</v>
      </c>
      <c r="E3372" s="2" t="s">
        <v>29</v>
      </c>
      <c r="F3372" s="2">
        <v>824.97</v>
      </c>
      <c r="G3372" s="2">
        <v>3</v>
      </c>
      <c r="H3372" s="2">
        <v>214.49</v>
      </c>
      <c r="I3372" t="str">
        <f t="shared" si="52"/>
        <v>Oct</v>
      </c>
      <c r="J3372">
        <f>YEAR(datas[[#This Row],[Order Date]])</f>
        <v>2022</v>
      </c>
    </row>
    <row r="3373" spans="1:10" ht="14.25" customHeight="1" x14ac:dyDescent="0.3">
      <c r="A3373" s="1">
        <v>44851</v>
      </c>
      <c r="B3373" s="2" t="s">
        <v>766</v>
      </c>
      <c r="C3373" s="2" t="s">
        <v>21</v>
      </c>
      <c r="D3373" s="2" t="s">
        <v>10</v>
      </c>
      <c r="E3373" s="2" t="s">
        <v>15</v>
      </c>
      <c r="F3373" s="2">
        <v>77.88</v>
      </c>
      <c r="G3373" s="2">
        <v>2</v>
      </c>
      <c r="H3373" s="2">
        <v>3.89</v>
      </c>
      <c r="I3373" t="str">
        <f t="shared" si="52"/>
        <v>Oct</v>
      </c>
      <c r="J3373">
        <f>YEAR(datas[[#This Row],[Order Date]])</f>
        <v>2022</v>
      </c>
    </row>
    <row r="3374" spans="1:10" ht="14.25" customHeight="1" x14ac:dyDescent="0.3">
      <c r="A3374" s="1">
        <v>44852</v>
      </c>
      <c r="B3374" s="2" t="s">
        <v>112</v>
      </c>
      <c r="C3374" s="2" t="s">
        <v>9</v>
      </c>
      <c r="D3374" s="2" t="s">
        <v>28</v>
      </c>
      <c r="E3374" s="2" t="s">
        <v>34</v>
      </c>
      <c r="F3374" s="2">
        <v>27.7</v>
      </c>
      <c r="G3374" s="2">
        <v>3</v>
      </c>
      <c r="H3374" s="2">
        <v>3.46</v>
      </c>
      <c r="I3374" t="str">
        <f t="shared" si="52"/>
        <v>Oct</v>
      </c>
      <c r="J3374">
        <f>YEAR(datas[[#This Row],[Order Date]])</f>
        <v>2022</v>
      </c>
    </row>
    <row r="3375" spans="1:10" ht="14.25" customHeight="1" x14ac:dyDescent="0.3">
      <c r="A3375" s="1">
        <v>44852</v>
      </c>
      <c r="B3375" s="2" t="s">
        <v>112</v>
      </c>
      <c r="C3375" s="2" t="s">
        <v>9</v>
      </c>
      <c r="D3375" s="2" t="s">
        <v>10</v>
      </c>
      <c r="E3375" s="2" t="s">
        <v>53</v>
      </c>
      <c r="F3375" s="2">
        <v>73.16</v>
      </c>
      <c r="G3375" s="2">
        <v>6</v>
      </c>
      <c r="H3375" s="2">
        <v>-186.57</v>
      </c>
      <c r="I3375" t="str">
        <f t="shared" si="52"/>
        <v>Oct</v>
      </c>
      <c r="J3375">
        <f>YEAR(datas[[#This Row],[Order Date]])</f>
        <v>2022</v>
      </c>
    </row>
    <row r="3376" spans="1:10" ht="14.25" customHeight="1" x14ac:dyDescent="0.3">
      <c r="A3376" s="1">
        <v>44852</v>
      </c>
      <c r="B3376" s="2" t="s">
        <v>476</v>
      </c>
      <c r="C3376" s="2" t="s">
        <v>82</v>
      </c>
      <c r="D3376" s="2" t="s">
        <v>28</v>
      </c>
      <c r="E3376" s="2" t="s">
        <v>29</v>
      </c>
      <c r="F3376" s="2">
        <v>249.58</v>
      </c>
      <c r="G3376" s="2">
        <v>2</v>
      </c>
      <c r="H3376" s="2">
        <v>15.6</v>
      </c>
      <c r="I3376" t="str">
        <f t="shared" si="52"/>
        <v>Oct</v>
      </c>
      <c r="J3376">
        <f>YEAR(datas[[#This Row],[Order Date]])</f>
        <v>2022</v>
      </c>
    </row>
    <row r="3377" spans="1:10" ht="14.25" customHeight="1" x14ac:dyDescent="0.3">
      <c r="A3377" s="1">
        <v>44852</v>
      </c>
      <c r="B3377" s="2" t="s">
        <v>476</v>
      </c>
      <c r="C3377" s="2" t="s">
        <v>82</v>
      </c>
      <c r="D3377" s="2" t="s">
        <v>10</v>
      </c>
      <c r="E3377" s="2" t="s">
        <v>11</v>
      </c>
      <c r="F3377" s="2">
        <v>17.940000000000001</v>
      </c>
      <c r="G3377" s="2">
        <v>3</v>
      </c>
      <c r="H3377" s="2">
        <v>8.7899999999999991</v>
      </c>
      <c r="I3377" t="str">
        <f t="shared" si="52"/>
        <v>Oct</v>
      </c>
      <c r="J3377">
        <f>YEAR(datas[[#This Row],[Order Date]])</f>
        <v>2022</v>
      </c>
    </row>
    <row r="3378" spans="1:10" ht="14.25" customHeight="1" x14ac:dyDescent="0.3">
      <c r="A3378" s="1">
        <v>44852</v>
      </c>
      <c r="B3378" s="2" t="s">
        <v>476</v>
      </c>
      <c r="C3378" s="2" t="s">
        <v>82</v>
      </c>
      <c r="D3378" s="2" t="s">
        <v>26</v>
      </c>
      <c r="E3378" s="2" t="s">
        <v>32</v>
      </c>
      <c r="F3378" s="2">
        <v>10.11</v>
      </c>
      <c r="G3378" s="2">
        <v>3</v>
      </c>
      <c r="H3378" s="2">
        <v>3.24</v>
      </c>
      <c r="I3378" t="str">
        <f t="shared" si="52"/>
        <v>Oct</v>
      </c>
      <c r="J3378">
        <f>YEAR(datas[[#This Row],[Order Date]])</f>
        <v>2022</v>
      </c>
    </row>
    <row r="3379" spans="1:10" ht="14.25" customHeight="1" x14ac:dyDescent="0.3">
      <c r="A3379" s="1">
        <v>44853</v>
      </c>
      <c r="B3379" s="2" t="s">
        <v>534</v>
      </c>
      <c r="C3379" s="2" t="s">
        <v>278</v>
      </c>
      <c r="D3379" s="2" t="s">
        <v>10</v>
      </c>
      <c r="E3379" s="2" t="s">
        <v>11</v>
      </c>
      <c r="F3379" s="2">
        <v>34.44</v>
      </c>
      <c r="G3379" s="2">
        <v>3</v>
      </c>
      <c r="H3379" s="2">
        <v>17.22</v>
      </c>
      <c r="I3379" t="str">
        <f t="shared" si="52"/>
        <v>Oct</v>
      </c>
      <c r="J3379">
        <f>YEAR(datas[[#This Row],[Order Date]])</f>
        <v>2022</v>
      </c>
    </row>
    <row r="3380" spans="1:10" ht="14.25" customHeight="1" x14ac:dyDescent="0.3">
      <c r="A3380" s="1">
        <v>44853</v>
      </c>
      <c r="B3380" s="2" t="s">
        <v>113</v>
      </c>
      <c r="C3380" s="2" t="s">
        <v>60</v>
      </c>
      <c r="D3380" s="2" t="s">
        <v>10</v>
      </c>
      <c r="E3380" s="2" t="s">
        <v>16</v>
      </c>
      <c r="F3380" s="2">
        <v>38.28</v>
      </c>
      <c r="G3380" s="2">
        <v>6</v>
      </c>
      <c r="H3380" s="2">
        <v>17.61</v>
      </c>
      <c r="I3380" t="str">
        <f t="shared" si="52"/>
        <v>Oct</v>
      </c>
      <c r="J3380">
        <f>YEAR(datas[[#This Row],[Order Date]])</f>
        <v>2022</v>
      </c>
    </row>
    <row r="3381" spans="1:10" ht="14.25" customHeight="1" x14ac:dyDescent="0.3">
      <c r="A3381" s="1">
        <v>44853</v>
      </c>
      <c r="B3381" s="2" t="s">
        <v>113</v>
      </c>
      <c r="C3381" s="2" t="s">
        <v>60</v>
      </c>
      <c r="D3381" s="2" t="s">
        <v>28</v>
      </c>
      <c r="E3381" s="2" t="s">
        <v>29</v>
      </c>
      <c r="F3381" s="2">
        <v>149.94999999999999</v>
      </c>
      <c r="G3381" s="2">
        <v>5</v>
      </c>
      <c r="H3381" s="2">
        <v>44.99</v>
      </c>
      <c r="I3381" t="str">
        <f t="shared" si="52"/>
        <v>Oct</v>
      </c>
      <c r="J3381">
        <f>YEAR(datas[[#This Row],[Order Date]])</f>
        <v>2022</v>
      </c>
    </row>
    <row r="3382" spans="1:10" ht="14.25" customHeight="1" x14ac:dyDescent="0.3">
      <c r="A3382" s="1">
        <v>44853</v>
      </c>
      <c r="B3382" s="2" t="s">
        <v>580</v>
      </c>
      <c r="C3382" s="2" t="s">
        <v>21</v>
      </c>
      <c r="D3382" s="2" t="s">
        <v>10</v>
      </c>
      <c r="E3382" s="2" t="s">
        <v>53</v>
      </c>
      <c r="F3382" s="2">
        <v>1640.7</v>
      </c>
      <c r="G3382" s="2">
        <v>5</v>
      </c>
      <c r="H3382" s="2">
        <v>459.4</v>
      </c>
      <c r="I3382" t="str">
        <f t="shared" si="52"/>
        <v>Oct</v>
      </c>
      <c r="J3382">
        <f>YEAR(datas[[#This Row],[Order Date]])</f>
        <v>2022</v>
      </c>
    </row>
    <row r="3383" spans="1:10" ht="14.25" customHeight="1" x14ac:dyDescent="0.3">
      <c r="A3383" s="1">
        <v>44853</v>
      </c>
      <c r="B3383" s="2" t="s">
        <v>580</v>
      </c>
      <c r="C3383" s="2" t="s">
        <v>21</v>
      </c>
      <c r="D3383" s="2" t="s">
        <v>28</v>
      </c>
      <c r="E3383" s="2" t="s">
        <v>34</v>
      </c>
      <c r="F3383" s="2">
        <v>270</v>
      </c>
      <c r="G3383" s="2">
        <v>3</v>
      </c>
      <c r="H3383" s="2">
        <v>97.2</v>
      </c>
      <c r="I3383" t="str">
        <f t="shared" si="52"/>
        <v>Oct</v>
      </c>
      <c r="J3383">
        <f>YEAR(datas[[#This Row],[Order Date]])</f>
        <v>2022</v>
      </c>
    </row>
    <row r="3384" spans="1:10" ht="14.25" customHeight="1" x14ac:dyDescent="0.3">
      <c r="A3384" s="1">
        <v>44853</v>
      </c>
      <c r="B3384" s="2" t="s">
        <v>242</v>
      </c>
      <c r="C3384" s="2" t="s">
        <v>9</v>
      </c>
      <c r="D3384" s="2" t="s">
        <v>10</v>
      </c>
      <c r="E3384" s="2" t="s">
        <v>16</v>
      </c>
      <c r="F3384" s="2">
        <v>1.72</v>
      </c>
      <c r="G3384" s="2">
        <v>1</v>
      </c>
      <c r="H3384" s="2">
        <v>-2.84</v>
      </c>
      <c r="I3384" t="str">
        <f t="shared" si="52"/>
        <v>Oct</v>
      </c>
      <c r="J3384">
        <f>YEAR(datas[[#This Row],[Order Date]])</f>
        <v>2022</v>
      </c>
    </row>
    <row r="3385" spans="1:10" ht="14.25" customHeight="1" x14ac:dyDescent="0.3">
      <c r="A3385" s="1">
        <v>44854</v>
      </c>
      <c r="B3385" s="2" t="s">
        <v>338</v>
      </c>
      <c r="C3385" s="2" t="s">
        <v>21</v>
      </c>
      <c r="D3385" s="2" t="s">
        <v>28</v>
      </c>
      <c r="E3385" s="2" t="s">
        <v>34</v>
      </c>
      <c r="F3385" s="2">
        <v>239.97</v>
      </c>
      <c r="G3385" s="2">
        <v>3</v>
      </c>
      <c r="H3385" s="2">
        <v>86.39</v>
      </c>
      <c r="I3385" t="str">
        <f t="shared" si="52"/>
        <v>Oct</v>
      </c>
      <c r="J3385">
        <f>YEAR(datas[[#This Row],[Order Date]])</f>
        <v>2022</v>
      </c>
    </row>
    <row r="3386" spans="1:10" ht="14.25" customHeight="1" x14ac:dyDescent="0.3">
      <c r="A3386" s="1">
        <v>44854</v>
      </c>
      <c r="B3386" s="2" t="s">
        <v>338</v>
      </c>
      <c r="C3386" s="2" t="s">
        <v>21</v>
      </c>
      <c r="D3386" s="2" t="s">
        <v>26</v>
      </c>
      <c r="E3386" s="2" t="s">
        <v>32</v>
      </c>
      <c r="F3386" s="2">
        <v>16.02</v>
      </c>
      <c r="G3386" s="2">
        <v>6</v>
      </c>
      <c r="H3386" s="2">
        <v>6.09</v>
      </c>
      <c r="I3386" t="str">
        <f t="shared" si="52"/>
        <v>Oct</v>
      </c>
      <c r="J3386">
        <f>YEAR(datas[[#This Row],[Order Date]])</f>
        <v>2022</v>
      </c>
    </row>
    <row r="3387" spans="1:10" ht="14.25" customHeight="1" x14ac:dyDescent="0.3">
      <c r="A3387" s="1">
        <v>44854</v>
      </c>
      <c r="B3387" s="2" t="s">
        <v>350</v>
      </c>
      <c r="C3387" s="2" t="s">
        <v>75</v>
      </c>
      <c r="D3387" s="2" t="s">
        <v>10</v>
      </c>
      <c r="E3387" s="2" t="s">
        <v>11</v>
      </c>
      <c r="F3387" s="2">
        <v>24.56</v>
      </c>
      <c r="G3387" s="2">
        <v>2</v>
      </c>
      <c r="H3387" s="2">
        <v>11.54</v>
      </c>
      <c r="I3387" t="str">
        <f t="shared" si="52"/>
        <v>Oct</v>
      </c>
      <c r="J3387">
        <f>YEAR(datas[[#This Row],[Order Date]])</f>
        <v>2022</v>
      </c>
    </row>
    <row r="3388" spans="1:10" ht="14.25" customHeight="1" x14ac:dyDescent="0.3">
      <c r="A3388" s="1">
        <v>44854</v>
      </c>
      <c r="B3388" s="2" t="s">
        <v>212</v>
      </c>
      <c r="C3388" s="2" t="s">
        <v>21</v>
      </c>
      <c r="D3388" s="2" t="s">
        <v>26</v>
      </c>
      <c r="E3388" s="2" t="s">
        <v>32</v>
      </c>
      <c r="F3388" s="2">
        <v>74.760000000000005</v>
      </c>
      <c r="G3388" s="2">
        <v>7</v>
      </c>
      <c r="H3388" s="2">
        <v>23.92</v>
      </c>
      <c r="I3388" t="str">
        <f t="shared" si="52"/>
        <v>Oct</v>
      </c>
      <c r="J3388">
        <f>YEAR(datas[[#This Row],[Order Date]])</f>
        <v>2022</v>
      </c>
    </row>
    <row r="3389" spans="1:10" ht="14.25" customHeight="1" x14ac:dyDescent="0.3">
      <c r="A3389" s="1">
        <v>44854</v>
      </c>
      <c r="B3389" s="2" t="s">
        <v>212</v>
      </c>
      <c r="C3389" s="2" t="s">
        <v>21</v>
      </c>
      <c r="D3389" s="2" t="s">
        <v>26</v>
      </c>
      <c r="E3389" s="2" t="s">
        <v>73</v>
      </c>
      <c r="F3389" s="2">
        <v>364.78</v>
      </c>
      <c r="G3389" s="2">
        <v>3</v>
      </c>
      <c r="H3389" s="2">
        <v>27.36</v>
      </c>
      <c r="I3389" t="str">
        <f t="shared" si="52"/>
        <v>Oct</v>
      </c>
      <c r="J3389">
        <f>YEAR(datas[[#This Row],[Order Date]])</f>
        <v>2022</v>
      </c>
    </row>
    <row r="3390" spans="1:10" ht="14.25" customHeight="1" x14ac:dyDescent="0.3">
      <c r="A3390" s="1">
        <v>44856</v>
      </c>
      <c r="B3390" s="2" t="s">
        <v>302</v>
      </c>
      <c r="C3390" s="2" t="s">
        <v>13</v>
      </c>
      <c r="D3390" s="2" t="s">
        <v>10</v>
      </c>
      <c r="E3390" s="2" t="s">
        <v>16</v>
      </c>
      <c r="F3390" s="2">
        <v>5.18</v>
      </c>
      <c r="G3390" s="2">
        <v>4</v>
      </c>
      <c r="H3390" s="2">
        <v>-7.76</v>
      </c>
      <c r="I3390" t="str">
        <f t="shared" si="52"/>
        <v>Oct</v>
      </c>
      <c r="J3390">
        <f>YEAR(datas[[#This Row],[Order Date]])</f>
        <v>2022</v>
      </c>
    </row>
    <row r="3391" spans="1:10" ht="14.25" customHeight="1" x14ac:dyDescent="0.3">
      <c r="A3391" s="1">
        <v>44856</v>
      </c>
      <c r="B3391" s="2" t="s">
        <v>414</v>
      </c>
      <c r="C3391" s="2" t="s">
        <v>64</v>
      </c>
      <c r="D3391" s="2" t="s">
        <v>10</v>
      </c>
      <c r="E3391" s="2" t="s">
        <v>15</v>
      </c>
      <c r="F3391" s="2">
        <v>9.9499999999999993</v>
      </c>
      <c r="G3391" s="2">
        <v>1</v>
      </c>
      <c r="H3391" s="2">
        <v>1</v>
      </c>
      <c r="I3391" t="str">
        <f t="shared" si="52"/>
        <v>Oct</v>
      </c>
      <c r="J3391">
        <f>YEAR(datas[[#This Row],[Order Date]])</f>
        <v>2022</v>
      </c>
    </row>
    <row r="3392" spans="1:10" ht="14.25" customHeight="1" x14ac:dyDescent="0.3">
      <c r="A3392" s="1">
        <v>44857</v>
      </c>
      <c r="B3392" s="2" t="s">
        <v>778</v>
      </c>
      <c r="C3392" s="2" t="s">
        <v>21</v>
      </c>
      <c r="D3392" s="2" t="s">
        <v>28</v>
      </c>
      <c r="E3392" s="2" t="s">
        <v>34</v>
      </c>
      <c r="F3392" s="2">
        <v>148.32</v>
      </c>
      <c r="G3392" s="2">
        <v>9</v>
      </c>
      <c r="H3392" s="2">
        <v>63.78</v>
      </c>
      <c r="I3392" t="str">
        <f t="shared" si="52"/>
        <v>Oct</v>
      </c>
      <c r="J3392">
        <f>YEAR(datas[[#This Row],[Order Date]])</f>
        <v>2022</v>
      </c>
    </row>
    <row r="3393" spans="1:10" ht="14.25" customHeight="1" x14ac:dyDescent="0.3">
      <c r="A3393" s="1">
        <v>44857</v>
      </c>
      <c r="B3393" s="2" t="s">
        <v>778</v>
      </c>
      <c r="C3393" s="2" t="s">
        <v>21</v>
      </c>
      <c r="D3393" s="2" t="s">
        <v>26</v>
      </c>
      <c r="E3393" s="2" t="s">
        <v>27</v>
      </c>
      <c r="F3393" s="2">
        <v>240.78</v>
      </c>
      <c r="G3393" s="2">
        <v>1</v>
      </c>
      <c r="H3393" s="2">
        <v>27.09</v>
      </c>
      <c r="I3393" t="str">
        <f t="shared" si="52"/>
        <v>Oct</v>
      </c>
      <c r="J3393">
        <f>YEAR(datas[[#This Row],[Order Date]])</f>
        <v>2022</v>
      </c>
    </row>
    <row r="3394" spans="1:10" ht="14.25" customHeight="1" x14ac:dyDescent="0.3">
      <c r="A3394" s="1">
        <v>44857</v>
      </c>
      <c r="B3394" s="2" t="s">
        <v>778</v>
      </c>
      <c r="C3394" s="2" t="s">
        <v>21</v>
      </c>
      <c r="D3394" s="2" t="s">
        <v>26</v>
      </c>
      <c r="E3394" s="2" t="s">
        <v>27</v>
      </c>
      <c r="F3394" s="2">
        <v>191.97</v>
      </c>
      <c r="G3394" s="2">
        <v>7</v>
      </c>
      <c r="H3394" s="2">
        <v>16.8</v>
      </c>
      <c r="I3394" t="str">
        <f t="shared" si="52"/>
        <v>Oct</v>
      </c>
      <c r="J3394">
        <f>YEAR(datas[[#This Row],[Order Date]])</f>
        <v>2022</v>
      </c>
    </row>
    <row r="3395" spans="1:10" ht="14.25" customHeight="1" x14ac:dyDescent="0.3">
      <c r="A3395" s="1">
        <v>44857</v>
      </c>
      <c r="B3395" s="2" t="s">
        <v>778</v>
      </c>
      <c r="C3395" s="2" t="s">
        <v>21</v>
      </c>
      <c r="D3395" s="2" t="s">
        <v>10</v>
      </c>
      <c r="E3395" s="2" t="s">
        <v>11</v>
      </c>
      <c r="F3395" s="2">
        <v>11.56</v>
      </c>
      <c r="G3395" s="2">
        <v>2</v>
      </c>
      <c r="H3395" s="2">
        <v>5.66</v>
      </c>
      <c r="I3395" t="str">
        <f t="shared" ref="I3395:I3458" si="53">TEXT(A3395,"mmm")</f>
        <v>Oct</v>
      </c>
      <c r="J3395">
        <f>YEAR(datas[[#This Row],[Order Date]])</f>
        <v>2022</v>
      </c>
    </row>
    <row r="3396" spans="1:10" ht="14.25" customHeight="1" x14ac:dyDescent="0.3">
      <c r="A3396" s="1">
        <v>44857</v>
      </c>
      <c r="B3396" s="2" t="s">
        <v>778</v>
      </c>
      <c r="C3396" s="2" t="s">
        <v>21</v>
      </c>
      <c r="D3396" s="2" t="s">
        <v>10</v>
      </c>
      <c r="E3396" s="2" t="s">
        <v>41</v>
      </c>
      <c r="F3396" s="2">
        <v>11.8</v>
      </c>
      <c r="G3396" s="2">
        <v>4</v>
      </c>
      <c r="H3396" s="2">
        <v>5.66</v>
      </c>
      <c r="I3396" t="str">
        <f t="shared" si="53"/>
        <v>Oct</v>
      </c>
      <c r="J3396">
        <f>YEAR(datas[[#This Row],[Order Date]])</f>
        <v>2022</v>
      </c>
    </row>
    <row r="3397" spans="1:10" ht="14.25" customHeight="1" x14ac:dyDescent="0.3">
      <c r="A3397" s="1">
        <v>44857</v>
      </c>
      <c r="B3397" s="2" t="s">
        <v>778</v>
      </c>
      <c r="C3397" s="2" t="s">
        <v>21</v>
      </c>
      <c r="D3397" s="2" t="s">
        <v>26</v>
      </c>
      <c r="E3397" s="2" t="s">
        <v>27</v>
      </c>
      <c r="F3397" s="2">
        <v>842.35</v>
      </c>
      <c r="G3397" s="2">
        <v>3</v>
      </c>
      <c r="H3397" s="2">
        <v>42.12</v>
      </c>
      <c r="I3397" t="str">
        <f t="shared" si="53"/>
        <v>Oct</v>
      </c>
      <c r="J3397">
        <f>YEAR(datas[[#This Row],[Order Date]])</f>
        <v>2022</v>
      </c>
    </row>
    <row r="3398" spans="1:10" ht="14.25" customHeight="1" x14ac:dyDescent="0.3">
      <c r="A3398" s="1">
        <v>44857</v>
      </c>
      <c r="B3398" s="2" t="s">
        <v>637</v>
      </c>
      <c r="C3398" s="2" t="s">
        <v>64</v>
      </c>
      <c r="D3398" s="2" t="s">
        <v>28</v>
      </c>
      <c r="E3398" s="2" t="s">
        <v>29</v>
      </c>
      <c r="F3398" s="2">
        <v>55.94</v>
      </c>
      <c r="G3398" s="2">
        <v>7</v>
      </c>
      <c r="H3398" s="2">
        <v>-13.29</v>
      </c>
      <c r="I3398" t="str">
        <f t="shared" si="53"/>
        <v>Oct</v>
      </c>
      <c r="J3398">
        <f>YEAR(datas[[#This Row],[Order Date]])</f>
        <v>2022</v>
      </c>
    </row>
    <row r="3399" spans="1:10" ht="14.25" customHeight="1" x14ac:dyDescent="0.3">
      <c r="A3399" s="1">
        <v>44857</v>
      </c>
      <c r="B3399" s="2" t="s">
        <v>637</v>
      </c>
      <c r="C3399" s="2" t="s">
        <v>64</v>
      </c>
      <c r="D3399" s="2" t="s">
        <v>10</v>
      </c>
      <c r="E3399" s="2" t="s">
        <v>19</v>
      </c>
      <c r="F3399" s="2">
        <v>10.69</v>
      </c>
      <c r="G3399" s="2">
        <v>2</v>
      </c>
      <c r="H3399" s="2">
        <v>2.27</v>
      </c>
      <c r="I3399" t="str">
        <f t="shared" si="53"/>
        <v>Oct</v>
      </c>
      <c r="J3399">
        <f>YEAR(datas[[#This Row],[Order Date]])</f>
        <v>2022</v>
      </c>
    </row>
    <row r="3400" spans="1:10" ht="14.25" customHeight="1" x14ac:dyDescent="0.3">
      <c r="A3400" s="1">
        <v>44857</v>
      </c>
      <c r="B3400" s="2" t="s">
        <v>637</v>
      </c>
      <c r="C3400" s="2" t="s">
        <v>64</v>
      </c>
      <c r="D3400" s="2" t="s">
        <v>28</v>
      </c>
      <c r="E3400" s="2" t="s">
        <v>29</v>
      </c>
      <c r="F3400" s="2">
        <v>11.82</v>
      </c>
      <c r="G3400" s="2">
        <v>2</v>
      </c>
      <c r="H3400" s="2">
        <v>1.03</v>
      </c>
      <c r="I3400" t="str">
        <f t="shared" si="53"/>
        <v>Oct</v>
      </c>
      <c r="J3400">
        <f>YEAR(datas[[#This Row],[Order Date]])</f>
        <v>2022</v>
      </c>
    </row>
    <row r="3401" spans="1:10" ht="14.25" customHeight="1" x14ac:dyDescent="0.3">
      <c r="A3401" s="1">
        <v>44857</v>
      </c>
      <c r="B3401" s="2" t="s">
        <v>669</v>
      </c>
      <c r="C3401" s="2" t="s">
        <v>82</v>
      </c>
      <c r="D3401" s="2" t="s">
        <v>10</v>
      </c>
      <c r="E3401" s="2" t="s">
        <v>16</v>
      </c>
      <c r="F3401" s="2">
        <v>3.59</v>
      </c>
      <c r="G3401" s="2">
        <v>1</v>
      </c>
      <c r="H3401" s="2">
        <v>1.1200000000000001</v>
      </c>
      <c r="I3401" t="str">
        <f t="shared" si="53"/>
        <v>Oct</v>
      </c>
      <c r="J3401">
        <f>YEAR(datas[[#This Row],[Order Date]])</f>
        <v>2022</v>
      </c>
    </row>
    <row r="3402" spans="1:10" ht="14.25" customHeight="1" x14ac:dyDescent="0.3">
      <c r="A3402" s="1">
        <v>44857</v>
      </c>
      <c r="B3402" s="2" t="s">
        <v>434</v>
      </c>
      <c r="C3402" s="2" t="s">
        <v>9</v>
      </c>
      <c r="D3402" s="2" t="s">
        <v>10</v>
      </c>
      <c r="E3402" s="2" t="s">
        <v>11</v>
      </c>
      <c r="F3402" s="2">
        <v>36.29</v>
      </c>
      <c r="G3402" s="2">
        <v>7</v>
      </c>
      <c r="H3402" s="2">
        <v>12.7</v>
      </c>
      <c r="I3402" t="str">
        <f t="shared" si="53"/>
        <v>Oct</v>
      </c>
      <c r="J3402">
        <f>YEAR(datas[[#This Row],[Order Date]])</f>
        <v>2022</v>
      </c>
    </row>
    <row r="3403" spans="1:10" ht="14.25" customHeight="1" x14ac:dyDescent="0.3">
      <c r="A3403" s="1">
        <v>44857</v>
      </c>
      <c r="B3403" s="2" t="s">
        <v>434</v>
      </c>
      <c r="C3403" s="2" t="s">
        <v>9</v>
      </c>
      <c r="D3403" s="2" t="s">
        <v>28</v>
      </c>
      <c r="E3403" s="2" t="s">
        <v>29</v>
      </c>
      <c r="F3403" s="2">
        <v>150.38</v>
      </c>
      <c r="G3403" s="2">
        <v>2</v>
      </c>
      <c r="H3403" s="2">
        <v>15.04</v>
      </c>
      <c r="I3403" t="str">
        <f t="shared" si="53"/>
        <v>Oct</v>
      </c>
      <c r="J3403">
        <f>YEAR(datas[[#This Row],[Order Date]])</f>
        <v>2022</v>
      </c>
    </row>
    <row r="3404" spans="1:10" ht="14.25" customHeight="1" x14ac:dyDescent="0.3">
      <c r="A3404" s="1">
        <v>44857</v>
      </c>
      <c r="B3404" s="2" t="s">
        <v>153</v>
      </c>
      <c r="C3404" s="2" t="s">
        <v>9</v>
      </c>
      <c r="D3404" s="2" t="s">
        <v>10</v>
      </c>
      <c r="E3404" s="2" t="s">
        <v>11</v>
      </c>
      <c r="F3404" s="2">
        <v>60.74</v>
      </c>
      <c r="G3404" s="2">
        <v>8</v>
      </c>
      <c r="H3404" s="2">
        <v>20.5</v>
      </c>
      <c r="I3404" t="str">
        <f t="shared" si="53"/>
        <v>Oct</v>
      </c>
      <c r="J3404">
        <f>YEAR(datas[[#This Row],[Order Date]])</f>
        <v>2022</v>
      </c>
    </row>
    <row r="3405" spans="1:10" ht="14.25" customHeight="1" x14ac:dyDescent="0.3">
      <c r="A3405" s="1">
        <v>44857</v>
      </c>
      <c r="B3405" s="2" t="s">
        <v>153</v>
      </c>
      <c r="C3405" s="2" t="s">
        <v>9</v>
      </c>
      <c r="D3405" s="2" t="s">
        <v>28</v>
      </c>
      <c r="E3405" s="2" t="s">
        <v>243</v>
      </c>
      <c r="F3405" s="2">
        <v>479.98</v>
      </c>
      <c r="G3405" s="2">
        <v>3</v>
      </c>
      <c r="H3405" s="2">
        <v>161.99</v>
      </c>
      <c r="I3405" t="str">
        <f t="shared" si="53"/>
        <v>Oct</v>
      </c>
      <c r="J3405">
        <f>YEAR(datas[[#This Row],[Order Date]])</f>
        <v>2022</v>
      </c>
    </row>
    <row r="3406" spans="1:10" ht="14.25" customHeight="1" x14ac:dyDescent="0.3">
      <c r="A3406" s="1">
        <v>44857</v>
      </c>
      <c r="B3406" s="2" t="s">
        <v>153</v>
      </c>
      <c r="C3406" s="2" t="s">
        <v>9</v>
      </c>
      <c r="D3406" s="2" t="s">
        <v>10</v>
      </c>
      <c r="E3406" s="2" t="s">
        <v>16</v>
      </c>
      <c r="F3406" s="2">
        <v>6.08</v>
      </c>
      <c r="G3406" s="2">
        <v>1</v>
      </c>
      <c r="H3406" s="2">
        <v>-10.34</v>
      </c>
      <c r="I3406" t="str">
        <f t="shared" si="53"/>
        <v>Oct</v>
      </c>
      <c r="J3406">
        <f>YEAR(datas[[#This Row],[Order Date]])</f>
        <v>2022</v>
      </c>
    </row>
    <row r="3407" spans="1:10" ht="14.25" customHeight="1" x14ac:dyDescent="0.3">
      <c r="A3407" s="1">
        <v>44858</v>
      </c>
      <c r="B3407" s="2" t="s">
        <v>669</v>
      </c>
      <c r="C3407" s="2" t="s">
        <v>9</v>
      </c>
      <c r="D3407" s="2" t="s">
        <v>10</v>
      </c>
      <c r="E3407" s="2" t="s">
        <v>11</v>
      </c>
      <c r="F3407" s="2">
        <v>15.55</v>
      </c>
      <c r="G3407" s="2">
        <v>3</v>
      </c>
      <c r="H3407" s="2">
        <v>5.44</v>
      </c>
      <c r="I3407" t="str">
        <f t="shared" si="53"/>
        <v>Oct</v>
      </c>
      <c r="J3407">
        <f>YEAR(datas[[#This Row],[Order Date]])</f>
        <v>2022</v>
      </c>
    </row>
    <row r="3408" spans="1:10" ht="14.25" customHeight="1" x14ac:dyDescent="0.3">
      <c r="A3408" s="1">
        <v>44858</v>
      </c>
      <c r="B3408" s="2" t="s">
        <v>669</v>
      </c>
      <c r="C3408" s="2" t="s">
        <v>9</v>
      </c>
      <c r="D3408" s="2" t="s">
        <v>26</v>
      </c>
      <c r="E3408" s="2" t="s">
        <v>73</v>
      </c>
      <c r="F3408" s="2">
        <v>347.36</v>
      </c>
      <c r="G3408" s="2">
        <v>7</v>
      </c>
      <c r="H3408" s="2">
        <v>-69.47</v>
      </c>
      <c r="I3408" t="str">
        <f t="shared" si="53"/>
        <v>Oct</v>
      </c>
      <c r="J3408">
        <f>YEAR(datas[[#This Row],[Order Date]])</f>
        <v>2022</v>
      </c>
    </row>
    <row r="3409" spans="1:10" ht="14.25" customHeight="1" x14ac:dyDescent="0.3">
      <c r="A3409" s="1">
        <v>44858</v>
      </c>
      <c r="B3409" s="2" t="s">
        <v>669</v>
      </c>
      <c r="C3409" s="2" t="s">
        <v>9</v>
      </c>
      <c r="D3409" s="2" t="s">
        <v>10</v>
      </c>
      <c r="E3409" s="2" t="s">
        <v>11</v>
      </c>
      <c r="F3409" s="2">
        <v>10.37</v>
      </c>
      <c r="G3409" s="2">
        <v>2</v>
      </c>
      <c r="H3409" s="2">
        <v>3.63</v>
      </c>
      <c r="I3409" t="str">
        <f t="shared" si="53"/>
        <v>Oct</v>
      </c>
      <c r="J3409">
        <f>YEAR(datas[[#This Row],[Order Date]])</f>
        <v>2022</v>
      </c>
    </row>
    <row r="3410" spans="1:10" ht="14.25" customHeight="1" x14ac:dyDescent="0.3">
      <c r="A3410" s="1">
        <v>44858</v>
      </c>
      <c r="B3410" s="2" t="s">
        <v>499</v>
      </c>
      <c r="C3410" s="2" t="s">
        <v>9</v>
      </c>
      <c r="D3410" s="2" t="s">
        <v>10</v>
      </c>
      <c r="E3410" s="2" t="s">
        <v>16</v>
      </c>
      <c r="F3410" s="2">
        <v>3.59</v>
      </c>
      <c r="G3410" s="2">
        <v>4</v>
      </c>
      <c r="H3410" s="2">
        <v>-6.29</v>
      </c>
      <c r="I3410" t="str">
        <f t="shared" si="53"/>
        <v>Oct</v>
      </c>
      <c r="J3410">
        <f>YEAR(datas[[#This Row],[Order Date]])</f>
        <v>2022</v>
      </c>
    </row>
    <row r="3411" spans="1:10" ht="14.25" customHeight="1" x14ac:dyDescent="0.3">
      <c r="A3411" s="1">
        <v>44858</v>
      </c>
      <c r="B3411" s="2" t="s">
        <v>701</v>
      </c>
      <c r="C3411" s="2" t="s">
        <v>21</v>
      </c>
      <c r="D3411" s="2" t="s">
        <v>26</v>
      </c>
      <c r="E3411" s="2" t="s">
        <v>27</v>
      </c>
      <c r="F3411" s="2">
        <v>454.27</v>
      </c>
      <c r="G3411" s="2">
        <v>8</v>
      </c>
      <c r="H3411" s="2">
        <v>-73.819999999999993</v>
      </c>
      <c r="I3411" t="str">
        <f t="shared" si="53"/>
        <v>Oct</v>
      </c>
      <c r="J3411">
        <f>YEAR(datas[[#This Row],[Order Date]])</f>
        <v>2022</v>
      </c>
    </row>
    <row r="3412" spans="1:10" ht="14.25" customHeight="1" x14ac:dyDescent="0.3">
      <c r="A3412" s="1">
        <v>44859</v>
      </c>
      <c r="B3412" s="2" t="s">
        <v>405</v>
      </c>
      <c r="C3412" s="2" t="s">
        <v>21</v>
      </c>
      <c r="D3412" s="2" t="s">
        <v>10</v>
      </c>
      <c r="E3412" s="2" t="s">
        <v>19</v>
      </c>
      <c r="F3412" s="2">
        <v>60.45</v>
      </c>
      <c r="G3412" s="2">
        <v>3</v>
      </c>
      <c r="H3412" s="2">
        <v>16.32</v>
      </c>
      <c r="I3412" t="str">
        <f t="shared" si="53"/>
        <v>Oct</v>
      </c>
      <c r="J3412">
        <f>YEAR(datas[[#This Row],[Order Date]])</f>
        <v>2022</v>
      </c>
    </row>
    <row r="3413" spans="1:10" ht="14.25" customHeight="1" x14ac:dyDescent="0.3">
      <c r="A3413" s="1">
        <v>44859</v>
      </c>
      <c r="B3413" s="2" t="s">
        <v>405</v>
      </c>
      <c r="C3413" s="2" t="s">
        <v>21</v>
      </c>
      <c r="D3413" s="2" t="s">
        <v>26</v>
      </c>
      <c r="E3413" s="2" t="s">
        <v>73</v>
      </c>
      <c r="F3413" s="2">
        <v>253.18</v>
      </c>
      <c r="G3413" s="2">
        <v>3</v>
      </c>
      <c r="H3413" s="2">
        <v>-31.65</v>
      </c>
      <c r="I3413" t="str">
        <f t="shared" si="53"/>
        <v>Oct</v>
      </c>
      <c r="J3413">
        <f>YEAR(datas[[#This Row],[Order Date]])</f>
        <v>2022</v>
      </c>
    </row>
    <row r="3414" spans="1:10" ht="14.25" customHeight="1" x14ac:dyDescent="0.3">
      <c r="A3414" s="1">
        <v>44859</v>
      </c>
      <c r="B3414" s="2" t="s">
        <v>319</v>
      </c>
      <c r="C3414" s="2" t="s">
        <v>38</v>
      </c>
      <c r="D3414" s="2" t="s">
        <v>28</v>
      </c>
      <c r="E3414" s="2" t="s">
        <v>29</v>
      </c>
      <c r="F3414" s="2">
        <v>158.99</v>
      </c>
      <c r="G3414" s="2">
        <v>1</v>
      </c>
      <c r="H3414" s="2">
        <v>41.34</v>
      </c>
      <c r="I3414" t="str">
        <f t="shared" si="53"/>
        <v>Oct</v>
      </c>
      <c r="J3414">
        <f>YEAR(datas[[#This Row],[Order Date]])</f>
        <v>2022</v>
      </c>
    </row>
    <row r="3415" spans="1:10" ht="14.25" customHeight="1" x14ac:dyDescent="0.3">
      <c r="A3415" s="1">
        <v>44859</v>
      </c>
      <c r="B3415" s="2" t="s">
        <v>319</v>
      </c>
      <c r="C3415" s="2" t="s">
        <v>38</v>
      </c>
      <c r="D3415" s="2" t="s">
        <v>26</v>
      </c>
      <c r="E3415" s="2" t="s">
        <v>27</v>
      </c>
      <c r="F3415" s="2">
        <v>291.10000000000002</v>
      </c>
      <c r="G3415" s="2">
        <v>5</v>
      </c>
      <c r="H3415" s="2">
        <v>75.69</v>
      </c>
      <c r="I3415" t="str">
        <f t="shared" si="53"/>
        <v>Oct</v>
      </c>
      <c r="J3415">
        <f>YEAR(datas[[#This Row],[Order Date]])</f>
        <v>2022</v>
      </c>
    </row>
    <row r="3416" spans="1:10" ht="14.25" customHeight="1" x14ac:dyDescent="0.3">
      <c r="A3416" s="1">
        <v>44859</v>
      </c>
      <c r="B3416" s="2" t="s">
        <v>326</v>
      </c>
      <c r="C3416" s="2" t="s">
        <v>66</v>
      </c>
      <c r="D3416" s="2" t="s">
        <v>10</v>
      </c>
      <c r="E3416" s="2" t="s">
        <v>19</v>
      </c>
      <c r="F3416" s="2">
        <v>79.36</v>
      </c>
      <c r="G3416" s="2">
        <v>4</v>
      </c>
      <c r="H3416" s="2">
        <v>23.81</v>
      </c>
      <c r="I3416" t="str">
        <f t="shared" si="53"/>
        <v>Oct</v>
      </c>
      <c r="J3416">
        <f>YEAR(datas[[#This Row],[Order Date]])</f>
        <v>2022</v>
      </c>
    </row>
    <row r="3417" spans="1:10" ht="14.25" customHeight="1" x14ac:dyDescent="0.3">
      <c r="A3417" s="1">
        <v>44859</v>
      </c>
      <c r="B3417" s="2" t="s">
        <v>558</v>
      </c>
      <c r="C3417" s="2" t="s">
        <v>126</v>
      </c>
      <c r="D3417" s="2" t="s">
        <v>26</v>
      </c>
      <c r="E3417" s="2" t="s">
        <v>27</v>
      </c>
      <c r="F3417" s="2">
        <v>582.34</v>
      </c>
      <c r="G3417" s="2">
        <v>8</v>
      </c>
      <c r="H3417" s="2">
        <v>-29.12</v>
      </c>
      <c r="I3417" t="str">
        <f t="shared" si="53"/>
        <v>Oct</v>
      </c>
      <c r="J3417">
        <f>YEAR(datas[[#This Row],[Order Date]])</f>
        <v>2022</v>
      </c>
    </row>
    <row r="3418" spans="1:10" ht="14.25" customHeight="1" x14ac:dyDescent="0.3">
      <c r="A3418" s="1">
        <v>44860</v>
      </c>
      <c r="B3418" s="2" t="s">
        <v>779</v>
      </c>
      <c r="C3418" s="2" t="s">
        <v>21</v>
      </c>
      <c r="D3418" s="2" t="s">
        <v>10</v>
      </c>
      <c r="E3418" s="2" t="s">
        <v>14</v>
      </c>
      <c r="F3418" s="2">
        <v>5.76</v>
      </c>
      <c r="G3418" s="2">
        <v>2</v>
      </c>
      <c r="H3418" s="2">
        <v>2.65</v>
      </c>
      <c r="I3418" t="str">
        <f t="shared" si="53"/>
        <v>Oct</v>
      </c>
      <c r="J3418">
        <f>YEAR(datas[[#This Row],[Order Date]])</f>
        <v>2022</v>
      </c>
    </row>
    <row r="3419" spans="1:10" ht="14.25" customHeight="1" x14ac:dyDescent="0.3">
      <c r="A3419" s="1">
        <v>44860</v>
      </c>
      <c r="B3419" s="2" t="s">
        <v>669</v>
      </c>
      <c r="C3419" s="2" t="s">
        <v>55</v>
      </c>
      <c r="D3419" s="2" t="s">
        <v>28</v>
      </c>
      <c r="E3419" s="2" t="s">
        <v>29</v>
      </c>
      <c r="F3419" s="2">
        <v>105.58</v>
      </c>
      <c r="G3419" s="2">
        <v>2</v>
      </c>
      <c r="H3419" s="2">
        <v>9.24</v>
      </c>
      <c r="I3419" t="str">
        <f t="shared" si="53"/>
        <v>Oct</v>
      </c>
      <c r="J3419">
        <f>YEAR(datas[[#This Row],[Order Date]])</f>
        <v>2022</v>
      </c>
    </row>
    <row r="3420" spans="1:10" ht="14.25" customHeight="1" x14ac:dyDescent="0.3">
      <c r="A3420" s="1">
        <v>44860</v>
      </c>
      <c r="B3420" s="2" t="s">
        <v>669</v>
      </c>
      <c r="C3420" s="2" t="s">
        <v>55</v>
      </c>
      <c r="D3420" s="2" t="s">
        <v>28</v>
      </c>
      <c r="E3420" s="2" t="s">
        <v>29</v>
      </c>
      <c r="F3420" s="2">
        <v>68.72</v>
      </c>
      <c r="G3420" s="2">
        <v>2</v>
      </c>
      <c r="H3420" s="2">
        <v>-14.6</v>
      </c>
      <c r="I3420" t="str">
        <f t="shared" si="53"/>
        <v>Oct</v>
      </c>
      <c r="J3420">
        <f>YEAR(datas[[#This Row],[Order Date]])</f>
        <v>2022</v>
      </c>
    </row>
    <row r="3421" spans="1:10" ht="14.25" customHeight="1" x14ac:dyDescent="0.3">
      <c r="A3421" s="1">
        <v>44860</v>
      </c>
      <c r="B3421" s="2" t="s">
        <v>151</v>
      </c>
      <c r="C3421" s="2" t="s">
        <v>52</v>
      </c>
      <c r="D3421" s="2" t="s">
        <v>10</v>
      </c>
      <c r="E3421" s="2" t="s">
        <v>14</v>
      </c>
      <c r="F3421" s="2">
        <v>146.54</v>
      </c>
      <c r="G3421" s="2">
        <v>6</v>
      </c>
      <c r="H3421" s="2">
        <v>47.63</v>
      </c>
      <c r="I3421" t="str">
        <f t="shared" si="53"/>
        <v>Oct</v>
      </c>
      <c r="J3421">
        <f>YEAR(datas[[#This Row],[Order Date]])</f>
        <v>2022</v>
      </c>
    </row>
    <row r="3422" spans="1:10" ht="14.25" customHeight="1" x14ac:dyDescent="0.3">
      <c r="A3422" s="1">
        <v>44860</v>
      </c>
      <c r="B3422" s="2" t="s">
        <v>151</v>
      </c>
      <c r="C3422" s="2" t="s">
        <v>52</v>
      </c>
      <c r="D3422" s="2" t="s">
        <v>10</v>
      </c>
      <c r="E3422" s="2" t="s">
        <v>11</v>
      </c>
      <c r="F3422" s="2">
        <v>131.9</v>
      </c>
      <c r="G3422" s="2">
        <v>3</v>
      </c>
      <c r="H3422" s="2">
        <v>47.82</v>
      </c>
      <c r="I3422" t="str">
        <f t="shared" si="53"/>
        <v>Oct</v>
      </c>
      <c r="J3422">
        <f>YEAR(datas[[#This Row],[Order Date]])</f>
        <v>2022</v>
      </c>
    </row>
    <row r="3423" spans="1:10" ht="14.25" customHeight="1" x14ac:dyDescent="0.3">
      <c r="A3423" s="1">
        <v>44860</v>
      </c>
      <c r="B3423" s="2" t="s">
        <v>151</v>
      </c>
      <c r="C3423" s="2" t="s">
        <v>52</v>
      </c>
      <c r="D3423" s="2" t="s">
        <v>10</v>
      </c>
      <c r="E3423" s="2" t="s">
        <v>53</v>
      </c>
      <c r="F3423" s="2">
        <v>203.88</v>
      </c>
      <c r="G3423" s="2">
        <v>5</v>
      </c>
      <c r="H3423" s="2">
        <v>20.39</v>
      </c>
      <c r="I3423" t="str">
        <f t="shared" si="53"/>
        <v>Oct</v>
      </c>
      <c r="J3423">
        <f>YEAR(datas[[#This Row],[Order Date]])</f>
        <v>2022</v>
      </c>
    </row>
    <row r="3424" spans="1:10" ht="14.25" customHeight="1" x14ac:dyDescent="0.3">
      <c r="A3424" s="1">
        <v>44860</v>
      </c>
      <c r="B3424" s="2" t="s">
        <v>151</v>
      </c>
      <c r="C3424" s="2" t="s">
        <v>52</v>
      </c>
      <c r="D3424" s="2" t="s">
        <v>10</v>
      </c>
      <c r="E3424" s="2" t="s">
        <v>16</v>
      </c>
      <c r="F3424" s="2">
        <v>14.3</v>
      </c>
      <c r="G3424" s="2">
        <v>7</v>
      </c>
      <c r="H3424" s="2">
        <v>-10.49</v>
      </c>
      <c r="I3424" t="str">
        <f t="shared" si="53"/>
        <v>Oct</v>
      </c>
      <c r="J3424">
        <f>YEAR(datas[[#This Row],[Order Date]])</f>
        <v>2022</v>
      </c>
    </row>
    <row r="3425" spans="1:10" ht="14.25" customHeight="1" x14ac:dyDescent="0.3">
      <c r="A3425" s="1">
        <v>44860</v>
      </c>
      <c r="B3425" s="2" t="s">
        <v>151</v>
      </c>
      <c r="C3425" s="2" t="s">
        <v>52</v>
      </c>
      <c r="D3425" s="2" t="s">
        <v>10</v>
      </c>
      <c r="E3425" s="2" t="s">
        <v>15</v>
      </c>
      <c r="F3425" s="2">
        <v>718.64</v>
      </c>
      <c r="G3425" s="2">
        <v>10</v>
      </c>
      <c r="H3425" s="2">
        <v>-161.69</v>
      </c>
      <c r="I3425" t="str">
        <f t="shared" si="53"/>
        <v>Oct</v>
      </c>
      <c r="J3425">
        <f>YEAR(datas[[#This Row],[Order Date]])</f>
        <v>2022</v>
      </c>
    </row>
    <row r="3426" spans="1:10" ht="14.25" customHeight="1" x14ac:dyDescent="0.3">
      <c r="A3426" s="1">
        <v>44862</v>
      </c>
      <c r="B3426" s="2" t="s">
        <v>182</v>
      </c>
      <c r="C3426" s="2" t="s">
        <v>25</v>
      </c>
      <c r="D3426" s="2" t="s">
        <v>10</v>
      </c>
      <c r="E3426" s="2" t="s">
        <v>41</v>
      </c>
      <c r="F3426" s="2">
        <v>10.67</v>
      </c>
      <c r="G3426" s="2">
        <v>1</v>
      </c>
      <c r="H3426" s="2">
        <v>4.91</v>
      </c>
      <c r="I3426" t="str">
        <f t="shared" si="53"/>
        <v>Oct</v>
      </c>
      <c r="J3426">
        <f>YEAR(datas[[#This Row],[Order Date]])</f>
        <v>2022</v>
      </c>
    </row>
    <row r="3427" spans="1:10" ht="14.25" customHeight="1" x14ac:dyDescent="0.3">
      <c r="A3427" s="1">
        <v>44862</v>
      </c>
      <c r="B3427" s="2" t="s">
        <v>182</v>
      </c>
      <c r="C3427" s="2" t="s">
        <v>25</v>
      </c>
      <c r="D3427" s="2" t="s">
        <v>10</v>
      </c>
      <c r="E3427" s="2" t="s">
        <v>15</v>
      </c>
      <c r="F3427" s="2">
        <v>36.630000000000003</v>
      </c>
      <c r="G3427" s="2">
        <v>3</v>
      </c>
      <c r="H3427" s="2">
        <v>9.89</v>
      </c>
      <c r="I3427" t="str">
        <f t="shared" si="53"/>
        <v>Oct</v>
      </c>
      <c r="J3427">
        <f>YEAR(datas[[#This Row],[Order Date]])</f>
        <v>2022</v>
      </c>
    </row>
    <row r="3428" spans="1:10" ht="14.25" customHeight="1" x14ac:dyDescent="0.3">
      <c r="A3428" s="1">
        <v>44862</v>
      </c>
      <c r="B3428" s="2" t="s">
        <v>182</v>
      </c>
      <c r="C3428" s="2" t="s">
        <v>25</v>
      </c>
      <c r="D3428" s="2" t="s">
        <v>26</v>
      </c>
      <c r="E3428" s="2" t="s">
        <v>32</v>
      </c>
      <c r="F3428" s="2">
        <v>24.1</v>
      </c>
      <c r="G3428" s="2">
        <v>5</v>
      </c>
      <c r="H3428" s="2">
        <v>9.16</v>
      </c>
      <c r="I3428" t="str">
        <f t="shared" si="53"/>
        <v>Oct</v>
      </c>
      <c r="J3428">
        <f>YEAR(datas[[#This Row],[Order Date]])</f>
        <v>2022</v>
      </c>
    </row>
    <row r="3429" spans="1:10" ht="14.25" customHeight="1" x14ac:dyDescent="0.3">
      <c r="A3429" s="1">
        <v>44862</v>
      </c>
      <c r="B3429" s="2" t="s">
        <v>182</v>
      </c>
      <c r="C3429" s="2" t="s">
        <v>25</v>
      </c>
      <c r="D3429" s="2" t="s">
        <v>26</v>
      </c>
      <c r="E3429" s="2" t="s">
        <v>32</v>
      </c>
      <c r="F3429" s="2">
        <v>33.11</v>
      </c>
      <c r="G3429" s="2">
        <v>7</v>
      </c>
      <c r="H3429" s="2">
        <v>12.91</v>
      </c>
      <c r="I3429" t="str">
        <f t="shared" si="53"/>
        <v>Oct</v>
      </c>
      <c r="J3429">
        <f>YEAR(datas[[#This Row],[Order Date]])</f>
        <v>2022</v>
      </c>
    </row>
    <row r="3430" spans="1:10" ht="14.25" customHeight="1" x14ac:dyDescent="0.3">
      <c r="A3430" s="1">
        <v>44863</v>
      </c>
      <c r="B3430" s="2" t="s">
        <v>627</v>
      </c>
      <c r="C3430" s="2" t="s">
        <v>21</v>
      </c>
      <c r="D3430" s="2" t="s">
        <v>10</v>
      </c>
      <c r="E3430" s="2" t="s">
        <v>11</v>
      </c>
      <c r="F3430" s="2">
        <v>33.4</v>
      </c>
      <c r="G3430" s="2">
        <v>5</v>
      </c>
      <c r="H3430" s="2">
        <v>16.03</v>
      </c>
      <c r="I3430" t="str">
        <f t="shared" si="53"/>
        <v>Oct</v>
      </c>
      <c r="J3430">
        <f>YEAR(datas[[#This Row],[Order Date]])</f>
        <v>2022</v>
      </c>
    </row>
    <row r="3431" spans="1:10" ht="14.25" customHeight="1" x14ac:dyDescent="0.3">
      <c r="A3431" s="1">
        <v>44863</v>
      </c>
      <c r="B3431" s="2" t="s">
        <v>627</v>
      </c>
      <c r="C3431" s="2" t="s">
        <v>21</v>
      </c>
      <c r="D3431" s="2" t="s">
        <v>10</v>
      </c>
      <c r="E3431" s="2" t="s">
        <v>41</v>
      </c>
      <c r="F3431" s="2">
        <v>210.84</v>
      </c>
      <c r="G3431" s="2">
        <v>4</v>
      </c>
      <c r="H3431" s="2">
        <v>103.31</v>
      </c>
      <c r="I3431" t="str">
        <f t="shared" si="53"/>
        <v>Oct</v>
      </c>
      <c r="J3431">
        <f>YEAR(datas[[#This Row],[Order Date]])</f>
        <v>2022</v>
      </c>
    </row>
    <row r="3432" spans="1:10" ht="14.25" customHeight="1" x14ac:dyDescent="0.3">
      <c r="A3432" s="1">
        <v>44864</v>
      </c>
      <c r="B3432" s="2" t="s">
        <v>735</v>
      </c>
      <c r="C3432" s="2" t="s">
        <v>60</v>
      </c>
      <c r="D3432" s="2" t="s">
        <v>28</v>
      </c>
      <c r="E3432" s="2" t="s">
        <v>29</v>
      </c>
      <c r="F3432" s="2">
        <v>299.89999999999998</v>
      </c>
      <c r="G3432" s="2">
        <v>2</v>
      </c>
      <c r="H3432" s="2">
        <v>74.98</v>
      </c>
      <c r="I3432" t="str">
        <f t="shared" si="53"/>
        <v>Oct</v>
      </c>
      <c r="J3432">
        <f>YEAR(datas[[#This Row],[Order Date]])</f>
        <v>2022</v>
      </c>
    </row>
    <row r="3433" spans="1:10" ht="14.25" customHeight="1" x14ac:dyDescent="0.3">
      <c r="A3433" s="1">
        <v>44864</v>
      </c>
      <c r="B3433" s="2" t="s">
        <v>481</v>
      </c>
      <c r="C3433" s="2" t="s">
        <v>126</v>
      </c>
      <c r="D3433" s="2" t="s">
        <v>28</v>
      </c>
      <c r="E3433" s="2" t="s">
        <v>136</v>
      </c>
      <c r="F3433" s="2">
        <v>59.99</v>
      </c>
      <c r="G3433" s="2">
        <v>2</v>
      </c>
      <c r="H3433" s="2">
        <v>-46</v>
      </c>
      <c r="I3433" t="str">
        <f t="shared" si="53"/>
        <v>Oct</v>
      </c>
      <c r="J3433">
        <f>YEAR(datas[[#This Row],[Order Date]])</f>
        <v>2022</v>
      </c>
    </row>
    <row r="3434" spans="1:10" ht="14.25" customHeight="1" x14ac:dyDescent="0.3">
      <c r="A3434" s="1">
        <v>44864</v>
      </c>
      <c r="B3434" s="2" t="s">
        <v>481</v>
      </c>
      <c r="C3434" s="2" t="s">
        <v>126</v>
      </c>
      <c r="D3434" s="2" t="s">
        <v>28</v>
      </c>
      <c r="E3434" s="2" t="s">
        <v>243</v>
      </c>
      <c r="F3434" s="2">
        <v>439.99</v>
      </c>
      <c r="G3434" s="2">
        <v>1</v>
      </c>
      <c r="H3434" s="2">
        <v>165</v>
      </c>
      <c r="I3434" t="str">
        <f t="shared" si="53"/>
        <v>Oct</v>
      </c>
      <c r="J3434">
        <f>YEAR(datas[[#This Row],[Order Date]])</f>
        <v>2022</v>
      </c>
    </row>
    <row r="3435" spans="1:10" ht="14.25" customHeight="1" x14ac:dyDescent="0.3">
      <c r="A3435" s="1">
        <v>44864</v>
      </c>
      <c r="B3435" s="2" t="s">
        <v>481</v>
      </c>
      <c r="C3435" s="2" t="s">
        <v>126</v>
      </c>
      <c r="D3435" s="2" t="s">
        <v>28</v>
      </c>
      <c r="E3435" s="2" t="s">
        <v>29</v>
      </c>
      <c r="F3435" s="2">
        <v>87.96</v>
      </c>
      <c r="G3435" s="2">
        <v>5</v>
      </c>
      <c r="H3435" s="2">
        <v>30.79</v>
      </c>
      <c r="I3435" t="str">
        <f t="shared" si="53"/>
        <v>Oct</v>
      </c>
      <c r="J3435">
        <f>YEAR(datas[[#This Row],[Order Date]])</f>
        <v>2022</v>
      </c>
    </row>
    <row r="3436" spans="1:10" ht="14.25" customHeight="1" x14ac:dyDescent="0.3">
      <c r="A3436" s="1">
        <v>44864</v>
      </c>
      <c r="B3436" s="2" t="s">
        <v>481</v>
      </c>
      <c r="C3436" s="2" t="s">
        <v>126</v>
      </c>
      <c r="D3436" s="2" t="s">
        <v>26</v>
      </c>
      <c r="E3436" s="2" t="s">
        <v>32</v>
      </c>
      <c r="F3436" s="2">
        <v>15.49</v>
      </c>
      <c r="G3436" s="2">
        <v>4</v>
      </c>
      <c r="H3436" s="2">
        <v>3.68</v>
      </c>
      <c r="I3436" t="str">
        <f t="shared" si="53"/>
        <v>Oct</v>
      </c>
      <c r="J3436">
        <f>YEAR(datas[[#This Row],[Order Date]])</f>
        <v>2022</v>
      </c>
    </row>
    <row r="3437" spans="1:10" ht="14.25" customHeight="1" x14ac:dyDescent="0.3">
      <c r="A3437" s="1">
        <v>44864</v>
      </c>
      <c r="B3437" s="2" t="s">
        <v>497</v>
      </c>
      <c r="C3437" s="2" t="s">
        <v>36</v>
      </c>
      <c r="D3437" s="2" t="s">
        <v>10</v>
      </c>
      <c r="E3437" s="2" t="s">
        <v>53</v>
      </c>
      <c r="F3437" s="2">
        <v>182.91</v>
      </c>
      <c r="G3437" s="2">
        <v>3</v>
      </c>
      <c r="H3437" s="2">
        <v>53.04</v>
      </c>
      <c r="I3437" t="str">
        <f t="shared" si="53"/>
        <v>Oct</v>
      </c>
      <c r="J3437">
        <f>YEAR(datas[[#This Row],[Order Date]])</f>
        <v>2022</v>
      </c>
    </row>
    <row r="3438" spans="1:10" ht="14.25" customHeight="1" x14ac:dyDescent="0.3">
      <c r="A3438" s="1">
        <v>44864</v>
      </c>
      <c r="B3438" s="2" t="s">
        <v>96</v>
      </c>
      <c r="C3438" s="2" t="s">
        <v>75</v>
      </c>
      <c r="D3438" s="2" t="s">
        <v>28</v>
      </c>
      <c r="E3438" s="2" t="s">
        <v>136</v>
      </c>
      <c r="F3438" s="2">
        <v>1035.8</v>
      </c>
      <c r="G3438" s="2">
        <v>4</v>
      </c>
      <c r="H3438" s="2">
        <v>269.31</v>
      </c>
      <c r="I3438" t="str">
        <f t="shared" si="53"/>
        <v>Oct</v>
      </c>
      <c r="J3438">
        <f>YEAR(datas[[#This Row],[Order Date]])</f>
        <v>2022</v>
      </c>
    </row>
    <row r="3439" spans="1:10" ht="14.25" customHeight="1" x14ac:dyDescent="0.3">
      <c r="A3439" s="1">
        <v>44865</v>
      </c>
      <c r="B3439" s="2" t="s">
        <v>186</v>
      </c>
      <c r="C3439" s="2" t="s">
        <v>21</v>
      </c>
      <c r="D3439" s="2" t="s">
        <v>10</v>
      </c>
      <c r="E3439" s="2" t="s">
        <v>41</v>
      </c>
      <c r="F3439" s="2">
        <v>14.28</v>
      </c>
      <c r="G3439" s="2">
        <v>7</v>
      </c>
      <c r="H3439" s="2">
        <v>6.71</v>
      </c>
      <c r="I3439" t="str">
        <f t="shared" si="53"/>
        <v>Oct</v>
      </c>
      <c r="J3439">
        <f>YEAR(datas[[#This Row],[Order Date]])</f>
        <v>2022</v>
      </c>
    </row>
    <row r="3440" spans="1:10" ht="14.25" customHeight="1" x14ac:dyDescent="0.3">
      <c r="A3440" s="1">
        <v>44865</v>
      </c>
      <c r="B3440" s="2" t="s">
        <v>253</v>
      </c>
      <c r="C3440" s="2" t="s">
        <v>60</v>
      </c>
      <c r="D3440" s="2" t="s">
        <v>10</v>
      </c>
      <c r="E3440" s="2" t="s">
        <v>95</v>
      </c>
      <c r="F3440" s="2">
        <v>70.12</v>
      </c>
      <c r="G3440" s="2">
        <v>4</v>
      </c>
      <c r="H3440" s="2">
        <v>21.04</v>
      </c>
      <c r="I3440" t="str">
        <f t="shared" si="53"/>
        <v>Oct</v>
      </c>
      <c r="J3440">
        <f>YEAR(datas[[#This Row],[Order Date]])</f>
        <v>2022</v>
      </c>
    </row>
    <row r="3441" spans="1:10" ht="14.25" customHeight="1" x14ac:dyDescent="0.3">
      <c r="A3441" s="1">
        <v>44865</v>
      </c>
      <c r="B3441" s="2" t="s">
        <v>125</v>
      </c>
      <c r="C3441" s="2" t="s">
        <v>75</v>
      </c>
      <c r="D3441" s="2" t="s">
        <v>10</v>
      </c>
      <c r="E3441" s="2" t="s">
        <v>19</v>
      </c>
      <c r="F3441" s="2">
        <v>2.78</v>
      </c>
      <c r="G3441" s="2">
        <v>2</v>
      </c>
      <c r="H3441" s="2">
        <v>0.72</v>
      </c>
      <c r="I3441" t="str">
        <f t="shared" si="53"/>
        <v>Oct</v>
      </c>
      <c r="J3441">
        <f>YEAR(datas[[#This Row],[Order Date]])</f>
        <v>2022</v>
      </c>
    </row>
    <row r="3442" spans="1:10" ht="14.25" customHeight="1" x14ac:dyDescent="0.3">
      <c r="A3442" s="1">
        <v>44865</v>
      </c>
      <c r="B3442" s="2" t="s">
        <v>125</v>
      </c>
      <c r="C3442" s="2" t="s">
        <v>75</v>
      </c>
      <c r="D3442" s="2" t="s">
        <v>10</v>
      </c>
      <c r="E3442" s="2" t="s">
        <v>41</v>
      </c>
      <c r="F3442" s="2">
        <v>79.959999999999994</v>
      </c>
      <c r="G3442" s="2">
        <v>2</v>
      </c>
      <c r="H3442" s="2">
        <v>35.979999999999997</v>
      </c>
      <c r="I3442" t="str">
        <f t="shared" si="53"/>
        <v>Oct</v>
      </c>
      <c r="J3442">
        <f>YEAR(datas[[#This Row],[Order Date]])</f>
        <v>2022</v>
      </c>
    </row>
    <row r="3443" spans="1:10" ht="14.25" customHeight="1" x14ac:dyDescent="0.3">
      <c r="A3443" s="1">
        <v>44865</v>
      </c>
      <c r="B3443" s="2" t="s">
        <v>162</v>
      </c>
      <c r="C3443" s="2" t="s">
        <v>21</v>
      </c>
      <c r="D3443" s="2" t="s">
        <v>10</v>
      </c>
      <c r="E3443" s="2" t="s">
        <v>16</v>
      </c>
      <c r="F3443" s="2">
        <v>9.73</v>
      </c>
      <c r="G3443" s="2">
        <v>2</v>
      </c>
      <c r="H3443" s="2">
        <v>3.28</v>
      </c>
      <c r="I3443" t="str">
        <f t="shared" si="53"/>
        <v>Oct</v>
      </c>
      <c r="J3443">
        <f>YEAR(datas[[#This Row],[Order Date]])</f>
        <v>2022</v>
      </c>
    </row>
    <row r="3444" spans="1:10" ht="14.25" customHeight="1" x14ac:dyDescent="0.3">
      <c r="A3444" s="1">
        <v>44865</v>
      </c>
      <c r="B3444" s="2" t="s">
        <v>162</v>
      </c>
      <c r="C3444" s="2" t="s">
        <v>21</v>
      </c>
      <c r="D3444" s="2" t="s">
        <v>10</v>
      </c>
      <c r="E3444" s="2" t="s">
        <v>41</v>
      </c>
      <c r="F3444" s="2">
        <v>14.75</v>
      </c>
      <c r="G3444" s="2">
        <v>5</v>
      </c>
      <c r="H3444" s="2">
        <v>7.08</v>
      </c>
      <c r="I3444" t="str">
        <f t="shared" si="53"/>
        <v>Oct</v>
      </c>
      <c r="J3444">
        <f>YEAR(datas[[#This Row],[Order Date]])</f>
        <v>2022</v>
      </c>
    </row>
    <row r="3445" spans="1:10" ht="14.25" customHeight="1" x14ac:dyDescent="0.3">
      <c r="A3445" s="1">
        <v>44865</v>
      </c>
      <c r="B3445" s="2" t="s">
        <v>162</v>
      </c>
      <c r="C3445" s="2" t="s">
        <v>21</v>
      </c>
      <c r="D3445" s="2" t="s">
        <v>10</v>
      </c>
      <c r="E3445" s="2" t="s">
        <v>16</v>
      </c>
      <c r="F3445" s="2">
        <v>29.8</v>
      </c>
      <c r="G3445" s="2">
        <v>5</v>
      </c>
      <c r="H3445" s="2">
        <v>9.31</v>
      </c>
      <c r="I3445" t="str">
        <f t="shared" si="53"/>
        <v>Oct</v>
      </c>
      <c r="J3445">
        <f>YEAR(datas[[#This Row],[Order Date]])</f>
        <v>2022</v>
      </c>
    </row>
    <row r="3446" spans="1:10" ht="14.25" customHeight="1" x14ac:dyDescent="0.3">
      <c r="A3446" s="1">
        <v>44865</v>
      </c>
      <c r="B3446" s="2" t="s">
        <v>162</v>
      </c>
      <c r="C3446" s="2" t="s">
        <v>21</v>
      </c>
      <c r="D3446" s="2" t="s">
        <v>10</v>
      </c>
      <c r="E3446" s="2" t="s">
        <v>14</v>
      </c>
      <c r="F3446" s="2">
        <v>427.42</v>
      </c>
      <c r="G3446" s="2">
        <v>14</v>
      </c>
      <c r="H3446" s="2">
        <v>196.61</v>
      </c>
      <c r="I3446" t="str">
        <f t="shared" si="53"/>
        <v>Oct</v>
      </c>
      <c r="J3446">
        <f>YEAR(datas[[#This Row],[Order Date]])</f>
        <v>2022</v>
      </c>
    </row>
    <row r="3447" spans="1:10" ht="14.25" customHeight="1" x14ac:dyDescent="0.3">
      <c r="A3447" s="1">
        <v>44865</v>
      </c>
      <c r="B3447" s="2" t="s">
        <v>780</v>
      </c>
      <c r="C3447" s="2" t="s">
        <v>21</v>
      </c>
      <c r="D3447" s="2" t="s">
        <v>10</v>
      </c>
      <c r="E3447" s="2" t="s">
        <v>11</v>
      </c>
      <c r="F3447" s="2">
        <v>19.98</v>
      </c>
      <c r="G3447" s="2">
        <v>1</v>
      </c>
      <c r="H3447" s="2">
        <v>9.39</v>
      </c>
      <c r="I3447" t="str">
        <f t="shared" si="53"/>
        <v>Oct</v>
      </c>
      <c r="J3447">
        <f>YEAR(datas[[#This Row],[Order Date]])</f>
        <v>2022</v>
      </c>
    </row>
    <row r="3448" spans="1:10" ht="14.25" customHeight="1" x14ac:dyDescent="0.3">
      <c r="A3448" s="1">
        <v>44865</v>
      </c>
      <c r="B3448" s="2" t="s">
        <v>780</v>
      </c>
      <c r="C3448" s="2" t="s">
        <v>21</v>
      </c>
      <c r="D3448" s="2" t="s">
        <v>10</v>
      </c>
      <c r="E3448" s="2" t="s">
        <v>16</v>
      </c>
      <c r="F3448" s="2">
        <v>398.35</v>
      </c>
      <c r="G3448" s="2">
        <v>3</v>
      </c>
      <c r="H3448" s="2">
        <v>124.49</v>
      </c>
      <c r="I3448" t="str">
        <f t="shared" si="53"/>
        <v>Oct</v>
      </c>
      <c r="J3448">
        <f>YEAR(datas[[#This Row],[Order Date]])</f>
        <v>2022</v>
      </c>
    </row>
    <row r="3449" spans="1:10" ht="14.25" customHeight="1" x14ac:dyDescent="0.3">
      <c r="A3449" s="1">
        <v>44865</v>
      </c>
      <c r="B3449" s="2" t="s">
        <v>780</v>
      </c>
      <c r="C3449" s="2" t="s">
        <v>21</v>
      </c>
      <c r="D3449" s="2" t="s">
        <v>10</v>
      </c>
      <c r="E3449" s="2" t="s">
        <v>19</v>
      </c>
      <c r="F3449" s="2">
        <v>5.04</v>
      </c>
      <c r="G3449" s="2">
        <v>3</v>
      </c>
      <c r="H3449" s="2">
        <v>1.26</v>
      </c>
      <c r="I3449" t="str">
        <f t="shared" si="53"/>
        <v>Oct</v>
      </c>
      <c r="J3449">
        <f>YEAR(datas[[#This Row],[Order Date]])</f>
        <v>2022</v>
      </c>
    </row>
    <row r="3450" spans="1:10" ht="14.25" customHeight="1" x14ac:dyDescent="0.3">
      <c r="A3450" s="1">
        <v>44865</v>
      </c>
      <c r="B3450" s="2" t="s">
        <v>780</v>
      </c>
      <c r="C3450" s="2" t="s">
        <v>21</v>
      </c>
      <c r="D3450" s="2" t="s">
        <v>10</v>
      </c>
      <c r="E3450" s="2" t="s">
        <v>30</v>
      </c>
      <c r="F3450" s="2">
        <v>17.45</v>
      </c>
      <c r="G3450" s="2">
        <v>5</v>
      </c>
      <c r="H3450" s="2">
        <v>8.0299999999999994</v>
      </c>
      <c r="I3450" t="str">
        <f t="shared" si="53"/>
        <v>Oct</v>
      </c>
      <c r="J3450">
        <f>YEAR(datas[[#This Row],[Order Date]])</f>
        <v>2022</v>
      </c>
    </row>
    <row r="3451" spans="1:10" ht="14.25" customHeight="1" x14ac:dyDescent="0.3">
      <c r="A3451" s="1">
        <v>44865</v>
      </c>
      <c r="B3451" s="2" t="s">
        <v>780</v>
      </c>
      <c r="C3451" s="2" t="s">
        <v>21</v>
      </c>
      <c r="D3451" s="2" t="s">
        <v>26</v>
      </c>
      <c r="E3451" s="2" t="s">
        <v>27</v>
      </c>
      <c r="F3451" s="2">
        <v>323.14</v>
      </c>
      <c r="G3451" s="2">
        <v>4</v>
      </c>
      <c r="H3451" s="2">
        <v>20.2</v>
      </c>
      <c r="I3451" t="str">
        <f t="shared" si="53"/>
        <v>Oct</v>
      </c>
      <c r="J3451">
        <f>YEAR(datas[[#This Row],[Order Date]])</f>
        <v>2022</v>
      </c>
    </row>
    <row r="3452" spans="1:10" ht="14.25" customHeight="1" x14ac:dyDescent="0.3">
      <c r="A3452" s="1">
        <v>44865</v>
      </c>
      <c r="B3452" s="2" t="s">
        <v>780</v>
      </c>
      <c r="C3452" s="2" t="s">
        <v>21</v>
      </c>
      <c r="D3452" s="2" t="s">
        <v>10</v>
      </c>
      <c r="E3452" s="2" t="s">
        <v>95</v>
      </c>
      <c r="F3452" s="2">
        <v>29.7</v>
      </c>
      <c r="G3452" s="2">
        <v>3</v>
      </c>
      <c r="H3452" s="2">
        <v>8.02</v>
      </c>
      <c r="I3452" t="str">
        <f t="shared" si="53"/>
        <v>Oct</v>
      </c>
      <c r="J3452">
        <f>YEAR(datas[[#This Row],[Order Date]])</f>
        <v>2022</v>
      </c>
    </row>
    <row r="3453" spans="1:10" ht="14.25" customHeight="1" x14ac:dyDescent="0.3">
      <c r="A3453" s="1">
        <v>44865</v>
      </c>
      <c r="B3453" s="2" t="s">
        <v>780</v>
      </c>
      <c r="C3453" s="2" t="s">
        <v>21</v>
      </c>
      <c r="D3453" s="2" t="s">
        <v>28</v>
      </c>
      <c r="E3453" s="2" t="s">
        <v>29</v>
      </c>
      <c r="F3453" s="2">
        <v>1295.8399999999999</v>
      </c>
      <c r="G3453" s="2">
        <v>4</v>
      </c>
      <c r="H3453" s="2">
        <v>145.78</v>
      </c>
      <c r="I3453" t="str">
        <f t="shared" si="53"/>
        <v>Oct</v>
      </c>
      <c r="J3453">
        <f>YEAR(datas[[#This Row],[Order Date]])</f>
        <v>2022</v>
      </c>
    </row>
    <row r="3454" spans="1:10" ht="14.25" customHeight="1" x14ac:dyDescent="0.3">
      <c r="A3454" s="1">
        <v>44865</v>
      </c>
      <c r="B3454" s="2" t="s">
        <v>780</v>
      </c>
      <c r="C3454" s="2" t="s">
        <v>21</v>
      </c>
      <c r="D3454" s="2" t="s">
        <v>10</v>
      </c>
      <c r="E3454" s="2" t="s">
        <v>15</v>
      </c>
      <c r="F3454" s="2">
        <v>46.84</v>
      </c>
      <c r="G3454" s="2">
        <v>2</v>
      </c>
      <c r="H3454" s="2">
        <v>12.65</v>
      </c>
      <c r="I3454" t="str">
        <f t="shared" si="53"/>
        <v>Oct</v>
      </c>
      <c r="J3454">
        <f>YEAR(datas[[#This Row],[Order Date]])</f>
        <v>2022</v>
      </c>
    </row>
    <row r="3455" spans="1:10" ht="14.25" customHeight="1" x14ac:dyDescent="0.3">
      <c r="A3455" s="1">
        <v>44865</v>
      </c>
      <c r="B3455" s="2" t="s">
        <v>780</v>
      </c>
      <c r="C3455" s="2" t="s">
        <v>21</v>
      </c>
      <c r="D3455" s="2" t="s">
        <v>26</v>
      </c>
      <c r="E3455" s="2" t="s">
        <v>45</v>
      </c>
      <c r="F3455" s="2">
        <v>425.83</v>
      </c>
      <c r="G3455" s="2">
        <v>1</v>
      </c>
      <c r="H3455" s="2">
        <v>20.04</v>
      </c>
      <c r="I3455" t="str">
        <f t="shared" si="53"/>
        <v>Oct</v>
      </c>
      <c r="J3455">
        <f>YEAR(datas[[#This Row],[Order Date]])</f>
        <v>2022</v>
      </c>
    </row>
    <row r="3456" spans="1:10" ht="14.25" customHeight="1" x14ac:dyDescent="0.3">
      <c r="A3456" s="1">
        <v>44866</v>
      </c>
      <c r="B3456" s="2" t="s">
        <v>200</v>
      </c>
      <c r="C3456" s="2" t="s">
        <v>18</v>
      </c>
      <c r="D3456" s="2" t="s">
        <v>28</v>
      </c>
      <c r="E3456" s="2" t="s">
        <v>34</v>
      </c>
      <c r="F3456" s="2">
        <v>35.36</v>
      </c>
      <c r="G3456" s="2">
        <v>2</v>
      </c>
      <c r="H3456" s="2">
        <v>-3.09</v>
      </c>
      <c r="I3456" t="str">
        <f t="shared" si="53"/>
        <v>Nov</v>
      </c>
      <c r="J3456">
        <f>YEAR(datas[[#This Row],[Order Date]])</f>
        <v>2022</v>
      </c>
    </row>
    <row r="3457" spans="1:10" ht="14.25" customHeight="1" x14ac:dyDescent="0.3">
      <c r="A3457" s="1">
        <v>44866</v>
      </c>
      <c r="B3457" s="2" t="s">
        <v>200</v>
      </c>
      <c r="C3457" s="2" t="s">
        <v>18</v>
      </c>
      <c r="D3457" s="2" t="s">
        <v>10</v>
      </c>
      <c r="E3457" s="2" t="s">
        <v>30</v>
      </c>
      <c r="F3457" s="2">
        <v>3.17</v>
      </c>
      <c r="G3457" s="2">
        <v>2</v>
      </c>
      <c r="H3457" s="2">
        <v>-0.71</v>
      </c>
      <c r="I3457" t="str">
        <f t="shared" si="53"/>
        <v>Nov</v>
      </c>
      <c r="J3457">
        <f>YEAR(datas[[#This Row],[Order Date]])</f>
        <v>2022</v>
      </c>
    </row>
    <row r="3458" spans="1:10" ht="14.25" customHeight="1" x14ac:dyDescent="0.3">
      <c r="A3458" s="1">
        <v>44866</v>
      </c>
      <c r="B3458" s="2" t="s">
        <v>144</v>
      </c>
      <c r="C3458" s="2" t="s">
        <v>75</v>
      </c>
      <c r="D3458" s="2" t="s">
        <v>28</v>
      </c>
      <c r="E3458" s="2" t="s">
        <v>29</v>
      </c>
      <c r="F3458" s="2">
        <v>4.95</v>
      </c>
      <c r="G3458" s="2">
        <v>1</v>
      </c>
      <c r="H3458" s="2">
        <v>1.34</v>
      </c>
      <c r="I3458" t="str">
        <f t="shared" si="53"/>
        <v>Nov</v>
      </c>
      <c r="J3458">
        <f>YEAR(datas[[#This Row],[Order Date]])</f>
        <v>2022</v>
      </c>
    </row>
    <row r="3459" spans="1:10" ht="14.25" customHeight="1" x14ac:dyDescent="0.3">
      <c r="A3459" s="1">
        <v>44866</v>
      </c>
      <c r="B3459" s="2" t="s">
        <v>398</v>
      </c>
      <c r="C3459" s="2" t="s">
        <v>75</v>
      </c>
      <c r="D3459" s="2" t="s">
        <v>10</v>
      </c>
      <c r="E3459" s="2" t="s">
        <v>11</v>
      </c>
      <c r="F3459" s="2">
        <v>13.52</v>
      </c>
      <c r="G3459" s="2">
        <v>4</v>
      </c>
      <c r="H3459" s="2">
        <v>6.22</v>
      </c>
      <c r="I3459" t="str">
        <f t="shared" ref="I3459:I3522" si="54">TEXT(A3459,"mmm")</f>
        <v>Nov</v>
      </c>
      <c r="J3459">
        <f>YEAR(datas[[#This Row],[Order Date]])</f>
        <v>2022</v>
      </c>
    </row>
    <row r="3460" spans="1:10" ht="14.25" customHeight="1" x14ac:dyDescent="0.3">
      <c r="A3460" s="1">
        <v>44866</v>
      </c>
      <c r="B3460" s="2" t="s">
        <v>398</v>
      </c>
      <c r="C3460" s="2" t="s">
        <v>75</v>
      </c>
      <c r="D3460" s="2" t="s">
        <v>26</v>
      </c>
      <c r="E3460" s="2" t="s">
        <v>32</v>
      </c>
      <c r="F3460" s="2">
        <v>259.7</v>
      </c>
      <c r="G3460" s="2">
        <v>5</v>
      </c>
      <c r="H3460" s="2">
        <v>106.48</v>
      </c>
      <c r="I3460" t="str">
        <f t="shared" si="54"/>
        <v>Nov</v>
      </c>
      <c r="J3460">
        <f>YEAR(datas[[#This Row],[Order Date]])</f>
        <v>2022</v>
      </c>
    </row>
    <row r="3461" spans="1:10" ht="14.25" customHeight="1" x14ac:dyDescent="0.3">
      <c r="A3461" s="1">
        <v>44866</v>
      </c>
      <c r="B3461" s="2" t="s">
        <v>398</v>
      </c>
      <c r="C3461" s="2" t="s">
        <v>75</v>
      </c>
      <c r="D3461" s="2" t="s">
        <v>28</v>
      </c>
      <c r="E3461" s="2" t="s">
        <v>29</v>
      </c>
      <c r="F3461" s="2">
        <v>42.95</v>
      </c>
      <c r="G3461" s="2">
        <v>1</v>
      </c>
      <c r="H3461" s="2">
        <v>1.29</v>
      </c>
      <c r="I3461" t="str">
        <f t="shared" si="54"/>
        <v>Nov</v>
      </c>
      <c r="J3461">
        <f>YEAR(datas[[#This Row],[Order Date]])</f>
        <v>2022</v>
      </c>
    </row>
    <row r="3462" spans="1:10" ht="14.25" customHeight="1" x14ac:dyDescent="0.3">
      <c r="A3462" s="1">
        <v>44866</v>
      </c>
      <c r="B3462" s="2" t="s">
        <v>398</v>
      </c>
      <c r="C3462" s="2" t="s">
        <v>75</v>
      </c>
      <c r="D3462" s="2" t="s">
        <v>28</v>
      </c>
      <c r="E3462" s="2" t="s">
        <v>34</v>
      </c>
      <c r="F3462" s="2">
        <v>1399.93</v>
      </c>
      <c r="G3462" s="2">
        <v>7</v>
      </c>
      <c r="H3462" s="2">
        <v>601.97</v>
      </c>
      <c r="I3462" t="str">
        <f t="shared" si="54"/>
        <v>Nov</v>
      </c>
      <c r="J3462">
        <f>YEAR(datas[[#This Row],[Order Date]])</f>
        <v>2022</v>
      </c>
    </row>
    <row r="3463" spans="1:10" ht="14.25" customHeight="1" x14ac:dyDescent="0.3">
      <c r="A3463" s="1">
        <v>44866</v>
      </c>
      <c r="B3463" s="2" t="s">
        <v>398</v>
      </c>
      <c r="C3463" s="2" t="s">
        <v>75</v>
      </c>
      <c r="D3463" s="2" t="s">
        <v>28</v>
      </c>
      <c r="E3463" s="2" t="s">
        <v>29</v>
      </c>
      <c r="F3463" s="2">
        <v>503.96</v>
      </c>
      <c r="G3463" s="2">
        <v>4</v>
      </c>
      <c r="H3463" s="2">
        <v>125.99</v>
      </c>
      <c r="I3463" t="str">
        <f t="shared" si="54"/>
        <v>Nov</v>
      </c>
      <c r="J3463">
        <f>YEAR(datas[[#This Row],[Order Date]])</f>
        <v>2022</v>
      </c>
    </row>
    <row r="3464" spans="1:10" ht="14.25" customHeight="1" x14ac:dyDescent="0.3">
      <c r="A3464" s="1">
        <v>44866</v>
      </c>
      <c r="B3464" s="2" t="s">
        <v>90</v>
      </c>
      <c r="C3464" s="2" t="s">
        <v>52</v>
      </c>
      <c r="D3464" s="2" t="s">
        <v>10</v>
      </c>
      <c r="E3464" s="2" t="s">
        <v>19</v>
      </c>
      <c r="F3464" s="2">
        <v>7.88</v>
      </c>
      <c r="G3464" s="2">
        <v>1</v>
      </c>
      <c r="H3464" s="2">
        <v>1.77</v>
      </c>
      <c r="I3464" t="str">
        <f t="shared" si="54"/>
        <v>Nov</v>
      </c>
      <c r="J3464">
        <f>YEAR(datas[[#This Row],[Order Date]])</f>
        <v>2022</v>
      </c>
    </row>
    <row r="3465" spans="1:10" ht="14.25" customHeight="1" x14ac:dyDescent="0.3">
      <c r="A3465" s="1">
        <v>44866</v>
      </c>
      <c r="B3465" s="2" t="s">
        <v>565</v>
      </c>
      <c r="C3465" s="2" t="s">
        <v>57</v>
      </c>
      <c r="D3465" s="2" t="s">
        <v>26</v>
      </c>
      <c r="E3465" s="2" t="s">
        <v>73</v>
      </c>
      <c r="F3465" s="2">
        <v>301.95999999999998</v>
      </c>
      <c r="G3465" s="2">
        <v>2</v>
      </c>
      <c r="H3465" s="2">
        <v>45.29</v>
      </c>
      <c r="I3465" t="str">
        <f t="shared" si="54"/>
        <v>Nov</v>
      </c>
      <c r="J3465">
        <f>YEAR(datas[[#This Row],[Order Date]])</f>
        <v>2022</v>
      </c>
    </row>
    <row r="3466" spans="1:10" ht="14.25" customHeight="1" x14ac:dyDescent="0.3">
      <c r="A3466" s="1">
        <v>44866</v>
      </c>
      <c r="B3466" s="2" t="s">
        <v>718</v>
      </c>
      <c r="C3466" s="2" t="s">
        <v>75</v>
      </c>
      <c r="D3466" s="2" t="s">
        <v>26</v>
      </c>
      <c r="E3466" s="2" t="s">
        <v>27</v>
      </c>
      <c r="F3466" s="2">
        <v>327.56</v>
      </c>
      <c r="G3466" s="2">
        <v>4</v>
      </c>
      <c r="H3466" s="2">
        <v>21.84</v>
      </c>
      <c r="I3466" t="str">
        <f t="shared" si="54"/>
        <v>Nov</v>
      </c>
      <c r="J3466">
        <f>YEAR(datas[[#This Row],[Order Date]])</f>
        <v>2022</v>
      </c>
    </row>
    <row r="3467" spans="1:10" ht="14.25" customHeight="1" x14ac:dyDescent="0.3">
      <c r="A3467" s="1">
        <v>44866</v>
      </c>
      <c r="B3467" s="2" t="s">
        <v>538</v>
      </c>
      <c r="C3467" s="2" t="s">
        <v>75</v>
      </c>
      <c r="D3467" s="2" t="s">
        <v>26</v>
      </c>
      <c r="E3467" s="2" t="s">
        <v>27</v>
      </c>
      <c r="F3467" s="2">
        <v>205.16</v>
      </c>
      <c r="G3467" s="2">
        <v>2</v>
      </c>
      <c r="H3467" s="2">
        <v>13.68</v>
      </c>
      <c r="I3467" t="str">
        <f t="shared" si="54"/>
        <v>Nov</v>
      </c>
      <c r="J3467">
        <f>YEAR(datas[[#This Row],[Order Date]])</f>
        <v>2022</v>
      </c>
    </row>
    <row r="3468" spans="1:10" ht="14.25" customHeight="1" x14ac:dyDescent="0.3">
      <c r="A3468" s="1">
        <v>44867</v>
      </c>
      <c r="B3468" s="2" t="s">
        <v>176</v>
      </c>
      <c r="C3468" s="2" t="s">
        <v>21</v>
      </c>
      <c r="D3468" s="2" t="s">
        <v>26</v>
      </c>
      <c r="E3468" s="2" t="s">
        <v>73</v>
      </c>
      <c r="F3468" s="2">
        <v>1038.8399999999999</v>
      </c>
      <c r="G3468" s="2">
        <v>5</v>
      </c>
      <c r="H3468" s="2">
        <v>51.94</v>
      </c>
      <c r="I3468" t="str">
        <f t="shared" si="54"/>
        <v>Nov</v>
      </c>
      <c r="J3468">
        <f>YEAR(datas[[#This Row],[Order Date]])</f>
        <v>2022</v>
      </c>
    </row>
    <row r="3469" spans="1:10" ht="14.25" customHeight="1" x14ac:dyDescent="0.3">
      <c r="A3469" s="1">
        <v>44867</v>
      </c>
      <c r="B3469" s="2" t="s">
        <v>781</v>
      </c>
      <c r="C3469" s="2" t="s">
        <v>82</v>
      </c>
      <c r="D3469" s="2" t="s">
        <v>28</v>
      </c>
      <c r="E3469" s="2" t="s">
        <v>34</v>
      </c>
      <c r="F3469" s="2">
        <v>447.93</v>
      </c>
      <c r="G3469" s="2">
        <v>9</v>
      </c>
      <c r="H3469" s="2">
        <v>49.27</v>
      </c>
      <c r="I3469" t="str">
        <f t="shared" si="54"/>
        <v>Nov</v>
      </c>
      <c r="J3469">
        <f>YEAR(datas[[#This Row],[Order Date]])</f>
        <v>2022</v>
      </c>
    </row>
    <row r="3470" spans="1:10" ht="14.25" customHeight="1" x14ac:dyDescent="0.3">
      <c r="A3470" s="1">
        <v>44867</v>
      </c>
      <c r="B3470" s="2" t="s">
        <v>376</v>
      </c>
      <c r="C3470" s="2" t="s">
        <v>75</v>
      </c>
      <c r="D3470" s="2" t="s">
        <v>26</v>
      </c>
      <c r="E3470" s="2" t="s">
        <v>27</v>
      </c>
      <c r="F3470" s="2">
        <v>109.76</v>
      </c>
      <c r="G3470" s="2">
        <v>2</v>
      </c>
      <c r="H3470" s="2">
        <v>8.5399999999999991</v>
      </c>
      <c r="I3470" t="str">
        <f t="shared" si="54"/>
        <v>Nov</v>
      </c>
      <c r="J3470">
        <f>YEAR(datas[[#This Row],[Order Date]])</f>
        <v>2022</v>
      </c>
    </row>
    <row r="3471" spans="1:10" ht="14.25" customHeight="1" x14ac:dyDescent="0.3">
      <c r="A3471" s="1">
        <v>44867</v>
      </c>
      <c r="B3471" s="2" t="s">
        <v>302</v>
      </c>
      <c r="C3471" s="2" t="s">
        <v>21</v>
      </c>
      <c r="D3471" s="2" t="s">
        <v>26</v>
      </c>
      <c r="E3471" s="2" t="s">
        <v>32</v>
      </c>
      <c r="F3471" s="2">
        <v>96.96</v>
      </c>
      <c r="G3471" s="2">
        <v>6</v>
      </c>
      <c r="H3471" s="2">
        <v>33.94</v>
      </c>
      <c r="I3471" t="str">
        <f t="shared" si="54"/>
        <v>Nov</v>
      </c>
      <c r="J3471">
        <f>YEAR(datas[[#This Row],[Order Date]])</f>
        <v>2022</v>
      </c>
    </row>
    <row r="3472" spans="1:10" ht="14.25" customHeight="1" x14ac:dyDescent="0.3">
      <c r="A3472" s="1">
        <v>44867</v>
      </c>
      <c r="B3472" s="2" t="s">
        <v>302</v>
      </c>
      <c r="C3472" s="2" t="s">
        <v>21</v>
      </c>
      <c r="D3472" s="2" t="s">
        <v>10</v>
      </c>
      <c r="E3472" s="2" t="s">
        <v>16</v>
      </c>
      <c r="F3472" s="2">
        <v>117.49</v>
      </c>
      <c r="G3472" s="2">
        <v>7</v>
      </c>
      <c r="H3472" s="2">
        <v>41.12</v>
      </c>
      <c r="I3472" t="str">
        <f t="shared" si="54"/>
        <v>Nov</v>
      </c>
      <c r="J3472">
        <f>YEAR(datas[[#This Row],[Order Date]])</f>
        <v>2022</v>
      </c>
    </row>
    <row r="3473" spans="1:10" ht="14.25" customHeight="1" x14ac:dyDescent="0.3">
      <c r="A3473" s="1">
        <v>44867</v>
      </c>
      <c r="B3473" s="2" t="s">
        <v>302</v>
      </c>
      <c r="C3473" s="2" t="s">
        <v>21</v>
      </c>
      <c r="D3473" s="2" t="s">
        <v>10</v>
      </c>
      <c r="E3473" s="2" t="s">
        <v>16</v>
      </c>
      <c r="F3473" s="2">
        <v>11.95</v>
      </c>
      <c r="G3473" s="2">
        <v>3</v>
      </c>
      <c r="H3473" s="2">
        <v>4.18</v>
      </c>
      <c r="I3473" t="str">
        <f t="shared" si="54"/>
        <v>Nov</v>
      </c>
      <c r="J3473">
        <f>YEAR(datas[[#This Row],[Order Date]])</f>
        <v>2022</v>
      </c>
    </row>
    <row r="3474" spans="1:10" ht="14.25" customHeight="1" x14ac:dyDescent="0.3">
      <c r="A3474" s="1">
        <v>44867</v>
      </c>
      <c r="B3474" s="2" t="s">
        <v>302</v>
      </c>
      <c r="C3474" s="2" t="s">
        <v>21</v>
      </c>
      <c r="D3474" s="2" t="s">
        <v>26</v>
      </c>
      <c r="E3474" s="2" t="s">
        <v>45</v>
      </c>
      <c r="F3474" s="2">
        <v>512.5</v>
      </c>
      <c r="G3474" s="2">
        <v>3</v>
      </c>
      <c r="H3474" s="2">
        <v>-30.15</v>
      </c>
      <c r="I3474" t="str">
        <f t="shared" si="54"/>
        <v>Nov</v>
      </c>
      <c r="J3474">
        <f>YEAR(datas[[#This Row],[Order Date]])</f>
        <v>2022</v>
      </c>
    </row>
    <row r="3475" spans="1:10" ht="14.25" customHeight="1" x14ac:dyDescent="0.3">
      <c r="A3475" s="1">
        <v>44867</v>
      </c>
      <c r="B3475" s="2" t="s">
        <v>411</v>
      </c>
      <c r="C3475" s="2" t="s">
        <v>75</v>
      </c>
      <c r="D3475" s="2" t="s">
        <v>26</v>
      </c>
      <c r="E3475" s="2" t="s">
        <v>27</v>
      </c>
      <c r="F3475" s="2">
        <v>2621.3200000000002</v>
      </c>
      <c r="G3475" s="2">
        <v>11</v>
      </c>
      <c r="H3475" s="2">
        <v>553.39</v>
      </c>
      <c r="I3475" t="str">
        <f t="shared" si="54"/>
        <v>Nov</v>
      </c>
      <c r="J3475">
        <f>YEAR(datas[[#This Row],[Order Date]])</f>
        <v>2022</v>
      </c>
    </row>
    <row r="3476" spans="1:10" ht="14.25" customHeight="1" x14ac:dyDescent="0.3">
      <c r="A3476" s="1">
        <v>44867</v>
      </c>
      <c r="B3476" s="2" t="s">
        <v>392</v>
      </c>
      <c r="C3476" s="2" t="s">
        <v>9</v>
      </c>
      <c r="D3476" s="2" t="s">
        <v>10</v>
      </c>
      <c r="E3476" s="2" t="s">
        <v>16</v>
      </c>
      <c r="F3476" s="2">
        <v>29.37</v>
      </c>
      <c r="G3476" s="2">
        <v>7</v>
      </c>
      <c r="H3476" s="2">
        <v>-47</v>
      </c>
      <c r="I3476" t="str">
        <f t="shared" si="54"/>
        <v>Nov</v>
      </c>
      <c r="J3476">
        <f>YEAR(datas[[#This Row],[Order Date]])</f>
        <v>2022</v>
      </c>
    </row>
    <row r="3477" spans="1:10" ht="14.25" customHeight="1" x14ac:dyDescent="0.3">
      <c r="A3477" s="1">
        <v>44867</v>
      </c>
      <c r="B3477" s="2" t="s">
        <v>392</v>
      </c>
      <c r="C3477" s="2" t="s">
        <v>9</v>
      </c>
      <c r="D3477" s="2" t="s">
        <v>28</v>
      </c>
      <c r="E3477" s="2" t="s">
        <v>29</v>
      </c>
      <c r="F3477" s="2">
        <v>344.7</v>
      </c>
      <c r="G3477" s="2">
        <v>2</v>
      </c>
      <c r="H3477" s="2">
        <v>38.78</v>
      </c>
      <c r="I3477" t="str">
        <f t="shared" si="54"/>
        <v>Nov</v>
      </c>
      <c r="J3477">
        <f>YEAR(datas[[#This Row],[Order Date]])</f>
        <v>2022</v>
      </c>
    </row>
    <row r="3478" spans="1:10" ht="14.25" customHeight="1" x14ac:dyDescent="0.3">
      <c r="A3478" s="1">
        <v>44867</v>
      </c>
      <c r="B3478" s="2" t="s">
        <v>782</v>
      </c>
      <c r="C3478" s="2" t="s">
        <v>36</v>
      </c>
      <c r="D3478" s="2" t="s">
        <v>10</v>
      </c>
      <c r="E3478" s="2" t="s">
        <v>53</v>
      </c>
      <c r="F3478" s="2">
        <v>197.72</v>
      </c>
      <c r="G3478" s="2">
        <v>4</v>
      </c>
      <c r="H3478" s="2">
        <v>55.36</v>
      </c>
      <c r="I3478" t="str">
        <f t="shared" si="54"/>
        <v>Nov</v>
      </c>
      <c r="J3478">
        <f>YEAR(datas[[#This Row],[Order Date]])</f>
        <v>2022</v>
      </c>
    </row>
    <row r="3479" spans="1:10" ht="14.25" customHeight="1" x14ac:dyDescent="0.3">
      <c r="A3479" s="1">
        <v>44868</v>
      </c>
      <c r="B3479" s="2" t="s">
        <v>691</v>
      </c>
      <c r="C3479" s="2" t="s">
        <v>21</v>
      </c>
      <c r="D3479" s="2" t="s">
        <v>28</v>
      </c>
      <c r="E3479" s="2" t="s">
        <v>29</v>
      </c>
      <c r="F3479" s="2">
        <v>1212.8499999999999</v>
      </c>
      <c r="G3479" s="2">
        <v>7</v>
      </c>
      <c r="H3479" s="2">
        <v>106.12</v>
      </c>
      <c r="I3479" t="str">
        <f t="shared" si="54"/>
        <v>Nov</v>
      </c>
      <c r="J3479">
        <f>YEAR(datas[[#This Row],[Order Date]])</f>
        <v>2022</v>
      </c>
    </row>
    <row r="3480" spans="1:10" ht="14.25" customHeight="1" x14ac:dyDescent="0.3">
      <c r="A3480" s="1">
        <v>44868</v>
      </c>
      <c r="B3480" s="2" t="s">
        <v>691</v>
      </c>
      <c r="C3480" s="2" t="s">
        <v>21</v>
      </c>
      <c r="D3480" s="2" t="s">
        <v>28</v>
      </c>
      <c r="E3480" s="2" t="s">
        <v>34</v>
      </c>
      <c r="F3480" s="2">
        <v>89.97</v>
      </c>
      <c r="G3480" s="2">
        <v>3</v>
      </c>
      <c r="H3480" s="2">
        <v>37.79</v>
      </c>
      <c r="I3480" t="str">
        <f t="shared" si="54"/>
        <v>Nov</v>
      </c>
      <c r="J3480">
        <f>YEAR(datas[[#This Row],[Order Date]])</f>
        <v>2022</v>
      </c>
    </row>
    <row r="3481" spans="1:10" ht="14.25" customHeight="1" x14ac:dyDescent="0.3">
      <c r="A3481" s="1">
        <v>44868</v>
      </c>
      <c r="B3481" s="2" t="s">
        <v>691</v>
      </c>
      <c r="C3481" s="2" t="s">
        <v>21</v>
      </c>
      <c r="D3481" s="2" t="s">
        <v>26</v>
      </c>
      <c r="E3481" s="2" t="s">
        <v>32</v>
      </c>
      <c r="F3481" s="2">
        <v>42.6</v>
      </c>
      <c r="G3481" s="2">
        <v>3</v>
      </c>
      <c r="H3481" s="2">
        <v>16.61</v>
      </c>
      <c r="I3481" t="str">
        <f t="shared" si="54"/>
        <v>Nov</v>
      </c>
      <c r="J3481">
        <f>YEAR(datas[[#This Row],[Order Date]])</f>
        <v>2022</v>
      </c>
    </row>
    <row r="3482" spans="1:10" ht="14.25" customHeight="1" x14ac:dyDescent="0.3">
      <c r="A3482" s="1">
        <v>44868</v>
      </c>
      <c r="B3482" s="2" t="s">
        <v>39</v>
      </c>
      <c r="C3482" s="2" t="s">
        <v>9</v>
      </c>
      <c r="D3482" s="2" t="s">
        <v>10</v>
      </c>
      <c r="E3482" s="2" t="s">
        <v>41</v>
      </c>
      <c r="F3482" s="2">
        <v>6.61</v>
      </c>
      <c r="G3482" s="2">
        <v>2</v>
      </c>
      <c r="H3482" s="2">
        <v>2.15</v>
      </c>
      <c r="I3482" t="str">
        <f t="shared" si="54"/>
        <v>Nov</v>
      </c>
      <c r="J3482">
        <f>YEAR(datas[[#This Row],[Order Date]])</f>
        <v>2022</v>
      </c>
    </row>
    <row r="3483" spans="1:10" ht="14.25" customHeight="1" x14ac:dyDescent="0.3">
      <c r="A3483" s="1">
        <v>44868</v>
      </c>
      <c r="B3483" s="2" t="s">
        <v>541</v>
      </c>
      <c r="C3483" s="2" t="s">
        <v>75</v>
      </c>
      <c r="D3483" s="2" t="s">
        <v>26</v>
      </c>
      <c r="E3483" s="2" t="s">
        <v>27</v>
      </c>
      <c r="F3483" s="2">
        <v>1448.82</v>
      </c>
      <c r="G3483" s="2">
        <v>10</v>
      </c>
      <c r="H3483" s="2">
        <v>209.27</v>
      </c>
      <c r="I3483" t="str">
        <f t="shared" si="54"/>
        <v>Nov</v>
      </c>
      <c r="J3483">
        <f>YEAR(datas[[#This Row],[Order Date]])</f>
        <v>2022</v>
      </c>
    </row>
    <row r="3484" spans="1:10" ht="14.25" customHeight="1" x14ac:dyDescent="0.3">
      <c r="A3484" s="1">
        <v>44870</v>
      </c>
      <c r="B3484" s="2" t="s">
        <v>233</v>
      </c>
      <c r="C3484" s="2" t="s">
        <v>115</v>
      </c>
      <c r="D3484" s="2" t="s">
        <v>26</v>
      </c>
      <c r="E3484" s="2" t="s">
        <v>27</v>
      </c>
      <c r="F3484" s="2">
        <v>207</v>
      </c>
      <c r="G3484" s="2">
        <v>3</v>
      </c>
      <c r="H3484" s="2">
        <v>25.88</v>
      </c>
      <c r="I3484" t="str">
        <f t="shared" si="54"/>
        <v>Nov</v>
      </c>
      <c r="J3484">
        <f>YEAR(datas[[#This Row],[Order Date]])</f>
        <v>2022</v>
      </c>
    </row>
    <row r="3485" spans="1:10" ht="14.25" customHeight="1" x14ac:dyDescent="0.3">
      <c r="A3485" s="1">
        <v>44870</v>
      </c>
      <c r="B3485" s="2" t="s">
        <v>398</v>
      </c>
      <c r="C3485" s="2" t="s">
        <v>64</v>
      </c>
      <c r="D3485" s="2" t="s">
        <v>10</v>
      </c>
      <c r="E3485" s="2" t="s">
        <v>53</v>
      </c>
      <c r="F3485" s="2">
        <v>387.14</v>
      </c>
      <c r="G3485" s="2">
        <v>4</v>
      </c>
      <c r="H3485" s="2">
        <v>24.2</v>
      </c>
      <c r="I3485" t="str">
        <f t="shared" si="54"/>
        <v>Nov</v>
      </c>
      <c r="J3485">
        <f>YEAR(datas[[#This Row],[Order Date]])</f>
        <v>2022</v>
      </c>
    </row>
    <row r="3486" spans="1:10" ht="14.25" customHeight="1" x14ac:dyDescent="0.3">
      <c r="A3486" s="1">
        <v>44870</v>
      </c>
      <c r="B3486" s="2" t="s">
        <v>308</v>
      </c>
      <c r="C3486" s="2" t="s">
        <v>75</v>
      </c>
      <c r="D3486" s="2" t="s">
        <v>10</v>
      </c>
      <c r="E3486" s="2" t="s">
        <v>16</v>
      </c>
      <c r="F3486" s="2">
        <v>25.34</v>
      </c>
      <c r="G3486" s="2">
        <v>6</v>
      </c>
      <c r="H3486" s="2">
        <v>8.8699999999999992</v>
      </c>
      <c r="I3486" t="str">
        <f t="shared" si="54"/>
        <v>Nov</v>
      </c>
      <c r="J3486">
        <f>YEAR(datas[[#This Row],[Order Date]])</f>
        <v>2022</v>
      </c>
    </row>
    <row r="3487" spans="1:10" ht="14.25" customHeight="1" x14ac:dyDescent="0.3">
      <c r="A3487" s="1">
        <v>44870</v>
      </c>
      <c r="B3487" s="2" t="s">
        <v>606</v>
      </c>
      <c r="C3487" s="2" t="s">
        <v>13</v>
      </c>
      <c r="D3487" s="2" t="s">
        <v>10</v>
      </c>
      <c r="E3487" s="2" t="s">
        <v>14</v>
      </c>
      <c r="F3487" s="2">
        <v>19.82</v>
      </c>
      <c r="G3487" s="2">
        <v>6</v>
      </c>
      <c r="H3487" s="2">
        <v>6.44</v>
      </c>
      <c r="I3487" t="str">
        <f t="shared" si="54"/>
        <v>Nov</v>
      </c>
      <c r="J3487">
        <f>YEAR(datas[[#This Row],[Order Date]])</f>
        <v>2022</v>
      </c>
    </row>
    <row r="3488" spans="1:10" ht="14.25" customHeight="1" x14ac:dyDescent="0.3">
      <c r="A3488" s="1">
        <v>44870</v>
      </c>
      <c r="B3488" s="2" t="s">
        <v>240</v>
      </c>
      <c r="C3488" s="2" t="s">
        <v>21</v>
      </c>
      <c r="D3488" s="2" t="s">
        <v>10</v>
      </c>
      <c r="E3488" s="2" t="s">
        <v>15</v>
      </c>
      <c r="F3488" s="2">
        <v>62.8</v>
      </c>
      <c r="G3488" s="2">
        <v>4</v>
      </c>
      <c r="H3488" s="2">
        <v>15.7</v>
      </c>
      <c r="I3488" t="str">
        <f t="shared" si="54"/>
        <v>Nov</v>
      </c>
      <c r="J3488">
        <f>YEAR(datas[[#This Row],[Order Date]])</f>
        <v>2022</v>
      </c>
    </row>
    <row r="3489" spans="1:10" ht="14.25" customHeight="1" x14ac:dyDescent="0.3">
      <c r="A3489" s="1">
        <v>44870</v>
      </c>
      <c r="B3489" s="2" t="s">
        <v>387</v>
      </c>
      <c r="C3489" s="2" t="s">
        <v>82</v>
      </c>
      <c r="D3489" s="2" t="s">
        <v>10</v>
      </c>
      <c r="E3489" s="2" t="s">
        <v>16</v>
      </c>
      <c r="F3489" s="2">
        <v>98.35</v>
      </c>
      <c r="G3489" s="2">
        <v>3</v>
      </c>
      <c r="H3489" s="2">
        <v>35.65</v>
      </c>
      <c r="I3489" t="str">
        <f t="shared" si="54"/>
        <v>Nov</v>
      </c>
      <c r="J3489">
        <f>YEAR(datas[[#This Row],[Order Date]])</f>
        <v>2022</v>
      </c>
    </row>
    <row r="3490" spans="1:10" ht="14.25" customHeight="1" x14ac:dyDescent="0.3">
      <c r="A3490" s="1">
        <v>44870</v>
      </c>
      <c r="B3490" s="2" t="s">
        <v>783</v>
      </c>
      <c r="C3490" s="2" t="s">
        <v>47</v>
      </c>
      <c r="D3490" s="2" t="s">
        <v>10</v>
      </c>
      <c r="E3490" s="2" t="s">
        <v>16</v>
      </c>
      <c r="F3490" s="2">
        <v>7.22</v>
      </c>
      <c r="G3490" s="2">
        <v>3</v>
      </c>
      <c r="H3490" s="2">
        <v>-5.53</v>
      </c>
      <c r="I3490" t="str">
        <f t="shared" si="54"/>
        <v>Nov</v>
      </c>
      <c r="J3490">
        <f>YEAR(datas[[#This Row],[Order Date]])</f>
        <v>2022</v>
      </c>
    </row>
    <row r="3491" spans="1:10" ht="14.25" customHeight="1" x14ac:dyDescent="0.3">
      <c r="A3491" s="1">
        <v>44870</v>
      </c>
      <c r="B3491" s="2" t="s">
        <v>783</v>
      </c>
      <c r="C3491" s="2" t="s">
        <v>47</v>
      </c>
      <c r="D3491" s="2" t="s">
        <v>10</v>
      </c>
      <c r="E3491" s="2" t="s">
        <v>95</v>
      </c>
      <c r="F3491" s="2">
        <v>27.2</v>
      </c>
      <c r="G3491" s="2">
        <v>4</v>
      </c>
      <c r="H3491" s="2">
        <v>2.04</v>
      </c>
      <c r="I3491" t="str">
        <f t="shared" si="54"/>
        <v>Nov</v>
      </c>
      <c r="J3491">
        <f>YEAR(datas[[#This Row],[Order Date]])</f>
        <v>2022</v>
      </c>
    </row>
    <row r="3492" spans="1:10" ht="14.25" customHeight="1" x14ac:dyDescent="0.3">
      <c r="A3492" s="1">
        <v>44871</v>
      </c>
      <c r="B3492" s="2" t="s">
        <v>784</v>
      </c>
      <c r="C3492" s="2" t="s">
        <v>55</v>
      </c>
      <c r="D3492" s="2" t="s">
        <v>10</v>
      </c>
      <c r="E3492" s="2" t="s">
        <v>41</v>
      </c>
      <c r="F3492" s="2">
        <v>7.08</v>
      </c>
      <c r="G3492" s="2">
        <v>3</v>
      </c>
      <c r="H3492" s="2">
        <v>2.48</v>
      </c>
      <c r="I3492" t="str">
        <f t="shared" si="54"/>
        <v>Nov</v>
      </c>
      <c r="J3492">
        <f>YEAR(datas[[#This Row],[Order Date]])</f>
        <v>2022</v>
      </c>
    </row>
    <row r="3493" spans="1:10" ht="14.25" customHeight="1" x14ac:dyDescent="0.3">
      <c r="A3493" s="1">
        <v>44871</v>
      </c>
      <c r="B3493" s="2" t="s">
        <v>784</v>
      </c>
      <c r="C3493" s="2" t="s">
        <v>55</v>
      </c>
      <c r="D3493" s="2" t="s">
        <v>10</v>
      </c>
      <c r="E3493" s="2" t="s">
        <v>16</v>
      </c>
      <c r="F3493" s="2">
        <v>4.4000000000000004</v>
      </c>
      <c r="G3493" s="2">
        <v>3</v>
      </c>
      <c r="H3493" s="2">
        <v>-3.52</v>
      </c>
      <c r="I3493" t="str">
        <f t="shared" si="54"/>
        <v>Nov</v>
      </c>
      <c r="J3493">
        <f>YEAR(datas[[#This Row],[Order Date]])</f>
        <v>2022</v>
      </c>
    </row>
    <row r="3494" spans="1:10" ht="14.25" customHeight="1" x14ac:dyDescent="0.3">
      <c r="A3494" s="1">
        <v>44872</v>
      </c>
      <c r="B3494" s="2" t="s">
        <v>178</v>
      </c>
      <c r="C3494" s="2" t="s">
        <v>21</v>
      </c>
      <c r="D3494" s="2" t="s">
        <v>26</v>
      </c>
      <c r="E3494" s="2" t="s">
        <v>27</v>
      </c>
      <c r="F3494" s="2">
        <v>190.72</v>
      </c>
      <c r="G3494" s="2">
        <v>1</v>
      </c>
      <c r="H3494" s="2">
        <v>11.92</v>
      </c>
      <c r="I3494" t="str">
        <f t="shared" si="54"/>
        <v>Nov</v>
      </c>
      <c r="J3494">
        <f>YEAR(datas[[#This Row],[Order Date]])</f>
        <v>2022</v>
      </c>
    </row>
    <row r="3495" spans="1:10" ht="14.25" customHeight="1" x14ac:dyDescent="0.3">
      <c r="A3495" s="1">
        <v>44872</v>
      </c>
      <c r="B3495" s="2" t="s">
        <v>482</v>
      </c>
      <c r="C3495" s="2" t="s">
        <v>38</v>
      </c>
      <c r="D3495" s="2" t="s">
        <v>10</v>
      </c>
      <c r="E3495" s="2" t="s">
        <v>30</v>
      </c>
      <c r="F3495" s="2">
        <v>26.18</v>
      </c>
      <c r="G3495" s="2">
        <v>7</v>
      </c>
      <c r="H3495" s="2">
        <v>0.52</v>
      </c>
      <c r="I3495" t="str">
        <f t="shared" si="54"/>
        <v>Nov</v>
      </c>
      <c r="J3495">
        <f>YEAR(datas[[#This Row],[Order Date]])</f>
        <v>2022</v>
      </c>
    </row>
    <row r="3496" spans="1:10" ht="14.25" customHeight="1" x14ac:dyDescent="0.3">
      <c r="A3496" s="1">
        <v>44872</v>
      </c>
      <c r="B3496" s="2" t="s">
        <v>482</v>
      </c>
      <c r="C3496" s="2" t="s">
        <v>38</v>
      </c>
      <c r="D3496" s="2" t="s">
        <v>10</v>
      </c>
      <c r="E3496" s="2" t="s">
        <v>11</v>
      </c>
      <c r="F3496" s="2">
        <v>7.3</v>
      </c>
      <c r="G3496" s="2">
        <v>2</v>
      </c>
      <c r="H3496" s="2">
        <v>3.43</v>
      </c>
      <c r="I3496" t="str">
        <f t="shared" si="54"/>
        <v>Nov</v>
      </c>
      <c r="J3496">
        <f>YEAR(datas[[#This Row],[Order Date]])</f>
        <v>2022</v>
      </c>
    </row>
    <row r="3497" spans="1:10" ht="14.25" customHeight="1" x14ac:dyDescent="0.3">
      <c r="A3497" s="1">
        <v>44872</v>
      </c>
      <c r="B3497" s="2" t="s">
        <v>178</v>
      </c>
      <c r="C3497" s="2" t="s">
        <v>18</v>
      </c>
      <c r="D3497" s="2" t="s">
        <v>10</v>
      </c>
      <c r="E3497" s="2" t="s">
        <v>41</v>
      </c>
      <c r="F3497" s="2">
        <v>24.4</v>
      </c>
      <c r="G3497" s="2">
        <v>2</v>
      </c>
      <c r="H3497" s="2">
        <v>7.93</v>
      </c>
      <c r="I3497" t="str">
        <f t="shared" si="54"/>
        <v>Nov</v>
      </c>
      <c r="J3497">
        <f>YEAR(datas[[#This Row],[Order Date]])</f>
        <v>2022</v>
      </c>
    </row>
    <row r="3498" spans="1:10" ht="14.25" customHeight="1" x14ac:dyDescent="0.3">
      <c r="A3498" s="1">
        <v>44872</v>
      </c>
      <c r="B3498" s="2" t="s">
        <v>212</v>
      </c>
      <c r="C3498" s="2" t="s">
        <v>785</v>
      </c>
      <c r="D3498" s="2" t="s">
        <v>26</v>
      </c>
      <c r="E3498" s="2" t="s">
        <v>27</v>
      </c>
      <c r="F3498" s="2">
        <v>715.2</v>
      </c>
      <c r="G3498" s="2">
        <v>3</v>
      </c>
      <c r="H3498" s="2">
        <v>178.8</v>
      </c>
      <c r="I3498" t="str">
        <f t="shared" si="54"/>
        <v>Nov</v>
      </c>
      <c r="J3498">
        <f>YEAR(datas[[#This Row],[Order Date]])</f>
        <v>2022</v>
      </c>
    </row>
    <row r="3499" spans="1:10" ht="14.25" customHeight="1" x14ac:dyDescent="0.3">
      <c r="A3499" s="1">
        <v>44872</v>
      </c>
      <c r="B3499" s="2" t="s">
        <v>141</v>
      </c>
      <c r="C3499" s="2" t="s">
        <v>64</v>
      </c>
      <c r="D3499" s="2" t="s">
        <v>10</v>
      </c>
      <c r="E3499" s="2" t="s">
        <v>16</v>
      </c>
      <c r="F3499" s="2">
        <v>16.149999999999999</v>
      </c>
      <c r="G3499" s="2">
        <v>9</v>
      </c>
      <c r="H3499" s="2">
        <v>-12.92</v>
      </c>
      <c r="I3499" t="str">
        <f t="shared" si="54"/>
        <v>Nov</v>
      </c>
      <c r="J3499">
        <f>YEAR(datas[[#This Row],[Order Date]])</f>
        <v>2022</v>
      </c>
    </row>
    <row r="3500" spans="1:10" ht="14.25" customHeight="1" x14ac:dyDescent="0.3">
      <c r="A3500" s="1">
        <v>44872</v>
      </c>
      <c r="B3500" s="2" t="s">
        <v>141</v>
      </c>
      <c r="C3500" s="2" t="s">
        <v>64</v>
      </c>
      <c r="D3500" s="2" t="s">
        <v>10</v>
      </c>
      <c r="E3500" s="2" t="s">
        <v>16</v>
      </c>
      <c r="F3500" s="2">
        <v>1345.49</v>
      </c>
      <c r="G3500" s="2">
        <v>5</v>
      </c>
      <c r="H3500" s="2">
        <v>-1031.54</v>
      </c>
      <c r="I3500" t="str">
        <f t="shared" si="54"/>
        <v>Nov</v>
      </c>
      <c r="J3500">
        <f>YEAR(datas[[#This Row],[Order Date]])</f>
        <v>2022</v>
      </c>
    </row>
    <row r="3501" spans="1:10" ht="14.25" customHeight="1" x14ac:dyDescent="0.3">
      <c r="A3501" s="1">
        <v>44872</v>
      </c>
      <c r="B3501" s="2" t="s">
        <v>786</v>
      </c>
      <c r="C3501" s="2" t="s">
        <v>9</v>
      </c>
      <c r="D3501" s="2" t="s">
        <v>10</v>
      </c>
      <c r="E3501" s="2" t="s">
        <v>11</v>
      </c>
      <c r="F3501" s="2">
        <v>76.64</v>
      </c>
      <c r="G3501" s="2">
        <v>2</v>
      </c>
      <c r="H3501" s="2">
        <v>26.82</v>
      </c>
      <c r="I3501" t="str">
        <f t="shared" si="54"/>
        <v>Nov</v>
      </c>
      <c r="J3501">
        <f>YEAR(datas[[#This Row],[Order Date]])</f>
        <v>2022</v>
      </c>
    </row>
    <row r="3502" spans="1:10" ht="14.25" customHeight="1" x14ac:dyDescent="0.3">
      <c r="A3502" s="1">
        <v>44872</v>
      </c>
      <c r="B3502" s="2" t="s">
        <v>651</v>
      </c>
      <c r="C3502" s="2" t="s">
        <v>9</v>
      </c>
      <c r="D3502" s="2" t="s">
        <v>10</v>
      </c>
      <c r="E3502" s="2" t="s">
        <v>19</v>
      </c>
      <c r="F3502" s="2">
        <v>23.64</v>
      </c>
      <c r="G3502" s="2">
        <v>3</v>
      </c>
      <c r="H3502" s="2">
        <v>5.32</v>
      </c>
      <c r="I3502" t="str">
        <f t="shared" si="54"/>
        <v>Nov</v>
      </c>
      <c r="J3502">
        <f>YEAR(datas[[#This Row],[Order Date]])</f>
        <v>2022</v>
      </c>
    </row>
    <row r="3503" spans="1:10" ht="14.25" customHeight="1" x14ac:dyDescent="0.3">
      <c r="A3503" s="1">
        <v>44872</v>
      </c>
      <c r="B3503" s="2" t="s">
        <v>651</v>
      </c>
      <c r="C3503" s="2" t="s">
        <v>9</v>
      </c>
      <c r="D3503" s="2" t="s">
        <v>10</v>
      </c>
      <c r="E3503" s="2" t="s">
        <v>15</v>
      </c>
      <c r="F3503" s="2">
        <v>84.78</v>
      </c>
      <c r="G3503" s="2">
        <v>2</v>
      </c>
      <c r="H3503" s="2">
        <v>-16.96</v>
      </c>
      <c r="I3503" t="str">
        <f t="shared" si="54"/>
        <v>Nov</v>
      </c>
      <c r="J3503">
        <f>YEAR(datas[[#This Row],[Order Date]])</f>
        <v>2022</v>
      </c>
    </row>
    <row r="3504" spans="1:10" ht="14.25" customHeight="1" x14ac:dyDescent="0.3">
      <c r="A3504" s="1">
        <v>44872</v>
      </c>
      <c r="B3504" s="2" t="s">
        <v>651</v>
      </c>
      <c r="C3504" s="2" t="s">
        <v>9</v>
      </c>
      <c r="D3504" s="2" t="s">
        <v>26</v>
      </c>
      <c r="E3504" s="2" t="s">
        <v>32</v>
      </c>
      <c r="F3504" s="2">
        <v>64.959999999999994</v>
      </c>
      <c r="G3504" s="2">
        <v>5</v>
      </c>
      <c r="H3504" s="2">
        <v>-84.45</v>
      </c>
      <c r="I3504" t="str">
        <f t="shared" si="54"/>
        <v>Nov</v>
      </c>
      <c r="J3504">
        <f>YEAR(datas[[#This Row],[Order Date]])</f>
        <v>2022</v>
      </c>
    </row>
    <row r="3505" spans="1:10" ht="14.25" customHeight="1" x14ac:dyDescent="0.3">
      <c r="A3505" s="1">
        <v>44872</v>
      </c>
      <c r="B3505" s="2" t="s">
        <v>651</v>
      </c>
      <c r="C3505" s="2" t="s">
        <v>9</v>
      </c>
      <c r="D3505" s="2" t="s">
        <v>10</v>
      </c>
      <c r="E3505" s="2" t="s">
        <v>16</v>
      </c>
      <c r="F3505" s="2">
        <v>32.06</v>
      </c>
      <c r="G3505" s="2">
        <v>10</v>
      </c>
      <c r="H3505" s="2">
        <v>-51.3</v>
      </c>
      <c r="I3505" t="str">
        <f t="shared" si="54"/>
        <v>Nov</v>
      </c>
      <c r="J3505">
        <f>YEAR(datas[[#This Row],[Order Date]])</f>
        <v>2022</v>
      </c>
    </row>
    <row r="3506" spans="1:10" ht="14.25" customHeight="1" x14ac:dyDescent="0.3">
      <c r="A3506" s="1">
        <v>44872</v>
      </c>
      <c r="B3506" s="2" t="s">
        <v>651</v>
      </c>
      <c r="C3506" s="2" t="s">
        <v>9</v>
      </c>
      <c r="D3506" s="2" t="s">
        <v>10</v>
      </c>
      <c r="E3506" s="2" t="s">
        <v>15</v>
      </c>
      <c r="F3506" s="2">
        <v>177.65</v>
      </c>
      <c r="G3506" s="2">
        <v>2</v>
      </c>
      <c r="H3506" s="2">
        <v>-28.87</v>
      </c>
      <c r="I3506" t="str">
        <f t="shared" si="54"/>
        <v>Nov</v>
      </c>
      <c r="J3506">
        <f>YEAR(datas[[#This Row],[Order Date]])</f>
        <v>2022</v>
      </c>
    </row>
    <row r="3507" spans="1:10" ht="14.25" customHeight="1" x14ac:dyDescent="0.3">
      <c r="A3507" s="1">
        <v>44872</v>
      </c>
      <c r="B3507" s="2" t="s">
        <v>651</v>
      </c>
      <c r="C3507" s="2" t="s">
        <v>9</v>
      </c>
      <c r="D3507" s="2" t="s">
        <v>28</v>
      </c>
      <c r="E3507" s="2" t="s">
        <v>136</v>
      </c>
      <c r="F3507" s="2">
        <v>287.91000000000003</v>
      </c>
      <c r="G3507" s="2">
        <v>3</v>
      </c>
      <c r="H3507" s="2">
        <v>33.590000000000003</v>
      </c>
      <c r="I3507" t="str">
        <f t="shared" si="54"/>
        <v>Nov</v>
      </c>
      <c r="J3507">
        <f>YEAR(datas[[#This Row],[Order Date]])</f>
        <v>2022</v>
      </c>
    </row>
    <row r="3508" spans="1:10" ht="14.25" customHeight="1" x14ac:dyDescent="0.3">
      <c r="A3508" s="1">
        <v>44873</v>
      </c>
      <c r="B3508" s="2" t="s">
        <v>344</v>
      </c>
      <c r="C3508" s="2" t="s">
        <v>181</v>
      </c>
      <c r="D3508" s="2" t="s">
        <v>10</v>
      </c>
      <c r="E3508" s="2" t="s">
        <v>19</v>
      </c>
      <c r="F3508" s="2">
        <v>11.65</v>
      </c>
      <c r="G3508" s="2">
        <v>5</v>
      </c>
      <c r="H3508" s="2">
        <v>3.38</v>
      </c>
      <c r="I3508" t="str">
        <f t="shared" si="54"/>
        <v>Nov</v>
      </c>
      <c r="J3508">
        <f>YEAR(datas[[#This Row],[Order Date]])</f>
        <v>2022</v>
      </c>
    </row>
    <row r="3509" spans="1:10" ht="14.25" customHeight="1" x14ac:dyDescent="0.3">
      <c r="A3509" s="1">
        <v>44873</v>
      </c>
      <c r="B3509" s="2" t="s">
        <v>787</v>
      </c>
      <c r="C3509" s="2" t="s">
        <v>21</v>
      </c>
      <c r="D3509" s="2" t="s">
        <v>10</v>
      </c>
      <c r="E3509" s="2" t="s">
        <v>30</v>
      </c>
      <c r="F3509" s="2">
        <v>5</v>
      </c>
      <c r="G3509" s="2">
        <v>1</v>
      </c>
      <c r="H3509" s="2">
        <v>2.4</v>
      </c>
      <c r="I3509" t="str">
        <f t="shared" si="54"/>
        <v>Nov</v>
      </c>
      <c r="J3509">
        <f>YEAR(datas[[#This Row],[Order Date]])</f>
        <v>2022</v>
      </c>
    </row>
    <row r="3510" spans="1:10" ht="14.25" customHeight="1" x14ac:dyDescent="0.3">
      <c r="A3510" s="1">
        <v>44873</v>
      </c>
      <c r="B3510" s="2" t="s">
        <v>787</v>
      </c>
      <c r="C3510" s="2" t="s">
        <v>21</v>
      </c>
      <c r="D3510" s="2" t="s">
        <v>28</v>
      </c>
      <c r="E3510" s="2" t="s">
        <v>34</v>
      </c>
      <c r="F3510" s="2">
        <v>371.97</v>
      </c>
      <c r="G3510" s="2">
        <v>3</v>
      </c>
      <c r="H3510" s="2">
        <v>66.95</v>
      </c>
      <c r="I3510" t="str">
        <f t="shared" si="54"/>
        <v>Nov</v>
      </c>
      <c r="J3510">
        <f>YEAR(datas[[#This Row],[Order Date]])</f>
        <v>2022</v>
      </c>
    </row>
    <row r="3511" spans="1:10" ht="14.25" customHeight="1" x14ac:dyDescent="0.3">
      <c r="A3511" s="1">
        <v>44873</v>
      </c>
      <c r="B3511" s="2" t="s">
        <v>92</v>
      </c>
      <c r="C3511" s="2" t="s">
        <v>134</v>
      </c>
      <c r="D3511" s="2" t="s">
        <v>10</v>
      </c>
      <c r="E3511" s="2" t="s">
        <v>30</v>
      </c>
      <c r="F3511" s="2">
        <v>5.04</v>
      </c>
      <c r="G3511" s="2">
        <v>3</v>
      </c>
      <c r="H3511" s="2">
        <v>0.2</v>
      </c>
      <c r="I3511" t="str">
        <f t="shared" si="54"/>
        <v>Nov</v>
      </c>
      <c r="J3511">
        <f>YEAR(datas[[#This Row],[Order Date]])</f>
        <v>2022</v>
      </c>
    </row>
    <row r="3512" spans="1:10" ht="14.25" customHeight="1" x14ac:dyDescent="0.3">
      <c r="A3512" s="1">
        <v>44873</v>
      </c>
      <c r="B3512" s="2" t="s">
        <v>92</v>
      </c>
      <c r="C3512" s="2" t="s">
        <v>134</v>
      </c>
      <c r="D3512" s="2" t="s">
        <v>10</v>
      </c>
      <c r="E3512" s="2" t="s">
        <v>11</v>
      </c>
      <c r="F3512" s="2">
        <v>92.94</v>
      </c>
      <c r="G3512" s="2">
        <v>3</v>
      </c>
      <c r="H3512" s="2">
        <v>41.82</v>
      </c>
      <c r="I3512" t="str">
        <f t="shared" si="54"/>
        <v>Nov</v>
      </c>
      <c r="J3512">
        <f>YEAR(datas[[#This Row],[Order Date]])</f>
        <v>2022</v>
      </c>
    </row>
    <row r="3513" spans="1:10" ht="14.25" customHeight="1" x14ac:dyDescent="0.3">
      <c r="A3513" s="1">
        <v>44873</v>
      </c>
      <c r="B3513" s="2" t="s">
        <v>92</v>
      </c>
      <c r="C3513" s="2" t="s">
        <v>134</v>
      </c>
      <c r="D3513" s="2" t="s">
        <v>26</v>
      </c>
      <c r="E3513" s="2" t="s">
        <v>32</v>
      </c>
      <c r="F3513" s="2">
        <v>66.69</v>
      </c>
      <c r="G3513" s="2">
        <v>3</v>
      </c>
      <c r="H3513" s="2">
        <v>22.01</v>
      </c>
      <c r="I3513" t="str">
        <f t="shared" si="54"/>
        <v>Nov</v>
      </c>
      <c r="J3513">
        <f>YEAR(datas[[#This Row],[Order Date]])</f>
        <v>2022</v>
      </c>
    </row>
    <row r="3514" spans="1:10" ht="14.25" customHeight="1" x14ac:dyDescent="0.3">
      <c r="A3514" s="1">
        <v>44873</v>
      </c>
      <c r="B3514" s="2" t="s">
        <v>92</v>
      </c>
      <c r="C3514" s="2" t="s">
        <v>134</v>
      </c>
      <c r="D3514" s="2" t="s">
        <v>10</v>
      </c>
      <c r="E3514" s="2" t="s">
        <v>16</v>
      </c>
      <c r="F3514" s="2">
        <v>91.68</v>
      </c>
      <c r="G3514" s="2">
        <v>5</v>
      </c>
      <c r="H3514" s="2">
        <v>28.65</v>
      </c>
      <c r="I3514" t="str">
        <f t="shared" si="54"/>
        <v>Nov</v>
      </c>
      <c r="J3514">
        <f>YEAR(datas[[#This Row],[Order Date]])</f>
        <v>2022</v>
      </c>
    </row>
    <row r="3515" spans="1:10" ht="14.25" customHeight="1" x14ac:dyDescent="0.3">
      <c r="A3515" s="1">
        <v>44873</v>
      </c>
      <c r="B3515" s="2" t="s">
        <v>554</v>
      </c>
      <c r="C3515" s="2" t="s">
        <v>75</v>
      </c>
      <c r="D3515" s="2" t="s">
        <v>10</v>
      </c>
      <c r="E3515" s="2" t="s">
        <v>16</v>
      </c>
      <c r="F3515" s="2">
        <v>52.27</v>
      </c>
      <c r="G3515" s="2">
        <v>11</v>
      </c>
      <c r="H3515" s="2">
        <v>17.64</v>
      </c>
      <c r="I3515" t="str">
        <f t="shared" si="54"/>
        <v>Nov</v>
      </c>
      <c r="J3515">
        <f>YEAR(datas[[#This Row],[Order Date]])</f>
        <v>2022</v>
      </c>
    </row>
    <row r="3516" spans="1:10" ht="14.25" customHeight="1" x14ac:dyDescent="0.3">
      <c r="A3516" s="1">
        <v>44873</v>
      </c>
      <c r="B3516" s="2" t="s">
        <v>554</v>
      </c>
      <c r="C3516" s="2" t="s">
        <v>75</v>
      </c>
      <c r="D3516" s="2" t="s">
        <v>10</v>
      </c>
      <c r="E3516" s="2" t="s">
        <v>11</v>
      </c>
      <c r="F3516" s="2">
        <v>17.940000000000001</v>
      </c>
      <c r="G3516" s="2">
        <v>3</v>
      </c>
      <c r="H3516" s="2">
        <v>8.07</v>
      </c>
      <c r="I3516" t="str">
        <f t="shared" si="54"/>
        <v>Nov</v>
      </c>
      <c r="J3516">
        <f>YEAR(datas[[#This Row],[Order Date]])</f>
        <v>2022</v>
      </c>
    </row>
    <row r="3517" spans="1:10" ht="14.25" customHeight="1" x14ac:dyDescent="0.3">
      <c r="A3517" s="1">
        <v>44873</v>
      </c>
      <c r="B3517" s="2" t="s">
        <v>324</v>
      </c>
      <c r="C3517" s="2" t="s">
        <v>9</v>
      </c>
      <c r="D3517" s="2" t="s">
        <v>10</v>
      </c>
      <c r="E3517" s="2" t="s">
        <v>16</v>
      </c>
      <c r="F3517" s="2">
        <v>10.48</v>
      </c>
      <c r="G3517" s="2">
        <v>6</v>
      </c>
      <c r="H3517" s="2">
        <v>-17.29</v>
      </c>
      <c r="I3517" t="str">
        <f t="shared" si="54"/>
        <v>Nov</v>
      </c>
      <c r="J3517">
        <f>YEAR(datas[[#This Row],[Order Date]])</f>
        <v>2022</v>
      </c>
    </row>
    <row r="3518" spans="1:10" ht="14.25" customHeight="1" x14ac:dyDescent="0.3">
      <c r="A3518" s="1">
        <v>44873</v>
      </c>
      <c r="B3518" s="2" t="s">
        <v>734</v>
      </c>
      <c r="C3518" s="2" t="s">
        <v>21</v>
      </c>
      <c r="D3518" s="2" t="s">
        <v>28</v>
      </c>
      <c r="E3518" s="2" t="s">
        <v>34</v>
      </c>
      <c r="F3518" s="2">
        <v>119.9</v>
      </c>
      <c r="G3518" s="2">
        <v>2</v>
      </c>
      <c r="H3518" s="2">
        <v>43.16</v>
      </c>
      <c r="I3518" t="str">
        <f t="shared" si="54"/>
        <v>Nov</v>
      </c>
      <c r="J3518">
        <f>YEAR(datas[[#This Row],[Order Date]])</f>
        <v>2022</v>
      </c>
    </row>
    <row r="3519" spans="1:10" ht="14.25" customHeight="1" x14ac:dyDescent="0.3">
      <c r="A3519" s="1">
        <v>44873</v>
      </c>
      <c r="B3519" s="2" t="s">
        <v>736</v>
      </c>
      <c r="C3519" s="2" t="s">
        <v>36</v>
      </c>
      <c r="D3519" s="2" t="s">
        <v>10</v>
      </c>
      <c r="E3519" s="2" t="s">
        <v>53</v>
      </c>
      <c r="F3519" s="2">
        <v>44.43</v>
      </c>
      <c r="G3519" s="2">
        <v>3</v>
      </c>
      <c r="H3519" s="2">
        <v>18.66</v>
      </c>
      <c r="I3519" t="str">
        <f t="shared" si="54"/>
        <v>Nov</v>
      </c>
      <c r="J3519">
        <f>YEAR(datas[[#This Row],[Order Date]])</f>
        <v>2022</v>
      </c>
    </row>
    <row r="3520" spans="1:10" ht="14.25" customHeight="1" x14ac:dyDescent="0.3">
      <c r="A3520" s="1">
        <v>44873</v>
      </c>
      <c r="B3520" s="2" t="s">
        <v>736</v>
      </c>
      <c r="C3520" s="2" t="s">
        <v>36</v>
      </c>
      <c r="D3520" s="2" t="s">
        <v>28</v>
      </c>
      <c r="E3520" s="2" t="s">
        <v>29</v>
      </c>
      <c r="F3520" s="2">
        <v>226.2</v>
      </c>
      <c r="G3520" s="2">
        <v>5</v>
      </c>
      <c r="H3520" s="2">
        <v>58.81</v>
      </c>
      <c r="I3520" t="str">
        <f t="shared" si="54"/>
        <v>Nov</v>
      </c>
      <c r="J3520">
        <f>YEAR(datas[[#This Row],[Order Date]])</f>
        <v>2022</v>
      </c>
    </row>
    <row r="3521" spans="1:10" ht="14.25" customHeight="1" x14ac:dyDescent="0.3">
      <c r="A3521" s="1">
        <v>44873</v>
      </c>
      <c r="B3521" s="2" t="s">
        <v>736</v>
      </c>
      <c r="C3521" s="2" t="s">
        <v>36</v>
      </c>
      <c r="D3521" s="2" t="s">
        <v>26</v>
      </c>
      <c r="E3521" s="2" t="s">
        <v>32</v>
      </c>
      <c r="F3521" s="2">
        <v>186.54</v>
      </c>
      <c r="G3521" s="2">
        <v>3</v>
      </c>
      <c r="H3521" s="2">
        <v>41.04</v>
      </c>
      <c r="I3521" t="str">
        <f t="shared" si="54"/>
        <v>Nov</v>
      </c>
      <c r="J3521">
        <f>YEAR(datas[[#This Row],[Order Date]])</f>
        <v>2022</v>
      </c>
    </row>
    <row r="3522" spans="1:10" ht="14.25" customHeight="1" x14ac:dyDescent="0.3">
      <c r="A3522" s="1">
        <v>44873</v>
      </c>
      <c r="B3522" s="2" t="s">
        <v>736</v>
      </c>
      <c r="C3522" s="2" t="s">
        <v>36</v>
      </c>
      <c r="D3522" s="2" t="s">
        <v>10</v>
      </c>
      <c r="E3522" s="2" t="s">
        <v>19</v>
      </c>
      <c r="F3522" s="2">
        <v>265.86</v>
      </c>
      <c r="G3522" s="2">
        <v>7</v>
      </c>
      <c r="H3522" s="2">
        <v>79.760000000000005</v>
      </c>
      <c r="I3522" t="str">
        <f t="shared" si="54"/>
        <v>Nov</v>
      </c>
      <c r="J3522">
        <f>YEAR(datas[[#This Row],[Order Date]])</f>
        <v>2022</v>
      </c>
    </row>
    <row r="3523" spans="1:10" ht="14.25" customHeight="1" x14ac:dyDescent="0.3">
      <c r="A3523" s="1">
        <v>44873</v>
      </c>
      <c r="B3523" s="2" t="s">
        <v>736</v>
      </c>
      <c r="C3523" s="2" t="s">
        <v>36</v>
      </c>
      <c r="D3523" s="2" t="s">
        <v>10</v>
      </c>
      <c r="E3523" s="2" t="s">
        <v>19</v>
      </c>
      <c r="F3523" s="2">
        <v>27.9</v>
      </c>
      <c r="G3523" s="2">
        <v>5</v>
      </c>
      <c r="H3523" s="2">
        <v>6.98</v>
      </c>
      <c r="I3523" t="str">
        <f t="shared" ref="I3523:I3586" si="55">TEXT(A3523,"mmm")</f>
        <v>Nov</v>
      </c>
      <c r="J3523">
        <f>YEAR(datas[[#This Row],[Order Date]])</f>
        <v>2022</v>
      </c>
    </row>
    <row r="3524" spans="1:10" ht="14.25" customHeight="1" x14ac:dyDescent="0.3">
      <c r="A3524" s="1">
        <v>44873</v>
      </c>
      <c r="B3524" s="2" t="s">
        <v>182</v>
      </c>
      <c r="C3524" s="2" t="s">
        <v>165</v>
      </c>
      <c r="D3524" s="2" t="s">
        <v>28</v>
      </c>
      <c r="E3524" s="2" t="s">
        <v>29</v>
      </c>
      <c r="F3524" s="2">
        <v>263.95999999999998</v>
      </c>
      <c r="G3524" s="2">
        <v>4</v>
      </c>
      <c r="H3524" s="2">
        <v>76.55</v>
      </c>
      <c r="I3524" t="str">
        <f t="shared" si="55"/>
        <v>Nov</v>
      </c>
      <c r="J3524">
        <f>YEAR(datas[[#This Row],[Order Date]])</f>
        <v>2022</v>
      </c>
    </row>
    <row r="3525" spans="1:10" ht="14.25" customHeight="1" x14ac:dyDescent="0.3">
      <c r="A3525" s="1">
        <v>44873</v>
      </c>
      <c r="B3525" s="2" t="s">
        <v>506</v>
      </c>
      <c r="C3525" s="2" t="s">
        <v>75</v>
      </c>
      <c r="D3525" s="2" t="s">
        <v>10</v>
      </c>
      <c r="E3525" s="2" t="s">
        <v>15</v>
      </c>
      <c r="F3525" s="2">
        <v>67.150000000000006</v>
      </c>
      <c r="G3525" s="2">
        <v>5</v>
      </c>
      <c r="H3525" s="2">
        <v>16.79</v>
      </c>
      <c r="I3525" t="str">
        <f t="shared" si="55"/>
        <v>Nov</v>
      </c>
      <c r="J3525">
        <f>YEAR(datas[[#This Row],[Order Date]])</f>
        <v>2022</v>
      </c>
    </row>
    <row r="3526" spans="1:10" ht="14.25" customHeight="1" x14ac:dyDescent="0.3">
      <c r="A3526" s="1">
        <v>44873</v>
      </c>
      <c r="B3526" s="2" t="s">
        <v>506</v>
      </c>
      <c r="C3526" s="2" t="s">
        <v>75</v>
      </c>
      <c r="D3526" s="2" t="s">
        <v>28</v>
      </c>
      <c r="E3526" s="2" t="s">
        <v>29</v>
      </c>
      <c r="F3526" s="2">
        <v>549.98</v>
      </c>
      <c r="G3526" s="2">
        <v>2</v>
      </c>
      <c r="H3526" s="2">
        <v>142.99</v>
      </c>
      <c r="I3526" t="str">
        <f t="shared" si="55"/>
        <v>Nov</v>
      </c>
      <c r="J3526">
        <f>YEAR(datas[[#This Row],[Order Date]])</f>
        <v>2022</v>
      </c>
    </row>
    <row r="3527" spans="1:10" ht="14.25" customHeight="1" x14ac:dyDescent="0.3">
      <c r="A3527" s="1">
        <v>44873</v>
      </c>
      <c r="B3527" s="2" t="s">
        <v>506</v>
      </c>
      <c r="C3527" s="2" t="s">
        <v>75</v>
      </c>
      <c r="D3527" s="2" t="s">
        <v>26</v>
      </c>
      <c r="E3527" s="2" t="s">
        <v>32</v>
      </c>
      <c r="F3527" s="2">
        <v>11.82</v>
      </c>
      <c r="G3527" s="2">
        <v>3</v>
      </c>
      <c r="H3527" s="2">
        <v>4.7300000000000004</v>
      </c>
      <c r="I3527" t="str">
        <f t="shared" si="55"/>
        <v>Nov</v>
      </c>
      <c r="J3527">
        <f>YEAR(datas[[#This Row],[Order Date]])</f>
        <v>2022</v>
      </c>
    </row>
    <row r="3528" spans="1:10" ht="14.25" customHeight="1" x14ac:dyDescent="0.3">
      <c r="A3528" s="1">
        <v>44873</v>
      </c>
      <c r="B3528" s="2" t="s">
        <v>506</v>
      </c>
      <c r="C3528" s="2" t="s">
        <v>75</v>
      </c>
      <c r="D3528" s="2" t="s">
        <v>28</v>
      </c>
      <c r="E3528" s="2" t="s">
        <v>136</v>
      </c>
      <c r="F3528" s="2">
        <v>4643.8</v>
      </c>
      <c r="G3528" s="2">
        <v>4</v>
      </c>
      <c r="H3528" s="2">
        <v>2229.02</v>
      </c>
      <c r="I3528" t="str">
        <f t="shared" si="55"/>
        <v>Nov</v>
      </c>
      <c r="J3528">
        <f>YEAR(datas[[#This Row],[Order Date]])</f>
        <v>2022</v>
      </c>
    </row>
    <row r="3529" spans="1:10" ht="14.25" customHeight="1" x14ac:dyDescent="0.3">
      <c r="A3529" s="1">
        <v>44873</v>
      </c>
      <c r="B3529" s="2" t="s">
        <v>506</v>
      </c>
      <c r="C3529" s="2" t="s">
        <v>75</v>
      </c>
      <c r="D3529" s="2" t="s">
        <v>26</v>
      </c>
      <c r="E3529" s="2" t="s">
        <v>27</v>
      </c>
      <c r="F3529" s="2">
        <v>577.76</v>
      </c>
      <c r="G3529" s="2">
        <v>2</v>
      </c>
      <c r="H3529" s="2">
        <v>115.55</v>
      </c>
      <c r="I3529" t="str">
        <f t="shared" si="55"/>
        <v>Nov</v>
      </c>
      <c r="J3529">
        <f>YEAR(datas[[#This Row],[Order Date]])</f>
        <v>2022</v>
      </c>
    </row>
    <row r="3530" spans="1:10" ht="14.25" customHeight="1" x14ac:dyDescent="0.3">
      <c r="A3530" s="1">
        <v>44873</v>
      </c>
      <c r="B3530" s="2" t="s">
        <v>338</v>
      </c>
      <c r="C3530" s="2" t="s">
        <v>115</v>
      </c>
      <c r="D3530" s="2" t="s">
        <v>10</v>
      </c>
      <c r="E3530" s="2" t="s">
        <v>30</v>
      </c>
      <c r="F3530" s="2">
        <v>31.5</v>
      </c>
      <c r="G3530" s="2">
        <v>11</v>
      </c>
      <c r="H3530" s="2">
        <v>11.81</v>
      </c>
      <c r="I3530" t="str">
        <f t="shared" si="55"/>
        <v>Nov</v>
      </c>
      <c r="J3530">
        <f>YEAR(datas[[#This Row],[Order Date]])</f>
        <v>2022</v>
      </c>
    </row>
    <row r="3531" spans="1:10" ht="14.25" customHeight="1" x14ac:dyDescent="0.3">
      <c r="A3531" s="1">
        <v>44873</v>
      </c>
      <c r="B3531" s="2" t="s">
        <v>338</v>
      </c>
      <c r="C3531" s="2" t="s">
        <v>115</v>
      </c>
      <c r="D3531" s="2" t="s">
        <v>10</v>
      </c>
      <c r="E3531" s="2" t="s">
        <v>14</v>
      </c>
      <c r="F3531" s="2">
        <v>5.04</v>
      </c>
      <c r="G3531" s="2">
        <v>1</v>
      </c>
      <c r="H3531" s="2">
        <v>1.64</v>
      </c>
      <c r="I3531" t="str">
        <f t="shared" si="55"/>
        <v>Nov</v>
      </c>
      <c r="J3531">
        <f>YEAR(datas[[#This Row],[Order Date]])</f>
        <v>2022</v>
      </c>
    </row>
    <row r="3532" spans="1:10" ht="14.25" customHeight="1" x14ac:dyDescent="0.3">
      <c r="A3532" s="1">
        <v>44873</v>
      </c>
      <c r="B3532" s="2" t="s">
        <v>338</v>
      </c>
      <c r="C3532" s="2" t="s">
        <v>115</v>
      </c>
      <c r="D3532" s="2" t="s">
        <v>10</v>
      </c>
      <c r="E3532" s="2" t="s">
        <v>16</v>
      </c>
      <c r="F3532" s="2">
        <v>39.880000000000003</v>
      </c>
      <c r="G3532" s="2">
        <v>7</v>
      </c>
      <c r="H3532" s="2">
        <v>-29.24</v>
      </c>
      <c r="I3532" t="str">
        <f t="shared" si="55"/>
        <v>Nov</v>
      </c>
      <c r="J3532">
        <f>YEAR(datas[[#This Row],[Order Date]])</f>
        <v>2022</v>
      </c>
    </row>
    <row r="3533" spans="1:10" ht="14.25" customHeight="1" x14ac:dyDescent="0.3">
      <c r="A3533" s="1">
        <v>44873</v>
      </c>
      <c r="B3533" s="2" t="s">
        <v>338</v>
      </c>
      <c r="C3533" s="2" t="s">
        <v>115</v>
      </c>
      <c r="D3533" s="2" t="s">
        <v>26</v>
      </c>
      <c r="E3533" s="2" t="s">
        <v>32</v>
      </c>
      <c r="F3533" s="2">
        <v>4.71</v>
      </c>
      <c r="G3533" s="2">
        <v>1</v>
      </c>
      <c r="H3533" s="2">
        <v>1.41</v>
      </c>
      <c r="I3533" t="str">
        <f t="shared" si="55"/>
        <v>Nov</v>
      </c>
      <c r="J3533">
        <f>YEAR(datas[[#This Row],[Order Date]])</f>
        <v>2022</v>
      </c>
    </row>
    <row r="3534" spans="1:10" ht="14.25" customHeight="1" x14ac:dyDescent="0.3">
      <c r="A3534" s="1">
        <v>44873</v>
      </c>
      <c r="B3534" s="2" t="s">
        <v>144</v>
      </c>
      <c r="C3534" s="2" t="s">
        <v>785</v>
      </c>
      <c r="D3534" s="2" t="s">
        <v>26</v>
      </c>
      <c r="E3534" s="2" t="s">
        <v>45</v>
      </c>
      <c r="F3534" s="2">
        <v>4404.8999999999996</v>
      </c>
      <c r="G3534" s="2">
        <v>5</v>
      </c>
      <c r="H3534" s="2">
        <v>1013.13</v>
      </c>
      <c r="I3534" t="str">
        <f t="shared" si="55"/>
        <v>Nov</v>
      </c>
      <c r="J3534">
        <f>YEAR(datas[[#This Row],[Order Date]])</f>
        <v>2022</v>
      </c>
    </row>
    <row r="3535" spans="1:10" ht="14.25" customHeight="1" x14ac:dyDescent="0.3">
      <c r="A3535" s="1">
        <v>44874</v>
      </c>
      <c r="B3535" s="2" t="s">
        <v>766</v>
      </c>
      <c r="C3535" s="2" t="s">
        <v>18</v>
      </c>
      <c r="D3535" s="2" t="s">
        <v>10</v>
      </c>
      <c r="E3535" s="2" t="s">
        <v>11</v>
      </c>
      <c r="F3535" s="2">
        <v>11.35</v>
      </c>
      <c r="G3535" s="2">
        <v>3</v>
      </c>
      <c r="H3535" s="2">
        <v>4.12</v>
      </c>
      <c r="I3535" t="str">
        <f t="shared" si="55"/>
        <v>Nov</v>
      </c>
      <c r="J3535">
        <f>YEAR(datas[[#This Row],[Order Date]])</f>
        <v>2022</v>
      </c>
    </row>
    <row r="3536" spans="1:10" ht="14.25" customHeight="1" x14ac:dyDescent="0.3">
      <c r="A3536" s="1">
        <v>44874</v>
      </c>
      <c r="B3536" s="2" t="s">
        <v>494</v>
      </c>
      <c r="C3536" s="2" t="s">
        <v>91</v>
      </c>
      <c r="D3536" s="2" t="s">
        <v>10</v>
      </c>
      <c r="E3536" s="2" t="s">
        <v>16</v>
      </c>
      <c r="F3536" s="2">
        <v>17.22</v>
      </c>
      <c r="G3536" s="2">
        <v>3</v>
      </c>
      <c r="H3536" s="2">
        <v>7.92</v>
      </c>
      <c r="I3536" t="str">
        <f t="shared" si="55"/>
        <v>Nov</v>
      </c>
      <c r="J3536">
        <f>YEAR(datas[[#This Row],[Order Date]])</f>
        <v>2022</v>
      </c>
    </row>
    <row r="3537" spans="1:10" ht="14.25" customHeight="1" x14ac:dyDescent="0.3">
      <c r="A3537" s="1">
        <v>44874</v>
      </c>
      <c r="B3537" s="2" t="s">
        <v>494</v>
      </c>
      <c r="C3537" s="2" t="s">
        <v>91</v>
      </c>
      <c r="D3537" s="2" t="s">
        <v>26</v>
      </c>
      <c r="E3537" s="2" t="s">
        <v>73</v>
      </c>
      <c r="F3537" s="2">
        <v>1024.3800000000001</v>
      </c>
      <c r="G3537" s="2">
        <v>7</v>
      </c>
      <c r="H3537" s="2">
        <v>215.12</v>
      </c>
      <c r="I3537" t="str">
        <f t="shared" si="55"/>
        <v>Nov</v>
      </c>
      <c r="J3537">
        <f>YEAR(datas[[#This Row],[Order Date]])</f>
        <v>2022</v>
      </c>
    </row>
    <row r="3538" spans="1:10" ht="14.25" customHeight="1" x14ac:dyDescent="0.3">
      <c r="A3538" s="1">
        <v>44874</v>
      </c>
      <c r="B3538" s="2" t="s">
        <v>494</v>
      </c>
      <c r="C3538" s="2" t="s">
        <v>91</v>
      </c>
      <c r="D3538" s="2" t="s">
        <v>10</v>
      </c>
      <c r="E3538" s="2" t="s">
        <v>41</v>
      </c>
      <c r="F3538" s="2">
        <v>26.22</v>
      </c>
      <c r="G3538" s="2">
        <v>3</v>
      </c>
      <c r="H3538" s="2">
        <v>12.32</v>
      </c>
      <c r="I3538" t="str">
        <f t="shared" si="55"/>
        <v>Nov</v>
      </c>
      <c r="J3538">
        <f>YEAR(datas[[#This Row],[Order Date]])</f>
        <v>2022</v>
      </c>
    </row>
    <row r="3539" spans="1:10" ht="14.25" customHeight="1" x14ac:dyDescent="0.3">
      <c r="A3539" s="1">
        <v>44874</v>
      </c>
      <c r="B3539" s="2" t="s">
        <v>494</v>
      </c>
      <c r="C3539" s="2" t="s">
        <v>91</v>
      </c>
      <c r="D3539" s="2" t="s">
        <v>10</v>
      </c>
      <c r="E3539" s="2" t="s">
        <v>11</v>
      </c>
      <c r="F3539" s="2">
        <v>17.34</v>
      </c>
      <c r="G3539" s="2">
        <v>3</v>
      </c>
      <c r="H3539" s="2">
        <v>8.5</v>
      </c>
      <c r="I3539" t="str">
        <f t="shared" si="55"/>
        <v>Nov</v>
      </c>
      <c r="J3539">
        <f>YEAR(datas[[#This Row],[Order Date]])</f>
        <v>2022</v>
      </c>
    </row>
    <row r="3540" spans="1:10" ht="14.25" customHeight="1" x14ac:dyDescent="0.3">
      <c r="A3540" s="1">
        <v>44874</v>
      </c>
      <c r="B3540" s="2" t="s">
        <v>289</v>
      </c>
      <c r="C3540" s="2" t="s">
        <v>75</v>
      </c>
      <c r="D3540" s="2" t="s">
        <v>28</v>
      </c>
      <c r="E3540" s="2" t="s">
        <v>136</v>
      </c>
      <c r="F3540" s="2">
        <v>2321.9</v>
      </c>
      <c r="G3540" s="2">
        <v>2</v>
      </c>
      <c r="H3540" s="2">
        <v>1114.51</v>
      </c>
      <c r="I3540" t="str">
        <f t="shared" si="55"/>
        <v>Nov</v>
      </c>
      <c r="J3540">
        <f>YEAR(datas[[#This Row],[Order Date]])</f>
        <v>2022</v>
      </c>
    </row>
    <row r="3541" spans="1:10" ht="14.25" customHeight="1" x14ac:dyDescent="0.3">
      <c r="A3541" s="1">
        <v>44874</v>
      </c>
      <c r="B3541" s="2" t="s">
        <v>289</v>
      </c>
      <c r="C3541" s="2" t="s">
        <v>75</v>
      </c>
      <c r="D3541" s="2" t="s">
        <v>10</v>
      </c>
      <c r="E3541" s="2" t="s">
        <v>15</v>
      </c>
      <c r="F3541" s="2">
        <v>17.940000000000001</v>
      </c>
      <c r="G3541" s="2">
        <v>3</v>
      </c>
      <c r="H3541" s="2">
        <v>3.05</v>
      </c>
      <c r="I3541" t="str">
        <f t="shared" si="55"/>
        <v>Nov</v>
      </c>
      <c r="J3541">
        <f>YEAR(datas[[#This Row],[Order Date]])</f>
        <v>2022</v>
      </c>
    </row>
    <row r="3542" spans="1:10" ht="14.25" customHeight="1" x14ac:dyDescent="0.3">
      <c r="A3542" s="1">
        <v>44874</v>
      </c>
      <c r="B3542" s="2" t="s">
        <v>333</v>
      </c>
      <c r="C3542" s="2" t="s">
        <v>75</v>
      </c>
      <c r="D3542" s="2" t="s">
        <v>10</v>
      </c>
      <c r="E3542" s="2" t="s">
        <v>15</v>
      </c>
      <c r="F3542" s="2">
        <v>244.55</v>
      </c>
      <c r="G3542" s="2">
        <v>5</v>
      </c>
      <c r="H3542" s="2">
        <v>4.8899999999999997</v>
      </c>
      <c r="I3542" t="str">
        <f t="shared" si="55"/>
        <v>Nov</v>
      </c>
      <c r="J3542">
        <f>YEAR(datas[[#This Row],[Order Date]])</f>
        <v>2022</v>
      </c>
    </row>
    <row r="3543" spans="1:10" ht="14.25" customHeight="1" x14ac:dyDescent="0.3">
      <c r="A3543" s="1">
        <v>44874</v>
      </c>
      <c r="B3543" s="2" t="s">
        <v>333</v>
      </c>
      <c r="C3543" s="2" t="s">
        <v>75</v>
      </c>
      <c r="D3543" s="2" t="s">
        <v>10</v>
      </c>
      <c r="E3543" s="2" t="s">
        <v>41</v>
      </c>
      <c r="F3543" s="2">
        <v>12.24</v>
      </c>
      <c r="G3543" s="2">
        <v>6</v>
      </c>
      <c r="H3543" s="2">
        <v>5.75</v>
      </c>
      <c r="I3543" t="str">
        <f t="shared" si="55"/>
        <v>Nov</v>
      </c>
      <c r="J3543">
        <f>YEAR(datas[[#This Row],[Order Date]])</f>
        <v>2022</v>
      </c>
    </row>
    <row r="3544" spans="1:10" ht="14.25" customHeight="1" x14ac:dyDescent="0.3">
      <c r="A3544" s="1">
        <v>44874</v>
      </c>
      <c r="B3544" s="2" t="s">
        <v>333</v>
      </c>
      <c r="C3544" s="2" t="s">
        <v>75</v>
      </c>
      <c r="D3544" s="2" t="s">
        <v>28</v>
      </c>
      <c r="E3544" s="2" t="s">
        <v>34</v>
      </c>
      <c r="F3544" s="2">
        <v>13.98</v>
      </c>
      <c r="G3544" s="2">
        <v>2</v>
      </c>
      <c r="H3544" s="2">
        <v>6.01</v>
      </c>
      <c r="I3544" t="str">
        <f t="shared" si="55"/>
        <v>Nov</v>
      </c>
      <c r="J3544">
        <f>YEAR(datas[[#This Row],[Order Date]])</f>
        <v>2022</v>
      </c>
    </row>
    <row r="3545" spans="1:10" ht="14.25" customHeight="1" x14ac:dyDescent="0.3">
      <c r="A3545" s="1">
        <v>44874</v>
      </c>
      <c r="B3545" s="2" t="s">
        <v>333</v>
      </c>
      <c r="C3545" s="2" t="s">
        <v>75</v>
      </c>
      <c r="D3545" s="2" t="s">
        <v>28</v>
      </c>
      <c r="E3545" s="2" t="s">
        <v>34</v>
      </c>
      <c r="F3545" s="2">
        <v>899.95</v>
      </c>
      <c r="G3545" s="2">
        <v>5</v>
      </c>
      <c r="H3545" s="2">
        <v>54</v>
      </c>
      <c r="I3545" t="str">
        <f t="shared" si="55"/>
        <v>Nov</v>
      </c>
      <c r="J3545">
        <f>YEAR(datas[[#This Row],[Order Date]])</f>
        <v>2022</v>
      </c>
    </row>
    <row r="3546" spans="1:10" ht="14.25" customHeight="1" x14ac:dyDescent="0.3">
      <c r="A3546" s="1">
        <v>44874</v>
      </c>
      <c r="B3546" s="2" t="s">
        <v>690</v>
      </c>
      <c r="C3546" s="2" t="s">
        <v>21</v>
      </c>
      <c r="D3546" s="2" t="s">
        <v>10</v>
      </c>
      <c r="E3546" s="2" t="s">
        <v>30</v>
      </c>
      <c r="F3546" s="2">
        <v>2.48</v>
      </c>
      <c r="G3546" s="2">
        <v>2</v>
      </c>
      <c r="H3546" s="2">
        <v>1.17</v>
      </c>
      <c r="I3546" t="str">
        <f t="shared" si="55"/>
        <v>Nov</v>
      </c>
      <c r="J3546">
        <f>YEAR(datas[[#This Row],[Order Date]])</f>
        <v>2022</v>
      </c>
    </row>
    <row r="3547" spans="1:10" ht="14.25" customHeight="1" x14ac:dyDescent="0.3">
      <c r="A3547" s="1">
        <v>44874</v>
      </c>
      <c r="B3547" s="2" t="s">
        <v>479</v>
      </c>
      <c r="C3547" s="2" t="s">
        <v>68</v>
      </c>
      <c r="D3547" s="2" t="s">
        <v>10</v>
      </c>
      <c r="E3547" s="2" t="s">
        <v>16</v>
      </c>
      <c r="F3547" s="2">
        <v>10.74</v>
      </c>
      <c r="G3547" s="2">
        <v>3</v>
      </c>
      <c r="H3547" s="2">
        <v>5.16</v>
      </c>
      <c r="I3547" t="str">
        <f t="shared" si="55"/>
        <v>Nov</v>
      </c>
      <c r="J3547">
        <f>YEAR(datas[[#This Row],[Order Date]])</f>
        <v>2022</v>
      </c>
    </row>
    <row r="3548" spans="1:10" ht="14.25" customHeight="1" x14ac:dyDescent="0.3">
      <c r="A3548" s="1">
        <v>44875</v>
      </c>
      <c r="B3548" s="2" t="s">
        <v>617</v>
      </c>
      <c r="C3548" s="2" t="s">
        <v>21</v>
      </c>
      <c r="D3548" s="2" t="s">
        <v>28</v>
      </c>
      <c r="E3548" s="2" t="s">
        <v>34</v>
      </c>
      <c r="F3548" s="2">
        <v>79.900000000000006</v>
      </c>
      <c r="G3548" s="2">
        <v>2</v>
      </c>
      <c r="H3548" s="2">
        <v>35.159999999999997</v>
      </c>
      <c r="I3548" t="str">
        <f t="shared" si="55"/>
        <v>Nov</v>
      </c>
      <c r="J3548">
        <f>YEAR(datas[[#This Row],[Order Date]])</f>
        <v>2022</v>
      </c>
    </row>
    <row r="3549" spans="1:10" ht="14.25" customHeight="1" x14ac:dyDescent="0.3">
      <c r="A3549" s="1">
        <v>44875</v>
      </c>
      <c r="B3549" s="2" t="s">
        <v>643</v>
      </c>
      <c r="C3549" s="2" t="s">
        <v>68</v>
      </c>
      <c r="D3549" s="2" t="s">
        <v>10</v>
      </c>
      <c r="E3549" s="2" t="s">
        <v>15</v>
      </c>
      <c r="F3549" s="2">
        <v>714.3</v>
      </c>
      <c r="G3549" s="2">
        <v>5</v>
      </c>
      <c r="H3549" s="2">
        <v>207.15</v>
      </c>
      <c r="I3549" t="str">
        <f t="shared" si="55"/>
        <v>Nov</v>
      </c>
      <c r="J3549">
        <f>YEAR(datas[[#This Row],[Order Date]])</f>
        <v>2022</v>
      </c>
    </row>
    <row r="3550" spans="1:10" ht="14.25" customHeight="1" x14ac:dyDescent="0.3">
      <c r="A3550" s="1">
        <v>44875</v>
      </c>
      <c r="B3550" s="2" t="s">
        <v>748</v>
      </c>
      <c r="C3550" s="2" t="s">
        <v>140</v>
      </c>
      <c r="D3550" s="2" t="s">
        <v>10</v>
      </c>
      <c r="E3550" s="2" t="s">
        <v>53</v>
      </c>
      <c r="F3550" s="2">
        <v>715.64</v>
      </c>
      <c r="G3550" s="2">
        <v>2</v>
      </c>
      <c r="H3550" s="2">
        <v>178.91</v>
      </c>
      <c r="I3550" t="str">
        <f t="shared" si="55"/>
        <v>Nov</v>
      </c>
      <c r="J3550">
        <f>YEAR(datas[[#This Row],[Order Date]])</f>
        <v>2022</v>
      </c>
    </row>
    <row r="3551" spans="1:10" ht="14.25" customHeight="1" x14ac:dyDescent="0.3">
      <c r="A3551" s="1">
        <v>44875</v>
      </c>
      <c r="B3551" s="2" t="s">
        <v>748</v>
      </c>
      <c r="C3551" s="2" t="s">
        <v>140</v>
      </c>
      <c r="D3551" s="2" t="s">
        <v>10</v>
      </c>
      <c r="E3551" s="2" t="s">
        <v>15</v>
      </c>
      <c r="F3551" s="2">
        <v>795.51</v>
      </c>
      <c r="G3551" s="2">
        <v>3</v>
      </c>
      <c r="H3551" s="2">
        <v>143.19</v>
      </c>
      <c r="I3551" t="str">
        <f t="shared" si="55"/>
        <v>Nov</v>
      </c>
      <c r="J3551">
        <f>YEAR(datas[[#This Row],[Order Date]])</f>
        <v>2022</v>
      </c>
    </row>
    <row r="3552" spans="1:10" ht="14.25" customHeight="1" x14ac:dyDescent="0.3">
      <c r="A3552" s="1">
        <v>44875</v>
      </c>
      <c r="B3552" s="2" t="s">
        <v>748</v>
      </c>
      <c r="C3552" s="2" t="s">
        <v>140</v>
      </c>
      <c r="D3552" s="2" t="s">
        <v>28</v>
      </c>
      <c r="E3552" s="2" t="s">
        <v>243</v>
      </c>
      <c r="F3552" s="2">
        <v>549.99</v>
      </c>
      <c r="G3552" s="2">
        <v>1</v>
      </c>
      <c r="H3552" s="2">
        <v>275</v>
      </c>
      <c r="I3552" t="str">
        <f t="shared" si="55"/>
        <v>Nov</v>
      </c>
      <c r="J3552">
        <f>YEAR(datas[[#This Row],[Order Date]])</f>
        <v>2022</v>
      </c>
    </row>
    <row r="3553" spans="1:10" ht="14.25" customHeight="1" x14ac:dyDescent="0.3">
      <c r="A3553" s="1">
        <v>44875</v>
      </c>
      <c r="B3553" s="2" t="s">
        <v>748</v>
      </c>
      <c r="C3553" s="2" t="s">
        <v>140</v>
      </c>
      <c r="D3553" s="2" t="s">
        <v>10</v>
      </c>
      <c r="E3553" s="2" t="s">
        <v>16</v>
      </c>
      <c r="F3553" s="2">
        <v>74.760000000000005</v>
      </c>
      <c r="G3553" s="2">
        <v>3</v>
      </c>
      <c r="H3553" s="2">
        <v>34.39</v>
      </c>
      <c r="I3553" t="str">
        <f t="shared" si="55"/>
        <v>Nov</v>
      </c>
      <c r="J3553">
        <f>YEAR(datas[[#This Row],[Order Date]])</f>
        <v>2022</v>
      </c>
    </row>
    <row r="3554" spans="1:10" ht="14.25" customHeight="1" x14ac:dyDescent="0.3">
      <c r="A3554" s="1">
        <v>44875</v>
      </c>
      <c r="B3554" s="2" t="s">
        <v>748</v>
      </c>
      <c r="C3554" s="2" t="s">
        <v>140</v>
      </c>
      <c r="D3554" s="2" t="s">
        <v>26</v>
      </c>
      <c r="E3554" s="2" t="s">
        <v>32</v>
      </c>
      <c r="F3554" s="2">
        <v>29.22</v>
      </c>
      <c r="G3554" s="2">
        <v>3</v>
      </c>
      <c r="H3554" s="2">
        <v>12.86</v>
      </c>
      <c r="I3554" t="str">
        <f t="shared" si="55"/>
        <v>Nov</v>
      </c>
      <c r="J3554">
        <f>YEAR(datas[[#This Row],[Order Date]])</f>
        <v>2022</v>
      </c>
    </row>
    <row r="3555" spans="1:10" ht="14.25" customHeight="1" x14ac:dyDescent="0.3">
      <c r="A3555" s="1">
        <v>44875</v>
      </c>
      <c r="B3555" s="2" t="s">
        <v>118</v>
      </c>
      <c r="C3555" s="2" t="s">
        <v>18</v>
      </c>
      <c r="D3555" s="2" t="s">
        <v>10</v>
      </c>
      <c r="E3555" s="2" t="s">
        <v>15</v>
      </c>
      <c r="F3555" s="2">
        <v>577.58000000000004</v>
      </c>
      <c r="G3555" s="2">
        <v>6</v>
      </c>
      <c r="H3555" s="2">
        <v>43.32</v>
      </c>
      <c r="I3555" t="str">
        <f t="shared" si="55"/>
        <v>Nov</v>
      </c>
      <c r="J3555">
        <f>YEAR(datas[[#This Row],[Order Date]])</f>
        <v>2022</v>
      </c>
    </row>
    <row r="3556" spans="1:10" ht="14.25" customHeight="1" x14ac:dyDescent="0.3">
      <c r="A3556" s="1">
        <v>44876</v>
      </c>
      <c r="B3556" s="2" t="s">
        <v>669</v>
      </c>
      <c r="C3556" s="2" t="s">
        <v>60</v>
      </c>
      <c r="D3556" s="2" t="s">
        <v>10</v>
      </c>
      <c r="E3556" s="2" t="s">
        <v>15</v>
      </c>
      <c r="F3556" s="2">
        <v>418.32</v>
      </c>
      <c r="G3556" s="2">
        <v>7</v>
      </c>
      <c r="H3556" s="2">
        <v>117.13</v>
      </c>
      <c r="I3556" t="str">
        <f t="shared" si="55"/>
        <v>Nov</v>
      </c>
      <c r="J3556">
        <f>YEAR(datas[[#This Row],[Order Date]])</f>
        <v>2022</v>
      </c>
    </row>
    <row r="3557" spans="1:10" ht="14.25" customHeight="1" x14ac:dyDescent="0.3">
      <c r="A3557" s="1">
        <v>44876</v>
      </c>
      <c r="B3557" s="2" t="s">
        <v>669</v>
      </c>
      <c r="C3557" s="2" t="s">
        <v>60</v>
      </c>
      <c r="D3557" s="2" t="s">
        <v>10</v>
      </c>
      <c r="E3557" s="2" t="s">
        <v>53</v>
      </c>
      <c r="F3557" s="2">
        <v>123.86</v>
      </c>
      <c r="G3557" s="2">
        <v>2</v>
      </c>
      <c r="H3557" s="2">
        <v>46.79</v>
      </c>
      <c r="I3557" t="str">
        <f t="shared" si="55"/>
        <v>Nov</v>
      </c>
      <c r="J3557">
        <f>YEAR(datas[[#This Row],[Order Date]])</f>
        <v>2022</v>
      </c>
    </row>
    <row r="3558" spans="1:10" ht="14.25" customHeight="1" x14ac:dyDescent="0.3">
      <c r="A3558" s="1">
        <v>44877</v>
      </c>
      <c r="B3558" s="2" t="s">
        <v>587</v>
      </c>
      <c r="C3558" s="2" t="s">
        <v>21</v>
      </c>
      <c r="D3558" s="2" t="s">
        <v>10</v>
      </c>
      <c r="E3558" s="2" t="s">
        <v>11</v>
      </c>
      <c r="F3558" s="2">
        <v>15.7</v>
      </c>
      <c r="G3558" s="2">
        <v>5</v>
      </c>
      <c r="H3558" s="2">
        <v>7.07</v>
      </c>
      <c r="I3558" t="str">
        <f t="shared" si="55"/>
        <v>Nov</v>
      </c>
      <c r="J3558">
        <f>YEAR(datas[[#This Row],[Order Date]])</f>
        <v>2022</v>
      </c>
    </row>
    <row r="3559" spans="1:10" ht="14.25" customHeight="1" x14ac:dyDescent="0.3">
      <c r="A3559" s="1">
        <v>44877</v>
      </c>
      <c r="B3559" s="2" t="s">
        <v>183</v>
      </c>
      <c r="C3559" s="2" t="s">
        <v>64</v>
      </c>
      <c r="D3559" s="2" t="s">
        <v>10</v>
      </c>
      <c r="E3559" s="2" t="s">
        <v>19</v>
      </c>
      <c r="F3559" s="2">
        <v>11.76</v>
      </c>
      <c r="G3559" s="2">
        <v>5</v>
      </c>
      <c r="H3559" s="2">
        <v>1.32</v>
      </c>
      <c r="I3559" t="str">
        <f t="shared" si="55"/>
        <v>Nov</v>
      </c>
      <c r="J3559">
        <f>YEAR(datas[[#This Row],[Order Date]])</f>
        <v>2022</v>
      </c>
    </row>
    <row r="3560" spans="1:10" ht="14.25" customHeight="1" x14ac:dyDescent="0.3">
      <c r="A3560" s="1">
        <v>44877</v>
      </c>
      <c r="B3560" s="2" t="s">
        <v>183</v>
      </c>
      <c r="C3560" s="2" t="s">
        <v>64</v>
      </c>
      <c r="D3560" s="2" t="s">
        <v>10</v>
      </c>
      <c r="E3560" s="2" t="s">
        <v>16</v>
      </c>
      <c r="F3560" s="2">
        <v>5.24</v>
      </c>
      <c r="G3560" s="2">
        <v>2</v>
      </c>
      <c r="H3560" s="2">
        <v>-4.0199999999999996</v>
      </c>
      <c r="I3560" t="str">
        <f t="shared" si="55"/>
        <v>Nov</v>
      </c>
      <c r="J3560">
        <f>YEAR(datas[[#This Row],[Order Date]])</f>
        <v>2022</v>
      </c>
    </row>
    <row r="3561" spans="1:10" ht="14.25" customHeight="1" x14ac:dyDescent="0.3">
      <c r="A3561" s="1">
        <v>44877</v>
      </c>
      <c r="B3561" s="2" t="s">
        <v>183</v>
      </c>
      <c r="C3561" s="2" t="s">
        <v>64</v>
      </c>
      <c r="D3561" s="2" t="s">
        <v>10</v>
      </c>
      <c r="E3561" s="2" t="s">
        <v>16</v>
      </c>
      <c r="F3561" s="2">
        <v>4.66</v>
      </c>
      <c r="G3561" s="2">
        <v>3</v>
      </c>
      <c r="H3561" s="2">
        <v>-3.73</v>
      </c>
      <c r="I3561" t="str">
        <f t="shared" si="55"/>
        <v>Nov</v>
      </c>
      <c r="J3561">
        <f>YEAR(datas[[#This Row],[Order Date]])</f>
        <v>2022</v>
      </c>
    </row>
    <row r="3562" spans="1:10" ht="14.25" customHeight="1" x14ac:dyDescent="0.3">
      <c r="A3562" s="1">
        <v>44877</v>
      </c>
      <c r="B3562" s="2" t="s">
        <v>183</v>
      </c>
      <c r="C3562" s="2" t="s">
        <v>64</v>
      </c>
      <c r="D3562" s="2" t="s">
        <v>26</v>
      </c>
      <c r="E3562" s="2" t="s">
        <v>27</v>
      </c>
      <c r="F3562" s="2">
        <v>523.91999999999996</v>
      </c>
      <c r="G3562" s="2">
        <v>5</v>
      </c>
      <c r="H3562" s="2">
        <v>-72.040000000000006</v>
      </c>
      <c r="I3562" t="str">
        <f t="shared" si="55"/>
        <v>Nov</v>
      </c>
      <c r="J3562">
        <f>YEAR(datas[[#This Row],[Order Date]])</f>
        <v>2022</v>
      </c>
    </row>
    <row r="3563" spans="1:10" ht="14.25" customHeight="1" x14ac:dyDescent="0.3">
      <c r="A3563" s="1">
        <v>44877</v>
      </c>
      <c r="B3563" s="2" t="s">
        <v>183</v>
      </c>
      <c r="C3563" s="2" t="s">
        <v>64</v>
      </c>
      <c r="D3563" s="2" t="s">
        <v>28</v>
      </c>
      <c r="E3563" s="2" t="s">
        <v>29</v>
      </c>
      <c r="F3563" s="2">
        <v>100.79</v>
      </c>
      <c r="G3563" s="2">
        <v>1</v>
      </c>
      <c r="H3563" s="2">
        <v>10.08</v>
      </c>
      <c r="I3563" t="str">
        <f t="shared" si="55"/>
        <v>Nov</v>
      </c>
      <c r="J3563">
        <f>YEAR(datas[[#This Row],[Order Date]])</f>
        <v>2022</v>
      </c>
    </row>
    <row r="3564" spans="1:10" ht="14.25" customHeight="1" x14ac:dyDescent="0.3">
      <c r="A3564" s="1">
        <v>44877</v>
      </c>
      <c r="B3564" s="2" t="s">
        <v>183</v>
      </c>
      <c r="C3564" s="2" t="s">
        <v>64</v>
      </c>
      <c r="D3564" s="2" t="s">
        <v>26</v>
      </c>
      <c r="E3564" s="2" t="s">
        <v>27</v>
      </c>
      <c r="F3564" s="2">
        <v>146.13999999999999</v>
      </c>
      <c r="G3564" s="2">
        <v>3</v>
      </c>
      <c r="H3564" s="2">
        <v>16.440000000000001</v>
      </c>
      <c r="I3564" t="str">
        <f t="shared" si="55"/>
        <v>Nov</v>
      </c>
      <c r="J3564">
        <f>YEAR(datas[[#This Row],[Order Date]])</f>
        <v>2022</v>
      </c>
    </row>
    <row r="3565" spans="1:10" ht="14.25" customHeight="1" x14ac:dyDescent="0.3">
      <c r="A3565" s="1">
        <v>44877</v>
      </c>
      <c r="B3565" s="2" t="s">
        <v>478</v>
      </c>
      <c r="C3565" s="2" t="s">
        <v>9</v>
      </c>
      <c r="D3565" s="2" t="s">
        <v>10</v>
      </c>
      <c r="E3565" s="2" t="s">
        <v>15</v>
      </c>
      <c r="F3565" s="2">
        <v>64.78</v>
      </c>
      <c r="G3565" s="2">
        <v>1</v>
      </c>
      <c r="H3565" s="2">
        <v>-14.58</v>
      </c>
      <c r="I3565" t="str">
        <f t="shared" si="55"/>
        <v>Nov</v>
      </c>
      <c r="J3565">
        <f>YEAR(datas[[#This Row],[Order Date]])</f>
        <v>2022</v>
      </c>
    </row>
    <row r="3566" spans="1:10" ht="14.25" customHeight="1" x14ac:dyDescent="0.3">
      <c r="A3566" s="1">
        <v>44877</v>
      </c>
      <c r="B3566" s="2" t="s">
        <v>478</v>
      </c>
      <c r="C3566" s="2" t="s">
        <v>9</v>
      </c>
      <c r="D3566" s="2" t="s">
        <v>10</v>
      </c>
      <c r="E3566" s="2" t="s">
        <v>11</v>
      </c>
      <c r="F3566" s="2">
        <v>15.55</v>
      </c>
      <c r="G3566" s="2">
        <v>3</v>
      </c>
      <c r="H3566" s="2">
        <v>5.64</v>
      </c>
      <c r="I3566" t="str">
        <f t="shared" si="55"/>
        <v>Nov</v>
      </c>
      <c r="J3566">
        <f>YEAR(datas[[#This Row],[Order Date]])</f>
        <v>2022</v>
      </c>
    </row>
    <row r="3567" spans="1:10" ht="14.25" customHeight="1" x14ac:dyDescent="0.3">
      <c r="A3567" s="1">
        <v>44877</v>
      </c>
      <c r="B3567" s="2" t="s">
        <v>478</v>
      </c>
      <c r="C3567" s="2" t="s">
        <v>9</v>
      </c>
      <c r="D3567" s="2" t="s">
        <v>10</v>
      </c>
      <c r="E3567" s="2" t="s">
        <v>41</v>
      </c>
      <c r="F3567" s="2">
        <v>223.89</v>
      </c>
      <c r="G3567" s="2">
        <v>7</v>
      </c>
      <c r="H3567" s="2">
        <v>69.97</v>
      </c>
      <c r="I3567" t="str">
        <f t="shared" si="55"/>
        <v>Nov</v>
      </c>
      <c r="J3567">
        <f>YEAR(datas[[#This Row],[Order Date]])</f>
        <v>2022</v>
      </c>
    </row>
    <row r="3568" spans="1:10" ht="14.25" customHeight="1" x14ac:dyDescent="0.3">
      <c r="A3568" s="1">
        <v>44877</v>
      </c>
      <c r="B3568" s="2" t="s">
        <v>704</v>
      </c>
      <c r="C3568" s="2" t="s">
        <v>75</v>
      </c>
      <c r="D3568" s="2" t="s">
        <v>10</v>
      </c>
      <c r="E3568" s="2" t="s">
        <v>41</v>
      </c>
      <c r="F3568" s="2">
        <v>15.56</v>
      </c>
      <c r="G3568" s="2">
        <v>2</v>
      </c>
      <c r="H3568" s="2">
        <v>7.31</v>
      </c>
      <c r="I3568" t="str">
        <f t="shared" si="55"/>
        <v>Nov</v>
      </c>
      <c r="J3568">
        <f>YEAR(datas[[#This Row],[Order Date]])</f>
        <v>2022</v>
      </c>
    </row>
    <row r="3569" spans="1:10" ht="14.25" customHeight="1" x14ac:dyDescent="0.3">
      <c r="A3569" s="1">
        <v>44878</v>
      </c>
      <c r="B3569" s="2" t="s">
        <v>714</v>
      </c>
      <c r="C3569" s="2" t="s">
        <v>126</v>
      </c>
      <c r="D3569" s="2" t="s">
        <v>28</v>
      </c>
      <c r="E3569" s="2" t="s">
        <v>34</v>
      </c>
      <c r="F3569" s="2">
        <v>238.9</v>
      </c>
      <c r="G3569" s="2">
        <v>6</v>
      </c>
      <c r="H3569" s="2">
        <v>-26.88</v>
      </c>
      <c r="I3569" t="str">
        <f t="shared" si="55"/>
        <v>Nov</v>
      </c>
      <c r="J3569">
        <f>YEAR(datas[[#This Row],[Order Date]])</f>
        <v>2022</v>
      </c>
    </row>
    <row r="3570" spans="1:10" ht="14.25" customHeight="1" x14ac:dyDescent="0.3">
      <c r="A3570" s="1">
        <v>44878</v>
      </c>
      <c r="B3570" s="2" t="s">
        <v>714</v>
      </c>
      <c r="C3570" s="2" t="s">
        <v>126</v>
      </c>
      <c r="D3570" s="2" t="s">
        <v>26</v>
      </c>
      <c r="E3570" s="2" t="s">
        <v>32</v>
      </c>
      <c r="F3570" s="2">
        <v>102.36</v>
      </c>
      <c r="G3570" s="2">
        <v>3</v>
      </c>
      <c r="H3570" s="2">
        <v>-3.84</v>
      </c>
      <c r="I3570" t="str">
        <f t="shared" si="55"/>
        <v>Nov</v>
      </c>
      <c r="J3570">
        <f>YEAR(datas[[#This Row],[Order Date]])</f>
        <v>2022</v>
      </c>
    </row>
    <row r="3571" spans="1:10" ht="14.25" customHeight="1" x14ac:dyDescent="0.3">
      <c r="A3571" s="1">
        <v>44878</v>
      </c>
      <c r="B3571" s="2" t="s">
        <v>714</v>
      </c>
      <c r="C3571" s="2" t="s">
        <v>126</v>
      </c>
      <c r="D3571" s="2" t="s">
        <v>10</v>
      </c>
      <c r="E3571" s="2" t="s">
        <v>16</v>
      </c>
      <c r="F3571" s="2">
        <v>36.880000000000003</v>
      </c>
      <c r="G3571" s="2">
        <v>3</v>
      </c>
      <c r="H3571" s="2">
        <v>-25.82</v>
      </c>
      <c r="I3571" t="str">
        <f t="shared" si="55"/>
        <v>Nov</v>
      </c>
      <c r="J3571">
        <f>YEAR(datas[[#This Row],[Order Date]])</f>
        <v>2022</v>
      </c>
    </row>
    <row r="3572" spans="1:10" ht="14.25" customHeight="1" x14ac:dyDescent="0.3">
      <c r="A3572" s="1">
        <v>44878</v>
      </c>
      <c r="B3572" s="2" t="s">
        <v>591</v>
      </c>
      <c r="C3572" s="2" t="s">
        <v>115</v>
      </c>
      <c r="D3572" s="2" t="s">
        <v>10</v>
      </c>
      <c r="E3572" s="2" t="s">
        <v>11</v>
      </c>
      <c r="F3572" s="2">
        <v>115.3</v>
      </c>
      <c r="G3572" s="2">
        <v>3</v>
      </c>
      <c r="H3572" s="2">
        <v>40.35</v>
      </c>
      <c r="I3572" t="str">
        <f t="shared" si="55"/>
        <v>Nov</v>
      </c>
      <c r="J3572">
        <f>YEAR(datas[[#This Row],[Order Date]])</f>
        <v>2022</v>
      </c>
    </row>
    <row r="3573" spans="1:10" ht="14.25" customHeight="1" x14ac:dyDescent="0.3">
      <c r="A3573" s="1">
        <v>44878</v>
      </c>
      <c r="B3573" s="2" t="s">
        <v>387</v>
      </c>
      <c r="C3573" s="2" t="s">
        <v>38</v>
      </c>
      <c r="D3573" s="2" t="s">
        <v>28</v>
      </c>
      <c r="E3573" s="2" t="s">
        <v>29</v>
      </c>
      <c r="F3573" s="2">
        <v>377.97</v>
      </c>
      <c r="G3573" s="2">
        <v>3</v>
      </c>
      <c r="H3573" s="2">
        <v>94.49</v>
      </c>
      <c r="I3573" t="str">
        <f t="shared" si="55"/>
        <v>Nov</v>
      </c>
      <c r="J3573">
        <f>YEAR(datas[[#This Row],[Order Date]])</f>
        <v>2022</v>
      </c>
    </row>
    <row r="3574" spans="1:10" ht="14.25" customHeight="1" x14ac:dyDescent="0.3">
      <c r="A3574" s="1">
        <v>44878</v>
      </c>
      <c r="B3574" s="2" t="s">
        <v>387</v>
      </c>
      <c r="C3574" s="2" t="s">
        <v>38</v>
      </c>
      <c r="D3574" s="2" t="s">
        <v>10</v>
      </c>
      <c r="E3574" s="2" t="s">
        <v>11</v>
      </c>
      <c r="F3574" s="2">
        <v>42.28</v>
      </c>
      <c r="G3574" s="2">
        <v>7</v>
      </c>
      <c r="H3574" s="2">
        <v>19.87</v>
      </c>
      <c r="I3574" t="str">
        <f t="shared" si="55"/>
        <v>Nov</v>
      </c>
      <c r="J3574">
        <f>YEAR(datas[[#This Row],[Order Date]])</f>
        <v>2022</v>
      </c>
    </row>
    <row r="3575" spans="1:10" ht="14.25" customHeight="1" x14ac:dyDescent="0.3">
      <c r="A3575" s="1">
        <v>44878</v>
      </c>
      <c r="B3575" s="2" t="s">
        <v>387</v>
      </c>
      <c r="C3575" s="2" t="s">
        <v>38</v>
      </c>
      <c r="D3575" s="2" t="s">
        <v>26</v>
      </c>
      <c r="E3575" s="2" t="s">
        <v>45</v>
      </c>
      <c r="F3575" s="2">
        <v>299.97000000000003</v>
      </c>
      <c r="G3575" s="2">
        <v>3</v>
      </c>
      <c r="H3575" s="2">
        <v>56.99</v>
      </c>
      <c r="I3575" t="str">
        <f t="shared" si="55"/>
        <v>Nov</v>
      </c>
      <c r="J3575">
        <f>YEAR(datas[[#This Row],[Order Date]])</f>
        <v>2022</v>
      </c>
    </row>
    <row r="3576" spans="1:10" ht="14.25" customHeight="1" x14ac:dyDescent="0.3">
      <c r="A3576" s="1">
        <v>44878</v>
      </c>
      <c r="B3576" s="2" t="s">
        <v>387</v>
      </c>
      <c r="C3576" s="2" t="s">
        <v>38</v>
      </c>
      <c r="D3576" s="2" t="s">
        <v>28</v>
      </c>
      <c r="E3576" s="2" t="s">
        <v>29</v>
      </c>
      <c r="F3576" s="2">
        <v>89.98</v>
      </c>
      <c r="G3576" s="2">
        <v>2</v>
      </c>
      <c r="H3576" s="2">
        <v>43.19</v>
      </c>
      <c r="I3576" t="str">
        <f t="shared" si="55"/>
        <v>Nov</v>
      </c>
      <c r="J3576">
        <f>YEAR(datas[[#This Row],[Order Date]])</f>
        <v>2022</v>
      </c>
    </row>
    <row r="3577" spans="1:10" ht="14.25" customHeight="1" x14ac:dyDescent="0.3">
      <c r="A3577" s="1">
        <v>44878</v>
      </c>
      <c r="B3577" s="2" t="s">
        <v>344</v>
      </c>
      <c r="C3577" s="2" t="s">
        <v>13</v>
      </c>
      <c r="D3577" s="2" t="s">
        <v>26</v>
      </c>
      <c r="E3577" s="2" t="s">
        <v>32</v>
      </c>
      <c r="F3577" s="2">
        <v>17.5</v>
      </c>
      <c r="G3577" s="2">
        <v>9</v>
      </c>
      <c r="H3577" s="2">
        <v>-7.44</v>
      </c>
      <c r="I3577" t="str">
        <f t="shared" si="55"/>
        <v>Nov</v>
      </c>
      <c r="J3577">
        <f>YEAR(datas[[#This Row],[Order Date]])</f>
        <v>2022</v>
      </c>
    </row>
    <row r="3578" spans="1:10" ht="14.25" customHeight="1" x14ac:dyDescent="0.3">
      <c r="A3578" s="1">
        <v>44878</v>
      </c>
      <c r="B3578" s="2" t="s">
        <v>345</v>
      </c>
      <c r="C3578" s="2" t="s">
        <v>68</v>
      </c>
      <c r="D3578" s="2" t="s">
        <v>10</v>
      </c>
      <c r="E3578" s="2" t="s">
        <v>11</v>
      </c>
      <c r="F3578" s="2">
        <v>63.77</v>
      </c>
      <c r="G3578" s="2">
        <v>7</v>
      </c>
      <c r="H3578" s="2">
        <v>28.7</v>
      </c>
      <c r="I3578" t="str">
        <f t="shared" si="55"/>
        <v>Nov</v>
      </c>
      <c r="J3578">
        <f>YEAR(datas[[#This Row],[Order Date]])</f>
        <v>2022</v>
      </c>
    </row>
    <row r="3579" spans="1:10" ht="14.25" customHeight="1" x14ac:dyDescent="0.3">
      <c r="A3579" s="1">
        <v>44878</v>
      </c>
      <c r="B3579" s="2" t="s">
        <v>345</v>
      </c>
      <c r="C3579" s="2" t="s">
        <v>68</v>
      </c>
      <c r="D3579" s="2" t="s">
        <v>28</v>
      </c>
      <c r="E3579" s="2" t="s">
        <v>29</v>
      </c>
      <c r="F3579" s="2">
        <v>50.97</v>
      </c>
      <c r="G3579" s="2">
        <v>3</v>
      </c>
      <c r="H3579" s="2">
        <v>13.25</v>
      </c>
      <c r="I3579" t="str">
        <f t="shared" si="55"/>
        <v>Nov</v>
      </c>
      <c r="J3579">
        <f>YEAR(datas[[#This Row],[Order Date]])</f>
        <v>2022</v>
      </c>
    </row>
    <row r="3580" spans="1:10" ht="14.25" customHeight="1" x14ac:dyDescent="0.3">
      <c r="A3580" s="1">
        <v>44878</v>
      </c>
      <c r="B3580" s="2" t="s">
        <v>345</v>
      </c>
      <c r="C3580" s="2" t="s">
        <v>68</v>
      </c>
      <c r="D3580" s="2" t="s">
        <v>10</v>
      </c>
      <c r="E3580" s="2" t="s">
        <v>11</v>
      </c>
      <c r="F3580" s="2">
        <v>96.08</v>
      </c>
      <c r="G3580" s="2">
        <v>2</v>
      </c>
      <c r="H3580" s="2">
        <v>46.12</v>
      </c>
      <c r="I3580" t="str">
        <f t="shared" si="55"/>
        <v>Nov</v>
      </c>
      <c r="J3580">
        <f>YEAR(datas[[#This Row],[Order Date]])</f>
        <v>2022</v>
      </c>
    </row>
    <row r="3581" spans="1:10" ht="14.25" customHeight="1" x14ac:dyDescent="0.3">
      <c r="A3581" s="1">
        <v>44878</v>
      </c>
      <c r="B3581" s="2" t="s">
        <v>222</v>
      </c>
      <c r="C3581" s="2" t="s">
        <v>62</v>
      </c>
      <c r="D3581" s="2" t="s">
        <v>10</v>
      </c>
      <c r="E3581" s="2" t="s">
        <v>15</v>
      </c>
      <c r="F3581" s="2">
        <v>84.96</v>
      </c>
      <c r="G3581" s="2">
        <v>6</v>
      </c>
      <c r="H3581" s="2">
        <v>6.37</v>
      </c>
      <c r="I3581" t="str">
        <f t="shared" si="55"/>
        <v>Nov</v>
      </c>
      <c r="J3581">
        <f>YEAR(datas[[#This Row],[Order Date]])</f>
        <v>2022</v>
      </c>
    </row>
    <row r="3582" spans="1:10" ht="14.25" customHeight="1" x14ac:dyDescent="0.3">
      <c r="A3582" s="1">
        <v>44878</v>
      </c>
      <c r="B3582" s="2" t="s">
        <v>367</v>
      </c>
      <c r="C3582" s="2" t="s">
        <v>210</v>
      </c>
      <c r="D3582" s="2" t="s">
        <v>28</v>
      </c>
      <c r="E3582" s="2" t="s">
        <v>29</v>
      </c>
      <c r="F3582" s="2">
        <v>339.96</v>
      </c>
      <c r="G3582" s="2">
        <v>5</v>
      </c>
      <c r="H3582" s="2">
        <v>42.5</v>
      </c>
      <c r="I3582" t="str">
        <f t="shared" si="55"/>
        <v>Nov</v>
      </c>
      <c r="J3582">
        <f>YEAR(datas[[#This Row],[Order Date]])</f>
        <v>2022</v>
      </c>
    </row>
    <row r="3583" spans="1:10" ht="14.25" customHeight="1" x14ac:dyDescent="0.3">
      <c r="A3583" s="1">
        <v>44878</v>
      </c>
      <c r="B3583" s="2" t="s">
        <v>367</v>
      </c>
      <c r="C3583" s="2" t="s">
        <v>210</v>
      </c>
      <c r="D3583" s="2" t="s">
        <v>26</v>
      </c>
      <c r="E3583" s="2" t="s">
        <v>32</v>
      </c>
      <c r="F3583" s="2">
        <v>63.98</v>
      </c>
      <c r="G3583" s="2">
        <v>7</v>
      </c>
      <c r="H3583" s="2">
        <v>21.75</v>
      </c>
      <c r="I3583" t="str">
        <f t="shared" si="55"/>
        <v>Nov</v>
      </c>
      <c r="J3583">
        <f>YEAR(datas[[#This Row],[Order Date]])</f>
        <v>2022</v>
      </c>
    </row>
    <row r="3584" spans="1:10" ht="14.25" customHeight="1" x14ac:dyDescent="0.3">
      <c r="A3584" s="1">
        <v>44878</v>
      </c>
      <c r="B3584" s="2" t="s">
        <v>740</v>
      </c>
      <c r="C3584" s="2" t="s">
        <v>64</v>
      </c>
      <c r="D3584" s="2" t="s">
        <v>10</v>
      </c>
      <c r="E3584" s="2" t="s">
        <v>16</v>
      </c>
      <c r="F3584" s="2">
        <v>121.1</v>
      </c>
      <c r="G3584" s="2">
        <v>6</v>
      </c>
      <c r="H3584" s="2">
        <v>-100.92</v>
      </c>
      <c r="I3584" t="str">
        <f t="shared" si="55"/>
        <v>Nov</v>
      </c>
      <c r="J3584">
        <f>YEAR(datas[[#This Row],[Order Date]])</f>
        <v>2022</v>
      </c>
    </row>
    <row r="3585" spans="1:10" ht="14.25" customHeight="1" x14ac:dyDescent="0.3">
      <c r="A3585" s="1">
        <v>44878</v>
      </c>
      <c r="B3585" s="2" t="s">
        <v>740</v>
      </c>
      <c r="C3585" s="2" t="s">
        <v>64</v>
      </c>
      <c r="D3585" s="2" t="s">
        <v>28</v>
      </c>
      <c r="E3585" s="2" t="s">
        <v>34</v>
      </c>
      <c r="F3585" s="2">
        <v>111.96</v>
      </c>
      <c r="G3585" s="2">
        <v>5</v>
      </c>
      <c r="H3585" s="2">
        <v>-1.4</v>
      </c>
      <c r="I3585" t="str">
        <f t="shared" si="55"/>
        <v>Nov</v>
      </c>
      <c r="J3585">
        <f>YEAR(datas[[#This Row],[Order Date]])</f>
        <v>2022</v>
      </c>
    </row>
    <row r="3586" spans="1:10" ht="14.25" customHeight="1" x14ac:dyDescent="0.3">
      <c r="A3586" s="1">
        <v>44878</v>
      </c>
      <c r="B3586" s="2" t="s">
        <v>559</v>
      </c>
      <c r="C3586" s="2" t="s">
        <v>9</v>
      </c>
      <c r="D3586" s="2" t="s">
        <v>26</v>
      </c>
      <c r="E3586" s="2" t="s">
        <v>45</v>
      </c>
      <c r="F3586" s="2">
        <v>614</v>
      </c>
      <c r="G3586" s="2">
        <v>3</v>
      </c>
      <c r="H3586" s="2">
        <v>-18.059999999999999</v>
      </c>
      <c r="I3586" t="str">
        <f t="shared" si="55"/>
        <v>Nov</v>
      </c>
      <c r="J3586">
        <f>YEAR(datas[[#This Row],[Order Date]])</f>
        <v>2022</v>
      </c>
    </row>
    <row r="3587" spans="1:10" ht="14.25" customHeight="1" x14ac:dyDescent="0.3">
      <c r="A3587" s="1">
        <v>44878</v>
      </c>
      <c r="B3587" s="2" t="s">
        <v>418</v>
      </c>
      <c r="C3587" s="2" t="s">
        <v>21</v>
      </c>
      <c r="D3587" s="2" t="s">
        <v>10</v>
      </c>
      <c r="E3587" s="2" t="s">
        <v>16</v>
      </c>
      <c r="F3587" s="2">
        <v>9.8699999999999992</v>
      </c>
      <c r="G3587" s="2">
        <v>2</v>
      </c>
      <c r="H3587" s="2">
        <v>3.46</v>
      </c>
      <c r="I3587" t="str">
        <f t="shared" ref="I3587:I3650" si="56">TEXT(A3587,"mmm")</f>
        <v>Nov</v>
      </c>
      <c r="J3587">
        <f>YEAR(datas[[#This Row],[Order Date]])</f>
        <v>2022</v>
      </c>
    </row>
    <row r="3588" spans="1:10" ht="14.25" customHeight="1" x14ac:dyDescent="0.3">
      <c r="A3588" s="1">
        <v>44878</v>
      </c>
      <c r="B3588" s="2" t="s">
        <v>418</v>
      </c>
      <c r="C3588" s="2" t="s">
        <v>21</v>
      </c>
      <c r="D3588" s="2" t="s">
        <v>26</v>
      </c>
      <c r="E3588" s="2" t="s">
        <v>45</v>
      </c>
      <c r="F3588" s="2">
        <v>683.33</v>
      </c>
      <c r="G3588" s="2">
        <v>4</v>
      </c>
      <c r="H3588" s="2">
        <v>-40.200000000000003</v>
      </c>
      <c r="I3588" t="str">
        <f t="shared" si="56"/>
        <v>Nov</v>
      </c>
      <c r="J3588">
        <f>YEAR(datas[[#This Row],[Order Date]])</f>
        <v>2022</v>
      </c>
    </row>
    <row r="3589" spans="1:10" ht="14.25" customHeight="1" x14ac:dyDescent="0.3">
      <c r="A3589" s="1">
        <v>44878</v>
      </c>
      <c r="B3589" s="2" t="s">
        <v>418</v>
      </c>
      <c r="C3589" s="2" t="s">
        <v>21</v>
      </c>
      <c r="D3589" s="2" t="s">
        <v>10</v>
      </c>
      <c r="E3589" s="2" t="s">
        <v>11</v>
      </c>
      <c r="F3589" s="2">
        <v>29.96</v>
      </c>
      <c r="G3589" s="2">
        <v>7</v>
      </c>
      <c r="H3589" s="2">
        <v>13.48</v>
      </c>
      <c r="I3589" t="str">
        <f t="shared" si="56"/>
        <v>Nov</v>
      </c>
      <c r="J3589">
        <f>YEAR(datas[[#This Row],[Order Date]])</f>
        <v>2022</v>
      </c>
    </row>
    <row r="3590" spans="1:10" ht="14.25" customHeight="1" x14ac:dyDescent="0.3">
      <c r="A3590" s="1">
        <v>44879</v>
      </c>
      <c r="B3590" s="2" t="s">
        <v>292</v>
      </c>
      <c r="C3590" s="2" t="s">
        <v>75</v>
      </c>
      <c r="D3590" s="2" t="s">
        <v>28</v>
      </c>
      <c r="E3590" s="2" t="s">
        <v>34</v>
      </c>
      <c r="F3590" s="2">
        <v>37.6</v>
      </c>
      <c r="G3590" s="2">
        <v>2</v>
      </c>
      <c r="H3590" s="2">
        <v>2.2599999999999998</v>
      </c>
      <c r="I3590" t="str">
        <f t="shared" si="56"/>
        <v>Nov</v>
      </c>
      <c r="J3590">
        <f>YEAR(datas[[#This Row],[Order Date]])</f>
        <v>2022</v>
      </c>
    </row>
    <row r="3591" spans="1:10" ht="14.25" customHeight="1" x14ac:dyDescent="0.3">
      <c r="A3591" s="1">
        <v>44879</v>
      </c>
      <c r="B3591" s="2" t="s">
        <v>292</v>
      </c>
      <c r="C3591" s="2" t="s">
        <v>75</v>
      </c>
      <c r="D3591" s="2" t="s">
        <v>28</v>
      </c>
      <c r="E3591" s="2" t="s">
        <v>34</v>
      </c>
      <c r="F3591" s="2">
        <v>59.9</v>
      </c>
      <c r="G3591" s="2">
        <v>2</v>
      </c>
      <c r="H3591" s="2">
        <v>23.96</v>
      </c>
      <c r="I3591" t="str">
        <f t="shared" si="56"/>
        <v>Nov</v>
      </c>
      <c r="J3591">
        <f>YEAR(datas[[#This Row],[Order Date]])</f>
        <v>2022</v>
      </c>
    </row>
    <row r="3592" spans="1:10" ht="14.25" customHeight="1" x14ac:dyDescent="0.3">
      <c r="A3592" s="1">
        <v>44879</v>
      </c>
      <c r="B3592" s="2" t="s">
        <v>292</v>
      </c>
      <c r="C3592" s="2" t="s">
        <v>75</v>
      </c>
      <c r="D3592" s="2" t="s">
        <v>10</v>
      </c>
      <c r="E3592" s="2" t="s">
        <v>11</v>
      </c>
      <c r="F3592" s="2">
        <v>37</v>
      </c>
      <c r="G3592" s="2">
        <v>5</v>
      </c>
      <c r="H3592" s="2">
        <v>16.649999999999999</v>
      </c>
      <c r="I3592" t="str">
        <f t="shared" si="56"/>
        <v>Nov</v>
      </c>
      <c r="J3592">
        <f>YEAR(datas[[#This Row],[Order Date]])</f>
        <v>2022</v>
      </c>
    </row>
    <row r="3593" spans="1:10" ht="14.25" customHeight="1" x14ac:dyDescent="0.3">
      <c r="A3593" s="1">
        <v>44879</v>
      </c>
      <c r="B3593" s="2" t="s">
        <v>292</v>
      </c>
      <c r="C3593" s="2" t="s">
        <v>36</v>
      </c>
      <c r="D3593" s="2" t="s">
        <v>10</v>
      </c>
      <c r="E3593" s="2" t="s">
        <v>41</v>
      </c>
      <c r="F3593" s="2">
        <v>33.96</v>
      </c>
      <c r="G3593" s="2">
        <v>2</v>
      </c>
      <c r="H3593" s="2">
        <v>16.98</v>
      </c>
      <c r="I3593" t="str">
        <f t="shared" si="56"/>
        <v>Nov</v>
      </c>
      <c r="J3593">
        <f>YEAR(datas[[#This Row],[Order Date]])</f>
        <v>2022</v>
      </c>
    </row>
    <row r="3594" spans="1:10" ht="14.25" customHeight="1" x14ac:dyDescent="0.3">
      <c r="A3594" s="1">
        <v>44879</v>
      </c>
      <c r="B3594" s="2" t="s">
        <v>292</v>
      </c>
      <c r="C3594" s="2" t="s">
        <v>36</v>
      </c>
      <c r="D3594" s="2" t="s">
        <v>10</v>
      </c>
      <c r="E3594" s="2" t="s">
        <v>53</v>
      </c>
      <c r="F3594" s="2">
        <v>826.11</v>
      </c>
      <c r="G3594" s="2">
        <v>3</v>
      </c>
      <c r="H3594" s="2">
        <v>322.18</v>
      </c>
      <c r="I3594" t="str">
        <f t="shared" si="56"/>
        <v>Nov</v>
      </c>
      <c r="J3594">
        <f>YEAR(datas[[#This Row],[Order Date]])</f>
        <v>2022</v>
      </c>
    </row>
    <row r="3595" spans="1:10" ht="14.25" customHeight="1" x14ac:dyDescent="0.3">
      <c r="A3595" s="1">
        <v>44879</v>
      </c>
      <c r="B3595" s="2" t="s">
        <v>20</v>
      </c>
      <c r="C3595" s="2" t="s">
        <v>38</v>
      </c>
      <c r="D3595" s="2" t="s">
        <v>26</v>
      </c>
      <c r="E3595" s="2" t="s">
        <v>32</v>
      </c>
      <c r="F3595" s="2">
        <v>76.14</v>
      </c>
      <c r="G3595" s="2">
        <v>3</v>
      </c>
      <c r="H3595" s="2">
        <v>26.65</v>
      </c>
      <c r="I3595" t="str">
        <f t="shared" si="56"/>
        <v>Nov</v>
      </c>
      <c r="J3595">
        <f>YEAR(datas[[#This Row],[Order Date]])</f>
        <v>2022</v>
      </c>
    </row>
    <row r="3596" spans="1:10" ht="14.25" customHeight="1" x14ac:dyDescent="0.3">
      <c r="A3596" s="1">
        <v>44879</v>
      </c>
      <c r="B3596" s="2" t="s">
        <v>20</v>
      </c>
      <c r="C3596" s="2" t="s">
        <v>38</v>
      </c>
      <c r="D3596" s="2" t="s">
        <v>10</v>
      </c>
      <c r="E3596" s="2" t="s">
        <v>16</v>
      </c>
      <c r="F3596" s="2">
        <v>19.96</v>
      </c>
      <c r="G3596" s="2">
        <v>2</v>
      </c>
      <c r="H3596" s="2">
        <v>9.3800000000000008</v>
      </c>
      <c r="I3596" t="str">
        <f t="shared" si="56"/>
        <v>Nov</v>
      </c>
      <c r="J3596">
        <f>YEAR(datas[[#This Row],[Order Date]])</f>
        <v>2022</v>
      </c>
    </row>
    <row r="3597" spans="1:10" ht="14.25" customHeight="1" x14ac:dyDescent="0.3">
      <c r="A3597" s="1">
        <v>44879</v>
      </c>
      <c r="B3597" s="2" t="s">
        <v>544</v>
      </c>
      <c r="C3597" s="2" t="s">
        <v>18</v>
      </c>
      <c r="D3597" s="2" t="s">
        <v>28</v>
      </c>
      <c r="E3597" s="2" t="s">
        <v>34</v>
      </c>
      <c r="F3597" s="2">
        <v>47.98</v>
      </c>
      <c r="G3597" s="2">
        <v>2</v>
      </c>
      <c r="H3597" s="2">
        <v>-1.2</v>
      </c>
      <c r="I3597" t="str">
        <f t="shared" si="56"/>
        <v>Nov</v>
      </c>
      <c r="J3597">
        <f>YEAR(datas[[#This Row],[Order Date]])</f>
        <v>2022</v>
      </c>
    </row>
    <row r="3598" spans="1:10" ht="14.25" customHeight="1" x14ac:dyDescent="0.3">
      <c r="A3598" s="1">
        <v>44879</v>
      </c>
      <c r="B3598" s="2" t="s">
        <v>187</v>
      </c>
      <c r="C3598" s="2" t="s">
        <v>52</v>
      </c>
      <c r="D3598" s="2" t="s">
        <v>10</v>
      </c>
      <c r="E3598" s="2" t="s">
        <v>30</v>
      </c>
      <c r="F3598" s="2">
        <v>8.7200000000000006</v>
      </c>
      <c r="G3598" s="2">
        <v>5</v>
      </c>
      <c r="H3598" s="2">
        <v>2.29</v>
      </c>
      <c r="I3598" t="str">
        <f t="shared" si="56"/>
        <v>Nov</v>
      </c>
      <c r="J3598">
        <f>YEAR(datas[[#This Row],[Order Date]])</f>
        <v>2022</v>
      </c>
    </row>
    <row r="3599" spans="1:10" ht="14.25" customHeight="1" x14ac:dyDescent="0.3">
      <c r="A3599" s="1">
        <v>44879</v>
      </c>
      <c r="B3599" s="2" t="s">
        <v>187</v>
      </c>
      <c r="C3599" s="2" t="s">
        <v>52</v>
      </c>
      <c r="D3599" s="2" t="s">
        <v>28</v>
      </c>
      <c r="E3599" s="2" t="s">
        <v>34</v>
      </c>
      <c r="F3599" s="2">
        <v>91.18</v>
      </c>
      <c r="G3599" s="2">
        <v>3</v>
      </c>
      <c r="H3599" s="2">
        <v>4.5599999999999996</v>
      </c>
      <c r="I3599" t="str">
        <f t="shared" si="56"/>
        <v>Nov</v>
      </c>
      <c r="J3599">
        <f>YEAR(datas[[#This Row],[Order Date]])</f>
        <v>2022</v>
      </c>
    </row>
    <row r="3600" spans="1:10" ht="14.25" customHeight="1" x14ac:dyDescent="0.3">
      <c r="A3600" s="1">
        <v>44879</v>
      </c>
      <c r="B3600" s="2" t="s">
        <v>187</v>
      </c>
      <c r="C3600" s="2" t="s">
        <v>52</v>
      </c>
      <c r="D3600" s="2" t="s">
        <v>28</v>
      </c>
      <c r="E3600" s="2" t="s">
        <v>34</v>
      </c>
      <c r="F3600" s="2">
        <v>159.97</v>
      </c>
      <c r="G3600" s="2">
        <v>4</v>
      </c>
      <c r="H3600" s="2">
        <v>29.99</v>
      </c>
      <c r="I3600" t="str">
        <f t="shared" si="56"/>
        <v>Nov</v>
      </c>
      <c r="J3600">
        <f>YEAR(datas[[#This Row],[Order Date]])</f>
        <v>2022</v>
      </c>
    </row>
    <row r="3601" spans="1:10" ht="14.25" customHeight="1" x14ac:dyDescent="0.3">
      <c r="A3601" s="1">
        <v>44879</v>
      </c>
      <c r="B3601" s="2" t="s">
        <v>403</v>
      </c>
      <c r="C3601" s="2" t="s">
        <v>167</v>
      </c>
      <c r="D3601" s="2" t="s">
        <v>26</v>
      </c>
      <c r="E3601" s="2" t="s">
        <v>27</v>
      </c>
      <c r="F3601" s="2">
        <v>883.84</v>
      </c>
      <c r="G3601" s="2">
        <v>4</v>
      </c>
      <c r="H3601" s="2">
        <v>99.43</v>
      </c>
      <c r="I3601" t="str">
        <f t="shared" si="56"/>
        <v>Nov</v>
      </c>
      <c r="J3601">
        <f>YEAR(datas[[#This Row],[Order Date]])</f>
        <v>2022</v>
      </c>
    </row>
    <row r="3602" spans="1:10" ht="14.25" customHeight="1" x14ac:dyDescent="0.3">
      <c r="A3602" s="1">
        <v>44879</v>
      </c>
      <c r="B3602" s="2" t="s">
        <v>403</v>
      </c>
      <c r="C3602" s="2" t="s">
        <v>167</v>
      </c>
      <c r="D3602" s="2" t="s">
        <v>26</v>
      </c>
      <c r="E3602" s="2" t="s">
        <v>27</v>
      </c>
      <c r="F3602" s="2">
        <v>230.35</v>
      </c>
      <c r="G3602" s="2">
        <v>3</v>
      </c>
      <c r="H3602" s="2">
        <v>20.16</v>
      </c>
      <c r="I3602" t="str">
        <f t="shared" si="56"/>
        <v>Nov</v>
      </c>
      <c r="J3602">
        <f>YEAR(datas[[#This Row],[Order Date]])</f>
        <v>2022</v>
      </c>
    </row>
    <row r="3603" spans="1:10" ht="14.25" customHeight="1" x14ac:dyDescent="0.3">
      <c r="A3603" s="1">
        <v>44880</v>
      </c>
      <c r="B3603" s="2" t="s">
        <v>131</v>
      </c>
      <c r="C3603" s="2" t="s">
        <v>13</v>
      </c>
      <c r="D3603" s="2" t="s">
        <v>10</v>
      </c>
      <c r="E3603" s="2" t="s">
        <v>15</v>
      </c>
      <c r="F3603" s="2">
        <v>250.27</v>
      </c>
      <c r="G3603" s="2">
        <v>9</v>
      </c>
      <c r="H3603" s="2">
        <v>15.64</v>
      </c>
      <c r="I3603" t="str">
        <f t="shared" si="56"/>
        <v>Nov</v>
      </c>
      <c r="J3603">
        <f>YEAR(datas[[#This Row],[Order Date]])</f>
        <v>2022</v>
      </c>
    </row>
    <row r="3604" spans="1:10" ht="14.25" customHeight="1" x14ac:dyDescent="0.3">
      <c r="A3604" s="1">
        <v>44880</v>
      </c>
      <c r="B3604" s="2" t="s">
        <v>131</v>
      </c>
      <c r="C3604" s="2" t="s">
        <v>13</v>
      </c>
      <c r="D3604" s="2" t="s">
        <v>10</v>
      </c>
      <c r="E3604" s="2" t="s">
        <v>16</v>
      </c>
      <c r="F3604" s="2">
        <v>11.36</v>
      </c>
      <c r="G3604" s="2">
        <v>3</v>
      </c>
      <c r="H3604" s="2">
        <v>-17.05</v>
      </c>
      <c r="I3604" t="str">
        <f t="shared" si="56"/>
        <v>Nov</v>
      </c>
      <c r="J3604">
        <f>YEAR(datas[[#This Row],[Order Date]])</f>
        <v>2022</v>
      </c>
    </row>
    <row r="3605" spans="1:10" ht="14.25" customHeight="1" x14ac:dyDescent="0.3">
      <c r="A3605" s="1">
        <v>44880</v>
      </c>
      <c r="B3605" s="2" t="s">
        <v>131</v>
      </c>
      <c r="C3605" s="2" t="s">
        <v>13</v>
      </c>
      <c r="D3605" s="2" t="s">
        <v>10</v>
      </c>
      <c r="E3605" s="2" t="s">
        <v>95</v>
      </c>
      <c r="F3605" s="2">
        <v>8.7200000000000006</v>
      </c>
      <c r="G3605" s="2">
        <v>5</v>
      </c>
      <c r="H3605" s="2">
        <v>-1.74</v>
      </c>
      <c r="I3605" t="str">
        <f t="shared" si="56"/>
        <v>Nov</v>
      </c>
      <c r="J3605">
        <f>YEAR(datas[[#This Row],[Order Date]])</f>
        <v>2022</v>
      </c>
    </row>
    <row r="3606" spans="1:10" ht="14.25" customHeight="1" x14ac:dyDescent="0.3">
      <c r="A3606" s="1">
        <v>44880</v>
      </c>
      <c r="B3606" s="2" t="s">
        <v>290</v>
      </c>
      <c r="C3606" s="2" t="s">
        <v>75</v>
      </c>
      <c r="D3606" s="2" t="s">
        <v>10</v>
      </c>
      <c r="E3606" s="2" t="s">
        <v>15</v>
      </c>
      <c r="F3606" s="2">
        <v>70.95</v>
      </c>
      <c r="G3606" s="2">
        <v>3</v>
      </c>
      <c r="H3606" s="2">
        <v>20.58</v>
      </c>
      <c r="I3606" t="str">
        <f t="shared" si="56"/>
        <v>Nov</v>
      </c>
      <c r="J3606">
        <f>YEAR(datas[[#This Row],[Order Date]])</f>
        <v>2022</v>
      </c>
    </row>
    <row r="3607" spans="1:10" ht="14.25" customHeight="1" x14ac:dyDescent="0.3">
      <c r="A3607" s="1">
        <v>44880</v>
      </c>
      <c r="B3607" s="2" t="s">
        <v>290</v>
      </c>
      <c r="C3607" s="2" t="s">
        <v>75</v>
      </c>
      <c r="D3607" s="2" t="s">
        <v>10</v>
      </c>
      <c r="E3607" s="2" t="s">
        <v>16</v>
      </c>
      <c r="F3607" s="2">
        <v>34.94</v>
      </c>
      <c r="G3607" s="2">
        <v>6</v>
      </c>
      <c r="H3607" s="2">
        <v>11.79</v>
      </c>
      <c r="I3607" t="str">
        <f t="shared" si="56"/>
        <v>Nov</v>
      </c>
      <c r="J3607">
        <f>YEAR(datas[[#This Row],[Order Date]])</f>
        <v>2022</v>
      </c>
    </row>
    <row r="3608" spans="1:10" ht="14.25" customHeight="1" x14ac:dyDescent="0.3">
      <c r="A3608" s="1">
        <v>44880</v>
      </c>
      <c r="B3608" s="2" t="s">
        <v>290</v>
      </c>
      <c r="C3608" s="2" t="s">
        <v>75</v>
      </c>
      <c r="D3608" s="2" t="s">
        <v>10</v>
      </c>
      <c r="E3608" s="2" t="s">
        <v>19</v>
      </c>
      <c r="F3608" s="2">
        <v>119.04</v>
      </c>
      <c r="G3608" s="2">
        <v>6</v>
      </c>
      <c r="H3608" s="2">
        <v>35.71</v>
      </c>
      <c r="I3608" t="str">
        <f t="shared" si="56"/>
        <v>Nov</v>
      </c>
      <c r="J3608">
        <f>YEAR(datas[[#This Row],[Order Date]])</f>
        <v>2022</v>
      </c>
    </row>
    <row r="3609" spans="1:10" ht="14.25" customHeight="1" x14ac:dyDescent="0.3">
      <c r="A3609" s="1">
        <v>44880</v>
      </c>
      <c r="B3609" s="2" t="s">
        <v>417</v>
      </c>
      <c r="C3609" s="2" t="s">
        <v>36</v>
      </c>
      <c r="D3609" s="2" t="s">
        <v>26</v>
      </c>
      <c r="E3609" s="2" t="s">
        <v>32</v>
      </c>
      <c r="F3609" s="2">
        <v>39.96</v>
      </c>
      <c r="G3609" s="2">
        <v>2</v>
      </c>
      <c r="H3609" s="2">
        <v>14.39</v>
      </c>
      <c r="I3609" t="str">
        <f t="shared" si="56"/>
        <v>Nov</v>
      </c>
      <c r="J3609">
        <f>YEAR(datas[[#This Row],[Order Date]])</f>
        <v>2022</v>
      </c>
    </row>
    <row r="3610" spans="1:10" ht="14.25" customHeight="1" x14ac:dyDescent="0.3">
      <c r="A3610" s="1">
        <v>44880</v>
      </c>
      <c r="B3610" s="2" t="s">
        <v>449</v>
      </c>
      <c r="C3610" s="2" t="s">
        <v>47</v>
      </c>
      <c r="D3610" s="2" t="s">
        <v>10</v>
      </c>
      <c r="E3610" s="2" t="s">
        <v>16</v>
      </c>
      <c r="F3610" s="2">
        <v>166.92</v>
      </c>
      <c r="G3610" s="2">
        <v>13</v>
      </c>
      <c r="H3610" s="2">
        <v>-116.84</v>
      </c>
      <c r="I3610" t="str">
        <f t="shared" si="56"/>
        <v>Nov</v>
      </c>
      <c r="J3610">
        <f>YEAR(datas[[#This Row],[Order Date]])</f>
        <v>2022</v>
      </c>
    </row>
    <row r="3611" spans="1:10" ht="14.25" customHeight="1" x14ac:dyDescent="0.3">
      <c r="A3611" s="1">
        <v>44881</v>
      </c>
      <c r="B3611" s="2" t="s">
        <v>748</v>
      </c>
      <c r="C3611" s="2" t="s">
        <v>75</v>
      </c>
      <c r="D3611" s="2" t="s">
        <v>10</v>
      </c>
      <c r="E3611" s="2" t="s">
        <v>53</v>
      </c>
      <c r="F3611" s="2">
        <v>523.25</v>
      </c>
      <c r="G3611" s="2">
        <v>5</v>
      </c>
      <c r="H3611" s="2">
        <v>141.28</v>
      </c>
      <c r="I3611" t="str">
        <f t="shared" si="56"/>
        <v>Nov</v>
      </c>
      <c r="J3611">
        <f>YEAR(datas[[#This Row],[Order Date]])</f>
        <v>2022</v>
      </c>
    </row>
    <row r="3612" spans="1:10" ht="14.25" customHeight="1" x14ac:dyDescent="0.3">
      <c r="A3612" s="1">
        <v>44881</v>
      </c>
      <c r="B3612" s="2" t="s">
        <v>168</v>
      </c>
      <c r="C3612" s="2" t="s">
        <v>79</v>
      </c>
      <c r="D3612" s="2" t="s">
        <v>10</v>
      </c>
      <c r="E3612" s="2" t="s">
        <v>11</v>
      </c>
      <c r="F3612" s="2">
        <v>179.82</v>
      </c>
      <c r="G3612" s="2">
        <v>9</v>
      </c>
      <c r="H3612" s="2">
        <v>84.52</v>
      </c>
      <c r="I3612" t="str">
        <f t="shared" si="56"/>
        <v>Nov</v>
      </c>
      <c r="J3612">
        <f>YEAR(datas[[#This Row],[Order Date]])</f>
        <v>2022</v>
      </c>
    </row>
    <row r="3613" spans="1:10" ht="14.25" customHeight="1" x14ac:dyDescent="0.3">
      <c r="A3613" s="1">
        <v>44881</v>
      </c>
      <c r="B3613" s="2" t="s">
        <v>168</v>
      </c>
      <c r="C3613" s="2" t="s">
        <v>79</v>
      </c>
      <c r="D3613" s="2" t="s">
        <v>26</v>
      </c>
      <c r="E3613" s="2" t="s">
        <v>32</v>
      </c>
      <c r="F3613" s="2">
        <v>185.58</v>
      </c>
      <c r="G3613" s="2">
        <v>6</v>
      </c>
      <c r="H3613" s="2">
        <v>76.09</v>
      </c>
      <c r="I3613" t="str">
        <f t="shared" si="56"/>
        <v>Nov</v>
      </c>
      <c r="J3613">
        <f>YEAR(datas[[#This Row],[Order Date]])</f>
        <v>2022</v>
      </c>
    </row>
    <row r="3614" spans="1:10" ht="14.25" customHeight="1" x14ac:dyDescent="0.3">
      <c r="A3614" s="1">
        <v>44881</v>
      </c>
      <c r="B3614" s="2" t="s">
        <v>168</v>
      </c>
      <c r="C3614" s="2" t="s">
        <v>79</v>
      </c>
      <c r="D3614" s="2" t="s">
        <v>26</v>
      </c>
      <c r="E3614" s="2" t="s">
        <v>73</v>
      </c>
      <c r="F3614" s="2">
        <v>214.11</v>
      </c>
      <c r="G3614" s="2">
        <v>3</v>
      </c>
      <c r="H3614" s="2">
        <v>36.4</v>
      </c>
      <c r="I3614" t="str">
        <f t="shared" si="56"/>
        <v>Nov</v>
      </c>
      <c r="J3614">
        <f>YEAR(datas[[#This Row],[Order Date]])</f>
        <v>2022</v>
      </c>
    </row>
    <row r="3615" spans="1:10" ht="14.25" customHeight="1" x14ac:dyDescent="0.3">
      <c r="A3615" s="1">
        <v>44881</v>
      </c>
      <c r="B3615" s="2" t="s">
        <v>168</v>
      </c>
      <c r="C3615" s="2" t="s">
        <v>79</v>
      </c>
      <c r="D3615" s="2" t="s">
        <v>28</v>
      </c>
      <c r="E3615" s="2" t="s">
        <v>34</v>
      </c>
      <c r="F3615" s="2">
        <v>999.96</v>
      </c>
      <c r="G3615" s="2">
        <v>4</v>
      </c>
      <c r="H3615" s="2">
        <v>229.99</v>
      </c>
      <c r="I3615" t="str">
        <f t="shared" si="56"/>
        <v>Nov</v>
      </c>
      <c r="J3615">
        <f>YEAR(datas[[#This Row],[Order Date]])</f>
        <v>2022</v>
      </c>
    </row>
    <row r="3616" spans="1:10" ht="14.25" customHeight="1" x14ac:dyDescent="0.3">
      <c r="A3616" s="1">
        <v>44881</v>
      </c>
      <c r="B3616" s="2" t="s">
        <v>168</v>
      </c>
      <c r="C3616" s="2" t="s">
        <v>79</v>
      </c>
      <c r="D3616" s="2" t="s">
        <v>26</v>
      </c>
      <c r="E3616" s="2" t="s">
        <v>73</v>
      </c>
      <c r="F3616" s="2">
        <v>653.54999999999995</v>
      </c>
      <c r="G3616" s="2">
        <v>3</v>
      </c>
      <c r="H3616" s="2">
        <v>111.1</v>
      </c>
      <c r="I3616" t="str">
        <f t="shared" si="56"/>
        <v>Nov</v>
      </c>
      <c r="J3616">
        <f>YEAR(datas[[#This Row],[Order Date]])</f>
        <v>2022</v>
      </c>
    </row>
    <row r="3617" spans="1:10" ht="14.25" customHeight="1" x14ac:dyDescent="0.3">
      <c r="A3617" s="1">
        <v>44881</v>
      </c>
      <c r="B3617" s="2" t="s">
        <v>319</v>
      </c>
      <c r="C3617" s="2" t="s">
        <v>207</v>
      </c>
      <c r="D3617" s="2" t="s">
        <v>26</v>
      </c>
      <c r="E3617" s="2" t="s">
        <v>73</v>
      </c>
      <c r="F3617" s="2">
        <v>696.42</v>
      </c>
      <c r="G3617" s="2">
        <v>2</v>
      </c>
      <c r="H3617" s="2">
        <v>160.18</v>
      </c>
      <c r="I3617" t="str">
        <f t="shared" si="56"/>
        <v>Nov</v>
      </c>
      <c r="J3617">
        <f>YEAR(datas[[#This Row],[Order Date]])</f>
        <v>2022</v>
      </c>
    </row>
    <row r="3618" spans="1:10" ht="14.25" customHeight="1" x14ac:dyDescent="0.3">
      <c r="A3618" s="1">
        <v>44881</v>
      </c>
      <c r="B3618" s="2" t="s">
        <v>319</v>
      </c>
      <c r="C3618" s="2" t="s">
        <v>207</v>
      </c>
      <c r="D3618" s="2" t="s">
        <v>28</v>
      </c>
      <c r="E3618" s="2" t="s">
        <v>29</v>
      </c>
      <c r="F3618" s="2">
        <v>304.77999999999997</v>
      </c>
      <c r="G3618" s="2">
        <v>3</v>
      </c>
      <c r="H3618" s="2">
        <v>22.86</v>
      </c>
      <c r="I3618" t="str">
        <f t="shared" si="56"/>
        <v>Nov</v>
      </c>
      <c r="J3618">
        <f>YEAR(datas[[#This Row],[Order Date]])</f>
        <v>2022</v>
      </c>
    </row>
    <row r="3619" spans="1:10" ht="14.25" customHeight="1" x14ac:dyDescent="0.3">
      <c r="A3619" s="1">
        <v>44881</v>
      </c>
      <c r="B3619" s="2" t="s">
        <v>148</v>
      </c>
      <c r="C3619" s="2" t="s">
        <v>13</v>
      </c>
      <c r="D3619" s="2" t="s">
        <v>10</v>
      </c>
      <c r="E3619" s="2" t="s">
        <v>15</v>
      </c>
      <c r="F3619" s="2">
        <v>21.49</v>
      </c>
      <c r="G3619" s="2">
        <v>2</v>
      </c>
      <c r="H3619" s="2">
        <v>1.61</v>
      </c>
      <c r="I3619" t="str">
        <f t="shared" si="56"/>
        <v>Nov</v>
      </c>
      <c r="J3619">
        <f>YEAR(datas[[#This Row],[Order Date]])</f>
        <v>2022</v>
      </c>
    </row>
    <row r="3620" spans="1:10" ht="14.25" customHeight="1" x14ac:dyDescent="0.3">
      <c r="A3620" s="1">
        <v>44881</v>
      </c>
      <c r="B3620" s="2" t="s">
        <v>148</v>
      </c>
      <c r="C3620" s="2" t="s">
        <v>13</v>
      </c>
      <c r="D3620" s="2" t="s">
        <v>28</v>
      </c>
      <c r="E3620" s="2" t="s">
        <v>29</v>
      </c>
      <c r="F3620" s="2">
        <v>239.98</v>
      </c>
      <c r="G3620" s="2">
        <v>3</v>
      </c>
      <c r="H3620" s="2">
        <v>27</v>
      </c>
      <c r="I3620" t="str">
        <f t="shared" si="56"/>
        <v>Nov</v>
      </c>
      <c r="J3620">
        <f>YEAR(datas[[#This Row],[Order Date]])</f>
        <v>2022</v>
      </c>
    </row>
    <row r="3621" spans="1:10" ht="14.25" customHeight="1" x14ac:dyDescent="0.3">
      <c r="A3621" s="1">
        <v>44881</v>
      </c>
      <c r="B3621" s="2" t="s">
        <v>148</v>
      </c>
      <c r="C3621" s="2" t="s">
        <v>13</v>
      </c>
      <c r="D3621" s="2" t="s">
        <v>26</v>
      </c>
      <c r="E3621" s="2" t="s">
        <v>32</v>
      </c>
      <c r="F3621" s="2">
        <v>34.5</v>
      </c>
      <c r="G3621" s="2">
        <v>2</v>
      </c>
      <c r="H3621" s="2">
        <v>-15.53</v>
      </c>
      <c r="I3621" t="str">
        <f t="shared" si="56"/>
        <v>Nov</v>
      </c>
      <c r="J3621">
        <f>YEAR(datas[[#This Row],[Order Date]])</f>
        <v>2022</v>
      </c>
    </row>
    <row r="3622" spans="1:10" ht="14.25" customHeight="1" x14ac:dyDescent="0.3">
      <c r="A3622" s="1">
        <v>44881</v>
      </c>
      <c r="B3622" s="2" t="s">
        <v>190</v>
      </c>
      <c r="C3622" s="2" t="s">
        <v>21</v>
      </c>
      <c r="D3622" s="2" t="s">
        <v>10</v>
      </c>
      <c r="E3622" s="2" t="s">
        <v>14</v>
      </c>
      <c r="F3622" s="2">
        <v>18.899999999999999</v>
      </c>
      <c r="G3622" s="2">
        <v>3</v>
      </c>
      <c r="H3622" s="2">
        <v>8.69</v>
      </c>
      <c r="I3622" t="str">
        <f t="shared" si="56"/>
        <v>Nov</v>
      </c>
      <c r="J3622">
        <f>YEAR(datas[[#This Row],[Order Date]])</f>
        <v>2022</v>
      </c>
    </row>
    <row r="3623" spans="1:10" ht="14.25" customHeight="1" x14ac:dyDescent="0.3">
      <c r="A3623" s="1">
        <v>44882</v>
      </c>
      <c r="B3623" s="2" t="s">
        <v>788</v>
      </c>
      <c r="C3623" s="2" t="s">
        <v>13</v>
      </c>
      <c r="D3623" s="2" t="s">
        <v>10</v>
      </c>
      <c r="E3623" s="2" t="s">
        <v>95</v>
      </c>
      <c r="F3623" s="2">
        <v>40.92</v>
      </c>
      <c r="G3623" s="2">
        <v>5</v>
      </c>
      <c r="H3623" s="2">
        <v>3.07</v>
      </c>
      <c r="I3623" t="str">
        <f t="shared" si="56"/>
        <v>Nov</v>
      </c>
      <c r="J3623">
        <f>YEAR(datas[[#This Row],[Order Date]])</f>
        <v>2022</v>
      </c>
    </row>
    <row r="3624" spans="1:10" ht="14.25" customHeight="1" x14ac:dyDescent="0.3">
      <c r="A3624" s="1">
        <v>44882</v>
      </c>
      <c r="B3624" s="2" t="s">
        <v>335</v>
      </c>
      <c r="C3624" s="2" t="s">
        <v>21</v>
      </c>
      <c r="D3624" s="2" t="s">
        <v>28</v>
      </c>
      <c r="E3624" s="2" t="s">
        <v>29</v>
      </c>
      <c r="F3624" s="2">
        <v>415.97</v>
      </c>
      <c r="G3624" s="2">
        <v>4</v>
      </c>
      <c r="H3624" s="2">
        <v>52</v>
      </c>
      <c r="I3624" t="str">
        <f t="shared" si="56"/>
        <v>Nov</v>
      </c>
      <c r="J3624">
        <f>YEAR(datas[[#This Row],[Order Date]])</f>
        <v>2022</v>
      </c>
    </row>
    <row r="3625" spans="1:10" ht="14.25" customHeight="1" x14ac:dyDescent="0.3">
      <c r="A3625" s="1">
        <v>44882</v>
      </c>
      <c r="B3625" s="2" t="s">
        <v>335</v>
      </c>
      <c r="C3625" s="2" t="s">
        <v>21</v>
      </c>
      <c r="D3625" s="2" t="s">
        <v>10</v>
      </c>
      <c r="E3625" s="2" t="s">
        <v>15</v>
      </c>
      <c r="F3625" s="2">
        <v>304.89999999999998</v>
      </c>
      <c r="G3625" s="2">
        <v>5</v>
      </c>
      <c r="H3625" s="2">
        <v>6.1</v>
      </c>
      <c r="I3625" t="str">
        <f t="shared" si="56"/>
        <v>Nov</v>
      </c>
      <c r="J3625">
        <f>YEAR(datas[[#This Row],[Order Date]])</f>
        <v>2022</v>
      </c>
    </row>
    <row r="3626" spans="1:10" ht="14.25" customHeight="1" x14ac:dyDescent="0.3">
      <c r="A3626" s="1">
        <v>44882</v>
      </c>
      <c r="B3626" s="2" t="s">
        <v>335</v>
      </c>
      <c r="C3626" s="2" t="s">
        <v>21</v>
      </c>
      <c r="D3626" s="2" t="s">
        <v>26</v>
      </c>
      <c r="E3626" s="2" t="s">
        <v>32</v>
      </c>
      <c r="F3626" s="2">
        <v>80.959999999999994</v>
      </c>
      <c r="G3626" s="2">
        <v>4</v>
      </c>
      <c r="H3626" s="2">
        <v>29.15</v>
      </c>
      <c r="I3626" t="str">
        <f t="shared" si="56"/>
        <v>Nov</v>
      </c>
      <c r="J3626">
        <f>YEAR(datas[[#This Row],[Order Date]])</f>
        <v>2022</v>
      </c>
    </row>
    <row r="3627" spans="1:10" ht="14.25" customHeight="1" x14ac:dyDescent="0.3">
      <c r="A3627" s="1">
        <v>44882</v>
      </c>
      <c r="B3627" s="2" t="s">
        <v>335</v>
      </c>
      <c r="C3627" s="2" t="s">
        <v>21</v>
      </c>
      <c r="D3627" s="2" t="s">
        <v>10</v>
      </c>
      <c r="E3627" s="2" t="s">
        <v>15</v>
      </c>
      <c r="F3627" s="2">
        <v>777.21</v>
      </c>
      <c r="G3627" s="2">
        <v>7</v>
      </c>
      <c r="H3627" s="2">
        <v>54.4</v>
      </c>
      <c r="I3627" t="str">
        <f t="shared" si="56"/>
        <v>Nov</v>
      </c>
      <c r="J3627">
        <f>YEAR(datas[[#This Row],[Order Date]])</f>
        <v>2022</v>
      </c>
    </row>
    <row r="3628" spans="1:10" ht="14.25" customHeight="1" x14ac:dyDescent="0.3">
      <c r="A3628" s="1">
        <v>44882</v>
      </c>
      <c r="B3628" s="2" t="s">
        <v>335</v>
      </c>
      <c r="C3628" s="2" t="s">
        <v>21</v>
      </c>
      <c r="D3628" s="2" t="s">
        <v>10</v>
      </c>
      <c r="E3628" s="2" t="s">
        <v>11</v>
      </c>
      <c r="F3628" s="2">
        <v>32.4</v>
      </c>
      <c r="G3628" s="2">
        <v>5</v>
      </c>
      <c r="H3628" s="2">
        <v>15.55</v>
      </c>
      <c r="I3628" t="str">
        <f t="shared" si="56"/>
        <v>Nov</v>
      </c>
      <c r="J3628">
        <f>YEAR(datas[[#This Row],[Order Date]])</f>
        <v>2022</v>
      </c>
    </row>
    <row r="3629" spans="1:10" ht="14.25" customHeight="1" x14ac:dyDescent="0.3">
      <c r="A3629" s="1">
        <v>44882</v>
      </c>
      <c r="B3629" s="2" t="s">
        <v>335</v>
      </c>
      <c r="C3629" s="2" t="s">
        <v>21</v>
      </c>
      <c r="D3629" s="2" t="s">
        <v>26</v>
      </c>
      <c r="E3629" s="2" t="s">
        <v>27</v>
      </c>
      <c r="F3629" s="2">
        <v>225.57</v>
      </c>
      <c r="G3629" s="2">
        <v>2</v>
      </c>
      <c r="H3629" s="2">
        <v>2.82</v>
      </c>
      <c r="I3629" t="str">
        <f t="shared" si="56"/>
        <v>Nov</v>
      </c>
      <c r="J3629">
        <f>YEAR(datas[[#This Row],[Order Date]])</f>
        <v>2022</v>
      </c>
    </row>
    <row r="3630" spans="1:10" ht="14.25" customHeight="1" x14ac:dyDescent="0.3">
      <c r="A3630" s="1">
        <v>44882</v>
      </c>
      <c r="B3630" s="2" t="s">
        <v>335</v>
      </c>
      <c r="C3630" s="2" t="s">
        <v>21</v>
      </c>
      <c r="D3630" s="2" t="s">
        <v>26</v>
      </c>
      <c r="E3630" s="2" t="s">
        <v>32</v>
      </c>
      <c r="F3630" s="2">
        <v>36.6</v>
      </c>
      <c r="G3630" s="2">
        <v>3</v>
      </c>
      <c r="H3630" s="2">
        <v>15.37</v>
      </c>
      <c r="I3630" t="str">
        <f t="shared" si="56"/>
        <v>Nov</v>
      </c>
      <c r="J3630">
        <f>YEAR(datas[[#This Row],[Order Date]])</f>
        <v>2022</v>
      </c>
    </row>
    <row r="3631" spans="1:10" ht="14.25" customHeight="1" x14ac:dyDescent="0.3">
      <c r="A3631" s="1">
        <v>44882</v>
      </c>
      <c r="B3631" s="2" t="s">
        <v>334</v>
      </c>
      <c r="C3631" s="2" t="s">
        <v>329</v>
      </c>
      <c r="D3631" s="2" t="s">
        <v>10</v>
      </c>
      <c r="E3631" s="2" t="s">
        <v>15</v>
      </c>
      <c r="F3631" s="2">
        <v>541.24</v>
      </c>
      <c r="G3631" s="2">
        <v>4</v>
      </c>
      <c r="H3631" s="2">
        <v>5.41</v>
      </c>
      <c r="I3631" t="str">
        <f t="shared" si="56"/>
        <v>Nov</v>
      </c>
      <c r="J3631">
        <f>YEAR(datas[[#This Row],[Order Date]])</f>
        <v>2022</v>
      </c>
    </row>
    <row r="3632" spans="1:10" ht="14.25" customHeight="1" x14ac:dyDescent="0.3">
      <c r="A3632" s="1">
        <v>44882</v>
      </c>
      <c r="B3632" s="2" t="s">
        <v>334</v>
      </c>
      <c r="C3632" s="2" t="s">
        <v>329</v>
      </c>
      <c r="D3632" s="2" t="s">
        <v>10</v>
      </c>
      <c r="E3632" s="2" t="s">
        <v>11</v>
      </c>
      <c r="F3632" s="2">
        <v>106.32</v>
      </c>
      <c r="G3632" s="2">
        <v>3</v>
      </c>
      <c r="H3632" s="2">
        <v>49.97</v>
      </c>
      <c r="I3632" t="str">
        <f t="shared" si="56"/>
        <v>Nov</v>
      </c>
      <c r="J3632">
        <f>YEAR(datas[[#This Row],[Order Date]])</f>
        <v>2022</v>
      </c>
    </row>
    <row r="3633" spans="1:10" ht="14.25" customHeight="1" x14ac:dyDescent="0.3">
      <c r="A3633" s="1">
        <v>44882</v>
      </c>
      <c r="B3633" s="2" t="s">
        <v>334</v>
      </c>
      <c r="C3633" s="2" t="s">
        <v>329</v>
      </c>
      <c r="D3633" s="2" t="s">
        <v>26</v>
      </c>
      <c r="E3633" s="2" t="s">
        <v>27</v>
      </c>
      <c r="F3633" s="2">
        <v>1323.9</v>
      </c>
      <c r="G3633" s="2">
        <v>5</v>
      </c>
      <c r="H3633" s="2">
        <v>383.93</v>
      </c>
      <c r="I3633" t="str">
        <f t="shared" si="56"/>
        <v>Nov</v>
      </c>
      <c r="J3633">
        <f>YEAR(datas[[#This Row],[Order Date]])</f>
        <v>2022</v>
      </c>
    </row>
    <row r="3634" spans="1:10" ht="14.25" customHeight="1" x14ac:dyDescent="0.3">
      <c r="A3634" s="1">
        <v>44884</v>
      </c>
      <c r="B3634" s="2" t="s">
        <v>601</v>
      </c>
      <c r="C3634" s="2" t="s">
        <v>82</v>
      </c>
      <c r="D3634" s="2" t="s">
        <v>26</v>
      </c>
      <c r="E3634" s="2" t="s">
        <v>32</v>
      </c>
      <c r="F3634" s="2">
        <v>141.96</v>
      </c>
      <c r="G3634" s="2">
        <v>2</v>
      </c>
      <c r="H3634" s="2">
        <v>22.71</v>
      </c>
      <c r="I3634" t="str">
        <f t="shared" si="56"/>
        <v>Nov</v>
      </c>
      <c r="J3634">
        <f>YEAR(datas[[#This Row],[Order Date]])</f>
        <v>2022</v>
      </c>
    </row>
    <row r="3635" spans="1:10" ht="14.25" customHeight="1" x14ac:dyDescent="0.3">
      <c r="A3635" s="1">
        <v>44884</v>
      </c>
      <c r="B3635" s="2" t="s">
        <v>230</v>
      </c>
      <c r="C3635" s="2" t="s">
        <v>66</v>
      </c>
      <c r="D3635" s="2" t="s">
        <v>10</v>
      </c>
      <c r="E3635" s="2" t="s">
        <v>53</v>
      </c>
      <c r="F3635" s="2">
        <v>31.08</v>
      </c>
      <c r="G3635" s="2">
        <v>4</v>
      </c>
      <c r="H3635" s="2">
        <v>8.39</v>
      </c>
      <c r="I3635" t="str">
        <f t="shared" si="56"/>
        <v>Nov</v>
      </c>
      <c r="J3635">
        <f>YEAR(datas[[#This Row],[Order Date]])</f>
        <v>2022</v>
      </c>
    </row>
    <row r="3636" spans="1:10" ht="14.25" customHeight="1" x14ac:dyDescent="0.3">
      <c r="A3636" s="1">
        <v>44884</v>
      </c>
      <c r="B3636" s="2" t="s">
        <v>445</v>
      </c>
      <c r="C3636" s="2" t="s">
        <v>75</v>
      </c>
      <c r="D3636" s="2" t="s">
        <v>10</v>
      </c>
      <c r="E3636" s="2" t="s">
        <v>16</v>
      </c>
      <c r="F3636" s="2">
        <v>5.98</v>
      </c>
      <c r="G3636" s="2">
        <v>2</v>
      </c>
      <c r="H3636" s="2">
        <v>2.2400000000000002</v>
      </c>
      <c r="I3636" t="str">
        <f t="shared" si="56"/>
        <v>Nov</v>
      </c>
      <c r="J3636">
        <f>YEAR(datas[[#This Row],[Order Date]])</f>
        <v>2022</v>
      </c>
    </row>
    <row r="3637" spans="1:10" ht="14.25" customHeight="1" x14ac:dyDescent="0.3">
      <c r="A3637" s="1">
        <v>44884</v>
      </c>
      <c r="B3637" s="2" t="s">
        <v>445</v>
      </c>
      <c r="C3637" s="2" t="s">
        <v>75</v>
      </c>
      <c r="D3637" s="2" t="s">
        <v>28</v>
      </c>
      <c r="E3637" s="2" t="s">
        <v>29</v>
      </c>
      <c r="F3637" s="2">
        <v>861.76</v>
      </c>
      <c r="G3637" s="2">
        <v>4</v>
      </c>
      <c r="H3637" s="2">
        <v>249.91</v>
      </c>
      <c r="I3637" t="str">
        <f t="shared" si="56"/>
        <v>Nov</v>
      </c>
      <c r="J3637">
        <f>YEAR(datas[[#This Row],[Order Date]])</f>
        <v>2022</v>
      </c>
    </row>
    <row r="3638" spans="1:10" ht="14.25" customHeight="1" x14ac:dyDescent="0.3">
      <c r="A3638" s="1">
        <v>44885</v>
      </c>
      <c r="B3638" s="2" t="s">
        <v>359</v>
      </c>
      <c r="C3638" s="2" t="s">
        <v>75</v>
      </c>
      <c r="D3638" s="2" t="s">
        <v>10</v>
      </c>
      <c r="E3638" s="2" t="s">
        <v>19</v>
      </c>
      <c r="F3638" s="2">
        <v>60.45</v>
      </c>
      <c r="G3638" s="2">
        <v>3</v>
      </c>
      <c r="H3638" s="2">
        <v>16.32</v>
      </c>
      <c r="I3638" t="str">
        <f t="shared" si="56"/>
        <v>Nov</v>
      </c>
      <c r="J3638">
        <f>YEAR(datas[[#This Row],[Order Date]])</f>
        <v>2022</v>
      </c>
    </row>
    <row r="3639" spans="1:10" ht="14.25" customHeight="1" x14ac:dyDescent="0.3">
      <c r="A3639" s="1">
        <v>44885</v>
      </c>
      <c r="B3639" s="2" t="s">
        <v>359</v>
      </c>
      <c r="C3639" s="2" t="s">
        <v>75</v>
      </c>
      <c r="D3639" s="2" t="s">
        <v>10</v>
      </c>
      <c r="E3639" s="2" t="s">
        <v>19</v>
      </c>
      <c r="F3639" s="2">
        <v>11.52</v>
      </c>
      <c r="G3639" s="2">
        <v>4</v>
      </c>
      <c r="H3639" s="2">
        <v>3.34</v>
      </c>
      <c r="I3639" t="str">
        <f t="shared" si="56"/>
        <v>Nov</v>
      </c>
      <c r="J3639">
        <f>YEAR(datas[[#This Row],[Order Date]])</f>
        <v>2022</v>
      </c>
    </row>
    <row r="3640" spans="1:10" ht="14.25" customHeight="1" x14ac:dyDescent="0.3">
      <c r="A3640" s="1">
        <v>44885</v>
      </c>
      <c r="B3640" s="2" t="s">
        <v>359</v>
      </c>
      <c r="C3640" s="2" t="s">
        <v>75</v>
      </c>
      <c r="D3640" s="2" t="s">
        <v>26</v>
      </c>
      <c r="E3640" s="2" t="s">
        <v>45</v>
      </c>
      <c r="F3640" s="2">
        <v>186.05</v>
      </c>
      <c r="G3640" s="2">
        <v>4</v>
      </c>
      <c r="H3640" s="2">
        <v>9.3000000000000007</v>
      </c>
      <c r="I3640" t="str">
        <f t="shared" si="56"/>
        <v>Nov</v>
      </c>
      <c r="J3640">
        <f>YEAR(datas[[#This Row],[Order Date]])</f>
        <v>2022</v>
      </c>
    </row>
    <row r="3641" spans="1:10" ht="14.25" customHeight="1" x14ac:dyDescent="0.3">
      <c r="A3641" s="1">
        <v>44885</v>
      </c>
      <c r="B3641" s="2" t="s">
        <v>732</v>
      </c>
      <c r="C3641" s="2" t="s">
        <v>21</v>
      </c>
      <c r="D3641" s="2" t="s">
        <v>10</v>
      </c>
      <c r="E3641" s="2" t="s">
        <v>19</v>
      </c>
      <c r="F3641" s="2">
        <v>19.46</v>
      </c>
      <c r="G3641" s="2">
        <v>7</v>
      </c>
      <c r="H3641" s="2">
        <v>5.0599999999999996</v>
      </c>
      <c r="I3641" t="str">
        <f t="shared" si="56"/>
        <v>Nov</v>
      </c>
      <c r="J3641">
        <f>YEAR(datas[[#This Row],[Order Date]])</f>
        <v>2022</v>
      </c>
    </row>
    <row r="3642" spans="1:10" ht="14.25" customHeight="1" x14ac:dyDescent="0.3">
      <c r="A3642" s="1">
        <v>44885</v>
      </c>
      <c r="B3642" s="2" t="s">
        <v>343</v>
      </c>
      <c r="C3642" s="2" t="s">
        <v>75</v>
      </c>
      <c r="D3642" s="2" t="s">
        <v>10</v>
      </c>
      <c r="E3642" s="2" t="s">
        <v>11</v>
      </c>
      <c r="F3642" s="2">
        <v>19.649999999999999</v>
      </c>
      <c r="G3642" s="2">
        <v>3</v>
      </c>
      <c r="H3642" s="2">
        <v>9.0399999999999991</v>
      </c>
      <c r="I3642" t="str">
        <f t="shared" si="56"/>
        <v>Nov</v>
      </c>
      <c r="J3642">
        <f>YEAR(datas[[#This Row],[Order Date]])</f>
        <v>2022</v>
      </c>
    </row>
    <row r="3643" spans="1:10" ht="14.25" customHeight="1" x14ac:dyDescent="0.3">
      <c r="A3643" s="1">
        <v>44885</v>
      </c>
      <c r="B3643" s="2" t="s">
        <v>228</v>
      </c>
      <c r="C3643" s="2" t="s">
        <v>21</v>
      </c>
      <c r="D3643" s="2" t="s">
        <v>28</v>
      </c>
      <c r="E3643" s="2" t="s">
        <v>29</v>
      </c>
      <c r="F3643" s="2">
        <v>72.739999999999995</v>
      </c>
      <c r="G3643" s="2">
        <v>7</v>
      </c>
      <c r="H3643" s="2">
        <v>-15.46</v>
      </c>
      <c r="I3643" t="str">
        <f t="shared" si="56"/>
        <v>Nov</v>
      </c>
      <c r="J3643">
        <f>YEAR(datas[[#This Row],[Order Date]])</f>
        <v>2022</v>
      </c>
    </row>
    <row r="3644" spans="1:10" ht="14.25" customHeight="1" x14ac:dyDescent="0.3">
      <c r="A3644" s="1">
        <v>44885</v>
      </c>
      <c r="B3644" s="2" t="s">
        <v>228</v>
      </c>
      <c r="C3644" s="2" t="s">
        <v>21</v>
      </c>
      <c r="D3644" s="2" t="s">
        <v>26</v>
      </c>
      <c r="E3644" s="2" t="s">
        <v>27</v>
      </c>
      <c r="F3644" s="2">
        <v>572.16</v>
      </c>
      <c r="G3644" s="2">
        <v>3</v>
      </c>
      <c r="H3644" s="2">
        <v>35.76</v>
      </c>
      <c r="I3644" t="str">
        <f t="shared" si="56"/>
        <v>Nov</v>
      </c>
      <c r="J3644">
        <f>YEAR(datas[[#This Row],[Order Date]])</f>
        <v>2022</v>
      </c>
    </row>
    <row r="3645" spans="1:10" ht="14.25" customHeight="1" x14ac:dyDescent="0.3">
      <c r="A3645" s="1">
        <v>44885</v>
      </c>
      <c r="B3645" s="2" t="s">
        <v>789</v>
      </c>
      <c r="C3645" s="2" t="s">
        <v>21</v>
      </c>
      <c r="D3645" s="2" t="s">
        <v>10</v>
      </c>
      <c r="E3645" s="2" t="s">
        <v>16</v>
      </c>
      <c r="F3645" s="2">
        <v>24.19</v>
      </c>
      <c r="G3645" s="2">
        <v>9</v>
      </c>
      <c r="H3645" s="2">
        <v>7.56</v>
      </c>
      <c r="I3645" t="str">
        <f t="shared" si="56"/>
        <v>Nov</v>
      </c>
      <c r="J3645">
        <f>YEAR(datas[[#This Row],[Order Date]])</f>
        <v>2022</v>
      </c>
    </row>
    <row r="3646" spans="1:10" ht="14.25" customHeight="1" x14ac:dyDescent="0.3">
      <c r="A3646" s="1">
        <v>44885</v>
      </c>
      <c r="B3646" s="2" t="s">
        <v>790</v>
      </c>
      <c r="C3646" s="2" t="s">
        <v>82</v>
      </c>
      <c r="D3646" s="2" t="s">
        <v>10</v>
      </c>
      <c r="E3646" s="2" t="s">
        <v>19</v>
      </c>
      <c r="F3646" s="2">
        <v>119.04</v>
      </c>
      <c r="G3646" s="2">
        <v>6</v>
      </c>
      <c r="H3646" s="2">
        <v>30.95</v>
      </c>
      <c r="I3646" t="str">
        <f t="shared" si="56"/>
        <v>Nov</v>
      </c>
      <c r="J3646">
        <f>YEAR(datas[[#This Row],[Order Date]])</f>
        <v>2022</v>
      </c>
    </row>
    <row r="3647" spans="1:10" ht="14.25" customHeight="1" x14ac:dyDescent="0.3">
      <c r="A3647" s="1">
        <v>44885</v>
      </c>
      <c r="B3647" s="2" t="s">
        <v>790</v>
      </c>
      <c r="C3647" s="2" t="s">
        <v>82</v>
      </c>
      <c r="D3647" s="2" t="s">
        <v>26</v>
      </c>
      <c r="E3647" s="2" t="s">
        <v>32</v>
      </c>
      <c r="F3647" s="2">
        <v>22.14</v>
      </c>
      <c r="G3647" s="2">
        <v>3</v>
      </c>
      <c r="H3647" s="2">
        <v>6.42</v>
      </c>
      <c r="I3647" t="str">
        <f t="shared" si="56"/>
        <v>Nov</v>
      </c>
      <c r="J3647">
        <f>YEAR(datas[[#This Row],[Order Date]])</f>
        <v>2022</v>
      </c>
    </row>
    <row r="3648" spans="1:10" ht="14.25" customHeight="1" x14ac:dyDescent="0.3">
      <c r="A3648" s="1">
        <v>44885</v>
      </c>
      <c r="B3648" s="2" t="s">
        <v>790</v>
      </c>
      <c r="C3648" s="2" t="s">
        <v>82</v>
      </c>
      <c r="D3648" s="2" t="s">
        <v>28</v>
      </c>
      <c r="E3648" s="2" t="s">
        <v>34</v>
      </c>
      <c r="F3648" s="2">
        <v>13.98</v>
      </c>
      <c r="G3648" s="2">
        <v>2</v>
      </c>
      <c r="H3648" s="2">
        <v>6.01</v>
      </c>
      <c r="I3648" t="str">
        <f t="shared" si="56"/>
        <v>Nov</v>
      </c>
      <c r="J3648">
        <f>YEAR(datas[[#This Row],[Order Date]])</f>
        <v>2022</v>
      </c>
    </row>
    <row r="3649" spans="1:10" ht="14.25" customHeight="1" x14ac:dyDescent="0.3">
      <c r="A3649" s="1">
        <v>44885</v>
      </c>
      <c r="B3649" s="2" t="s">
        <v>363</v>
      </c>
      <c r="C3649" s="2" t="s">
        <v>47</v>
      </c>
      <c r="D3649" s="2" t="s">
        <v>26</v>
      </c>
      <c r="E3649" s="2" t="s">
        <v>32</v>
      </c>
      <c r="F3649" s="2">
        <v>63.82</v>
      </c>
      <c r="G3649" s="2">
        <v>2</v>
      </c>
      <c r="H3649" s="2">
        <v>9.57</v>
      </c>
      <c r="I3649" t="str">
        <f t="shared" si="56"/>
        <v>Nov</v>
      </c>
      <c r="J3649">
        <f>YEAR(datas[[#This Row],[Order Date]])</f>
        <v>2022</v>
      </c>
    </row>
    <row r="3650" spans="1:10" ht="14.25" customHeight="1" x14ac:dyDescent="0.3">
      <c r="A3650" s="1">
        <v>44885</v>
      </c>
      <c r="B3650" s="2" t="s">
        <v>363</v>
      </c>
      <c r="C3650" s="2" t="s">
        <v>47</v>
      </c>
      <c r="D3650" s="2" t="s">
        <v>10</v>
      </c>
      <c r="E3650" s="2" t="s">
        <v>15</v>
      </c>
      <c r="F3650" s="2">
        <v>141.55000000000001</v>
      </c>
      <c r="G3650" s="2">
        <v>3</v>
      </c>
      <c r="H3650" s="2">
        <v>-26.54</v>
      </c>
      <c r="I3650" t="str">
        <f t="shared" si="56"/>
        <v>Nov</v>
      </c>
      <c r="J3650">
        <f>YEAR(datas[[#This Row],[Order Date]])</f>
        <v>2022</v>
      </c>
    </row>
    <row r="3651" spans="1:10" ht="14.25" customHeight="1" x14ac:dyDescent="0.3">
      <c r="A3651" s="1">
        <v>44885</v>
      </c>
      <c r="B3651" s="2" t="s">
        <v>339</v>
      </c>
      <c r="C3651" s="2" t="s">
        <v>9</v>
      </c>
      <c r="D3651" s="2" t="s">
        <v>28</v>
      </c>
      <c r="E3651" s="2" t="s">
        <v>136</v>
      </c>
      <c r="F3651" s="2">
        <v>479.99</v>
      </c>
      <c r="G3651" s="2">
        <v>2</v>
      </c>
      <c r="H3651" s="2">
        <v>56</v>
      </c>
      <c r="I3651" t="str">
        <f t="shared" ref="I3651:I3714" si="57">TEXT(A3651,"mmm")</f>
        <v>Nov</v>
      </c>
      <c r="J3651">
        <f>YEAR(datas[[#This Row],[Order Date]])</f>
        <v>2022</v>
      </c>
    </row>
    <row r="3652" spans="1:10" ht="14.25" customHeight="1" x14ac:dyDescent="0.3">
      <c r="A3652" s="1">
        <v>44885</v>
      </c>
      <c r="B3652" s="2" t="s">
        <v>639</v>
      </c>
      <c r="C3652" s="2" t="s">
        <v>64</v>
      </c>
      <c r="D3652" s="2" t="s">
        <v>10</v>
      </c>
      <c r="E3652" s="2" t="s">
        <v>16</v>
      </c>
      <c r="F3652" s="2">
        <v>7.23</v>
      </c>
      <c r="G3652" s="2">
        <v>5</v>
      </c>
      <c r="H3652" s="2">
        <v>-5.78</v>
      </c>
      <c r="I3652" t="str">
        <f t="shared" si="57"/>
        <v>Nov</v>
      </c>
      <c r="J3652">
        <f>YEAR(datas[[#This Row],[Order Date]])</f>
        <v>2022</v>
      </c>
    </row>
    <row r="3653" spans="1:10" ht="14.25" customHeight="1" x14ac:dyDescent="0.3">
      <c r="A3653" s="1">
        <v>44885</v>
      </c>
      <c r="B3653" s="2" t="s">
        <v>639</v>
      </c>
      <c r="C3653" s="2" t="s">
        <v>64</v>
      </c>
      <c r="D3653" s="2" t="s">
        <v>10</v>
      </c>
      <c r="E3653" s="2" t="s">
        <v>15</v>
      </c>
      <c r="F3653" s="2">
        <v>17.440000000000001</v>
      </c>
      <c r="G3653" s="2">
        <v>2</v>
      </c>
      <c r="H3653" s="2">
        <v>1.31</v>
      </c>
      <c r="I3653" t="str">
        <f t="shared" si="57"/>
        <v>Nov</v>
      </c>
      <c r="J3653">
        <f>YEAR(datas[[#This Row],[Order Date]])</f>
        <v>2022</v>
      </c>
    </row>
    <row r="3654" spans="1:10" ht="14.25" customHeight="1" x14ac:dyDescent="0.3">
      <c r="A3654" s="1">
        <v>44885</v>
      </c>
      <c r="B3654" s="2" t="s">
        <v>639</v>
      </c>
      <c r="C3654" s="2" t="s">
        <v>64</v>
      </c>
      <c r="D3654" s="2" t="s">
        <v>10</v>
      </c>
      <c r="E3654" s="2" t="s">
        <v>16</v>
      </c>
      <c r="F3654" s="2">
        <v>62.88</v>
      </c>
      <c r="G3654" s="2">
        <v>4</v>
      </c>
      <c r="H3654" s="2">
        <v>-50.3</v>
      </c>
      <c r="I3654" t="str">
        <f t="shared" si="57"/>
        <v>Nov</v>
      </c>
      <c r="J3654">
        <f>YEAR(datas[[#This Row],[Order Date]])</f>
        <v>2022</v>
      </c>
    </row>
    <row r="3655" spans="1:10" ht="14.25" customHeight="1" x14ac:dyDescent="0.3">
      <c r="A3655" s="1">
        <v>44885</v>
      </c>
      <c r="B3655" s="2" t="s">
        <v>639</v>
      </c>
      <c r="C3655" s="2" t="s">
        <v>64</v>
      </c>
      <c r="D3655" s="2" t="s">
        <v>26</v>
      </c>
      <c r="E3655" s="2" t="s">
        <v>45</v>
      </c>
      <c r="F3655" s="2">
        <v>290.35000000000002</v>
      </c>
      <c r="G3655" s="2">
        <v>3</v>
      </c>
      <c r="H3655" s="2">
        <v>-36.29</v>
      </c>
      <c r="I3655" t="str">
        <f t="shared" si="57"/>
        <v>Nov</v>
      </c>
      <c r="J3655">
        <f>YEAR(datas[[#This Row],[Order Date]])</f>
        <v>2022</v>
      </c>
    </row>
    <row r="3656" spans="1:10" ht="14.25" customHeight="1" x14ac:dyDescent="0.3">
      <c r="A3656" s="1">
        <v>44885</v>
      </c>
      <c r="B3656" s="2" t="s">
        <v>12</v>
      </c>
      <c r="C3656" s="2" t="s">
        <v>18</v>
      </c>
      <c r="D3656" s="2" t="s">
        <v>26</v>
      </c>
      <c r="E3656" s="2" t="s">
        <v>27</v>
      </c>
      <c r="F3656" s="2">
        <v>344.37</v>
      </c>
      <c r="G3656" s="2">
        <v>4</v>
      </c>
      <c r="H3656" s="2">
        <v>-93.47</v>
      </c>
      <c r="I3656" t="str">
        <f t="shared" si="57"/>
        <v>Nov</v>
      </c>
      <c r="J3656">
        <f>YEAR(datas[[#This Row],[Order Date]])</f>
        <v>2022</v>
      </c>
    </row>
    <row r="3657" spans="1:10" ht="14.25" customHeight="1" x14ac:dyDescent="0.3">
      <c r="A3657" s="1">
        <v>44885</v>
      </c>
      <c r="B3657" s="2" t="s">
        <v>209</v>
      </c>
      <c r="C3657" s="2" t="s">
        <v>126</v>
      </c>
      <c r="D3657" s="2" t="s">
        <v>10</v>
      </c>
      <c r="E3657" s="2" t="s">
        <v>16</v>
      </c>
      <c r="F3657" s="2">
        <v>4.9000000000000004</v>
      </c>
      <c r="G3657" s="2">
        <v>3</v>
      </c>
      <c r="H3657" s="2">
        <v>-3.43</v>
      </c>
      <c r="I3657" t="str">
        <f t="shared" si="57"/>
        <v>Nov</v>
      </c>
      <c r="J3657">
        <f>YEAR(datas[[#This Row],[Order Date]])</f>
        <v>2022</v>
      </c>
    </row>
    <row r="3658" spans="1:10" ht="14.25" customHeight="1" x14ac:dyDescent="0.3">
      <c r="A3658" s="1">
        <v>44885</v>
      </c>
      <c r="B3658" s="2" t="s">
        <v>209</v>
      </c>
      <c r="C3658" s="2" t="s">
        <v>126</v>
      </c>
      <c r="D3658" s="2" t="s">
        <v>26</v>
      </c>
      <c r="E3658" s="2" t="s">
        <v>45</v>
      </c>
      <c r="F3658" s="2">
        <v>145.76</v>
      </c>
      <c r="G3658" s="2">
        <v>6</v>
      </c>
      <c r="H3658" s="2">
        <v>-247.8</v>
      </c>
      <c r="I3658" t="str">
        <f t="shared" si="57"/>
        <v>Nov</v>
      </c>
      <c r="J3658">
        <f>YEAR(datas[[#This Row],[Order Date]])</f>
        <v>2022</v>
      </c>
    </row>
    <row r="3659" spans="1:10" ht="14.25" customHeight="1" x14ac:dyDescent="0.3">
      <c r="A3659" s="1">
        <v>44885</v>
      </c>
      <c r="B3659" s="2" t="s">
        <v>209</v>
      </c>
      <c r="C3659" s="2" t="s">
        <v>126</v>
      </c>
      <c r="D3659" s="2" t="s">
        <v>10</v>
      </c>
      <c r="E3659" s="2" t="s">
        <v>16</v>
      </c>
      <c r="F3659" s="2">
        <v>9.61</v>
      </c>
      <c r="G3659" s="2">
        <v>6</v>
      </c>
      <c r="H3659" s="2">
        <v>-7.37</v>
      </c>
      <c r="I3659" t="str">
        <f t="shared" si="57"/>
        <v>Nov</v>
      </c>
      <c r="J3659">
        <f>YEAR(datas[[#This Row],[Order Date]])</f>
        <v>2022</v>
      </c>
    </row>
    <row r="3660" spans="1:10" ht="14.25" customHeight="1" x14ac:dyDescent="0.3">
      <c r="A3660" s="1">
        <v>44885</v>
      </c>
      <c r="B3660" s="2" t="s">
        <v>39</v>
      </c>
      <c r="C3660" s="2" t="s">
        <v>21</v>
      </c>
      <c r="D3660" s="2" t="s">
        <v>10</v>
      </c>
      <c r="E3660" s="2" t="s">
        <v>16</v>
      </c>
      <c r="F3660" s="2">
        <v>89.7</v>
      </c>
      <c r="G3660" s="2">
        <v>4</v>
      </c>
      <c r="H3660" s="2">
        <v>33.64</v>
      </c>
      <c r="I3660" t="str">
        <f t="shared" si="57"/>
        <v>Nov</v>
      </c>
      <c r="J3660">
        <f>YEAR(datas[[#This Row],[Order Date]])</f>
        <v>2022</v>
      </c>
    </row>
    <row r="3661" spans="1:10" ht="14.25" customHeight="1" x14ac:dyDescent="0.3">
      <c r="A3661" s="1">
        <v>44885</v>
      </c>
      <c r="B3661" s="2" t="s">
        <v>39</v>
      </c>
      <c r="C3661" s="2" t="s">
        <v>21</v>
      </c>
      <c r="D3661" s="2" t="s">
        <v>10</v>
      </c>
      <c r="E3661" s="2" t="s">
        <v>14</v>
      </c>
      <c r="F3661" s="2">
        <v>50.12</v>
      </c>
      <c r="G3661" s="2">
        <v>4</v>
      </c>
      <c r="H3661" s="2">
        <v>23.56</v>
      </c>
      <c r="I3661" t="str">
        <f t="shared" si="57"/>
        <v>Nov</v>
      </c>
      <c r="J3661">
        <f>YEAR(datas[[#This Row],[Order Date]])</f>
        <v>2022</v>
      </c>
    </row>
    <row r="3662" spans="1:10" ht="14.25" customHeight="1" x14ac:dyDescent="0.3">
      <c r="A3662" s="1">
        <v>44885</v>
      </c>
      <c r="B3662" s="2" t="s">
        <v>510</v>
      </c>
      <c r="C3662" s="2" t="s">
        <v>21</v>
      </c>
      <c r="D3662" s="2" t="s">
        <v>26</v>
      </c>
      <c r="E3662" s="2" t="s">
        <v>32</v>
      </c>
      <c r="F3662" s="2">
        <v>32.04</v>
      </c>
      <c r="G3662" s="2">
        <v>3</v>
      </c>
      <c r="H3662" s="2">
        <v>8.01</v>
      </c>
      <c r="I3662" t="str">
        <f t="shared" si="57"/>
        <v>Nov</v>
      </c>
      <c r="J3662">
        <f>YEAR(datas[[#This Row],[Order Date]])</f>
        <v>2022</v>
      </c>
    </row>
    <row r="3663" spans="1:10" ht="14.25" customHeight="1" x14ac:dyDescent="0.3">
      <c r="A3663" s="1">
        <v>44886</v>
      </c>
      <c r="B3663" s="2" t="s">
        <v>332</v>
      </c>
      <c r="C3663" s="2" t="s">
        <v>47</v>
      </c>
      <c r="D3663" s="2" t="s">
        <v>26</v>
      </c>
      <c r="E3663" s="2" t="s">
        <v>27</v>
      </c>
      <c r="F3663" s="2">
        <v>396.8</v>
      </c>
      <c r="G3663" s="2">
        <v>7</v>
      </c>
      <c r="H3663" s="2">
        <v>-11.34</v>
      </c>
      <c r="I3663" t="str">
        <f t="shared" si="57"/>
        <v>Nov</v>
      </c>
      <c r="J3663">
        <f>YEAR(datas[[#This Row],[Order Date]])</f>
        <v>2022</v>
      </c>
    </row>
    <row r="3664" spans="1:10" ht="14.25" customHeight="1" x14ac:dyDescent="0.3">
      <c r="A3664" s="1">
        <v>44886</v>
      </c>
      <c r="B3664" s="2" t="s">
        <v>332</v>
      </c>
      <c r="C3664" s="2" t="s">
        <v>47</v>
      </c>
      <c r="D3664" s="2" t="s">
        <v>10</v>
      </c>
      <c r="E3664" s="2" t="s">
        <v>95</v>
      </c>
      <c r="F3664" s="2">
        <v>15.88</v>
      </c>
      <c r="G3664" s="2">
        <v>5</v>
      </c>
      <c r="H3664" s="2">
        <v>-3.77</v>
      </c>
      <c r="I3664" t="str">
        <f t="shared" si="57"/>
        <v>Nov</v>
      </c>
      <c r="J3664">
        <f>YEAR(datas[[#This Row],[Order Date]])</f>
        <v>2022</v>
      </c>
    </row>
    <row r="3665" spans="1:10" ht="14.25" customHeight="1" x14ac:dyDescent="0.3">
      <c r="A3665" s="1">
        <v>44886</v>
      </c>
      <c r="B3665" s="2" t="s">
        <v>330</v>
      </c>
      <c r="C3665" s="2" t="s">
        <v>66</v>
      </c>
      <c r="D3665" s="2" t="s">
        <v>26</v>
      </c>
      <c r="E3665" s="2" t="s">
        <v>45</v>
      </c>
      <c r="F3665" s="2">
        <v>141.96</v>
      </c>
      <c r="G3665" s="2">
        <v>2</v>
      </c>
      <c r="H3665" s="2">
        <v>41.17</v>
      </c>
      <c r="I3665" t="str">
        <f t="shared" si="57"/>
        <v>Nov</v>
      </c>
      <c r="J3665">
        <f>YEAR(datas[[#This Row],[Order Date]])</f>
        <v>2022</v>
      </c>
    </row>
    <row r="3666" spans="1:10" ht="14.25" customHeight="1" x14ac:dyDescent="0.3">
      <c r="A3666" s="1">
        <v>44886</v>
      </c>
      <c r="B3666" s="2" t="s">
        <v>330</v>
      </c>
      <c r="C3666" s="2" t="s">
        <v>66</v>
      </c>
      <c r="D3666" s="2" t="s">
        <v>10</v>
      </c>
      <c r="E3666" s="2" t="s">
        <v>16</v>
      </c>
      <c r="F3666" s="2">
        <v>66.05</v>
      </c>
      <c r="G3666" s="2">
        <v>4</v>
      </c>
      <c r="H3666" s="2">
        <v>23.12</v>
      </c>
      <c r="I3666" t="str">
        <f t="shared" si="57"/>
        <v>Nov</v>
      </c>
      <c r="J3666">
        <f>YEAR(datas[[#This Row],[Order Date]])</f>
        <v>2022</v>
      </c>
    </row>
    <row r="3667" spans="1:10" ht="14.25" customHeight="1" x14ac:dyDescent="0.3">
      <c r="A3667" s="1">
        <v>44886</v>
      </c>
      <c r="B3667" s="2" t="s">
        <v>70</v>
      </c>
      <c r="C3667" s="2" t="s">
        <v>9</v>
      </c>
      <c r="D3667" s="2" t="s">
        <v>26</v>
      </c>
      <c r="E3667" s="2" t="s">
        <v>45</v>
      </c>
      <c r="F3667" s="2">
        <v>246.13</v>
      </c>
      <c r="G3667" s="2">
        <v>2</v>
      </c>
      <c r="H3667" s="2">
        <v>-76.010000000000005</v>
      </c>
      <c r="I3667" t="str">
        <f t="shared" si="57"/>
        <v>Nov</v>
      </c>
      <c r="J3667">
        <f>YEAR(datas[[#This Row],[Order Date]])</f>
        <v>2022</v>
      </c>
    </row>
    <row r="3668" spans="1:10" ht="14.25" customHeight="1" x14ac:dyDescent="0.3">
      <c r="A3668" s="1">
        <v>44886</v>
      </c>
      <c r="B3668" s="2" t="s">
        <v>70</v>
      </c>
      <c r="C3668" s="2" t="s">
        <v>9</v>
      </c>
      <c r="D3668" s="2" t="s">
        <v>10</v>
      </c>
      <c r="E3668" s="2" t="s">
        <v>14</v>
      </c>
      <c r="F3668" s="2">
        <v>11.7</v>
      </c>
      <c r="G3668" s="2">
        <v>2</v>
      </c>
      <c r="H3668" s="2">
        <v>3.95</v>
      </c>
      <c r="I3668" t="str">
        <f t="shared" si="57"/>
        <v>Nov</v>
      </c>
      <c r="J3668">
        <f>YEAR(datas[[#This Row],[Order Date]])</f>
        <v>2022</v>
      </c>
    </row>
    <row r="3669" spans="1:10" ht="14.25" customHeight="1" x14ac:dyDescent="0.3">
      <c r="A3669" s="1">
        <v>44886</v>
      </c>
      <c r="B3669" s="2" t="s">
        <v>70</v>
      </c>
      <c r="C3669" s="2" t="s">
        <v>9</v>
      </c>
      <c r="D3669" s="2" t="s">
        <v>28</v>
      </c>
      <c r="E3669" s="2" t="s">
        <v>243</v>
      </c>
      <c r="F3669" s="2">
        <v>439.99</v>
      </c>
      <c r="G3669" s="2">
        <v>1</v>
      </c>
      <c r="H3669" s="2">
        <v>165</v>
      </c>
      <c r="I3669" t="str">
        <f t="shared" si="57"/>
        <v>Nov</v>
      </c>
      <c r="J3669">
        <f>YEAR(datas[[#This Row],[Order Date]])</f>
        <v>2022</v>
      </c>
    </row>
    <row r="3670" spans="1:10" ht="14.25" customHeight="1" x14ac:dyDescent="0.3">
      <c r="A3670" s="1">
        <v>44886</v>
      </c>
      <c r="B3670" s="2" t="s">
        <v>336</v>
      </c>
      <c r="C3670" s="2" t="s">
        <v>68</v>
      </c>
      <c r="D3670" s="2" t="s">
        <v>10</v>
      </c>
      <c r="E3670" s="2" t="s">
        <v>19</v>
      </c>
      <c r="F3670" s="2">
        <v>10.92</v>
      </c>
      <c r="G3670" s="2">
        <v>6</v>
      </c>
      <c r="H3670" s="2">
        <v>4.91</v>
      </c>
      <c r="I3670" t="str">
        <f t="shared" si="57"/>
        <v>Nov</v>
      </c>
      <c r="J3670">
        <f>YEAR(datas[[#This Row],[Order Date]])</f>
        <v>2022</v>
      </c>
    </row>
    <row r="3671" spans="1:10" ht="14.25" customHeight="1" x14ac:dyDescent="0.3">
      <c r="A3671" s="1">
        <v>44886</v>
      </c>
      <c r="B3671" s="2" t="s">
        <v>336</v>
      </c>
      <c r="C3671" s="2" t="s">
        <v>68</v>
      </c>
      <c r="D3671" s="2" t="s">
        <v>28</v>
      </c>
      <c r="E3671" s="2" t="s">
        <v>136</v>
      </c>
      <c r="F3671" s="2">
        <v>83.9</v>
      </c>
      <c r="G3671" s="2">
        <v>2</v>
      </c>
      <c r="H3671" s="2">
        <v>22.65</v>
      </c>
      <c r="I3671" t="str">
        <f t="shared" si="57"/>
        <v>Nov</v>
      </c>
      <c r="J3671">
        <f>YEAR(datas[[#This Row],[Order Date]])</f>
        <v>2022</v>
      </c>
    </row>
    <row r="3672" spans="1:10" ht="14.25" customHeight="1" x14ac:dyDescent="0.3">
      <c r="A3672" s="1">
        <v>44886</v>
      </c>
      <c r="B3672" s="2" t="s">
        <v>336</v>
      </c>
      <c r="C3672" s="2" t="s">
        <v>68</v>
      </c>
      <c r="D3672" s="2" t="s">
        <v>10</v>
      </c>
      <c r="E3672" s="2" t="s">
        <v>53</v>
      </c>
      <c r="F3672" s="2">
        <v>19.75</v>
      </c>
      <c r="G3672" s="2">
        <v>5</v>
      </c>
      <c r="H3672" s="2">
        <v>5.14</v>
      </c>
      <c r="I3672" t="str">
        <f t="shared" si="57"/>
        <v>Nov</v>
      </c>
      <c r="J3672">
        <f>YEAR(datas[[#This Row],[Order Date]])</f>
        <v>2022</v>
      </c>
    </row>
    <row r="3673" spans="1:10" ht="14.25" customHeight="1" x14ac:dyDescent="0.3">
      <c r="A3673" s="1">
        <v>44886</v>
      </c>
      <c r="B3673" s="2" t="s">
        <v>336</v>
      </c>
      <c r="C3673" s="2" t="s">
        <v>68</v>
      </c>
      <c r="D3673" s="2" t="s">
        <v>28</v>
      </c>
      <c r="E3673" s="2" t="s">
        <v>34</v>
      </c>
      <c r="F3673" s="2">
        <v>393.54</v>
      </c>
      <c r="G3673" s="2">
        <v>3</v>
      </c>
      <c r="H3673" s="2">
        <v>165.29</v>
      </c>
      <c r="I3673" t="str">
        <f t="shared" si="57"/>
        <v>Nov</v>
      </c>
      <c r="J3673">
        <f>YEAR(datas[[#This Row],[Order Date]])</f>
        <v>2022</v>
      </c>
    </row>
    <row r="3674" spans="1:10" ht="14.25" customHeight="1" x14ac:dyDescent="0.3">
      <c r="A3674" s="1">
        <v>44886</v>
      </c>
      <c r="B3674" s="2" t="s">
        <v>746</v>
      </c>
      <c r="C3674" s="2" t="s">
        <v>55</v>
      </c>
      <c r="D3674" s="2" t="s">
        <v>10</v>
      </c>
      <c r="E3674" s="2" t="s">
        <v>53</v>
      </c>
      <c r="F3674" s="2">
        <v>325.63</v>
      </c>
      <c r="G3674" s="2">
        <v>6</v>
      </c>
      <c r="H3674" s="2">
        <v>28.49</v>
      </c>
      <c r="I3674" t="str">
        <f t="shared" si="57"/>
        <v>Nov</v>
      </c>
      <c r="J3674">
        <f>YEAR(datas[[#This Row],[Order Date]])</f>
        <v>2022</v>
      </c>
    </row>
    <row r="3675" spans="1:10" ht="14.25" customHeight="1" x14ac:dyDescent="0.3">
      <c r="A3675" s="1">
        <v>44886</v>
      </c>
      <c r="B3675" s="2" t="s">
        <v>746</v>
      </c>
      <c r="C3675" s="2" t="s">
        <v>55</v>
      </c>
      <c r="D3675" s="2" t="s">
        <v>28</v>
      </c>
      <c r="E3675" s="2" t="s">
        <v>34</v>
      </c>
      <c r="F3675" s="2">
        <v>23.34</v>
      </c>
      <c r="G3675" s="2">
        <v>2</v>
      </c>
      <c r="H3675" s="2">
        <v>-1.46</v>
      </c>
      <c r="I3675" t="str">
        <f t="shared" si="57"/>
        <v>Nov</v>
      </c>
      <c r="J3675">
        <f>YEAR(datas[[#This Row],[Order Date]])</f>
        <v>2022</v>
      </c>
    </row>
    <row r="3676" spans="1:10" ht="14.25" customHeight="1" x14ac:dyDescent="0.3">
      <c r="A3676" s="1">
        <v>44886</v>
      </c>
      <c r="B3676" s="2" t="s">
        <v>746</v>
      </c>
      <c r="C3676" s="2" t="s">
        <v>55</v>
      </c>
      <c r="D3676" s="2" t="s">
        <v>10</v>
      </c>
      <c r="E3676" s="2" t="s">
        <v>14</v>
      </c>
      <c r="F3676" s="2">
        <v>16.52</v>
      </c>
      <c r="G3676" s="2">
        <v>5</v>
      </c>
      <c r="H3676" s="2">
        <v>5.37</v>
      </c>
      <c r="I3676" t="str">
        <f t="shared" si="57"/>
        <v>Nov</v>
      </c>
      <c r="J3676">
        <f>YEAR(datas[[#This Row],[Order Date]])</f>
        <v>2022</v>
      </c>
    </row>
    <row r="3677" spans="1:10" ht="14.25" customHeight="1" x14ac:dyDescent="0.3">
      <c r="A3677" s="1">
        <v>44886</v>
      </c>
      <c r="B3677" s="2" t="s">
        <v>295</v>
      </c>
      <c r="C3677" s="2" t="s">
        <v>18</v>
      </c>
      <c r="D3677" s="2" t="s">
        <v>26</v>
      </c>
      <c r="E3677" s="2" t="s">
        <v>73</v>
      </c>
      <c r="F3677" s="2">
        <v>1252.7</v>
      </c>
      <c r="G3677" s="2">
        <v>8</v>
      </c>
      <c r="H3677" s="2">
        <v>-480.2</v>
      </c>
      <c r="I3677" t="str">
        <f t="shared" si="57"/>
        <v>Nov</v>
      </c>
      <c r="J3677">
        <f>YEAR(datas[[#This Row],[Order Date]])</f>
        <v>2022</v>
      </c>
    </row>
    <row r="3678" spans="1:10" ht="14.25" customHeight="1" x14ac:dyDescent="0.3">
      <c r="A3678" s="1">
        <v>44886</v>
      </c>
      <c r="B3678" s="2" t="s">
        <v>295</v>
      </c>
      <c r="C3678" s="2" t="s">
        <v>18</v>
      </c>
      <c r="D3678" s="2" t="s">
        <v>28</v>
      </c>
      <c r="E3678" s="2" t="s">
        <v>29</v>
      </c>
      <c r="F3678" s="2">
        <v>110.97</v>
      </c>
      <c r="G3678" s="2">
        <v>5</v>
      </c>
      <c r="H3678" s="2">
        <v>-24.04</v>
      </c>
      <c r="I3678" t="str">
        <f t="shared" si="57"/>
        <v>Nov</v>
      </c>
      <c r="J3678">
        <f>YEAR(datas[[#This Row],[Order Date]])</f>
        <v>2022</v>
      </c>
    </row>
    <row r="3679" spans="1:10" ht="14.25" customHeight="1" x14ac:dyDescent="0.3">
      <c r="A3679" s="1">
        <v>44886</v>
      </c>
      <c r="B3679" s="2" t="s">
        <v>726</v>
      </c>
      <c r="C3679" s="2" t="s">
        <v>9</v>
      </c>
      <c r="D3679" s="2" t="s">
        <v>10</v>
      </c>
      <c r="E3679" s="2" t="s">
        <v>19</v>
      </c>
      <c r="F3679" s="2">
        <v>5.34</v>
      </c>
      <c r="G3679" s="2">
        <v>2</v>
      </c>
      <c r="H3679" s="2">
        <v>0.73</v>
      </c>
      <c r="I3679" t="str">
        <f t="shared" si="57"/>
        <v>Nov</v>
      </c>
      <c r="J3679">
        <f>YEAR(datas[[#This Row],[Order Date]])</f>
        <v>2022</v>
      </c>
    </row>
    <row r="3680" spans="1:10" ht="14.25" customHeight="1" x14ac:dyDescent="0.3">
      <c r="A3680" s="1">
        <v>44886</v>
      </c>
      <c r="B3680" s="2" t="s">
        <v>726</v>
      </c>
      <c r="C3680" s="2" t="s">
        <v>9</v>
      </c>
      <c r="D3680" s="2" t="s">
        <v>10</v>
      </c>
      <c r="E3680" s="2" t="s">
        <v>16</v>
      </c>
      <c r="F3680" s="2">
        <v>1.7</v>
      </c>
      <c r="G3680" s="2">
        <v>2</v>
      </c>
      <c r="H3680" s="2">
        <v>-2.54</v>
      </c>
      <c r="I3680" t="str">
        <f t="shared" si="57"/>
        <v>Nov</v>
      </c>
      <c r="J3680">
        <f>YEAR(datas[[#This Row],[Order Date]])</f>
        <v>2022</v>
      </c>
    </row>
    <row r="3681" spans="1:10" ht="14.25" customHeight="1" x14ac:dyDescent="0.3">
      <c r="A3681" s="1">
        <v>44886</v>
      </c>
      <c r="B3681" s="2" t="s">
        <v>726</v>
      </c>
      <c r="C3681" s="2" t="s">
        <v>9</v>
      </c>
      <c r="D3681" s="2" t="s">
        <v>10</v>
      </c>
      <c r="E3681" s="2" t="s">
        <v>53</v>
      </c>
      <c r="F3681" s="2">
        <v>24.59</v>
      </c>
      <c r="G3681" s="2">
        <v>3</v>
      </c>
      <c r="H3681" s="2">
        <v>-67.62</v>
      </c>
      <c r="I3681" t="str">
        <f t="shared" si="57"/>
        <v>Nov</v>
      </c>
      <c r="J3681">
        <f>YEAR(datas[[#This Row],[Order Date]])</f>
        <v>2022</v>
      </c>
    </row>
    <row r="3682" spans="1:10" ht="14.25" customHeight="1" x14ac:dyDescent="0.3">
      <c r="A3682" s="1">
        <v>44886</v>
      </c>
      <c r="B3682" s="2" t="s">
        <v>726</v>
      </c>
      <c r="C3682" s="2" t="s">
        <v>9</v>
      </c>
      <c r="D3682" s="2" t="s">
        <v>10</v>
      </c>
      <c r="E3682" s="2" t="s">
        <v>16</v>
      </c>
      <c r="F3682" s="2">
        <v>7.98</v>
      </c>
      <c r="G3682" s="2">
        <v>5</v>
      </c>
      <c r="H3682" s="2">
        <v>-13.17</v>
      </c>
      <c r="I3682" t="str">
        <f t="shared" si="57"/>
        <v>Nov</v>
      </c>
      <c r="J3682">
        <f>YEAR(datas[[#This Row],[Order Date]])</f>
        <v>2022</v>
      </c>
    </row>
    <row r="3683" spans="1:10" ht="14.25" customHeight="1" x14ac:dyDescent="0.3">
      <c r="A3683" s="1">
        <v>44886</v>
      </c>
      <c r="B3683" s="2" t="s">
        <v>275</v>
      </c>
      <c r="C3683" s="2" t="s">
        <v>115</v>
      </c>
      <c r="D3683" s="2" t="s">
        <v>26</v>
      </c>
      <c r="E3683" s="2" t="s">
        <v>32</v>
      </c>
      <c r="F3683" s="2">
        <v>18.18</v>
      </c>
      <c r="G3683" s="2">
        <v>1</v>
      </c>
      <c r="H3683" s="2">
        <v>4.7699999999999996</v>
      </c>
      <c r="I3683" t="str">
        <f t="shared" si="57"/>
        <v>Nov</v>
      </c>
      <c r="J3683">
        <f>YEAR(datas[[#This Row],[Order Date]])</f>
        <v>2022</v>
      </c>
    </row>
    <row r="3684" spans="1:10" ht="14.25" customHeight="1" x14ac:dyDescent="0.3">
      <c r="A3684" s="1">
        <v>44887</v>
      </c>
      <c r="B3684" s="2" t="s">
        <v>253</v>
      </c>
      <c r="C3684" s="2" t="s">
        <v>9</v>
      </c>
      <c r="D3684" s="2" t="s">
        <v>10</v>
      </c>
      <c r="E3684" s="2" t="s">
        <v>53</v>
      </c>
      <c r="F3684" s="2">
        <v>68.81</v>
      </c>
      <c r="G3684" s="2">
        <v>5</v>
      </c>
      <c r="H3684" s="2">
        <v>-123.86</v>
      </c>
      <c r="I3684" t="str">
        <f t="shared" si="57"/>
        <v>Nov</v>
      </c>
      <c r="J3684">
        <f>YEAR(datas[[#This Row],[Order Date]])</f>
        <v>2022</v>
      </c>
    </row>
    <row r="3685" spans="1:10" ht="14.25" customHeight="1" x14ac:dyDescent="0.3">
      <c r="A3685" s="1">
        <v>44887</v>
      </c>
      <c r="B3685" s="2" t="s">
        <v>253</v>
      </c>
      <c r="C3685" s="2" t="s">
        <v>9</v>
      </c>
      <c r="D3685" s="2" t="s">
        <v>10</v>
      </c>
      <c r="E3685" s="2" t="s">
        <v>16</v>
      </c>
      <c r="F3685" s="2">
        <v>2.54</v>
      </c>
      <c r="G3685" s="2">
        <v>3</v>
      </c>
      <c r="H3685" s="2">
        <v>-3.82</v>
      </c>
      <c r="I3685" t="str">
        <f t="shared" si="57"/>
        <v>Nov</v>
      </c>
      <c r="J3685">
        <f>YEAR(datas[[#This Row],[Order Date]])</f>
        <v>2022</v>
      </c>
    </row>
    <row r="3686" spans="1:10" ht="14.25" customHeight="1" x14ac:dyDescent="0.3">
      <c r="A3686" s="1">
        <v>44887</v>
      </c>
      <c r="B3686" s="2" t="s">
        <v>648</v>
      </c>
      <c r="C3686" s="2" t="s">
        <v>18</v>
      </c>
      <c r="D3686" s="2" t="s">
        <v>10</v>
      </c>
      <c r="E3686" s="2" t="s">
        <v>16</v>
      </c>
      <c r="F3686" s="2">
        <v>11.61</v>
      </c>
      <c r="G3686" s="2">
        <v>2</v>
      </c>
      <c r="H3686" s="2">
        <v>-9.2899999999999991</v>
      </c>
      <c r="I3686" t="str">
        <f t="shared" si="57"/>
        <v>Nov</v>
      </c>
      <c r="J3686">
        <f>YEAR(datas[[#This Row],[Order Date]])</f>
        <v>2022</v>
      </c>
    </row>
    <row r="3687" spans="1:10" ht="14.25" customHeight="1" x14ac:dyDescent="0.3">
      <c r="A3687" s="1">
        <v>44887</v>
      </c>
      <c r="B3687" s="2" t="s">
        <v>763</v>
      </c>
      <c r="C3687" s="2" t="s">
        <v>9</v>
      </c>
      <c r="D3687" s="2" t="s">
        <v>26</v>
      </c>
      <c r="E3687" s="2" t="s">
        <v>73</v>
      </c>
      <c r="F3687" s="2">
        <v>206.96</v>
      </c>
      <c r="G3687" s="2">
        <v>2</v>
      </c>
      <c r="H3687" s="2">
        <v>-32.520000000000003</v>
      </c>
      <c r="I3687" t="str">
        <f t="shared" si="57"/>
        <v>Nov</v>
      </c>
      <c r="J3687">
        <f>YEAR(datas[[#This Row],[Order Date]])</f>
        <v>2022</v>
      </c>
    </row>
    <row r="3688" spans="1:10" ht="14.25" customHeight="1" x14ac:dyDescent="0.3">
      <c r="A3688" s="1">
        <v>44887</v>
      </c>
      <c r="B3688" s="2" t="s">
        <v>611</v>
      </c>
      <c r="C3688" s="2" t="s">
        <v>181</v>
      </c>
      <c r="D3688" s="2" t="s">
        <v>10</v>
      </c>
      <c r="E3688" s="2" t="s">
        <v>11</v>
      </c>
      <c r="F3688" s="2">
        <v>14.94</v>
      </c>
      <c r="G3688" s="2">
        <v>3</v>
      </c>
      <c r="H3688" s="2">
        <v>7.02</v>
      </c>
      <c r="I3688" t="str">
        <f t="shared" si="57"/>
        <v>Nov</v>
      </c>
      <c r="J3688">
        <f>YEAR(datas[[#This Row],[Order Date]])</f>
        <v>2022</v>
      </c>
    </row>
    <row r="3689" spans="1:10" ht="14.25" customHeight="1" x14ac:dyDescent="0.3">
      <c r="A3689" s="1">
        <v>44887</v>
      </c>
      <c r="B3689" s="2" t="s">
        <v>116</v>
      </c>
      <c r="C3689" s="2" t="s">
        <v>9</v>
      </c>
      <c r="D3689" s="2" t="s">
        <v>28</v>
      </c>
      <c r="E3689" s="2" t="s">
        <v>34</v>
      </c>
      <c r="F3689" s="2">
        <v>27.17</v>
      </c>
      <c r="G3689" s="2">
        <v>4</v>
      </c>
      <c r="H3689" s="2">
        <v>-1.36</v>
      </c>
      <c r="I3689" t="str">
        <f t="shared" si="57"/>
        <v>Nov</v>
      </c>
      <c r="J3689">
        <f>YEAR(datas[[#This Row],[Order Date]])</f>
        <v>2022</v>
      </c>
    </row>
    <row r="3690" spans="1:10" ht="14.25" customHeight="1" x14ac:dyDescent="0.3">
      <c r="A3690" s="1">
        <v>44887</v>
      </c>
      <c r="B3690" s="2" t="s">
        <v>457</v>
      </c>
      <c r="C3690" s="2" t="s">
        <v>62</v>
      </c>
      <c r="D3690" s="2" t="s">
        <v>10</v>
      </c>
      <c r="E3690" s="2" t="s">
        <v>16</v>
      </c>
      <c r="F3690" s="2">
        <v>2.95</v>
      </c>
      <c r="G3690" s="2">
        <v>2</v>
      </c>
      <c r="H3690" s="2">
        <v>-2.06</v>
      </c>
      <c r="I3690" t="str">
        <f t="shared" si="57"/>
        <v>Nov</v>
      </c>
      <c r="J3690">
        <f>YEAR(datas[[#This Row],[Order Date]])</f>
        <v>2022</v>
      </c>
    </row>
    <row r="3691" spans="1:10" ht="14.25" customHeight="1" x14ac:dyDescent="0.3">
      <c r="A3691" s="1">
        <v>44887</v>
      </c>
      <c r="B3691" s="2" t="s">
        <v>457</v>
      </c>
      <c r="C3691" s="2" t="s">
        <v>62</v>
      </c>
      <c r="D3691" s="2" t="s">
        <v>10</v>
      </c>
      <c r="E3691" s="2" t="s">
        <v>30</v>
      </c>
      <c r="F3691" s="2">
        <v>55.1</v>
      </c>
      <c r="G3691" s="2">
        <v>6</v>
      </c>
      <c r="H3691" s="2">
        <v>18.600000000000001</v>
      </c>
      <c r="I3691" t="str">
        <f t="shared" si="57"/>
        <v>Nov</v>
      </c>
      <c r="J3691">
        <f>YEAR(datas[[#This Row],[Order Date]])</f>
        <v>2022</v>
      </c>
    </row>
    <row r="3692" spans="1:10" ht="14.25" customHeight="1" x14ac:dyDescent="0.3">
      <c r="A3692" s="1">
        <v>44887</v>
      </c>
      <c r="B3692" s="2" t="s">
        <v>606</v>
      </c>
      <c r="C3692" s="2" t="s">
        <v>21</v>
      </c>
      <c r="D3692" s="2" t="s">
        <v>10</v>
      </c>
      <c r="E3692" s="2" t="s">
        <v>11</v>
      </c>
      <c r="F3692" s="2">
        <v>37.94</v>
      </c>
      <c r="G3692" s="2">
        <v>2</v>
      </c>
      <c r="H3692" s="2">
        <v>18.21</v>
      </c>
      <c r="I3692" t="str">
        <f t="shared" si="57"/>
        <v>Nov</v>
      </c>
      <c r="J3692">
        <f>YEAR(datas[[#This Row],[Order Date]])</f>
        <v>2022</v>
      </c>
    </row>
    <row r="3693" spans="1:10" ht="14.25" customHeight="1" x14ac:dyDescent="0.3">
      <c r="A3693" s="1">
        <v>44887</v>
      </c>
      <c r="B3693" s="2" t="s">
        <v>606</v>
      </c>
      <c r="C3693" s="2" t="s">
        <v>21</v>
      </c>
      <c r="D3693" s="2" t="s">
        <v>10</v>
      </c>
      <c r="E3693" s="2" t="s">
        <v>11</v>
      </c>
      <c r="F3693" s="2">
        <v>42.8</v>
      </c>
      <c r="G3693" s="2">
        <v>10</v>
      </c>
      <c r="H3693" s="2">
        <v>19.260000000000002</v>
      </c>
      <c r="I3693" t="str">
        <f t="shared" si="57"/>
        <v>Nov</v>
      </c>
      <c r="J3693">
        <f>YEAR(datas[[#This Row],[Order Date]])</f>
        <v>2022</v>
      </c>
    </row>
    <row r="3694" spans="1:10" ht="14.25" customHeight="1" x14ac:dyDescent="0.3">
      <c r="A3694" s="1">
        <v>44887</v>
      </c>
      <c r="B3694" s="2" t="s">
        <v>606</v>
      </c>
      <c r="C3694" s="2" t="s">
        <v>21</v>
      </c>
      <c r="D3694" s="2" t="s">
        <v>10</v>
      </c>
      <c r="E3694" s="2" t="s">
        <v>15</v>
      </c>
      <c r="F3694" s="2">
        <v>33.630000000000003</v>
      </c>
      <c r="G3694" s="2">
        <v>3</v>
      </c>
      <c r="H3694" s="2">
        <v>10.09</v>
      </c>
      <c r="I3694" t="str">
        <f t="shared" si="57"/>
        <v>Nov</v>
      </c>
      <c r="J3694">
        <f>YEAR(datas[[#This Row],[Order Date]])</f>
        <v>2022</v>
      </c>
    </row>
    <row r="3695" spans="1:10" ht="14.25" customHeight="1" x14ac:dyDescent="0.3">
      <c r="A3695" s="1">
        <v>44887</v>
      </c>
      <c r="B3695" s="2" t="s">
        <v>315</v>
      </c>
      <c r="C3695" s="2" t="s">
        <v>64</v>
      </c>
      <c r="D3695" s="2" t="s">
        <v>28</v>
      </c>
      <c r="E3695" s="2" t="s">
        <v>136</v>
      </c>
      <c r="F3695" s="2">
        <v>32.99</v>
      </c>
      <c r="G3695" s="2">
        <v>3</v>
      </c>
      <c r="H3695" s="2">
        <v>-1.98</v>
      </c>
      <c r="I3695" t="str">
        <f t="shared" si="57"/>
        <v>Nov</v>
      </c>
      <c r="J3695">
        <f>YEAR(datas[[#This Row],[Order Date]])</f>
        <v>2022</v>
      </c>
    </row>
    <row r="3696" spans="1:10" ht="14.25" customHeight="1" x14ac:dyDescent="0.3">
      <c r="A3696" s="1">
        <v>44887</v>
      </c>
      <c r="B3696" s="2" t="s">
        <v>264</v>
      </c>
      <c r="C3696" s="2" t="s">
        <v>181</v>
      </c>
      <c r="D3696" s="2" t="s">
        <v>10</v>
      </c>
      <c r="E3696" s="2" t="s">
        <v>19</v>
      </c>
      <c r="F3696" s="2">
        <v>17.12</v>
      </c>
      <c r="G3696" s="2">
        <v>4</v>
      </c>
      <c r="H3696" s="2">
        <v>4.96</v>
      </c>
      <c r="I3696" t="str">
        <f t="shared" si="57"/>
        <v>Nov</v>
      </c>
      <c r="J3696">
        <f>YEAR(datas[[#This Row],[Order Date]])</f>
        <v>2022</v>
      </c>
    </row>
    <row r="3697" spans="1:10" ht="14.25" customHeight="1" x14ac:dyDescent="0.3">
      <c r="A3697" s="1">
        <v>44887</v>
      </c>
      <c r="B3697" s="2" t="s">
        <v>264</v>
      </c>
      <c r="C3697" s="2" t="s">
        <v>181</v>
      </c>
      <c r="D3697" s="2" t="s">
        <v>10</v>
      </c>
      <c r="E3697" s="2" t="s">
        <v>11</v>
      </c>
      <c r="F3697" s="2">
        <v>59.94</v>
      </c>
      <c r="G3697" s="2">
        <v>3</v>
      </c>
      <c r="H3697" s="2">
        <v>28.17</v>
      </c>
      <c r="I3697" t="str">
        <f t="shared" si="57"/>
        <v>Nov</v>
      </c>
      <c r="J3697">
        <f>YEAR(datas[[#This Row],[Order Date]])</f>
        <v>2022</v>
      </c>
    </row>
    <row r="3698" spans="1:10" ht="14.25" customHeight="1" x14ac:dyDescent="0.3">
      <c r="A3698" s="1">
        <v>44888</v>
      </c>
      <c r="B3698" s="2" t="s">
        <v>741</v>
      </c>
      <c r="C3698" s="2" t="s">
        <v>9</v>
      </c>
      <c r="D3698" s="2" t="s">
        <v>10</v>
      </c>
      <c r="E3698" s="2" t="s">
        <v>11</v>
      </c>
      <c r="F3698" s="2">
        <v>335.52</v>
      </c>
      <c r="G3698" s="2">
        <v>4</v>
      </c>
      <c r="H3698" s="2">
        <v>117.43</v>
      </c>
      <c r="I3698" t="str">
        <f t="shared" si="57"/>
        <v>Nov</v>
      </c>
      <c r="J3698">
        <f>YEAR(datas[[#This Row],[Order Date]])</f>
        <v>2022</v>
      </c>
    </row>
    <row r="3699" spans="1:10" ht="14.25" customHeight="1" x14ac:dyDescent="0.3">
      <c r="A3699" s="1">
        <v>44888</v>
      </c>
      <c r="B3699" s="2" t="s">
        <v>741</v>
      </c>
      <c r="C3699" s="2" t="s">
        <v>9</v>
      </c>
      <c r="D3699" s="2" t="s">
        <v>10</v>
      </c>
      <c r="E3699" s="2" t="s">
        <v>16</v>
      </c>
      <c r="F3699" s="2">
        <v>23.91</v>
      </c>
      <c r="G3699" s="2">
        <v>2</v>
      </c>
      <c r="H3699" s="2">
        <v>-40.65</v>
      </c>
      <c r="I3699" t="str">
        <f t="shared" si="57"/>
        <v>Nov</v>
      </c>
      <c r="J3699">
        <f>YEAR(datas[[#This Row],[Order Date]])</f>
        <v>2022</v>
      </c>
    </row>
    <row r="3700" spans="1:10" ht="14.25" customHeight="1" x14ac:dyDescent="0.3">
      <c r="A3700" s="1">
        <v>44888</v>
      </c>
      <c r="B3700" s="2" t="s">
        <v>741</v>
      </c>
      <c r="C3700" s="2" t="s">
        <v>9</v>
      </c>
      <c r="D3700" s="2" t="s">
        <v>10</v>
      </c>
      <c r="E3700" s="2" t="s">
        <v>15</v>
      </c>
      <c r="F3700" s="2">
        <v>27.06</v>
      </c>
      <c r="G3700" s="2">
        <v>2</v>
      </c>
      <c r="H3700" s="2">
        <v>2.37</v>
      </c>
      <c r="I3700" t="str">
        <f t="shared" si="57"/>
        <v>Nov</v>
      </c>
      <c r="J3700">
        <f>YEAR(datas[[#This Row],[Order Date]])</f>
        <v>2022</v>
      </c>
    </row>
    <row r="3701" spans="1:10" ht="14.25" customHeight="1" x14ac:dyDescent="0.3">
      <c r="A3701" s="1">
        <v>44888</v>
      </c>
      <c r="B3701" s="2" t="s">
        <v>442</v>
      </c>
      <c r="C3701" s="2" t="s">
        <v>87</v>
      </c>
      <c r="D3701" s="2" t="s">
        <v>10</v>
      </c>
      <c r="E3701" s="2" t="s">
        <v>53</v>
      </c>
      <c r="F3701" s="2">
        <v>2625.12</v>
      </c>
      <c r="G3701" s="2">
        <v>8</v>
      </c>
      <c r="H3701" s="2">
        <v>735.03</v>
      </c>
      <c r="I3701" t="str">
        <f t="shared" si="57"/>
        <v>Nov</v>
      </c>
      <c r="J3701">
        <f>YEAR(datas[[#This Row],[Order Date]])</f>
        <v>2022</v>
      </c>
    </row>
    <row r="3702" spans="1:10" ht="14.25" customHeight="1" x14ac:dyDescent="0.3">
      <c r="A3702" s="1">
        <v>44888</v>
      </c>
      <c r="B3702" s="2" t="s">
        <v>442</v>
      </c>
      <c r="C3702" s="2" t="s">
        <v>87</v>
      </c>
      <c r="D3702" s="2" t="s">
        <v>10</v>
      </c>
      <c r="E3702" s="2" t="s">
        <v>19</v>
      </c>
      <c r="F3702" s="2">
        <v>17.940000000000001</v>
      </c>
      <c r="G3702" s="2">
        <v>3</v>
      </c>
      <c r="H3702" s="2">
        <v>4.49</v>
      </c>
      <c r="I3702" t="str">
        <f t="shared" si="57"/>
        <v>Nov</v>
      </c>
      <c r="J3702">
        <f>YEAR(datas[[#This Row],[Order Date]])</f>
        <v>2022</v>
      </c>
    </row>
    <row r="3703" spans="1:10" ht="14.25" customHeight="1" x14ac:dyDescent="0.3">
      <c r="A3703" s="1">
        <v>44888</v>
      </c>
      <c r="B3703" s="2" t="s">
        <v>589</v>
      </c>
      <c r="C3703" s="2" t="s">
        <v>38</v>
      </c>
      <c r="D3703" s="2" t="s">
        <v>28</v>
      </c>
      <c r="E3703" s="2" t="s">
        <v>29</v>
      </c>
      <c r="F3703" s="2">
        <v>307.98</v>
      </c>
      <c r="G3703" s="2">
        <v>2</v>
      </c>
      <c r="H3703" s="2">
        <v>89.31</v>
      </c>
      <c r="I3703" t="str">
        <f t="shared" si="57"/>
        <v>Nov</v>
      </c>
      <c r="J3703">
        <f>YEAR(datas[[#This Row],[Order Date]])</f>
        <v>2022</v>
      </c>
    </row>
    <row r="3704" spans="1:10" ht="14.25" customHeight="1" x14ac:dyDescent="0.3">
      <c r="A3704" s="1">
        <v>44888</v>
      </c>
      <c r="B3704" s="2" t="s">
        <v>589</v>
      </c>
      <c r="C3704" s="2" t="s">
        <v>38</v>
      </c>
      <c r="D3704" s="2" t="s">
        <v>10</v>
      </c>
      <c r="E3704" s="2" t="s">
        <v>11</v>
      </c>
      <c r="F3704" s="2">
        <v>44.1</v>
      </c>
      <c r="G3704" s="2">
        <v>6</v>
      </c>
      <c r="H3704" s="2">
        <v>20.73</v>
      </c>
      <c r="I3704" t="str">
        <f t="shared" si="57"/>
        <v>Nov</v>
      </c>
      <c r="J3704">
        <f>YEAR(datas[[#This Row],[Order Date]])</f>
        <v>2022</v>
      </c>
    </row>
    <row r="3705" spans="1:10" ht="14.25" customHeight="1" x14ac:dyDescent="0.3">
      <c r="A3705" s="1">
        <v>44888</v>
      </c>
      <c r="B3705" s="2" t="s">
        <v>589</v>
      </c>
      <c r="C3705" s="2" t="s">
        <v>38</v>
      </c>
      <c r="D3705" s="2" t="s">
        <v>10</v>
      </c>
      <c r="E3705" s="2" t="s">
        <v>19</v>
      </c>
      <c r="F3705" s="2">
        <v>13.12</v>
      </c>
      <c r="G3705" s="2">
        <v>4</v>
      </c>
      <c r="H3705" s="2">
        <v>5.64</v>
      </c>
      <c r="I3705" t="str">
        <f t="shared" si="57"/>
        <v>Nov</v>
      </c>
      <c r="J3705">
        <f>YEAR(datas[[#This Row],[Order Date]])</f>
        <v>2022</v>
      </c>
    </row>
    <row r="3706" spans="1:10" ht="14.25" customHeight="1" x14ac:dyDescent="0.3">
      <c r="A3706" s="1">
        <v>44888</v>
      </c>
      <c r="B3706" s="2" t="s">
        <v>589</v>
      </c>
      <c r="C3706" s="2" t="s">
        <v>38</v>
      </c>
      <c r="D3706" s="2" t="s">
        <v>10</v>
      </c>
      <c r="E3706" s="2" t="s">
        <v>41</v>
      </c>
      <c r="F3706" s="2">
        <v>16.559999999999999</v>
      </c>
      <c r="G3706" s="2">
        <v>2</v>
      </c>
      <c r="H3706" s="2">
        <v>7.78</v>
      </c>
      <c r="I3706" t="str">
        <f t="shared" si="57"/>
        <v>Nov</v>
      </c>
      <c r="J3706">
        <f>YEAR(datas[[#This Row],[Order Date]])</f>
        <v>2022</v>
      </c>
    </row>
    <row r="3707" spans="1:10" ht="14.25" customHeight="1" x14ac:dyDescent="0.3">
      <c r="A3707" s="1">
        <v>44888</v>
      </c>
      <c r="B3707" s="2" t="s">
        <v>589</v>
      </c>
      <c r="C3707" s="2" t="s">
        <v>38</v>
      </c>
      <c r="D3707" s="2" t="s">
        <v>10</v>
      </c>
      <c r="E3707" s="2" t="s">
        <v>11</v>
      </c>
      <c r="F3707" s="2">
        <v>38.880000000000003</v>
      </c>
      <c r="G3707" s="2">
        <v>6</v>
      </c>
      <c r="H3707" s="2">
        <v>18.66</v>
      </c>
      <c r="I3707" t="str">
        <f t="shared" si="57"/>
        <v>Nov</v>
      </c>
      <c r="J3707">
        <f>YEAR(datas[[#This Row],[Order Date]])</f>
        <v>2022</v>
      </c>
    </row>
    <row r="3708" spans="1:10" ht="14.25" customHeight="1" x14ac:dyDescent="0.3">
      <c r="A3708" s="1">
        <v>44889</v>
      </c>
      <c r="B3708" s="2" t="s">
        <v>170</v>
      </c>
      <c r="C3708" s="2" t="s">
        <v>21</v>
      </c>
      <c r="D3708" s="2" t="s">
        <v>28</v>
      </c>
      <c r="E3708" s="2" t="s">
        <v>34</v>
      </c>
      <c r="F3708" s="2">
        <v>13.98</v>
      </c>
      <c r="G3708" s="2">
        <v>2</v>
      </c>
      <c r="H3708" s="2">
        <v>6.15</v>
      </c>
      <c r="I3708" t="str">
        <f t="shared" si="57"/>
        <v>Nov</v>
      </c>
      <c r="J3708">
        <f>YEAR(datas[[#This Row],[Order Date]])</f>
        <v>2022</v>
      </c>
    </row>
    <row r="3709" spans="1:10" ht="14.25" customHeight="1" x14ac:dyDescent="0.3">
      <c r="A3709" s="1">
        <v>44889</v>
      </c>
      <c r="B3709" s="2" t="s">
        <v>170</v>
      </c>
      <c r="C3709" s="2" t="s">
        <v>21</v>
      </c>
      <c r="D3709" s="2" t="s">
        <v>10</v>
      </c>
      <c r="E3709" s="2" t="s">
        <v>16</v>
      </c>
      <c r="F3709" s="2">
        <v>25.82</v>
      </c>
      <c r="G3709" s="2">
        <v>6</v>
      </c>
      <c r="H3709" s="2">
        <v>9.36</v>
      </c>
      <c r="I3709" t="str">
        <f t="shared" si="57"/>
        <v>Nov</v>
      </c>
      <c r="J3709">
        <f>YEAR(datas[[#This Row],[Order Date]])</f>
        <v>2022</v>
      </c>
    </row>
    <row r="3710" spans="1:10" ht="14.25" customHeight="1" x14ac:dyDescent="0.3">
      <c r="A3710" s="1">
        <v>44889</v>
      </c>
      <c r="B3710" s="2" t="s">
        <v>170</v>
      </c>
      <c r="C3710" s="2" t="s">
        <v>21</v>
      </c>
      <c r="D3710" s="2" t="s">
        <v>10</v>
      </c>
      <c r="E3710" s="2" t="s">
        <v>11</v>
      </c>
      <c r="F3710" s="2">
        <v>146.72999999999999</v>
      </c>
      <c r="G3710" s="2">
        <v>3</v>
      </c>
      <c r="H3710" s="2">
        <v>68.959999999999994</v>
      </c>
      <c r="I3710" t="str">
        <f t="shared" si="57"/>
        <v>Nov</v>
      </c>
      <c r="J3710">
        <f>YEAR(datas[[#This Row],[Order Date]])</f>
        <v>2022</v>
      </c>
    </row>
    <row r="3711" spans="1:10" ht="14.25" customHeight="1" x14ac:dyDescent="0.3">
      <c r="A3711" s="1">
        <v>44889</v>
      </c>
      <c r="B3711" s="2" t="s">
        <v>170</v>
      </c>
      <c r="C3711" s="2" t="s">
        <v>21</v>
      </c>
      <c r="D3711" s="2" t="s">
        <v>26</v>
      </c>
      <c r="E3711" s="2" t="s">
        <v>32</v>
      </c>
      <c r="F3711" s="2">
        <v>79.760000000000005</v>
      </c>
      <c r="G3711" s="2">
        <v>4</v>
      </c>
      <c r="H3711" s="2">
        <v>22.33</v>
      </c>
      <c r="I3711" t="str">
        <f t="shared" si="57"/>
        <v>Nov</v>
      </c>
      <c r="J3711">
        <f>YEAR(datas[[#This Row],[Order Date]])</f>
        <v>2022</v>
      </c>
    </row>
    <row r="3712" spans="1:10" ht="14.25" customHeight="1" x14ac:dyDescent="0.3">
      <c r="A3712" s="1">
        <v>44889</v>
      </c>
      <c r="B3712" s="2" t="s">
        <v>8</v>
      </c>
      <c r="C3712" s="2" t="s">
        <v>21</v>
      </c>
      <c r="D3712" s="2" t="s">
        <v>10</v>
      </c>
      <c r="E3712" s="2" t="s">
        <v>11</v>
      </c>
      <c r="F3712" s="2">
        <v>368.91</v>
      </c>
      <c r="G3712" s="2">
        <v>9</v>
      </c>
      <c r="H3712" s="2">
        <v>180.77</v>
      </c>
      <c r="I3712" t="str">
        <f t="shared" si="57"/>
        <v>Nov</v>
      </c>
      <c r="J3712">
        <f>YEAR(datas[[#This Row],[Order Date]])</f>
        <v>2022</v>
      </c>
    </row>
    <row r="3713" spans="1:10" ht="14.25" customHeight="1" x14ac:dyDescent="0.3">
      <c r="A3713" s="1">
        <v>44889</v>
      </c>
      <c r="B3713" s="2" t="s">
        <v>8</v>
      </c>
      <c r="C3713" s="2" t="s">
        <v>21</v>
      </c>
      <c r="D3713" s="2" t="s">
        <v>10</v>
      </c>
      <c r="E3713" s="2" t="s">
        <v>19</v>
      </c>
      <c r="F3713" s="2">
        <v>14.7</v>
      </c>
      <c r="G3713" s="2">
        <v>5</v>
      </c>
      <c r="H3713" s="2">
        <v>6.62</v>
      </c>
      <c r="I3713" t="str">
        <f t="shared" si="57"/>
        <v>Nov</v>
      </c>
      <c r="J3713">
        <f>YEAR(datas[[#This Row],[Order Date]])</f>
        <v>2022</v>
      </c>
    </row>
    <row r="3714" spans="1:10" ht="14.25" customHeight="1" x14ac:dyDescent="0.3">
      <c r="A3714" s="1">
        <v>44889</v>
      </c>
      <c r="B3714" s="2" t="s">
        <v>54</v>
      </c>
      <c r="C3714" s="2" t="s">
        <v>21</v>
      </c>
      <c r="D3714" s="2" t="s">
        <v>10</v>
      </c>
      <c r="E3714" s="2" t="s">
        <v>16</v>
      </c>
      <c r="F3714" s="2">
        <v>3.17</v>
      </c>
      <c r="G3714" s="2">
        <v>2</v>
      </c>
      <c r="H3714" s="2">
        <v>0.99</v>
      </c>
      <c r="I3714" t="str">
        <f t="shared" si="57"/>
        <v>Nov</v>
      </c>
      <c r="J3714">
        <f>YEAR(datas[[#This Row],[Order Date]])</f>
        <v>2022</v>
      </c>
    </row>
    <row r="3715" spans="1:10" ht="14.25" customHeight="1" x14ac:dyDescent="0.3">
      <c r="A3715" s="1">
        <v>44889</v>
      </c>
      <c r="B3715" s="2" t="s">
        <v>54</v>
      </c>
      <c r="C3715" s="2" t="s">
        <v>21</v>
      </c>
      <c r="D3715" s="2" t="s">
        <v>10</v>
      </c>
      <c r="E3715" s="2" t="s">
        <v>11</v>
      </c>
      <c r="F3715" s="2">
        <v>19.440000000000001</v>
      </c>
      <c r="G3715" s="2">
        <v>3</v>
      </c>
      <c r="H3715" s="2">
        <v>9.33</v>
      </c>
      <c r="I3715" t="str">
        <f t="shared" ref="I3715:I3778" si="58">TEXT(A3715,"mmm")</f>
        <v>Nov</v>
      </c>
      <c r="J3715">
        <f>YEAR(datas[[#This Row],[Order Date]])</f>
        <v>2022</v>
      </c>
    </row>
    <row r="3716" spans="1:10" ht="14.25" customHeight="1" x14ac:dyDescent="0.3">
      <c r="A3716" s="1">
        <v>44889</v>
      </c>
      <c r="B3716" s="2" t="s">
        <v>54</v>
      </c>
      <c r="C3716" s="2" t="s">
        <v>21</v>
      </c>
      <c r="D3716" s="2" t="s">
        <v>10</v>
      </c>
      <c r="E3716" s="2" t="s">
        <v>15</v>
      </c>
      <c r="F3716" s="2">
        <v>454.86</v>
      </c>
      <c r="G3716" s="2">
        <v>7</v>
      </c>
      <c r="H3716" s="2">
        <v>54.58</v>
      </c>
      <c r="I3716" t="str">
        <f t="shared" si="58"/>
        <v>Nov</v>
      </c>
      <c r="J3716">
        <f>YEAR(datas[[#This Row],[Order Date]])</f>
        <v>2022</v>
      </c>
    </row>
    <row r="3717" spans="1:10" ht="14.25" customHeight="1" x14ac:dyDescent="0.3">
      <c r="A3717" s="1">
        <v>44889</v>
      </c>
      <c r="B3717" s="2" t="s">
        <v>54</v>
      </c>
      <c r="C3717" s="2" t="s">
        <v>21</v>
      </c>
      <c r="D3717" s="2" t="s">
        <v>10</v>
      </c>
      <c r="E3717" s="2" t="s">
        <v>16</v>
      </c>
      <c r="F3717" s="2">
        <v>91.39</v>
      </c>
      <c r="G3717" s="2">
        <v>8</v>
      </c>
      <c r="H3717" s="2">
        <v>29.7</v>
      </c>
      <c r="I3717" t="str">
        <f t="shared" si="58"/>
        <v>Nov</v>
      </c>
      <c r="J3717">
        <f>YEAR(datas[[#This Row],[Order Date]])</f>
        <v>2022</v>
      </c>
    </row>
    <row r="3718" spans="1:10" ht="14.25" customHeight="1" x14ac:dyDescent="0.3">
      <c r="A3718" s="1">
        <v>44890</v>
      </c>
      <c r="B3718" s="2" t="s">
        <v>464</v>
      </c>
      <c r="C3718" s="2" t="s">
        <v>115</v>
      </c>
      <c r="D3718" s="2" t="s">
        <v>10</v>
      </c>
      <c r="E3718" s="2" t="s">
        <v>19</v>
      </c>
      <c r="F3718" s="2">
        <v>13.12</v>
      </c>
      <c r="G3718" s="2">
        <v>5</v>
      </c>
      <c r="H3718" s="2">
        <v>1.48</v>
      </c>
      <c r="I3718" t="str">
        <f t="shared" si="58"/>
        <v>Nov</v>
      </c>
      <c r="J3718">
        <f>YEAR(datas[[#This Row],[Order Date]])</f>
        <v>2022</v>
      </c>
    </row>
    <row r="3719" spans="1:10" ht="14.25" customHeight="1" x14ac:dyDescent="0.3">
      <c r="A3719" s="1">
        <v>44891</v>
      </c>
      <c r="B3719" s="2" t="s">
        <v>193</v>
      </c>
      <c r="C3719" s="2" t="s">
        <v>181</v>
      </c>
      <c r="D3719" s="2" t="s">
        <v>10</v>
      </c>
      <c r="E3719" s="2" t="s">
        <v>16</v>
      </c>
      <c r="F3719" s="2">
        <v>14.73</v>
      </c>
      <c r="G3719" s="2">
        <v>3</v>
      </c>
      <c r="H3719" s="2">
        <v>6.92</v>
      </c>
      <c r="I3719" t="str">
        <f t="shared" si="58"/>
        <v>Nov</v>
      </c>
      <c r="J3719">
        <f>YEAR(datas[[#This Row],[Order Date]])</f>
        <v>2022</v>
      </c>
    </row>
    <row r="3720" spans="1:10" ht="14.25" customHeight="1" x14ac:dyDescent="0.3">
      <c r="A3720" s="1">
        <v>44891</v>
      </c>
      <c r="B3720" s="2" t="s">
        <v>193</v>
      </c>
      <c r="C3720" s="2" t="s">
        <v>181</v>
      </c>
      <c r="D3720" s="2" t="s">
        <v>10</v>
      </c>
      <c r="E3720" s="2" t="s">
        <v>15</v>
      </c>
      <c r="F3720" s="2">
        <v>104.9</v>
      </c>
      <c r="G3720" s="2">
        <v>5</v>
      </c>
      <c r="H3720" s="2">
        <v>25.18</v>
      </c>
      <c r="I3720" t="str">
        <f t="shared" si="58"/>
        <v>Nov</v>
      </c>
      <c r="J3720">
        <f>YEAR(datas[[#This Row],[Order Date]])</f>
        <v>2022</v>
      </c>
    </row>
    <row r="3721" spans="1:10" ht="14.25" customHeight="1" x14ac:dyDescent="0.3">
      <c r="A3721" s="1">
        <v>44891</v>
      </c>
      <c r="B3721" s="2" t="s">
        <v>193</v>
      </c>
      <c r="C3721" s="2" t="s">
        <v>181</v>
      </c>
      <c r="D3721" s="2" t="s">
        <v>10</v>
      </c>
      <c r="E3721" s="2" t="s">
        <v>16</v>
      </c>
      <c r="F3721" s="2">
        <v>61.04</v>
      </c>
      <c r="G3721" s="2">
        <v>4</v>
      </c>
      <c r="H3721" s="2">
        <v>30.52</v>
      </c>
      <c r="I3721" t="str">
        <f t="shared" si="58"/>
        <v>Nov</v>
      </c>
      <c r="J3721">
        <f>YEAR(datas[[#This Row],[Order Date]])</f>
        <v>2022</v>
      </c>
    </row>
    <row r="3722" spans="1:10" ht="14.25" customHeight="1" x14ac:dyDescent="0.3">
      <c r="A3722" s="1">
        <v>44891</v>
      </c>
      <c r="B3722" s="2" t="s">
        <v>193</v>
      </c>
      <c r="C3722" s="2" t="s">
        <v>181</v>
      </c>
      <c r="D3722" s="2" t="s">
        <v>10</v>
      </c>
      <c r="E3722" s="2" t="s">
        <v>11</v>
      </c>
      <c r="F3722" s="2">
        <v>10.95</v>
      </c>
      <c r="G3722" s="2">
        <v>3</v>
      </c>
      <c r="H3722" s="2">
        <v>5.15</v>
      </c>
      <c r="I3722" t="str">
        <f t="shared" si="58"/>
        <v>Nov</v>
      </c>
      <c r="J3722">
        <f>YEAR(datas[[#This Row],[Order Date]])</f>
        <v>2022</v>
      </c>
    </row>
    <row r="3723" spans="1:10" ht="14.25" customHeight="1" x14ac:dyDescent="0.3">
      <c r="A3723" s="1">
        <v>44891</v>
      </c>
      <c r="B3723" s="2" t="s">
        <v>644</v>
      </c>
      <c r="C3723" s="2" t="s">
        <v>62</v>
      </c>
      <c r="D3723" s="2" t="s">
        <v>26</v>
      </c>
      <c r="E3723" s="2" t="s">
        <v>32</v>
      </c>
      <c r="F3723" s="2">
        <v>692.47</v>
      </c>
      <c r="G3723" s="2">
        <v>11</v>
      </c>
      <c r="H3723" s="2">
        <v>190.43</v>
      </c>
      <c r="I3723" t="str">
        <f t="shared" si="58"/>
        <v>Nov</v>
      </c>
      <c r="J3723">
        <f>YEAR(datas[[#This Row],[Order Date]])</f>
        <v>2022</v>
      </c>
    </row>
    <row r="3724" spans="1:10" ht="14.25" customHeight="1" x14ac:dyDescent="0.3">
      <c r="A3724" s="1">
        <v>44891</v>
      </c>
      <c r="B3724" s="2" t="s">
        <v>471</v>
      </c>
      <c r="C3724" s="2" t="s">
        <v>91</v>
      </c>
      <c r="D3724" s="2" t="s">
        <v>28</v>
      </c>
      <c r="E3724" s="2" t="s">
        <v>243</v>
      </c>
      <c r="F3724" s="2">
        <v>599.99</v>
      </c>
      <c r="G3724" s="2">
        <v>1</v>
      </c>
      <c r="H3724" s="2">
        <v>234</v>
      </c>
      <c r="I3724" t="str">
        <f t="shared" si="58"/>
        <v>Nov</v>
      </c>
      <c r="J3724">
        <f>YEAR(datas[[#This Row],[Order Date]])</f>
        <v>2022</v>
      </c>
    </row>
    <row r="3725" spans="1:10" ht="14.25" customHeight="1" x14ac:dyDescent="0.3">
      <c r="A3725" s="1">
        <v>44892</v>
      </c>
      <c r="B3725" s="2" t="s">
        <v>516</v>
      </c>
      <c r="C3725" s="2" t="s">
        <v>64</v>
      </c>
      <c r="D3725" s="2" t="s">
        <v>26</v>
      </c>
      <c r="E3725" s="2" t="s">
        <v>73</v>
      </c>
      <c r="F3725" s="2">
        <v>375.46</v>
      </c>
      <c r="G3725" s="2">
        <v>3</v>
      </c>
      <c r="H3725" s="2">
        <v>-157.01</v>
      </c>
      <c r="I3725" t="str">
        <f t="shared" si="58"/>
        <v>Nov</v>
      </c>
      <c r="J3725">
        <f>YEAR(datas[[#This Row],[Order Date]])</f>
        <v>2022</v>
      </c>
    </row>
    <row r="3726" spans="1:10" ht="14.25" customHeight="1" x14ac:dyDescent="0.3">
      <c r="A3726" s="1">
        <v>44892</v>
      </c>
      <c r="B3726" s="2" t="s">
        <v>516</v>
      </c>
      <c r="C3726" s="2" t="s">
        <v>64</v>
      </c>
      <c r="D3726" s="2" t="s">
        <v>28</v>
      </c>
      <c r="E3726" s="2" t="s">
        <v>34</v>
      </c>
      <c r="F3726" s="2">
        <v>83.98</v>
      </c>
      <c r="G3726" s="2">
        <v>3</v>
      </c>
      <c r="H3726" s="2">
        <v>-1.05</v>
      </c>
      <c r="I3726" t="str">
        <f t="shared" si="58"/>
        <v>Nov</v>
      </c>
      <c r="J3726">
        <f>YEAR(datas[[#This Row],[Order Date]])</f>
        <v>2022</v>
      </c>
    </row>
    <row r="3727" spans="1:10" ht="14.25" customHeight="1" x14ac:dyDescent="0.3">
      <c r="A3727" s="1">
        <v>44892</v>
      </c>
      <c r="B3727" s="2" t="s">
        <v>158</v>
      </c>
      <c r="C3727" s="2" t="s">
        <v>21</v>
      </c>
      <c r="D3727" s="2" t="s">
        <v>26</v>
      </c>
      <c r="E3727" s="2" t="s">
        <v>27</v>
      </c>
      <c r="F3727" s="2">
        <v>283.92</v>
      </c>
      <c r="G3727" s="2">
        <v>5</v>
      </c>
      <c r="H3727" s="2">
        <v>17.75</v>
      </c>
      <c r="I3727" t="str">
        <f t="shared" si="58"/>
        <v>Nov</v>
      </c>
      <c r="J3727">
        <f>YEAR(datas[[#This Row],[Order Date]])</f>
        <v>2022</v>
      </c>
    </row>
    <row r="3728" spans="1:10" ht="14.25" customHeight="1" x14ac:dyDescent="0.3">
      <c r="A3728" s="1">
        <v>44892</v>
      </c>
      <c r="B3728" s="2" t="s">
        <v>658</v>
      </c>
      <c r="C3728" s="2" t="s">
        <v>57</v>
      </c>
      <c r="D3728" s="2" t="s">
        <v>10</v>
      </c>
      <c r="E3728" s="2" t="s">
        <v>16</v>
      </c>
      <c r="F3728" s="2">
        <v>6.24</v>
      </c>
      <c r="G3728" s="2">
        <v>2</v>
      </c>
      <c r="H3728" s="2">
        <v>3.06</v>
      </c>
      <c r="I3728" t="str">
        <f t="shared" si="58"/>
        <v>Nov</v>
      </c>
      <c r="J3728">
        <f>YEAR(datas[[#This Row],[Order Date]])</f>
        <v>2022</v>
      </c>
    </row>
    <row r="3729" spans="1:10" ht="14.25" customHeight="1" x14ac:dyDescent="0.3">
      <c r="A3729" s="1">
        <v>44892</v>
      </c>
      <c r="B3729" s="2" t="s">
        <v>586</v>
      </c>
      <c r="C3729" s="2" t="s">
        <v>38</v>
      </c>
      <c r="D3729" s="2" t="s">
        <v>28</v>
      </c>
      <c r="E3729" s="2" t="s">
        <v>29</v>
      </c>
      <c r="F3729" s="2">
        <v>83.97</v>
      </c>
      <c r="G3729" s="2">
        <v>3</v>
      </c>
      <c r="H3729" s="2">
        <v>23.51</v>
      </c>
      <c r="I3729" t="str">
        <f t="shared" si="58"/>
        <v>Nov</v>
      </c>
      <c r="J3729">
        <f>YEAR(datas[[#This Row],[Order Date]])</f>
        <v>2022</v>
      </c>
    </row>
    <row r="3730" spans="1:10" ht="14.25" customHeight="1" x14ac:dyDescent="0.3">
      <c r="A3730" s="1">
        <v>44892</v>
      </c>
      <c r="B3730" s="2" t="s">
        <v>586</v>
      </c>
      <c r="C3730" s="2" t="s">
        <v>38</v>
      </c>
      <c r="D3730" s="2" t="s">
        <v>28</v>
      </c>
      <c r="E3730" s="2" t="s">
        <v>34</v>
      </c>
      <c r="F3730" s="2">
        <v>104.97</v>
      </c>
      <c r="G3730" s="2">
        <v>3</v>
      </c>
      <c r="H3730" s="2">
        <v>7.35</v>
      </c>
      <c r="I3730" t="str">
        <f t="shared" si="58"/>
        <v>Nov</v>
      </c>
      <c r="J3730">
        <f>YEAR(datas[[#This Row],[Order Date]])</f>
        <v>2022</v>
      </c>
    </row>
    <row r="3731" spans="1:10" ht="14.25" customHeight="1" x14ac:dyDescent="0.3">
      <c r="A3731" s="1">
        <v>44892</v>
      </c>
      <c r="B3731" s="2" t="s">
        <v>689</v>
      </c>
      <c r="C3731" s="2" t="s">
        <v>75</v>
      </c>
      <c r="D3731" s="2" t="s">
        <v>10</v>
      </c>
      <c r="E3731" s="2" t="s">
        <v>19</v>
      </c>
      <c r="F3731" s="2">
        <v>29.79</v>
      </c>
      <c r="G3731" s="2">
        <v>3</v>
      </c>
      <c r="H3731" s="2">
        <v>12.51</v>
      </c>
      <c r="I3731" t="str">
        <f t="shared" si="58"/>
        <v>Nov</v>
      </c>
      <c r="J3731">
        <f>YEAR(datas[[#This Row],[Order Date]])</f>
        <v>2022</v>
      </c>
    </row>
    <row r="3732" spans="1:10" ht="14.25" customHeight="1" x14ac:dyDescent="0.3">
      <c r="A3732" s="1">
        <v>44892</v>
      </c>
      <c r="B3732" s="2" t="s">
        <v>254</v>
      </c>
      <c r="C3732" s="2" t="s">
        <v>21</v>
      </c>
      <c r="D3732" s="2" t="s">
        <v>28</v>
      </c>
      <c r="E3732" s="2" t="s">
        <v>34</v>
      </c>
      <c r="F3732" s="2">
        <v>107.97</v>
      </c>
      <c r="G3732" s="2">
        <v>3</v>
      </c>
      <c r="H3732" s="2">
        <v>22.67</v>
      </c>
      <c r="I3732" t="str">
        <f t="shared" si="58"/>
        <v>Nov</v>
      </c>
      <c r="J3732">
        <f>YEAR(datas[[#This Row],[Order Date]])</f>
        <v>2022</v>
      </c>
    </row>
    <row r="3733" spans="1:10" ht="14.25" customHeight="1" x14ac:dyDescent="0.3">
      <c r="A3733" s="1">
        <v>44892</v>
      </c>
      <c r="B3733" s="2" t="s">
        <v>254</v>
      </c>
      <c r="C3733" s="2" t="s">
        <v>21</v>
      </c>
      <c r="D3733" s="2" t="s">
        <v>10</v>
      </c>
      <c r="E3733" s="2" t="s">
        <v>11</v>
      </c>
      <c r="F3733" s="2">
        <v>113.82</v>
      </c>
      <c r="G3733" s="2">
        <v>3</v>
      </c>
      <c r="H3733" s="2">
        <v>53.5</v>
      </c>
      <c r="I3733" t="str">
        <f t="shared" si="58"/>
        <v>Nov</v>
      </c>
      <c r="J3733">
        <f>YEAR(datas[[#This Row],[Order Date]])</f>
        <v>2022</v>
      </c>
    </row>
    <row r="3734" spans="1:10" ht="14.25" customHeight="1" x14ac:dyDescent="0.3">
      <c r="A3734" s="1">
        <v>44892</v>
      </c>
      <c r="B3734" s="2" t="s">
        <v>540</v>
      </c>
      <c r="C3734" s="2" t="s">
        <v>18</v>
      </c>
      <c r="D3734" s="2" t="s">
        <v>28</v>
      </c>
      <c r="E3734" s="2" t="s">
        <v>29</v>
      </c>
      <c r="F3734" s="2">
        <v>748.75</v>
      </c>
      <c r="G3734" s="2">
        <v>8</v>
      </c>
      <c r="H3734" s="2">
        <v>-162.22999999999999</v>
      </c>
      <c r="I3734" t="str">
        <f t="shared" si="58"/>
        <v>Nov</v>
      </c>
      <c r="J3734">
        <f>YEAR(datas[[#This Row],[Order Date]])</f>
        <v>2022</v>
      </c>
    </row>
    <row r="3735" spans="1:10" ht="14.25" customHeight="1" x14ac:dyDescent="0.3">
      <c r="A3735" s="1">
        <v>44892</v>
      </c>
      <c r="B3735" s="2" t="s">
        <v>408</v>
      </c>
      <c r="C3735" s="2" t="s">
        <v>181</v>
      </c>
      <c r="D3735" s="2" t="s">
        <v>10</v>
      </c>
      <c r="E3735" s="2" t="s">
        <v>11</v>
      </c>
      <c r="F3735" s="2">
        <v>40.08</v>
      </c>
      <c r="G3735" s="2">
        <v>6</v>
      </c>
      <c r="H3735" s="2">
        <v>19.239999999999998</v>
      </c>
      <c r="I3735" t="str">
        <f t="shared" si="58"/>
        <v>Nov</v>
      </c>
      <c r="J3735">
        <f>YEAR(datas[[#This Row],[Order Date]])</f>
        <v>2022</v>
      </c>
    </row>
    <row r="3736" spans="1:10" ht="14.25" customHeight="1" x14ac:dyDescent="0.3">
      <c r="A3736" s="1">
        <v>44892</v>
      </c>
      <c r="B3736" s="2" t="s">
        <v>408</v>
      </c>
      <c r="C3736" s="2" t="s">
        <v>181</v>
      </c>
      <c r="D3736" s="2" t="s">
        <v>10</v>
      </c>
      <c r="E3736" s="2" t="s">
        <v>11</v>
      </c>
      <c r="F3736" s="2">
        <v>59.94</v>
      </c>
      <c r="G3736" s="2">
        <v>3</v>
      </c>
      <c r="H3736" s="2">
        <v>28.17</v>
      </c>
      <c r="I3736" t="str">
        <f t="shared" si="58"/>
        <v>Nov</v>
      </c>
      <c r="J3736">
        <f>YEAR(datas[[#This Row],[Order Date]])</f>
        <v>2022</v>
      </c>
    </row>
    <row r="3737" spans="1:10" ht="14.25" customHeight="1" x14ac:dyDescent="0.3">
      <c r="A3737" s="1">
        <v>44892</v>
      </c>
      <c r="B3737" s="2" t="s">
        <v>408</v>
      </c>
      <c r="C3737" s="2" t="s">
        <v>181</v>
      </c>
      <c r="D3737" s="2" t="s">
        <v>28</v>
      </c>
      <c r="E3737" s="2" t="s">
        <v>34</v>
      </c>
      <c r="F3737" s="2">
        <v>259.98</v>
      </c>
      <c r="G3737" s="2">
        <v>2</v>
      </c>
      <c r="H3737" s="2">
        <v>88.39</v>
      </c>
      <c r="I3737" t="str">
        <f t="shared" si="58"/>
        <v>Nov</v>
      </c>
      <c r="J3737">
        <f>YEAR(datas[[#This Row],[Order Date]])</f>
        <v>2022</v>
      </c>
    </row>
    <row r="3738" spans="1:10" ht="14.25" customHeight="1" x14ac:dyDescent="0.3">
      <c r="A3738" s="1">
        <v>44892</v>
      </c>
      <c r="B3738" s="2" t="s">
        <v>408</v>
      </c>
      <c r="C3738" s="2" t="s">
        <v>181</v>
      </c>
      <c r="D3738" s="2" t="s">
        <v>26</v>
      </c>
      <c r="E3738" s="2" t="s">
        <v>45</v>
      </c>
      <c r="F3738" s="2">
        <v>170.98</v>
      </c>
      <c r="G3738" s="2">
        <v>1</v>
      </c>
      <c r="H3738" s="2">
        <v>32.49</v>
      </c>
      <c r="I3738" t="str">
        <f t="shared" si="58"/>
        <v>Nov</v>
      </c>
      <c r="J3738">
        <f>YEAR(datas[[#This Row],[Order Date]])</f>
        <v>2022</v>
      </c>
    </row>
    <row r="3739" spans="1:10" ht="14.25" customHeight="1" x14ac:dyDescent="0.3">
      <c r="A3739" s="1">
        <v>44892</v>
      </c>
      <c r="B3739" s="2" t="s">
        <v>408</v>
      </c>
      <c r="C3739" s="2" t="s">
        <v>181</v>
      </c>
      <c r="D3739" s="2" t="s">
        <v>26</v>
      </c>
      <c r="E3739" s="2" t="s">
        <v>32</v>
      </c>
      <c r="F3739" s="2">
        <v>38.97</v>
      </c>
      <c r="G3739" s="2">
        <v>3</v>
      </c>
      <c r="H3739" s="2">
        <v>4.68</v>
      </c>
      <c r="I3739" t="str">
        <f t="shared" si="58"/>
        <v>Nov</v>
      </c>
      <c r="J3739">
        <f>YEAR(datas[[#This Row],[Order Date]])</f>
        <v>2022</v>
      </c>
    </row>
    <row r="3740" spans="1:10" ht="14.25" customHeight="1" x14ac:dyDescent="0.3">
      <c r="A3740" s="1">
        <v>44892</v>
      </c>
      <c r="B3740" s="2" t="s">
        <v>408</v>
      </c>
      <c r="C3740" s="2" t="s">
        <v>181</v>
      </c>
      <c r="D3740" s="2" t="s">
        <v>10</v>
      </c>
      <c r="E3740" s="2" t="s">
        <v>11</v>
      </c>
      <c r="F3740" s="2">
        <v>154.9</v>
      </c>
      <c r="G3740" s="2">
        <v>5</v>
      </c>
      <c r="H3740" s="2">
        <v>69.709999999999994</v>
      </c>
      <c r="I3740" t="str">
        <f t="shared" si="58"/>
        <v>Nov</v>
      </c>
      <c r="J3740">
        <f>YEAR(datas[[#This Row],[Order Date]])</f>
        <v>2022</v>
      </c>
    </row>
    <row r="3741" spans="1:10" ht="14.25" customHeight="1" x14ac:dyDescent="0.3">
      <c r="A3741" s="1">
        <v>44892</v>
      </c>
      <c r="B3741" s="2" t="s">
        <v>408</v>
      </c>
      <c r="C3741" s="2" t="s">
        <v>181</v>
      </c>
      <c r="D3741" s="2" t="s">
        <v>26</v>
      </c>
      <c r="E3741" s="2" t="s">
        <v>73</v>
      </c>
      <c r="F3741" s="2">
        <v>446.07</v>
      </c>
      <c r="G3741" s="2">
        <v>4</v>
      </c>
      <c r="H3741" s="2">
        <v>0</v>
      </c>
      <c r="I3741" t="str">
        <f t="shared" si="58"/>
        <v>Nov</v>
      </c>
      <c r="J3741">
        <f>YEAR(datas[[#This Row],[Order Date]])</f>
        <v>2022</v>
      </c>
    </row>
    <row r="3742" spans="1:10" ht="14.25" customHeight="1" x14ac:dyDescent="0.3">
      <c r="A3742" s="1">
        <v>44893</v>
      </c>
      <c r="B3742" s="2" t="s">
        <v>769</v>
      </c>
      <c r="C3742" s="2" t="s">
        <v>13</v>
      </c>
      <c r="D3742" s="2" t="s">
        <v>26</v>
      </c>
      <c r="E3742" s="2" t="s">
        <v>32</v>
      </c>
      <c r="F3742" s="2">
        <v>12.13</v>
      </c>
      <c r="G3742" s="2">
        <v>9</v>
      </c>
      <c r="H3742" s="2">
        <v>-8.49</v>
      </c>
      <c r="I3742" t="str">
        <f t="shared" si="58"/>
        <v>Nov</v>
      </c>
      <c r="J3742">
        <f>YEAR(datas[[#This Row],[Order Date]])</f>
        <v>2022</v>
      </c>
    </row>
    <row r="3743" spans="1:10" ht="14.25" customHeight="1" x14ac:dyDescent="0.3">
      <c r="A3743" s="1">
        <v>44893</v>
      </c>
      <c r="B3743" s="2" t="s">
        <v>769</v>
      </c>
      <c r="C3743" s="2" t="s">
        <v>13</v>
      </c>
      <c r="D3743" s="2" t="s">
        <v>10</v>
      </c>
      <c r="E3743" s="2" t="s">
        <v>15</v>
      </c>
      <c r="F3743" s="2">
        <v>82.37</v>
      </c>
      <c r="G3743" s="2">
        <v>2</v>
      </c>
      <c r="H3743" s="2">
        <v>-19.559999999999999</v>
      </c>
      <c r="I3743" t="str">
        <f t="shared" si="58"/>
        <v>Nov</v>
      </c>
      <c r="J3743">
        <f>YEAR(datas[[#This Row],[Order Date]])</f>
        <v>2022</v>
      </c>
    </row>
    <row r="3744" spans="1:10" ht="14.25" customHeight="1" x14ac:dyDescent="0.3">
      <c r="A3744" s="1">
        <v>44893</v>
      </c>
      <c r="B3744" s="2" t="s">
        <v>769</v>
      </c>
      <c r="C3744" s="2" t="s">
        <v>13</v>
      </c>
      <c r="D3744" s="2" t="s">
        <v>10</v>
      </c>
      <c r="E3744" s="2" t="s">
        <v>15</v>
      </c>
      <c r="F3744" s="2">
        <v>53.92</v>
      </c>
      <c r="G3744" s="2">
        <v>5</v>
      </c>
      <c r="H3744" s="2">
        <v>4.04</v>
      </c>
      <c r="I3744" t="str">
        <f t="shared" si="58"/>
        <v>Nov</v>
      </c>
      <c r="J3744">
        <f>YEAR(datas[[#This Row],[Order Date]])</f>
        <v>2022</v>
      </c>
    </row>
    <row r="3745" spans="1:10" ht="14.25" customHeight="1" x14ac:dyDescent="0.3">
      <c r="A3745" s="1">
        <v>44893</v>
      </c>
      <c r="B3745" s="2" t="s">
        <v>769</v>
      </c>
      <c r="C3745" s="2" t="s">
        <v>13</v>
      </c>
      <c r="D3745" s="2" t="s">
        <v>28</v>
      </c>
      <c r="E3745" s="2" t="s">
        <v>29</v>
      </c>
      <c r="F3745" s="2">
        <v>647.9</v>
      </c>
      <c r="G3745" s="2">
        <v>6</v>
      </c>
      <c r="H3745" s="2">
        <v>56.69</v>
      </c>
      <c r="I3745" t="str">
        <f t="shared" si="58"/>
        <v>Nov</v>
      </c>
      <c r="J3745">
        <f>YEAR(datas[[#This Row],[Order Date]])</f>
        <v>2022</v>
      </c>
    </row>
    <row r="3746" spans="1:10" ht="14.25" customHeight="1" x14ac:dyDescent="0.3">
      <c r="A3746" s="1">
        <v>44893</v>
      </c>
      <c r="B3746" s="2" t="s">
        <v>228</v>
      </c>
      <c r="C3746" s="2" t="s">
        <v>13</v>
      </c>
      <c r="D3746" s="2" t="s">
        <v>26</v>
      </c>
      <c r="E3746" s="2" t="s">
        <v>32</v>
      </c>
      <c r="F3746" s="2">
        <v>151.96</v>
      </c>
      <c r="G3746" s="2">
        <v>5</v>
      </c>
      <c r="H3746" s="2">
        <v>-182.35</v>
      </c>
      <c r="I3746" t="str">
        <f t="shared" si="58"/>
        <v>Nov</v>
      </c>
      <c r="J3746">
        <f>YEAR(datas[[#This Row],[Order Date]])</f>
        <v>2022</v>
      </c>
    </row>
    <row r="3747" spans="1:10" ht="14.25" customHeight="1" x14ac:dyDescent="0.3">
      <c r="A3747" s="1">
        <v>44893</v>
      </c>
      <c r="B3747" s="2" t="s">
        <v>791</v>
      </c>
      <c r="C3747" s="2" t="s">
        <v>75</v>
      </c>
      <c r="D3747" s="2" t="s">
        <v>26</v>
      </c>
      <c r="E3747" s="2" t="s">
        <v>32</v>
      </c>
      <c r="F3747" s="2">
        <v>322.58999999999997</v>
      </c>
      <c r="G3747" s="2">
        <v>3</v>
      </c>
      <c r="H3747" s="2">
        <v>64.52</v>
      </c>
      <c r="I3747" t="str">
        <f t="shared" si="58"/>
        <v>Nov</v>
      </c>
      <c r="J3747">
        <f>YEAR(datas[[#This Row],[Order Date]])</f>
        <v>2022</v>
      </c>
    </row>
    <row r="3748" spans="1:10" ht="14.25" customHeight="1" x14ac:dyDescent="0.3">
      <c r="A3748" s="1">
        <v>44893</v>
      </c>
      <c r="B3748" s="2" t="s">
        <v>298</v>
      </c>
      <c r="C3748" s="2" t="s">
        <v>75</v>
      </c>
      <c r="D3748" s="2" t="s">
        <v>26</v>
      </c>
      <c r="E3748" s="2" t="s">
        <v>32</v>
      </c>
      <c r="F3748" s="2">
        <v>68.16</v>
      </c>
      <c r="G3748" s="2">
        <v>3</v>
      </c>
      <c r="H3748" s="2">
        <v>27.95</v>
      </c>
      <c r="I3748" t="str">
        <f t="shared" si="58"/>
        <v>Nov</v>
      </c>
      <c r="J3748">
        <f>YEAR(datas[[#This Row],[Order Date]])</f>
        <v>2022</v>
      </c>
    </row>
    <row r="3749" spans="1:10" ht="14.25" customHeight="1" x14ac:dyDescent="0.3">
      <c r="A3749" s="1">
        <v>44893</v>
      </c>
      <c r="B3749" s="2" t="s">
        <v>298</v>
      </c>
      <c r="C3749" s="2" t="s">
        <v>75</v>
      </c>
      <c r="D3749" s="2" t="s">
        <v>10</v>
      </c>
      <c r="E3749" s="2" t="s">
        <v>41</v>
      </c>
      <c r="F3749" s="2">
        <v>62.24</v>
      </c>
      <c r="G3749" s="2">
        <v>8</v>
      </c>
      <c r="H3749" s="2">
        <v>29.25</v>
      </c>
      <c r="I3749" t="str">
        <f t="shared" si="58"/>
        <v>Nov</v>
      </c>
      <c r="J3749">
        <f>YEAR(datas[[#This Row],[Order Date]])</f>
        <v>2022</v>
      </c>
    </row>
    <row r="3750" spans="1:10" ht="14.25" customHeight="1" x14ac:dyDescent="0.3">
      <c r="A3750" s="1">
        <v>44893</v>
      </c>
      <c r="B3750" s="2" t="s">
        <v>509</v>
      </c>
      <c r="C3750" s="2" t="s">
        <v>9</v>
      </c>
      <c r="D3750" s="2" t="s">
        <v>10</v>
      </c>
      <c r="E3750" s="2" t="s">
        <v>11</v>
      </c>
      <c r="F3750" s="2">
        <v>335.52</v>
      </c>
      <c r="G3750" s="2">
        <v>4</v>
      </c>
      <c r="H3750" s="2">
        <v>117.43</v>
      </c>
      <c r="I3750" t="str">
        <f t="shared" si="58"/>
        <v>Nov</v>
      </c>
      <c r="J3750">
        <f>YEAR(datas[[#This Row],[Order Date]])</f>
        <v>2022</v>
      </c>
    </row>
    <row r="3751" spans="1:10" ht="14.25" customHeight="1" x14ac:dyDescent="0.3">
      <c r="A3751" s="1">
        <v>44893</v>
      </c>
      <c r="B3751" s="2" t="s">
        <v>486</v>
      </c>
      <c r="C3751" s="2" t="s">
        <v>167</v>
      </c>
      <c r="D3751" s="2" t="s">
        <v>10</v>
      </c>
      <c r="E3751" s="2" t="s">
        <v>19</v>
      </c>
      <c r="F3751" s="2">
        <v>8.2799999999999994</v>
      </c>
      <c r="G3751" s="2">
        <v>2</v>
      </c>
      <c r="H3751" s="2">
        <v>3.48</v>
      </c>
      <c r="I3751" t="str">
        <f t="shared" si="58"/>
        <v>Nov</v>
      </c>
      <c r="J3751">
        <f>YEAR(datas[[#This Row],[Order Date]])</f>
        <v>2022</v>
      </c>
    </row>
    <row r="3752" spans="1:10" ht="14.25" customHeight="1" x14ac:dyDescent="0.3">
      <c r="A3752" s="1">
        <v>44893</v>
      </c>
      <c r="B3752" s="2" t="s">
        <v>114</v>
      </c>
      <c r="C3752" s="2" t="s">
        <v>21</v>
      </c>
      <c r="D3752" s="2" t="s">
        <v>10</v>
      </c>
      <c r="E3752" s="2" t="s">
        <v>53</v>
      </c>
      <c r="F3752" s="2">
        <v>45.28</v>
      </c>
      <c r="G3752" s="2">
        <v>4</v>
      </c>
      <c r="H3752" s="2">
        <v>15.4</v>
      </c>
      <c r="I3752" t="str">
        <f t="shared" si="58"/>
        <v>Nov</v>
      </c>
      <c r="J3752">
        <f>YEAR(datas[[#This Row],[Order Date]])</f>
        <v>2022</v>
      </c>
    </row>
    <row r="3753" spans="1:10" ht="14.25" customHeight="1" x14ac:dyDescent="0.3">
      <c r="A3753" s="1">
        <v>44893</v>
      </c>
      <c r="B3753" s="2" t="s">
        <v>704</v>
      </c>
      <c r="C3753" s="2" t="s">
        <v>47</v>
      </c>
      <c r="D3753" s="2" t="s">
        <v>26</v>
      </c>
      <c r="E3753" s="2" t="s">
        <v>32</v>
      </c>
      <c r="F3753" s="2">
        <v>71.12</v>
      </c>
      <c r="G3753" s="2">
        <v>5</v>
      </c>
      <c r="H3753" s="2">
        <v>9.7799999999999994</v>
      </c>
      <c r="I3753" t="str">
        <f t="shared" si="58"/>
        <v>Nov</v>
      </c>
      <c r="J3753">
        <f>YEAR(datas[[#This Row],[Order Date]])</f>
        <v>2022</v>
      </c>
    </row>
    <row r="3754" spans="1:10" ht="14.25" customHeight="1" x14ac:dyDescent="0.3">
      <c r="A3754" s="1">
        <v>44893</v>
      </c>
      <c r="B3754" s="2" t="s">
        <v>704</v>
      </c>
      <c r="C3754" s="2" t="s">
        <v>47</v>
      </c>
      <c r="D3754" s="2" t="s">
        <v>10</v>
      </c>
      <c r="E3754" s="2" t="s">
        <v>30</v>
      </c>
      <c r="F3754" s="2">
        <v>3.01</v>
      </c>
      <c r="G3754" s="2">
        <v>2</v>
      </c>
      <c r="H3754" s="2">
        <v>0.56000000000000005</v>
      </c>
      <c r="I3754" t="str">
        <f t="shared" si="58"/>
        <v>Nov</v>
      </c>
      <c r="J3754">
        <f>YEAR(datas[[#This Row],[Order Date]])</f>
        <v>2022</v>
      </c>
    </row>
    <row r="3755" spans="1:10" ht="14.25" customHeight="1" x14ac:dyDescent="0.3">
      <c r="A3755" s="1">
        <v>44894</v>
      </c>
      <c r="B3755" s="2" t="s">
        <v>543</v>
      </c>
      <c r="C3755" s="2" t="s">
        <v>60</v>
      </c>
      <c r="D3755" s="2" t="s">
        <v>26</v>
      </c>
      <c r="E3755" s="2" t="s">
        <v>27</v>
      </c>
      <c r="F3755" s="2">
        <v>301.95999999999998</v>
      </c>
      <c r="G3755" s="2">
        <v>2</v>
      </c>
      <c r="H3755" s="2">
        <v>87.57</v>
      </c>
      <c r="I3755" t="str">
        <f t="shared" si="58"/>
        <v>Nov</v>
      </c>
      <c r="J3755">
        <f>YEAR(datas[[#This Row],[Order Date]])</f>
        <v>2022</v>
      </c>
    </row>
    <row r="3756" spans="1:10" ht="14.25" customHeight="1" x14ac:dyDescent="0.3">
      <c r="A3756" s="1">
        <v>44894</v>
      </c>
      <c r="B3756" s="2" t="s">
        <v>543</v>
      </c>
      <c r="C3756" s="2" t="s">
        <v>60</v>
      </c>
      <c r="D3756" s="2" t="s">
        <v>10</v>
      </c>
      <c r="E3756" s="2" t="s">
        <v>53</v>
      </c>
      <c r="F3756" s="2">
        <v>555.21</v>
      </c>
      <c r="G3756" s="2">
        <v>5</v>
      </c>
      <c r="H3756" s="2">
        <v>178.9</v>
      </c>
      <c r="I3756" t="str">
        <f t="shared" si="58"/>
        <v>Nov</v>
      </c>
      <c r="J3756">
        <f>YEAR(datas[[#This Row],[Order Date]])</f>
        <v>2022</v>
      </c>
    </row>
    <row r="3757" spans="1:10" ht="14.25" customHeight="1" x14ac:dyDescent="0.3">
      <c r="A3757" s="1">
        <v>44894</v>
      </c>
      <c r="B3757" s="2" t="s">
        <v>543</v>
      </c>
      <c r="C3757" s="2" t="s">
        <v>60</v>
      </c>
      <c r="D3757" s="2" t="s">
        <v>10</v>
      </c>
      <c r="E3757" s="2" t="s">
        <v>15</v>
      </c>
      <c r="F3757" s="2">
        <v>523.48</v>
      </c>
      <c r="G3757" s="2">
        <v>4</v>
      </c>
      <c r="H3757" s="2">
        <v>130.87</v>
      </c>
      <c r="I3757" t="str">
        <f t="shared" si="58"/>
        <v>Nov</v>
      </c>
      <c r="J3757">
        <f>YEAR(datas[[#This Row],[Order Date]])</f>
        <v>2022</v>
      </c>
    </row>
    <row r="3758" spans="1:10" ht="14.25" customHeight="1" x14ac:dyDescent="0.3">
      <c r="A3758" s="1">
        <v>44894</v>
      </c>
      <c r="B3758" s="2" t="s">
        <v>543</v>
      </c>
      <c r="C3758" s="2" t="s">
        <v>60</v>
      </c>
      <c r="D3758" s="2" t="s">
        <v>10</v>
      </c>
      <c r="E3758" s="2" t="s">
        <v>19</v>
      </c>
      <c r="F3758" s="2">
        <v>161.82</v>
      </c>
      <c r="G3758" s="2">
        <v>9</v>
      </c>
      <c r="H3758" s="2">
        <v>46.93</v>
      </c>
      <c r="I3758" t="str">
        <f t="shared" si="58"/>
        <v>Nov</v>
      </c>
      <c r="J3758">
        <f>YEAR(datas[[#This Row],[Order Date]])</f>
        <v>2022</v>
      </c>
    </row>
    <row r="3759" spans="1:10" ht="14.25" customHeight="1" x14ac:dyDescent="0.3">
      <c r="A3759" s="1">
        <v>44894</v>
      </c>
      <c r="B3759" s="2" t="s">
        <v>549</v>
      </c>
      <c r="C3759" s="2" t="s">
        <v>60</v>
      </c>
      <c r="D3759" s="2" t="s">
        <v>10</v>
      </c>
      <c r="E3759" s="2" t="s">
        <v>11</v>
      </c>
      <c r="F3759" s="2">
        <v>19.920000000000002</v>
      </c>
      <c r="G3759" s="2">
        <v>4</v>
      </c>
      <c r="H3759" s="2">
        <v>9.36</v>
      </c>
      <c r="I3759" t="str">
        <f t="shared" si="58"/>
        <v>Nov</v>
      </c>
      <c r="J3759">
        <f>YEAR(datas[[#This Row],[Order Date]])</f>
        <v>2022</v>
      </c>
    </row>
    <row r="3760" spans="1:10" ht="14.25" customHeight="1" x14ac:dyDescent="0.3">
      <c r="A3760" s="1">
        <v>44894</v>
      </c>
      <c r="B3760" s="2" t="s">
        <v>549</v>
      </c>
      <c r="C3760" s="2" t="s">
        <v>60</v>
      </c>
      <c r="D3760" s="2" t="s">
        <v>26</v>
      </c>
      <c r="E3760" s="2" t="s">
        <v>27</v>
      </c>
      <c r="F3760" s="2">
        <v>1106.9100000000001</v>
      </c>
      <c r="G3760" s="2">
        <v>9</v>
      </c>
      <c r="H3760" s="2">
        <v>121.76</v>
      </c>
      <c r="I3760" t="str">
        <f t="shared" si="58"/>
        <v>Nov</v>
      </c>
      <c r="J3760">
        <f>YEAR(datas[[#This Row],[Order Date]])</f>
        <v>2022</v>
      </c>
    </row>
    <row r="3761" spans="1:10" ht="14.25" customHeight="1" x14ac:dyDescent="0.3">
      <c r="A3761" s="1">
        <v>44894</v>
      </c>
      <c r="B3761" s="2" t="s">
        <v>702</v>
      </c>
      <c r="C3761" s="2" t="s">
        <v>9</v>
      </c>
      <c r="D3761" s="2" t="s">
        <v>28</v>
      </c>
      <c r="E3761" s="2" t="s">
        <v>34</v>
      </c>
      <c r="F3761" s="2">
        <v>21.48</v>
      </c>
      <c r="G3761" s="2">
        <v>3</v>
      </c>
      <c r="H3761" s="2">
        <v>-0.27</v>
      </c>
      <c r="I3761" t="str">
        <f t="shared" si="58"/>
        <v>Nov</v>
      </c>
      <c r="J3761">
        <f>YEAR(datas[[#This Row],[Order Date]])</f>
        <v>2022</v>
      </c>
    </row>
    <row r="3762" spans="1:10" ht="14.25" customHeight="1" x14ac:dyDescent="0.3">
      <c r="A3762" s="1">
        <v>44894</v>
      </c>
      <c r="B3762" s="2" t="s">
        <v>702</v>
      </c>
      <c r="C3762" s="2" t="s">
        <v>9</v>
      </c>
      <c r="D3762" s="2" t="s">
        <v>10</v>
      </c>
      <c r="E3762" s="2" t="s">
        <v>16</v>
      </c>
      <c r="F3762" s="2">
        <v>8.7799999999999994</v>
      </c>
      <c r="G3762" s="2">
        <v>4</v>
      </c>
      <c r="H3762" s="2">
        <v>-13.62</v>
      </c>
      <c r="I3762" t="str">
        <f t="shared" si="58"/>
        <v>Nov</v>
      </c>
      <c r="J3762">
        <f>YEAR(datas[[#This Row],[Order Date]])</f>
        <v>2022</v>
      </c>
    </row>
    <row r="3763" spans="1:10" ht="14.25" customHeight="1" x14ac:dyDescent="0.3">
      <c r="A3763" s="1">
        <v>44894</v>
      </c>
      <c r="B3763" s="2" t="s">
        <v>12</v>
      </c>
      <c r="C3763" s="2" t="s">
        <v>21</v>
      </c>
      <c r="D3763" s="2" t="s">
        <v>10</v>
      </c>
      <c r="E3763" s="2" t="s">
        <v>16</v>
      </c>
      <c r="F3763" s="2">
        <v>4.3</v>
      </c>
      <c r="G3763" s="2">
        <v>1</v>
      </c>
      <c r="H3763" s="2">
        <v>1.56</v>
      </c>
      <c r="I3763" t="str">
        <f t="shared" si="58"/>
        <v>Nov</v>
      </c>
      <c r="J3763">
        <f>YEAR(datas[[#This Row],[Order Date]])</f>
        <v>2022</v>
      </c>
    </row>
    <row r="3764" spans="1:10" ht="14.25" customHeight="1" x14ac:dyDescent="0.3">
      <c r="A3764" s="1">
        <v>44894</v>
      </c>
      <c r="B3764" s="2" t="s">
        <v>146</v>
      </c>
      <c r="C3764" s="2" t="s">
        <v>21</v>
      </c>
      <c r="D3764" s="2" t="s">
        <v>10</v>
      </c>
      <c r="E3764" s="2" t="s">
        <v>19</v>
      </c>
      <c r="F3764" s="2">
        <v>56.3</v>
      </c>
      <c r="G3764" s="2">
        <v>2</v>
      </c>
      <c r="H3764" s="2">
        <v>15.76</v>
      </c>
      <c r="I3764" t="str">
        <f t="shared" si="58"/>
        <v>Nov</v>
      </c>
      <c r="J3764">
        <f>YEAR(datas[[#This Row],[Order Date]])</f>
        <v>2022</v>
      </c>
    </row>
    <row r="3765" spans="1:10" ht="14.25" customHeight="1" x14ac:dyDescent="0.3">
      <c r="A3765" s="1">
        <v>44895</v>
      </c>
      <c r="B3765" s="2" t="s">
        <v>566</v>
      </c>
      <c r="C3765" s="2" t="s">
        <v>18</v>
      </c>
      <c r="D3765" s="2" t="s">
        <v>10</v>
      </c>
      <c r="E3765" s="2" t="s">
        <v>16</v>
      </c>
      <c r="F3765" s="2">
        <v>152.99</v>
      </c>
      <c r="G3765" s="2">
        <v>3</v>
      </c>
      <c r="H3765" s="2">
        <v>-122.39</v>
      </c>
      <c r="I3765" t="str">
        <f t="shared" si="58"/>
        <v>Nov</v>
      </c>
      <c r="J3765">
        <f>YEAR(datas[[#This Row],[Order Date]])</f>
        <v>2022</v>
      </c>
    </row>
    <row r="3766" spans="1:10" ht="14.25" customHeight="1" x14ac:dyDescent="0.3">
      <c r="A3766" s="1">
        <v>44895</v>
      </c>
      <c r="B3766" s="2" t="s">
        <v>566</v>
      </c>
      <c r="C3766" s="2" t="s">
        <v>18</v>
      </c>
      <c r="D3766" s="2" t="s">
        <v>10</v>
      </c>
      <c r="E3766" s="2" t="s">
        <v>30</v>
      </c>
      <c r="F3766" s="2">
        <v>10.58</v>
      </c>
      <c r="G3766" s="2">
        <v>7</v>
      </c>
      <c r="H3766" s="2">
        <v>-2.38</v>
      </c>
      <c r="I3766" t="str">
        <f t="shared" si="58"/>
        <v>Nov</v>
      </c>
      <c r="J3766">
        <f>YEAR(datas[[#This Row],[Order Date]])</f>
        <v>2022</v>
      </c>
    </row>
    <row r="3767" spans="1:10" ht="14.25" customHeight="1" x14ac:dyDescent="0.3">
      <c r="A3767" s="1">
        <v>44895</v>
      </c>
      <c r="B3767" s="2" t="s">
        <v>566</v>
      </c>
      <c r="C3767" s="2" t="s">
        <v>18</v>
      </c>
      <c r="D3767" s="2" t="s">
        <v>28</v>
      </c>
      <c r="E3767" s="2" t="s">
        <v>29</v>
      </c>
      <c r="F3767" s="2">
        <v>94.92</v>
      </c>
      <c r="G3767" s="2">
        <v>4</v>
      </c>
      <c r="H3767" s="2">
        <v>15.82</v>
      </c>
      <c r="I3767" t="str">
        <f t="shared" si="58"/>
        <v>Nov</v>
      </c>
      <c r="J3767">
        <f>YEAR(datas[[#This Row],[Order Date]])</f>
        <v>2022</v>
      </c>
    </row>
    <row r="3768" spans="1:10" ht="14.25" customHeight="1" x14ac:dyDescent="0.3">
      <c r="A3768" s="1">
        <v>44895</v>
      </c>
      <c r="B3768" s="2" t="s">
        <v>83</v>
      </c>
      <c r="C3768" s="2" t="s">
        <v>9</v>
      </c>
      <c r="D3768" s="2" t="s">
        <v>10</v>
      </c>
      <c r="E3768" s="2" t="s">
        <v>16</v>
      </c>
      <c r="F3768" s="2">
        <v>3.88</v>
      </c>
      <c r="G3768" s="2">
        <v>3</v>
      </c>
      <c r="H3768" s="2">
        <v>-5.82</v>
      </c>
      <c r="I3768" t="str">
        <f t="shared" si="58"/>
        <v>Nov</v>
      </c>
      <c r="J3768">
        <f>YEAR(datas[[#This Row],[Order Date]])</f>
        <v>2022</v>
      </c>
    </row>
    <row r="3769" spans="1:10" ht="14.25" customHeight="1" x14ac:dyDescent="0.3">
      <c r="A3769" s="1">
        <v>44895</v>
      </c>
      <c r="B3769" s="2" t="s">
        <v>216</v>
      </c>
      <c r="C3769" s="2" t="s">
        <v>25</v>
      </c>
      <c r="D3769" s="2" t="s">
        <v>10</v>
      </c>
      <c r="E3769" s="2" t="s">
        <v>41</v>
      </c>
      <c r="F3769" s="2">
        <v>17.48</v>
      </c>
      <c r="G3769" s="2">
        <v>2</v>
      </c>
      <c r="H3769" s="2">
        <v>8.2200000000000006</v>
      </c>
      <c r="I3769" t="str">
        <f t="shared" si="58"/>
        <v>Nov</v>
      </c>
      <c r="J3769">
        <f>YEAR(datas[[#This Row],[Order Date]])</f>
        <v>2022</v>
      </c>
    </row>
    <row r="3770" spans="1:10" ht="14.25" customHeight="1" x14ac:dyDescent="0.3">
      <c r="A3770" s="1">
        <v>44895</v>
      </c>
      <c r="B3770" s="2" t="s">
        <v>216</v>
      </c>
      <c r="C3770" s="2" t="s">
        <v>25</v>
      </c>
      <c r="D3770" s="2" t="s">
        <v>10</v>
      </c>
      <c r="E3770" s="2" t="s">
        <v>41</v>
      </c>
      <c r="F3770" s="2">
        <v>71.88</v>
      </c>
      <c r="G3770" s="2">
        <v>2</v>
      </c>
      <c r="H3770" s="2">
        <v>32.35</v>
      </c>
      <c r="I3770" t="str">
        <f t="shared" si="58"/>
        <v>Nov</v>
      </c>
      <c r="J3770">
        <f>YEAR(datas[[#This Row],[Order Date]])</f>
        <v>2022</v>
      </c>
    </row>
    <row r="3771" spans="1:10" ht="14.25" customHeight="1" x14ac:dyDescent="0.3">
      <c r="A3771" s="1">
        <v>44895</v>
      </c>
      <c r="B3771" s="2" t="s">
        <v>261</v>
      </c>
      <c r="C3771" s="2" t="s">
        <v>115</v>
      </c>
      <c r="D3771" s="2" t="s">
        <v>28</v>
      </c>
      <c r="E3771" s="2" t="s">
        <v>29</v>
      </c>
      <c r="F3771" s="2">
        <v>177.48</v>
      </c>
      <c r="G3771" s="2">
        <v>3</v>
      </c>
      <c r="H3771" s="2">
        <v>19.97</v>
      </c>
      <c r="I3771" t="str">
        <f t="shared" si="58"/>
        <v>Nov</v>
      </c>
      <c r="J3771">
        <f>YEAR(datas[[#This Row],[Order Date]])</f>
        <v>2022</v>
      </c>
    </row>
    <row r="3772" spans="1:10" ht="14.25" customHeight="1" x14ac:dyDescent="0.3">
      <c r="A3772" s="1">
        <v>44895</v>
      </c>
      <c r="B3772" s="2" t="s">
        <v>286</v>
      </c>
      <c r="C3772" s="2" t="s">
        <v>75</v>
      </c>
      <c r="D3772" s="2" t="s">
        <v>10</v>
      </c>
      <c r="E3772" s="2" t="s">
        <v>11</v>
      </c>
      <c r="F3772" s="2">
        <v>23.66</v>
      </c>
      <c r="G3772" s="2">
        <v>7</v>
      </c>
      <c r="H3772" s="2">
        <v>10.88</v>
      </c>
      <c r="I3772" t="str">
        <f t="shared" si="58"/>
        <v>Nov</v>
      </c>
      <c r="J3772">
        <f>YEAR(datas[[#This Row],[Order Date]])</f>
        <v>2022</v>
      </c>
    </row>
    <row r="3773" spans="1:10" ht="14.25" customHeight="1" x14ac:dyDescent="0.3">
      <c r="A3773" s="1">
        <v>44895</v>
      </c>
      <c r="B3773" s="2" t="s">
        <v>286</v>
      </c>
      <c r="C3773" s="2" t="s">
        <v>75</v>
      </c>
      <c r="D3773" s="2" t="s">
        <v>26</v>
      </c>
      <c r="E3773" s="2" t="s">
        <v>45</v>
      </c>
      <c r="F3773" s="2">
        <v>681.41</v>
      </c>
      <c r="G3773" s="2">
        <v>12</v>
      </c>
      <c r="H3773" s="2">
        <v>42.59</v>
      </c>
      <c r="I3773" t="str">
        <f t="shared" si="58"/>
        <v>Nov</v>
      </c>
      <c r="J3773">
        <f>YEAR(datas[[#This Row],[Order Date]])</f>
        <v>2022</v>
      </c>
    </row>
    <row r="3774" spans="1:10" ht="14.25" customHeight="1" x14ac:dyDescent="0.3">
      <c r="A3774" s="1">
        <v>44895</v>
      </c>
      <c r="B3774" s="2" t="s">
        <v>594</v>
      </c>
      <c r="C3774" s="2" t="s">
        <v>66</v>
      </c>
      <c r="D3774" s="2" t="s">
        <v>26</v>
      </c>
      <c r="E3774" s="2" t="s">
        <v>32</v>
      </c>
      <c r="F3774" s="2">
        <v>80.959999999999994</v>
      </c>
      <c r="G3774" s="2">
        <v>4</v>
      </c>
      <c r="H3774" s="2">
        <v>29.15</v>
      </c>
      <c r="I3774" t="str">
        <f t="shared" si="58"/>
        <v>Nov</v>
      </c>
      <c r="J3774">
        <f>YEAR(datas[[#This Row],[Order Date]])</f>
        <v>2022</v>
      </c>
    </row>
    <row r="3775" spans="1:10" ht="14.25" customHeight="1" x14ac:dyDescent="0.3">
      <c r="A3775" s="1">
        <v>44895</v>
      </c>
      <c r="B3775" s="2" t="s">
        <v>594</v>
      </c>
      <c r="C3775" s="2" t="s">
        <v>66</v>
      </c>
      <c r="D3775" s="2" t="s">
        <v>10</v>
      </c>
      <c r="E3775" s="2" t="s">
        <v>11</v>
      </c>
      <c r="F3775" s="2">
        <v>25.92</v>
      </c>
      <c r="G3775" s="2">
        <v>4</v>
      </c>
      <c r="H3775" s="2">
        <v>12.44</v>
      </c>
      <c r="I3775" t="str">
        <f t="shared" si="58"/>
        <v>Nov</v>
      </c>
      <c r="J3775">
        <f>YEAR(datas[[#This Row],[Order Date]])</f>
        <v>2022</v>
      </c>
    </row>
    <row r="3776" spans="1:10" ht="14.25" customHeight="1" x14ac:dyDescent="0.3">
      <c r="A3776" s="1">
        <v>44895</v>
      </c>
      <c r="B3776" s="2" t="s">
        <v>590</v>
      </c>
      <c r="C3776" s="2" t="s">
        <v>115</v>
      </c>
      <c r="D3776" s="2" t="s">
        <v>26</v>
      </c>
      <c r="E3776" s="2" t="s">
        <v>32</v>
      </c>
      <c r="F3776" s="2">
        <v>17.09</v>
      </c>
      <c r="G3776" s="2">
        <v>2</v>
      </c>
      <c r="H3776" s="2">
        <v>1.07</v>
      </c>
      <c r="I3776" t="str">
        <f t="shared" si="58"/>
        <v>Nov</v>
      </c>
      <c r="J3776">
        <f>YEAR(datas[[#This Row],[Order Date]])</f>
        <v>2022</v>
      </c>
    </row>
    <row r="3777" spans="1:10" ht="14.25" customHeight="1" x14ac:dyDescent="0.3">
      <c r="A3777" s="1">
        <v>44895</v>
      </c>
      <c r="B3777" s="2" t="s">
        <v>406</v>
      </c>
      <c r="C3777" s="2" t="s">
        <v>115</v>
      </c>
      <c r="D3777" s="2" t="s">
        <v>10</v>
      </c>
      <c r="E3777" s="2" t="s">
        <v>16</v>
      </c>
      <c r="F3777" s="2">
        <v>6.05</v>
      </c>
      <c r="G3777" s="2">
        <v>7</v>
      </c>
      <c r="H3777" s="2">
        <v>-4.2300000000000004</v>
      </c>
      <c r="I3777" t="str">
        <f t="shared" si="58"/>
        <v>Nov</v>
      </c>
      <c r="J3777">
        <f>YEAR(datas[[#This Row],[Order Date]])</f>
        <v>2022</v>
      </c>
    </row>
    <row r="3778" spans="1:10" ht="14.25" customHeight="1" x14ac:dyDescent="0.3">
      <c r="A3778" s="1">
        <v>44895</v>
      </c>
      <c r="B3778" s="2" t="s">
        <v>406</v>
      </c>
      <c r="C3778" s="2" t="s">
        <v>115</v>
      </c>
      <c r="D3778" s="2" t="s">
        <v>10</v>
      </c>
      <c r="E3778" s="2" t="s">
        <v>53</v>
      </c>
      <c r="F3778" s="2">
        <v>98.35</v>
      </c>
      <c r="G3778" s="2">
        <v>3</v>
      </c>
      <c r="H3778" s="2">
        <v>9.84</v>
      </c>
      <c r="I3778" t="str">
        <f t="shared" si="58"/>
        <v>Nov</v>
      </c>
      <c r="J3778">
        <f>YEAR(datas[[#This Row],[Order Date]])</f>
        <v>2022</v>
      </c>
    </row>
    <row r="3779" spans="1:10" ht="14.25" customHeight="1" x14ac:dyDescent="0.3">
      <c r="A3779" s="1">
        <v>44895</v>
      </c>
      <c r="B3779" s="2" t="s">
        <v>406</v>
      </c>
      <c r="C3779" s="2" t="s">
        <v>115</v>
      </c>
      <c r="D3779" s="2" t="s">
        <v>26</v>
      </c>
      <c r="E3779" s="2" t="s">
        <v>32</v>
      </c>
      <c r="F3779" s="2">
        <v>335.74</v>
      </c>
      <c r="G3779" s="2">
        <v>2</v>
      </c>
      <c r="H3779" s="2">
        <v>25.18</v>
      </c>
      <c r="I3779" t="str">
        <f t="shared" ref="I3779:I3842" si="59">TEXT(A3779,"mmm")</f>
        <v>Nov</v>
      </c>
      <c r="J3779">
        <f>YEAR(datas[[#This Row],[Order Date]])</f>
        <v>2022</v>
      </c>
    </row>
    <row r="3780" spans="1:10" ht="14.25" customHeight="1" x14ac:dyDescent="0.3">
      <c r="A3780" s="1">
        <v>44896</v>
      </c>
      <c r="B3780" s="2" t="s">
        <v>461</v>
      </c>
      <c r="C3780" s="2" t="s">
        <v>82</v>
      </c>
      <c r="D3780" s="2" t="s">
        <v>10</v>
      </c>
      <c r="E3780" s="2" t="s">
        <v>16</v>
      </c>
      <c r="F3780" s="2">
        <v>55.42</v>
      </c>
      <c r="G3780" s="2">
        <v>2</v>
      </c>
      <c r="H3780" s="2">
        <v>19.399999999999999</v>
      </c>
      <c r="I3780" t="str">
        <f t="shared" si="59"/>
        <v>Dec</v>
      </c>
      <c r="J3780">
        <f>YEAR(datas[[#This Row],[Order Date]])</f>
        <v>2022</v>
      </c>
    </row>
    <row r="3781" spans="1:10" ht="14.25" customHeight="1" x14ac:dyDescent="0.3">
      <c r="A3781" s="1">
        <v>44896</v>
      </c>
      <c r="B3781" s="2" t="s">
        <v>758</v>
      </c>
      <c r="C3781" s="2" t="s">
        <v>9</v>
      </c>
      <c r="D3781" s="2" t="s">
        <v>26</v>
      </c>
      <c r="E3781" s="2" t="s">
        <v>32</v>
      </c>
      <c r="F3781" s="2">
        <v>6.69</v>
      </c>
      <c r="G3781" s="2">
        <v>4</v>
      </c>
      <c r="H3781" s="2">
        <v>-4.01</v>
      </c>
      <c r="I3781" t="str">
        <f t="shared" si="59"/>
        <v>Dec</v>
      </c>
      <c r="J3781">
        <f>YEAR(datas[[#This Row],[Order Date]])</f>
        <v>2022</v>
      </c>
    </row>
    <row r="3782" spans="1:10" ht="14.25" customHeight="1" x14ac:dyDescent="0.3">
      <c r="A3782" s="1">
        <v>44896</v>
      </c>
      <c r="B3782" s="2" t="s">
        <v>229</v>
      </c>
      <c r="C3782" s="2" t="s">
        <v>82</v>
      </c>
      <c r="D3782" s="2" t="s">
        <v>10</v>
      </c>
      <c r="E3782" s="2" t="s">
        <v>19</v>
      </c>
      <c r="F3782" s="2">
        <v>13.9</v>
      </c>
      <c r="G3782" s="2">
        <v>5</v>
      </c>
      <c r="H3782" s="2">
        <v>5.56</v>
      </c>
      <c r="I3782" t="str">
        <f t="shared" si="59"/>
        <v>Dec</v>
      </c>
      <c r="J3782">
        <f>YEAR(datas[[#This Row],[Order Date]])</f>
        <v>2022</v>
      </c>
    </row>
    <row r="3783" spans="1:10" ht="14.25" customHeight="1" x14ac:dyDescent="0.3">
      <c r="A3783" s="1">
        <v>44896</v>
      </c>
      <c r="B3783" s="2" t="s">
        <v>506</v>
      </c>
      <c r="C3783" s="2" t="s">
        <v>36</v>
      </c>
      <c r="D3783" s="2" t="s">
        <v>10</v>
      </c>
      <c r="E3783" s="2" t="s">
        <v>15</v>
      </c>
      <c r="F3783" s="2">
        <v>61.68</v>
      </c>
      <c r="G3783" s="2">
        <v>4</v>
      </c>
      <c r="H3783" s="2">
        <v>16.649999999999999</v>
      </c>
      <c r="I3783" t="str">
        <f t="shared" si="59"/>
        <v>Dec</v>
      </c>
      <c r="J3783">
        <f>YEAR(datas[[#This Row],[Order Date]])</f>
        <v>2022</v>
      </c>
    </row>
    <row r="3784" spans="1:10" ht="14.25" customHeight="1" x14ac:dyDescent="0.3">
      <c r="A3784" s="1">
        <v>44896</v>
      </c>
      <c r="B3784" s="2" t="s">
        <v>506</v>
      </c>
      <c r="C3784" s="2" t="s">
        <v>36</v>
      </c>
      <c r="D3784" s="2" t="s">
        <v>10</v>
      </c>
      <c r="E3784" s="2" t="s">
        <v>16</v>
      </c>
      <c r="F3784" s="2">
        <v>63.96</v>
      </c>
      <c r="G3784" s="2">
        <v>4</v>
      </c>
      <c r="H3784" s="2">
        <v>30.7</v>
      </c>
      <c r="I3784" t="str">
        <f t="shared" si="59"/>
        <v>Dec</v>
      </c>
      <c r="J3784">
        <f>YEAR(datas[[#This Row],[Order Date]])</f>
        <v>2022</v>
      </c>
    </row>
    <row r="3785" spans="1:10" ht="14.25" customHeight="1" x14ac:dyDescent="0.3">
      <c r="A3785" s="1">
        <v>44896</v>
      </c>
      <c r="B3785" s="2" t="s">
        <v>653</v>
      </c>
      <c r="C3785" s="2" t="s">
        <v>82</v>
      </c>
      <c r="D3785" s="2" t="s">
        <v>26</v>
      </c>
      <c r="E3785" s="2" t="s">
        <v>27</v>
      </c>
      <c r="F3785" s="2">
        <v>2003.92</v>
      </c>
      <c r="G3785" s="2">
        <v>5</v>
      </c>
      <c r="H3785" s="2">
        <v>125.25</v>
      </c>
      <c r="I3785" t="str">
        <f t="shared" si="59"/>
        <v>Dec</v>
      </c>
      <c r="J3785">
        <f>YEAR(datas[[#This Row],[Order Date]])</f>
        <v>2022</v>
      </c>
    </row>
    <row r="3786" spans="1:10" ht="14.25" customHeight="1" x14ac:dyDescent="0.3">
      <c r="A3786" s="1">
        <v>44896</v>
      </c>
      <c r="B3786" s="2" t="s">
        <v>653</v>
      </c>
      <c r="C3786" s="2" t="s">
        <v>82</v>
      </c>
      <c r="D3786" s="2" t="s">
        <v>10</v>
      </c>
      <c r="E3786" s="2" t="s">
        <v>11</v>
      </c>
      <c r="F3786" s="2">
        <v>32.4</v>
      </c>
      <c r="G3786" s="2">
        <v>5</v>
      </c>
      <c r="H3786" s="2">
        <v>15.55</v>
      </c>
      <c r="I3786" t="str">
        <f t="shared" si="59"/>
        <v>Dec</v>
      </c>
      <c r="J3786">
        <f>YEAR(datas[[#This Row],[Order Date]])</f>
        <v>2022</v>
      </c>
    </row>
    <row r="3787" spans="1:10" ht="14.25" customHeight="1" x14ac:dyDescent="0.3">
      <c r="A3787" s="1">
        <v>44896</v>
      </c>
      <c r="B3787" s="2" t="s">
        <v>653</v>
      </c>
      <c r="C3787" s="2" t="s">
        <v>82</v>
      </c>
      <c r="D3787" s="2" t="s">
        <v>26</v>
      </c>
      <c r="E3787" s="2" t="s">
        <v>73</v>
      </c>
      <c r="F3787" s="2">
        <v>1913.4</v>
      </c>
      <c r="G3787" s="2">
        <v>9</v>
      </c>
      <c r="H3787" s="2">
        <v>401.81</v>
      </c>
      <c r="I3787" t="str">
        <f t="shared" si="59"/>
        <v>Dec</v>
      </c>
      <c r="J3787">
        <f>YEAR(datas[[#This Row],[Order Date]])</f>
        <v>2022</v>
      </c>
    </row>
    <row r="3788" spans="1:10" ht="14.25" customHeight="1" x14ac:dyDescent="0.3">
      <c r="A3788" s="1">
        <v>44896</v>
      </c>
      <c r="B3788" s="2" t="s">
        <v>653</v>
      </c>
      <c r="C3788" s="2" t="s">
        <v>82</v>
      </c>
      <c r="D3788" s="2" t="s">
        <v>10</v>
      </c>
      <c r="E3788" s="2" t="s">
        <v>15</v>
      </c>
      <c r="F3788" s="2">
        <v>146.72999999999999</v>
      </c>
      <c r="G3788" s="2">
        <v>3</v>
      </c>
      <c r="H3788" s="2">
        <v>2.93</v>
      </c>
      <c r="I3788" t="str">
        <f t="shared" si="59"/>
        <v>Dec</v>
      </c>
      <c r="J3788">
        <f>YEAR(datas[[#This Row],[Order Date]])</f>
        <v>2022</v>
      </c>
    </row>
    <row r="3789" spans="1:10" ht="14.25" customHeight="1" x14ac:dyDescent="0.3">
      <c r="A3789" s="1">
        <v>44896</v>
      </c>
      <c r="B3789" s="2" t="s">
        <v>653</v>
      </c>
      <c r="C3789" s="2" t="s">
        <v>82</v>
      </c>
      <c r="D3789" s="2" t="s">
        <v>10</v>
      </c>
      <c r="E3789" s="2" t="s">
        <v>11</v>
      </c>
      <c r="F3789" s="2">
        <v>114.2</v>
      </c>
      <c r="G3789" s="2">
        <v>5</v>
      </c>
      <c r="H3789" s="2">
        <v>52.53</v>
      </c>
      <c r="I3789" t="str">
        <f t="shared" si="59"/>
        <v>Dec</v>
      </c>
      <c r="J3789">
        <f>YEAR(datas[[#This Row],[Order Date]])</f>
        <v>2022</v>
      </c>
    </row>
    <row r="3790" spans="1:10" ht="14.25" customHeight="1" x14ac:dyDescent="0.3">
      <c r="A3790" s="1">
        <v>44896</v>
      </c>
      <c r="B3790" s="2" t="s">
        <v>679</v>
      </c>
      <c r="C3790" s="2" t="s">
        <v>21</v>
      </c>
      <c r="D3790" s="2" t="s">
        <v>26</v>
      </c>
      <c r="E3790" s="2" t="s">
        <v>27</v>
      </c>
      <c r="F3790" s="2">
        <v>2676.67</v>
      </c>
      <c r="G3790" s="2">
        <v>9</v>
      </c>
      <c r="H3790" s="2">
        <v>267.67</v>
      </c>
      <c r="I3790" t="str">
        <f t="shared" si="59"/>
        <v>Dec</v>
      </c>
      <c r="J3790">
        <f>YEAR(datas[[#This Row],[Order Date]])</f>
        <v>2022</v>
      </c>
    </row>
    <row r="3791" spans="1:10" ht="14.25" customHeight="1" x14ac:dyDescent="0.3">
      <c r="A3791" s="1">
        <v>44896</v>
      </c>
      <c r="B3791" s="2" t="s">
        <v>408</v>
      </c>
      <c r="C3791" s="2" t="s">
        <v>60</v>
      </c>
      <c r="D3791" s="2" t="s">
        <v>10</v>
      </c>
      <c r="E3791" s="2" t="s">
        <v>11</v>
      </c>
      <c r="F3791" s="2">
        <v>19.440000000000001</v>
      </c>
      <c r="G3791" s="2">
        <v>3</v>
      </c>
      <c r="H3791" s="2">
        <v>9.33</v>
      </c>
      <c r="I3791" t="str">
        <f t="shared" si="59"/>
        <v>Dec</v>
      </c>
      <c r="J3791">
        <f>YEAR(datas[[#This Row],[Order Date]])</f>
        <v>2022</v>
      </c>
    </row>
    <row r="3792" spans="1:10" ht="14.25" customHeight="1" x14ac:dyDescent="0.3">
      <c r="A3792" s="1">
        <v>44896</v>
      </c>
      <c r="B3792" s="2" t="s">
        <v>408</v>
      </c>
      <c r="C3792" s="2" t="s">
        <v>60</v>
      </c>
      <c r="D3792" s="2" t="s">
        <v>10</v>
      </c>
      <c r="E3792" s="2" t="s">
        <v>19</v>
      </c>
      <c r="F3792" s="2">
        <v>3.64</v>
      </c>
      <c r="G3792" s="2">
        <v>2</v>
      </c>
      <c r="H3792" s="2">
        <v>1.02</v>
      </c>
      <c r="I3792" t="str">
        <f t="shared" si="59"/>
        <v>Dec</v>
      </c>
      <c r="J3792">
        <f>YEAR(datas[[#This Row],[Order Date]])</f>
        <v>2022</v>
      </c>
    </row>
    <row r="3793" spans="1:10" ht="14.25" customHeight="1" x14ac:dyDescent="0.3">
      <c r="A3793" s="1">
        <v>44896</v>
      </c>
      <c r="B3793" s="2" t="s">
        <v>408</v>
      </c>
      <c r="C3793" s="2" t="s">
        <v>60</v>
      </c>
      <c r="D3793" s="2" t="s">
        <v>10</v>
      </c>
      <c r="E3793" s="2" t="s">
        <v>11</v>
      </c>
      <c r="F3793" s="2">
        <v>18.54</v>
      </c>
      <c r="G3793" s="2">
        <v>2</v>
      </c>
      <c r="H3793" s="2">
        <v>8.7100000000000009</v>
      </c>
      <c r="I3793" t="str">
        <f t="shared" si="59"/>
        <v>Dec</v>
      </c>
      <c r="J3793">
        <f>YEAR(datas[[#This Row],[Order Date]])</f>
        <v>2022</v>
      </c>
    </row>
    <row r="3794" spans="1:10" ht="14.25" customHeight="1" x14ac:dyDescent="0.3">
      <c r="A3794" s="1">
        <v>44898</v>
      </c>
      <c r="B3794" s="2" t="s">
        <v>131</v>
      </c>
      <c r="C3794" s="2" t="s">
        <v>18</v>
      </c>
      <c r="D3794" s="2" t="s">
        <v>28</v>
      </c>
      <c r="E3794" s="2" t="s">
        <v>136</v>
      </c>
      <c r="F3794" s="2">
        <v>482.34</v>
      </c>
      <c r="G3794" s="2">
        <v>4</v>
      </c>
      <c r="H3794" s="2">
        <v>-337.64</v>
      </c>
      <c r="I3794" t="str">
        <f t="shared" si="59"/>
        <v>Dec</v>
      </c>
      <c r="J3794">
        <f>YEAR(datas[[#This Row],[Order Date]])</f>
        <v>2022</v>
      </c>
    </row>
    <row r="3795" spans="1:10" ht="14.25" customHeight="1" x14ac:dyDescent="0.3">
      <c r="A3795" s="1">
        <v>44898</v>
      </c>
      <c r="B3795" s="2" t="s">
        <v>131</v>
      </c>
      <c r="C3795" s="2" t="s">
        <v>18</v>
      </c>
      <c r="D3795" s="2" t="s">
        <v>26</v>
      </c>
      <c r="E3795" s="2" t="s">
        <v>32</v>
      </c>
      <c r="F3795" s="2">
        <v>2.96</v>
      </c>
      <c r="G3795" s="2">
        <v>1</v>
      </c>
      <c r="H3795" s="2">
        <v>0.78</v>
      </c>
      <c r="I3795" t="str">
        <f t="shared" si="59"/>
        <v>Dec</v>
      </c>
      <c r="J3795">
        <f>YEAR(datas[[#This Row],[Order Date]])</f>
        <v>2022</v>
      </c>
    </row>
    <row r="3796" spans="1:10" ht="14.25" customHeight="1" x14ac:dyDescent="0.3">
      <c r="A3796" s="1">
        <v>44898</v>
      </c>
      <c r="B3796" s="2" t="s">
        <v>173</v>
      </c>
      <c r="C3796" s="2" t="s">
        <v>75</v>
      </c>
      <c r="D3796" s="2" t="s">
        <v>10</v>
      </c>
      <c r="E3796" s="2" t="s">
        <v>16</v>
      </c>
      <c r="F3796" s="2">
        <v>10.75</v>
      </c>
      <c r="G3796" s="2">
        <v>4</v>
      </c>
      <c r="H3796" s="2">
        <v>3.36</v>
      </c>
      <c r="I3796" t="str">
        <f t="shared" si="59"/>
        <v>Dec</v>
      </c>
      <c r="J3796">
        <f>YEAR(datas[[#This Row],[Order Date]])</f>
        <v>2022</v>
      </c>
    </row>
    <row r="3797" spans="1:10" ht="14.25" customHeight="1" x14ac:dyDescent="0.3">
      <c r="A3797" s="1">
        <v>44898</v>
      </c>
      <c r="B3797" s="2" t="s">
        <v>383</v>
      </c>
      <c r="C3797" s="2" t="s">
        <v>18</v>
      </c>
      <c r="D3797" s="2" t="s">
        <v>10</v>
      </c>
      <c r="E3797" s="2" t="s">
        <v>11</v>
      </c>
      <c r="F3797" s="2">
        <v>16.45</v>
      </c>
      <c r="G3797" s="2">
        <v>2</v>
      </c>
      <c r="H3797" s="2">
        <v>5.55</v>
      </c>
      <c r="I3797" t="str">
        <f t="shared" si="59"/>
        <v>Dec</v>
      </c>
      <c r="J3797">
        <f>YEAR(datas[[#This Row],[Order Date]])</f>
        <v>2022</v>
      </c>
    </row>
    <row r="3798" spans="1:10" ht="14.25" customHeight="1" x14ac:dyDescent="0.3">
      <c r="A3798" s="1">
        <v>44898</v>
      </c>
      <c r="B3798" s="2" t="s">
        <v>383</v>
      </c>
      <c r="C3798" s="2" t="s">
        <v>18</v>
      </c>
      <c r="D3798" s="2" t="s">
        <v>28</v>
      </c>
      <c r="E3798" s="2" t="s">
        <v>34</v>
      </c>
      <c r="F3798" s="2">
        <v>36.78</v>
      </c>
      <c r="G3798" s="2">
        <v>2</v>
      </c>
      <c r="H3798" s="2">
        <v>10.58</v>
      </c>
      <c r="I3798" t="str">
        <f t="shared" si="59"/>
        <v>Dec</v>
      </c>
      <c r="J3798">
        <f>YEAR(datas[[#This Row],[Order Date]])</f>
        <v>2022</v>
      </c>
    </row>
    <row r="3799" spans="1:10" ht="14.25" customHeight="1" x14ac:dyDescent="0.3">
      <c r="A3799" s="1">
        <v>44898</v>
      </c>
      <c r="B3799" s="2" t="s">
        <v>616</v>
      </c>
      <c r="C3799" s="2" t="s">
        <v>75</v>
      </c>
      <c r="D3799" s="2" t="s">
        <v>10</v>
      </c>
      <c r="E3799" s="2" t="s">
        <v>16</v>
      </c>
      <c r="F3799" s="2">
        <v>590.35</v>
      </c>
      <c r="G3799" s="2">
        <v>6</v>
      </c>
      <c r="H3799" s="2">
        <v>206.62</v>
      </c>
      <c r="I3799" t="str">
        <f t="shared" si="59"/>
        <v>Dec</v>
      </c>
      <c r="J3799">
        <f>YEAR(datas[[#This Row],[Order Date]])</f>
        <v>2022</v>
      </c>
    </row>
    <row r="3800" spans="1:10" ht="14.25" customHeight="1" x14ac:dyDescent="0.3">
      <c r="A3800" s="1">
        <v>44898</v>
      </c>
      <c r="B3800" s="2" t="s">
        <v>589</v>
      </c>
      <c r="C3800" s="2" t="s">
        <v>21</v>
      </c>
      <c r="D3800" s="2" t="s">
        <v>26</v>
      </c>
      <c r="E3800" s="2" t="s">
        <v>45</v>
      </c>
      <c r="F3800" s="2">
        <v>359.5</v>
      </c>
      <c r="G3800" s="2">
        <v>3</v>
      </c>
      <c r="H3800" s="2">
        <v>-29.61</v>
      </c>
      <c r="I3800" t="str">
        <f t="shared" si="59"/>
        <v>Dec</v>
      </c>
      <c r="J3800">
        <f>YEAR(datas[[#This Row],[Order Date]])</f>
        <v>2022</v>
      </c>
    </row>
    <row r="3801" spans="1:10" ht="14.25" customHeight="1" x14ac:dyDescent="0.3">
      <c r="A3801" s="1">
        <v>44898</v>
      </c>
      <c r="B3801" s="2" t="s">
        <v>490</v>
      </c>
      <c r="C3801" s="2" t="s">
        <v>115</v>
      </c>
      <c r="D3801" s="2" t="s">
        <v>26</v>
      </c>
      <c r="E3801" s="2" t="s">
        <v>32</v>
      </c>
      <c r="F3801" s="2">
        <v>77.95</v>
      </c>
      <c r="G3801" s="2">
        <v>3</v>
      </c>
      <c r="H3801" s="2">
        <v>12.67</v>
      </c>
      <c r="I3801" t="str">
        <f t="shared" si="59"/>
        <v>Dec</v>
      </c>
      <c r="J3801">
        <f>YEAR(datas[[#This Row],[Order Date]])</f>
        <v>2022</v>
      </c>
    </row>
    <row r="3802" spans="1:10" ht="14.25" customHeight="1" x14ac:dyDescent="0.3">
      <c r="A3802" s="1">
        <v>44898</v>
      </c>
      <c r="B3802" s="2" t="s">
        <v>490</v>
      </c>
      <c r="C3802" s="2" t="s">
        <v>115</v>
      </c>
      <c r="D3802" s="2" t="s">
        <v>10</v>
      </c>
      <c r="E3802" s="2" t="s">
        <v>16</v>
      </c>
      <c r="F3802" s="2">
        <v>95.97</v>
      </c>
      <c r="G3802" s="2">
        <v>5</v>
      </c>
      <c r="H3802" s="2">
        <v>-73.58</v>
      </c>
      <c r="I3802" t="str">
        <f t="shared" si="59"/>
        <v>Dec</v>
      </c>
      <c r="J3802">
        <f>YEAR(datas[[#This Row],[Order Date]])</f>
        <v>2022</v>
      </c>
    </row>
    <row r="3803" spans="1:10" ht="14.25" customHeight="1" x14ac:dyDescent="0.3">
      <c r="A3803" s="1">
        <v>44898</v>
      </c>
      <c r="B3803" s="2" t="s">
        <v>490</v>
      </c>
      <c r="C3803" s="2" t="s">
        <v>115</v>
      </c>
      <c r="D3803" s="2" t="s">
        <v>28</v>
      </c>
      <c r="E3803" s="2" t="s">
        <v>29</v>
      </c>
      <c r="F3803" s="2">
        <v>105.58</v>
      </c>
      <c r="G3803" s="2">
        <v>2</v>
      </c>
      <c r="H3803" s="2">
        <v>9.24</v>
      </c>
      <c r="I3803" t="str">
        <f t="shared" si="59"/>
        <v>Dec</v>
      </c>
      <c r="J3803">
        <f>YEAR(datas[[#This Row],[Order Date]])</f>
        <v>2022</v>
      </c>
    </row>
    <row r="3804" spans="1:10" ht="14.25" customHeight="1" x14ac:dyDescent="0.3">
      <c r="A3804" s="1">
        <v>44898</v>
      </c>
      <c r="B3804" s="2" t="s">
        <v>490</v>
      </c>
      <c r="C3804" s="2" t="s">
        <v>115</v>
      </c>
      <c r="D3804" s="2" t="s">
        <v>10</v>
      </c>
      <c r="E3804" s="2" t="s">
        <v>19</v>
      </c>
      <c r="F3804" s="2">
        <v>9.34</v>
      </c>
      <c r="G3804" s="2">
        <v>2</v>
      </c>
      <c r="H3804" s="2">
        <v>1.17</v>
      </c>
      <c r="I3804" t="str">
        <f t="shared" si="59"/>
        <v>Dec</v>
      </c>
      <c r="J3804">
        <f>YEAR(datas[[#This Row],[Order Date]])</f>
        <v>2022</v>
      </c>
    </row>
    <row r="3805" spans="1:10" ht="14.25" customHeight="1" x14ac:dyDescent="0.3">
      <c r="A3805" s="1">
        <v>44898</v>
      </c>
      <c r="B3805" s="2" t="s">
        <v>253</v>
      </c>
      <c r="C3805" s="2" t="s">
        <v>278</v>
      </c>
      <c r="D3805" s="2" t="s">
        <v>10</v>
      </c>
      <c r="E3805" s="2" t="s">
        <v>11</v>
      </c>
      <c r="F3805" s="2">
        <v>184.66</v>
      </c>
      <c r="G3805" s="2">
        <v>7</v>
      </c>
      <c r="H3805" s="2">
        <v>84.94</v>
      </c>
      <c r="I3805" t="str">
        <f t="shared" si="59"/>
        <v>Dec</v>
      </c>
      <c r="J3805">
        <f>YEAR(datas[[#This Row],[Order Date]])</f>
        <v>2022</v>
      </c>
    </row>
    <row r="3806" spans="1:10" ht="14.25" customHeight="1" x14ac:dyDescent="0.3">
      <c r="A3806" s="1">
        <v>44899</v>
      </c>
      <c r="B3806" s="2" t="s">
        <v>792</v>
      </c>
      <c r="C3806" s="2" t="s">
        <v>64</v>
      </c>
      <c r="D3806" s="2" t="s">
        <v>10</v>
      </c>
      <c r="E3806" s="2" t="s">
        <v>16</v>
      </c>
      <c r="F3806" s="2">
        <v>8.23</v>
      </c>
      <c r="G3806" s="2">
        <v>3</v>
      </c>
      <c r="H3806" s="2">
        <v>-6.03</v>
      </c>
      <c r="I3806" t="str">
        <f t="shared" si="59"/>
        <v>Dec</v>
      </c>
      <c r="J3806">
        <f>YEAR(datas[[#This Row],[Order Date]])</f>
        <v>2022</v>
      </c>
    </row>
    <row r="3807" spans="1:10" ht="14.25" customHeight="1" x14ac:dyDescent="0.3">
      <c r="A3807" s="1">
        <v>44899</v>
      </c>
      <c r="B3807" s="2" t="s">
        <v>776</v>
      </c>
      <c r="C3807" s="2" t="s">
        <v>75</v>
      </c>
      <c r="D3807" s="2" t="s">
        <v>26</v>
      </c>
      <c r="E3807" s="2" t="s">
        <v>32</v>
      </c>
      <c r="F3807" s="2">
        <v>28.44</v>
      </c>
      <c r="G3807" s="2">
        <v>3</v>
      </c>
      <c r="H3807" s="2">
        <v>11.38</v>
      </c>
      <c r="I3807" t="str">
        <f t="shared" si="59"/>
        <v>Dec</v>
      </c>
      <c r="J3807">
        <f>YEAR(datas[[#This Row],[Order Date]])</f>
        <v>2022</v>
      </c>
    </row>
    <row r="3808" spans="1:10" ht="14.25" customHeight="1" x14ac:dyDescent="0.3">
      <c r="A3808" s="1">
        <v>44899</v>
      </c>
      <c r="B3808" s="2" t="s">
        <v>776</v>
      </c>
      <c r="C3808" s="2" t="s">
        <v>75</v>
      </c>
      <c r="D3808" s="2" t="s">
        <v>26</v>
      </c>
      <c r="E3808" s="2" t="s">
        <v>27</v>
      </c>
      <c r="F3808" s="2">
        <v>364.41</v>
      </c>
      <c r="G3808" s="2">
        <v>5</v>
      </c>
      <c r="H3808" s="2">
        <v>8.1</v>
      </c>
      <c r="I3808" t="str">
        <f t="shared" si="59"/>
        <v>Dec</v>
      </c>
      <c r="J3808">
        <f>YEAR(datas[[#This Row],[Order Date]])</f>
        <v>2022</v>
      </c>
    </row>
    <row r="3809" spans="1:10" ht="14.25" customHeight="1" x14ac:dyDescent="0.3">
      <c r="A3809" s="1">
        <v>44899</v>
      </c>
      <c r="B3809" s="2" t="s">
        <v>776</v>
      </c>
      <c r="C3809" s="2" t="s">
        <v>75</v>
      </c>
      <c r="D3809" s="2" t="s">
        <v>28</v>
      </c>
      <c r="E3809" s="2" t="s">
        <v>29</v>
      </c>
      <c r="F3809" s="2">
        <v>39.96</v>
      </c>
      <c r="G3809" s="2">
        <v>4</v>
      </c>
      <c r="H3809" s="2">
        <v>10.39</v>
      </c>
      <c r="I3809" t="str">
        <f t="shared" si="59"/>
        <v>Dec</v>
      </c>
      <c r="J3809">
        <f>YEAR(datas[[#This Row],[Order Date]])</f>
        <v>2022</v>
      </c>
    </row>
    <row r="3810" spans="1:10" ht="14.25" customHeight="1" x14ac:dyDescent="0.3">
      <c r="A3810" s="1">
        <v>44899</v>
      </c>
      <c r="B3810" s="2" t="s">
        <v>776</v>
      </c>
      <c r="C3810" s="2" t="s">
        <v>75</v>
      </c>
      <c r="D3810" s="2" t="s">
        <v>26</v>
      </c>
      <c r="E3810" s="2" t="s">
        <v>27</v>
      </c>
      <c r="F3810" s="2">
        <v>361.76</v>
      </c>
      <c r="G3810" s="2">
        <v>2</v>
      </c>
      <c r="H3810" s="2">
        <v>68.33</v>
      </c>
      <c r="I3810" t="str">
        <f t="shared" si="59"/>
        <v>Dec</v>
      </c>
      <c r="J3810">
        <f>YEAR(datas[[#This Row],[Order Date]])</f>
        <v>2022</v>
      </c>
    </row>
    <row r="3811" spans="1:10" ht="14.25" customHeight="1" x14ac:dyDescent="0.3">
      <c r="A3811" s="1">
        <v>44899</v>
      </c>
      <c r="B3811" s="2" t="s">
        <v>459</v>
      </c>
      <c r="C3811" s="2" t="s">
        <v>75</v>
      </c>
      <c r="D3811" s="2" t="s">
        <v>10</v>
      </c>
      <c r="E3811" s="2" t="s">
        <v>41</v>
      </c>
      <c r="F3811" s="2">
        <v>17.940000000000001</v>
      </c>
      <c r="G3811" s="2">
        <v>3</v>
      </c>
      <c r="H3811" s="2">
        <v>8.7899999999999991</v>
      </c>
      <c r="I3811" t="str">
        <f t="shared" si="59"/>
        <v>Dec</v>
      </c>
      <c r="J3811">
        <f>YEAR(datas[[#This Row],[Order Date]])</f>
        <v>2022</v>
      </c>
    </row>
    <row r="3812" spans="1:10" ht="14.25" customHeight="1" x14ac:dyDescent="0.3">
      <c r="A3812" s="1">
        <v>44899</v>
      </c>
      <c r="B3812" s="2" t="s">
        <v>459</v>
      </c>
      <c r="C3812" s="2" t="s">
        <v>75</v>
      </c>
      <c r="D3812" s="2" t="s">
        <v>26</v>
      </c>
      <c r="E3812" s="2" t="s">
        <v>27</v>
      </c>
      <c r="F3812" s="2">
        <v>384.17</v>
      </c>
      <c r="G3812" s="2">
        <v>7</v>
      </c>
      <c r="H3812" s="2">
        <v>29.88</v>
      </c>
      <c r="I3812" t="str">
        <f t="shared" si="59"/>
        <v>Dec</v>
      </c>
      <c r="J3812">
        <f>YEAR(datas[[#This Row],[Order Date]])</f>
        <v>2022</v>
      </c>
    </row>
    <row r="3813" spans="1:10" ht="14.25" customHeight="1" x14ac:dyDescent="0.3">
      <c r="A3813" s="1">
        <v>44899</v>
      </c>
      <c r="B3813" s="2" t="s">
        <v>459</v>
      </c>
      <c r="C3813" s="2" t="s">
        <v>75</v>
      </c>
      <c r="D3813" s="2" t="s">
        <v>28</v>
      </c>
      <c r="E3813" s="2" t="s">
        <v>29</v>
      </c>
      <c r="F3813" s="2">
        <v>1799.75</v>
      </c>
      <c r="G3813" s="2">
        <v>5</v>
      </c>
      <c r="H3813" s="2">
        <v>539.92999999999995</v>
      </c>
      <c r="I3813" t="str">
        <f t="shared" si="59"/>
        <v>Dec</v>
      </c>
      <c r="J3813">
        <f>YEAR(datas[[#This Row],[Order Date]])</f>
        <v>2022</v>
      </c>
    </row>
    <row r="3814" spans="1:10" ht="14.25" customHeight="1" x14ac:dyDescent="0.3">
      <c r="A3814" s="1">
        <v>44899</v>
      </c>
      <c r="B3814" s="2" t="s">
        <v>347</v>
      </c>
      <c r="C3814" s="2" t="s">
        <v>91</v>
      </c>
      <c r="D3814" s="2" t="s">
        <v>10</v>
      </c>
      <c r="E3814" s="2" t="s">
        <v>11</v>
      </c>
      <c r="F3814" s="2">
        <v>85.96</v>
      </c>
      <c r="G3814" s="2">
        <v>7</v>
      </c>
      <c r="H3814" s="2">
        <v>40.4</v>
      </c>
      <c r="I3814" t="str">
        <f t="shared" si="59"/>
        <v>Dec</v>
      </c>
      <c r="J3814">
        <f>YEAR(datas[[#This Row],[Order Date]])</f>
        <v>2022</v>
      </c>
    </row>
    <row r="3815" spans="1:10" ht="14.25" customHeight="1" x14ac:dyDescent="0.3">
      <c r="A3815" s="1">
        <v>44899</v>
      </c>
      <c r="B3815" s="2" t="s">
        <v>717</v>
      </c>
      <c r="C3815" s="2" t="s">
        <v>62</v>
      </c>
      <c r="D3815" s="2" t="s">
        <v>10</v>
      </c>
      <c r="E3815" s="2" t="s">
        <v>16</v>
      </c>
      <c r="F3815" s="2">
        <v>1598.06</v>
      </c>
      <c r="G3815" s="2">
        <v>7</v>
      </c>
      <c r="H3815" s="2">
        <v>-1065.3699999999999</v>
      </c>
      <c r="I3815" t="str">
        <f t="shared" si="59"/>
        <v>Dec</v>
      </c>
      <c r="J3815">
        <f>YEAR(datas[[#This Row],[Order Date]])</f>
        <v>2022</v>
      </c>
    </row>
    <row r="3816" spans="1:10" ht="14.25" customHeight="1" x14ac:dyDescent="0.3">
      <c r="A3816" s="1">
        <v>44899</v>
      </c>
      <c r="B3816" s="2" t="s">
        <v>717</v>
      </c>
      <c r="C3816" s="2" t="s">
        <v>62</v>
      </c>
      <c r="D3816" s="2" t="s">
        <v>10</v>
      </c>
      <c r="E3816" s="2" t="s">
        <v>19</v>
      </c>
      <c r="F3816" s="2">
        <v>36.96</v>
      </c>
      <c r="G3816" s="2">
        <v>4</v>
      </c>
      <c r="H3816" s="2">
        <v>12.01</v>
      </c>
      <c r="I3816" t="str">
        <f t="shared" si="59"/>
        <v>Dec</v>
      </c>
      <c r="J3816">
        <f>YEAR(datas[[#This Row],[Order Date]])</f>
        <v>2022</v>
      </c>
    </row>
    <row r="3817" spans="1:10" ht="14.25" customHeight="1" x14ac:dyDescent="0.3">
      <c r="A3817" s="1">
        <v>44899</v>
      </c>
      <c r="B3817" s="2" t="s">
        <v>380</v>
      </c>
      <c r="C3817" s="2" t="s">
        <v>21</v>
      </c>
      <c r="D3817" s="2" t="s">
        <v>10</v>
      </c>
      <c r="E3817" s="2" t="s">
        <v>41</v>
      </c>
      <c r="F3817" s="2">
        <v>271.44</v>
      </c>
      <c r="G3817" s="2">
        <v>3</v>
      </c>
      <c r="H3817" s="2">
        <v>122.15</v>
      </c>
      <c r="I3817" t="str">
        <f t="shared" si="59"/>
        <v>Dec</v>
      </c>
      <c r="J3817">
        <f>YEAR(datas[[#This Row],[Order Date]])</f>
        <v>2022</v>
      </c>
    </row>
    <row r="3818" spans="1:10" ht="14.25" customHeight="1" x14ac:dyDescent="0.3">
      <c r="A3818" s="1">
        <v>44899</v>
      </c>
      <c r="B3818" s="2" t="s">
        <v>380</v>
      </c>
      <c r="C3818" s="2" t="s">
        <v>21</v>
      </c>
      <c r="D3818" s="2" t="s">
        <v>28</v>
      </c>
      <c r="E3818" s="2" t="s">
        <v>29</v>
      </c>
      <c r="F3818" s="2">
        <v>110.35</v>
      </c>
      <c r="G3818" s="2">
        <v>3</v>
      </c>
      <c r="H3818" s="2">
        <v>8.2799999999999994</v>
      </c>
      <c r="I3818" t="str">
        <f t="shared" si="59"/>
        <v>Dec</v>
      </c>
      <c r="J3818">
        <f>YEAR(datas[[#This Row],[Order Date]])</f>
        <v>2022</v>
      </c>
    </row>
    <row r="3819" spans="1:10" ht="14.25" customHeight="1" x14ac:dyDescent="0.3">
      <c r="A3819" s="1">
        <v>44899</v>
      </c>
      <c r="B3819" s="2" t="s">
        <v>380</v>
      </c>
      <c r="C3819" s="2" t="s">
        <v>21</v>
      </c>
      <c r="D3819" s="2" t="s">
        <v>26</v>
      </c>
      <c r="E3819" s="2" t="s">
        <v>32</v>
      </c>
      <c r="F3819" s="2">
        <v>36.4</v>
      </c>
      <c r="G3819" s="2">
        <v>5</v>
      </c>
      <c r="H3819" s="2">
        <v>13.83</v>
      </c>
      <c r="I3819" t="str">
        <f t="shared" si="59"/>
        <v>Dec</v>
      </c>
      <c r="J3819">
        <f>YEAR(datas[[#This Row],[Order Date]])</f>
        <v>2022</v>
      </c>
    </row>
    <row r="3820" spans="1:10" ht="14.25" customHeight="1" x14ac:dyDescent="0.3">
      <c r="A3820" s="1">
        <v>44899</v>
      </c>
      <c r="B3820" s="2" t="s">
        <v>573</v>
      </c>
      <c r="C3820" s="2" t="s">
        <v>21</v>
      </c>
      <c r="D3820" s="2" t="s">
        <v>10</v>
      </c>
      <c r="E3820" s="2" t="s">
        <v>19</v>
      </c>
      <c r="F3820" s="2">
        <v>16.899999999999999</v>
      </c>
      <c r="G3820" s="2">
        <v>5</v>
      </c>
      <c r="H3820" s="2">
        <v>6.25</v>
      </c>
      <c r="I3820" t="str">
        <f t="shared" si="59"/>
        <v>Dec</v>
      </c>
      <c r="J3820">
        <f>YEAR(datas[[#This Row],[Order Date]])</f>
        <v>2022</v>
      </c>
    </row>
    <row r="3821" spans="1:10" ht="14.25" customHeight="1" x14ac:dyDescent="0.3">
      <c r="A3821" s="1">
        <v>44899</v>
      </c>
      <c r="B3821" s="2" t="s">
        <v>573</v>
      </c>
      <c r="C3821" s="2" t="s">
        <v>21</v>
      </c>
      <c r="D3821" s="2" t="s">
        <v>26</v>
      </c>
      <c r="E3821" s="2" t="s">
        <v>32</v>
      </c>
      <c r="F3821" s="2">
        <v>25.08</v>
      </c>
      <c r="G3821" s="2">
        <v>6</v>
      </c>
      <c r="H3821" s="2">
        <v>9.0299999999999994</v>
      </c>
      <c r="I3821" t="str">
        <f t="shared" si="59"/>
        <v>Dec</v>
      </c>
      <c r="J3821">
        <f>YEAR(datas[[#This Row],[Order Date]])</f>
        <v>2022</v>
      </c>
    </row>
    <row r="3822" spans="1:10" ht="14.25" customHeight="1" x14ac:dyDescent="0.3">
      <c r="A3822" s="1">
        <v>44900</v>
      </c>
      <c r="B3822" s="2" t="s">
        <v>793</v>
      </c>
      <c r="C3822" s="2" t="s">
        <v>21</v>
      </c>
      <c r="D3822" s="2" t="s">
        <v>26</v>
      </c>
      <c r="E3822" s="2" t="s">
        <v>32</v>
      </c>
      <c r="F3822" s="2">
        <v>44.46</v>
      </c>
      <c r="G3822" s="2">
        <v>2</v>
      </c>
      <c r="H3822" s="2">
        <v>14.67</v>
      </c>
      <c r="I3822" t="str">
        <f t="shared" si="59"/>
        <v>Dec</v>
      </c>
      <c r="J3822">
        <f>YEAR(datas[[#This Row],[Order Date]])</f>
        <v>2022</v>
      </c>
    </row>
    <row r="3823" spans="1:10" ht="14.25" customHeight="1" x14ac:dyDescent="0.3">
      <c r="A3823" s="1">
        <v>44900</v>
      </c>
      <c r="B3823" s="2" t="s">
        <v>376</v>
      </c>
      <c r="C3823" s="2" t="s">
        <v>18</v>
      </c>
      <c r="D3823" s="2" t="s">
        <v>28</v>
      </c>
      <c r="E3823" s="2" t="s">
        <v>34</v>
      </c>
      <c r="F3823" s="2">
        <v>47.98</v>
      </c>
      <c r="G3823" s="2">
        <v>2</v>
      </c>
      <c r="H3823" s="2">
        <v>0.6</v>
      </c>
      <c r="I3823" t="str">
        <f t="shared" si="59"/>
        <v>Dec</v>
      </c>
      <c r="J3823">
        <f>YEAR(datas[[#This Row],[Order Date]])</f>
        <v>2022</v>
      </c>
    </row>
    <row r="3824" spans="1:10" ht="14.25" customHeight="1" x14ac:dyDescent="0.3">
      <c r="A3824" s="1">
        <v>44900</v>
      </c>
      <c r="B3824" s="2" t="s">
        <v>376</v>
      </c>
      <c r="C3824" s="2" t="s">
        <v>18</v>
      </c>
      <c r="D3824" s="2" t="s">
        <v>10</v>
      </c>
      <c r="E3824" s="2" t="s">
        <v>16</v>
      </c>
      <c r="F3824" s="2">
        <v>26.06</v>
      </c>
      <c r="G3824" s="2">
        <v>6</v>
      </c>
      <c r="H3824" s="2">
        <v>-19.98</v>
      </c>
      <c r="I3824" t="str">
        <f t="shared" si="59"/>
        <v>Dec</v>
      </c>
      <c r="J3824">
        <f>YEAR(datas[[#This Row],[Order Date]])</f>
        <v>2022</v>
      </c>
    </row>
    <row r="3825" spans="1:10" ht="14.25" customHeight="1" x14ac:dyDescent="0.3">
      <c r="A3825" s="1">
        <v>44900</v>
      </c>
      <c r="B3825" s="2" t="s">
        <v>794</v>
      </c>
      <c r="C3825" s="2" t="s">
        <v>60</v>
      </c>
      <c r="D3825" s="2" t="s">
        <v>10</v>
      </c>
      <c r="E3825" s="2" t="s">
        <v>16</v>
      </c>
      <c r="F3825" s="2">
        <v>152.80000000000001</v>
      </c>
      <c r="G3825" s="2">
        <v>5</v>
      </c>
      <c r="H3825" s="2">
        <v>76.400000000000006</v>
      </c>
      <c r="I3825" t="str">
        <f t="shared" si="59"/>
        <v>Dec</v>
      </c>
      <c r="J3825">
        <f>YEAR(datas[[#This Row],[Order Date]])</f>
        <v>2022</v>
      </c>
    </row>
    <row r="3826" spans="1:10" ht="14.25" customHeight="1" x14ac:dyDescent="0.3">
      <c r="A3826" s="1">
        <v>44900</v>
      </c>
      <c r="B3826" s="2" t="s">
        <v>464</v>
      </c>
      <c r="C3826" s="2" t="s">
        <v>9</v>
      </c>
      <c r="D3826" s="2" t="s">
        <v>10</v>
      </c>
      <c r="E3826" s="2" t="s">
        <v>19</v>
      </c>
      <c r="F3826" s="2">
        <v>45.04</v>
      </c>
      <c r="G3826" s="2">
        <v>2</v>
      </c>
      <c r="H3826" s="2">
        <v>4.5</v>
      </c>
      <c r="I3826" t="str">
        <f t="shared" si="59"/>
        <v>Dec</v>
      </c>
      <c r="J3826">
        <f>YEAR(datas[[#This Row],[Order Date]])</f>
        <v>2022</v>
      </c>
    </row>
    <row r="3827" spans="1:10" ht="14.25" customHeight="1" x14ac:dyDescent="0.3">
      <c r="A3827" s="1">
        <v>44900</v>
      </c>
      <c r="B3827" s="2" t="s">
        <v>520</v>
      </c>
      <c r="C3827" s="2" t="s">
        <v>75</v>
      </c>
      <c r="D3827" s="2" t="s">
        <v>10</v>
      </c>
      <c r="E3827" s="2" t="s">
        <v>16</v>
      </c>
      <c r="F3827" s="2">
        <v>232.4</v>
      </c>
      <c r="G3827" s="2">
        <v>5</v>
      </c>
      <c r="H3827" s="2">
        <v>78.44</v>
      </c>
      <c r="I3827" t="str">
        <f t="shared" si="59"/>
        <v>Dec</v>
      </c>
      <c r="J3827">
        <f>YEAR(datas[[#This Row],[Order Date]])</f>
        <v>2022</v>
      </c>
    </row>
    <row r="3828" spans="1:10" ht="14.25" customHeight="1" x14ac:dyDescent="0.3">
      <c r="A3828" s="1">
        <v>44900</v>
      </c>
      <c r="B3828" s="2" t="s">
        <v>520</v>
      </c>
      <c r="C3828" s="2" t="s">
        <v>75</v>
      </c>
      <c r="D3828" s="2" t="s">
        <v>26</v>
      </c>
      <c r="E3828" s="2" t="s">
        <v>27</v>
      </c>
      <c r="F3828" s="2">
        <v>164.65</v>
      </c>
      <c r="G3828" s="2">
        <v>3</v>
      </c>
      <c r="H3828" s="2">
        <v>12.81</v>
      </c>
      <c r="I3828" t="str">
        <f t="shared" si="59"/>
        <v>Dec</v>
      </c>
      <c r="J3828">
        <f>YEAR(datas[[#This Row],[Order Date]])</f>
        <v>2022</v>
      </c>
    </row>
    <row r="3829" spans="1:10" ht="14.25" customHeight="1" x14ac:dyDescent="0.3">
      <c r="A3829" s="1">
        <v>44900</v>
      </c>
      <c r="B3829" s="2" t="s">
        <v>520</v>
      </c>
      <c r="C3829" s="2" t="s">
        <v>75</v>
      </c>
      <c r="D3829" s="2" t="s">
        <v>10</v>
      </c>
      <c r="E3829" s="2" t="s">
        <v>11</v>
      </c>
      <c r="F3829" s="2">
        <v>22.68</v>
      </c>
      <c r="G3829" s="2">
        <v>2</v>
      </c>
      <c r="H3829" s="2">
        <v>11.11</v>
      </c>
      <c r="I3829" t="str">
        <f t="shared" si="59"/>
        <v>Dec</v>
      </c>
      <c r="J3829">
        <f>YEAR(datas[[#This Row],[Order Date]])</f>
        <v>2022</v>
      </c>
    </row>
    <row r="3830" spans="1:10" ht="14.25" customHeight="1" x14ac:dyDescent="0.3">
      <c r="A3830" s="1">
        <v>44900</v>
      </c>
      <c r="B3830" s="2" t="s">
        <v>233</v>
      </c>
      <c r="C3830" s="2" t="s">
        <v>21</v>
      </c>
      <c r="D3830" s="2" t="s">
        <v>28</v>
      </c>
      <c r="E3830" s="2" t="s">
        <v>34</v>
      </c>
      <c r="F3830" s="2">
        <v>39</v>
      </c>
      <c r="G3830" s="2">
        <v>3</v>
      </c>
      <c r="H3830" s="2">
        <v>17.55</v>
      </c>
      <c r="I3830" t="str">
        <f t="shared" si="59"/>
        <v>Dec</v>
      </c>
      <c r="J3830">
        <f>YEAR(datas[[#This Row],[Order Date]])</f>
        <v>2022</v>
      </c>
    </row>
    <row r="3831" spans="1:10" ht="14.25" customHeight="1" x14ac:dyDescent="0.3">
      <c r="A3831" s="1">
        <v>44900</v>
      </c>
      <c r="B3831" s="2" t="s">
        <v>233</v>
      </c>
      <c r="C3831" s="2" t="s">
        <v>21</v>
      </c>
      <c r="D3831" s="2" t="s">
        <v>10</v>
      </c>
      <c r="E3831" s="2" t="s">
        <v>14</v>
      </c>
      <c r="F3831" s="2">
        <v>12.6</v>
      </c>
      <c r="G3831" s="2">
        <v>4</v>
      </c>
      <c r="H3831" s="2">
        <v>6.05</v>
      </c>
      <c r="I3831" t="str">
        <f t="shared" si="59"/>
        <v>Dec</v>
      </c>
      <c r="J3831">
        <f>YEAR(datas[[#This Row],[Order Date]])</f>
        <v>2022</v>
      </c>
    </row>
    <row r="3832" spans="1:10" ht="14.25" customHeight="1" x14ac:dyDescent="0.3">
      <c r="A3832" s="1">
        <v>44900</v>
      </c>
      <c r="B3832" s="2" t="s">
        <v>460</v>
      </c>
      <c r="C3832" s="2" t="s">
        <v>62</v>
      </c>
      <c r="D3832" s="2" t="s">
        <v>26</v>
      </c>
      <c r="E3832" s="2" t="s">
        <v>27</v>
      </c>
      <c r="F3832" s="2">
        <v>97.42</v>
      </c>
      <c r="G3832" s="2">
        <v>2</v>
      </c>
      <c r="H3832" s="2">
        <v>10.96</v>
      </c>
      <c r="I3832" t="str">
        <f t="shared" si="59"/>
        <v>Dec</v>
      </c>
      <c r="J3832">
        <f>YEAR(datas[[#This Row],[Order Date]])</f>
        <v>2022</v>
      </c>
    </row>
    <row r="3833" spans="1:10" ht="14.25" customHeight="1" x14ac:dyDescent="0.3">
      <c r="A3833" s="1">
        <v>44900</v>
      </c>
      <c r="B3833" s="2" t="s">
        <v>632</v>
      </c>
      <c r="C3833" s="2" t="s">
        <v>13</v>
      </c>
      <c r="D3833" s="2" t="s">
        <v>10</v>
      </c>
      <c r="E3833" s="2" t="s">
        <v>41</v>
      </c>
      <c r="F3833" s="2">
        <v>12.22</v>
      </c>
      <c r="G3833" s="2">
        <v>2</v>
      </c>
      <c r="H3833" s="2">
        <v>4.43</v>
      </c>
      <c r="I3833" t="str">
        <f t="shared" si="59"/>
        <v>Dec</v>
      </c>
      <c r="J3833">
        <f>YEAR(datas[[#This Row],[Order Date]])</f>
        <v>2022</v>
      </c>
    </row>
    <row r="3834" spans="1:10" ht="14.25" customHeight="1" x14ac:dyDescent="0.3">
      <c r="A3834" s="1">
        <v>44901</v>
      </c>
      <c r="B3834" s="2" t="s">
        <v>267</v>
      </c>
      <c r="C3834" s="2" t="s">
        <v>21</v>
      </c>
      <c r="D3834" s="2" t="s">
        <v>10</v>
      </c>
      <c r="E3834" s="2" t="s">
        <v>19</v>
      </c>
      <c r="F3834" s="2">
        <v>120.15</v>
      </c>
      <c r="G3834" s="2">
        <v>9</v>
      </c>
      <c r="H3834" s="2">
        <v>33.64</v>
      </c>
      <c r="I3834" t="str">
        <f t="shared" si="59"/>
        <v>Dec</v>
      </c>
      <c r="J3834">
        <f>YEAR(datas[[#This Row],[Order Date]])</f>
        <v>2022</v>
      </c>
    </row>
    <row r="3835" spans="1:10" ht="14.25" customHeight="1" x14ac:dyDescent="0.3">
      <c r="A3835" s="1">
        <v>44901</v>
      </c>
      <c r="B3835" s="2" t="s">
        <v>267</v>
      </c>
      <c r="C3835" s="2" t="s">
        <v>21</v>
      </c>
      <c r="D3835" s="2" t="s">
        <v>28</v>
      </c>
      <c r="E3835" s="2" t="s">
        <v>29</v>
      </c>
      <c r="F3835" s="2">
        <v>219.18</v>
      </c>
      <c r="G3835" s="2">
        <v>2</v>
      </c>
      <c r="H3835" s="2">
        <v>19.18</v>
      </c>
      <c r="I3835" t="str">
        <f t="shared" si="59"/>
        <v>Dec</v>
      </c>
      <c r="J3835">
        <f>YEAR(datas[[#This Row],[Order Date]])</f>
        <v>2022</v>
      </c>
    </row>
    <row r="3836" spans="1:10" ht="14.25" customHeight="1" x14ac:dyDescent="0.3">
      <c r="A3836" s="1">
        <v>44901</v>
      </c>
      <c r="B3836" s="2" t="s">
        <v>755</v>
      </c>
      <c r="C3836" s="2" t="s">
        <v>9</v>
      </c>
      <c r="D3836" s="2" t="s">
        <v>10</v>
      </c>
      <c r="E3836" s="2" t="s">
        <v>16</v>
      </c>
      <c r="F3836" s="2">
        <v>2.77</v>
      </c>
      <c r="G3836" s="2">
        <v>7</v>
      </c>
      <c r="H3836" s="2">
        <v>-4.8499999999999996</v>
      </c>
      <c r="I3836" t="str">
        <f t="shared" si="59"/>
        <v>Dec</v>
      </c>
      <c r="J3836">
        <f>YEAR(datas[[#This Row],[Order Date]])</f>
        <v>2022</v>
      </c>
    </row>
    <row r="3837" spans="1:10" ht="14.25" customHeight="1" x14ac:dyDescent="0.3">
      <c r="A3837" s="1">
        <v>44901</v>
      </c>
      <c r="B3837" s="2" t="s">
        <v>325</v>
      </c>
      <c r="C3837" s="2" t="s">
        <v>55</v>
      </c>
      <c r="D3837" s="2" t="s">
        <v>26</v>
      </c>
      <c r="E3837" s="2" t="s">
        <v>32</v>
      </c>
      <c r="F3837" s="2">
        <v>206.11</v>
      </c>
      <c r="G3837" s="2">
        <v>6</v>
      </c>
      <c r="H3837" s="2">
        <v>48.95</v>
      </c>
      <c r="I3837" t="str">
        <f t="shared" si="59"/>
        <v>Dec</v>
      </c>
      <c r="J3837">
        <f>YEAR(datas[[#This Row],[Order Date]])</f>
        <v>2022</v>
      </c>
    </row>
    <row r="3838" spans="1:10" ht="14.25" customHeight="1" x14ac:dyDescent="0.3">
      <c r="A3838" s="1">
        <v>44901</v>
      </c>
      <c r="B3838" s="2" t="s">
        <v>325</v>
      </c>
      <c r="C3838" s="2" t="s">
        <v>55</v>
      </c>
      <c r="D3838" s="2" t="s">
        <v>10</v>
      </c>
      <c r="E3838" s="2" t="s">
        <v>11</v>
      </c>
      <c r="F3838" s="2">
        <v>19.920000000000002</v>
      </c>
      <c r="G3838" s="2">
        <v>5</v>
      </c>
      <c r="H3838" s="2">
        <v>6.72</v>
      </c>
      <c r="I3838" t="str">
        <f t="shared" si="59"/>
        <v>Dec</v>
      </c>
      <c r="J3838">
        <f>YEAR(datas[[#This Row],[Order Date]])</f>
        <v>2022</v>
      </c>
    </row>
    <row r="3839" spans="1:10" ht="14.25" customHeight="1" x14ac:dyDescent="0.3">
      <c r="A3839" s="1">
        <v>44901</v>
      </c>
      <c r="B3839" s="2" t="s">
        <v>325</v>
      </c>
      <c r="C3839" s="2" t="s">
        <v>55</v>
      </c>
      <c r="D3839" s="2" t="s">
        <v>10</v>
      </c>
      <c r="E3839" s="2" t="s">
        <v>11</v>
      </c>
      <c r="F3839" s="2">
        <v>198.27</v>
      </c>
      <c r="G3839" s="2">
        <v>8</v>
      </c>
      <c r="H3839" s="2">
        <v>61.96</v>
      </c>
      <c r="I3839" t="str">
        <f t="shared" si="59"/>
        <v>Dec</v>
      </c>
      <c r="J3839">
        <f>YEAR(datas[[#This Row],[Order Date]])</f>
        <v>2022</v>
      </c>
    </row>
    <row r="3840" spans="1:10" ht="14.25" customHeight="1" x14ac:dyDescent="0.3">
      <c r="A3840" s="1">
        <v>44901</v>
      </c>
      <c r="B3840" s="2" t="s">
        <v>325</v>
      </c>
      <c r="C3840" s="2" t="s">
        <v>55</v>
      </c>
      <c r="D3840" s="2" t="s">
        <v>10</v>
      </c>
      <c r="E3840" s="2" t="s">
        <v>15</v>
      </c>
      <c r="F3840" s="2">
        <v>247.1</v>
      </c>
      <c r="G3840" s="2">
        <v>6</v>
      </c>
      <c r="H3840" s="2">
        <v>-58.69</v>
      </c>
      <c r="I3840" t="str">
        <f t="shared" si="59"/>
        <v>Dec</v>
      </c>
      <c r="J3840">
        <f>YEAR(datas[[#This Row],[Order Date]])</f>
        <v>2022</v>
      </c>
    </row>
    <row r="3841" spans="1:10" ht="14.25" customHeight="1" x14ac:dyDescent="0.3">
      <c r="A3841" s="1">
        <v>44901</v>
      </c>
      <c r="B3841" s="2" t="s">
        <v>325</v>
      </c>
      <c r="C3841" s="2" t="s">
        <v>55</v>
      </c>
      <c r="D3841" s="2" t="s">
        <v>10</v>
      </c>
      <c r="E3841" s="2" t="s">
        <v>19</v>
      </c>
      <c r="F3841" s="2">
        <v>86.3</v>
      </c>
      <c r="G3841" s="2">
        <v>6</v>
      </c>
      <c r="H3841" s="2">
        <v>9.7100000000000009</v>
      </c>
      <c r="I3841" t="str">
        <f t="shared" si="59"/>
        <v>Dec</v>
      </c>
      <c r="J3841">
        <f>YEAR(datas[[#This Row],[Order Date]])</f>
        <v>2022</v>
      </c>
    </row>
    <row r="3842" spans="1:10" ht="14.25" customHeight="1" x14ac:dyDescent="0.3">
      <c r="A3842" s="1">
        <v>44901</v>
      </c>
      <c r="B3842" s="2" t="s">
        <v>450</v>
      </c>
      <c r="C3842" s="2" t="s">
        <v>47</v>
      </c>
      <c r="D3842" s="2" t="s">
        <v>28</v>
      </c>
      <c r="E3842" s="2" t="s">
        <v>29</v>
      </c>
      <c r="F3842" s="2">
        <v>485.94</v>
      </c>
      <c r="G3842" s="2">
        <v>2</v>
      </c>
      <c r="H3842" s="2">
        <v>-89.09</v>
      </c>
      <c r="I3842" t="str">
        <f t="shared" si="59"/>
        <v>Dec</v>
      </c>
      <c r="J3842">
        <f>YEAR(datas[[#This Row],[Order Date]])</f>
        <v>2022</v>
      </c>
    </row>
    <row r="3843" spans="1:10" ht="14.25" customHeight="1" x14ac:dyDescent="0.3">
      <c r="A3843" s="1">
        <v>44901</v>
      </c>
      <c r="B3843" s="2" t="s">
        <v>450</v>
      </c>
      <c r="C3843" s="2" t="s">
        <v>47</v>
      </c>
      <c r="D3843" s="2" t="s">
        <v>10</v>
      </c>
      <c r="E3843" s="2" t="s">
        <v>19</v>
      </c>
      <c r="F3843" s="2">
        <v>37.380000000000003</v>
      </c>
      <c r="G3843" s="2">
        <v>8</v>
      </c>
      <c r="H3843" s="2">
        <v>4.67</v>
      </c>
      <c r="I3843" t="str">
        <f t="shared" ref="I3843:I3906" si="60">TEXT(A3843,"mmm")</f>
        <v>Dec</v>
      </c>
      <c r="J3843">
        <f>YEAR(datas[[#This Row],[Order Date]])</f>
        <v>2022</v>
      </c>
    </row>
    <row r="3844" spans="1:10" ht="14.25" customHeight="1" x14ac:dyDescent="0.3">
      <c r="A3844" s="1">
        <v>44901</v>
      </c>
      <c r="B3844" s="2" t="s">
        <v>450</v>
      </c>
      <c r="C3844" s="2" t="s">
        <v>47</v>
      </c>
      <c r="D3844" s="2" t="s">
        <v>26</v>
      </c>
      <c r="E3844" s="2" t="s">
        <v>27</v>
      </c>
      <c r="F3844" s="2">
        <v>70.69</v>
      </c>
      <c r="G3844" s="2">
        <v>1</v>
      </c>
      <c r="H3844" s="2">
        <v>-24.24</v>
      </c>
      <c r="I3844" t="str">
        <f t="shared" si="60"/>
        <v>Dec</v>
      </c>
      <c r="J3844">
        <f>YEAR(datas[[#This Row],[Order Date]])</f>
        <v>2022</v>
      </c>
    </row>
    <row r="3845" spans="1:10" ht="14.25" customHeight="1" x14ac:dyDescent="0.3">
      <c r="A3845" s="1">
        <v>44901</v>
      </c>
      <c r="B3845" s="2" t="s">
        <v>375</v>
      </c>
      <c r="C3845" s="2" t="s">
        <v>21</v>
      </c>
      <c r="D3845" s="2" t="s">
        <v>10</v>
      </c>
      <c r="E3845" s="2" t="s">
        <v>11</v>
      </c>
      <c r="F3845" s="2">
        <v>32.75</v>
      </c>
      <c r="G3845" s="2">
        <v>5</v>
      </c>
      <c r="H3845" s="2">
        <v>15.07</v>
      </c>
      <c r="I3845" t="str">
        <f t="shared" si="60"/>
        <v>Dec</v>
      </c>
      <c r="J3845">
        <f>YEAR(datas[[#This Row],[Order Date]])</f>
        <v>2022</v>
      </c>
    </row>
    <row r="3846" spans="1:10" ht="14.25" customHeight="1" x14ac:dyDescent="0.3">
      <c r="A3846" s="1">
        <v>44901</v>
      </c>
      <c r="B3846" s="2" t="s">
        <v>67</v>
      </c>
      <c r="C3846" s="2" t="s">
        <v>75</v>
      </c>
      <c r="D3846" s="2" t="s">
        <v>10</v>
      </c>
      <c r="E3846" s="2" t="s">
        <v>11</v>
      </c>
      <c r="F3846" s="2">
        <v>6.48</v>
      </c>
      <c r="G3846" s="2">
        <v>1</v>
      </c>
      <c r="H3846" s="2">
        <v>3.11</v>
      </c>
      <c r="I3846" t="str">
        <f t="shared" si="60"/>
        <v>Dec</v>
      </c>
      <c r="J3846">
        <f>YEAR(datas[[#This Row],[Order Date]])</f>
        <v>2022</v>
      </c>
    </row>
    <row r="3847" spans="1:10" ht="14.25" customHeight="1" x14ac:dyDescent="0.3">
      <c r="A3847" s="1">
        <v>44901</v>
      </c>
      <c r="B3847" s="2" t="s">
        <v>67</v>
      </c>
      <c r="C3847" s="2" t="s">
        <v>75</v>
      </c>
      <c r="D3847" s="2" t="s">
        <v>10</v>
      </c>
      <c r="E3847" s="2" t="s">
        <v>11</v>
      </c>
      <c r="F3847" s="2">
        <v>41.86</v>
      </c>
      <c r="G3847" s="2">
        <v>7</v>
      </c>
      <c r="H3847" s="2">
        <v>20.51</v>
      </c>
      <c r="I3847" t="str">
        <f t="shared" si="60"/>
        <v>Dec</v>
      </c>
      <c r="J3847">
        <f>YEAR(datas[[#This Row],[Order Date]])</f>
        <v>2022</v>
      </c>
    </row>
    <row r="3848" spans="1:10" ht="14.25" customHeight="1" x14ac:dyDescent="0.3">
      <c r="A3848" s="1">
        <v>44901</v>
      </c>
      <c r="B3848" s="2" t="s">
        <v>67</v>
      </c>
      <c r="C3848" s="2" t="s">
        <v>75</v>
      </c>
      <c r="D3848" s="2" t="s">
        <v>28</v>
      </c>
      <c r="E3848" s="2" t="s">
        <v>34</v>
      </c>
      <c r="F3848" s="2">
        <v>1619.91</v>
      </c>
      <c r="G3848" s="2">
        <v>9</v>
      </c>
      <c r="H3848" s="2">
        <v>97.19</v>
      </c>
      <c r="I3848" t="str">
        <f t="shared" si="60"/>
        <v>Dec</v>
      </c>
      <c r="J3848">
        <f>YEAR(datas[[#This Row],[Order Date]])</f>
        <v>2022</v>
      </c>
    </row>
    <row r="3849" spans="1:10" ht="14.25" customHeight="1" x14ac:dyDescent="0.3">
      <c r="A3849" s="1">
        <v>44901</v>
      </c>
      <c r="B3849" s="2" t="s">
        <v>67</v>
      </c>
      <c r="C3849" s="2" t="s">
        <v>75</v>
      </c>
      <c r="D3849" s="2" t="s">
        <v>26</v>
      </c>
      <c r="E3849" s="2" t="s">
        <v>32</v>
      </c>
      <c r="F3849" s="2">
        <v>113.92</v>
      </c>
      <c r="G3849" s="2">
        <v>4</v>
      </c>
      <c r="H3849" s="2">
        <v>42.15</v>
      </c>
      <c r="I3849" t="str">
        <f t="shared" si="60"/>
        <v>Dec</v>
      </c>
      <c r="J3849">
        <f>YEAR(datas[[#This Row],[Order Date]])</f>
        <v>2022</v>
      </c>
    </row>
    <row r="3850" spans="1:10" ht="14.25" customHeight="1" x14ac:dyDescent="0.3">
      <c r="A3850" s="1">
        <v>44901</v>
      </c>
      <c r="B3850" s="2" t="s">
        <v>122</v>
      </c>
      <c r="C3850" s="2" t="s">
        <v>68</v>
      </c>
      <c r="D3850" s="2" t="s">
        <v>28</v>
      </c>
      <c r="E3850" s="2" t="s">
        <v>243</v>
      </c>
      <c r="F3850" s="2">
        <v>999.98</v>
      </c>
      <c r="G3850" s="2">
        <v>2</v>
      </c>
      <c r="H3850" s="2">
        <v>449.99</v>
      </c>
      <c r="I3850" t="str">
        <f t="shared" si="60"/>
        <v>Dec</v>
      </c>
      <c r="J3850">
        <f>YEAR(datas[[#This Row],[Order Date]])</f>
        <v>2022</v>
      </c>
    </row>
    <row r="3851" spans="1:10" ht="14.25" customHeight="1" x14ac:dyDescent="0.3">
      <c r="A3851" s="1">
        <v>44901</v>
      </c>
      <c r="B3851" s="2" t="s">
        <v>394</v>
      </c>
      <c r="C3851" s="2" t="s">
        <v>66</v>
      </c>
      <c r="D3851" s="2" t="s">
        <v>10</v>
      </c>
      <c r="E3851" s="2" t="s">
        <v>11</v>
      </c>
      <c r="F3851" s="2">
        <v>6.48</v>
      </c>
      <c r="G3851" s="2">
        <v>1</v>
      </c>
      <c r="H3851" s="2">
        <v>3.11</v>
      </c>
      <c r="I3851" t="str">
        <f t="shared" si="60"/>
        <v>Dec</v>
      </c>
      <c r="J3851">
        <f>YEAR(datas[[#This Row],[Order Date]])</f>
        <v>2022</v>
      </c>
    </row>
    <row r="3852" spans="1:10" ht="14.25" customHeight="1" x14ac:dyDescent="0.3">
      <c r="A3852" s="1">
        <v>44901</v>
      </c>
      <c r="B3852" s="2" t="s">
        <v>394</v>
      </c>
      <c r="C3852" s="2" t="s">
        <v>66</v>
      </c>
      <c r="D3852" s="2" t="s">
        <v>10</v>
      </c>
      <c r="E3852" s="2" t="s">
        <v>15</v>
      </c>
      <c r="F3852" s="2">
        <v>1325.85</v>
      </c>
      <c r="G3852" s="2">
        <v>5</v>
      </c>
      <c r="H3852" s="2">
        <v>238.65</v>
      </c>
      <c r="I3852" t="str">
        <f t="shared" si="60"/>
        <v>Dec</v>
      </c>
      <c r="J3852">
        <f>YEAR(datas[[#This Row],[Order Date]])</f>
        <v>2022</v>
      </c>
    </row>
    <row r="3853" spans="1:10" ht="14.25" customHeight="1" x14ac:dyDescent="0.3">
      <c r="A3853" s="1">
        <v>44901</v>
      </c>
      <c r="B3853" s="2" t="s">
        <v>394</v>
      </c>
      <c r="C3853" s="2" t="s">
        <v>66</v>
      </c>
      <c r="D3853" s="2" t="s">
        <v>10</v>
      </c>
      <c r="E3853" s="2" t="s">
        <v>14</v>
      </c>
      <c r="F3853" s="2">
        <v>14.94</v>
      </c>
      <c r="G3853" s="2">
        <v>3</v>
      </c>
      <c r="H3853" s="2">
        <v>6.87</v>
      </c>
      <c r="I3853" t="str">
        <f t="shared" si="60"/>
        <v>Dec</v>
      </c>
      <c r="J3853">
        <f>YEAR(datas[[#This Row],[Order Date]])</f>
        <v>2022</v>
      </c>
    </row>
    <row r="3854" spans="1:10" ht="14.25" customHeight="1" x14ac:dyDescent="0.3">
      <c r="A3854" s="1">
        <v>44901</v>
      </c>
      <c r="B3854" s="2" t="s">
        <v>795</v>
      </c>
      <c r="C3854" s="2" t="s">
        <v>21</v>
      </c>
      <c r="D3854" s="2" t="s">
        <v>10</v>
      </c>
      <c r="E3854" s="2" t="s">
        <v>53</v>
      </c>
      <c r="F3854" s="2">
        <v>7.78</v>
      </c>
      <c r="G3854" s="2">
        <v>2</v>
      </c>
      <c r="H3854" s="2">
        <v>2.02</v>
      </c>
      <c r="I3854" t="str">
        <f t="shared" si="60"/>
        <v>Dec</v>
      </c>
      <c r="J3854">
        <f>YEAR(datas[[#This Row],[Order Date]])</f>
        <v>2022</v>
      </c>
    </row>
    <row r="3855" spans="1:10" ht="14.25" customHeight="1" x14ac:dyDescent="0.3">
      <c r="A3855" s="1">
        <v>44901</v>
      </c>
      <c r="B3855" s="2" t="s">
        <v>717</v>
      </c>
      <c r="C3855" s="2" t="s">
        <v>36</v>
      </c>
      <c r="D3855" s="2" t="s">
        <v>28</v>
      </c>
      <c r="E3855" s="2" t="s">
        <v>29</v>
      </c>
      <c r="F3855" s="2">
        <v>173.94</v>
      </c>
      <c r="G3855" s="2">
        <v>6</v>
      </c>
      <c r="H3855" s="2">
        <v>50.44</v>
      </c>
      <c r="I3855" t="str">
        <f t="shared" si="60"/>
        <v>Dec</v>
      </c>
      <c r="J3855">
        <f>YEAR(datas[[#This Row],[Order Date]])</f>
        <v>2022</v>
      </c>
    </row>
    <row r="3856" spans="1:10" ht="14.25" customHeight="1" x14ac:dyDescent="0.3">
      <c r="A3856" s="1">
        <v>44901</v>
      </c>
      <c r="B3856" s="2" t="s">
        <v>168</v>
      </c>
      <c r="C3856" s="2" t="s">
        <v>47</v>
      </c>
      <c r="D3856" s="2" t="s">
        <v>10</v>
      </c>
      <c r="E3856" s="2" t="s">
        <v>16</v>
      </c>
      <c r="F3856" s="2">
        <v>14.83</v>
      </c>
      <c r="G3856" s="2">
        <v>3</v>
      </c>
      <c r="H3856" s="2">
        <v>-10.38</v>
      </c>
      <c r="I3856" t="str">
        <f t="shared" si="60"/>
        <v>Dec</v>
      </c>
      <c r="J3856">
        <f>YEAR(datas[[#This Row],[Order Date]])</f>
        <v>2022</v>
      </c>
    </row>
    <row r="3857" spans="1:10" ht="14.25" customHeight="1" x14ac:dyDescent="0.3">
      <c r="A3857" s="1">
        <v>44901</v>
      </c>
      <c r="B3857" s="2" t="s">
        <v>712</v>
      </c>
      <c r="C3857" s="2" t="s">
        <v>21</v>
      </c>
      <c r="D3857" s="2" t="s">
        <v>10</v>
      </c>
      <c r="E3857" s="2" t="s">
        <v>11</v>
      </c>
      <c r="F3857" s="2">
        <v>8.9600000000000009</v>
      </c>
      <c r="G3857" s="2">
        <v>2</v>
      </c>
      <c r="H3857" s="2">
        <v>4.3899999999999997</v>
      </c>
      <c r="I3857" t="str">
        <f t="shared" si="60"/>
        <v>Dec</v>
      </c>
      <c r="J3857">
        <f>YEAR(datas[[#This Row],[Order Date]])</f>
        <v>2022</v>
      </c>
    </row>
    <row r="3858" spans="1:10" ht="14.25" customHeight="1" x14ac:dyDescent="0.3">
      <c r="A3858" s="1">
        <v>44902</v>
      </c>
      <c r="B3858" s="2" t="s">
        <v>608</v>
      </c>
      <c r="C3858" s="2" t="s">
        <v>25</v>
      </c>
      <c r="D3858" s="2" t="s">
        <v>10</v>
      </c>
      <c r="E3858" s="2" t="s">
        <v>53</v>
      </c>
      <c r="F3858" s="2">
        <v>152.94</v>
      </c>
      <c r="G3858" s="2">
        <v>3</v>
      </c>
      <c r="H3858" s="2">
        <v>41.29</v>
      </c>
      <c r="I3858" t="str">
        <f t="shared" si="60"/>
        <v>Dec</v>
      </c>
      <c r="J3858">
        <f>YEAR(datas[[#This Row],[Order Date]])</f>
        <v>2022</v>
      </c>
    </row>
    <row r="3859" spans="1:10" ht="14.25" customHeight="1" x14ac:dyDescent="0.3">
      <c r="A3859" s="1">
        <v>44902</v>
      </c>
      <c r="B3859" s="2" t="s">
        <v>608</v>
      </c>
      <c r="C3859" s="2" t="s">
        <v>25</v>
      </c>
      <c r="D3859" s="2" t="s">
        <v>26</v>
      </c>
      <c r="E3859" s="2" t="s">
        <v>27</v>
      </c>
      <c r="F3859" s="2">
        <v>283.92</v>
      </c>
      <c r="G3859" s="2">
        <v>4</v>
      </c>
      <c r="H3859" s="2">
        <v>70.98</v>
      </c>
      <c r="I3859" t="str">
        <f t="shared" si="60"/>
        <v>Dec</v>
      </c>
      <c r="J3859">
        <f>YEAR(datas[[#This Row],[Order Date]])</f>
        <v>2022</v>
      </c>
    </row>
    <row r="3860" spans="1:10" ht="14.25" customHeight="1" x14ac:dyDescent="0.3">
      <c r="A3860" s="1">
        <v>44902</v>
      </c>
      <c r="B3860" s="2" t="s">
        <v>538</v>
      </c>
      <c r="C3860" s="2" t="s">
        <v>82</v>
      </c>
      <c r="D3860" s="2" t="s">
        <v>10</v>
      </c>
      <c r="E3860" s="2" t="s">
        <v>30</v>
      </c>
      <c r="F3860" s="2">
        <v>3.96</v>
      </c>
      <c r="G3860" s="2">
        <v>2</v>
      </c>
      <c r="H3860" s="2">
        <v>0</v>
      </c>
      <c r="I3860" t="str">
        <f t="shared" si="60"/>
        <v>Dec</v>
      </c>
      <c r="J3860">
        <f>YEAR(datas[[#This Row],[Order Date]])</f>
        <v>2022</v>
      </c>
    </row>
    <row r="3861" spans="1:10" ht="14.25" customHeight="1" x14ac:dyDescent="0.3">
      <c r="A3861" s="1">
        <v>44902</v>
      </c>
      <c r="B3861" s="2" t="s">
        <v>538</v>
      </c>
      <c r="C3861" s="2" t="s">
        <v>82</v>
      </c>
      <c r="D3861" s="2" t="s">
        <v>10</v>
      </c>
      <c r="E3861" s="2" t="s">
        <v>14</v>
      </c>
      <c r="F3861" s="2">
        <v>2.61</v>
      </c>
      <c r="G3861" s="2">
        <v>1</v>
      </c>
      <c r="H3861" s="2">
        <v>1.2</v>
      </c>
      <c r="I3861" t="str">
        <f t="shared" si="60"/>
        <v>Dec</v>
      </c>
      <c r="J3861">
        <f>YEAR(datas[[#This Row],[Order Date]])</f>
        <v>2022</v>
      </c>
    </row>
    <row r="3862" spans="1:10" ht="14.25" customHeight="1" x14ac:dyDescent="0.3">
      <c r="A3862" s="1">
        <v>44902</v>
      </c>
      <c r="B3862" s="2" t="s">
        <v>33</v>
      </c>
      <c r="C3862" s="2" t="s">
        <v>21</v>
      </c>
      <c r="D3862" s="2" t="s">
        <v>26</v>
      </c>
      <c r="E3862" s="2" t="s">
        <v>32</v>
      </c>
      <c r="F3862" s="2">
        <v>79.92</v>
      </c>
      <c r="G3862" s="2">
        <v>4</v>
      </c>
      <c r="H3862" s="2">
        <v>28.77</v>
      </c>
      <c r="I3862" t="str">
        <f t="shared" si="60"/>
        <v>Dec</v>
      </c>
      <c r="J3862">
        <f>YEAR(datas[[#This Row],[Order Date]])</f>
        <v>2022</v>
      </c>
    </row>
    <row r="3863" spans="1:10" ht="14.25" customHeight="1" x14ac:dyDescent="0.3">
      <c r="A3863" s="1">
        <v>44902</v>
      </c>
      <c r="B3863" s="2" t="s">
        <v>617</v>
      </c>
      <c r="C3863" s="2" t="s">
        <v>75</v>
      </c>
      <c r="D3863" s="2" t="s">
        <v>10</v>
      </c>
      <c r="E3863" s="2" t="s">
        <v>16</v>
      </c>
      <c r="F3863" s="2">
        <v>21.36</v>
      </c>
      <c r="G3863" s="2">
        <v>5</v>
      </c>
      <c r="H3863" s="2">
        <v>7.21</v>
      </c>
      <c r="I3863" t="str">
        <f t="shared" si="60"/>
        <v>Dec</v>
      </c>
      <c r="J3863">
        <f>YEAR(datas[[#This Row],[Order Date]])</f>
        <v>2022</v>
      </c>
    </row>
    <row r="3864" spans="1:10" ht="14.25" customHeight="1" x14ac:dyDescent="0.3">
      <c r="A3864" s="1">
        <v>44902</v>
      </c>
      <c r="B3864" s="2" t="s">
        <v>617</v>
      </c>
      <c r="C3864" s="2" t="s">
        <v>75</v>
      </c>
      <c r="D3864" s="2" t="s">
        <v>10</v>
      </c>
      <c r="E3864" s="2" t="s">
        <v>16</v>
      </c>
      <c r="F3864" s="2">
        <v>6.69</v>
      </c>
      <c r="G3864" s="2">
        <v>2</v>
      </c>
      <c r="H3864" s="2">
        <v>2.34</v>
      </c>
      <c r="I3864" t="str">
        <f t="shared" si="60"/>
        <v>Dec</v>
      </c>
      <c r="J3864">
        <f>YEAR(datas[[#This Row],[Order Date]])</f>
        <v>2022</v>
      </c>
    </row>
    <row r="3865" spans="1:10" ht="14.25" customHeight="1" x14ac:dyDescent="0.3">
      <c r="A3865" s="1">
        <v>44902</v>
      </c>
      <c r="B3865" s="2" t="s">
        <v>617</v>
      </c>
      <c r="C3865" s="2" t="s">
        <v>75</v>
      </c>
      <c r="D3865" s="2" t="s">
        <v>28</v>
      </c>
      <c r="E3865" s="2" t="s">
        <v>29</v>
      </c>
      <c r="F3865" s="2">
        <v>773.94</v>
      </c>
      <c r="G3865" s="2">
        <v>6</v>
      </c>
      <c r="H3865" s="2">
        <v>224.44</v>
      </c>
      <c r="I3865" t="str">
        <f t="shared" si="60"/>
        <v>Dec</v>
      </c>
      <c r="J3865">
        <f>YEAR(datas[[#This Row],[Order Date]])</f>
        <v>2022</v>
      </c>
    </row>
    <row r="3866" spans="1:10" ht="14.25" customHeight="1" x14ac:dyDescent="0.3">
      <c r="A3866" s="1">
        <v>44902</v>
      </c>
      <c r="B3866" s="2" t="s">
        <v>151</v>
      </c>
      <c r="C3866" s="2" t="s">
        <v>21</v>
      </c>
      <c r="D3866" s="2" t="s">
        <v>10</v>
      </c>
      <c r="E3866" s="2" t="s">
        <v>11</v>
      </c>
      <c r="F3866" s="2">
        <v>12.96</v>
      </c>
      <c r="G3866" s="2">
        <v>2</v>
      </c>
      <c r="H3866" s="2">
        <v>6.22</v>
      </c>
      <c r="I3866" t="str">
        <f t="shared" si="60"/>
        <v>Dec</v>
      </c>
      <c r="J3866">
        <f>YEAR(datas[[#This Row],[Order Date]])</f>
        <v>2022</v>
      </c>
    </row>
    <row r="3867" spans="1:10" ht="14.25" customHeight="1" x14ac:dyDescent="0.3">
      <c r="A3867" s="1">
        <v>44903</v>
      </c>
      <c r="B3867" s="2" t="s">
        <v>796</v>
      </c>
      <c r="C3867" s="2" t="s">
        <v>9</v>
      </c>
      <c r="D3867" s="2" t="s">
        <v>10</v>
      </c>
      <c r="E3867" s="2" t="s">
        <v>11</v>
      </c>
      <c r="F3867" s="2">
        <v>360.71</v>
      </c>
      <c r="G3867" s="2">
        <v>11</v>
      </c>
      <c r="H3867" s="2">
        <v>130.76</v>
      </c>
      <c r="I3867" t="str">
        <f t="shared" si="60"/>
        <v>Dec</v>
      </c>
      <c r="J3867">
        <f>YEAR(datas[[#This Row],[Order Date]])</f>
        <v>2022</v>
      </c>
    </row>
    <row r="3868" spans="1:10" ht="14.25" customHeight="1" x14ac:dyDescent="0.3">
      <c r="A3868" s="1">
        <v>44903</v>
      </c>
      <c r="B3868" s="2" t="s">
        <v>796</v>
      </c>
      <c r="C3868" s="2" t="s">
        <v>9</v>
      </c>
      <c r="D3868" s="2" t="s">
        <v>28</v>
      </c>
      <c r="E3868" s="2" t="s">
        <v>29</v>
      </c>
      <c r="F3868" s="2">
        <v>1718.4</v>
      </c>
      <c r="G3868" s="2">
        <v>6</v>
      </c>
      <c r="H3868" s="2">
        <v>150.36000000000001</v>
      </c>
      <c r="I3868" t="str">
        <f t="shared" si="60"/>
        <v>Dec</v>
      </c>
      <c r="J3868">
        <f>YEAR(datas[[#This Row],[Order Date]])</f>
        <v>2022</v>
      </c>
    </row>
    <row r="3869" spans="1:10" ht="14.25" customHeight="1" x14ac:dyDescent="0.3">
      <c r="A3869" s="1">
        <v>44903</v>
      </c>
      <c r="B3869" s="2" t="s">
        <v>774</v>
      </c>
      <c r="C3869" s="2" t="s">
        <v>9</v>
      </c>
      <c r="D3869" s="2" t="s">
        <v>28</v>
      </c>
      <c r="E3869" s="2" t="s">
        <v>29</v>
      </c>
      <c r="F3869" s="2">
        <v>119.96</v>
      </c>
      <c r="G3869" s="2">
        <v>5</v>
      </c>
      <c r="H3869" s="2">
        <v>12</v>
      </c>
      <c r="I3869" t="str">
        <f t="shared" si="60"/>
        <v>Dec</v>
      </c>
      <c r="J3869">
        <f>YEAR(datas[[#This Row],[Order Date]])</f>
        <v>2022</v>
      </c>
    </row>
    <row r="3870" spans="1:10" ht="14.25" customHeight="1" x14ac:dyDescent="0.3">
      <c r="A3870" s="1">
        <v>44903</v>
      </c>
      <c r="B3870" s="2" t="s">
        <v>670</v>
      </c>
      <c r="C3870" s="2" t="s">
        <v>21</v>
      </c>
      <c r="D3870" s="2" t="s">
        <v>10</v>
      </c>
      <c r="E3870" s="2" t="s">
        <v>15</v>
      </c>
      <c r="F3870" s="2">
        <v>221.96</v>
      </c>
      <c r="G3870" s="2">
        <v>2</v>
      </c>
      <c r="H3870" s="2">
        <v>4.4400000000000004</v>
      </c>
      <c r="I3870" t="str">
        <f t="shared" si="60"/>
        <v>Dec</v>
      </c>
      <c r="J3870">
        <f>YEAR(datas[[#This Row],[Order Date]])</f>
        <v>2022</v>
      </c>
    </row>
    <row r="3871" spans="1:10" ht="14.25" customHeight="1" x14ac:dyDescent="0.3">
      <c r="A3871" s="1">
        <v>44903</v>
      </c>
      <c r="B3871" s="2" t="s">
        <v>670</v>
      </c>
      <c r="C3871" s="2" t="s">
        <v>21</v>
      </c>
      <c r="D3871" s="2" t="s">
        <v>28</v>
      </c>
      <c r="E3871" s="2" t="s">
        <v>34</v>
      </c>
      <c r="F3871" s="2">
        <v>236</v>
      </c>
      <c r="G3871" s="2">
        <v>4</v>
      </c>
      <c r="H3871" s="2">
        <v>40.119999999999997</v>
      </c>
      <c r="I3871" t="str">
        <f t="shared" si="60"/>
        <v>Dec</v>
      </c>
      <c r="J3871">
        <f>YEAR(datas[[#This Row],[Order Date]])</f>
        <v>2022</v>
      </c>
    </row>
    <row r="3872" spans="1:10" ht="14.25" customHeight="1" x14ac:dyDescent="0.3">
      <c r="A3872" s="1">
        <v>44903</v>
      </c>
      <c r="B3872" s="2" t="s">
        <v>489</v>
      </c>
      <c r="C3872" s="2" t="s">
        <v>126</v>
      </c>
      <c r="D3872" s="2" t="s">
        <v>10</v>
      </c>
      <c r="E3872" s="2" t="s">
        <v>11</v>
      </c>
      <c r="F3872" s="2">
        <v>15.7</v>
      </c>
      <c r="G3872" s="2">
        <v>3</v>
      </c>
      <c r="H3872" s="2">
        <v>5.0999999999999996</v>
      </c>
      <c r="I3872" t="str">
        <f t="shared" si="60"/>
        <v>Dec</v>
      </c>
      <c r="J3872">
        <f>YEAR(datas[[#This Row],[Order Date]])</f>
        <v>2022</v>
      </c>
    </row>
    <row r="3873" spans="1:10" ht="14.25" customHeight="1" x14ac:dyDescent="0.3">
      <c r="A3873" s="1">
        <v>44904</v>
      </c>
      <c r="B3873" s="2" t="s">
        <v>662</v>
      </c>
      <c r="C3873" s="2" t="s">
        <v>68</v>
      </c>
      <c r="D3873" s="2" t="s">
        <v>10</v>
      </c>
      <c r="E3873" s="2" t="s">
        <v>11</v>
      </c>
      <c r="F3873" s="2">
        <v>34.020000000000003</v>
      </c>
      <c r="G3873" s="2">
        <v>3</v>
      </c>
      <c r="H3873" s="2">
        <v>16.670000000000002</v>
      </c>
      <c r="I3873" t="str">
        <f t="shared" si="60"/>
        <v>Dec</v>
      </c>
      <c r="J3873">
        <f>YEAR(datas[[#This Row],[Order Date]])</f>
        <v>2022</v>
      </c>
    </row>
    <row r="3874" spans="1:10" ht="14.25" customHeight="1" x14ac:dyDescent="0.3">
      <c r="A3874" s="1">
        <v>44905</v>
      </c>
      <c r="B3874" s="2" t="s">
        <v>506</v>
      </c>
      <c r="C3874" s="2" t="s">
        <v>60</v>
      </c>
      <c r="D3874" s="2" t="s">
        <v>10</v>
      </c>
      <c r="E3874" s="2" t="s">
        <v>19</v>
      </c>
      <c r="F3874" s="2">
        <v>3.9</v>
      </c>
      <c r="G3874" s="2">
        <v>2</v>
      </c>
      <c r="H3874" s="2">
        <v>1.52</v>
      </c>
      <c r="I3874" t="str">
        <f t="shared" si="60"/>
        <v>Dec</v>
      </c>
      <c r="J3874">
        <f>YEAR(datas[[#This Row],[Order Date]])</f>
        <v>2022</v>
      </c>
    </row>
    <row r="3875" spans="1:10" ht="14.25" customHeight="1" x14ac:dyDescent="0.3">
      <c r="A3875" s="1">
        <v>44905</v>
      </c>
      <c r="B3875" s="2" t="s">
        <v>506</v>
      </c>
      <c r="C3875" s="2" t="s">
        <v>60</v>
      </c>
      <c r="D3875" s="2" t="s">
        <v>26</v>
      </c>
      <c r="E3875" s="2" t="s">
        <v>73</v>
      </c>
      <c r="F3875" s="2">
        <v>801.96</v>
      </c>
      <c r="G3875" s="2">
        <v>2</v>
      </c>
      <c r="H3875" s="2">
        <v>200.49</v>
      </c>
      <c r="I3875" t="str">
        <f t="shared" si="60"/>
        <v>Dec</v>
      </c>
      <c r="J3875">
        <f>YEAR(datas[[#This Row],[Order Date]])</f>
        <v>2022</v>
      </c>
    </row>
    <row r="3876" spans="1:10" ht="14.25" customHeight="1" x14ac:dyDescent="0.3">
      <c r="A3876" s="1">
        <v>44905</v>
      </c>
      <c r="B3876" s="2" t="s">
        <v>506</v>
      </c>
      <c r="C3876" s="2" t="s">
        <v>60</v>
      </c>
      <c r="D3876" s="2" t="s">
        <v>26</v>
      </c>
      <c r="E3876" s="2" t="s">
        <v>27</v>
      </c>
      <c r="F3876" s="2">
        <v>191.96</v>
      </c>
      <c r="G3876" s="2">
        <v>2</v>
      </c>
      <c r="H3876" s="2">
        <v>32.630000000000003</v>
      </c>
      <c r="I3876" t="str">
        <f t="shared" si="60"/>
        <v>Dec</v>
      </c>
      <c r="J3876">
        <f>YEAR(datas[[#This Row],[Order Date]])</f>
        <v>2022</v>
      </c>
    </row>
    <row r="3877" spans="1:10" ht="14.25" customHeight="1" x14ac:dyDescent="0.3">
      <c r="A3877" s="1">
        <v>44905</v>
      </c>
      <c r="B3877" s="2" t="s">
        <v>506</v>
      </c>
      <c r="C3877" s="2" t="s">
        <v>60</v>
      </c>
      <c r="D3877" s="2" t="s">
        <v>10</v>
      </c>
      <c r="E3877" s="2" t="s">
        <v>14</v>
      </c>
      <c r="F3877" s="2">
        <v>2.61</v>
      </c>
      <c r="G3877" s="2">
        <v>1</v>
      </c>
      <c r="H3877" s="2">
        <v>1.2</v>
      </c>
      <c r="I3877" t="str">
        <f t="shared" si="60"/>
        <v>Dec</v>
      </c>
      <c r="J3877">
        <f>YEAR(datas[[#This Row],[Order Date]])</f>
        <v>2022</v>
      </c>
    </row>
    <row r="3878" spans="1:10" ht="14.25" customHeight="1" x14ac:dyDescent="0.3">
      <c r="A3878" s="1">
        <v>44905</v>
      </c>
      <c r="B3878" s="2" t="s">
        <v>652</v>
      </c>
      <c r="C3878" s="2" t="s">
        <v>23</v>
      </c>
      <c r="D3878" s="2" t="s">
        <v>10</v>
      </c>
      <c r="E3878" s="2" t="s">
        <v>19</v>
      </c>
      <c r="F3878" s="2">
        <v>1.78</v>
      </c>
      <c r="G3878" s="2">
        <v>1</v>
      </c>
      <c r="H3878" s="2">
        <v>0.5</v>
      </c>
      <c r="I3878" t="str">
        <f t="shared" si="60"/>
        <v>Dec</v>
      </c>
      <c r="J3878">
        <f>YEAR(datas[[#This Row],[Order Date]])</f>
        <v>2022</v>
      </c>
    </row>
    <row r="3879" spans="1:10" ht="14.25" customHeight="1" x14ac:dyDescent="0.3">
      <c r="A3879" s="1">
        <v>44905</v>
      </c>
      <c r="B3879" s="2" t="s">
        <v>652</v>
      </c>
      <c r="C3879" s="2" t="s">
        <v>23</v>
      </c>
      <c r="D3879" s="2" t="s">
        <v>10</v>
      </c>
      <c r="E3879" s="2" t="s">
        <v>11</v>
      </c>
      <c r="F3879" s="2">
        <v>25.92</v>
      </c>
      <c r="G3879" s="2">
        <v>4</v>
      </c>
      <c r="H3879" s="2">
        <v>12.44</v>
      </c>
      <c r="I3879" t="str">
        <f t="shared" si="60"/>
        <v>Dec</v>
      </c>
      <c r="J3879">
        <f>YEAR(datas[[#This Row],[Order Date]])</f>
        <v>2022</v>
      </c>
    </row>
    <row r="3880" spans="1:10" ht="14.25" customHeight="1" x14ac:dyDescent="0.3">
      <c r="A3880" s="1">
        <v>44905</v>
      </c>
      <c r="B3880" s="2" t="s">
        <v>652</v>
      </c>
      <c r="C3880" s="2" t="s">
        <v>23</v>
      </c>
      <c r="D3880" s="2" t="s">
        <v>28</v>
      </c>
      <c r="E3880" s="2" t="s">
        <v>34</v>
      </c>
      <c r="F3880" s="2">
        <v>101.94</v>
      </c>
      <c r="G3880" s="2">
        <v>6</v>
      </c>
      <c r="H3880" s="2">
        <v>21.41</v>
      </c>
      <c r="I3880" t="str">
        <f t="shared" si="60"/>
        <v>Dec</v>
      </c>
      <c r="J3880">
        <f>YEAR(datas[[#This Row],[Order Date]])</f>
        <v>2022</v>
      </c>
    </row>
    <row r="3881" spans="1:10" ht="14.25" customHeight="1" x14ac:dyDescent="0.3">
      <c r="A3881" s="1">
        <v>44905</v>
      </c>
      <c r="B3881" s="2" t="s">
        <v>408</v>
      </c>
      <c r="C3881" s="2" t="s">
        <v>75</v>
      </c>
      <c r="D3881" s="2" t="s">
        <v>10</v>
      </c>
      <c r="E3881" s="2" t="s">
        <v>14</v>
      </c>
      <c r="F3881" s="2">
        <v>7.31</v>
      </c>
      <c r="G3881" s="2">
        <v>1</v>
      </c>
      <c r="H3881" s="2">
        <v>3.44</v>
      </c>
      <c r="I3881" t="str">
        <f t="shared" si="60"/>
        <v>Dec</v>
      </c>
      <c r="J3881">
        <f>YEAR(datas[[#This Row],[Order Date]])</f>
        <v>2022</v>
      </c>
    </row>
    <row r="3882" spans="1:10" ht="14.25" customHeight="1" x14ac:dyDescent="0.3">
      <c r="A3882" s="1">
        <v>44905</v>
      </c>
      <c r="B3882" s="2" t="s">
        <v>408</v>
      </c>
      <c r="C3882" s="2" t="s">
        <v>75</v>
      </c>
      <c r="D3882" s="2" t="s">
        <v>28</v>
      </c>
      <c r="E3882" s="2" t="s">
        <v>243</v>
      </c>
      <c r="F3882" s="2">
        <v>799.98</v>
      </c>
      <c r="G3882" s="2">
        <v>2</v>
      </c>
      <c r="H3882" s="2">
        <v>250</v>
      </c>
      <c r="I3882" t="str">
        <f t="shared" si="60"/>
        <v>Dec</v>
      </c>
      <c r="J3882">
        <f>YEAR(datas[[#This Row],[Order Date]])</f>
        <v>2022</v>
      </c>
    </row>
    <row r="3883" spans="1:10" ht="14.25" customHeight="1" x14ac:dyDescent="0.3">
      <c r="A3883" s="1">
        <v>44905</v>
      </c>
      <c r="B3883" s="2" t="s">
        <v>408</v>
      </c>
      <c r="C3883" s="2" t="s">
        <v>75</v>
      </c>
      <c r="D3883" s="2" t="s">
        <v>10</v>
      </c>
      <c r="E3883" s="2" t="s">
        <v>11</v>
      </c>
      <c r="F3883" s="2">
        <v>41.28</v>
      </c>
      <c r="G3883" s="2">
        <v>6</v>
      </c>
      <c r="H3883" s="2">
        <v>18.989999999999998</v>
      </c>
      <c r="I3883" t="str">
        <f t="shared" si="60"/>
        <v>Dec</v>
      </c>
      <c r="J3883">
        <f>YEAR(datas[[#This Row],[Order Date]])</f>
        <v>2022</v>
      </c>
    </row>
    <row r="3884" spans="1:10" ht="14.25" customHeight="1" x14ac:dyDescent="0.3">
      <c r="A3884" s="1">
        <v>44905</v>
      </c>
      <c r="B3884" s="2" t="s">
        <v>408</v>
      </c>
      <c r="C3884" s="2" t="s">
        <v>75</v>
      </c>
      <c r="D3884" s="2" t="s">
        <v>10</v>
      </c>
      <c r="E3884" s="2" t="s">
        <v>11</v>
      </c>
      <c r="F3884" s="2">
        <v>184.66</v>
      </c>
      <c r="G3884" s="2">
        <v>7</v>
      </c>
      <c r="H3884" s="2">
        <v>84.94</v>
      </c>
      <c r="I3884" t="str">
        <f t="shared" si="60"/>
        <v>Dec</v>
      </c>
      <c r="J3884">
        <f>YEAR(datas[[#This Row],[Order Date]])</f>
        <v>2022</v>
      </c>
    </row>
    <row r="3885" spans="1:10" ht="14.25" customHeight="1" x14ac:dyDescent="0.3">
      <c r="A3885" s="1">
        <v>44905</v>
      </c>
      <c r="B3885" s="2" t="s">
        <v>739</v>
      </c>
      <c r="C3885" s="2" t="s">
        <v>215</v>
      </c>
      <c r="D3885" s="2" t="s">
        <v>10</v>
      </c>
      <c r="E3885" s="2" t="s">
        <v>19</v>
      </c>
      <c r="F3885" s="2">
        <v>27.36</v>
      </c>
      <c r="G3885" s="2">
        <v>9</v>
      </c>
      <c r="H3885" s="2">
        <v>9.3000000000000007</v>
      </c>
      <c r="I3885" t="str">
        <f t="shared" si="60"/>
        <v>Dec</v>
      </c>
      <c r="J3885">
        <f>YEAR(datas[[#This Row],[Order Date]])</f>
        <v>2022</v>
      </c>
    </row>
    <row r="3886" spans="1:10" ht="14.25" customHeight="1" x14ac:dyDescent="0.3">
      <c r="A3886" s="1">
        <v>44905</v>
      </c>
      <c r="B3886" s="2" t="s">
        <v>739</v>
      </c>
      <c r="C3886" s="2" t="s">
        <v>215</v>
      </c>
      <c r="D3886" s="2" t="s">
        <v>10</v>
      </c>
      <c r="E3886" s="2" t="s">
        <v>11</v>
      </c>
      <c r="F3886" s="2">
        <v>44.75</v>
      </c>
      <c r="G3886" s="2">
        <v>5</v>
      </c>
      <c r="H3886" s="2">
        <v>20.59</v>
      </c>
      <c r="I3886" t="str">
        <f t="shared" si="60"/>
        <v>Dec</v>
      </c>
      <c r="J3886">
        <f>YEAR(datas[[#This Row],[Order Date]])</f>
        <v>2022</v>
      </c>
    </row>
    <row r="3887" spans="1:10" ht="14.25" customHeight="1" x14ac:dyDescent="0.3">
      <c r="A3887" s="1">
        <v>44905</v>
      </c>
      <c r="B3887" s="2" t="s">
        <v>739</v>
      </c>
      <c r="C3887" s="2" t="s">
        <v>215</v>
      </c>
      <c r="D3887" s="2" t="s">
        <v>28</v>
      </c>
      <c r="E3887" s="2" t="s">
        <v>29</v>
      </c>
      <c r="F3887" s="2">
        <v>134.99</v>
      </c>
      <c r="G3887" s="2">
        <v>1</v>
      </c>
      <c r="H3887" s="2">
        <v>36.450000000000003</v>
      </c>
      <c r="I3887" t="str">
        <f t="shared" si="60"/>
        <v>Dec</v>
      </c>
      <c r="J3887">
        <f>YEAR(datas[[#This Row],[Order Date]])</f>
        <v>2022</v>
      </c>
    </row>
    <row r="3888" spans="1:10" ht="14.25" customHeight="1" x14ac:dyDescent="0.3">
      <c r="A3888" s="1">
        <v>44905</v>
      </c>
      <c r="B3888" s="2" t="s">
        <v>739</v>
      </c>
      <c r="C3888" s="2" t="s">
        <v>215</v>
      </c>
      <c r="D3888" s="2" t="s">
        <v>10</v>
      </c>
      <c r="E3888" s="2" t="s">
        <v>11</v>
      </c>
      <c r="F3888" s="2">
        <v>26.4</v>
      </c>
      <c r="G3888" s="2">
        <v>5</v>
      </c>
      <c r="H3888" s="2">
        <v>12.67</v>
      </c>
      <c r="I3888" t="str">
        <f t="shared" si="60"/>
        <v>Dec</v>
      </c>
      <c r="J3888">
        <f>YEAR(datas[[#This Row],[Order Date]])</f>
        <v>2022</v>
      </c>
    </row>
    <row r="3889" spans="1:10" ht="14.25" customHeight="1" x14ac:dyDescent="0.3">
      <c r="A3889" s="1">
        <v>44905</v>
      </c>
      <c r="B3889" s="2" t="s">
        <v>739</v>
      </c>
      <c r="C3889" s="2" t="s">
        <v>215</v>
      </c>
      <c r="D3889" s="2" t="s">
        <v>26</v>
      </c>
      <c r="E3889" s="2" t="s">
        <v>27</v>
      </c>
      <c r="F3889" s="2">
        <v>542.94000000000005</v>
      </c>
      <c r="G3889" s="2">
        <v>3</v>
      </c>
      <c r="H3889" s="2">
        <v>141.16</v>
      </c>
      <c r="I3889" t="str">
        <f t="shared" si="60"/>
        <v>Dec</v>
      </c>
      <c r="J3889">
        <f>YEAR(datas[[#This Row],[Order Date]])</f>
        <v>2022</v>
      </c>
    </row>
    <row r="3890" spans="1:10" ht="14.25" customHeight="1" x14ac:dyDescent="0.3">
      <c r="A3890" s="1">
        <v>44905</v>
      </c>
      <c r="B3890" s="2" t="s">
        <v>731</v>
      </c>
      <c r="C3890" s="2" t="s">
        <v>21</v>
      </c>
      <c r="D3890" s="2" t="s">
        <v>10</v>
      </c>
      <c r="E3890" s="2" t="s">
        <v>19</v>
      </c>
      <c r="F3890" s="2">
        <v>56.3</v>
      </c>
      <c r="G3890" s="2">
        <v>2</v>
      </c>
      <c r="H3890" s="2">
        <v>15.76</v>
      </c>
      <c r="I3890" t="str">
        <f t="shared" si="60"/>
        <v>Dec</v>
      </c>
      <c r="J3890">
        <f>YEAR(datas[[#This Row],[Order Date]])</f>
        <v>2022</v>
      </c>
    </row>
    <row r="3891" spans="1:10" ht="14.25" customHeight="1" x14ac:dyDescent="0.3">
      <c r="A3891" s="1">
        <v>44905</v>
      </c>
      <c r="B3891" s="2" t="s">
        <v>693</v>
      </c>
      <c r="C3891" s="2" t="s">
        <v>13</v>
      </c>
      <c r="D3891" s="2" t="s">
        <v>10</v>
      </c>
      <c r="E3891" s="2" t="s">
        <v>53</v>
      </c>
      <c r="F3891" s="2">
        <v>53.09</v>
      </c>
      <c r="G3891" s="2">
        <v>7</v>
      </c>
      <c r="H3891" s="2">
        <v>-108.83</v>
      </c>
      <c r="I3891" t="str">
        <f t="shared" si="60"/>
        <v>Dec</v>
      </c>
      <c r="J3891">
        <f>YEAR(datas[[#This Row],[Order Date]])</f>
        <v>2022</v>
      </c>
    </row>
    <row r="3892" spans="1:10" ht="14.25" customHeight="1" x14ac:dyDescent="0.3">
      <c r="A3892" s="1">
        <v>44905</v>
      </c>
      <c r="B3892" s="2" t="s">
        <v>784</v>
      </c>
      <c r="C3892" s="2" t="s">
        <v>21</v>
      </c>
      <c r="D3892" s="2" t="s">
        <v>10</v>
      </c>
      <c r="E3892" s="2" t="s">
        <v>14</v>
      </c>
      <c r="F3892" s="2">
        <v>5.76</v>
      </c>
      <c r="G3892" s="2">
        <v>2</v>
      </c>
      <c r="H3892" s="2">
        <v>2.82</v>
      </c>
      <c r="I3892" t="str">
        <f t="shared" si="60"/>
        <v>Dec</v>
      </c>
      <c r="J3892">
        <f>YEAR(datas[[#This Row],[Order Date]])</f>
        <v>2022</v>
      </c>
    </row>
    <row r="3893" spans="1:10" ht="14.25" customHeight="1" x14ac:dyDescent="0.3">
      <c r="A3893" s="1">
        <v>44905</v>
      </c>
      <c r="B3893" s="2" t="s">
        <v>441</v>
      </c>
      <c r="C3893" s="2" t="s">
        <v>47</v>
      </c>
      <c r="D3893" s="2" t="s">
        <v>28</v>
      </c>
      <c r="E3893" s="2" t="s">
        <v>34</v>
      </c>
      <c r="F3893" s="2">
        <v>25.49</v>
      </c>
      <c r="G3893" s="2">
        <v>2</v>
      </c>
      <c r="H3893" s="2">
        <v>4.46</v>
      </c>
      <c r="I3893" t="str">
        <f t="shared" si="60"/>
        <v>Dec</v>
      </c>
      <c r="J3893">
        <f>YEAR(datas[[#This Row],[Order Date]])</f>
        <v>2022</v>
      </c>
    </row>
    <row r="3894" spans="1:10" ht="14.25" customHeight="1" x14ac:dyDescent="0.3">
      <c r="A3894" s="1">
        <v>44906</v>
      </c>
      <c r="B3894" s="2" t="s">
        <v>734</v>
      </c>
      <c r="C3894" s="2" t="s">
        <v>36</v>
      </c>
      <c r="D3894" s="2" t="s">
        <v>10</v>
      </c>
      <c r="E3894" s="2" t="s">
        <v>14</v>
      </c>
      <c r="F3894" s="2">
        <v>196.62</v>
      </c>
      <c r="G3894" s="2">
        <v>2</v>
      </c>
      <c r="H3894" s="2">
        <v>96.34</v>
      </c>
      <c r="I3894" t="str">
        <f t="shared" si="60"/>
        <v>Dec</v>
      </c>
      <c r="J3894">
        <f>YEAR(datas[[#This Row],[Order Date]])</f>
        <v>2022</v>
      </c>
    </row>
    <row r="3895" spans="1:10" ht="14.25" customHeight="1" x14ac:dyDescent="0.3">
      <c r="A3895" s="1">
        <v>44906</v>
      </c>
      <c r="B3895" s="2" t="s">
        <v>797</v>
      </c>
      <c r="C3895" s="2" t="s">
        <v>9</v>
      </c>
      <c r="D3895" s="2" t="s">
        <v>28</v>
      </c>
      <c r="E3895" s="2" t="s">
        <v>34</v>
      </c>
      <c r="F3895" s="2">
        <v>159.97999999999999</v>
      </c>
      <c r="G3895" s="2">
        <v>2</v>
      </c>
      <c r="H3895" s="2">
        <v>36</v>
      </c>
      <c r="I3895" t="str">
        <f t="shared" si="60"/>
        <v>Dec</v>
      </c>
      <c r="J3895">
        <f>YEAR(datas[[#This Row],[Order Date]])</f>
        <v>2022</v>
      </c>
    </row>
    <row r="3896" spans="1:10" ht="14.25" customHeight="1" x14ac:dyDescent="0.3">
      <c r="A3896" s="1">
        <v>44906</v>
      </c>
      <c r="B3896" s="2" t="s">
        <v>797</v>
      </c>
      <c r="C3896" s="2" t="s">
        <v>9</v>
      </c>
      <c r="D3896" s="2" t="s">
        <v>10</v>
      </c>
      <c r="E3896" s="2" t="s">
        <v>15</v>
      </c>
      <c r="F3896" s="2">
        <v>46.34</v>
      </c>
      <c r="G3896" s="2">
        <v>3</v>
      </c>
      <c r="H3896" s="2">
        <v>4.63</v>
      </c>
      <c r="I3896" t="str">
        <f t="shared" si="60"/>
        <v>Dec</v>
      </c>
      <c r="J3896">
        <f>YEAR(datas[[#This Row],[Order Date]])</f>
        <v>2022</v>
      </c>
    </row>
    <row r="3897" spans="1:10" ht="14.25" customHeight="1" x14ac:dyDescent="0.3">
      <c r="A3897" s="1">
        <v>44906</v>
      </c>
      <c r="B3897" s="2" t="s">
        <v>325</v>
      </c>
      <c r="C3897" s="2" t="s">
        <v>64</v>
      </c>
      <c r="D3897" s="2" t="s">
        <v>10</v>
      </c>
      <c r="E3897" s="2" t="s">
        <v>16</v>
      </c>
      <c r="F3897" s="2">
        <v>12.83</v>
      </c>
      <c r="G3897" s="2">
        <v>2</v>
      </c>
      <c r="H3897" s="2">
        <v>-8.98</v>
      </c>
      <c r="I3897" t="str">
        <f t="shared" si="60"/>
        <v>Dec</v>
      </c>
      <c r="J3897">
        <f>YEAR(datas[[#This Row],[Order Date]])</f>
        <v>2022</v>
      </c>
    </row>
    <row r="3898" spans="1:10" ht="14.25" customHeight="1" x14ac:dyDescent="0.3">
      <c r="A3898" s="1">
        <v>44906</v>
      </c>
      <c r="B3898" s="2" t="s">
        <v>648</v>
      </c>
      <c r="C3898" s="2" t="s">
        <v>126</v>
      </c>
      <c r="D3898" s="2" t="s">
        <v>10</v>
      </c>
      <c r="E3898" s="2" t="s">
        <v>19</v>
      </c>
      <c r="F3898" s="2">
        <v>13.12</v>
      </c>
      <c r="G3898" s="2">
        <v>5</v>
      </c>
      <c r="H3898" s="2">
        <v>1.1499999999999999</v>
      </c>
      <c r="I3898" t="str">
        <f t="shared" si="60"/>
        <v>Dec</v>
      </c>
      <c r="J3898">
        <f>YEAR(datas[[#This Row],[Order Date]])</f>
        <v>2022</v>
      </c>
    </row>
    <row r="3899" spans="1:10" ht="14.25" customHeight="1" x14ac:dyDescent="0.3">
      <c r="A3899" s="1">
        <v>44906</v>
      </c>
      <c r="B3899" s="2" t="s">
        <v>648</v>
      </c>
      <c r="C3899" s="2" t="s">
        <v>126</v>
      </c>
      <c r="D3899" s="2" t="s">
        <v>26</v>
      </c>
      <c r="E3899" s="2" t="s">
        <v>45</v>
      </c>
      <c r="F3899" s="2">
        <v>69.58</v>
      </c>
      <c r="G3899" s="2">
        <v>4</v>
      </c>
      <c r="H3899" s="2">
        <v>-143.79</v>
      </c>
      <c r="I3899" t="str">
        <f t="shared" si="60"/>
        <v>Dec</v>
      </c>
      <c r="J3899">
        <f>YEAR(datas[[#This Row],[Order Date]])</f>
        <v>2022</v>
      </c>
    </row>
    <row r="3900" spans="1:10" ht="14.25" customHeight="1" x14ac:dyDescent="0.3">
      <c r="A3900" s="1">
        <v>44906</v>
      </c>
      <c r="B3900" s="2" t="s">
        <v>648</v>
      </c>
      <c r="C3900" s="2" t="s">
        <v>126</v>
      </c>
      <c r="D3900" s="2" t="s">
        <v>10</v>
      </c>
      <c r="E3900" s="2" t="s">
        <v>19</v>
      </c>
      <c r="F3900" s="2">
        <v>4.22</v>
      </c>
      <c r="G3900" s="2">
        <v>3</v>
      </c>
      <c r="H3900" s="2">
        <v>0.48</v>
      </c>
      <c r="I3900" t="str">
        <f t="shared" si="60"/>
        <v>Dec</v>
      </c>
      <c r="J3900">
        <f>YEAR(datas[[#This Row],[Order Date]])</f>
        <v>2022</v>
      </c>
    </row>
    <row r="3901" spans="1:10" ht="14.25" customHeight="1" x14ac:dyDescent="0.3">
      <c r="A3901" s="1">
        <v>44906</v>
      </c>
      <c r="B3901" s="2" t="s">
        <v>648</v>
      </c>
      <c r="C3901" s="2" t="s">
        <v>126</v>
      </c>
      <c r="D3901" s="2" t="s">
        <v>28</v>
      </c>
      <c r="E3901" s="2" t="s">
        <v>34</v>
      </c>
      <c r="F3901" s="2">
        <v>58.08</v>
      </c>
      <c r="G3901" s="2">
        <v>4</v>
      </c>
      <c r="H3901" s="2">
        <v>-6.53</v>
      </c>
      <c r="I3901" t="str">
        <f t="shared" si="60"/>
        <v>Dec</v>
      </c>
      <c r="J3901">
        <f>YEAR(datas[[#This Row],[Order Date]])</f>
        <v>2022</v>
      </c>
    </row>
    <row r="3902" spans="1:10" ht="14.25" customHeight="1" x14ac:dyDescent="0.3">
      <c r="A3902" s="1">
        <v>44906</v>
      </c>
      <c r="B3902" s="2" t="s">
        <v>648</v>
      </c>
      <c r="C3902" s="2" t="s">
        <v>126</v>
      </c>
      <c r="D3902" s="2" t="s">
        <v>26</v>
      </c>
      <c r="E3902" s="2" t="s">
        <v>32</v>
      </c>
      <c r="F3902" s="2">
        <v>52.42</v>
      </c>
      <c r="G3902" s="2">
        <v>9</v>
      </c>
      <c r="H3902" s="2">
        <v>15.07</v>
      </c>
      <c r="I3902" t="str">
        <f t="shared" si="60"/>
        <v>Dec</v>
      </c>
      <c r="J3902">
        <f>YEAR(datas[[#This Row],[Order Date]])</f>
        <v>2022</v>
      </c>
    </row>
    <row r="3903" spans="1:10" ht="14.25" customHeight="1" x14ac:dyDescent="0.3">
      <c r="A3903" s="1">
        <v>44906</v>
      </c>
      <c r="B3903" s="2" t="s">
        <v>648</v>
      </c>
      <c r="C3903" s="2" t="s">
        <v>126</v>
      </c>
      <c r="D3903" s="2" t="s">
        <v>26</v>
      </c>
      <c r="E3903" s="2" t="s">
        <v>32</v>
      </c>
      <c r="F3903" s="2">
        <v>54.92</v>
      </c>
      <c r="G3903" s="2">
        <v>5</v>
      </c>
      <c r="H3903" s="2">
        <v>10.98</v>
      </c>
      <c r="I3903" t="str">
        <f t="shared" si="60"/>
        <v>Dec</v>
      </c>
      <c r="J3903">
        <f>YEAR(datas[[#This Row],[Order Date]])</f>
        <v>2022</v>
      </c>
    </row>
    <row r="3904" spans="1:10" ht="14.25" customHeight="1" x14ac:dyDescent="0.3">
      <c r="A3904" s="1">
        <v>44906</v>
      </c>
      <c r="B3904" s="2" t="s">
        <v>648</v>
      </c>
      <c r="C3904" s="2" t="s">
        <v>126</v>
      </c>
      <c r="D3904" s="2" t="s">
        <v>26</v>
      </c>
      <c r="E3904" s="2" t="s">
        <v>73</v>
      </c>
      <c r="F3904" s="2">
        <v>364.95</v>
      </c>
      <c r="G3904" s="2">
        <v>5</v>
      </c>
      <c r="H3904" s="2">
        <v>-248.17</v>
      </c>
      <c r="I3904" t="str">
        <f t="shared" si="60"/>
        <v>Dec</v>
      </c>
      <c r="J3904">
        <f>YEAR(datas[[#This Row],[Order Date]])</f>
        <v>2022</v>
      </c>
    </row>
    <row r="3905" spans="1:10" ht="14.25" customHeight="1" x14ac:dyDescent="0.3">
      <c r="A3905" s="1">
        <v>44906</v>
      </c>
      <c r="B3905" s="2" t="s">
        <v>648</v>
      </c>
      <c r="C3905" s="2" t="s">
        <v>126</v>
      </c>
      <c r="D3905" s="2" t="s">
        <v>10</v>
      </c>
      <c r="E3905" s="2" t="s">
        <v>11</v>
      </c>
      <c r="F3905" s="2">
        <v>85.06</v>
      </c>
      <c r="G3905" s="2">
        <v>3</v>
      </c>
      <c r="H3905" s="2">
        <v>28.71</v>
      </c>
      <c r="I3905" t="str">
        <f t="shared" si="60"/>
        <v>Dec</v>
      </c>
      <c r="J3905">
        <f>YEAR(datas[[#This Row],[Order Date]])</f>
        <v>2022</v>
      </c>
    </row>
    <row r="3906" spans="1:10" ht="14.25" customHeight="1" x14ac:dyDescent="0.3">
      <c r="A3906" s="1">
        <v>44906</v>
      </c>
      <c r="B3906" s="2" t="s">
        <v>648</v>
      </c>
      <c r="C3906" s="2" t="s">
        <v>126</v>
      </c>
      <c r="D3906" s="2" t="s">
        <v>10</v>
      </c>
      <c r="E3906" s="2" t="s">
        <v>11</v>
      </c>
      <c r="F3906" s="2">
        <v>27.7</v>
      </c>
      <c r="G3906" s="2">
        <v>3</v>
      </c>
      <c r="H3906" s="2">
        <v>9.69</v>
      </c>
      <c r="I3906" t="str">
        <f t="shared" si="60"/>
        <v>Dec</v>
      </c>
      <c r="J3906">
        <f>YEAR(datas[[#This Row],[Order Date]])</f>
        <v>2022</v>
      </c>
    </row>
    <row r="3907" spans="1:10" ht="14.25" customHeight="1" x14ac:dyDescent="0.3">
      <c r="A3907" s="1">
        <v>44906</v>
      </c>
      <c r="B3907" s="2" t="s">
        <v>228</v>
      </c>
      <c r="C3907" s="2" t="s">
        <v>47</v>
      </c>
      <c r="D3907" s="2" t="s">
        <v>10</v>
      </c>
      <c r="E3907" s="2" t="s">
        <v>16</v>
      </c>
      <c r="F3907" s="2">
        <v>10.33</v>
      </c>
      <c r="G3907" s="2">
        <v>3</v>
      </c>
      <c r="H3907" s="2">
        <v>-7.58</v>
      </c>
      <c r="I3907" t="str">
        <f t="shared" ref="I3907:I3970" si="61">TEXT(A3907,"mmm")</f>
        <v>Dec</v>
      </c>
      <c r="J3907">
        <f>YEAR(datas[[#This Row],[Order Date]])</f>
        <v>2022</v>
      </c>
    </row>
    <row r="3908" spans="1:10" ht="14.25" customHeight="1" x14ac:dyDescent="0.3">
      <c r="A3908" s="1">
        <v>44906</v>
      </c>
      <c r="B3908" s="2" t="s">
        <v>483</v>
      </c>
      <c r="C3908" s="2" t="s">
        <v>21</v>
      </c>
      <c r="D3908" s="2" t="s">
        <v>10</v>
      </c>
      <c r="E3908" s="2" t="s">
        <v>16</v>
      </c>
      <c r="F3908" s="2">
        <v>110.53</v>
      </c>
      <c r="G3908" s="2">
        <v>4</v>
      </c>
      <c r="H3908" s="2">
        <v>38.68</v>
      </c>
      <c r="I3908" t="str">
        <f t="shared" si="61"/>
        <v>Dec</v>
      </c>
      <c r="J3908">
        <f>YEAR(datas[[#This Row],[Order Date]])</f>
        <v>2022</v>
      </c>
    </row>
    <row r="3909" spans="1:10" ht="14.25" customHeight="1" x14ac:dyDescent="0.3">
      <c r="A3909" s="1">
        <v>44906</v>
      </c>
      <c r="B3909" s="2" t="s">
        <v>341</v>
      </c>
      <c r="C3909" s="2" t="s">
        <v>60</v>
      </c>
      <c r="D3909" s="2" t="s">
        <v>28</v>
      </c>
      <c r="E3909" s="2" t="s">
        <v>34</v>
      </c>
      <c r="F3909" s="2">
        <v>175.23</v>
      </c>
      <c r="G3909" s="2">
        <v>11</v>
      </c>
      <c r="H3909" s="2">
        <v>61.33</v>
      </c>
      <c r="I3909" t="str">
        <f t="shared" si="61"/>
        <v>Dec</v>
      </c>
      <c r="J3909">
        <f>YEAR(datas[[#This Row],[Order Date]])</f>
        <v>2022</v>
      </c>
    </row>
    <row r="3910" spans="1:10" ht="14.25" customHeight="1" x14ac:dyDescent="0.3">
      <c r="A3910" s="1">
        <v>44906</v>
      </c>
      <c r="B3910" s="2" t="s">
        <v>341</v>
      </c>
      <c r="C3910" s="2" t="s">
        <v>60</v>
      </c>
      <c r="D3910" s="2" t="s">
        <v>28</v>
      </c>
      <c r="E3910" s="2" t="s">
        <v>29</v>
      </c>
      <c r="F3910" s="2">
        <v>125.99</v>
      </c>
      <c r="G3910" s="2">
        <v>1</v>
      </c>
      <c r="H3910" s="2">
        <v>31.5</v>
      </c>
      <c r="I3910" t="str">
        <f t="shared" si="61"/>
        <v>Dec</v>
      </c>
      <c r="J3910">
        <f>YEAR(datas[[#This Row],[Order Date]])</f>
        <v>2022</v>
      </c>
    </row>
    <row r="3911" spans="1:10" ht="14.25" customHeight="1" x14ac:dyDescent="0.3">
      <c r="A3911" s="1">
        <v>44906</v>
      </c>
      <c r="B3911" s="2" t="s">
        <v>341</v>
      </c>
      <c r="C3911" s="2" t="s">
        <v>60</v>
      </c>
      <c r="D3911" s="2" t="s">
        <v>10</v>
      </c>
      <c r="E3911" s="2" t="s">
        <v>16</v>
      </c>
      <c r="F3911" s="2">
        <v>23</v>
      </c>
      <c r="G3911" s="2">
        <v>2</v>
      </c>
      <c r="H3911" s="2">
        <v>10.35</v>
      </c>
      <c r="I3911" t="str">
        <f t="shared" si="61"/>
        <v>Dec</v>
      </c>
      <c r="J3911">
        <f>YEAR(datas[[#This Row],[Order Date]])</f>
        <v>2022</v>
      </c>
    </row>
    <row r="3912" spans="1:10" ht="14.25" customHeight="1" x14ac:dyDescent="0.3">
      <c r="A3912" s="1">
        <v>44907</v>
      </c>
      <c r="B3912" s="2" t="s">
        <v>302</v>
      </c>
      <c r="C3912" s="2" t="s">
        <v>21</v>
      </c>
      <c r="D3912" s="2" t="s">
        <v>26</v>
      </c>
      <c r="E3912" s="2" t="s">
        <v>27</v>
      </c>
      <c r="F3912" s="2">
        <v>348.93</v>
      </c>
      <c r="G3912" s="2">
        <v>2</v>
      </c>
      <c r="H3912" s="2">
        <v>34.89</v>
      </c>
      <c r="I3912" t="str">
        <f t="shared" si="61"/>
        <v>Dec</v>
      </c>
      <c r="J3912">
        <f>YEAR(datas[[#This Row],[Order Date]])</f>
        <v>2022</v>
      </c>
    </row>
    <row r="3913" spans="1:10" ht="14.25" customHeight="1" x14ac:dyDescent="0.3">
      <c r="A3913" s="1">
        <v>44907</v>
      </c>
      <c r="B3913" s="2" t="s">
        <v>450</v>
      </c>
      <c r="C3913" s="2" t="s">
        <v>21</v>
      </c>
      <c r="D3913" s="2" t="s">
        <v>10</v>
      </c>
      <c r="E3913" s="2" t="s">
        <v>30</v>
      </c>
      <c r="F3913" s="2">
        <v>7.86</v>
      </c>
      <c r="G3913" s="2">
        <v>2</v>
      </c>
      <c r="H3913" s="2">
        <v>3.62</v>
      </c>
      <c r="I3913" t="str">
        <f t="shared" si="61"/>
        <v>Dec</v>
      </c>
      <c r="J3913">
        <f>YEAR(datas[[#This Row],[Order Date]])</f>
        <v>2022</v>
      </c>
    </row>
    <row r="3914" spans="1:10" ht="14.25" customHeight="1" x14ac:dyDescent="0.3">
      <c r="A3914" s="1">
        <v>44907</v>
      </c>
      <c r="B3914" s="2" t="s">
        <v>450</v>
      </c>
      <c r="C3914" s="2" t="s">
        <v>21</v>
      </c>
      <c r="D3914" s="2" t="s">
        <v>10</v>
      </c>
      <c r="E3914" s="2" t="s">
        <v>16</v>
      </c>
      <c r="F3914" s="2">
        <v>24.45</v>
      </c>
      <c r="G3914" s="2">
        <v>2</v>
      </c>
      <c r="H3914" s="2">
        <v>8.86</v>
      </c>
      <c r="I3914" t="str">
        <f t="shared" si="61"/>
        <v>Dec</v>
      </c>
      <c r="J3914">
        <f>YEAR(datas[[#This Row],[Order Date]])</f>
        <v>2022</v>
      </c>
    </row>
    <row r="3915" spans="1:10" ht="14.25" customHeight="1" x14ac:dyDescent="0.3">
      <c r="A3915" s="1">
        <v>44907</v>
      </c>
      <c r="B3915" s="2" t="s">
        <v>772</v>
      </c>
      <c r="C3915" s="2" t="s">
        <v>215</v>
      </c>
      <c r="D3915" s="2" t="s">
        <v>10</v>
      </c>
      <c r="E3915" s="2" t="s">
        <v>19</v>
      </c>
      <c r="F3915" s="2">
        <v>8.2200000000000006</v>
      </c>
      <c r="G3915" s="2">
        <v>3</v>
      </c>
      <c r="H3915" s="2">
        <v>2.2200000000000002</v>
      </c>
      <c r="I3915" t="str">
        <f t="shared" si="61"/>
        <v>Dec</v>
      </c>
      <c r="J3915">
        <f>YEAR(datas[[#This Row],[Order Date]])</f>
        <v>2022</v>
      </c>
    </row>
    <row r="3916" spans="1:10" ht="14.25" customHeight="1" x14ac:dyDescent="0.3">
      <c r="A3916" s="1">
        <v>44907</v>
      </c>
      <c r="B3916" s="2" t="s">
        <v>629</v>
      </c>
      <c r="C3916" s="2" t="s">
        <v>9</v>
      </c>
      <c r="D3916" s="2" t="s">
        <v>28</v>
      </c>
      <c r="E3916" s="2" t="s">
        <v>34</v>
      </c>
      <c r="F3916" s="2">
        <v>22.37</v>
      </c>
      <c r="G3916" s="2">
        <v>4</v>
      </c>
      <c r="H3916" s="2">
        <v>6.43</v>
      </c>
      <c r="I3916" t="str">
        <f t="shared" si="61"/>
        <v>Dec</v>
      </c>
      <c r="J3916">
        <f>YEAR(datas[[#This Row],[Order Date]])</f>
        <v>2022</v>
      </c>
    </row>
    <row r="3917" spans="1:10" ht="14.25" customHeight="1" x14ac:dyDescent="0.3">
      <c r="A3917" s="1">
        <v>44907</v>
      </c>
      <c r="B3917" s="2" t="s">
        <v>59</v>
      </c>
      <c r="C3917" s="2" t="s">
        <v>21</v>
      </c>
      <c r="D3917" s="2" t="s">
        <v>10</v>
      </c>
      <c r="E3917" s="2" t="s">
        <v>19</v>
      </c>
      <c r="F3917" s="2">
        <v>2.21</v>
      </c>
      <c r="G3917" s="2">
        <v>1</v>
      </c>
      <c r="H3917" s="2">
        <v>0.6</v>
      </c>
      <c r="I3917" t="str">
        <f t="shared" si="61"/>
        <v>Dec</v>
      </c>
      <c r="J3917">
        <f>YEAR(datas[[#This Row],[Order Date]])</f>
        <v>2022</v>
      </c>
    </row>
    <row r="3918" spans="1:10" ht="14.25" customHeight="1" x14ac:dyDescent="0.3">
      <c r="A3918" s="1">
        <v>44907</v>
      </c>
      <c r="B3918" s="2" t="s">
        <v>59</v>
      </c>
      <c r="C3918" s="2" t="s">
        <v>21</v>
      </c>
      <c r="D3918" s="2" t="s">
        <v>10</v>
      </c>
      <c r="E3918" s="2" t="s">
        <v>41</v>
      </c>
      <c r="F3918" s="2">
        <v>15.52</v>
      </c>
      <c r="G3918" s="2">
        <v>4</v>
      </c>
      <c r="H3918" s="2">
        <v>7.45</v>
      </c>
      <c r="I3918" t="str">
        <f t="shared" si="61"/>
        <v>Dec</v>
      </c>
      <c r="J3918">
        <f>YEAR(datas[[#This Row],[Order Date]])</f>
        <v>2022</v>
      </c>
    </row>
    <row r="3919" spans="1:10" ht="14.25" customHeight="1" x14ac:dyDescent="0.3">
      <c r="A3919" s="1">
        <v>44907</v>
      </c>
      <c r="B3919" s="2" t="s">
        <v>59</v>
      </c>
      <c r="C3919" s="2" t="s">
        <v>21</v>
      </c>
      <c r="D3919" s="2" t="s">
        <v>10</v>
      </c>
      <c r="E3919" s="2" t="s">
        <v>11</v>
      </c>
      <c r="F3919" s="2">
        <v>36.44</v>
      </c>
      <c r="G3919" s="2">
        <v>4</v>
      </c>
      <c r="H3919" s="2">
        <v>16.399999999999999</v>
      </c>
      <c r="I3919" t="str">
        <f t="shared" si="61"/>
        <v>Dec</v>
      </c>
      <c r="J3919">
        <f>YEAR(datas[[#This Row],[Order Date]])</f>
        <v>2022</v>
      </c>
    </row>
    <row r="3920" spans="1:10" ht="14.25" customHeight="1" x14ac:dyDescent="0.3">
      <c r="A3920" s="1">
        <v>44907</v>
      </c>
      <c r="B3920" s="2" t="s">
        <v>344</v>
      </c>
      <c r="C3920" s="2" t="s">
        <v>21</v>
      </c>
      <c r="D3920" s="2" t="s">
        <v>26</v>
      </c>
      <c r="E3920" s="2" t="s">
        <v>32</v>
      </c>
      <c r="F3920" s="2">
        <v>166.5</v>
      </c>
      <c r="G3920" s="2">
        <v>3</v>
      </c>
      <c r="H3920" s="2">
        <v>21.65</v>
      </c>
      <c r="I3920" t="str">
        <f t="shared" si="61"/>
        <v>Dec</v>
      </c>
      <c r="J3920">
        <f>YEAR(datas[[#This Row],[Order Date]])</f>
        <v>2022</v>
      </c>
    </row>
    <row r="3921" spans="1:10" ht="14.25" customHeight="1" x14ac:dyDescent="0.3">
      <c r="A3921" s="1">
        <v>44907</v>
      </c>
      <c r="B3921" s="2" t="s">
        <v>344</v>
      </c>
      <c r="C3921" s="2" t="s">
        <v>21</v>
      </c>
      <c r="D3921" s="2" t="s">
        <v>10</v>
      </c>
      <c r="E3921" s="2" t="s">
        <v>15</v>
      </c>
      <c r="F3921" s="2">
        <v>360.38</v>
      </c>
      <c r="G3921" s="2">
        <v>2</v>
      </c>
      <c r="H3921" s="2">
        <v>93.7</v>
      </c>
      <c r="I3921" t="str">
        <f t="shared" si="61"/>
        <v>Dec</v>
      </c>
      <c r="J3921">
        <f>YEAR(datas[[#This Row],[Order Date]])</f>
        <v>2022</v>
      </c>
    </row>
    <row r="3922" spans="1:10" ht="14.25" customHeight="1" x14ac:dyDescent="0.3">
      <c r="A3922" s="1">
        <v>44907</v>
      </c>
      <c r="B3922" s="2" t="s">
        <v>161</v>
      </c>
      <c r="C3922" s="2" t="s">
        <v>66</v>
      </c>
      <c r="D3922" s="2" t="s">
        <v>10</v>
      </c>
      <c r="E3922" s="2" t="s">
        <v>11</v>
      </c>
      <c r="F3922" s="2">
        <v>32.4</v>
      </c>
      <c r="G3922" s="2">
        <v>5</v>
      </c>
      <c r="H3922" s="2">
        <v>15.88</v>
      </c>
      <c r="I3922" t="str">
        <f t="shared" si="61"/>
        <v>Dec</v>
      </c>
      <c r="J3922">
        <f>YEAR(datas[[#This Row],[Order Date]])</f>
        <v>2022</v>
      </c>
    </row>
    <row r="3923" spans="1:10" ht="14.25" customHeight="1" x14ac:dyDescent="0.3">
      <c r="A3923" s="1">
        <v>44907</v>
      </c>
      <c r="B3923" s="2" t="s">
        <v>161</v>
      </c>
      <c r="C3923" s="2" t="s">
        <v>66</v>
      </c>
      <c r="D3923" s="2" t="s">
        <v>10</v>
      </c>
      <c r="E3923" s="2" t="s">
        <v>11</v>
      </c>
      <c r="F3923" s="2">
        <v>97.88</v>
      </c>
      <c r="G3923" s="2">
        <v>2</v>
      </c>
      <c r="H3923" s="2">
        <v>48.94</v>
      </c>
      <c r="I3923" t="str">
        <f t="shared" si="61"/>
        <v>Dec</v>
      </c>
      <c r="J3923">
        <f>YEAR(datas[[#This Row],[Order Date]])</f>
        <v>2022</v>
      </c>
    </row>
    <row r="3924" spans="1:10" ht="14.25" customHeight="1" x14ac:dyDescent="0.3">
      <c r="A3924" s="1">
        <v>44907</v>
      </c>
      <c r="B3924" s="2" t="s">
        <v>574</v>
      </c>
      <c r="C3924" s="2" t="s">
        <v>21</v>
      </c>
      <c r="D3924" s="2" t="s">
        <v>28</v>
      </c>
      <c r="E3924" s="2" t="s">
        <v>34</v>
      </c>
      <c r="F3924" s="2">
        <v>299.94</v>
      </c>
      <c r="G3924" s="2">
        <v>6</v>
      </c>
      <c r="H3924" s="2">
        <v>128.97</v>
      </c>
      <c r="I3924" t="str">
        <f t="shared" si="61"/>
        <v>Dec</v>
      </c>
      <c r="J3924">
        <f>YEAR(datas[[#This Row],[Order Date]])</f>
        <v>2022</v>
      </c>
    </row>
    <row r="3925" spans="1:10" ht="14.25" customHeight="1" x14ac:dyDescent="0.3">
      <c r="A3925" s="1">
        <v>44907</v>
      </c>
      <c r="B3925" s="2" t="s">
        <v>574</v>
      </c>
      <c r="C3925" s="2" t="s">
        <v>21</v>
      </c>
      <c r="D3925" s="2" t="s">
        <v>10</v>
      </c>
      <c r="E3925" s="2" t="s">
        <v>95</v>
      </c>
      <c r="F3925" s="2">
        <v>25.76</v>
      </c>
      <c r="G3925" s="2">
        <v>7</v>
      </c>
      <c r="H3925" s="2">
        <v>0.52</v>
      </c>
      <c r="I3925" t="str">
        <f t="shared" si="61"/>
        <v>Dec</v>
      </c>
      <c r="J3925">
        <f>YEAR(datas[[#This Row],[Order Date]])</f>
        <v>2022</v>
      </c>
    </row>
    <row r="3926" spans="1:10" ht="14.25" customHeight="1" x14ac:dyDescent="0.3">
      <c r="A3926" s="1">
        <v>44908</v>
      </c>
      <c r="B3926" s="2" t="s">
        <v>539</v>
      </c>
      <c r="C3926" s="2" t="s">
        <v>21</v>
      </c>
      <c r="D3926" s="2" t="s">
        <v>10</v>
      </c>
      <c r="E3926" s="2" t="s">
        <v>11</v>
      </c>
      <c r="F3926" s="2">
        <v>12.96</v>
      </c>
      <c r="G3926" s="2">
        <v>2</v>
      </c>
      <c r="H3926" s="2">
        <v>6.22</v>
      </c>
      <c r="I3926" t="str">
        <f t="shared" si="61"/>
        <v>Dec</v>
      </c>
      <c r="J3926">
        <f>YEAR(datas[[#This Row],[Order Date]])</f>
        <v>2022</v>
      </c>
    </row>
    <row r="3927" spans="1:10" ht="14.25" customHeight="1" x14ac:dyDescent="0.3">
      <c r="A3927" s="1">
        <v>44908</v>
      </c>
      <c r="B3927" s="2" t="s">
        <v>539</v>
      </c>
      <c r="C3927" s="2" t="s">
        <v>21</v>
      </c>
      <c r="D3927" s="2" t="s">
        <v>10</v>
      </c>
      <c r="E3927" s="2" t="s">
        <v>53</v>
      </c>
      <c r="F3927" s="2">
        <v>134.47999999999999</v>
      </c>
      <c r="G3927" s="2">
        <v>4</v>
      </c>
      <c r="H3927" s="2">
        <v>34.96</v>
      </c>
      <c r="I3927" t="str">
        <f t="shared" si="61"/>
        <v>Dec</v>
      </c>
      <c r="J3927">
        <f>YEAR(datas[[#This Row],[Order Date]])</f>
        <v>2022</v>
      </c>
    </row>
    <row r="3928" spans="1:10" ht="14.25" customHeight="1" x14ac:dyDescent="0.3">
      <c r="A3928" s="1">
        <v>44908</v>
      </c>
      <c r="B3928" s="2" t="s">
        <v>622</v>
      </c>
      <c r="C3928" s="2" t="s">
        <v>21</v>
      </c>
      <c r="D3928" s="2" t="s">
        <v>10</v>
      </c>
      <c r="E3928" s="2" t="s">
        <v>14</v>
      </c>
      <c r="F3928" s="2">
        <v>9.9600000000000009</v>
      </c>
      <c r="G3928" s="2">
        <v>2</v>
      </c>
      <c r="H3928" s="2">
        <v>4.58</v>
      </c>
      <c r="I3928" t="str">
        <f t="shared" si="61"/>
        <v>Dec</v>
      </c>
      <c r="J3928">
        <f>YEAR(datas[[#This Row],[Order Date]])</f>
        <v>2022</v>
      </c>
    </row>
    <row r="3929" spans="1:10" ht="14.25" customHeight="1" x14ac:dyDescent="0.3">
      <c r="A3929" s="1">
        <v>44908</v>
      </c>
      <c r="B3929" s="2" t="s">
        <v>182</v>
      </c>
      <c r="C3929" s="2" t="s">
        <v>21</v>
      </c>
      <c r="D3929" s="2" t="s">
        <v>28</v>
      </c>
      <c r="E3929" s="2" t="s">
        <v>29</v>
      </c>
      <c r="F3929" s="2">
        <v>494.38</v>
      </c>
      <c r="G3929" s="2">
        <v>3</v>
      </c>
      <c r="H3929" s="2">
        <v>49.44</v>
      </c>
      <c r="I3929" t="str">
        <f t="shared" si="61"/>
        <v>Dec</v>
      </c>
      <c r="J3929">
        <f>YEAR(datas[[#This Row],[Order Date]])</f>
        <v>2022</v>
      </c>
    </row>
    <row r="3930" spans="1:10" ht="14.25" customHeight="1" x14ac:dyDescent="0.3">
      <c r="A3930" s="1">
        <v>44908</v>
      </c>
      <c r="B3930" s="2" t="s">
        <v>182</v>
      </c>
      <c r="C3930" s="2" t="s">
        <v>21</v>
      </c>
      <c r="D3930" s="2" t="s">
        <v>10</v>
      </c>
      <c r="E3930" s="2" t="s">
        <v>16</v>
      </c>
      <c r="F3930" s="2">
        <v>29.2</v>
      </c>
      <c r="G3930" s="2">
        <v>5</v>
      </c>
      <c r="H3930" s="2">
        <v>9.86</v>
      </c>
      <c r="I3930" t="str">
        <f t="shared" si="61"/>
        <v>Dec</v>
      </c>
      <c r="J3930">
        <f>YEAR(datas[[#This Row],[Order Date]])</f>
        <v>2022</v>
      </c>
    </row>
    <row r="3931" spans="1:10" ht="14.25" customHeight="1" x14ac:dyDescent="0.3">
      <c r="A3931" s="1">
        <v>44908</v>
      </c>
      <c r="B3931" s="2" t="s">
        <v>182</v>
      </c>
      <c r="C3931" s="2" t="s">
        <v>21</v>
      </c>
      <c r="D3931" s="2" t="s">
        <v>28</v>
      </c>
      <c r="E3931" s="2" t="s">
        <v>34</v>
      </c>
      <c r="F3931" s="2">
        <v>248.85</v>
      </c>
      <c r="G3931" s="2">
        <v>5</v>
      </c>
      <c r="H3931" s="2">
        <v>27.37</v>
      </c>
      <c r="I3931" t="str">
        <f t="shared" si="61"/>
        <v>Dec</v>
      </c>
      <c r="J3931">
        <f>YEAR(datas[[#This Row],[Order Date]])</f>
        <v>2022</v>
      </c>
    </row>
    <row r="3932" spans="1:10" ht="14.25" customHeight="1" x14ac:dyDescent="0.3">
      <c r="A3932" s="1">
        <v>44908</v>
      </c>
      <c r="B3932" s="2" t="s">
        <v>182</v>
      </c>
      <c r="C3932" s="2" t="s">
        <v>21</v>
      </c>
      <c r="D3932" s="2" t="s">
        <v>28</v>
      </c>
      <c r="E3932" s="2" t="s">
        <v>34</v>
      </c>
      <c r="F3932" s="2">
        <v>36.24</v>
      </c>
      <c r="G3932" s="2">
        <v>1</v>
      </c>
      <c r="H3932" s="2">
        <v>15.22</v>
      </c>
      <c r="I3932" t="str">
        <f t="shared" si="61"/>
        <v>Dec</v>
      </c>
      <c r="J3932">
        <f>YEAR(datas[[#This Row],[Order Date]])</f>
        <v>2022</v>
      </c>
    </row>
    <row r="3933" spans="1:10" ht="14.25" customHeight="1" x14ac:dyDescent="0.3">
      <c r="A3933" s="1">
        <v>44908</v>
      </c>
      <c r="B3933" s="2" t="s">
        <v>289</v>
      </c>
      <c r="C3933" s="2" t="s">
        <v>181</v>
      </c>
      <c r="D3933" s="2" t="s">
        <v>10</v>
      </c>
      <c r="E3933" s="2" t="s">
        <v>11</v>
      </c>
      <c r="F3933" s="2">
        <v>19.440000000000001</v>
      </c>
      <c r="G3933" s="2">
        <v>3</v>
      </c>
      <c r="H3933" s="2">
        <v>9.33</v>
      </c>
      <c r="I3933" t="str">
        <f t="shared" si="61"/>
        <v>Dec</v>
      </c>
      <c r="J3933">
        <f>YEAR(datas[[#This Row],[Order Date]])</f>
        <v>2022</v>
      </c>
    </row>
    <row r="3934" spans="1:10" ht="14.25" customHeight="1" x14ac:dyDescent="0.3">
      <c r="A3934" s="1">
        <v>44908</v>
      </c>
      <c r="B3934" s="2" t="s">
        <v>289</v>
      </c>
      <c r="C3934" s="2" t="s">
        <v>181</v>
      </c>
      <c r="D3934" s="2" t="s">
        <v>10</v>
      </c>
      <c r="E3934" s="2" t="s">
        <v>16</v>
      </c>
      <c r="F3934" s="2">
        <v>37.880000000000003</v>
      </c>
      <c r="G3934" s="2">
        <v>2</v>
      </c>
      <c r="H3934" s="2">
        <v>18.940000000000001</v>
      </c>
      <c r="I3934" t="str">
        <f t="shared" si="61"/>
        <v>Dec</v>
      </c>
      <c r="J3934">
        <f>YEAR(datas[[#This Row],[Order Date]])</f>
        <v>2022</v>
      </c>
    </row>
    <row r="3935" spans="1:10" ht="14.25" customHeight="1" x14ac:dyDescent="0.3">
      <c r="A3935" s="1">
        <v>44909</v>
      </c>
      <c r="B3935" s="2" t="s">
        <v>61</v>
      </c>
      <c r="C3935" s="2" t="s">
        <v>23</v>
      </c>
      <c r="D3935" s="2" t="s">
        <v>10</v>
      </c>
      <c r="E3935" s="2" t="s">
        <v>16</v>
      </c>
      <c r="F3935" s="2">
        <v>3.76</v>
      </c>
      <c r="G3935" s="2">
        <v>2</v>
      </c>
      <c r="H3935" s="2">
        <v>1.8</v>
      </c>
      <c r="I3935" t="str">
        <f t="shared" si="61"/>
        <v>Dec</v>
      </c>
      <c r="J3935">
        <f>YEAR(datas[[#This Row],[Order Date]])</f>
        <v>2022</v>
      </c>
    </row>
    <row r="3936" spans="1:10" ht="14.25" customHeight="1" x14ac:dyDescent="0.3">
      <c r="A3936" s="1">
        <v>44909</v>
      </c>
      <c r="B3936" s="2" t="s">
        <v>798</v>
      </c>
      <c r="C3936" s="2" t="s">
        <v>52</v>
      </c>
      <c r="D3936" s="2" t="s">
        <v>28</v>
      </c>
      <c r="E3936" s="2" t="s">
        <v>29</v>
      </c>
      <c r="F3936" s="2">
        <v>319.97000000000003</v>
      </c>
      <c r="G3936" s="2">
        <v>4</v>
      </c>
      <c r="H3936" s="2">
        <v>36</v>
      </c>
      <c r="I3936" t="str">
        <f t="shared" si="61"/>
        <v>Dec</v>
      </c>
      <c r="J3936">
        <f>YEAR(datas[[#This Row],[Order Date]])</f>
        <v>2022</v>
      </c>
    </row>
    <row r="3937" spans="1:10" ht="14.25" customHeight="1" x14ac:dyDescent="0.3">
      <c r="A3937" s="1">
        <v>44909</v>
      </c>
      <c r="B3937" s="2" t="s">
        <v>314</v>
      </c>
      <c r="C3937" s="2" t="s">
        <v>21</v>
      </c>
      <c r="D3937" s="2" t="s">
        <v>10</v>
      </c>
      <c r="E3937" s="2" t="s">
        <v>16</v>
      </c>
      <c r="F3937" s="2">
        <v>8.1</v>
      </c>
      <c r="G3937" s="2">
        <v>2</v>
      </c>
      <c r="H3937" s="2">
        <v>2.73</v>
      </c>
      <c r="I3937" t="str">
        <f t="shared" si="61"/>
        <v>Dec</v>
      </c>
      <c r="J3937">
        <f>YEAR(datas[[#This Row],[Order Date]])</f>
        <v>2022</v>
      </c>
    </row>
    <row r="3938" spans="1:10" ht="14.25" customHeight="1" x14ac:dyDescent="0.3">
      <c r="A3938" s="1">
        <v>44909</v>
      </c>
      <c r="B3938" s="2" t="s">
        <v>506</v>
      </c>
      <c r="C3938" s="2" t="s">
        <v>143</v>
      </c>
      <c r="D3938" s="2" t="s">
        <v>26</v>
      </c>
      <c r="E3938" s="2" t="s">
        <v>32</v>
      </c>
      <c r="F3938" s="2">
        <v>6.16</v>
      </c>
      <c r="G3938" s="2">
        <v>2</v>
      </c>
      <c r="H3938" s="2">
        <v>1.97</v>
      </c>
      <c r="I3938" t="str">
        <f t="shared" si="61"/>
        <v>Dec</v>
      </c>
      <c r="J3938">
        <f>YEAR(datas[[#This Row],[Order Date]])</f>
        <v>2022</v>
      </c>
    </row>
    <row r="3939" spans="1:10" ht="14.25" customHeight="1" x14ac:dyDescent="0.3">
      <c r="A3939" s="1">
        <v>44909</v>
      </c>
      <c r="B3939" s="2" t="s">
        <v>506</v>
      </c>
      <c r="C3939" s="2" t="s">
        <v>143</v>
      </c>
      <c r="D3939" s="2" t="s">
        <v>10</v>
      </c>
      <c r="E3939" s="2" t="s">
        <v>19</v>
      </c>
      <c r="F3939" s="2">
        <v>56.3</v>
      </c>
      <c r="G3939" s="2">
        <v>2</v>
      </c>
      <c r="H3939" s="2">
        <v>15.76</v>
      </c>
      <c r="I3939" t="str">
        <f t="shared" si="61"/>
        <v>Dec</v>
      </c>
      <c r="J3939">
        <f>YEAR(datas[[#This Row],[Order Date]])</f>
        <v>2022</v>
      </c>
    </row>
    <row r="3940" spans="1:10" ht="14.25" customHeight="1" x14ac:dyDescent="0.3">
      <c r="A3940" s="1">
        <v>44909</v>
      </c>
      <c r="B3940" s="2" t="s">
        <v>437</v>
      </c>
      <c r="C3940" s="2" t="s">
        <v>21</v>
      </c>
      <c r="D3940" s="2" t="s">
        <v>26</v>
      </c>
      <c r="E3940" s="2" t="s">
        <v>32</v>
      </c>
      <c r="F3940" s="2">
        <v>15.24</v>
      </c>
      <c r="G3940" s="2">
        <v>3</v>
      </c>
      <c r="H3940" s="2">
        <v>5.18</v>
      </c>
      <c r="I3940" t="str">
        <f t="shared" si="61"/>
        <v>Dec</v>
      </c>
      <c r="J3940">
        <f>YEAR(datas[[#This Row],[Order Date]])</f>
        <v>2022</v>
      </c>
    </row>
    <row r="3941" spans="1:10" ht="14.25" customHeight="1" x14ac:dyDescent="0.3">
      <c r="A3941" s="1">
        <v>44909</v>
      </c>
      <c r="B3941" s="2" t="s">
        <v>349</v>
      </c>
      <c r="C3941" s="2" t="s">
        <v>21</v>
      </c>
      <c r="D3941" s="2" t="s">
        <v>26</v>
      </c>
      <c r="E3941" s="2" t="s">
        <v>32</v>
      </c>
      <c r="F3941" s="2">
        <v>29.22</v>
      </c>
      <c r="G3941" s="2">
        <v>3</v>
      </c>
      <c r="H3941" s="2">
        <v>12.86</v>
      </c>
      <c r="I3941" t="str">
        <f t="shared" si="61"/>
        <v>Dec</v>
      </c>
      <c r="J3941">
        <f>YEAR(datas[[#This Row],[Order Date]])</f>
        <v>2022</v>
      </c>
    </row>
    <row r="3942" spans="1:10" ht="14.25" customHeight="1" x14ac:dyDescent="0.3">
      <c r="A3942" s="1">
        <v>44909</v>
      </c>
      <c r="B3942" s="2" t="s">
        <v>114</v>
      </c>
      <c r="C3942" s="2" t="s">
        <v>21</v>
      </c>
      <c r="D3942" s="2" t="s">
        <v>28</v>
      </c>
      <c r="E3942" s="2" t="s">
        <v>34</v>
      </c>
      <c r="F3942" s="2">
        <v>50</v>
      </c>
      <c r="G3942" s="2">
        <v>2</v>
      </c>
      <c r="H3942" s="2">
        <v>10.5</v>
      </c>
      <c r="I3942" t="str">
        <f t="shared" si="61"/>
        <v>Dec</v>
      </c>
      <c r="J3942">
        <f>YEAR(datas[[#This Row],[Order Date]])</f>
        <v>2022</v>
      </c>
    </row>
    <row r="3943" spans="1:10" ht="14.25" customHeight="1" x14ac:dyDescent="0.3">
      <c r="A3943" s="1">
        <v>44909</v>
      </c>
      <c r="B3943" s="2" t="s">
        <v>576</v>
      </c>
      <c r="C3943" s="2" t="s">
        <v>21</v>
      </c>
      <c r="D3943" s="2" t="s">
        <v>10</v>
      </c>
      <c r="E3943" s="2" t="s">
        <v>16</v>
      </c>
      <c r="F3943" s="2">
        <v>55.26</v>
      </c>
      <c r="G3943" s="2">
        <v>2</v>
      </c>
      <c r="H3943" s="2">
        <v>20.72</v>
      </c>
      <c r="I3943" t="str">
        <f t="shared" si="61"/>
        <v>Dec</v>
      </c>
      <c r="J3943">
        <f>YEAR(datas[[#This Row],[Order Date]])</f>
        <v>2022</v>
      </c>
    </row>
    <row r="3944" spans="1:10" ht="14.25" customHeight="1" x14ac:dyDescent="0.3">
      <c r="A3944" s="1">
        <v>44909</v>
      </c>
      <c r="B3944" s="2" t="s">
        <v>576</v>
      </c>
      <c r="C3944" s="2" t="s">
        <v>21</v>
      </c>
      <c r="D3944" s="2" t="s">
        <v>10</v>
      </c>
      <c r="E3944" s="2" t="s">
        <v>11</v>
      </c>
      <c r="F3944" s="2">
        <v>6.48</v>
      </c>
      <c r="G3944" s="2">
        <v>1</v>
      </c>
      <c r="H3944" s="2">
        <v>3.11</v>
      </c>
      <c r="I3944" t="str">
        <f t="shared" si="61"/>
        <v>Dec</v>
      </c>
      <c r="J3944">
        <f>YEAR(datas[[#This Row],[Order Date]])</f>
        <v>2022</v>
      </c>
    </row>
    <row r="3945" spans="1:10" ht="14.25" customHeight="1" x14ac:dyDescent="0.3">
      <c r="A3945" s="1">
        <v>44909</v>
      </c>
      <c r="B3945" s="2" t="s">
        <v>576</v>
      </c>
      <c r="C3945" s="2" t="s">
        <v>21</v>
      </c>
      <c r="D3945" s="2" t="s">
        <v>10</v>
      </c>
      <c r="E3945" s="2" t="s">
        <v>16</v>
      </c>
      <c r="F3945" s="2">
        <v>34.25</v>
      </c>
      <c r="G3945" s="2">
        <v>3</v>
      </c>
      <c r="H3945" s="2">
        <v>11.56</v>
      </c>
      <c r="I3945" t="str">
        <f t="shared" si="61"/>
        <v>Dec</v>
      </c>
      <c r="J3945">
        <f>YEAR(datas[[#This Row],[Order Date]])</f>
        <v>2022</v>
      </c>
    </row>
    <row r="3946" spans="1:10" ht="14.25" customHeight="1" x14ac:dyDescent="0.3">
      <c r="A3946" s="1">
        <v>44909</v>
      </c>
      <c r="B3946" s="2" t="s">
        <v>576</v>
      </c>
      <c r="C3946" s="2" t="s">
        <v>21</v>
      </c>
      <c r="D3946" s="2" t="s">
        <v>26</v>
      </c>
      <c r="E3946" s="2" t="s">
        <v>73</v>
      </c>
      <c r="F3946" s="2">
        <v>273.57</v>
      </c>
      <c r="G3946" s="2">
        <v>2</v>
      </c>
      <c r="H3946" s="2">
        <v>10.26</v>
      </c>
      <c r="I3946" t="str">
        <f t="shared" si="61"/>
        <v>Dec</v>
      </c>
      <c r="J3946">
        <f>YEAR(datas[[#This Row],[Order Date]])</f>
        <v>2022</v>
      </c>
    </row>
    <row r="3947" spans="1:10" ht="14.25" customHeight="1" x14ac:dyDescent="0.3">
      <c r="A3947" s="1">
        <v>44910</v>
      </c>
      <c r="B3947" s="2" t="s">
        <v>483</v>
      </c>
      <c r="C3947" s="2" t="s">
        <v>75</v>
      </c>
      <c r="D3947" s="2" t="s">
        <v>10</v>
      </c>
      <c r="E3947" s="2" t="s">
        <v>19</v>
      </c>
      <c r="F3947" s="2">
        <v>3.28</v>
      </c>
      <c r="G3947" s="2">
        <v>1</v>
      </c>
      <c r="H3947" s="2">
        <v>1.41</v>
      </c>
      <c r="I3947" t="str">
        <f t="shared" si="61"/>
        <v>Dec</v>
      </c>
      <c r="J3947">
        <f>YEAR(datas[[#This Row],[Order Date]])</f>
        <v>2022</v>
      </c>
    </row>
    <row r="3948" spans="1:10" ht="14.25" customHeight="1" x14ac:dyDescent="0.3">
      <c r="A3948" s="1">
        <v>44910</v>
      </c>
      <c r="B3948" s="2" t="s">
        <v>413</v>
      </c>
      <c r="C3948" s="2" t="s">
        <v>82</v>
      </c>
      <c r="D3948" s="2" t="s">
        <v>10</v>
      </c>
      <c r="E3948" s="2" t="s">
        <v>53</v>
      </c>
      <c r="F3948" s="2">
        <v>103.92</v>
      </c>
      <c r="G3948" s="2">
        <v>4</v>
      </c>
      <c r="H3948" s="2">
        <v>36.369999999999997</v>
      </c>
      <c r="I3948" t="str">
        <f t="shared" si="61"/>
        <v>Dec</v>
      </c>
      <c r="J3948">
        <f>YEAR(datas[[#This Row],[Order Date]])</f>
        <v>2022</v>
      </c>
    </row>
    <row r="3949" spans="1:10" ht="14.25" customHeight="1" x14ac:dyDescent="0.3">
      <c r="A3949" s="1">
        <v>44910</v>
      </c>
      <c r="B3949" s="2" t="s">
        <v>413</v>
      </c>
      <c r="C3949" s="2" t="s">
        <v>82</v>
      </c>
      <c r="D3949" s="2" t="s">
        <v>28</v>
      </c>
      <c r="E3949" s="2" t="s">
        <v>34</v>
      </c>
      <c r="F3949" s="2">
        <v>899.91</v>
      </c>
      <c r="G3949" s="2">
        <v>9</v>
      </c>
      <c r="H3949" s="2">
        <v>377.96</v>
      </c>
      <c r="I3949" t="str">
        <f t="shared" si="61"/>
        <v>Dec</v>
      </c>
      <c r="J3949">
        <f>YEAR(datas[[#This Row],[Order Date]])</f>
        <v>2022</v>
      </c>
    </row>
    <row r="3950" spans="1:10" ht="14.25" customHeight="1" x14ac:dyDescent="0.3">
      <c r="A3950" s="1">
        <v>44910</v>
      </c>
      <c r="B3950" s="2" t="s">
        <v>413</v>
      </c>
      <c r="C3950" s="2" t="s">
        <v>82</v>
      </c>
      <c r="D3950" s="2" t="s">
        <v>10</v>
      </c>
      <c r="E3950" s="2" t="s">
        <v>16</v>
      </c>
      <c r="F3950" s="2">
        <v>51.31</v>
      </c>
      <c r="G3950" s="2">
        <v>3</v>
      </c>
      <c r="H3950" s="2">
        <v>18.600000000000001</v>
      </c>
      <c r="I3950" t="str">
        <f t="shared" si="61"/>
        <v>Dec</v>
      </c>
      <c r="J3950">
        <f>YEAR(datas[[#This Row],[Order Date]])</f>
        <v>2022</v>
      </c>
    </row>
    <row r="3951" spans="1:10" ht="14.25" customHeight="1" x14ac:dyDescent="0.3">
      <c r="A3951" s="1">
        <v>44910</v>
      </c>
      <c r="B3951" s="2" t="s">
        <v>89</v>
      </c>
      <c r="C3951" s="2" t="s">
        <v>47</v>
      </c>
      <c r="D3951" s="2" t="s">
        <v>28</v>
      </c>
      <c r="E3951" s="2" t="s">
        <v>34</v>
      </c>
      <c r="F3951" s="2">
        <v>2025.36</v>
      </c>
      <c r="G3951" s="2">
        <v>6</v>
      </c>
      <c r="H3951" s="2">
        <v>607.61</v>
      </c>
      <c r="I3951" t="str">
        <f t="shared" si="61"/>
        <v>Dec</v>
      </c>
      <c r="J3951">
        <f>YEAR(datas[[#This Row],[Order Date]])</f>
        <v>2022</v>
      </c>
    </row>
    <row r="3952" spans="1:10" ht="14.25" customHeight="1" x14ac:dyDescent="0.3">
      <c r="A3952" s="1">
        <v>44910</v>
      </c>
      <c r="B3952" s="2" t="s">
        <v>89</v>
      </c>
      <c r="C3952" s="2" t="s">
        <v>47</v>
      </c>
      <c r="D3952" s="2" t="s">
        <v>28</v>
      </c>
      <c r="E3952" s="2" t="s">
        <v>136</v>
      </c>
      <c r="F3952" s="2">
        <v>1799.99</v>
      </c>
      <c r="G3952" s="2">
        <v>2</v>
      </c>
      <c r="H3952" s="2">
        <v>-2639.99</v>
      </c>
      <c r="I3952" t="str">
        <f t="shared" si="61"/>
        <v>Dec</v>
      </c>
      <c r="J3952">
        <f>YEAR(datas[[#This Row],[Order Date]])</f>
        <v>2022</v>
      </c>
    </row>
    <row r="3953" spans="1:10" ht="14.25" customHeight="1" x14ac:dyDescent="0.3">
      <c r="A3953" s="1">
        <v>44910</v>
      </c>
      <c r="B3953" s="2" t="s">
        <v>89</v>
      </c>
      <c r="C3953" s="2" t="s">
        <v>47</v>
      </c>
      <c r="D3953" s="2" t="s">
        <v>28</v>
      </c>
      <c r="E3953" s="2" t="s">
        <v>29</v>
      </c>
      <c r="F3953" s="2">
        <v>101.99</v>
      </c>
      <c r="G3953" s="2">
        <v>2</v>
      </c>
      <c r="H3953" s="2">
        <v>-17</v>
      </c>
      <c r="I3953" t="str">
        <f t="shared" si="61"/>
        <v>Dec</v>
      </c>
      <c r="J3953">
        <f>YEAR(datas[[#This Row],[Order Date]])</f>
        <v>2022</v>
      </c>
    </row>
    <row r="3954" spans="1:10" ht="14.25" customHeight="1" x14ac:dyDescent="0.3">
      <c r="A3954" s="1">
        <v>44910</v>
      </c>
      <c r="B3954" s="2" t="s">
        <v>89</v>
      </c>
      <c r="C3954" s="2" t="s">
        <v>47</v>
      </c>
      <c r="D3954" s="2" t="s">
        <v>26</v>
      </c>
      <c r="E3954" s="2" t="s">
        <v>32</v>
      </c>
      <c r="F3954" s="2">
        <v>262.86</v>
      </c>
      <c r="G3954" s="2">
        <v>7</v>
      </c>
      <c r="H3954" s="2">
        <v>69</v>
      </c>
      <c r="I3954" t="str">
        <f t="shared" si="61"/>
        <v>Dec</v>
      </c>
      <c r="J3954">
        <f>YEAR(datas[[#This Row],[Order Date]])</f>
        <v>2022</v>
      </c>
    </row>
    <row r="3955" spans="1:10" ht="14.25" customHeight="1" x14ac:dyDescent="0.3">
      <c r="A3955" s="1">
        <v>44910</v>
      </c>
      <c r="B3955" s="2" t="s">
        <v>460</v>
      </c>
      <c r="C3955" s="2" t="s">
        <v>115</v>
      </c>
      <c r="D3955" s="2" t="s">
        <v>28</v>
      </c>
      <c r="E3955" s="2" t="s">
        <v>29</v>
      </c>
      <c r="F3955" s="2">
        <v>246.17</v>
      </c>
      <c r="G3955" s="2">
        <v>3</v>
      </c>
      <c r="H3955" s="2">
        <v>21.54</v>
      </c>
      <c r="I3955" t="str">
        <f t="shared" si="61"/>
        <v>Dec</v>
      </c>
      <c r="J3955">
        <f>YEAR(datas[[#This Row],[Order Date]])</f>
        <v>2022</v>
      </c>
    </row>
    <row r="3956" spans="1:10" ht="14.25" customHeight="1" x14ac:dyDescent="0.3">
      <c r="A3956" s="1">
        <v>44911</v>
      </c>
      <c r="B3956" s="2" t="s">
        <v>780</v>
      </c>
      <c r="C3956" s="2" t="s">
        <v>82</v>
      </c>
      <c r="D3956" s="2" t="s">
        <v>10</v>
      </c>
      <c r="E3956" s="2" t="s">
        <v>11</v>
      </c>
      <c r="F3956" s="2">
        <v>4.9800000000000004</v>
      </c>
      <c r="G3956" s="2">
        <v>1</v>
      </c>
      <c r="H3956" s="2">
        <v>2.34</v>
      </c>
      <c r="I3956" t="str">
        <f t="shared" si="61"/>
        <v>Dec</v>
      </c>
      <c r="J3956">
        <f>YEAR(datas[[#This Row],[Order Date]])</f>
        <v>2022</v>
      </c>
    </row>
    <row r="3957" spans="1:10" ht="14.25" customHeight="1" x14ac:dyDescent="0.3">
      <c r="A3957" s="1">
        <v>44912</v>
      </c>
      <c r="B3957" s="2" t="s">
        <v>218</v>
      </c>
      <c r="C3957" s="2" t="s">
        <v>60</v>
      </c>
      <c r="D3957" s="2" t="s">
        <v>10</v>
      </c>
      <c r="E3957" s="2" t="s">
        <v>16</v>
      </c>
      <c r="F3957" s="2">
        <v>29.52</v>
      </c>
      <c r="G3957" s="2">
        <v>4</v>
      </c>
      <c r="H3957" s="2">
        <v>14.46</v>
      </c>
      <c r="I3957" t="str">
        <f t="shared" si="61"/>
        <v>Dec</v>
      </c>
      <c r="J3957">
        <f>YEAR(datas[[#This Row],[Order Date]])</f>
        <v>2022</v>
      </c>
    </row>
    <row r="3958" spans="1:10" ht="14.25" customHeight="1" x14ac:dyDescent="0.3">
      <c r="A3958" s="1">
        <v>44912</v>
      </c>
      <c r="B3958" s="2" t="s">
        <v>218</v>
      </c>
      <c r="C3958" s="2" t="s">
        <v>60</v>
      </c>
      <c r="D3958" s="2" t="s">
        <v>26</v>
      </c>
      <c r="E3958" s="2" t="s">
        <v>27</v>
      </c>
      <c r="F3958" s="2">
        <v>302.94</v>
      </c>
      <c r="G3958" s="2">
        <v>3</v>
      </c>
      <c r="H3958" s="2">
        <v>48.47</v>
      </c>
      <c r="I3958" t="str">
        <f t="shared" si="61"/>
        <v>Dec</v>
      </c>
      <c r="J3958">
        <f>YEAR(datas[[#This Row],[Order Date]])</f>
        <v>2022</v>
      </c>
    </row>
    <row r="3959" spans="1:10" ht="14.25" customHeight="1" x14ac:dyDescent="0.3">
      <c r="A3959" s="1">
        <v>44912</v>
      </c>
      <c r="B3959" s="2" t="s">
        <v>218</v>
      </c>
      <c r="C3959" s="2" t="s">
        <v>60</v>
      </c>
      <c r="D3959" s="2" t="s">
        <v>26</v>
      </c>
      <c r="E3959" s="2" t="s">
        <v>27</v>
      </c>
      <c r="F3959" s="2">
        <v>142.36000000000001</v>
      </c>
      <c r="G3959" s="2">
        <v>2</v>
      </c>
      <c r="H3959" s="2">
        <v>38.44</v>
      </c>
      <c r="I3959" t="str">
        <f t="shared" si="61"/>
        <v>Dec</v>
      </c>
      <c r="J3959">
        <f>YEAR(datas[[#This Row],[Order Date]])</f>
        <v>2022</v>
      </c>
    </row>
    <row r="3960" spans="1:10" ht="14.25" customHeight="1" x14ac:dyDescent="0.3">
      <c r="A3960" s="1">
        <v>44912</v>
      </c>
      <c r="B3960" s="2" t="s">
        <v>218</v>
      </c>
      <c r="C3960" s="2" t="s">
        <v>60</v>
      </c>
      <c r="D3960" s="2" t="s">
        <v>26</v>
      </c>
      <c r="E3960" s="2" t="s">
        <v>27</v>
      </c>
      <c r="F3960" s="2">
        <v>546.66</v>
      </c>
      <c r="G3960" s="2">
        <v>9</v>
      </c>
      <c r="H3960" s="2">
        <v>136.66999999999999</v>
      </c>
      <c r="I3960" t="str">
        <f t="shared" si="61"/>
        <v>Dec</v>
      </c>
      <c r="J3960">
        <f>YEAR(datas[[#This Row],[Order Date]])</f>
        <v>2022</v>
      </c>
    </row>
    <row r="3961" spans="1:10" ht="14.25" customHeight="1" x14ac:dyDescent="0.3">
      <c r="A3961" s="1">
        <v>44912</v>
      </c>
      <c r="B3961" s="2" t="s">
        <v>218</v>
      </c>
      <c r="C3961" s="2" t="s">
        <v>60</v>
      </c>
      <c r="D3961" s="2" t="s">
        <v>26</v>
      </c>
      <c r="E3961" s="2" t="s">
        <v>32</v>
      </c>
      <c r="F3961" s="2">
        <v>212.13</v>
      </c>
      <c r="G3961" s="2">
        <v>3</v>
      </c>
      <c r="H3961" s="2">
        <v>14.85</v>
      </c>
      <c r="I3961" t="str">
        <f t="shared" si="61"/>
        <v>Dec</v>
      </c>
      <c r="J3961">
        <f>YEAR(datas[[#This Row],[Order Date]])</f>
        <v>2022</v>
      </c>
    </row>
    <row r="3962" spans="1:10" ht="14.25" customHeight="1" x14ac:dyDescent="0.3">
      <c r="A3962" s="1">
        <v>44912</v>
      </c>
      <c r="B3962" s="2" t="s">
        <v>327</v>
      </c>
      <c r="C3962" s="2" t="s">
        <v>13</v>
      </c>
      <c r="D3962" s="2" t="s">
        <v>10</v>
      </c>
      <c r="E3962" s="2" t="s">
        <v>15</v>
      </c>
      <c r="F3962" s="2">
        <v>180.02</v>
      </c>
      <c r="G3962" s="2">
        <v>1</v>
      </c>
      <c r="H3962" s="2">
        <v>-15.75</v>
      </c>
      <c r="I3962" t="str">
        <f t="shared" si="61"/>
        <v>Dec</v>
      </c>
      <c r="J3962">
        <f>YEAR(datas[[#This Row],[Order Date]])</f>
        <v>2022</v>
      </c>
    </row>
    <row r="3963" spans="1:10" ht="14.25" customHeight="1" x14ac:dyDescent="0.3">
      <c r="A3963" s="1">
        <v>44912</v>
      </c>
      <c r="B3963" s="2" t="s">
        <v>327</v>
      </c>
      <c r="C3963" s="2" t="s">
        <v>13</v>
      </c>
      <c r="D3963" s="2" t="s">
        <v>26</v>
      </c>
      <c r="E3963" s="2" t="s">
        <v>32</v>
      </c>
      <c r="F3963" s="2">
        <v>41.55</v>
      </c>
      <c r="G3963" s="2">
        <v>2</v>
      </c>
      <c r="H3963" s="2">
        <v>-19.739999999999998</v>
      </c>
      <c r="I3963" t="str">
        <f t="shared" si="61"/>
        <v>Dec</v>
      </c>
      <c r="J3963">
        <f>YEAR(datas[[#This Row],[Order Date]])</f>
        <v>2022</v>
      </c>
    </row>
    <row r="3964" spans="1:10" ht="14.25" customHeight="1" x14ac:dyDescent="0.3">
      <c r="A3964" s="1">
        <v>44912</v>
      </c>
      <c r="B3964" s="2" t="s">
        <v>327</v>
      </c>
      <c r="C3964" s="2" t="s">
        <v>13</v>
      </c>
      <c r="D3964" s="2" t="s">
        <v>10</v>
      </c>
      <c r="E3964" s="2" t="s">
        <v>19</v>
      </c>
      <c r="F3964" s="2">
        <v>13.12</v>
      </c>
      <c r="G3964" s="2">
        <v>5</v>
      </c>
      <c r="H3964" s="2">
        <v>1.48</v>
      </c>
      <c r="I3964" t="str">
        <f t="shared" si="61"/>
        <v>Dec</v>
      </c>
      <c r="J3964">
        <f>YEAR(datas[[#This Row],[Order Date]])</f>
        <v>2022</v>
      </c>
    </row>
    <row r="3965" spans="1:10" ht="14.25" customHeight="1" x14ac:dyDescent="0.3">
      <c r="A3965" s="1">
        <v>44912</v>
      </c>
      <c r="B3965" s="2" t="s">
        <v>260</v>
      </c>
      <c r="C3965" s="2" t="s">
        <v>21</v>
      </c>
      <c r="D3965" s="2" t="s">
        <v>10</v>
      </c>
      <c r="E3965" s="2" t="s">
        <v>19</v>
      </c>
      <c r="F3965" s="2">
        <v>204.85</v>
      </c>
      <c r="G3965" s="2">
        <v>5</v>
      </c>
      <c r="H3965" s="2">
        <v>53.26</v>
      </c>
      <c r="I3965" t="str">
        <f t="shared" si="61"/>
        <v>Dec</v>
      </c>
      <c r="J3965">
        <f>YEAR(datas[[#This Row],[Order Date]])</f>
        <v>2022</v>
      </c>
    </row>
    <row r="3966" spans="1:10" ht="14.25" customHeight="1" x14ac:dyDescent="0.3">
      <c r="A3966" s="1">
        <v>44912</v>
      </c>
      <c r="B3966" s="2" t="s">
        <v>260</v>
      </c>
      <c r="C3966" s="2" t="s">
        <v>21</v>
      </c>
      <c r="D3966" s="2" t="s">
        <v>28</v>
      </c>
      <c r="E3966" s="2" t="s">
        <v>29</v>
      </c>
      <c r="F3966" s="2">
        <v>135.97999999999999</v>
      </c>
      <c r="G3966" s="2">
        <v>2</v>
      </c>
      <c r="H3966" s="2">
        <v>17</v>
      </c>
      <c r="I3966" t="str">
        <f t="shared" si="61"/>
        <v>Dec</v>
      </c>
      <c r="J3966">
        <f>YEAR(datas[[#This Row],[Order Date]])</f>
        <v>2022</v>
      </c>
    </row>
    <row r="3967" spans="1:10" ht="14.25" customHeight="1" x14ac:dyDescent="0.3">
      <c r="A3967" s="1">
        <v>44912</v>
      </c>
      <c r="B3967" s="2" t="s">
        <v>260</v>
      </c>
      <c r="C3967" s="2" t="s">
        <v>21</v>
      </c>
      <c r="D3967" s="2" t="s">
        <v>10</v>
      </c>
      <c r="E3967" s="2" t="s">
        <v>19</v>
      </c>
      <c r="F3967" s="2">
        <v>16.399999999999999</v>
      </c>
      <c r="G3967" s="2">
        <v>5</v>
      </c>
      <c r="H3967" s="2">
        <v>7.05</v>
      </c>
      <c r="I3967" t="str">
        <f t="shared" si="61"/>
        <v>Dec</v>
      </c>
      <c r="J3967">
        <f>YEAR(datas[[#This Row],[Order Date]])</f>
        <v>2022</v>
      </c>
    </row>
    <row r="3968" spans="1:10" ht="14.25" customHeight="1" x14ac:dyDescent="0.3">
      <c r="A3968" s="1">
        <v>44912</v>
      </c>
      <c r="B3968" s="2" t="s">
        <v>260</v>
      </c>
      <c r="C3968" s="2" t="s">
        <v>21</v>
      </c>
      <c r="D3968" s="2" t="s">
        <v>10</v>
      </c>
      <c r="E3968" s="2" t="s">
        <v>16</v>
      </c>
      <c r="F3968" s="2">
        <v>92.96</v>
      </c>
      <c r="G3968" s="2">
        <v>2</v>
      </c>
      <c r="H3968" s="2">
        <v>31.37</v>
      </c>
      <c r="I3968" t="str">
        <f t="shared" si="61"/>
        <v>Dec</v>
      </c>
      <c r="J3968">
        <f>YEAR(datas[[#This Row],[Order Date]])</f>
        <v>2022</v>
      </c>
    </row>
    <row r="3969" spans="1:10" ht="14.25" customHeight="1" x14ac:dyDescent="0.3">
      <c r="A3969" s="1">
        <v>44913</v>
      </c>
      <c r="B3969" s="2" t="s">
        <v>340</v>
      </c>
      <c r="C3969" s="2" t="s">
        <v>47</v>
      </c>
      <c r="D3969" s="2" t="s">
        <v>10</v>
      </c>
      <c r="E3969" s="2" t="s">
        <v>15</v>
      </c>
      <c r="F3969" s="2">
        <v>646.78</v>
      </c>
      <c r="G3969" s="2">
        <v>9</v>
      </c>
      <c r="H3969" s="2">
        <v>-145.52000000000001</v>
      </c>
      <c r="I3969" t="str">
        <f t="shared" si="61"/>
        <v>Dec</v>
      </c>
      <c r="J3969">
        <f>YEAR(datas[[#This Row],[Order Date]])</f>
        <v>2022</v>
      </c>
    </row>
    <row r="3970" spans="1:10" ht="14.25" customHeight="1" x14ac:dyDescent="0.3">
      <c r="A3970" s="1">
        <v>44913</v>
      </c>
      <c r="B3970" s="2" t="s">
        <v>433</v>
      </c>
      <c r="C3970" s="2" t="s">
        <v>75</v>
      </c>
      <c r="D3970" s="2" t="s">
        <v>28</v>
      </c>
      <c r="E3970" s="2" t="s">
        <v>34</v>
      </c>
      <c r="F3970" s="2">
        <v>166.24</v>
      </c>
      <c r="G3970" s="2">
        <v>1</v>
      </c>
      <c r="H3970" s="2">
        <v>24.94</v>
      </c>
      <c r="I3970" t="str">
        <f t="shared" si="61"/>
        <v>Dec</v>
      </c>
      <c r="J3970">
        <f>YEAR(datas[[#This Row],[Order Date]])</f>
        <v>2022</v>
      </c>
    </row>
    <row r="3971" spans="1:10" ht="14.25" customHeight="1" x14ac:dyDescent="0.3">
      <c r="A3971" s="1">
        <v>44913</v>
      </c>
      <c r="B3971" s="2" t="s">
        <v>593</v>
      </c>
      <c r="C3971" s="2" t="s">
        <v>126</v>
      </c>
      <c r="D3971" s="2" t="s">
        <v>10</v>
      </c>
      <c r="E3971" s="2" t="s">
        <v>19</v>
      </c>
      <c r="F3971" s="2">
        <v>6.85</v>
      </c>
      <c r="G3971" s="2">
        <v>2</v>
      </c>
      <c r="H3971" s="2">
        <v>0.6</v>
      </c>
      <c r="I3971" t="str">
        <f t="shared" ref="I3971:I4034" si="62">TEXT(A3971,"mmm")</f>
        <v>Dec</v>
      </c>
      <c r="J3971">
        <f>YEAR(datas[[#This Row],[Order Date]])</f>
        <v>2022</v>
      </c>
    </row>
    <row r="3972" spans="1:10" ht="14.25" customHeight="1" x14ac:dyDescent="0.3">
      <c r="A3972" s="1">
        <v>44913</v>
      </c>
      <c r="B3972" s="2" t="s">
        <v>427</v>
      </c>
      <c r="C3972" s="2" t="s">
        <v>62</v>
      </c>
      <c r="D3972" s="2" t="s">
        <v>10</v>
      </c>
      <c r="E3972" s="2" t="s">
        <v>41</v>
      </c>
      <c r="F3972" s="2">
        <v>55.94</v>
      </c>
      <c r="G3972" s="2">
        <v>8</v>
      </c>
      <c r="H3972" s="2">
        <v>18.88</v>
      </c>
      <c r="I3972" t="str">
        <f t="shared" si="62"/>
        <v>Dec</v>
      </c>
      <c r="J3972">
        <f>YEAR(datas[[#This Row],[Order Date]])</f>
        <v>2022</v>
      </c>
    </row>
    <row r="3973" spans="1:10" ht="14.25" customHeight="1" x14ac:dyDescent="0.3">
      <c r="A3973" s="1">
        <v>44913</v>
      </c>
      <c r="B3973" s="2" t="s">
        <v>427</v>
      </c>
      <c r="C3973" s="2" t="s">
        <v>62</v>
      </c>
      <c r="D3973" s="2" t="s">
        <v>10</v>
      </c>
      <c r="E3973" s="2" t="s">
        <v>14</v>
      </c>
      <c r="F3973" s="2">
        <v>18.43</v>
      </c>
      <c r="G3973" s="2">
        <v>8</v>
      </c>
      <c r="H3973" s="2">
        <v>5.99</v>
      </c>
      <c r="I3973" t="str">
        <f t="shared" si="62"/>
        <v>Dec</v>
      </c>
      <c r="J3973">
        <f>YEAR(datas[[#This Row],[Order Date]])</f>
        <v>2022</v>
      </c>
    </row>
    <row r="3974" spans="1:10" ht="14.25" customHeight="1" x14ac:dyDescent="0.3">
      <c r="A3974" s="1">
        <v>44913</v>
      </c>
      <c r="B3974" s="2" t="s">
        <v>427</v>
      </c>
      <c r="C3974" s="2" t="s">
        <v>62</v>
      </c>
      <c r="D3974" s="2" t="s">
        <v>26</v>
      </c>
      <c r="E3974" s="2" t="s">
        <v>32</v>
      </c>
      <c r="F3974" s="2">
        <v>20.32</v>
      </c>
      <c r="G3974" s="2">
        <v>5</v>
      </c>
      <c r="H3974" s="2">
        <v>3.56</v>
      </c>
      <c r="I3974" t="str">
        <f t="shared" si="62"/>
        <v>Dec</v>
      </c>
      <c r="J3974">
        <f>YEAR(datas[[#This Row],[Order Date]])</f>
        <v>2022</v>
      </c>
    </row>
    <row r="3975" spans="1:10" ht="14.25" customHeight="1" x14ac:dyDescent="0.3">
      <c r="A3975" s="1">
        <v>44913</v>
      </c>
      <c r="B3975" s="2" t="s">
        <v>483</v>
      </c>
      <c r="C3975" s="2" t="s">
        <v>47</v>
      </c>
      <c r="D3975" s="2" t="s">
        <v>10</v>
      </c>
      <c r="E3975" s="2" t="s">
        <v>11</v>
      </c>
      <c r="F3975" s="2">
        <v>20.74</v>
      </c>
      <c r="G3975" s="2">
        <v>4</v>
      </c>
      <c r="H3975" s="2">
        <v>7.26</v>
      </c>
      <c r="I3975" t="str">
        <f t="shared" si="62"/>
        <v>Dec</v>
      </c>
      <c r="J3975">
        <f>YEAR(datas[[#This Row],[Order Date]])</f>
        <v>2022</v>
      </c>
    </row>
    <row r="3976" spans="1:10" ht="14.25" customHeight="1" x14ac:dyDescent="0.3">
      <c r="A3976" s="1">
        <v>44914</v>
      </c>
      <c r="B3976" s="2" t="s">
        <v>296</v>
      </c>
      <c r="C3976" s="2" t="s">
        <v>21</v>
      </c>
      <c r="D3976" s="2" t="s">
        <v>28</v>
      </c>
      <c r="E3976" s="2" t="s">
        <v>29</v>
      </c>
      <c r="F3976" s="2">
        <v>675.96</v>
      </c>
      <c r="G3976" s="2">
        <v>5</v>
      </c>
      <c r="H3976" s="2">
        <v>84.5</v>
      </c>
      <c r="I3976" t="str">
        <f t="shared" si="62"/>
        <v>Dec</v>
      </c>
      <c r="J3976">
        <f>YEAR(datas[[#This Row],[Order Date]])</f>
        <v>2022</v>
      </c>
    </row>
    <row r="3977" spans="1:10" ht="14.25" customHeight="1" x14ac:dyDescent="0.3">
      <c r="A3977" s="1">
        <v>44914</v>
      </c>
      <c r="B3977" s="2" t="s">
        <v>296</v>
      </c>
      <c r="C3977" s="2" t="s">
        <v>21</v>
      </c>
      <c r="D3977" s="2" t="s">
        <v>28</v>
      </c>
      <c r="E3977" s="2" t="s">
        <v>34</v>
      </c>
      <c r="F3977" s="2">
        <v>1265.8499999999999</v>
      </c>
      <c r="G3977" s="2">
        <v>3</v>
      </c>
      <c r="H3977" s="2">
        <v>556.97</v>
      </c>
      <c r="I3977" t="str">
        <f t="shared" si="62"/>
        <v>Dec</v>
      </c>
      <c r="J3977">
        <f>YEAR(datas[[#This Row],[Order Date]])</f>
        <v>2022</v>
      </c>
    </row>
    <row r="3978" spans="1:10" ht="14.25" customHeight="1" x14ac:dyDescent="0.3">
      <c r="A3978" s="1">
        <v>44914</v>
      </c>
      <c r="B3978" s="2" t="s">
        <v>205</v>
      </c>
      <c r="C3978" s="2" t="s">
        <v>18</v>
      </c>
      <c r="D3978" s="2" t="s">
        <v>10</v>
      </c>
      <c r="E3978" s="2" t="s">
        <v>53</v>
      </c>
      <c r="F3978" s="2">
        <v>434.35</v>
      </c>
      <c r="G3978" s="2">
        <v>3</v>
      </c>
      <c r="H3978" s="2">
        <v>43.44</v>
      </c>
      <c r="I3978" t="str">
        <f t="shared" si="62"/>
        <v>Dec</v>
      </c>
      <c r="J3978">
        <f>YEAR(datas[[#This Row],[Order Date]])</f>
        <v>2022</v>
      </c>
    </row>
    <row r="3979" spans="1:10" ht="14.25" customHeight="1" x14ac:dyDescent="0.3">
      <c r="A3979" s="1">
        <v>44914</v>
      </c>
      <c r="B3979" s="2" t="s">
        <v>205</v>
      </c>
      <c r="C3979" s="2" t="s">
        <v>18</v>
      </c>
      <c r="D3979" s="2" t="s">
        <v>10</v>
      </c>
      <c r="E3979" s="2" t="s">
        <v>53</v>
      </c>
      <c r="F3979" s="2">
        <v>3.55</v>
      </c>
      <c r="G3979" s="2">
        <v>2</v>
      </c>
      <c r="H3979" s="2">
        <v>0.44</v>
      </c>
      <c r="I3979" t="str">
        <f t="shared" si="62"/>
        <v>Dec</v>
      </c>
      <c r="J3979">
        <f>YEAR(datas[[#This Row],[Order Date]])</f>
        <v>2022</v>
      </c>
    </row>
    <row r="3980" spans="1:10" ht="14.25" customHeight="1" x14ac:dyDescent="0.3">
      <c r="A3980" s="1">
        <v>44914</v>
      </c>
      <c r="B3980" s="2" t="s">
        <v>205</v>
      </c>
      <c r="C3980" s="2" t="s">
        <v>18</v>
      </c>
      <c r="D3980" s="2" t="s">
        <v>10</v>
      </c>
      <c r="E3980" s="2" t="s">
        <v>53</v>
      </c>
      <c r="F3980" s="2">
        <v>88.83</v>
      </c>
      <c r="G3980" s="2">
        <v>4</v>
      </c>
      <c r="H3980" s="2">
        <v>7.77</v>
      </c>
      <c r="I3980" t="str">
        <f t="shared" si="62"/>
        <v>Dec</v>
      </c>
      <c r="J3980">
        <f>YEAR(datas[[#This Row],[Order Date]])</f>
        <v>2022</v>
      </c>
    </row>
    <row r="3981" spans="1:10" ht="14.25" customHeight="1" x14ac:dyDescent="0.3">
      <c r="A3981" s="1">
        <v>44914</v>
      </c>
      <c r="B3981" s="2" t="s">
        <v>507</v>
      </c>
      <c r="C3981" s="2" t="s">
        <v>381</v>
      </c>
      <c r="D3981" s="2" t="s">
        <v>10</v>
      </c>
      <c r="E3981" s="2" t="s">
        <v>16</v>
      </c>
      <c r="F3981" s="2">
        <v>7.04</v>
      </c>
      <c r="G3981" s="2">
        <v>2</v>
      </c>
      <c r="H3981" s="2">
        <v>3.31</v>
      </c>
      <c r="I3981" t="str">
        <f t="shared" si="62"/>
        <v>Dec</v>
      </c>
      <c r="J3981">
        <f>YEAR(datas[[#This Row],[Order Date]])</f>
        <v>2022</v>
      </c>
    </row>
    <row r="3982" spans="1:10" ht="14.25" customHeight="1" x14ac:dyDescent="0.3">
      <c r="A3982" s="1">
        <v>44914</v>
      </c>
      <c r="B3982" s="2" t="s">
        <v>507</v>
      </c>
      <c r="C3982" s="2" t="s">
        <v>381</v>
      </c>
      <c r="D3982" s="2" t="s">
        <v>10</v>
      </c>
      <c r="E3982" s="2" t="s">
        <v>30</v>
      </c>
      <c r="F3982" s="2">
        <v>5.04</v>
      </c>
      <c r="G3982" s="2">
        <v>4</v>
      </c>
      <c r="H3982" s="2">
        <v>0.2</v>
      </c>
      <c r="I3982" t="str">
        <f t="shared" si="62"/>
        <v>Dec</v>
      </c>
      <c r="J3982">
        <f>YEAR(datas[[#This Row],[Order Date]])</f>
        <v>2022</v>
      </c>
    </row>
    <row r="3983" spans="1:10" ht="14.25" customHeight="1" x14ac:dyDescent="0.3">
      <c r="A3983" s="1">
        <v>44914</v>
      </c>
      <c r="B3983" s="2" t="s">
        <v>507</v>
      </c>
      <c r="C3983" s="2" t="s">
        <v>381</v>
      </c>
      <c r="D3983" s="2" t="s">
        <v>10</v>
      </c>
      <c r="E3983" s="2" t="s">
        <v>11</v>
      </c>
      <c r="F3983" s="2">
        <v>116.28</v>
      </c>
      <c r="G3983" s="2">
        <v>3</v>
      </c>
      <c r="H3983" s="2">
        <v>56.98</v>
      </c>
      <c r="I3983" t="str">
        <f t="shared" si="62"/>
        <v>Dec</v>
      </c>
      <c r="J3983">
        <f>YEAR(datas[[#This Row],[Order Date]])</f>
        <v>2022</v>
      </c>
    </row>
    <row r="3984" spans="1:10" ht="14.25" customHeight="1" x14ac:dyDescent="0.3">
      <c r="A3984" s="1">
        <v>44914</v>
      </c>
      <c r="B3984" s="2" t="s">
        <v>448</v>
      </c>
      <c r="C3984" s="2" t="s">
        <v>13</v>
      </c>
      <c r="D3984" s="2" t="s">
        <v>28</v>
      </c>
      <c r="E3984" s="2" t="s">
        <v>29</v>
      </c>
      <c r="F3984" s="2">
        <v>158.38</v>
      </c>
      <c r="G3984" s="2">
        <v>3</v>
      </c>
      <c r="H3984" s="2">
        <v>13.86</v>
      </c>
      <c r="I3984" t="str">
        <f t="shared" si="62"/>
        <v>Dec</v>
      </c>
      <c r="J3984">
        <f>YEAR(datas[[#This Row],[Order Date]])</f>
        <v>2022</v>
      </c>
    </row>
    <row r="3985" spans="1:10" ht="14.25" customHeight="1" x14ac:dyDescent="0.3">
      <c r="A3985" s="1">
        <v>44914</v>
      </c>
      <c r="B3985" s="2" t="s">
        <v>799</v>
      </c>
      <c r="C3985" s="2" t="s">
        <v>278</v>
      </c>
      <c r="D3985" s="2" t="s">
        <v>10</v>
      </c>
      <c r="E3985" s="2" t="s">
        <v>11</v>
      </c>
      <c r="F3985" s="2">
        <v>29.9</v>
      </c>
      <c r="G3985" s="2">
        <v>5</v>
      </c>
      <c r="H3985" s="2">
        <v>14.65</v>
      </c>
      <c r="I3985" t="str">
        <f t="shared" si="62"/>
        <v>Dec</v>
      </c>
      <c r="J3985">
        <f>YEAR(datas[[#This Row],[Order Date]])</f>
        <v>2022</v>
      </c>
    </row>
    <row r="3986" spans="1:10" ht="14.25" customHeight="1" x14ac:dyDescent="0.3">
      <c r="A3986" s="1">
        <v>44914</v>
      </c>
      <c r="B3986" s="2" t="s">
        <v>799</v>
      </c>
      <c r="C3986" s="2" t="s">
        <v>278</v>
      </c>
      <c r="D3986" s="2" t="s">
        <v>28</v>
      </c>
      <c r="E3986" s="2" t="s">
        <v>34</v>
      </c>
      <c r="F3986" s="2">
        <v>2249.91</v>
      </c>
      <c r="G3986" s="2">
        <v>9</v>
      </c>
      <c r="H3986" s="2">
        <v>517.48</v>
      </c>
      <c r="I3986" t="str">
        <f t="shared" si="62"/>
        <v>Dec</v>
      </c>
      <c r="J3986">
        <f>YEAR(datas[[#This Row],[Order Date]])</f>
        <v>2022</v>
      </c>
    </row>
    <row r="3987" spans="1:10" ht="14.25" customHeight="1" x14ac:dyDescent="0.3">
      <c r="A3987" s="1">
        <v>44914</v>
      </c>
      <c r="B3987" s="2" t="s">
        <v>799</v>
      </c>
      <c r="C3987" s="2" t="s">
        <v>278</v>
      </c>
      <c r="D3987" s="2" t="s">
        <v>26</v>
      </c>
      <c r="E3987" s="2" t="s">
        <v>73</v>
      </c>
      <c r="F3987" s="2">
        <v>1053.1600000000001</v>
      </c>
      <c r="G3987" s="2">
        <v>4</v>
      </c>
      <c r="H3987" s="2">
        <v>-105.32</v>
      </c>
      <c r="I3987" t="str">
        <f t="shared" si="62"/>
        <v>Dec</v>
      </c>
      <c r="J3987">
        <f>YEAR(datas[[#This Row],[Order Date]])</f>
        <v>2022</v>
      </c>
    </row>
    <row r="3988" spans="1:10" ht="14.25" customHeight="1" x14ac:dyDescent="0.3">
      <c r="A3988" s="1">
        <v>44914</v>
      </c>
      <c r="B3988" s="2" t="s">
        <v>146</v>
      </c>
      <c r="C3988" s="2" t="s">
        <v>13</v>
      </c>
      <c r="D3988" s="2" t="s">
        <v>28</v>
      </c>
      <c r="E3988" s="2" t="s">
        <v>34</v>
      </c>
      <c r="F3988" s="2">
        <v>25.49</v>
      </c>
      <c r="G3988" s="2">
        <v>2</v>
      </c>
      <c r="H3988" s="2">
        <v>4.78</v>
      </c>
      <c r="I3988" t="str">
        <f t="shared" si="62"/>
        <v>Dec</v>
      </c>
      <c r="J3988">
        <f>YEAR(datas[[#This Row],[Order Date]])</f>
        <v>2022</v>
      </c>
    </row>
    <row r="3989" spans="1:10" ht="14.25" customHeight="1" x14ac:dyDescent="0.3">
      <c r="A3989" s="1">
        <v>44914</v>
      </c>
      <c r="B3989" s="2" t="s">
        <v>385</v>
      </c>
      <c r="C3989" s="2" t="s">
        <v>18</v>
      </c>
      <c r="D3989" s="2" t="s">
        <v>10</v>
      </c>
      <c r="E3989" s="2" t="s">
        <v>14</v>
      </c>
      <c r="F3989" s="2">
        <v>6.91</v>
      </c>
      <c r="G3989" s="2">
        <v>3</v>
      </c>
      <c r="H3989" s="2">
        <v>2.5099999999999998</v>
      </c>
      <c r="I3989" t="str">
        <f t="shared" si="62"/>
        <v>Dec</v>
      </c>
      <c r="J3989">
        <f>YEAR(datas[[#This Row],[Order Date]])</f>
        <v>2022</v>
      </c>
    </row>
    <row r="3990" spans="1:10" ht="14.25" customHeight="1" x14ac:dyDescent="0.3">
      <c r="A3990" s="1">
        <v>44915</v>
      </c>
      <c r="B3990" s="2" t="s">
        <v>400</v>
      </c>
      <c r="C3990" s="2" t="s">
        <v>9</v>
      </c>
      <c r="D3990" s="2" t="s">
        <v>10</v>
      </c>
      <c r="E3990" s="2" t="s">
        <v>15</v>
      </c>
      <c r="F3990" s="2">
        <v>88.8</v>
      </c>
      <c r="G3990" s="2">
        <v>4</v>
      </c>
      <c r="H3990" s="2">
        <v>-2.2200000000000002</v>
      </c>
      <c r="I3990" t="str">
        <f t="shared" si="62"/>
        <v>Dec</v>
      </c>
      <c r="J3990">
        <f>YEAR(datas[[#This Row],[Order Date]])</f>
        <v>2022</v>
      </c>
    </row>
    <row r="3991" spans="1:10" ht="14.25" customHeight="1" x14ac:dyDescent="0.3">
      <c r="A3991" s="1">
        <v>44915</v>
      </c>
      <c r="B3991" s="2" t="s">
        <v>290</v>
      </c>
      <c r="C3991" s="2" t="s">
        <v>75</v>
      </c>
      <c r="D3991" s="2" t="s">
        <v>10</v>
      </c>
      <c r="E3991" s="2" t="s">
        <v>11</v>
      </c>
      <c r="F3991" s="2">
        <v>55.48</v>
      </c>
      <c r="G3991" s="2">
        <v>1</v>
      </c>
      <c r="H3991" s="2">
        <v>26.63</v>
      </c>
      <c r="I3991" t="str">
        <f t="shared" si="62"/>
        <v>Dec</v>
      </c>
      <c r="J3991">
        <f>YEAR(datas[[#This Row],[Order Date]])</f>
        <v>2022</v>
      </c>
    </row>
    <row r="3992" spans="1:10" ht="14.25" customHeight="1" x14ac:dyDescent="0.3">
      <c r="A3992" s="1">
        <v>44915</v>
      </c>
      <c r="B3992" s="2" t="s">
        <v>445</v>
      </c>
      <c r="C3992" s="2" t="s">
        <v>13</v>
      </c>
      <c r="D3992" s="2" t="s">
        <v>28</v>
      </c>
      <c r="E3992" s="2" t="s">
        <v>29</v>
      </c>
      <c r="F3992" s="2">
        <v>159.97999999999999</v>
      </c>
      <c r="G3992" s="2">
        <v>2</v>
      </c>
      <c r="H3992" s="2">
        <v>12</v>
      </c>
      <c r="I3992" t="str">
        <f t="shared" si="62"/>
        <v>Dec</v>
      </c>
      <c r="J3992">
        <f>YEAR(datas[[#This Row],[Order Date]])</f>
        <v>2022</v>
      </c>
    </row>
    <row r="3993" spans="1:10" ht="14.25" customHeight="1" x14ac:dyDescent="0.3">
      <c r="A3993" s="1">
        <v>44915</v>
      </c>
      <c r="B3993" s="2" t="s">
        <v>445</v>
      </c>
      <c r="C3993" s="2" t="s">
        <v>13</v>
      </c>
      <c r="D3993" s="2" t="s">
        <v>28</v>
      </c>
      <c r="E3993" s="2" t="s">
        <v>34</v>
      </c>
      <c r="F3993" s="2">
        <v>255.97</v>
      </c>
      <c r="G3993" s="2">
        <v>4</v>
      </c>
      <c r="H3993" s="2">
        <v>51.19</v>
      </c>
      <c r="I3993" t="str">
        <f t="shared" si="62"/>
        <v>Dec</v>
      </c>
      <c r="J3993">
        <f>YEAR(datas[[#This Row],[Order Date]])</f>
        <v>2022</v>
      </c>
    </row>
    <row r="3994" spans="1:10" ht="14.25" customHeight="1" x14ac:dyDescent="0.3">
      <c r="A3994" s="1">
        <v>44915</v>
      </c>
      <c r="B3994" s="2" t="s">
        <v>445</v>
      </c>
      <c r="C3994" s="2" t="s">
        <v>13</v>
      </c>
      <c r="D3994" s="2" t="s">
        <v>26</v>
      </c>
      <c r="E3994" s="2" t="s">
        <v>45</v>
      </c>
      <c r="F3994" s="2">
        <v>359.06</v>
      </c>
      <c r="G3994" s="2">
        <v>3</v>
      </c>
      <c r="H3994" s="2">
        <v>-71.81</v>
      </c>
      <c r="I3994" t="str">
        <f t="shared" si="62"/>
        <v>Dec</v>
      </c>
      <c r="J3994">
        <f>YEAR(datas[[#This Row],[Order Date]])</f>
        <v>2022</v>
      </c>
    </row>
    <row r="3995" spans="1:10" ht="14.25" customHeight="1" x14ac:dyDescent="0.3">
      <c r="A3995" s="1">
        <v>44915</v>
      </c>
      <c r="B3995" s="2" t="s">
        <v>403</v>
      </c>
      <c r="C3995" s="2" t="s">
        <v>55</v>
      </c>
      <c r="D3995" s="2" t="s">
        <v>10</v>
      </c>
      <c r="E3995" s="2" t="s">
        <v>41</v>
      </c>
      <c r="F3995" s="2">
        <v>7.92</v>
      </c>
      <c r="G3995" s="2">
        <v>1</v>
      </c>
      <c r="H3995" s="2">
        <v>2.77</v>
      </c>
      <c r="I3995" t="str">
        <f t="shared" si="62"/>
        <v>Dec</v>
      </c>
      <c r="J3995">
        <f>YEAR(datas[[#This Row],[Order Date]])</f>
        <v>2022</v>
      </c>
    </row>
    <row r="3996" spans="1:10" ht="14.25" customHeight="1" x14ac:dyDescent="0.3">
      <c r="A3996" s="1">
        <v>44915</v>
      </c>
      <c r="B3996" s="2" t="s">
        <v>403</v>
      </c>
      <c r="C3996" s="2" t="s">
        <v>55</v>
      </c>
      <c r="D3996" s="2" t="s">
        <v>26</v>
      </c>
      <c r="E3996" s="2" t="s">
        <v>32</v>
      </c>
      <c r="F3996" s="2">
        <v>14.37</v>
      </c>
      <c r="G3996" s="2">
        <v>2</v>
      </c>
      <c r="H3996" s="2">
        <v>3.95</v>
      </c>
      <c r="I3996" t="str">
        <f t="shared" si="62"/>
        <v>Dec</v>
      </c>
      <c r="J3996">
        <f>YEAR(datas[[#This Row],[Order Date]])</f>
        <v>2022</v>
      </c>
    </row>
    <row r="3997" spans="1:10" ht="14.25" customHeight="1" x14ac:dyDescent="0.3">
      <c r="A3997" s="1">
        <v>44915</v>
      </c>
      <c r="B3997" s="2" t="s">
        <v>800</v>
      </c>
      <c r="C3997" s="2" t="s">
        <v>64</v>
      </c>
      <c r="D3997" s="2" t="s">
        <v>10</v>
      </c>
      <c r="E3997" s="2" t="s">
        <v>14</v>
      </c>
      <c r="F3997" s="2">
        <v>11.7</v>
      </c>
      <c r="G3997" s="2">
        <v>2</v>
      </c>
      <c r="H3997" s="2">
        <v>3.95</v>
      </c>
      <c r="I3997" t="str">
        <f t="shared" si="62"/>
        <v>Dec</v>
      </c>
      <c r="J3997">
        <f>YEAR(datas[[#This Row],[Order Date]])</f>
        <v>2022</v>
      </c>
    </row>
    <row r="3998" spans="1:10" ht="14.25" customHeight="1" x14ac:dyDescent="0.3">
      <c r="A3998" s="1">
        <v>44915</v>
      </c>
      <c r="B3998" s="2" t="s">
        <v>234</v>
      </c>
      <c r="C3998" s="2" t="s">
        <v>21</v>
      </c>
      <c r="D3998" s="2" t="s">
        <v>10</v>
      </c>
      <c r="E3998" s="2" t="s">
        <v>11</v>
      </c>
      <c r="F3998" s="2">
        <v>17.12</v>
      </c>
      <c r="G3998" s="2">
        <v>4</v>
      </c>
      <c r="H3998" s="2">
        <v>7.7</v>
      </c>
      <c r="I3998" t="str">
        <f t="shared" si="62"/>
        <v>Dec</v>
      </c>
      <c r="J3998">
        <f>YEAR(datas[[#This Row],[Order Date]])</f>
        <v>2022</v>
      </c>
    </row>
    <row r="3999" spans="1:10" ht="14.25" customHeight="1" x14ac:dyDescent="0.3">
      <c r="A3999" s="1">
        <v>44915</v>
      </c>
      <c r="B3999" s="2" t="s">
        <v>594</v>
      </c>
      <c r="C3999" s="2" t="s">
        <v>36</v>
      </c>
      <c r="D3999" s="2" t="s">
        <v>10</v>
      </c>
      <c r="E3999" s="2" t="s">
        <v>53</v>
      </c>
      <c r="F3999" s="2">
        <v>36.270000000000003</v>
      </c>
      <c r="G3999" s="2">
        <v>3</v>
      </c>
      <c r="H3999" s="2">
        <v>10.88</v>
      </c>
      <c r="I3999" t="str">
        <f t="shared" si="62"/>
        <v>Dec</v>
      </c>
      <c r="J3999">
        <f>YEAR(datas[[#This Row],[Order Date]])</f>
        <v>2022</v>
      </c>
    </row>
    <row r="4000" spans="1:10" ht="14.25" customHeight="1" x14ac:dyDescent="0.3">
      <c r="A4000" s="1">
        <v>44915</v>
      </c>
      <c r="B4000" s="2" t="s">
        <v>411</v>
      </c>
      <c r="C4000" s="2" t="s">
        <v>9</v>
      </c>
      <c r="D4000" s="2" t="s">
        <v>28</v>
      </c>
      <c r="E4000" s="2" t="s">
        <v>34</v>
      </c>
      <c r="F4000" s="2">
        <v>100.8</v>
      </c>
      <c r="G4000" s="2">
        <v>2</v>
      </c>
      <c r="H4000" s="2">
        <v>21.42</v>
      </c>
      <c r="I4000" t="str">
        <f t="shared" si="62"/>
        <v>Dec</v>
      </c>
      <c r="J4000">
        <f>YEAR(datas[[#This Row],[Order Date]])</f>
        <v>2022</v>
      </c>
    </row>
    <row r="4001" spans="1:10" ht="14.25" customHeight="1" x14ac:dyDescent="0.3">
      <c r="A4001" s="1">
        <v>44916</v>
      </c>
      <c r="B4001" s="2" t="s">
        <v>204</v>
      </c>
      <c r="C4001" s="2" t="s">
        <v>82</v>
      </c>
      <c r="D4001" s="2" t="s">
        <v>26</v>
      </c>
      <c r="E4001" s="2" t="s">
        <v>73</v>
      </c>
      <c r="F4001" s="2">
        <v>1618.37</v>
      </c>
      <c r="G4001" s="2">
        <v>13</v>
      </c>
      <c r="H4001" s="2">
        <v>356.04</v>
      </c>
      <c r="I4001" t="str">
        <f t="shared" si="62"/>
        <v>Dec</v>
      </c>
      <c r="J4001">
        <f>YEAR(datas[[#This Row],[Order Date]])</f>
        <v>2022</v>
      </c>
    </row>
    <row r="4002" spans="1:10" ht="14.25" customHeight="1" x14ac:dyDescent="0.3">
      <c r="A4002" s="1">
        <v>44916</v>
      </c>
      <c r="B4002" s="2" t="s">
        <v>204</v>
      </c>
      <c r="C4002" s="2" t="s">
        <v>82</v>
      </c>
      <c r="D4002" s="2" t="s">
        <v>28</v>
      </c>
      <c r="E4002" s="2" t="s">
        <v>34</v>
      </c>
      <c r="F4002" s="2">
        <v>99.6</v>
      </c>
      <c r="G4002" s="2">
        <v>1</v>
      </c>
      <c r="H4002" s="2">
        <v>36.85</v>
      </c>
      <c r="I4002" t="str">
        <f t="shared" si="62"/>
        <v>Dec</v>
      </c>
      <c r="J4002">
        <f>YEAR(datas[[#This Row],[Order Date]])</f>
        <v>2022</v>
      </c>
    </row>
    <row r="4003" spans="1:10" ht="14.25" customHeight="1" x14ac:dyDescent="0.3">
      <c r="A4003" s="1">
        <v>44916</v>
      </c>
      <c r="B4003" s="2" t="s">
        <v>801</v>
      </c>
      <c r="C4003" s="2" t="s">
        <v>126</v>
      </c>
      <c r="D4003" s="2" t="s">
        <v>10</v>
      </c>
      <c r="E4003" s="2" t="s">
        <v>53</v>
      </c>
      <c r="F4003" s="2">
        <v>60.98</v>
      </c>
      <c r="G4003" s="2">
        <v>7</v>
      </c>
      <c r="H4003" s="2">
        <v>4.57</v>
      </c>
      <c r="I4003" t="str">
        <f t="shared" si="62"/>
        <v>Dec</v>
      </c>
      <c r="J4003">
        <f>YEAR(datas[[#This Row],[Order Date]])</f>
        <v>2022</v>
      </c>
    </row>
    <row r="4004" spans="1:10" ht="14.25" customHeight="1" x14ac:dyDescent="0.3">
      <c r="A4004" s="1">
        <v>44916</v>
      </c>
      <c r="B4004" s="2" t="s">
        <v>533</v>
      </c>
      <c r="C4004" s="2" t="s">
        <v>115</v>
      </c>
      <c r="D4004" s="2" t="s">
        <v>28</v>
      </c>
      <c r="E4004" s="2" t="s">
        <v>29</v>
      </c>
      <c r="F4004" s="2">
        <v>47.98</v>
      </c>
      <c r="G4004" s="2">
        <v>3</v>
      </c>
      <c r="H4004" s="2">
        <v>4.8</v>
      </c>
      <c r="I4004" t="str">
        <f t="shared" si="62"/>
        <v>Dec</v>
      </c>
      <c r="J4004">
        <f>YEAR(datas[[#This Row],[Order Date]])</f>
        <v>2022</v>
      </c>
    </row>
    <row r="4005" spans="1:10" ht="14.25" customHeight="1" x14ac:dyDescent="0.3">
      <c r="A4005" s="1">
        <v>44916</v>
      </c>
      <c r="B4005" s="2" t="s">
        <v>378</v>
      </c>
      <c r="C4005" s="2" t="s">
        <v>64</v>
      </c>
      <c r="D4005" s="2" t="s">
        <v>28</v>
      </c>
      <c r="E4005" s="2" t="s">
        <v>34</v>
      </c>
      <c r="F4005" s="2">
        <v>50.88</v>
      </c>
      <c r="G4005" s="2">
        <v>6</v>
      </c>
      <c r="H4005" s="2">
        <v>14.63</v>
      </c>
      <c r="I4005" t="str">
        <f t="shared" si="62"/>
        <v>Dec</v>
      </c>
      <c r="J4005">
        <f>YEAR(datas[[#This Row],[Order Date]])</f>
        <v>2022</v>
      </c>
    </row>
    <row r="4006" spans="1:10" ht="14.25" customHeight="1" x14ac:dyDescent="0.3">
      <c r="A4006" s="1">
        <v>44916</v>
      </c>
      <c r="B4006" s="2" t="s">
        <v>378</v>
      </c>
      <c r="C4006" s="2" t="s">
        <v>64</v>
      </c>
      <c r="D4006" s="2" t="s">
        <v>10</v>
      </c>
      <c r="E4006" s="2" t="s">
        <v>41</v>
      </c>
      <c r="F4006" s="2">
        <v>27.31</v>
      </c>
      <c r="G4006" s="2">
        <v>2</v>
      </c>
      <c r="H4006" s="2">
        <v>9.2200000000000006</v>
      </c>
      <c r="I4006" t="str">
        <f t="shared" si="62"/>
        <v>Dec</v>
      </c>
      <c r="J4006">
        <f>YEAR(datas[[#This Row],[Order Date]])</f>
        <v>2022</v>
      </c>
    </row>
    <row r="4007" spans="1:10" ht="14.25" customHeight="1" x14ac:dyDescent="0.3">
      <c r="A4007" s="1">
        <v>44916</v>
      </c>
      <c r="B4007" s="2" t="s">
        <v>584</v>
      </c>
      <c r="C4007" s="2" t="s">
        <v>47</v>
      </c>
      <c r="D4007" s="2" t="s">
        <v>10</v>
      </c>
      <c r="E4007" s="2" t="s">
        <v>19</v>
      </c>
      <c r="F4007" s="2">
        <v>3.01</v>
      </c>
      <c r="G4007" s="2">
        <v>2</v>
      </c>
      <c r="H4007" s="2">
        <v>0.34</v>
      </c>
      <c r="I4007" t="str">
        <f t="shared" si="62"/>
        <v>Dec</v>
      </c>
      <c r="J4007">
        <f>YEAR(datas[[#This Row],[Order Date]])</f>
        <v>2022</v>
      </c>
    </row>
    <row r="4008" spans="1:10" ht="14.25" customHeight="1" x14ac:dyDescent="0.3">
      <c r="A4008" s="1">
        <v>44916</v>
      </c>
      <c r="B4008" s="2" t="s">
        <v>451</v>
      </c>
      <c r="C4008" s="2" t="s">
        <v>13</v>
      </c>
      <c r="D4008" s="2" t="s">
        <v>28</v>
      </c>
      <c r="E4008" s="2" t="s">
        <v>136</v>
      </c>
      <c r="F4008" s="2">
        <v>600.53</v>
      </c>
      <c r="G4008" s="2">
        <v>2</v>
      </c>
      <c r="H4008" s="2">
        <v>137.26</v>
      </c>
      <c r="I4008" t="str">
        <f t="shared" si="62"/>
        <v>Dec</v>
      </c>
      <c r="J4008">
        <f>YEAR(datas[[#This Row],[Order Date]])</f>
        <v>2022</v>
      </c>
    </row>
    <row r="4009" spans="1:10" ht="14.25" customHeight="1" x14ac:dyDescent="0.3">
      <c r="A4009" s="1">
        <v>44916</v>
      </c>
      <c r="B4009" s="2" t="s">
        <v>451</v>
      </c>
      <c r="C4009" s="2" t="s">
        <v>13</v>
      </c>
      <c r="D4009" s="2" t="s">
        <v>10</v>
      </c>
      <c r="E4009" s="2" t="s">
        <v>19</v>
      </c>
      <c r="F4009" s="2">
        <v>59.9</v>
      </c>
      <c r="G4009" s="2">
        <v>2</v>
      </c>
      <c r="H4009" s="2">
        <v>14.23</v>
      </c>
      <c r="I4009" t="str">
        <f t="shared" si="62"/>
        <v>Dec</v>
      </c>
      <c r="J4009">
        <f>YEAR(datas[[#This Row],[Order Date]])</f>
        <v>2022</v>
      </c>
    </row>
    <row r="4010" spans="1:10" ht="14.25" customHeight="1" x14ac:dyDescent="0.3">
      <c r="A4010" s="1">
        <v>44916</v>
      </c>
      <c r="B4010" s="2" t="s">
        <v>451</v>
      </c>
      <c r="C4010" s="2" t="s">
        <v>13</v>
      </c>
      <c r="D4010" s="2" t="s">
        <v>28</v>
      </c>
      <c r="E4010" s="2" t="s">
        <v>34</v>
      </c>
      <c r="F4010" s="2">
        <v>637.44000000000005</v>
      </c>
      <c r="G4010" s="2">
        <v>8</v>
      </c>
      <c r="H4010" s="2">
        <v>135.46</v>
      </c>
      <c r="I4010" t="str">
        <f t="shared" si="62"/>
        <v>Dec</v>
      </c>
      <c r="J4010">
        <f>YEAR(datas[[#This Row],[Order Date]])</f>
        <v>2022</v>
      </c>
    </row>
    <row r="4011" spans="1:10" ht="14.25" customHeight="1" x14ac:dyDescent="0.3">
      <c r="A4011" s="1">
        <v>44916</v>
      </c>
      <c r="B4011" s="2" t="s">
        <v>451</v>
      </c>
      <c r="C4011" s="2" t="s">
        <v>13</v>
      </c>
      <c r="D4011" s="2" t="s">
        <v>26</v>
      </c>
      <c r="E4011" s="2" t="s">
        <v>32</v>
      </c>
      <c r="F4011" s="2">
        <v>51.76</v>
      </c>
      <c r="G4011" s="2">
        <v>3</v>
      </c>
      <c r="H4011" s="2">
        <v>-33.64</v>
      </c>
      <c r="I4011" t="str">
        <f t="shared" si="62"/>
        <v>Dec</v>
      </c>
      <c r="J4011">
        <f>YEAR(datas[[#This Row],[Order Date]])</f>
        <v>2022</v>
      </c>
    </row>
    <row r="4012" spans="1:10" ht="14.25" customHeight="1" x14ac:dyDescent="0.3">
      <c r="A4012" s="1">
        <v>44917</v>
      </c>
      <c r="B4012" s="2" t="s">
        <v>229</v>
      </c>
      <c r="C4012" s="2" t="s">
        <v>79</v>
      </c>
      <c r="D4012" s="2" t="s">
        <v>10</v>
      </c>
      <c r="E4012" s="2" t="s">
        <v>19</v>
      </c>
      <c r="F4012" s="2">
        <v>17.12</v>
      </c>
      <c r="G4012" s="2">
        <v>4</v>
      </c>
      <c r="H4012" s="2">
        <v>4.96</v>
      </c>
      <c r="I4012" t="str">
        <f t="shared" si="62"/>
        <v>Dec</v>
      </c>
      <c r="J4012">
        <f>YEAR(datas[[#This Row],[Order Date]])</f>
        <v>2022</v>
      </c>
    </row>
    <row r="4013" spans="1:10" ht="14.25" customHeight="1" x14ac:dyDescent="0.3">
      <c r="A4013" s="1">
        <v>44917</v>
      </c>
      <c r="B4013" s="2" t="s">
        <v>607</v>
      </c>
      <c r="C4013" s="2" t="s">
        <v>18</v>
      </c>
      <c r="D4013" s="2" t="s">
        <v>10</v>
      </c>
      <c r="E4013" s="2" t="s">
        <v>15</v>
      </c>
      <c r="F4013" s="2">
        <v>33.57</v>
      </c>
      <c r="G4013" s="2">
        <v>2</v>
      </c>
      <c r="H4013" s="2">
        <v>1.68</v>
      </c>
      <c r="I4013" t="str">
        <f t="shared" si="62"/>
        <v>Dec</v>
      </c>
      <c r="J4013">
        <f>YEAR(datas[[#This Row],[Order Date]])</f>
        <v>2022</v>
      </c>
    </row>
    <row r="4014" spans="1:10" ht="14.25" customHeight="1" x14ac:dyDescent="0.3">
      <c r="A4014" s="1">
        <v>44917</v>
      </c>
      <c r="B4014" s="2" t="s">
        <v>607</v>
      </c>
      <c r="C4014" s="2" t="s">
        <v>18</v>
      </c>
      <c r="D4014" s="2" t="s">
        <v>26</v>
      </c>
      <c r="E4014" s="2" t="s">
        <v>27</v>
      </c>
      <c r="F4014" s="2">
        <v>422.63</v>
      </c>
      <c r="G4014" s="2">
        <v>7</v>
      </c>
      <c r="H4014" s="2">
        <v>0</v>
      </c>
      <c r="I4014" t="str">
        <f t="shared" si="62"/>
        <v>Dec</v>
      </c>
      <c r="J4014">
        <f>YEAR(datas[[#This Row],[Order Date]])</f>
        <v>2022</v>
      </c>
    </row>
    <row r="4015" spans="1:10" ht="14.25" customHeight="1" x14ac:dyDescent="0.3">
      <c r="A4015" s="1">
        <v>44918</v>
      </c>
      <c r="B4015" s="2" t="s">
        <v>78</v>
      </c>
      <c r="C4015" s="2" t="s">
        <v>36</v>
      </c>
      <c r="D4015" s="2" t="s">
        <v>10</v>
      </c>
      <c r="E4015" s="2" t="s">
        <v>53</v>
      </c>
      <c r="F4015" s="2">
        <v>194.32</v>
      </c>
      <c r="G4015" s="2">
        <v>4</v>
      </c>
      <c r="H4015" s="2">
        <v>56.35</v>
      </c>
      <c r="I4015" t="str">
        <f t="shared" si="62"/>
        <v>Dec</v>
      </c>
      <c r="J4015">
        <f>YEAR(datas[[#This Row],[Order Date]])</f>
        <v>2022</v>
      </c>
    </row>
    <row r="4016" spans="1:10" ht="14.25" customHeight="1" x14ac:dyDescent="0.3">
      <c r="A4016" s="1">
        <v>44919</v>
      </c>
      <c r="B4016" s="2" t="s">
        <v>629</v>
      </c>
      <c r="C4016" s="2" t="s">
        <v>47</v>
      </c>
      <c r="D4016" s="2" t="s">
        <v>10</v>
      </c>
      <c r="E4016" s="2" t="s">
        <v>30</v>
      </c>
      <c r="F4016" s="2">
        <v>5.58</v>
      </c>
      <c r="G4016" s="2">
        <v>2</v>
      </c>
      <c r="H4016" s="2">
        <v>1.81</v>
      </c>
      <c r="I4016" t="str">
        <f t="shared" si="62"/>
        <v>Dec</v>
      </c>
      <c r="J4016">
        <f>YEAR(datas[[#This Row],[Order Date]])</f>
        <v>2022</v>
      </c>
    </row>
    <row r="4017" spans="1:10" ht="14.25" customHeight="1" x14ac:dyDescent="0.3">
      <c r="A4017" s="1">
        <v>44919</v>
      </c>
      <c r="B4017" s="2" t="s">
        <v>629</v>
      </c>
      <c r="C4017" s="2" t="s">
        <v>47</v>
      </c>
      <c r="D4017" s="2" t="s">
        <v>10</v>
      </c>
      <c r="E4017" s="2" t="s">
        <v>11</v>
      </c>
      <c r="F4017" s="2">
        <v>22.7</v>
      </c>
      <c r="G4017" s="2">
        <v>6</v>
      </c>
      <c r="H4017" s="2">
        <v>8.23</v>
      </c>
      <c r="I4017" t="str">
        <f t="shared" si="62"/>
        <v>Dec</v>
      </c>
      <c r="J4017">
        <f>YEAR(datas[[#This Row],[Order Date]])</f>
        <v>2022</v>
      </c>
    </row>
    <row r="4018" spans="1:10" ht="14.25" customHeight="1" x14ac:dyDescent="0.3">
      <c r="A4018" s="1">
        <v>44919</v>
      </c>
      <c r="B4018" s="2" t="s">
        <v>629</v>
      </c>
      <c r="C4018" s="2" t="s">
        <v>47</v>
      </c>
      <c r="D4018" s="2" t="s">
        <v>10</v>
      </c>
      <c r="E4018" s="2" t="s">
        <v>16</v>
      </c>
      <c r="F4018" s="2">
        <v>19.78</v>
      </c>
      <c r="G4018" s="2">
        <v>4</v>
      </c>
      <c r="H4018" s="2">
        <v>-13.84</v>
      </c>
      <c r="I4018" t="str">
        <f t="shared" si="62"/>
        <v>Dec</v>
      </c>
      <c r="J4018">
        <f>YEAR(datas[[#This Row],[Order Date]])</f>
        <v>2022</v>
      </c>
    </row>
    <row r="4019" spans="1:10" ht="14.25" customHeight="1" x14ac:dyDescent="0.3">
      <c r="A4019" s="1">
        <v>44919</v>
      </c>
      <c r="B4019" s="2" t="s">
        <v>629</v>
      </c>
      <c r="C4019" s="2" t="s">
        <v>47</v>
      </c>
      <c r="D4019" s="2" t="s">
        <v>26</v>
      </c>
      <c r="E4019" s="2" t="s">
        <v>32</v>
      </c>
      <c r="F4019" s="2">
        <v>72.7</v>
      </c>
      <c r="G4019" s="2">
        <v>4</v>
      </c>
      <c r="H4019" s="2">
        <v>19.079999999999998</v>
      </c>
      <c r="I4019" t="str">
        <f t="shared" si="62"/>
        <v>Dec</v>
      </c>
      <c r="J4019">
        <f>YEAR(datas[[#This Row],[Order Date]])</f>
        <v>2022</v>
      </c>
    </row>
    <row r="4020" spans="1:10" ht="14.25" customHeight="1" x14ac:dyDescent="0.3">
      <c r="A4020" s="1">
        <v>44919</v>
      </c>
      <c r="B4020" s="2" t="s">
        <v>629</v>
      </c>
      <c r="C4020" s="2" t="s">
        <v>47</v>
      </c>
      <c r="D4020" s="2" t="s">
        <v>28</v>
      </c>
      <c r="E4020" s="2" t="s">
        <v>136</v>
      </c>
      <c r="F4020" s="2">
        <v>479.99</v>
      </c>
      <c r="G4020" s="2">
        <v>4</v>
      </c>
      <c r="H4020" s="2">
        <v>-383.99</v>
      </c>
      <c r="I4020" t="str">
        <f t="shared" si="62"/>
        <v>Dec</v>
      </c>
      <c r="J4020">
        <f>YEAR(datas[[#This Row],[Order Date]])</f>
        <v>2022</v>
      </c>
    </row>
    <row r="4021" spans="1:10" ht="14.25" customHeight="1" x14ac:dyDescent="0.3">
      <c r="A4021" s="1">
        <v>44919</v>
      </c>
      <c r="B4021" s="2" t="s">
        <v>629</v>
      </c>
      <c r="C4021" s="2" t="s">
        <v>47</v>
      </c>
      <c r="D4021" s="2" t="s">
        <v>10</v>
      </c>
      <c r="E4021" s="2" t="s">
        <v>19</v>
      </c>
      <c r="F4021" s="2">
        <v>27.17</v>
      </c>
      <c r="G4021" s="2">
        <v>2</v>
      </c>
      <c r="H4021" s="2">
        <v>2.72</v>
      </c>
      <c r="I4021" t="str">
        <f t="shared" si="62"/>
        <v>Dec</v>
      </c>
      <c r="J4021">
        <f>YEAR(datas[[#This Row],[Order Date]])</f>
        <v>2022</v>
      </c>
    </row>
    <row r="4022" spans="1:10" ht="14.25" customHeight="1" x14ac:dyDescent="0.3">
      <c r="A4022" s="1">
        <v>44919</v>
      </c>
      <c r="B4022" s="2" t="s">
        <v>712</v>
      </c>
      <c r="C4022" s="2" t="s">
        <v>75</v>
      </c>
      <c r="D4022" s="2" t="s">
        <v>10</v>
      </c>
      <c r="E4022" s="2" t="s">
        <v>11</v>
      </c>
      <c r="F4022" s="2">
        <v>132.79</v>
      </c>
      <c r="G4022" s="2">
        <v>7</v>
      </c>
      <c r="H4022" s="2">
        <v>63.74</v>
      </c>
      <c r="I4022" t="str">
        <f t="shared" si="62"/>
        <v>Dec</v>
      </c>
      <c r="J4022">
        <f>YEAR(datas[[#This Row],[Order Date]])</f>
        <v>2022</v>
      </c>
    </row>
    <row r="4023" spans="1:10" ht="14.25" customHeight="1" x14ac:dyDescent="0.3">
      <c r="A4023" s="1">
        <v>44919</v>
      </c>
      <c r="B4023" s="2" t="s">
        <v>712</v>
      </c>
      <c r="C4023" s="2" t="s">
        <v>75</v>
      </c>
      <c r="D4023" s="2" t="s">
        <v>10</v>
      </c>
      <c r="E4023" s="2" t="s">
        <v>11</v>
      </c>
      <c r="F4023" s="2">
        <v>12.96</v>
      </c>
      <c r="G4023" s="2">
        <v>2</v>
      </c>
      <c r="H4023" s="2">
        <v>6.22</v>
      </c>
      <c r="I4023" t="str">
        <f t="shared" si="62"/>
        <v>Dec</v>
      </c>
      <c r="J4023">
        <f>YEAR(datas[[#This Row],[Order Date]])</f>
        <v>2022</v>
      </c>
    </row>
    <row r="4024" spans="1:10" ht="14.25" customHeight="1" x14ac:dyDescent="0.3">
      <c r="A4024" s="1">
        <v>44919</v>
      </c>
      <c r="B4024" s="2" t="s">
        <v>712</v>
      </c>
      <c r="C4024" s="2" t="s">
        <v>75</v>
      </c>
      <c r="D4024" s="2" t="s">
        <v>10</v>
      </c>
      <c r="E4024" s="2" t="s">
        <v>14</v>
      </c>
      <c r="F4024" s="2">
        <v>21.56</v>
      </c>
      <c r="G4024" s="2">
        <v>7</v>
      </c>
      <c r="H4024" s="2">
        <v>10.35</v>
      </c>
      <c r="I4024" t="str">
        <f t="shared" si="62"/>
        <v>Dec</v>
      </c>
      <c r="J4024">
        <f>YEAR(datas[[#This Row],[Order Date]])</f>
        <v>2022</v>
      </c>
    </row>
    <row r="4025" spans="1:10" ht="14.25" customHeight="1" x14ac:dyDescent="0.3">
      <c r="A4025" s="1">
        <v>44919</v>
      </c>
      <c r="B4025" s="2" t="s">
        <v>802</v>
      </c>
      <c r="C4025" s="2" t="s">
        <v>126</v>
      </c>
      <c r="D4025" s="2" t="s">
        <v>26</v>
      </c>
      <c r="E4025" s="2" t="s">
        <v>45</v>
      </c>
      <c r="F4025" s="2">
        <v>590.05999999999995</v>
      </c>
      <c r="G4025" s="2">
        <v>7</v>
      </c>
      <c r="H4025" s="2">
        <v>-786.74</v>
      </c>
      <c r="I4025" t="str">
        <f t="shared" si="62"/>
        <v>Dec</v>
      </c>
      <c r="J4025">
        <f>YEAR(datas[[#This Row],[Order Date]])</f>
        <v>2022</v>
      </c>
    </row>
    <row r="4026" spans="1:10" ht="14.25" customHeight="1" x14ac:dyDescent="0.3">
      <c r="A4026" s="1">
        <v>44919</v>
      </c>
      <c r="B4026" s="2" t="s">
        <v>802</v>
      </c>
      <c r="C4026" s="2" t="s">
        <v>126</v>
      </c>
      <c r="D4026" s="2" t="s">
        <v>10</v>
      </c>
      <c r="E4026" s="2" t="s">
        <v>19</v>
      </c>
      <c r="F4026" s="2">
        <v>14.04</v>
      </c>
      <c r="G4026" s="2">
        <v>3</v>
      </c>
      <c r="H4026" s="2">
        <v>1.58</v>
      </c>
      <c r="I4026" t="str">
        <f t="shared" si="62"/>
        <v>Dec</v>
      </c>
      <c r="J4026">
        <f>YEAR(datas[[#This Row],[Order Date]])</f>
        <v>2022</v>
      </c>
    </row>
    <row r="4027" spans="1:10" ht="14.25" customHeight="1" x14ac:dyDescent="0.3">
      <c r="A4027" s="1">
        <v>44919</v>
      </c>
      <c r="B4027" s="2" t="s">
        <v>459</v>
      </c>
      <c r="C4027" s="2" t="s">
        <v>55</v>
      </c>
      <c r="D4027" s="2" t="s">
        <v>10</v>
      </c>
      <c r="E4027" s="2" t="s">
        <v>11</v>
      </c>
      <c r="F4027" s="2">
        <v>106.23</v>
      </c>
      <c r="G4027" s="2">
        <v>7</v>
      </c>
      <c r="H4027" s="2">
        <v>37.18</v>
      </c>
      <c r="I4027" t="str">
        <f t="shared" si="62"/>
        <v>Dec</v>
      </c>
      <c r="J4027">
        <f>YEAR(datas[[#This Row],[Order Date]])</f>
        <v>2022</v>
      </c>
    </row>
    <row r="4028" spans="1:10" ht="14.25" customHeight="1" x14ac:dyDescent="0.3">
      <c r="A4028" s="1">
        <v>44919</v>
      </c>
      <c r="B4028" s="2" t="s">
        <v>459</v>
      </c>
      <c r="C4028" s="2" t="s">
        <v>55</v>
      </c>
      <c r="D4028" s="2" t="s">
        <v>28</v>
      </c>
      <c r="E4028" s="2" t="s">
        <v>29</v>
      </c>
      <c r="F4028" s="2">
        <v>111.98</v>
      </c>
      <c r="G4028" s="2">
        <v>2</v>
      </c>
      <c r="H4028" s="2">
        <v>11.2</v>
      </c>
      <c r="I4028" t="str">
        <f t="shared" si="62"/>
        <v>Dec</v>
      </c>
      <c r="J4028">
        <f>YEAR(datas[[#This Row],[Order Date]])</f>
        <v>2022</v>
      </c>
    </row>
    <row r="4029" spans="1:10" ht="14.25" customHeight="1" x14ac:dyDescent="0.3">
      <c r="A4029" s="1">
        <v>44919</v>
      </c>
      <c r="B4029" s="2" t="s">
        <v>459</v>
      </c>
      <c r="C4029" s="2" t="s">
        <v>55</v>
      </c>
      <c r="D4029" s="2" t="s">
        <v>26</v>
      </c>
      <c r="E4029" s="2" t="s">
        <v>32</v>
      </c>
      <c r="F4029" s="2">
        <v>7.71</v>
      </c>
      <c r="G4029" s="2">
        <v>2</v>
      </c>
      <c r="H4029" s="2">
        <v>1.74</v>
      </c>
      <c r="I4029" t="str">
        <f t="shared" si="62"/>
        <v>Dec</v>
      </c>
      <c r="J4029">
        <f>YEAR(datas[[#This Row],[Order Date]])</f>
        <v>2022</v>
      </c>
    </row>
    <row r="4030" spans="1:10" ht="14.25" customHeight="1" x14ac:dyDescent="0.3">
      <c r="A4030" s="1">
        <v>44919</v>
      </c>
      <c r="B4030" s="2" t="s">
        <v>607</v>
      </c>
      <c r="C4030" s="2" t="s">
        <v>55</v>
      </c>
      <c r="D4030" s="2" t="s">
        <v>26</v>
      </c>
      <c r="E4030" s="2" t="s">
        <v>27</v>
      </c>
      <c r="F4030" s="2">
        <v>883.84</v>
      </c>
      <c r="G4030" s="2">
        <v>4</v>
      </c>
      <c r="H4030" s="2">
        <v>99.43</v>
      </c>
      <c r="I4030" t="str">
        <f t="shared" si="62"/>
        <v>Dec</v>
      </c>
      <c r="J4030">
        <f>YEAR(datas[[#This Row],[Order Date]])</f>
        <v>2022</v>
      </c>
    </row>
    <row r="4031" spans="1:10" ht="14.25" customHeight="1" x14ac:dyDescent="0.3">
      <c r="A4031" s="1">
        <v>44919</v>
      </c>
      <c r="B4031" s="2" t="s">
        <v>458</v>
      </c>
      <c r="C4031" s="2" t="s">
        <v>21</v>
      </c>
      <c r="D4031" s="2" t="s">
        <v>10</v>
      </c>
      <c r="E4031" s="2" t="s">
        <v>16</v>
      </c>
      <c r="F4031" s="2">
        <v>19.940000000000001</v>
      </c>
      <c r="G4031" s="2">
        <v>4</v>
      </c>
      <c r="H4031" s="2">
        <v>7.23</v>
      </c>
      <c r="I4031" t="str">
        <f t="shared" si="62"/>
        <v>Dec</v>
      </c>
      <c r="J4031">
        <f>YEAR(datas[[#This Row],[Order Date]])</f>
        <v>2022</v>
      </c>
    </row>
    <row r="4032" spans="1:10" ht="14.25" customHeight="1" x14ac:dyDescent="0.3">
      <c r="A4032" s="1">
        <v>44919</v>
      </c>
      <c r="B4032" s="2" t="s">
        <v>458</v>
      </c>
      <c r="C4032" s="2" t="s">
        <v>21</v>
      </c>
      <c r="D4032" s="2" t="s">
        <v>10</v>
      </c>
      <c r="E4032" s="2" t="s">
        <v>30</v>
      </c>
      <c r="F4032" s="2">
        <v>45.92</v>
      </c>
      <c r="G4032" s="2">
        <v>4</v>
      </c>
      <c r="H4032" s="2">
        <v>21.58</v>
      </c>
      <c r="I4032" t="str">
        <f t="shared" si="62"/>
        <v>Dec</v>
      </c>
      <c r="J4032">
        <f>YEAR(datas[[#This Row],[Order Date]])</f>
        <v>2022</v>
      </c>
    </row>
    <row r="4033" spans="1:10" ht="14.25" customHeight="1" x14ac:dyDescent="0.3">
      <c r="A4033" s="1">
        <v>44919</v>
      </c>
      <c r="B4033" s="2" t="s">
        <v>380</v>
      </c>
      <c r="C4033" s="2" t="s">
        <v>91</v>
      </c>
      <c r="D4033" s="2" t="s">
        <v>26</v>
      </c>
      <c r="E4033" s="2" t="s">
        <v>32</v>
      </c>
      <c r="F4033" s="2">
        <v>9.68</v>
      </c>
      <c r="G4033" s="2">
        <v>2</v>
      </c>
      <c r="H4033" s="2">
        <v>3.78</v>
      </c>
      <c r="I4033" t="str">
        <f t="shared" si="62"/>
        <v>Dec</v>
      </c>
      <c r="J4033">
        <f>YEAR(datas[[#This Row],[Order Date]])</f>
        <v>2022</v>
      </c>
    </row>
    <row r="4034" spans="1:10" ht="14.25" customHeight="1" x14ac:dyDescent="0.3">
      <c r="A4034" s="1">
        <v>44919</v>
      </c>
      <c r="B4034" s="2" t="s">
        <v>380</v>
      </c>
      <c r="C4034" s="2" t="s">
        <v>91</v>
      </c>
      <c r="D4034" s="2" t="s">
        <v>28</v>
      </c>
      <c r="E4034" s="2" t="s">
        <v>243</v>
      </c>
      <c r="F4034" s="2">
        <v>4899.93</v>
      </c>
      <c r="G4034" s="2">
        <v>7</v>
      </c>
      <c r="H4034" s="2">
        <v>2302.9699999999998</v>
      </c>
      <c r="I4034" t="str">
        <f t="shared" si="62"/>
        <v>Dec</v>
      </c>
      <c r="J4034">
        <f>YEAR(datas[[#This Row],[Order Date]])</f>
        <v>2022</v>
      </c>
    </row>
    <row r="4035" spans="1:10" ht="14.25" customHeight="1" x14ac:dyDescent="0.3">
      <c r="A4035" s="1">
        <v>44920</v>
      </c>
      <c r="B4035" s="2" t="s">
        <v>586</v>
      </c>
      <c r="C4035" s="2" t="s">
        <v>18</v>
      </c>
      <c r="D4035" s="2" t="s">
        <v>26</v>
      </c>
      <c r="E4035" s="2" t="s">
        <v>32</v>
      </c>
      <c r="F4035" s="2">
        <v>547.14</v>
      </c>
      <c r="G4035" s="2">
        <v>4</v>
      </c>
      <c r="H4035" s="2">
        <v>-68.39</v>
      </c>
      <c r="I4035" t="str">
        <f t="shared" ref="I4035:I4098" si="63">TEXT(A4035,"mmm")</f>
        <v>Dec</v>
      </c>
      <c r="J4035">
        <f>YEAR(datas[[#This Row],[Order Date]])</f>
        <v>2022</v>
      </c>
    </row>
    <row r="4036" spans="1:10" ht="14.25" customHeight="1" x14ac:dyDescent="0.3">
      <c r="A4036" s="1">
        <v>44920</v>
      </c>
      <c r="B4036" s="2" t="s">
        <v>407</v>
      </c>
      <c r="C4036" s="2" t="s">
        <v>62</v>
      </c>
      <c r="D4036" s="2" t="s">
        <v>10</v>
      </c>
      <c r="E4036" s="2" t="s">
        <v>14</v>
      </c>
      <c r="F4036" s="2">
        <v>9.2200000000000006</v>
      </c>
      <c r="G4036" s="2">
        <v>4</v>
      </c>
      <c r="H4036" s="2">
        <v>3.34</v>
      </c>
      <c r="I4036" t="str">
        <f t="shared" si="63"/>
        <v>Dec</v>
      </c>
      <c r="J4036">
        <f>YEAR(datas[[#This Row],[Order Date]])</f>
        <v>2022</v>
      </c>
    </row>
    <row r="4037" spans="1:10" ht="14.25" customHeight="1" x14ac:dyDescent="0.3">
      <c r="A4037" s="1">
        <v>44920</v>
      </c>
      <c r="B4037" s="2" t="s">
        <v>407</v>
      </c>
      <c r="C4037" s="2" t="s">
        <v>62</v>
      </c>
      <c r="D4037" s="2" t="s">
        <v>10</v>
      </c>
      <c r="E4037" s="2" t="s">
        <v>11</v>
      </c>
      <c r="F4037" s="2">
        <v>10.37</v>
      </c>
      <c r="G4037" s="2">
        <v>2</v>
      </c>
      <c r="H4037" s="2">
        <v>3.63</v>
      </c>
      <c r="I4037" t="str">
        <f t="shared" si="63"/>
        <v>Dec</v>
      </c>
      <c r="J4037">
        <f>YEAR(datas[[#This Row],[Order Date]])</f>
        <v>2022</v>
      </c>
    </row>
    <row r="4038" spans="1:10" ht="14.25" customHeight="1" x14ac:dyDescent="0.3">
      <c r="A4038" s="1">
        <v>44920</v>
      </c>
      <c r="B4038" s="2" t="s">
        <v>803</v>
      </c>
      <c r="C4038" s="2" t="s">
        <v>60</v>
      </c>
      <c r="D4038" s="2" t="s">
        <v>28</v>
      </c>
      <c r="E4038" s="2" t="s">
        <v>29</v>
      </c>
      <c r="F4038" s="2">
        <v>73.98</v>
      </c>
      <c r="G4038" s="2">
        <v>2</v>
      </c>
      <c r="H4038" s="2">
        <v>19.97</v>
      </c>
      <c r="I4038" t="str">
        <f t="shared" si="63"/>
        <v>Dec</v>
      </c>
      <c r="J4038">
        <f>YEAR(datas[[#This Row],[Order Date]])</f>
        <v>2022</v>
      </c>
    </row>
    <row r="4039" spans="1:10" ht="14.25" customHeight="1" x14ac:dyDescent="0.3">
      <c r="A4039" s="1">
        <v>44920</v>
      </c>
      <c r="B4039" s="2" t="s">
        <v>803</v>
      </c>
      <c r="C4039" s="2" t="s">
        <v>60</v>
      </c>
      <c r="D4039" s="2" t="s">
        <v>26</v>
      </c>
      <c r="E4039" s="2" t="s">
        <v>45</v>
      </c>
      <c r="F4039" s="2">
        <v>160.97999999999999</v>
      </c>
      <c r="G4039" s="2">
        <v>1</v>
      </c>
      <c r="H4039" s="2">
        <v>20.93</v>
      </c>
      <c r="I4039" t="str">
        <f t="shared" si="63"/>
        <v>Dec</v>
      </c>
      <c r="J4039">
        <f>YEAR(datas[[#This Row],[Order Date]])</f>
        <v>2022</v>
      </c>
    </row>
    <row r="4040" spans="1:10" ht="14.25" customHeight="1" x14ac:dyDescent="0.3">
      <c r="A4040" s="1">
        <v>44920</v>
      </c>
      <c r="B4040" s="2" t="s">
        <v>803</v>
      </c>
      <c r="C4040" s="2" t="s">
        <v>60</v>
      </c>
      <c r="D4040" s="2" t="s">
        <v>10</v>
      </c>
      <c r="E4040" s="2" t="s">
        <v>11</v>
      </c>
      <c r="F4040" s="2">
        <v>17.34</v>
      </c>
      <c r="G4040" s="2">
        <v>3</v>
      </c>
      <c r="H4040" s="2">
        <v>8.5</v>
      </c>
      <c r="I4040" t="str">
        <f t="shared" si="63"/>
        <v>Dec</v>
      </c>
      <c r="J4040">
        <f>YEAR(datas[[#This Row],[Order Date]])</f>
        <v>2022</v>
      </c>
    </row>
    <row r="4041" spans="1:10" ht="14.25" customHeight="1" x14ac:dyDescent="0.3">
      <c r="A4041" s="1">
        <v>44920</v>
      </c>
      <c r="B4041" s="2" t="s">
        <v>803</v>
      </c>
      <c r="C4041" s="2" t="s">
        <v>60</v>
      </c>
      <c r="D4041" s="2" t="s">
        <v>10</v>
      </c>
      <c r="E4041" s="2" t="s">
        <v>19</v>
      </c>
      <c r="F4041" s="2">
        <v>3.28</v>
      </c>
      <c r="G4041" s="2">
        <v>1</v>
      </c>
      <c r="H4041" s="2">
        <v>0.95</v>
      </c>
      <c r="I4041" t="str">
        <f t="shared" si="63"/>
        <v>Dec</v>
      </c>
      <c r="J4041">
        <f>YEAR(datas[[#This Row],[Order Date]])</f>
        <v>2022</v>
      </c>
    </row>
    <row r="4042" spans="1:10" ht="14.25" customHeight="1" x14ac:dyDescent="0.3">
      <c r="A4042" s="1">
        <v>44920</v>
      </c>
      <c r="B4042" s="2" t="s">
        <v>483</v>
      </c>
      <c r="C4042" s="2" t="s">
        <v>75</v>
      </c>
      <c r="D4042" s="2" t="s">
        <v>10</v>
      </c>
      <c r="E4042" s="2" t="s">
        <v>53</v>
      </c>
      <c r="F4042" s="2">
        <v>414.96</v>
      </c>
      <c r="G4042" s="2">
        <v>2</v>
      </c>
      <c r="H4042" s="2">
        <v>124.49</v>
      </c>
      <c r="I4042" t="str">
        <f t="shared" si="63"/>
        <v>Dec</v>
      </c>
      <c r="J4042">
        <f>YEAR(datas[[#This Row],[Order Date]])</f>
        <v>2022</v>
      </c>
    </row>
    <row r="4043" spans="1:10" ht="14.25" customHeight="1" x14ac:dyDescent="0.3">
      <c r="A4043" s="1">
        <v>44920</v>
      </c>
      <c r="B4043" s="2" t="s">
        <v>637</v>
      </c>
      <c r="C4043" s="2" t="s">
        <v>21</v>
      </c>
      <c r="D4043" s="2" t="s">
        <v>28</v>
      </c>
      <c r="E4043" s="2" t="s">
        <v>243</v>
      </c>
      <c r="F4043" s="2">
        <v>1199.96</v>
      </c>
      <c r="G4043" s="2">
        <v>5</v>
      </c>
      <c r="H4043" s="2">
        <v>224.99</v>
      </c>
      <c r="I4043" t="str">
        <f t="shared" si="63"/>
        <v>Dec</v>
      </c>
      <c r="J4043">
        <f>YEAR(datas[[#This Row],[Order Date]])</f>
        <v>2022</v>
      </c>
    </row>
    <row r="4044" spans="1:10" ht="14.25" customHeight="1" x14ac:dyDescent="0.3">
      <c r="A4044" s="1">
        <v>44920</v>
      </c>
      <c r="B4044" s="2" t="s">
        <v>637</v>
      </c>
      <c r="C4044" s="2" t="s">
        <v>21</v>
      </c>
      <c r="D4044" s="2" t="s">
        <v>10</v>
      </c>
      <c r="E4044" s="2" t="s">
        <v>11</v>
      </c>
      <c r="F4044" s="2">
        <v>12.6</v>
      </c>
      <c r="G4044" s="2">
        <v>3</v>
      </c>
      <c r="H4044" s="2">
        <v>6.17</v>
      </c>
      <c r="I4044" t="str">
        <f t="shared" si="63"/>
        <v>Dec</v>
      </c>
      <c r="J4044">
        <f>YEAR(datas[[#This Row],[Order Date]])</f>
        <v>2022</v>
      </c>
    </row>
    <row r="4045" spans="1:10" ht="14.25" customHeight="1" x14ac:dyDescent="0.3">
      <c r="A4045" s="1">
        <v>44920</v>
      </c>
      <c r="B4045" s="2" t="s">
        <v>637</v>
      </c>
      <c r="C4045" s="2" t="s">
        <v>21</v>
      </c>
      <c r="D4045" s="2" t="s">
        <v>10</v>
      </c>
      <c r="E4045" s="2" t="s">
        <v>11</v>
      </c>
      <c r="F4045" s="2">
        <v>17.940000000000001</v>
      </c>
      <c r="G4045" s="2">
        <v>3</v>
      </c>
      <c r="H4045" s="2">
        <v>8.07</v>
      </c>
      <c r="I4045" t="str">
        <f t="shared" si="63"/>
        <v>Dec</v>
      </c>
      <c r="J4045">
        <f>YEAR(datas[[#This Row],[Order Date]])</f>
        <v>2022</v>
      </c>
    </row>
    <row r="4046" spans="1:10" ht="14.25" customHeight="1" x14ac:dyDescent="0.3">
      <c r="A4046" s="1">
        <v>44920</v>
      </c>
      <c r="B4046" s="2" t="s">
        <v>422</v>
      </c>
      <c r="C4046" s="2" t="s">
        <v>23</v>
      </c>
      <c r="D4046" s="2" t="s">
        <v>26</v>
      </c>
      <c r="E4046" s="2" t="s">
        <v>32</v>
      </c>
      <c r="F4046" s="2">
        <v>275.88</v>
      </c>
      <c r="G4046" s="2">
        <v>6</v>
      </c>
      <c r="H4046" s="2">
        <v>46.9</v>
      </c>
      <c r="I4046" t="str">
        <f t="shared" si="63"/>
        <v>Dec</v>
      </c>
      <c r="J4046">
        <f>YEAR(datas[[#This Row],[Order Date]])</f>
        <v>2022</v>
      </c>
    </row>
    <row r="4047" spans="1:10" ht="14.25" customHeight="1" x14ac:dyDescent="0.3">
      <c r="A4047" s="1">
        <v>44920</v>
      </c>
      <c r="B4047" s="2" t="s">
        <v>422</v>
      </c>
      <c r="C4047" s="2" t="s">
        <v>23</v>
      </c>
      <c r="D4047" s="2" t="s">
        <v>10</v>
      </c>
      <c r="E4047" s="2" t="s">
        <v>16</v>
      </c>
      <c r="F4047" s="2">
        <v>157.9</v>
      </c>
      <c r="G4047" s="2">
        <v>5</v>
      </c>
      <c r="H4047" s="2">
        <v>74.209999999999994</v>
      </c>
      <c r="I4047" t="str">
        <f t="shared" si="63"/>
        <v>Dec</v>
      </c>
      <c r="J4047">
        <f>YEAR(datas[[#This Row],[Order Date]])</f>
        <v>2022</v>
      </c>
    </row>
    <row r="4048" spans="1:10" ht="14.25" customHeight="1" x14ac:dyDescent="0.3">
      <c r="A4048" s="1">
        <v>44920</v>
      </c>
      <c r="B4048" s="2" t="s">
        <v>299</v>
      </c>
      <c r="C4048" s="2" t="s">
        <v>75</v>
      </c>
      <c r="D4048" s="2" t="s">
        <v>28</v>
      </c>
      <c r="E4048" s="2" t="s">
        <v>34</v>
      </c>
      <c r="F4048" s="2">
        <v>843.9</v>
      </c>
      <c r="G4048" s="2">
        <v>2</v>
      </c>
      <c r="H4048" s="2">
        <v>371.32</v>
      </c>
      <c r="I4048" t="str">
        <f t="shared" si="63"/>
        <v>Dec</v>
      </c>
      <c r="J4048">
        <f>YEAR(datas[[#This Row],[Order Date]])</f>
        <v>2022</v>
      </c>
    </row>
    <row r="4049" spans="1:10" ht="14.25" customHeight="1" x14ac:dyDescent="0.3">
      <c r="A4049" s="1">
        <v>44920</v>
      </c>
      <c r="B4049" s="2" t="s">
        <v>299</v>
      </c>
      <c r="C4049" s="2" t="s">
        <v>75</v>
      </c>
      <c r="D4049" s="2" t="s">
        <v>26</v>
      </c>
      <c r="E4049" s="2" t="s">
        <v>45</v>
      </c>
      <c r="F4049" s="2">
        <v>449.57</v>
      </c>
      <c r="G4049" s="2">
        <v>2</v>
      </c>
      <c r="H4049" s="2">
        <v>56.2</v>
      </c>
      <c r="I4049" t="str">
        <f t="shared" si="63"/>
        <v>Dec</v>
      </c>
      <c r="J4049">
        <f>YEAR(datas[[#This Row],[Order Date]])</f>
        <v>2022</v>
      </c>
    </row>
    <row r="4050" spans="1:10" ht="14.25" customHeight="1" x14ac:dyDescent="0.3">
      <c r="A4050" s="1">
        <v>44920</v>
      </c>
      <c r="B4050" s="2" t="s">
        <v>145</v>
      </c>
      <c r="C4050" s="2" t="s">
        <v>21</v>
      </c>
      <c r="D4050" s="2" t="s">
        <v>10</v>
      </c>
      <c r="E4050" s="2" t="s">
        <v>11</v>
      </c>
      <c r="F4050" s="2">
        <v>9.9600000000000009</v>
      </c>
      <c r="G4050" s="2">
        <v>2</v>
      </c>
      <c r="H4050" s="2">
        <v>4.88</v>
      </c>
      <c r="I4050" t="str">
        <f t="shared" si="63"/>
        <v>Dec</v>
      </c>
      <c r="J4050">
        <f>YEAR(datas[[#This Row],[Order Date]])</f>
        <v>2022</v>
      </c>
    </row>
    <row r="4051" spans="1:10" ht="14.25" customHeight="1" x14ac:dyDescent="0.3">
      <c r="A4051" s="1">
        <v>44921</v>
      </c>
      <c r="B4051" s="2" t="s">
        <v>44</v>
      </c>
      <c r="C4051" s="2" t="s">
        <v>181</v>
      </c>
      <c r="D4051" s="2" t="s">
        <v>10</v>
      </c>
      <c r="E4051" s="2" t="s">
        <v>30</v>
      </c>
      <c r="F4051" s="2">
        <v>22.2</v>
      </c>
      <c r="G4051" s="2">
        <v>5</v>
      </c>
      <c r="H4051" s="2">
        <v>10.43</v>
      </c>
      <c r="I4051" t="str">
        <f t="shared" si="63"/>
        <v>Dec</v>
      </c>
      <c r="J4051">
        <f>YEAR(datas[[#This Row],[Order Date]])</f>
        <v>2022</v>
      </c>
    </row>
    <row r="4052" spans="1:10" ht="14.25" customHeight="1" x14ac:dyDescent="0.3">
      <c r="A4052" s="1">
        <v>44921</v>
      </c>
      <c r="B4052" s="2" t="s">
        <v>327</v>
      </c>
      <c r="C4052" s="2" t="s">
        <v>47</v>
      </c>
      <c r="D4052" s="2" t="s">
        <v>26</v>
      </c>
      <c r="E4052" s="2" t="s">
        <v>73</v>
      </c>
      <c r="F4052" s="2">
        <v>51.59</v>
      </c>
      <c r="G4052" s="2">
        <v>1</v>
      </c>
      <c r="H4052" s="2">
        <v>-15.48</v>
      </c>
      <c r="I4052" t="str">
        <f t="shared" si="63"/>
        <v>Dec</v>
      </c>
      <c r="J4052">
        <f>YEAR(datas[[#This Row],[Order Date]])</f>
        <v>2022</v>
      </c>
    </row>
    <row r="4053" spans="1:10" ht="14.25" customHeight="1" x14ac:dyDescent="0.3">
      <c r="A4053" s="1">
        <v>44921</v>
      </c>
      <c r="B4053" s="2" t="s">
        <v>753</v>
      </c>
      <c r="C4053" s="2" t="s">
        <v>9</v>
      </c>
      <c r="D4053" s="2" t="s">
        <v>26</v>
      </c>
      <c r="E4053" s="2" t="s">
        <v>27</v>
      </c>
      <c r="F4053" s="2">
        <v>275.06</v>
      </c>
      <c r="G4053" s="2">
        <v>3</v>
      </c>
      <c r="H4053" s="2">
        <v>-90.38</v>
      </c>
      <c r="I4053" t="str">
        <f t="shared" si="63"/>
        <v>Dec</v>
      </c>
      <c r="J4053">
        <f>YEAR(datas[[#This Row],[Order Date]])</f>
        <v>2022</v>
      </c>
    </row>
    <row r="4054" spans="1:10" ht="14.25" customHeight="1" x14ac:dyDescent="0.3">
      <c r="A4054" s="1">
        <v>44921</v>
      </c>
      <c r="B4054" s="2" t="s">
        <v>518</v>
      </c>
      <c r="C4054" s="2" t="s">
        <v>75</v>
      </c>
      <c r="D4054" s="2" t="s">
        <v>10</v>
      </c>
      <c r="E4054" s="2" t="s">
        <v>11</v>
      </c>
      <c r="F4054" s="2">
        <v>212.64</v>
      </c>
      <c r="G4054" s="2">
        <v>6</v>
      </c>
      <c r="H4054" s="2">
        <v>99.94</v>
      </c>
      <c r="I4054" t="str">
        <f t="shared" si="63"/>
        <v>Dec</v>
      </c>
      <c r="J4054">
        <f>YEAR(datas[[#This Row],[Order Date]])</f>
        <v>2022</v>
      </c>
    </row>
    <row r="4055" spans="1:10" ht="14.25" customHeight="1" x14ac:dyDescent="0.3">
      <c r="A4055" s="1">
        <v>44922</v>
      </c>
      <c r="B4055" s="2" t="s">
        <v>254</v>
      </c>
      <c r="C4055" s="2" t="s">
        <v>9</v>
      </c>
      <c r="D4055" s="2" t="s">
        <v>10</v>
      </c>
      <c r="E4055" s="2" t="s">
        <v>41</v>
      </c>
      <c r="F4055" s="2">
        <v>113.33</v>
      </c>
      <c r="G4055" s="2">
        <v>9</v>
      </c>
      <c r="H4055" s="2">
        <v>35.42</v>
      </c>
      <c r="I4055" t="str">
        <f t="shared" si="63"/>
        <v>Dec</v>
      </c>
      <c r="J4055">
        <f>YEAR(datas[[#This Row],[Order Date]])</f>
        <v>2022</v>
      </c>
    </row>
    <row r="4056" spans="1:10" ht="14.25" customHeight="1" x14ac:dyDescent="0.3">
      <c r="A4056" s="1">
        <v>44922</v>
      </c>
      <c r="B4056" s="2" t="s">
        <v>254</v>
      </c>
      <c r="C4056" s="2" t="s">
        <v>9</v>
      </c>
      <c r="D4056" s="2" t="s">
        <v>26</v>
      </c>
      <c r="E4056" s="2" t="s">
        <v>45</v>
      </c>
      <c r="F4056" s="2">
        <v>532.4</v>
      </c>
      <c r="G4056" s="2">
        <v>3</v>
      </c>
      <c r="H4056" s="2">
        <v>-46.98</v>
      </c>
      <c r="I4056" t="str">
        <f t="shared" si="63"/>
        <v>Dec</v>
      </c>
      <c r="J4056">
        <f>YEAR(datas[[#This Row],[Order Date]])</f>
        <v>2022</v>
      </c>
    </row>
    <row r="4057" spans="1:10" ht="14.25" customHeight="1" x14ac:dyDescent="0.3">
      <c r="A4057" s="1">
        <v>44922</v>
      </c>
      <c r="B4057" s="2" t="s">
        <v>254</v>
      </c>
      <c r="C4057" s="2" t="s">
        <v>9</v>
      </c>
      <c r="D4057" s="2" t="s">
        <v>26</v>
      </c>
      <c r="E4057" s="2" t="s">
        <v>27</v>
      </c>
      <c r="F4057" s="2">
        <v>212.06</v>
      </c>
      <c r="G4057" s="2">
        <v>3</v>
      </c>
      <c r="H4057" s="2">
        <v>-15.15</v>
      </c>
      <c r="I4057" t="str">
        <f t="shared" si="63"/>
        <v>Dec</v>
      </c>
      <c r="J4057">
        <f>YEAR(datas[[#This Row],[Order Date]])</f>
        <v>2022</v>
      </c>
    </row>
    <row r="4058" spans="1:10" ht="14.25" customHeight="1" x14ac:dyDescent="0.3">
      <c r="A4058" s="1">
        <v>44922</v>
      </c>
      <c r="B4058" s="2" t="s">
        <v>254</v>
      </c>
      <c r="C4058" s="2" t="s">
        <v>9</v>
      </c>
      <c r="D4058" s="2" t="s">
        <v>28</v>
      </c>
      <c r="E4058" s="2" t="s">
        <v>29</v>
      </c>
      <c r="F4058" s="2">
        <v>371.17</v>
      </c>
      <c r="G4058" s="2">
        <v>4</v>
      </c>
      <c r="H4058" s="2">
        <v>41.76</v>
      </c>
      <c r="I4058" t="str">
        <f t="shared" si="63"/>
        <v>Dec</v>
      </c>
      <c r="J4058">
        <f>YEAR(datas[[#This Row],[Order Date]])</f>
        <v>2022</v>
      </c>
    </row>
    <row r="4059" spans="1:10" ht="14.25" customHeight="1" x14ac:dyDescent="0.3">
      <c r="A4059" s="1">
        <v>44922</v>
      </c>
      <c r="B4059" s="2" t="s">
        <v>568</v>
      </c>
      <c r="C4059" s="2" t="s">
        <v>57</v>
      </c>
      <c r="D4059" s="2" t="s">
        <v>10</v>
      </c>
      <c r="E4059" s="2" t="s">
        <v>41</v>
      </c>
      <c r="F4059" s="2">
        <v>105.42</v>
      </c>
      <c r="G4059" s="2">
        <v>2</v>
      </c>
      <c r="H4059" s="2">
        <v>51.66</v>
      </c>
      <c r="I4059" t="str">
        <f t="shared" si="63"/>
        <v>Dec</v>
      </c>
      <c r="J4059">
        <f>YEAR(datas[[#This Row],[Order Date]])</f>
        <v>2022</v>
      </c>
    </row>
    <row r="4060" spans="1:10" ht="14.25" customHeight="1" x14ac:dyDescent="0.3">
      <c r="A4060" s="1">
        <v>44922</v>
      </c>
      <c r="B4060" s="2" t="s">
        <v>804</v>
      </c>
      <c r="C4060" s="2" t="s">
        <v>215</v>
      </c>
      <c r="D4060" s="2" t="s">
        <v>10</v>
      </c>
      <c r="E4060" s="2" t="s">
        <v>11</v>
      </c>
      <c r="F4060" s="2">
        <v>28.9</v>
      </c>
      <c r="G4060" s="2">
        <v>5</v>
      </c>
      <c r="H4060" s="2">
        <v>14.16</v>
      </c>
      <c r="I4060" t="str">
        <f t="shared" si="63"/>
        <v>Dec</v>
      </c>
      <c r="J4060">
        <f>YEAR(datas[[#This Row],[Order Date]])</f>
        <v>2022</v>
      </c>
    </row>
    <row r="4061" spans="1:10" ht="14.25" customHeight="1" x14ac:dyDescent="0.3">
      <c r="A4061" s="1">
        <v>44922</v>
      </c>
      <c r="B4061" s="2" t="s">
        <v>804</v>
      </c>
      <c r="C4061" s="2" t="s">
        <v>215</v>
      </c>
      <c r="D4061" s="2" t="s">
        <v>10</v>
      </c>
      <c r="E4061" s="2" t="s">
        <v>53</v>
      </c>
      <c r="F4061" s="2">
        <v>355.96</v>
      </c>
      <c r="G4061" s="2">
        <v>2</v>
      </c>
      <c r="H4061" s="2">
        <v>103.23</v>
      </c>
      <c r="I4061" t="str">
        <f t="shared" si="63"/>
        <v>Dec</v>
      </c>
      <c r="J4061">
        <f>YEAR(datas[[#This Row],[Order Date]])</f>
        <v>2022</v>
      </c>
    </row>
    <row r="4062" spans="1:10" ht="14.25" customHeight="1" x14ac:dyDescent="0.3">
      <c r="A4062" s="1">
        <v>44922</v>
      </c>
      <c r="B4062" s="2" t="s">
        <v>385</v>
      </c>
      <c r="C4062" s="2" t="s">
        <v>21</v>
      </c>
      <c r="D4062" s="2" t="s">
        <v>10</v>
      </c>
      <c r="E4062" s="2" t="s">
        <v>53</v>
      </c>
      <c r="F4062" s="2">
        <v>106.96</v>
      </c>
      <c r="G4062" s="2">
        <v>2</v>
      </c>
      <c r="H4062" s="2">
        <v>31.02</v>
      </c>
      <c r="I4062" t="str">
        <f t="shared" si="63"/>
        <v>Dec</v>
      </c>
      <c r="J4062">
        <f>YEAR(datas[[#This Row],[Order Date]])</f>
        <v>2022</v>
      </c>
    </row>
    <row r="4063" spans="1:10" ht="14.25" customHeight="1" x14ac:dyDescent="0.3">
      <c r="A4063" s="1">
        <v>44922</v>
      </c>
      <c r="B4063" s="2" t="s">
        <v>385</v>
      </c>
      <c r="C4063" s="2" t="s">
        <v>21</v>
      </c>
      <c r="D4063" s="2" t="s">
        <v>10</v>
      </c>
      <c r="E4063" s="2" t="s">
        <v>14</v>
      </c>
      <c r="F4063" s="2">
        <v>21.56</v>
      </c>
      <c r="G4063" s="2">
        <v>7</v>
      </c>
      <c r="H4063" s="2">
        <v>10.35</v>
      </c>
      <c r="I4063" t="str">
        <f t="shared" si="63"/>
        <v>Dec</v>
      </c>
      <c r="J4063">
        <f>YEAR(datas[[#This Row],[Order Date]])</f>
        <v>2022</v>
      </c>
    </row>
    <row r="4064" spans="1:10" ht="14.25" customHeight="1" x14ac:dyDescent="0.3">
      <c r="A4064" s="1">
        <v>44922</v>
      </c>
      <c r="B4064" s="2" t="s">
        <v>166</v>
      </c>
      <c r="C4064" s="2" t="s">
        <v>13</v>
      </c>
      <c r="D4064" s="2" t="s">
        <v>10</v>
      </c>
      <c r="E4064" s="2" t="s">
        <v>15</v>
      </c>
      <c r="F4064" s="2">
        <v>12.67</v>
      </c>
      <c r="G4064" s="2">
        <v>3</v>
      </c>
      <c r="H4064" s="2">
        <v>-3.17</v>
      </c>
      <c r="I4064" t="str">
        <f t="shared" si="63"/>
        <v>Dec</v>
      </c>
      <c r="J4064">
        <f>YEAR(datas[[#This Row],[Order Date]])</f>
        <v>2022</v>
      </c>
    </row>
    <row r="4065" spans="1:10" ht="14.25" customHeight="1" x14ac:dyDescent="0.3">
      <c r="A4065" s="1">
        <v>44922</v>
      </c>
      <c r="B4065" s="2" t="s">
        <v>211</v>
      </c>
      <c r="C4065" s="2" t="s">
        <v>21</v>
      </c>
      <c r="D4065" s="2" t="s">
        <v>28</v>
      </c>
      <c r="E4065" s="2" t="s">
        <v>34</v>
      </c>
      <c r="F4065" s="2">
        <v>7.92</v>
      </c>
      <c r="G4065" s="2">
        <v>8</v>
      </c>
      <c r="H4065" s="2">
        <v>3.48</v>
      </c>
      <c r="I4065" t="str">
        <f t="shared" si="63"/>
        <v>Dec</v>
      </c>
      <c r="J4065">
        <f>YEAR(datas[[#This Row],[Order Date]])</f>
        <v>2022</v>
      </c>
    </row>
    <row r="4066" spans="1:10" ht="14.25" customHeight="1" x14ac:dyDescent="0.3">
      <c r="A4066" s="1">
        <v>44922</v>
      </c>
      <c r="B4066" s="2" t="s">
        <v>305</v>
      </c>
      <c r="C4066" s="2" t="s">
        <v>79</v>
      </c>
      <c r="D4066" s="2" t="s">
        <v>10</v>
      </c>
      <c r="E4066" s="2" t="s">
        <v>11</v>
      </c>
      <c r="F4066" s="2">
        <v>195.64</v>
      </c>
      <c r="G4066" s="2">
        <v>4</v>
      </c>
      <c r="H4066" s="2">
        <v>91.95</v>
      </c>
      <c r="I4066" t="str">
        <f t="shared" si="63"/>
        <v>Dec</v>
      </c>
      <c r="J4066">
        <f>YEAR(datas[[#This Row],[Order Date]])</f>
        <v>2022</v>
      </c>
    </row>
    <row r="4067" spans="1:10" ht="14.25" customHeight="1" x14ac:dyDescent="0.3">
      <c r="A4067" s="1">
        <v>44922</v>
      </c>
      <c r="B4067" s="2" t="s">
        <v>305</v>
      </c>
      <c r="C4067" s="2" t="s">
        <v>79</v>
      </c>
      <c r="D4067" s="2" t="s">
        <v>28</v>
      </c>
      <c r="E4067" s="2" t="s">
        <v>29</v>
      </c>
      <c r="F4067" s="2">
        <v>239.9</v>
      </c>
      <c r="G4067" s="2">
        <v>2</v>
      </c>
      <c r="H4067" s="2">
        <v>71.97</v>
      </c>
      <c r="I4067" t="str">
        <f t="shared" si="63"/>
        <v>Dec</v>
      </c>
      <c r="J4067">
        <f>YEAR(datas[[#This Row],[Order Date]])</f>
        <v>2022</v>
      </c>
    </row>
    <row r="4068" spans="1:10" ht="14.25" customHeight="1" x14ac:dyDescent="0.3">
      <c r="A4068" s="1">
        <v>44922</v>
      </c>
      <c r="B4068" s="2" t="s">
        <v>712</v>
      </c>
      <c r="C4068" s="2" t="s">
        <v>47</v>
      </c>
      <c r="D4068" s="2" t="s">
        <v>26</v>
      </c>
      <c r="E4068" s="2" t="s">
        <v>73</v>
      </c>
      <c r="F4068" s="2">
        <v>1548.99</v>
      </c>
      <c r="G4068" s="2">
        <v>9</v>
      </c>
      <c r="H4068" s="2">
        <v>-464.7</v>
      </c>
      <c r="I4068" t="str">
        <f t="shared" si="63"/>
        <v>Dec</v>
      </c>
      <c r="J4068">
        <f>YEAR(datas[[#This Row],[Order Date]])</f>
        <v>2022</v>
      </c>
    </row>
    <row r="4069" spans="1:10" ht="14.25" customHeight="1" x14ac:dyDescent="0.3">
      <c r="A4069" s="1">
        <v>44922</v>
      </c>
      <c r="B4069" s="2" t="s">
        <v>712</v>
      </c>
      <c r="C4069" s="2" t="s">
        <v>47</v>
      </c>
      <c r="D4069" s="2" t="s">
        <v>10</v>
      </c>
      <c r="E4069" s="2" t="s">
        <v>41</v>
      </c>
      <c r="F4069" s="2">
        <v>19.87</v>
      </c>
      <c r="G4069" s="2">
        <v>3</v>
      </c>
      <c r="H4069" s="2">
        <v>6.71</v>
      </c>
      <c r="I4069" t="str">
        <f t="shared" si="63"/>
        <v>Dec</v>
      </c>
      <c r="J4069">
        <f>YEAR(datas[[#This Row],[Order Date]])</f>
        <v>2022</v>
      </c>
    </row>
    <row r="4070" spans="1:10" ht="14.25" customHeight="1" x14ac:dyDescent="0.3">
      <c r="A4070" s="1">
        <v>44922</v>
      </c>
      <c r="B4070" s="2" t="s">
        <v>641</v>
      </c>
      <c r="C4070" s="2" t="s">
        <v>62</v>
      </c>
      <c r="D4070" s="2" t="s">
        <v>28</v>
      </c>
      <c r="E4070" s="2" t="s">
        <v>34</v>
      </c>
      <c r="F4070" s="2">
        <v>4.7300000000000004</v>
      </c>
      <c r="G4070" s="2">
        <v>3</v>
      </c>
      <c r="H4070" s="2">
        <v>0.71</v>
      </c>
      <c r="I4070" t="str">
        <f t="shared" si="63"/>
        <v>Dec</v>
      </c>
      <c r="J4070">
        <f>YEAR(datas[[#This Row],[Order Date]])</f>
        <v>2022</v>
      </c>
    </row>
    <row r="4071" spans="1:10" ht="14.25" customHeight="1" x14ac:dyDescent="0.3">
      <c r="A4071" s="1">
        <v>44922</v>
      </c>
      <c r="B4071" s="2" t="s">
        <v>641</v>
      </c>
      <c r="C4071" s="2" t="s">
        <v>62</v>
      </c>
      <c r="D4071" s="2" t="s">
        <v>26</v>
      </c>
      <c r="E4071" s="2" t="s">
        <v>32</v>
      </c>
      <c r="F4071" s="2">
        <v>53.35</v>
      </c>
      <c r="G4071" s="2">
        <v>3</v>
      </c>
      <c r="H4071" s="2">
        <v>16.010000000000002</v>
      </c>
      <c r="I4071" t="str">
        <f t="shared" si="63"/>
        <v>Dec</v>
      </c>
      <c r="J4071">
        <f>YEAR(datas[[#This Row],[Order Date]])</f>
        <v>2022</v>
      </c>
    </row>
    <row r="4072" spans="1:10" ht="14.25" customHeight="1" x14ac:dyDescent="0.3">
      <c r="A4072" s="1">
        <v>44922</v>
      </c>
      <c r="B4072" s="2" t="s">
        <v>641</v>
      </c>
      <c r="C4072" s="2" t="s">
        <v>62</v>
      </c>
      <c r="D4072" s="2" t="s">
        <v>26</v>
      </c>
      <c r="E4072" s="2" t="s">
        <v>45</v>
      </c>
      <c r="F4072" s="2">
        <v>131.1</v>
      </c>
      <c r="G4072" s="2">
        <v>2</v>
      </c>
      <c r="H4072" s="2">
        <v>8.19</v>
      </c>
      <c r="I4072" t="str">
        <f t="shared" si="63"/>
        <v>Dec</v>
      </c>
      <c r="J4072">
        <f>YEAR(datas[[#This Row],[Order Date]])</f>
        <v>2022</v>
      </c>
    </row>
    <row r="4073" spans="1:10" ht="14.25" customHeight="1" x14ac:dyDescent="0.3">
      <c r="A4073" s="1">
        <v>44922</v>
      </c>
      <c r="B4073" s="2" t="s">
        <v>641</v>
      </c>
      <c r="C4073" s="2" t="s">
        <v>62</v>
      </c>
      <c r="D4073" s="2" t="s">
        <v>10</v>
      </c>
      <c r="E4073" s="2" t="s">
        <v>15</v>
      </c>
      <c r="F4073" s="2">
        <v>22.51</v>
      </c>
      <c r="G4073" s="2">
        <v>3</v>
      </c>
      <c r="H4073" s="2">
        <v>2.25</v>
      </c>
      <c r="I4073" t="str">
        <f t="shared" si="63"/>
        <v>Dec</v>
      </c>
      <c r="J4073">
        <f>YEAR(datas[[#This Row],[Order Date]])</f>
        <v>2022</v>
      </c>
    </row>
    <row r="4074" spans="1:10" ht="14.25" customHeight="1" x14ac:dyDescent="0.3">
      <c r="A4074" s="1">
        <v>44922</v>
      </c>
      <c r="B4074" s="2" t="s">
        <v>641</v>
      </c>
      <c r="C4074" s="2" t="s">
        <v>62</v>
      </c>
      <c r="D4074" s="2" t="s">
        <v>28</v>
      </c>
      <c r="E4074" s="2" t="s">
        <v>34</v>
      </c>
      <c r="F4074" s="2">
        <v>72.739999999999995</v>
      </c>
      <c r="G4074" s="2">
        <v>7</v>
      </c>
      <c r="H4074" s="2">
        <v>-12.73</v>
      </c>
      <c r="I4074" t="str">
        <f t="shared" si="63"/>
        <v>Dec</v>
      </c>
      <c r="J4074">
        <f>YEAR(datas[[#This Row],[Order Date]])</f>
        <v>2022</v>
      </c>
    </row>
    <row r="4075" spans="1:10" ht="14.25" customHeight="1" x14ac:dyDescent="0.3">
      <c r="A4075" s="1">
        <v>44922</v>
      </c>
      <c r="B4075" s="2" t="s">
        <v>224</v>
      </c>
      <c r="C4075" s="2" t="s">
        <v>21</v>
      </c>
      <c r="D4075" s="2" t="s">
        <v>10</v>
      </c>
      <c r="E4075" s="2" t="s">
        <v>15</v>
      </c>
      <c r="F4075" s="2">
        <v>323.10000000000002</v>
      </c>
      <c r="G4075" s="2">
        <v>2</v>
      </c>
      <c r="H4075" s="2">
        <v>61.39</v>
      </c>
      <c r="I4075" t="str">
        <f t="shared" si="63"/>
        <v>Dec</v>
      </c>
      <c r="J4075">
        <f>YEAR(datas[[#This Row],[Order Date]])</f>
        <v>2022</v>
      </c>
    </row>
    <row r="4076" spans="1:10" ht="14.25" customHeight="1" x14ac:dyDescent="0.3">
      <c r="A4076" s="1">
        <v>44922</v>
      </c>
      <c r="B4076" s="2" t="s">
        <v>224</v>
      </c>
      <c r="C4076" s="2" t="s">
        <v>21</v>
      </c>
      <c r="D4076" s="2" t="s">
        <v>28</v>
      </c>
      <c r="E4076" s="2" t="s">
        <v>29</v>
      </c>
      <c r="F4076" s="2">
        <v>668.16</v>
      </c>
      <c r="G4076" s="2">
        <v>9</v>
      </c>
      <c r="H4076" s="2">
        <v>75.17</v>
      </c>
      <c r="I4076" t="str">
        <f t="shared" si="63"/>
        <v>Dec</v>
      </c>
      <c r="J4076">
        <f>YEAR(datas[[#This Row],[Order Date]])</f>
        <v>2022</v>
      </c>
    </row>
    <row r="4077" spans="1:10" ht="14.25" customHeight="1" x14ac:dyDescent="0.3">
      <c r="A4077" s="1">
        <v>44923</v>
      </c>
      <c r="B4077" s="2" t="s">
        <v>772</v>
      </c>
      <c r="C4077" s="2" t="s">
        <v>18</v>
      </c>
      <c r="D4077" s="2" t="s">
        <v>28</v>
      </c>
      <c r="E4077" s="2" t="s">
        <v>34</v>
      </c>
      <c r="F4077" s="2">
        <v>54.38</v>
      </c>
      <c r="G4077" s="2">
        <v>2</v>
      </c>
      <c r="H4077" s="2">
        <v>1.36</v>
      </c>
      <c r="I4077" t="str">
        <f t="shared" si="63"/>
        <v>Dec</v>
      </c>
      <c r="J4077">
        <f>YEAR(datas[[#This Row],[Order Date]])</f>
        <v>2022</v>
      </c>
    </row>
    <row r="4078" spans="1:10" ht="14.25" customHeight="1" x14ac:dyDescent="0.3">
      <c r="A4078" s="1">
        <v>44923</v>
      </c>
      <c r="B4078" s="2" t="s">
        <v>754</v>
      </c>
      <c r="C4078" s="2" t="s">
        <v>13</v>
      </c>
      <c r="D4078" s="2" t="s">
        <v>10</v>
      </c>
      <c r="E4078" s="2" t="s">
        <v>15</v>
      </c>
      <c r="F4078" s="2">
        <v>24.82</v>
      </c>
      <c r="G4078" s="2">
        <v>2</v>
      </c>
      <c r="H4078" s="2">
        <v>1.55</v>
      </c>
      <c r="I4078" t="str">
        <f t="shared" si="63"/>
        <v>Dec</v>
      </c>
      <c r="J4078">
        <f>YEAR(datas[[#This Row],[Order Date]])</f>
        <v>2022</v>
      </c>
    </row>
    <row r="4079" spans="1:10" ht="14.25" customHeight="1" x14ac:dyDescent="0.3">
      <c r="A4079" s="1">
        <v>44924</v>
      </c>
      <c r="B4079" s="2" t="s">
        <v>575</v>
      </c>
      <c r="C4079" s="2" t="s">
        <v>75</v>
      </c>
      <c r="D4079" s="2" t="s">
        <v>10</v>
      </c>
      <c r="E4079" s="2" t="s">
        <v>95</v>
      </c>
      <c r="F4079" s="2">
        <v>6.36</v>
      </c>
      <c r="G4079" s="2">
        <v>2</v>
      </c>
      <c r="H4079" s="2">
        <v>0.06</v>
      </c>
      <c r="I4079" t="str">
        <f t="shared" si="63"/>
        <v>Dec</v>
      </c>
      <c r="J4079">
        <f>YEAR(datas[[#This Row],[Order Date]])</f>
        <v>2022</v>
      </c>
    </row>
    <row r="4080" spans="1:10" ht="14.25" customHeight="1" x14ac:dyDescent="0.3">
      <c r="A4080" s="1">
        <v>44925</v>
      </c>
      <c r="B4080" s="2" t="s">
        <v>120</v>
      </c>
      <c r="C4080" s="2" t="s">
        <v>21</v>
      </c>
      <c r="D4080" s="2" t="s">
        <v>10</v>
      </c>
      <c r="E4080" s="2" t="s">
        <v>11</v>
      </c>
      <c r="F4080" s="2">
        <v>68.52</v>
      </c>
      <c r="G4080" s="2">
        <v>3</v>
      </c>
      <c r="H4080" s="2">
        <v>31.52</v>
      </c>
      <c r="I4080" t="str">
        <f t="shared" si="63"/>
        <v>Dec</v>
      </c>
      <c r="J4080">
        <f>YEAR(datas[[#This Row],[Order Date]])</f>
        <v>2022</v>
      </c>
    </row>
    <row r="4081" spans="1:10" ht="14.25" customHeight="1" x14ac:dyDescent="0.3">
      <c r="A4081" s="1">
        <v>44925</v>
      </c>
      <c r="B4081" s="2" t="s">
        <v>120</v>
      </c>
      <c r="C4081" s="2" t="s">
        <v>21</v>
      </c>
      <c r="D4081" s="2" t="s">
        <v>10</v>
      </c>
      <c r="E4081" s="2" t="s">
        <v>15</v>
      </c>
      <c r="F4081" s="2">
        <v>74.94</v>
      </c>
      <c r="G4081" s="2">
        <v>3</v>
      </c>
      <c r="H4081" s="2">
        <v>14.24</v>
      </c>
      <c r="I4081" t="str">
        <f t="shared" si="63"/>
        <v>Dec</v>
      </c>
      <c r="J4081">
        <f>YEAR(datas[[#This Row],[Order Date]])</f>
        <v>2022</v>
      </c>
    </row>
    <row r="4082" spans="1:10" ht="14.25" customHeight="1" x14ac:dyDescent="0.3">
      <c r="A4082" s="1">
        <v>44925</v>
      </c>
      <c r="B4082" s="2" t="s">
        <v>120</v>
      </c>
      <c r="C4082" s="2" t="s">
        <v>21</v>
      </c>
      <c r="D4082" s="2" t="s">
        <v>28</v>
      </c>
      <c r="E4082" s="2" t="s">
        <v>136</v>
      </c>
      <c r="F4082" s="2">
        <v>2548.56</v>
      </c>
      <c r="G4082" s="2">
        <v>6</v>
      </c>
      <c r="H4082" s="2">
        <v>286.70999999999998</v>
      </c>
      <c r="I4082" t="str">
        <f t="shared" si="63"/>
        <v>Dec</v>
      </c>
      <c r="J4082">
        <f>YEAR(datas[[#This Row],[Order Date]])</f>
        <v>2022</v>
      </c>
    </row>
    <row r="4083" spans="1:10" ht="14.25" customHeight="1" x14ac:dyDescent="0.3">
      <c r="A4083" s="1">
        <v>44925</v>
      </c>
      <c r="B4083" s="2" t="s">
        <v>120</v>
      </c>
      <c r="C4083" s="2" t="s">
        <v>21</v>
      </c>
      <c r="D4083" s="2" t="s">
        <v>10</v>
      </c>
      <c r="E4083" s="2" t="s">
        <v>41</v>
      </c>
      <c r="F4083" s="2">
        <v>271.44</v>
      </c>
      <c r="G4083" s="2">
        <v>3</v>
      </c>
      <c r="H4083" s="2">
        <v>122.15</v>
      </c>
      <c r="I4083" t="str">
        <f t="shared" si="63"/>
        <v>Dec</v>
      </c>
      <c r="J4083">
        <f>YEAR(datas[[#This Row],[Order Date]])</f>
        <v>2022</v>
      </c>
    </row>
    <row r="4084" spans="1:10" ht="14.25" customHeight="1" x14ac:dyDescent="0.3">
      <c r="A4084" s="1">
        <v>44925</v>
      </c>
      <c r="B4084" s="2" t="s">
        <v>120</v>
      </c>
      <c r="C4084" s="2" t="s">
        <v>21</v>
      </c>
      <c r="D4084" s="2" t="s">
        <v>28</v>
      </c>
      <c r="E4084" s="2" t="s">
        <v>29</v>
      </c>
      <c r="F4084" s="2">
        <v>287.88</v>
      </c>
      <c r="G4084" s="2">
        <v>3</v>
      </c>
      <c r="H4084" s="2">
        <v>35.99</v>
      </c>
      <c r="I4084" t="str">
        <f t="shared" si="63"/>
        <v>Dec</v>
      </c>
      <c r="J4084">
        <f>YEAR(datas[[#This Row],[Order Date]])</f>
        <v>2022</v>
      </c>
    </row>
    <row r="4085" spans="1:10" ht="14.25" customHeight="1" x14ac:dyDescent="0.3">
      <c r="A4085" s="1">
        <v>44926</v>
      </c>
      <c r="B4085" s="2" t="s">
        <v>176</v>
      </c>
      <c r="C4085" s="2" t="s">
        <v>210</v>
      </c>
      <c r="D4085" s="2" t="s">
        <v>10</v>
      </c>
      <c r="E4085" s="2" t="s">
        <v>16</v>
      </c>
      <c r="F4085" s="2">
        <v>487.98</v>
      </c>
      <c r="G4085" s="2">
        <v>2</v>
      </c>
      <c r="H4085" s="2">
        <v>152.5</v>
      </c>
      <c r="I4085" t="str">
        <f t="shared" si="63"/>
        <v>Dec</v>
      </c>
      <c r="J4085">
        <f>YEAR(datas[[#This Row],[Order Date]])</f>
        <v>2022</v>
      </c>
    </row>
    <row r="4086" spans="1:10" ht="14.25" customHeight="1" x14ac:dyDescent="0.3">
      <c r="A4086" s="1">
        <v>44926</v>
      </c>
      <c r="B4086" s="2" t="s">
        <v>405</v>
      </c>
      <c r="C4086" s="2" t="s">
        <v>9</v>
      </c>
      <c r="D4086" s="2" t="s">
        <v>26</v>
      </c>
      <c r="E4086" s="2" t="s">
        <v>32</v>
      </c>
      <c r="F4086" s="2">
        <v>14.76</v>
      </c>
      <c r="G4086" s="2">
        <v>5</v>
      </c>
      <c r="H4086" s="2">
        <v>-11.44</v>
      </c>
      <c r="I4086" t="str">
        <f t="shared" si="63"/>
        <v>Dec</v>
      </c>
      <c r="J4086">
        <f>YEAR(datas[[#This Row],[Order Date]])</f>
        <v>2022</v>
      </c>
    </row>
    <row r="4087" spans="1:10" ht="14.25" customHeight="1" x14ac:dyDescent="0.3">
      <c r="A4087" s="1">
        <v>44926</v>
      </c>
      <c r="B4087" s="2" t="s">
        <v>405</v>
      </c>
      <c r="C4087" s="2" t="s">
        <v>9</v>
      </c>
      <c r="D4087" s="2" t="s">
        <v>10</v>
      </c>
      <c r="E4087" s="2" t="s">
        <v>16</v>
      </c>
      <c r="F4087" s="2">
        <v>3.66</v>
      </c>
      <c r="G4087" s="2">
        <v>4</v>
      </c>
      <c r="H4087" s="2">
        <v>-5.85</v>
      </c>
      <c r="I4087" t="str">
        <f t="shared" si="63"/>
        <v>Dec</v>
      </c>
      <c r="J4087">
        <f>YEAR(datas[[#This Row],[Order Date]])</f>
        <v>2022</v>
      </c>
    </row>
    <row r="4088" spans="1:10" ht="14.25" customHeight="1" x14ac:dyDescent="0.3">
      <c r="A4088" s="1">
        <v>44926</v>
      </c>
      <c r="B4088" s="2" t="s">
        <v>455</v>
      </c>
      <c r="C4088" s="2" t="s">
        <v>25</v>
      </c>
      <c r="D4088" s="2" t="s">
        <v>10</v>
      </c>
      <c r="E4088" s="2" t="s">
        <v>16</v>
      </c>
      <c r="F4088" s="2">
        <v>94.74</v>
      </c>
      <c r="G4088" s="2">
        <v>3</v>
      </c>
      <c r="H4088" s="2">
        <v>44.53</v>
      </c>
      <c r="I4088" t="str">
        <f t="shared" si="63"/>
        <v>Dec</v>
      </c>
      <c r="J4088">
        <f>YEAR(datas[[#This Row],[Order Date]])</f>
        <v>2022</v>
      </c>
    </row>
    <row r="4089" spans="1:10" ht="14.25" customHeight="1" x14ac:dyDescent="0.3">
      <c r="A4089" s="1">
        <v>44926</v>
      </c>
      <c r="B4089" s="2" t="s">
        <v>455</v>
      </c>
      <c r="C4089" s="2" t="s">
        <v>25</v>
      </c>
      <c r="D4089" s="2" t="s">
        <v>10</v>
      </c>
      <c r="E4089" s="2" t="s">
        <v>16</v>
      </c>
      <c r="F4089" s="2">
        <v>60.64</v>
      </c>
      <c r="G4089" s="2">
        <v>4</v>
      </c>
      <c r="H4089" s="2">
        <v>27.89</v>
      </c>
      <c r="I4089" t="str">
        <f t="shared" si="63"/>
        <v>Dec</v>
      </c>
      <c r="J4089">
        <f>YEAR(datas[[#This Row],[Order Date]])</f>
        <v>2022</v>
      </c>
    </row>
    <row r="4090" spans="1:10" ht="14.25" customHeight="1" x14ac:dyDescent="0.3">
      <c r="A4090" s="1">
        <v>44926</v>
      </c>
      <c r="B4090" s="2" t="s">
        <v>455</v>
      </c>
      <c r="C4090" s="2" t="s">
        <v>25</v>
      </c>
      <c r="D4090" s="2" t="s">
        <v>10</v>
      </c>
      <c r="E4090" s="2" t="s">
        <v>16</v>
      </c>
      <c r="F4090" s="2">
        <v>76.3</v>
      </c>
      <c r="G4090" s="2">
        <v>5</v>
      </c>
      <c r="H4090" s="2">
        <v>38.15</v>
      </c>
      <c r="I4090" t="str">
        <f t="shared" si="63"/>
        <v>Dec</v>
      </c>
      <c r="J4090">
        <f>YEAR(datas[[#This Row],[Order Date]])</f>
        <v>2022</v>
      </c>
    </row>
    <row r="4091" spans="1:10" ht="14.25" customHeight="1" x14ac:dyDescent="0.3">
      <c r="A4091" s="1">
        <v>44926</v>
      </c>
      <c r="B4091" s="2" t="s">
        <v>455</v>
      </c>
      <c r="C4091" s="2" t="s">
        <v>25</v>
      </c>
      <c r="D4091" s="2" t="s">
        <v>10</v>
      </c>
      <c r="E4091" s="2" t="s">
        <v>16</v>
      </c>
      <c r="F4091" s="2">
        <v>364.8</v>
      </c>
      <c r="G4091" s="2">
        <v>12</v>
      </c>
      <c r="H4091" s="2">
        <v>167.81</v>
      </c>
      <c r="I4091" t="str">
        <f t="shared" si="63"/>
        <v>Dec</v>
      </c>
      <c r="J4091">
        <f>YEAR(datas[[#This Row],[Order Date]])</f>
        <v>2022</v>
      </c>
    </row>
    <row r="4092" spans="1:10" ht="14.25" customHeight="1" x14ac:dyDescent="0.3">
      <c r="A4092" s="1">
        <v>44926</v>
      </c>
      <c r="B4092" s="2" t="s">
        <v>569</v>
      </c>
      <c r="C4092" s="2" t="s">
        <v>9</v>
      </c>
      <c r="D4092" s="2" t="s">
        <v>10</v>
      </c>
      <c r="E4092" s="2" t="s">
        <v>15</v>
      </c>
      <c r="F4092" s="2">
        <v>152.69</v>
      </c>
      <c r="G4092" s="2">
        <v>2</v>
      </c>
      <c r="H4092" s="2">
        <v>-26.72</v>
      </c>
      <c r="I4092" t="str">
        <f t="shared" si="63"/>
        <v>Dec</v>
      </c>
      <c r="J4092">
        <f>YEAR(datas[[#This Row],[Order Date]])</f>
        <v>2022</v>
      </c>
    </row>
    <row r="4093" spans="1:10" ht="14.25" customHeight="1" x14ac:dyDescent="0.3">
      <c r="A4093" s="1">
        <v>44926</v>
      </c>
      <c r="B4093" s="2" t="s">
        <v>569</v>
      </c>
      <c r="C4093" s="2" t="s">
        <v>9</v>
      </c>
      <c r="D4093" s="2" t="s">
        <v>10</v>
      </c>
      <c r="E4093" s="2" t="s">
        <v>30</v>
      </c>
      <c r="F4093" s="2">
        <v>3.49</v>
      </c>
      <c r="G4093" s="2">
        <v>2</v>
      </c>
      <c r="H4093" s="2">
        <v>0.56999999999999995</v>
      </c>
      <c r="I4093" t="str">
        <f t="shared" si="63"/>
        <v>Dec</v>
      </c>
      <c r="J4093">
        <f>YEAR(datas[[#This Row],[Order Date]])</f>
        <v>2022</v>
      </c>
    </row>
    <row r="4094" spans="1:10" ht="14.25" customHeight="1" x14ac:dyDescent="0.3">
      <c r="A4094" s="1">
        <v>44926</v>
      </c>
      <c r="B4094" s="2" t="s">
        <v>569</v>
      </c>
      <c r="C4094" s="2" t="s">
        <v>9</v>
      </c>
      <c r="D4094" s="2" t="s">
        <v>10</v>
      </c>
      <c r="E4094" s="2" t="s">
        <v>95</v>
      </c>
      <c r="F4094" s="2">
        <v>5.89</v>
      </c>
      <c r="G4094" s="2">
        <v>2</v>
      </c>
      <c r="H4094" s="2">
        <v>-1.32</v>
      </c>
      <c r="I4094" t="str">
        <f t="shared" si="63"/>
        <v>Dec</v>
      </c>
      <c r="J4094">
        <f>YEAR(datas[[#This Row],[Order Date]])</f>
        <v>2022</v>
      </c>
    </row>
    <row r="4095" spans="1:10" ht="14.25" customHeight="1" x14ac:dyDescent="0.3">
      <c r="A4095" s="1">
        <v>44926</v>
      </c>
      <c r="B4095" s="2" t="s">
        <v>183</v>
      </c>
      <c r="C4095" s="2" t="s">
        <v>60</v>
      </c>
      <c r="D4095" s="2" t="s">
        <v>10</v>
      </c>
      <c r="E4095" s="2" t="s">
        <v>16</v>
      </c>
      <c r="F4095" s="2">
        <v>116.4</v>
      </c>
      <c r="G4095" s="2">
        <v>8</v>
      </c>
      <c r="H4095" s="2">
        <v>52.38</v>
      </c>
      <c r="I4095" t="str">
        <f t="shared" si="63"/>
        <v>Dec</v>
      </c>
      <c r="J4095">
        <f>YEAR(datas[[#This Row],[Order Date]])</f>
        <v>2022</v>
      </c>
    </row>
    <row r="4096" spans="1:10" ht="14.25" customHeight="1" x14ac:dyDescent="0.3">
      <c r="A4096" s="1">
        <v>44928</v>
      </c>
      <c r="B4096" s="2" t="s">
        <v>761</v>
      </c>
      <c r="C4096" s="2" t="s">
        <v>215</v>
      </c>
      <c r="D4096" s="2" t="s">
        <v>26</v>
      </c>
      <c r="E4096" s="2" t="s">
        <v>45</v>
      </c>
      <c r="F4096" s="2">
        <v>173.94</v>
      </c>
      <c r="G4096" s="2">
        <v>3</v>
      </c>
      <c r="H4096" s="2">
        <v>38.270000000000003</v>
      </c>
      <c r="I4096" t="str">
        <f t="shared" si="63"/>
        <v>Jan</v>
      </c>
      <c r="J4096">
        <f>YEAR(datas[[#This Row],[Order Date]])</f>
        <v>2023</v>
      </c>
    </row>
    <row r="4097" spans="1:10" ht="14.25" customHeight="1" x14ac:dyDescent="0.3">
      <c r="A4097" s="1">
        <v>44928</v>
      </c>
      <c r="B4097" s="2" t="s">
        <v>761</v>
      </c>
      <c r="C4097" s="2" t="s">
        <v>215</v>
      </c>
      <c r="D4097" s="2" t="s">
        <v>28</v>
      </c>
      <c r="E4097" s="2" t="s">
        <v>29</v>
      </c>
      <c r="F4097" s="2">
        <v>231.98</v>
      </c>
      <c r="G4097" s="2">
        <v>2</v>
      </c>
      <c r="H4097" s="2">
        <v>67.27</v>
      </c>
      <c r="I4097" t="str">
        <f t="shared" si="63"/>
        <v>Jan</v>
      </c>
      <c r="J4097">
        <f>YEAR(datas[[#This Row],[Order Date]])</f>
        <v>2023</v>
      </c>
    </row>
    <row r="4098" spans="1:10" ht="14.25" customHeight="1" x14ac:dyDescent="0.3">
      <c r="A4098" s="1">
        <v>44929</v>
      </c>
      <c r="B4098" s="2" t="s">
        <v>406</v>
      </c>
      <c r="C4098" s="2" t="s">
        <v>21</v>
      </c>
      <c r="D4098" s="2" t="s">
        <v>10</v>
      </c>
      <c r="E4098" s="2" t="s">
        <v>15</v>
      </c>
      <c r="F4098" s="2">
        <v>114.46</v>
      </c>
      <c r="G4098" s="2">
        <v>2</v>
      </c>
      <c r="H4098" s="2">
        <v>28.62</v>
      </c>
      <c r="I4098" t="str">
        <f t="shared" si="63"/>
        <v>Jan</v>
      </c>
      <c r="J4098">
        <f>YEAR(datas[[#This Row],[Order Date]])</f>
        <v>2023</v>
      </c>
    </row>
    <row r="4099" spans="1:10" ht="14.25" customHeight="1" x14ac:dyDescent="0.3">
      <c r="A4099" s="1">
        <v>44929</v>
      </c>
      <c r="B4099" s="2" t="s">
        <v>373</v>
      </c>
      <c r="C4099" s="2" t="s">
        <v>9</v>
      </c>
      <c r="D4099" s="2" t="s">
        <v>28</v>
      </c>
      <c r="E4099" s="2" t="s">
        <v>34</v>
      </c>
      <c r="F4099" s="2">
        <v>30.08</v>
      </c>
      <c r="G4099" s="2">
        <v>2</v>
      </c>
      <c r="H4099" s="2">
        <v>-5.26</v>
      </c>
      <c r="I4099" t="str">
        <f t="shared" ref="I4099:I4162" si="64">TEXT(A4099,"mmm")</f>
        <v>Jan</v>
      </c>
      <c r="J4099">
        <f>YEAR(datas[[#This Row],[Order Date]])</f>
        <v>2023</v>
      </c>
    </row>
    <row r="4100" spans="1:10" ht="14.25" customHeight="1" x14ac:dyDescent="0.3">
      <c r="A4100" s="1">
        <v>44929</v>
      </c>
      <c r="B4100" s="2" t="s">
        <v>373</v>
      </c>
      <c r="C4100" s="2" t="s">
        <v>9</v>
      </c>
      <c r="D4100" s="2" t="s">
        <v>28</v>
      </c>
      <c r="E4100" s="2" t="s">
        <v>34</v>
      </c>
      <c r="F4100" s="2">
        <v>165.6</v>
      </c>
      <c r="G4100" s="2">
        <v>3</v>
      </c>
      <c r="H4100" s="2">
        <v>-6.21</v>
      </c>
      <c r="I4100" t="str">
        <f t="shared" si="64"/>
        <v>Jan</v>
      </c>
      <c r="J4100">
        <f>YEAR(datas[[#This Row],[Order Date]])</f>
        <v>2023</v>
      </c>
    </row>
    <row r="4101" spans="1:10" ht="14.25" customHeight="1" x14ac:dyDescent="0.3">
      <c r="A4101" s="1">
        <v>44929</v>
      </c>
      <c r="B4101" s="2" t="s">
        <v>373</v>
      </c>
      <c r="C4101" s="2" t="s">
        <v>9</v>
      </c>
      <c r="D4101" s="2" t="s">
        <v>28</v>
      </c>
      <c r="E4101" s="2" t="s">
        <v>29</v>
      </c>
      <c r="F4101" s="2">
        <v>180.96</v>
      </c>
      <c r="G4101" s="2">
        <v>5</v>
      </c>
      <c r="H4101" s="2">
        <v>13.57</v>
      </c>
      <c r="I4101" t="str">
        <f t="shared" si="64"/>
        <v>Jan</v>
      </c>
      <c r="J4101">
        <f>YEAR(datas[[#This Row],[Order Date]])</f>
        <v>2023</v>
      </c>
    </row>
    <row r="4102" spans="1:10" ht="14.25" customHeight="1" x14ac:dyDescent="0.3">
      <c r="A4102" s="1">
        <v>44929</v>
      </c>
      <c r="B4102" s="2" t="s">
        <v>805</v>
      </c>
      <c r="C4102" s="2" t="s">
        <v>329</v>
      </c>
      <c r="D4102" s="2" t="s">
        <v>26</v>
      </c>
      <c r="E4102" s="2" t="s">
        <v>73</v>
      </c>
      <c r="F4102" s="2">
        <v>1592.85</v>
      </c>
      <c r="G4102" s="2">
        <v>7</v>
      </c>
      <c r="H4102" s="2">
        <v>350.43</v>
      </c>
      <c r="I4102" t="str">
        <f t="shared" si="64"/>
        <v>Jan</v>
      </c>
      <c r="J4102">
        <f>YEAR(datas[[#This Row],[Order Date]])</f>
        <v>2023</v>
      </c>
    </row>
    <row r="4103" spans="1:10" ht="14.25" customHeight="1" x14ac:dyDescent="0.3">
      <c r="A4103" s="1">
        <v>44929</v>
      </c>
      <c r="B4103" s="2" t="s">
        <v>805</v>
      </c>
      <c r="C4103" s="2" t="s">
        <v>329</v>
      </c>
      <c r="D4103" s="2" t="s">
        <v>10</v>
      </c>
      <c r="E4103" s="2" t="s">
        <v>16</v>
      </c>
      <c r="F4103" s="2">
        <v>11.88</v>
      </c>
      <c r="G4103" s="2">
        <v>2</v>
      </c>
      <c r="H4103" s="2">
        <v>5.35</v>
      </c>
      <c r="I4103" t="str">
        <f t="shared" si="64"/>
        <v>Jan</v>
      </c>
      <c r="J4103">
        <f>YEAR(datas[[#This Row],[Order Date]])</f>
        <v>2023</v>
      </c>
    </row>
    <row r="4104" spans="1:10" ht="14.25" customHeight="1" x14ac:dyDescent="0.3">
      <c r="A4104" s="1">
        <v>44930</v>
      </c>
      <c r="B4104" s="2" t="s">
        <v>806</v>
      </c>
      <c r="C4104" s="2" t="s">
        <v>115</v>
      </c>
      <c r="D4104" s="2" t="s">
        <v>28</v>
      </c>
      <c r="E4104" s="2" t="s">
        <v>243</v>
      </c>
      <c r="F4104" s="2">
        <v>959.97</v>
      </c>
      <c r="G4104" s="2">
        <v>4</v>
      </c>
      <c r="H4104" s="2">
        <v>120</v>
      </c>
      <c r="I4104" t="str">
        <f t="shared" si="64"/>
        <v>Jan</v>
      </c>
      <c r="J4104">
        <f>YEAR(datas[[#This Row],[Order Date]])</f>
        <v>2023</v>
      </c>
    </row>
    <row r="4105" spans="1:10" ht="14.25" customHeight="1" x14ac:dyDescent="0.3">
      <c r="A4105" s="1">
        <v>44930</v>
      </c>
      <c r="B4105" s="2" t="s">
        <v>696</v>
      </c>
      <c r="C4105" s="2" t="s">
        <v>18</v>
      </c>
      <c r="D4105" s="2" t="s">
        <v>10</v>
      </c>
      <c r="E4105" s="2" t="s">
        <v>19</v>
      </c>
      <c r="F4105" s="2">
        <v>4.67</v>
      </c>
      <c r="G4105" s="2">
        <v>1</v>
      </c>
      <c r="H4105" s="2">
        <v>0.57999999999999996</v>
      </c>
      <c r="I4105" t="str">
        <f t="shared" si="64"/>
        <v>Jan</v>
      </c>
      <c r="J4105">
        <f>YEAR(datas[[#This Row],[Order Date]])</f>
        <v>2023</v>
      </c>
    </row>
    <row r="4106" spans="1:10" ht="14.25" customHeight="1" x14ac:dyDescent="0.3">
      <c r="A4106" s="1">
        <v>44930</v>
      </c>
      <c r="B4106" s="2" t="s">
        <v>696</v>
      </c>
      <c r="C4106" s="2" t="s">
        <v>18</v>
      </c>
      <c r="D4106" s="2" t="s">
        <v>10</v>
      </c>
      <c r="E4106" s="2" t="s">
        <v>16</v>
      </c>
      <c r="F4106" s="2">
        <v>104.58</v>
      </c>
      <c r="G4106" s="2">
        <v>6</v>
      </c>
      <c r="H4106" s="2">
        <v>-80.180000000000007</v>
      </c>
      <c r="I4106" t="str">
        <f t="shared" si="64"/>
        <v>Jan</v>
      </c>
      <c r="J4106">
        <f>YEAR(datas[[#This Row],[Order Date]])</f>
        <v>2023</v>
      </c>
    </row>
    <row r="4107" spans="1:10" ht="14.25" customHeight="1" x14ac:dyDescent="0.3">
      <c r="A4107" s="1">
        <v>44931</v>
      </c>
      <c r="B4107" s="2" t="s">
        <v>268</v>
      </c>
      <c r="C4107" s="2" t="s">
        <v>64</v>
      </c>
      <c r="D4107" s="2" t="s">
        <v>28</v>
      </c>
      <c r="E4107" s="2" t="s">
        <v>34</v>
      </c>
      <c r="F4107" s="2">
        <v>191.47</v>
      </c>
      <c r="G4107" s="2">
        <v>6</v>
      </c>
      <c r="H4107" s="2">
        <v>40.69</v>
      </c>
      <c r="I4107" t="str">
        <f t="shared" si="64"/>
        <v>Jan</v>
      </c>
      <c r="J4107">
        <f>YEAR(datas[[#This Row],[Order Date]])</f>
        <v>2023</v>
      </c>
    </row>
    <row r="4108" spans="1:10" ht="14.25" customHeight="1" x14ac:dyDescent="0.3">
      <c r="A4108" s="1">
        <v>44931</v>
      </c>
      <c r="B4108" s="2" t="s">
        <v>268</v>
      </c>
      <c r="C4108" s="2" t="s">
        <v>64</v>
      </c>
      <c r="D4108" s="2" t="s">
        <v>10</v>
      </c>
      <c r="E4108" s="2" t="s">
        <v>19</v>
      </c>
      <c r="F4108" s="2">
        <v>5.25</v>
      </c>
      <c r="G4108" s="2">
        <v>2</v>
      </c>
      <c r="H4108" s="2">
        <v>0.59</v>
      </c>
      <c r="I4108" t="str">
        <f t="shared" si="64"/>
        <v>Jan</v>
      </c>
      <c r="J4108">
        <f>YEAR(datas[[#This Row],[Order Date]])</f>
        <v>2023</v>
      </c>
    </row>
    <row r="4109" spans="1:10" ht="14.25" customHeight="1" x14ac:dyDescent="0.3">
      <c r="A4109" s="1">
        <v>44931</v>
      </c>
      <c r="B4109" s="2" t="s">
        <v>268</v>
      </c>
      <c r="C4109" s="2" t="s">
        <v>64</v>
      </c>
      <c r="D4109" s="2" t="s">
        <v>28</v>
      </c>
      <c r="E4109" s="2" t="s">
        <v>29</v>
      </c>
      <c r="F4109" s="2">
        <v>59.18</v>
      </c>
      <c r="G4109" s="2">
        <v>2</v>
      </c>
      <c r="H4109" s="2">
        <v>5.18</v>
      </c>
      <c r="I4109" t="str">
        <f t="shared" si="64"/>
        <v>Jan</v>
      </c>
      <c r="J4109">
        <f>YEAR(datas[[#This Row],[Order Date]])</f>
        <v>2023</v>
      </c>
    </row>
    <row r="4110" spans="1:10" ht="14.25" customHeight="1" x14ac:dyDescent="0.3">
      <c r="A4110" s="1">
        <v>44933</v>
      </c>
      <c r="B4110" s="2" t="s">
        <v>300</v>
      </c>
      <c r="C4110" s="2" t="s">
        <v>21</v>
      </c>
      <c r="D4110" s="2" t="s">
        <v>10</v>
      </c>
      <c r="E4110" s="2" t="s">
        <v>19</v>
      </c>
      <c r="F4110" s="2">
        <v>34.58</v>
      </c>
      <c r="G4110" s="2">
        <v>1</v>
      </c>
      <c r="H4110" s="2">
        <v>10.029999999999999</v>
      </c>
      <c r="I4110" t="str">
        <f t="shared" si="64"/>
        <v>Jan</v>
      </c>
      <c r="J4110">
        <f>YEAR(datas[[#This Row],[Order Date]])</f>
        <v>2023</v>
      </c>
    </row>
    <row r="4111" spans="1:10" ht="14.25" customHeight="1" x14ac:dyDescent="0.3">
      <c r="A4111" s="1">
        <v>44933</v>
      </c>
      <c r="B4111" s="2" t="s">
        <v>758</v>
      </c>
      <c r="C4111" s="2" t="s">
        <v>9</v>
      </c>
      <c r="D4111" s="2" t="s">
        <v>26</v>
      </c>
      <c r="E4111" s="2" t="s">
        <v>32</v>
      </c>
      <c r="F4111" s="2">
        <v>23.08</v>
      </c>
      <c r="G4111" s="2">
        <v>3</v>
      </c>
      <c r="H4111" s="2">
        <v>-10.96</v>
      </c>
      <c r="I4111" t="str">
        <f t="shared" si="64"/>
        <v>Jan</v>
      </c>
      <c r="J4111">
        <f>YEAR(datas[[#This Row],[Order Date]])</f>
        <v>2023</v>
      </c>
    </row>
    <row r="4112" spans="1:10" ht="14.25" customHeight="1" x14ac:dyDescent="0.3">
      <c r="A4112" s="1">
        <v>44933</v>
      </c>
      <c r="B4112" s="2" t="s">
        <v>758</v>
      </c>
      <c r="C4112" s="2" t="s">
        <v>9</v>
      </c>
      <c r="D4112" s="2" t="s">
        <v>10</v>
      </c>
      <c r="E4112" s="2" t="s">
        <v>11</v>
      </c>
      <c r="F4112" s="2">
        <v>25.92</v>
      </c>
      <c r="G4112" s="2">
        <v>5</v>
      </c>
      <c r="H4112" s="2">
        <v>9.07</v>
      </c>
      <c r="I4112" t="str">
        <f t="shared" si="64"/>
        <v>Jan</v>
      </c>
      <c r="J4112">
        <f>YEAR(datas[[#This Row],[Order Date]])</f>
        <v>2023</v>
      </c>
    </row>
    <row r="4113" spans="1:10" ht="14.25" customHeight="1" x14ac:dyDescent="0.3">
      <c r="A4113" s="1">
        <v>44934</v>
      </c>
      <c r="B4113" s="2" t="s">
        <v>22</v>
      </c>
      <c r="C4113" s="2" t="s">
        <v>79</v>
      </c>
      <c r="D4113" s="2" t="s">
        <v>26</v>
      </c>
      <c r="E4113" s="2" t="s">
        <v>45</v>
      </c>
      <c r="F4113" s="2">
        <v>1565.88</v>
      </c>
      <c r="G4113" s="2">
        <v>6</v>
      </c>
      <c r="H4113" s="2">
        <v>407.13</v>
      </c>
      <c r="I4113" t="str">
        <f t="shared" si="64"/>
        <v>Jan</v>
      </c>
      <c r="J4113">
        <f>YEAR(datas[[#This Row],[Order Date]])</f>
        <v>2023</v>
      </c>
    </row>
    <row r="4114" spans="1:10" ht="14.25" customHeight="1" x14ac:dyDescent="0.3">
      <c r="A4114" s="1">
        <v>44934</v>
      </c>
      <c r="B4114" s="2" t="s">
        <v>22</v>
      </c>
      <c r="C4114" s="2" t="s">
        <v>79</v>
      </c>
      <c r="D4114" s="2" t="s">
        <v>10</v>
      </c>
      <c r="E4114" s="2" t="s">
        <v>16</v>
      </c>
      <c r="F4114" s="2">
        <v>106.05</v>
      </c>
      <c r="G4114" s="2">
        <v>7</v>
      </c>
      <c r="H4114" s="2">
        <v>49.84</v>
      </c>
      <c r="I4114" t="str">
        <f t="shared" si="64"/>
        <v>Jan</v>
      </c>
      <c r="J4114">
        <f>YEAR(datas[[#This Row],[Order Date]])</f>
        <v>2023</v>
      </c>
    </row>
    <row r="4115" spans="1:10" ht="14.25" customHeight="1" x14ac:dyDescent="0.3">
      <c r="A4115" s="1">
        <v>44934</v>
      </c>
      <c r="B4115" s="2" t="s">
        <v>31</v>
      </c>
      <c r="C4115" s="2" t="s">
        <v>115</v>
      </c>
      <c r="D4115" s="2" t="s">
        <v>10</v>
      </c>
      <c r="E4115" s="2" t="s">
        <v>16</v>
      </c>
      <c r="F4115" s="2">
        <v>30.83</v>
      </c>
      <c r="G4115" s="2">
        <v>7</v>
      </c>
      <c r="H4115" s="2">
        <v>-24.66</v>
      </c>
      <c r="I4115" t="str">
        <f t="shared" si="64"/>
        <v>Jan</v>
      </c>
      <c r="J4115">
        <f>YEAR(datas[[#This Row],[Order Date]])</f>
        <v>2023</v>
      </c>
    </row>
    <row r="4116" spans="1:10" ht="14.25" customHeight="1" x14ac:dyDescent="0.3">
      <c r="A4116" s="1">
        <v>44934</v>
      </c>
      <c r="B4116" s="2" t="s">
        <v>31</v>
      </c>
      <c r="C4116" s="2" t="s">
        <v>115</v>
      </c>
      <c r="D4116" s="2" t="s">
        <v>10</v>
      </c>
      <c r="E4116" s="2" t="s">
        <v>19</v>
      </c>
      <c r="F4116" s="2">
        <v>47.62</v>
      </c>
      <c r="G4116" s="2">
        <v>3</v>
      </c>
      <c r="H4116" s="2">
        <v>5.95</v>
      </c>
      <c r="I4116" t="str">
        <f t="shared" si="64"/>
        <v>Jan</v>
      </c>
      <c r="J4116">
        <f>YEAR(datas[[#This Row],[Order Date]])</f>
        <v>2023</v>
      </c>
    </row>
    <row r="4117" spans="1:10" ht="14.25" customHeight="1" x14ac:dyDescent="0.3">
      <c r="A4117" s="1">
        <v>44934</v>
      </c>
      <c r="B4117" s="2" t="s">
        <v>31</v>
      </c>
      <c r="C4117" s="2" t="s">
        <v>115</v>
      </c>
      <c r="D4117" s="2" t="s">
        <v>28</v>
      </c>
      <c r="E4117" s="2" t="s">
        <v>29</v>
      </c>
      <c r="F4117" s="2">
        <v>108.78</v>
      </c>
      <c r="G4117" s="2">
        <v>2</v>
      </c>
      <c r="H4117" s="2">
        <v>10.88</v>
      </c>
      <c r="I4117" t="str">
        <f t="shared" si="64"/>
        <v>Jan</v>
      </c>
      <c r="J4117">
        <f>YEAR(datas[[#This Row],[Order Date]])</f>
        <v>2023</v>
      </c>
    </row>
    <row r="4118" spans="1:10" ht="14.25" customHeight="1" x14ac:dyDescent="0.3">
      <c r="A4118" s="1">
        <v>44935</v>
      </c>
      <c r="B4118" s="2" t="s">
        <v>238</v>
      </c>
      <c r="C4118" s="2" t="s">
        <v>21</v>
      </c>
      <c r="D4118" s="2" t="s">
        <v>28</v>
      </c>
      <c r="E4118" s="2" t="s">
        <v>34</v>
      </c>
      <c r="F4118" s="2">
        <v>349.95</v>
      </c>
      <c r="G4118" s="2">
        <v>5</v>
      </c>
      <c r="H4118" s="2">
        <v>118.98</v>
      </c>
      <c r="I4118" t="str">
        <f t="shared" si="64"/>
        <v>Jan</v>
      </c>
      <c r="J4118">
        <f>YEAR(datas[[#This Row],[Order Date]])</f>
        <v>2023</v>
      </c>
    </row>
    <row r="4119" spans="1:10" ht="14.25" customHeight="1" x14ac:dyDescent="0.3">
      <c r="A4119" s="1">
        <v>44935</v>
      </c>
      <c r="B4119" s="2" t="s">
        <v>238</v>
      </c>
      <c r="C4119" s="2" t="s">
        <v>21</v>
      </c>
      <c r="D4119" s="2" t="s">
        <v>28</v>
      </c>
      <c r="E4119" s="2" t="s">
        <v>29</v>
      </c>
      <c r="F4119" s="2">
        <v>377.93</v>
      </c>
      <c r="G4119" s="2">
        <v>9</v>
      </c>
      <c r="H4119" s="2">
        <v>141.72</v>
      </c>
      <c r="I4119" t="str">
        <f t="shared" si="64"/>
        <v>Jan</v>
      </c>
      <c r="J4119">
        <f>YEAR(datas[[#This Row],[Order Date]])</f>
        <v>2023</v>
      </c>
    </row>
    <row r="4120" spans="1:10" ht="14.25" customHeight="1" x14ac:dyDescent="0.3">
      <c r="A4120" s="1">
        <v>44935</v>
      </c>
      <c r="B4120" s="2" t="s">
        <v>663</v>
      </c>
      <c r="C4120" s="2" t="s">
        <v>47</v>
      </c>
      <c r="D4120" s="2" t="s">
        <v>26</v>
      </c>
      <c r="E4120" s="2" t="s">
        <v>32</v>
      </c>
      <c r="F4120" s="2">
        <v>15.17</v>
      </c>
      <c r="G4120" s="2">
        <v>2</v>
      </c>
      <c r="H4120" s="2">
        <v>3.79</v>
      </c>
      <c r="I4120" t="str">
        <f t="shared" si="64"/>
        <v>Jan</v>
      </c>
      <c r="J4120">
        <f>YEAR(datas[[#This Row],[Order Date]])</f>
        <v>2023</v>
      </c>
    </row>
    <row r="4121" spans="1:10" ht="14.25" customHeight="1" x14ac:dyDescent="0.3">
      <c r="A4121" s="1">
        <v>44936</v>
      </c>
      <c r="B4121" s="2" t="s">
        <v>187</v>
      </c>
      <c r="C4121" s="2" t="s">
        <v>82</v>
      </c>
      <c r="D4121" s="2" t="s">
        <v>26</v>
      </c>
      <c r="E4121" s="2" t="s">
        <v>32</v>
      </c>
      <c r="F4121" s="2">
        <v>79.92</v>
      </c>
      <c r="G4121" s="2">
        <v>4</v>
      </c>
      <c r="H4121" s="2">
        <v>34.369999999999997</v>
      </c>
      <c r="I4121" t="str">
        <f t="shared" si="64"/>
        <v>Jan</v>
      </c>
      <c r="J4121">
        <f>YEAR(datas[[#This Row],[Order Date]])</f>
        <v>2023</v>
      </c>
    </row>
    <row r="4122" spans="1:10" ht="14.25" customHeight="1" x14ac:dyDescent="0.3">
      <c r="A4122" s="1">
        <v>44936</v>
      </c>
      <c r="B4122" s="2" t="s">
        <v>187</v>
      </c>
      <c r="C4122" s="2" t="s">
        <v>82</v>
      </c>
      <c r="D4122" s="2" t="s">
        <v>28</v>
      </c>
      <c r="E4122" s="2" t="s">
        <v>34</v>
      </c>
      <c r="F4122" s="2">
        <v>69.98</v>
      </c>
      <c r="G4122" s="2">
        <v>2</v>
      </c>
      <c r="H4122" s="2">
        <v>13.3</v>
      </c>
      <c r="I4122" t="str">
        <f t="shared" si="64"/>
        <v>Jan</v>
      </c>
      <c r="J4122">
        <f>YEAR(datas[[#This Row],[Order Date]])</f>
        <v>2023</v>
      </c>
    </row>
    <row r="4123" spans="1:10" ht="14.25" customHeight="1" x14ac:dyDescent="0.3">
      <c r="A4123" s="1">
        <v>44936</v>
      </c>
      <c r="B4123" s="2" t="s">
        <v>807</v>
      </c>
      <c r="C4123" s="2" t="s">
        <v>82</v>
      </c>
      <c r="D4123" s="2" t="s">
        <v>26</v>
      </c>
      <c r="E4123" s="2" t="s">
        <v>32</v>
      </c>
      <c r="F4123" s="2">
        <v>24.85</v>
      </c>
      <c r="G4123" s="2">
        <v>5</v>
      </c>
      <c r="H4123" s="2">
        <v>7.7</v>
      </c>
      <c r="I4123" t="str">
        <f t="shared" si="64"/>
        <v>Jan</v>
      </c>
      <c r="J4123">
        <f>YEAR(datas[[#This Row],[Order Date]])</f>
        <v>2023</v>
      </c>
    </row>
    <row r="4124" spans="1:10" ht="14.25" customHeight="1" x14ac:dyDescent="0.3">
      <c r="A4124" s="1">
        <v>44937</v>
      </c>
      <c r="B4124" s="2" t="s">
        <v>424</v>
      </c>
      <c r="C4124" s="2" t="s">
        <v>47</v>
      </c>
      <c r="D4124" s="2" t="s">
        <v>10</v>
      </c>
      <c r="E4124" s="2" t="s">
        <v>11</v>
      </c>
      <c r="F4124" s="2">
        <v>15.55</v>
      </c>
      <c r="G4124" s="2">
        <v>3</v>
      </c>
      <c r="H4124" s="2">
        <v>5.44</v>
      </c>
      <c r="I4124" t="str">
        <f t="shared" si="64"/>
        <v>Jan</v>
      </c>
      <c r="J4124">
        <f>YEAR(datas[[#This Row],[Order Date]])</f>
        <v>2023</v>
      </c>
    </row>
    <row r="4125" spans="1:10" ht="14.25" customHeight="1" x14ac:dyDescent="0.3">
      <c r="A4125" s="1">
        <v>44937</v>
      </c>
      <c r="B4125" s="2" t="s">
        <v>424</v>
      </c>
      <c r="C4125" s="2" t="s">
        <v>47</v>
      </c>
      <c r="D4125" s="2" t="s">
        <v>10</v>
      </c>
      <c r="E4125" s="2" t="s">
        <v>11</v>
      </c>
      <c r="F4125" s="2">
        <v>63.31</v>
      </c>
      <c r="G4125" s="2">
        <v>3</v>
      </c>
      <c r="H4125" s="2">
        <v>20.58</v>
      </c>
      <c r="I4125" t="str">
        <f t="shared" si="64"/>
        <v>Jan</v>
      </c>
      <c r="J4125">
        <f>YEAR(datas[[#This Row],[Order Date]])</f>
        <v>2023</v>
      </c>
    </row>
    <row r="4126" spans="1:10" ht="14.25" customHeight="1" x14ac:dyDescent="0.3">
      <c r="A4126" s="1">
        <v>44937</v>
      </c>
      <c r="B4126" s="2" t="s">
        <v>424</v>
      </c>
      <c r="C4126" s="2" t="s">
        <v>47</v>
      </c>
      <c r="D4126" s="2" t="s">
        <v>28</v>
      </c>
      <c r="E4126" s="2" t="s">
        <v>29</v>
      </c>
      <c r="F4126" s="2">
        <v>15.59</v>
      </c>
      <c r="G4126" s="2">
        <v>2</v>
      </c>
      <c r="H4126" s="2">
        <v>-9.8699999999999992</v>
      </c>
      <c r="I4126" t="str">
        <f t="shared" si="64"/>
        <v>Jan</v>
      </c>
      <c r="J4126">
        <f>YEAR(datas[[#This Row],[Order Date]])</f>
        <v>2023</v>
      </c>
    </row>
    <row r="4127" spans="1:10" ht="14.25" customHeight="1" x14ac:dyDescent="0.3">
      <c r="A4127" s="1">
        <v>44937</v>
      </c>
      <c r="B4127" s="2" t="s">
        <v>173</v>
      </c>
      <c r="C4127" s="2" t="s">
        <v>47</v>
      </c>
      <c r="D4127" s="2" t="s">
        <v>26</v>
      </c>
      <c r="E4127" s="2" t="s">
        <v>32</v>
      </c>
      <c r="F4127" s="2">
        <v>54.99</v>
      </c>
      <c r="G4127" s="2">
        <v>14</v>
      </c>
      <c r="H4127" s="2">
        <v>8.94</v>
      </c>
      <c r="I4127" t="str">
        <f t="shared" si="64"/>
        <v>Jan</v>
      </c>
      <c r="J4127">
        <f>YEAR(datas[[#This Row],[Order Date]])</f>
        <v>2023</v>
      </c>
    </row>
    <row r="4128" spans="1:10" ht="14.25" customHeight="1" x14ac:dyDescent="0.3">
      <c r="A4128" s="1">
        <v>44940</v>
      </c>
      <c r="B4128" s="2" t="s">
        <v>716</v>
      </c>
      <c r="C4128" s="2" t="s">
        <v>115</v>
      </c>
      <c r="D4128" s="2" t="s">
        <v>10</v>
      </c>
      <c r="E4128" s="2" t="s">
        <v>11</v>
      </c>
      <c r="F4128" s="2">
        <v>89.57</v>
      </c>
      <c r="G4128" s="2">
        <v>2</v>
      </c>
      <c r="H4128" s="2">
        <v>32.47</v>
      </c>
      <c r="I4128" t="str">
        <f t="shared" si="64"/>
        <v>Jan</v>
      </c>
      <c r="J4128">
        <f>YEAR(datas[[#This Row],[Order Date]])</f>
        <v>2023</v>
      </c>
    </row>
    <row r="4129" spans="1:10" ht="14.25" customHeight="1" x14ac:dyDescent="0.3">
      <c r="A4129" s="1">
        <v>44940</v>
      </c>
      <c r="B4129" s="2" t="s">
        <v>716</v>
      </c>
      <c r="C4129" s="2" t="s">
        <v>115</v>
      </c>
      <c r="D4129" s="2" t="s">
        <v>26</v>
      </c>
      <c r="E4129" s="2" t="s">
        <v>32</v>
      </c>
      <c r="F4129" s="2">
        <v>315.77999999999997</v>
      </c>
      <c r="G4129" s="2">
        <v>8</v>
      </c>
      <c r="H4129" s="2">
        <v>31.58</v>
      </c>
      <c r="I4129" t="str">
        <f t="shared" si="64"/>
        <v>Jan</v>
      </c>
      <c r="J4129">
        <f>YEAR(datas[[#This Row],[Order Date]])</f>
        <v>2023</v>
      </c>
    </row>
    <row r="4130" spans="1:10" ht="14.25" customHeight="1" x14ac:dyDescent="0.3">
      <c r="A4130" s="1">
        <v>44941</v>
      </c>
      <c r="B4130" s="2" t="s">
        <v>289</v>
      </c>
      <c r="C4130" s="2" t="s">
        <v>87</v>
      </c>
      <c r="D4130" s="2" t="s">
        <v>10</v>
      </c>
      <c r="E4130" s="2" t="s">
        <v>41</v>
      </c>
      <c r="F4130" s="2">
        <v>52.34</v>
      </c>
      <c r="G4130" s="2">
        <v>2</v>
      </c>
      <c r="H4130" s="2">
        <v>24.6</v>
      </c>
      <c r="I4130" t="str">
        <f t="shared" si="64"/>
        <v>Jan</v>
      </c>
      <c r="J4130">
        <f>YEAR(datas[[#This Row],[Order Date]])</f>
        <v>2023</v>
      </c>
    </row>
    <row r="4131" spans="1:10" ht="14.25" customHeight="1" x14ac:dyDescent="0.3">
      <c r="A4131" s="1">
        <v>44941</v>
      </c>
      <c r="B4131" s="2" t="s">
        <v>289</v>
      </c>
      <c r="C4131" s="2" t="s">
        <v>87</v>
      </c>
      <c r="D4131" s="2" t="s">
        <v>10</v>
      </c>
      <c r="E4131" s="2" t="s">
        <v>19</v>
      </c>
      <c r="F4131" s="2">
        <v>4.66</v>
      </c>
      <c r="G4131" s="2">
        <v>2</v>
      </c>
      <c r="H4131" s="2">
        <v>1.35</v>
      </c>
      <c r="I4131" t="str">
        <f t="shared" si="64"/>
        <v>Jan</v>
      </c>
      <c r="J4131">
        <f>YEAR(datas[[#This Row],[Order Date]])</f>
        <v>2023</v>
      </c>
    </row>
    <row r="4132" spans="1:10" ht="14.25" customHeight="1" x14ac:dyDescent="0.3">
      <c r="A4132" s="1">
        <v>44941</v>
      </c>
      <c r="B4132" s="2" t="s">
        <v>289</v>
      </c>
      <c r="C4132" s="2" t="s">
        <v>87</v>
      </c>
      <c r="D4132" s="2" t="s">
        <v>28</v>
      </c>
      <c r="E4132" s="2" t="s">
        <v>34</v>
      </c>
      <c r="F4132" s="2">
        <v>254.97</v>
      </c>
      <c r="G4132" s="2">
        <v>3</v>
      </c>
      <c r="H4132" s="2">
        <v>91.79</v>
      </c>
      <c r="I4132" t="str">
        <f t="shared" si="64"/>
        <v>Jan</v>
      </c>
      <c r="J4132">
        <f>YEAR(datas[[#This Row],[Order Date]])</f>
        <v>2023</v>
      </c>
    </row>
    <row r="4133" spans="1:10" ht="14.25" customHeight="1" x14ac:dyDescent="0.3">
      <c r="A4133" s="1">
        <v>44941</v>
      </c>
      <c r="B4133" s="2" t="s">
        <v>626</v>
      </c>
      <c r="C4133" s="2" t="s">
        <v>248</v>
      </c>
      <c r="D4133" s="2" t="s">
        <v>26</v>
      </c>
      <c r="E4133" s="2" t="s">
        <v>73</v>
      </c>
      <c r="F4133" s="2">
        <v>181.8</v>
      </c>
      <c r="G4133" s="2">
        <v>1</v>
      </c>
      <c r="H4133" s="2">
        <v>-15.58</v>
      </c>
      <c r="I4133" t="str">
        <f t="shared" si="64"/>
        <v>Jan</v>
      </c>
      <c r="J4133">
        <f>YEAR(datas[[#This Row],[Order Date]])</f>
        <v>2023</v>
      </c>
    </row>
    <row r="4134" spans="1:10" ht="14.25" customHeight="1" x14ac:dyDescent="0.3">
      <c r="A4134" s="1">
        <v>44941</v>
      </c>
      <c r="B4134" s="2" t="s">
        <v>566</v>
      </c>
      <c r="C4134" s="2" t="s">
        <v>75</v>
      </c>
      <c r="D4134" s="2" t="s">
        <v>10</v>
      </c>
      <c r="E4134" s="2" t="s">
        <v>41</v>
      </c>
      <c r="F4134" s="2">
        <v>16.52</v>
      </c>
      <c r="G4134" s="2">
        <v>4</v>
      </c>
      <c r="H4134" s="2">
        <v>7.6</v>
      </c>
      <c r="I4134" t="str">
        <f t="shared" si="64"/>
        <v>Jan</v>
      </c>
      <c r="J4134">
        <f>YEAR(datas[[#This Row],[Order Date]])</f>
        <v>2023</v>
      </c>
    </row>
    <row r="4135" spans="1:10" ht="14.25" customHeight="1" x14ac:dyDescent="0.3">
      <c r="A4135" s="1">
        <v>44941</v>
      </c>
      <c r="B4135" s="2" t="s">
        <v>566</v>
      </c>
      <c r="C4135" s="2" t="s">
        <v>75</v>
      </c>
      <c r="D4135" s="2" t="s">
        <v>10</v>
      </c>
      <c r="E4135" s="2" t="s">
        <v>11</v>
      </c>
      <c r="F4135" s="2">
        <v>60.12</v>
      </c>
      <c r="G4135" s="2">
        <v>9</v>
      </c>
      <c r="H4135" s="2">
        <v>28.86</v>
      </c>
      <c r="I4135" t="str">
        <f t="shared" si="64"/>
        <v>Jan</v>
      </c>
      <c r="J4135">
        <f>YEAR(datas[[#This Row],[Order Date]])</f>
        <v>2023</v>
      </c>
    </row>
    <row r="4136" spans="1:10" ht="14.25" customHeight="1" x14ac:dyDescent="0.3">
      <c r="A4136" s="1">
        <v>44941</v>
      </c>
      <c r="B4136" s="2" t="s">
        <v>566</v>
      </c>
      <c r="C4136" s="2" t="s">
        <v>75</v>
      </c>
      <c r="D4136" s="2" t="s">
        <v>10</v>
      </c>
      <c r="E4136" s="2" t="s">
        <v>16</v>
      </c>
      <c r="F4136" s="2">
        <v>49.54</v>
      </c>
      <c r="G4136" s="2">
        <v>3</v>
      </c>
      <c r="H4136" s="2">
        <v>17.34</v>
      </c>
      <c r="I4136" t="str">
        <f t="shared" si="64"/>
        <v>Jan</v>
      </c>
      <c r="J4136">
        <f>YEAR(datas[[#This Row],[Order Date]])</f>
        <v>2023</v>
      </c>
    </row>
    <row r="4137" spans="1:10" ht="14.25" customHeight="1" x14ac:dyDescent="0.3">
      <c r="A4137" s="1">
        <v>44941</v>
      </c>
      <c r="B4137" s="2" t="s">
        <v>808</v>
      </c>
      <c r="C4137" s="2" t="s">
        <v>75</v>
      </c>
      <c r="D4137" s="2" t="s">
        <v>10</v>
      </c>
      <c r="E4137" s="2" t="s">
        <v>11</v>
      </c>
      <c r="F4137" s="2">
        <v>81.98</v>
      </c>
      <c r="G4137" s="2">
        <v>2</v>
      </c>
      <c r="H4137" s="2">
        <v>40.17</v>
      </c>
      <c r="I4137" t="str">
        <f t="shared" si="64"/>
        <v>Jan</v>
      </c>
      <c r="J4137">
        <f>YEAR(datas[[#This Row],[Order Date]])</f>
        <v>2023</v>
      </c>
    </row>
    <row r="4138" spans="1:10" ht="14.25" customHeight="1" x14ac:dyDescent="0.3">
      <c r="A4138" s="1">
        <v>44942</v>
      </c>
      <c r="B4138" s="2" t="s">
        <v>349</v>
      </c>
      <c r="C4138" s="2" t="s">
        <v>21</v>
      </c>
      <c r="D4138" s="2" t="s">
        <v>10</v>
      </c>
      <c r="E4138" s="2" t="s">
        <v>16</v>
      </c>
      <c r="F4138" s="2">
        <v>11.65</v>
      </c>
      <c r="G4138" s="2">
        <v>2</v>
      </c>
      <c r="H4138" s="2">
        <v>4.22</v>
      </c>
      <c r="I4138" t="str">
        <f t="shared" si="64"/>
        <v>Jan</v>
      </c>
      <c r="J4138">
        <f>YEAR(datas[[#This Row],[Order Date]])</f>
        <v>2023</v>
      </c>
    </row>
    <row r="4139" spans="1:10" ht="14.25" customHeight="1" x14ac:dyDescent="0.3">
      <c r="A4139" s="1">
        <v>44942</v>
      </c>
      <c r="B4139" s="2" t="s">
        <v>349</v>
      </c>
      <c r="C4139" s="2" t="s">
        <v>21</v>
      </c>
      <c r="D4139" s="2" t="s">
        <v>28</v>
      </c>
      <c r="E4139" s="2" t="s">
        <v>34</v>
      </c>
      <c r="F4139" s="2">
        <v>90.57</v>
      </c>
      <c r="G4139" s="2">
        <v>3</v>
      </c>
      <c r="H4139" s="2">
        <v>11.77</v>
      </c>
      <c r="I4139" t="str">
        <f t="shared" si="64"/>
        <v>Jan</v>
      </c>
      <c r="J4139">
        <f>YEAR(datas[[#This Row],[Order Date]])</f>
        <v>2023</v>
      </c>
    </row>
    <row r="4140" spans="1:10" ht="14.25" customHeight="1" x14ac:dyDescent="0.3">
      <c r="A4140" s="1">
        <v>44943</v>
      </c>
      <c r="B4140" s="2" t="s">
        <v>757</v>
      </c>
      <c r="C4140" s="2" t="s">
        <v>278</v>
      </c>
      <c r="D4140" s="2" t="s">
        <v>26</v>
      </c>
      <c r="E4140" s="2" t="s">
        <v>32</v>
      </c>
      <c r="F4140" s="2">
        <v>322.58999999999997</v>
      </c>
      <c r="G4140" s="2">
        <v>3</v>
      </c>
      <c r="H4140" s="2">
        <v>64.52</v>
      </c>
      <c r="I4140" t="str">
        <f t="shared" si="64"/>
        <v>Jan</v>
      </c>
      <c r="J4140">
        <f>YEAR(datas[[#This Row],[Order Date]])</f>
        <v>2023</v>
      </c>
    </row>
    <row r="4141" spans="1:10" ht="14.25" customHeight="1" x14ac:dyDescent="0.3">
      <c r="A4141" s="1">
        <v>44943</v>
      </c>
      <c r="B4141" s="2" t="s">
        <v>757</v>
      </c>
      <c r="C4141" s="2" t="s">
        <v>278</v>
      </c>
      <c r="D4141" s="2" t="s">
        <v>28</v>
      </c>
      <c r="E4141" s="2" t="s">
        <v>34</v>
      </c>
      <c r="F4141" s="2">
        <v>29.99</v>
      </c>
      <c r="G4141" s="2">
        <v>1</v>
      </c>
      <c r="H4141" s="2">
        <v>13.2</v>
      </c>
      <c r="I4141" t="str">
        <f t="shared" si="64"/>
        <v>Jan</v>
      </c>
      <c r="J4141">
        <f>YEAR(datas[[#This Row],[Order Date]])</f>
        <v>2023</v>
      </c>
    </row>
    <row r="4142" spans="1:10" ht="14.25" customHeight="1" x14ac:dyDescent="0.3">
      <c r="A4142" s="1">
        <v>44943</v>
      </c>
      <c r="B4142" s="2" t="s">
        <v>757</v>
      </c>
      <c r="C4142" s="2" t="s">
        <v>278</v>
      </c>
      <c r="D4142" s="2" t="s">
        <v>28</v>
      </c>
      <c r="E4142" s="2" t="s">
        <v>34</v>
      </c>
      <c r="F4142" s="2">
        <v>371.97</v>
      </c>
      <c r="G4142" s="2">
        <v>3</v>
      </c>
      <c r="H4142" s="2">
        <v>66.95</v>
      </c>
      <c r="I4142" t="str">
        <f t="shared" si="64"/>
        <v>Jan</v>
      </c>
      <c r="J4142">
        <f>YEAR(datas[[#This Row],[Order Date]])</f>
        <v>2023</v>
      </c>
    </row>
    <row r="4143" spans="1:10" ht="14.25" customHeight="1" x14ac:dyDescent="0.3">
      <c r="A4143" s="1">
        <v>44943</v>
      </c>
      <c r="B4143" s="2" t="s">
        <v>803</v>
      </c>
      <c r="C4143" s="2" t="s">
        <v>23</v>
      </c>
      <c r="D4143" s="2" t="s">
        <v>28</v>
      </c>
      <c r="E4143" s="2" t="s">
        <v>34</v>
      </c>
      <c r="F4143" s="2">
        <v>316</v>
      </c>
      <c r="G4143" s="2">
        <v>4</v>
      </c>
      <c r="H4143" s="2">
        <v>31.6</v>
      </c>
      <c r="I4143" t="str">
        <f t="shared" si="64"/>
        <v>Jan</v>
      </c>
      <c r="J4143">
        <f>YEAR(datas[[#This Row],[Order Date]])</f>
        <v>2023</v>
      </c>
    </row>
    <row r="4144" spans="1:10" ht="14.25" customHeight="1" x14ac:dyDescent="0.3">
      <c r="A4144" s="1">
        <v>44947</v>
      </c>
      <c r="B4144" s="2" t="s">
        <v>276</v>
      </c>
      <c r="C4144" s="2" t="s">
        <v>21</v>
      </c>
      <c r="D4144" s="2" t="s">
        <v>26</v>
      </c>
      <c r="E4144" s="2" t="s">
        <v>27</v>
      </c>
      <c r="F4144" s="2">
        <v>153.57</v>
      </c>
      <c r="G4144" s="2">
        <v>2</v>
      </c>
      <c r="H4144" s="2">
        <v>-5.76</v>
      </c>
      <c r="I4144" t="str">
        <f t="shared" si="64"/>
        <v>Jan</v>
      </c>
      <c r="J4144">
        <f>YEAR(datas[[#This Row],[Order Date]])</f>
        <v>2023</v>
      </c>
    </row>
    <row r="4145" spans="1:10" ht="14.25" customHeight="1" x14ac:dyDescent="0.3">
      <c r="A4145" s="1">
        <v>44947</v>
      </c>
      <c r="B4145" s="2" t="s">
        <v>276</v>
      </c>
      <c r="C4145" s="2" t="s">
        <v>21</v>
      </c>
      <c r="D4145" s="2" t="s">
        <v>26</v>
      </c>
      <c r="E4145" s="2" t="s">
        <v>27</v>
      </c>
      <c r="F4145" s="2">
        <v>1013.49</v>
      </c>
      <c r="G4145" s="2">
        <v>7</v>
      </c>
      <c r="H4145" s="2">
        <v>76.010000000000005</v>
      </c>
      <c r="I4145" t="str">
        <f t="shared" si="64"/>
        <v>Jan</v>
      </c>
      <c r="J4145">
        <f>YEAR(datas[[#This Row],[Order Date]])</f>
        <v>2023</v>
      </c>
    </row>
    <row r="4146" spans="1:10" ht="14.25" customHeight="1" x14ac:dyDescent="0.3">
      <c r="A4146" s="1">
        <v>44948</v>
      </c>
      <c r="B4146" s="2" t="s">
        <v>260</v>
      </c>
      <c r="C4146" s="2" t="s">
        <v>87</v>
      </c>
      <c r="D4146" s="2" t="s">
        <v>10</v>
      </c>
      <c r="E4146" s="2" t="s">
        <v>30</v>
      </c>
      <c r="F4146" s="2">
        <v>7.56</v>
      </c>
      <c r="G4146" s="2">
        <v>6</v>
      </c>
      <c r="H4146" s="2">
        <v>0.3</v>
      </c>
      <c r="I4146" t="str">
        <f t="shared" si="64"/>
        <v>Jan</v>
      </c>
      <c r="J4146">
        <f>YEAR(datas[[#This Row],[Order Date]])</f>
        <v>2023</v>
      </c>
    </row>
    <row r="4147" spans="1:10" ht="14.25" customHeight="1" x14ac:dyDescent="0.3">
      <c r="A4147" s="1">
        <v>44948</v>
      </c>
      <c r="B4147" s="2" t="s">
        <v>768</v>
      </c>
      <c r="C4147" s="2" t="s">
        <v>115</v>
      </c>
      <c r="D4147" s="2" t="s">
        <v>26</v>
      </c>
      <c r="E4147" s="2" t="s">
        <v>32</v>
      </c>
      <c r="F4147" s="2">
        <v>14.27</v>
      </c>
      <c r="G4147" s="2">
        <v>8</v>
      </c>
      <c r="H4147" s="2">
        <v>4.28</v>
      </c>
      <c r="I4147" t="str">
        <f t="shared" si="64"/>
        <v>Jan</v>
      </c>
      <c r="J4147">
        <f>YEAR(datas[[#This Row],[Order Date]])</f>
        <v>2023</v>
      </c>
    </row>
    <row r="4148" spans="1:10" ht="14.25" customHeight="1" x14ac:dyDescent="0.3">
      <c r="A4148" s="1">
        <v>44948</v>
      </c>
      <c r="B4148" s="2" t="s">
        <v>768</v>
      </c>
      <c r="C4148" s="2" t="s">
        <v>115</v>
      </c>
      <c r="D4148" s="2" t="s">
        <v>26</v>
      </c>
      <c r="E4148" s="2" t="s">
        <v>45</v>
      </c>
      <c r="F4148" s="2">
        <v>451.14</v>
      </c>
      <c r="G4148" s="2">
        <v>4</v>
      </c>
      <c r="H4148" s="2">
        <v>-67.67</v>
      </c>
      <c r="I4148" t="str">
        <f t="shared" si="64"/>
        <v>Jan</v>
      </c>
      <c r="J4148">
        <f>YEAR(datas[[#This Row],[Order Date]])</f>
        <v>2023</v>
      </c>
    </row>
    <row r="4149" spans="1:10" ht="14.25" customHeight="1" x14ac:dyDescent="0.3">
      <c r="A4149" s="1">
        <v>44948</v>
      </c>
      <c r="B4149" s="2" t="s">
        <v>768</v>
      </c>
      <c r="C4149" s="2" t="s">
        <v>115</v>
      </c>
      <c r="D4149" s="2" t="s">
        <v>10</v>
      </c>
      <c r="E4149" s="2" t="s">
        <v>53</v>
      </c>
      <c r="F4149" s="2">
        <v>64.86</v>
      </c>
      <c r="G4149" s="2">
        <v>4</v>
      </c>
      <c r="H4149" s="2">
        <v>6.49</v>
      </c>
      <c r="I4149" t="str">
        <f t="shared" si="64"/>
        <v>Jan</v>
      </c>
      <c r="J4149">
        <f>YEAR(datas[[#This Row],[Order Date]])</f>
        <v>2023</v>
      </c>
    </row>
    <row r="4150" spans="1:10" ht="14.25" customHeight="1" x14ac:dyDescent="0.3">
      <c r="A4150" s="1">
        <v>44948</v>
      </c>
      <c r="B4150" s="2" t="s">
        <v>268</v>
      </c>
      <c r="C4150" s="2" t="s">
        <v>82</v>
      </c>
      <c r="D4150" s="2" t="s">
        <v>26</v>
      </c>
      <c r="E4150" s="2" t="s">
        <v>32</v>
      </c>
      <c r="F4150" s="2">
        <v>109.9</v>
      </c>
      <c r="G4150" s="2">
        <v>5</v>
      </c>
      <c r="H4150" s="2">
        <v>37.369999999999997</v>
      </c>
      <c r="I4150" t="str">
        <f t="shared" si="64"/>
        <v>Jan</v>
      </c>
      <c r="J4150">
        <f>YEAR(datas[[#This Row],[Order Date]])</f>
        <v>2023</v>
      </c>
    </row>
    <row r="4151" spans="1:10" ht="14.25" customHeight="1" x14ac:dyDescent="0.3">
      <c r="A4151" s="1">
        <v>44948</v>
      </c>
      <c r="B4151" s="2" t="s">
        <v>457</v>
      </c>
      <c r="C4151" s="2" t="s">
        <v>82</v>
      </c>
      <c r="D4151" s="2" t="s">
        <v>10</v>
      </c>
      <c r="E4151" s="2" t="s">
        <v>11</v>
      </c>
      <c r="F4151" s="2">
        <v>12.96</v>
      </c>
      <c r="G4151" s="2">
        <v>2</v>
      </c>
      <c r="H4151" s="2">
        <v>6.22</v>
      </c>
      <c r="I4151" t="str">
        <f t="shared" si="64"/>
        <v>Jan</v>
      </c>
      <c r="J4151">
        <f>YEAR(datas[[#This Row],[Order Date]])</f>
        <v>2023</v>
      </c>
    </row>
    <row r="4152" spans="1:10" ht="14.25" customHeight="1" x14ac:dyDescent="0.3">
      <c r="A4152" s="1">
        <v>44948</v>
      </c>
      <c r="B4152" s="2" t="s">
        <v>630</v>
      </c>
      <c r="C4152" s="2" t="s">
        <v>21</v>
      </c>
      <c r="D4152" s="2" t="s">
        <v>10</v>
      </c>
      <c r="E4152" s="2" t="s">
        <v>14</v>
      </c>
      <c r="F4152" s="2">
        <v>44.4</v>
      </c>
      <c r="G4152" s="2">
        <v>3</v>
      </c>
      <c r="H4152" s="2">
        <v>22.2</v>
      </c>
      <c r="I4152" t="str">
        <f t="shared" si="64"/>
        <v>Jan</v>
      </c>
      <c r="J4152">
        <f>YEAR(datas[[#This Row],[Order Date]])</f>
        <v>2023</v>
      </c>
    </row>
    <row r="4153" spans="1:10" ht="14.25" customHeight="1" x14ac:dyDescent="0.3">
      <c r="A4153" s="1">
        <v>44948</v>
      </c>
      <c r="B4153" s="2" t="s">
        <v>630</v>
      </c>
      <c r="C4153" s="2" t="s">
        <v>21</v>
      </c>
      <c r="D4153" s="2" t="s">
        <v>10</v>
      </c>
      <c r="E4153" s="2" t="s">
        <v>14</v>
      </c>
      <c r="F4153" s="2">
        <v>20.65</v>
      </c>
      <c r="G4153" s="2">
        <v>5</v>
      </c>
      <c r="H4153" s="2">
        <v>9.5</v>
      </c>
      <c r="I4153" t="str">
        <f t="shared" si="64"/>
        <v>Jan</v>
      </c>
      <c r="J4153">
        <f>YEAR(datas[[#This Row],[Order Date]])</f>
        <v>2023</v>
      </c>
    </row>
    <row r="4154" spans="1:10" ht="14.25" customHeight="1" x14ac:dyDescent="0.3">
      <c r="A4154" s="1">
        <v>44948</v>
      </c>
      <c r="B4154" s="2" t="s">
        <v>281</v>
      </c>
      <c r="C4154" s="2" t="s">
        <v>47</v>
      </c>
      <c r="D4154" s="2" t="s">
        <v>28</v>
      </c>
      <c r="E4154" s="2" t="s">
        <v>29</v>
      </c>
      <c r="F4154" s="2">
        <v>110.38</v>
      </c>
      <c r="G4154" s="2">
        <v>4</v>
      </c>
      <c r="H4154" s="2">
        <v>-20.239999999999998</v>
      </c>
      <c r="I4154" t="str">
        <f t="shared" si="64"/>
        <v>Jan</v>
      </c>
      <c r="J4154">
        <f>YEAR(datas[[#This Row],[Order Date]])</f>
        <v>2023</v>
      </c>
    </row>
    <row r="4155" spans="1:10" ht="14.25" customHeight="1" x14ac:dyDescent="0.3">
      <c r="A4155" s="1">
        <v>44948</v>
      </c>
      <c r="B4155" s="2" t="s">
        <v>281</v>
      </c>
      <c r="C4155" s="2" t="s">
        <v>47</v>
      </c>
      <c r="D4155" s="2" t="s">
        <v>28</v>
      </c>
      <c r="E4155" s="2" t="s">
        <v>34</v>
      </c>
      <c r="F4155" s="2">
        <v>55.18</v>
      </c>
      <c r="G4155" s="2">
        <v>3</v>
      </c>
      <c r="H4155" s="2">
        <v>15.86</v>
      </c>
      <c r="I4155" t="str">
        <f t="shared" si="64"/>
        <v>Jan</v>
      </c>
      <c r="J4155">
        <f>YEAR(datas[[#This Row],[Order Date]])</f>
        <v>2023</v>
      </c>
    </row>
    <row r="4156" spans="1:10" ht="14.25" customHeight="1" x14ac:dyDescent="0.3">
      <c r="A4156" s="1">
        <v>44948</v>
      </c>
      <c r="B4156" s="2" t="s">
        <v>331</v>
      </c>
      <c r="C4156" s="2" t="s">
        <v>75</v>
      </c>
      <c r="D4156" s="2" t="s">
        <v>10</v>
      </c>
      <c r="E4156" s="2" t="s">
        <v>16</v>
      </c>
      <c r="F4156" s="2">
        <v>26.34</v>
      </c>
      <c r="G4156" s="2">
        <v>4</v>
      </c>
      <c r="H4156" s="2">
        <v>9.2200000000000006</v>
      </c>
      <c r="I4156" t="str">
        <f t="shared" si="64"/>
        <v>Jan</v>
      </c>
      <c r="J4156">
        <f>YEAR(datas[[#This Row],[Order Date]])</f>
        <v>2023</v>
      </c>
    </row>
    <row r="4157" spans="1:10" ht="14.25" customHeight="1" x14ac:dyDescent="0.3">
      <c r="A4157" s="1">
        <v>44949</v>
      </c>
      <c r="B4157" s="2" t="s">
        <v>783</v>
      </c>
      <c r="C4157" s="2" t="s">
        <v>21</v>
      </c>
      <c r="D4157" s="2" t="s">
        <v>26</v>
      </c>
      <c r="E4157" s="2" t="s">
        <v>32</v>
      </c>
      <c r="F4157" s="2">
        <v>59.99</v>
      </c>
      <c r="G4157" s="2">
        <v>7</v>
      </c>
      <c r="H4157" s="2">
        <v>21.6</v>
      </c>
      <c r="I4157" t="str">
        <f t="shared" si="64"/>
        <v>Jan</v>
      </c>
      <c r="J4157">
        <f>YEAR(datas[[#This Row],[Order Date]])</f>
        <v>2023</v>
      </c>
    </row>
    <row r="4158" spans="1:10" ht="14.25" customHeight="1" x14ac:dyDescent="0.3">
      <c r="A4158" s="1">
        <v>44949</v>
      </c>
      <c r="B4158" s="2" t="s">
        <v>667</v>
      </c>
      <c r="C4158" s="2" t="s">
        <v>785</v>
      </c>
      <c r="D4158" s="2" t="s">
        <v>28</v>
      </c>
      <c r="E4158" s="2" t="s">
        <v>34</v>
      </c>
      <c r="F4158" s="2">
        <v>99.98</v>
      </c>
      <c r="G4158" s="2">
        <v>2</v>
      </c>
      <c r="H4158" s="2">
        <v>42.99</v>
      </c>
      <c r="I4158" t="str">
        <f t="shared" si="64"/>
        <v>Jan</v>
      </c>
      <c r="J4158">
        <f>YEAR(datas[[#This Row],[Order Date]])</f>
        <v>2023</v>
      </c>
    </row>
    <row r="4159" spans="1:10" ht="14.25" customHeight="1" x14ac:dyDescent="0.3">
      <c r="A4159" s="1">
        <v>44949</v>
      </c>
      <c r="B4159" s="2" t="s">
        <v>667</v>
      </c>
      <c r="C4159" s="2" t="s">
        <v>785</v>
      </c>
      <c r="D4159" s="2" t="s">
        <v>10</v>
      </c>
      <c r="E4159" s="2" t="s">
        <v>19</v>
      </c>
      <c r="F4159" s="2">
        <v>8.0399999999999991</v>
      </c>
      <c r="G4159" s="2">
        <v>6</v>
      </c>
      <c r="H4159" s="2">
        <v>2.73</v>
      </c>
      <c r="I4159" t="str">
        <f t="shared" si="64"/>
        <v>Jan</v>
      </c>
      <c r="J4159">
        <f>YEAR(datas[[#This Row],[Order Date]])</f>
        <v>2023</v>
      </c>
    </row>
    <row r="4160" spans="1:10" ht="14.25" customHeight="1" x14ac:dyDescent="0.3">
      <c r="A4160" s="1">
        <v>44949</v>
      </c>
      <c r="B4160" s="2" t="s">
        <v>667</v>
      </c>
      <c r="C4160" s="2" t="s">
        <v>785</v>
      </c>
      <c r="D4160" s="2" t="s">
        <v>10</v>
      </c>
      <c r="E4160" s="2" t="s">
        <v>15</v>
      </c>
      <c r="F4160" s="2">
        <v>1564.29</v>
      </c>
      <c r="G4160" s="2">
        <v>13</v>
      </c>
      <c r="H4160" s="2">
        <v>406.72</v>
      </c>
      <c r="I4160" t="str">
        <f t="shared" si="64"/>
        <v>Jan</v>
      </c>
      <c r="J4160">
        <f>YEAR(datas[[#This Row],[Order Date]])</f>
        <v>2023</v>
      </c>
    </row>
    <row r="4161" spans="1:10" ht="14.25" customHeight="1" x14ac:dyDescent="0.3">
      <c r="A4161" s="1">
        <v>44950</v>
      </c>
      <c r="B4161" s="2" t="s">
        <v>489</v>
      </c>
      <c r="C4161" s="2" t="s">
        <v>143</v>
      </c>
      <c r="D4161" s="2" t="s">
        <v>10</v>
      </c>
      <c r="E4161" s="2" t="s">
        <v>16</v>
      </c>
      <c r="F4161" s="2">
        <v>31.36</v>
      </c>
      <c r="G4161" s="2">
        <v>4</v>
      </c>
      <c r="H4161" s="2">
        <v>15.68</v>
      </c>
      <c r="I4161" t="str">
        <f t="shared" si="64"/>
        <v>Jan</v>
      </c>
      <c r="J4161">
        <f>YEAR(datas[[#This Row],[Order Date]])</f>
        <v>2023</v>
      </c>
    </row>
    <row r="4162" spans="1:10" ht="14.25" customHeight="1" x14ac:dyDescent="0.3">
      <c r="A4162" s="1">
        <v>44951</v>
      </c>
      <c r="B4162" s="2" t="s">
        <v>809</v>
      </c>
      <c r="C4162" s="2" t="s">
        <v>87</v>
      </c>
      <c r="D4162" s="2" t="s">
        <v>10</v>
      </c>
      <c r="E4162" s="2" t="s">
        <v>19</v>
      </c>
      <c r="F4162" s="2">
        <v>9.2100000000000009</v>
      </c>
      <c r="G4162" s="2">
        <v>3</v>
      </c>
      <c r="H4162" s="2">
        <v>2.2999999999999998</v>
      </c>
      <c r="I4162" t="str">
        <f t="shared" si="64"/>
        <v>Jan</v>
      </c>
      <c r="J4162">
        <f>YEAR(datas[[#This Row],[Order Date]])</f>
        <v>2023</v>
      </c>
    </row>
    <row r="4163" spans="1:10" ht="14.25" customHeight="1" x14ac:dyDescent="0.3">
      <c r="A4163" s="1">
        <v>44951</v>
      </c>
      <c r="B4163" s="2" t="s">
        <v>809</v>
      </c>
      <c r="C4163" s="2" t="s">
        <v>87</v>
      </c>
      <c r="D4163" s="2" t="s">
        <v>10</v>
      </c>
      <c r="E4163" s="2" t="s">
        <v>11</v>
      </c>
      <c r="F4163" s="2">
        <v>18</v>
      </c>
      <c r="G4163" s="2">
        <v>5</v>
      </c>
      <c r="H4163" s="2">
        <v>8.2799999999999994</v>
      </c>
      <c r="I4163" t="str">
        <f t="shared" ref="I4163:I4226" si="65">TEXT(A4163,"mmm")</f>
        <v>Jan</v>
      </c>
      <c r="J4163">
        <f>YEAR(datas[[#This Row],[Order Date]])</f>
        <v>2023</v>
      </c>
    </row>
    <row r="4164" spans="1:10" ht="14.25" customHeight="1" x14ac:dyDescent="0.3">
      <c r="A4164" s="1">
        <v>44951</v>
      </c>
      <c r="B4164" s="2" t="s">
        <v>161</v>
      </c>
      <c r="C4164" s="2" t="s">
        <v>75</v>
      </c>
      <c r="D4164" s="2" t="s">
        <v>10</v>
      </c>
      <c r="E4164" s="2" t="s">
        <v>16</v>
      </c>
      <c r="F4164" s="2">
        <v>43.12</v>
      </c>
      <c r="G4164" s="2">
        <v>5</v>
      </c>
      <c r="H4164" s="2">
        <v>15.09</v>
      </c>
      <c r="I4164" t="str">
        <f t="shared" si="65"/>
        <v>Jan</v>
      </c>
      <c r="J4164">
        <f>YEAR(datas[[#This Row],[Order Date]])</f>
        <v>2023</v>
      </c>
    </row>
    <row r="4165" spans="1:10" ht="14.25" customHeight="1" x14ac:dyDescent="0.3">
      <c r="A4165" s="1">
        <v>44951</v>
      </c>
      <c r="B4165" s="2" t="s">
        <v>161</v>
      </c>
      <c r="C4165" s="2" t="s">
        <v>75</v>
      </c>
      <c r="D4165" s="2" t="s">
        <v>26</v>
      </c>
      <c r="E4165" s="2" t="s">
        <v>73</v>
      </c>
      <c r="F4165" s="2">
        <v>313.72000000000003</v>
      </c>
      <c r="G4165" s="2">
        <v>3</v>
      </c>
      <c r="H4165" s="2">
        <v>-99.35</v>
      </c>
      <c r="I4165" t="str">
        <f t="shared" si="65"/>
        <v>Jan</v>
      </c>
      <c r="J4165">
        <f>YEAR(datas[[#This Row],[Order Date]])</f>
        <v>2023</v>
      </c>
    </row>
    <row r="4166" spans="1:10" ht="14.25" customHeight="1" x14ac:dyDescent="0.3">
      <c r="A4166" s="1">
        <v>44951</v>
      </c>
      <c r="B4166" s="2" t="s">
        <v>161</v>
      </c>
      <c r="C4166" s="2" t="s">
        <v>75</v>
      </c>
      <c r="D4166" s="2" t="s">
        <v>26</v>
      </c>
      <c r="E4166" s="2" t="s">
        <v>32</v>
      </c>
      <c r="F4166" s="2">
        <v>45.98</v>
      </c>
      <c r="G4166" s="2">
        <v>1</v>
      </c>
      <c r="H4166" s="2">
        <v>7.82</v>
      </c>
      <c r="I4166" t="str">
        <f t="shared" si="65"/>
        <v>Jan</v>
      </c>
      <c r="J4166">
        <f>YEAR(datas[[#This Row],[Order Date]])</f>
        <v>2023</v>
      </c>
    </row>
    <row r="4167" spans="1:10" ht="14.25" customHeight="1" x14ac:dyDescent="0.3">
      <c r="A4167" s="1">
        <v>44951</v>
      </c>
      <c r="B4167" s="2" t="s">
        <v>161</v>
      </c>
      <c r="C4167" s="2" t="s">
        <v>75</v>
      </c>
      <c r="D4167" s="2" t="s">
        <v>10</v>
      </c>
      <c r="E4167" s="2" t="s">
        <v>15</v>
      </c>
      <c r="F4167" s="2">
        <v>428.68</v>
      </c>
      <c r="G4167" s="2">
        <v>7</v>
      </c>
      <c r="H4167" s="2">
        <v>0</v>
      </c>
      <c r="I4167" t="str">
        <f t="shared" si="65"/>
        <v>Jan</v>
      </c>
      <c r="J4167">
        <f>YEAR(datas[[#This Row],[Order Date]])</f>
        <v>2023</v>
      </c>
    </row>
    <row r="4168" spans="1:10" ht="14.25" customHeight="1" x14ac:dyDescent="0.3">
      <c r="A4168" s="1">
        <v>44954</v>
      </c>
      <c r="B4168" s="2" t="s">
        <v>489</v>
      </c>
      <c r="C4168" s="2" t="s">
        <v>21</v>
      </c>
      <c r="D4168" s="2" t="s">
        <v>10</v>
      </c>
      <c r="E4168" s="2" t="s">
        <v>19</v>
      </c>
      <c r="F4168" s="2">
        <v>39.68</v>
      </c>
      <c r="G4168" s="2">
        <v>2</v>
      </c>
      <c r="H4168" s="2">
        <v>10.32</v>
      </c>
      <c r="I4168" t="str">
        <f t="shared" si="65"/>
        <v>Jan</v>
      </c>
      <c r="J4168">
        <f>YEAR(datas[[#This Row],[Order Date]])</f>
        <v>2023</v>
      </c>
    </row>
    <row r="4169" spans="1:10" ht="14.25" customHeight="1" x14ac:dyDescent="0.3">
      <c r="A4169" s="1">
        <v>44956</v>
      </c>
      <c r="B4169" s="2" t="s">
        <v>538</v>
      </c>
      <c r="C4169" s="2" t="s">
        <v>21</v>
      </c>
      <c r="D4169" s="2" t="s">
        <v>10</v>
      </c>
      <c r="E4169" s="2" t="s">
        <v>16</v>
      </c>
      <c r="F4169" s="2">
        <v>17.46</v>
      </c>
      <c r="G4169" s="2">
        <v>2</v>
      </c>
      <c r="H4169" s="2">
        <v>5.89</v>
      </c>
      <c r="I4169" t="str">
        <f t="shared" si="65"/>
        <v>Jan</v>
      </c>
      <c r="J4169">
        <f>YEAR(datas[[#This Row],[Order Date]])</f>
        <v>2023</v>
      </c>
    </row>
    <row r="4170" spans="1:10" ht="14.25" customHeight="1" x14ac:dyDescent="0.3">
      <c r="A4170" s="1">
        <v>44956</v>
      </c>
      <c r="B4170" s="2" t="s">
        <v>303</v>
      </c>
      <c r="C4170" s="2" t="s">
        <v>21</v>
      </c>
      <c r="D4170" s="2" t="s">
        <v>10</v>
      </c>
      <c r="E4170" s="2" t="s">
        <v>15</v>
      </c>
      <c r="F4170" s="2">
        <v>305.01</v>
      </c>
      <c r="G4170" s="2">
        <v>9</v>
      </c>
      <c r="H4170" s="2">
        <v>76.25</v>
      </c>
      <c r="I4170" t="str">
        <f t="shared" si="65"/>
        <v>Jan</v>
      </c>
      <c r="J4170">
        <f>YEAR(datas[[#This Row],[Order Date]])</f>
        <v>2023</v>
      </c>
    </row>
    <row r="4171" spans="1:10" ht="14.25" customHeight="1" x14ac:dyDescent="0.3">
      <c r="A4171" s="1">
        <v>44956</v>
      </c>
      <c r="B4171" s="2" t="s">
        <v>303</v>
      </c>
      <c r="C4171" s="2" t="s">
        <v>21</v>
      </c>
      <c r="D4171" s="2" t="s">
        <v>10</v>
      </c>
      <c r="E4171" s="2" t="s">
        <v>16</v>
      </c>
      <c r="F4171" s="2">
        <v>50.78</v>
      </c>
      <c r="G4171" s="2">
        <v>2</v>
      </c>
      <c r="H4171" s="2">
        <v>17.77</v>
      </c>
      <c r="I4171" t="str">
        <f t="shared" si="65"/>
        <v>Jan</v>
      </c>
      <c r="J4171">
        <f>YEAR(datas[[#This Row],[Order Date]])</f>
        <v>2023</v>
      </c>
    </row>
    <row r="4172" spans="1:10" ht="14.25" customHeight="1" x14ac:dyDescent="0.3">
      <c r="A4172" s="1">
        <v>44956</v>
      </c>
      <c r="B4172" s="2" t="s">
        <v>303</v>
      </c>
      <c r="C4172" s="2" t="s">
        <v>21</v>
      </c>
      <c r="D4172" s="2" t="s">
        <v>10</v>
      </c>
      <c r="E4172" s="2" t="s">
        <v>14</v>
      </c>
      <c r="F4172" s="2">
        <v>26.01</v>
      </c>
      <c r="G4172" s="2">
        <v>9</v>
      </c>
      <c r="H4172" s="2">
        <v>12.22</v>
      </c>
      <c r="I4172" t="str">
        <f t="shared" si="65"/>
        <v>Jan</v>
      </c>
      <c r="J4172">
        <f>YEAR(datas[[#This Row],[Order Date]])</f>
        <v>2023</v>
      </c>
    </row>
    <row r="4173" spans="1:10" ht="14.25" customHeight="1" x14ac:dyDescent="0.3">
      <c r="A4173" s="1">
        <v>44956</v>
      </c>
      <c r="B4173" s="2" t="s">
        <v>632</v>
      </c>
      <c r="C4173" s="2" t="s">
        <v>82</v>
      </c>
      <c r="D4173" s="2" t="s">
        <v>26</v>
      </c>
      <c r="E4173" s="2" t="s">
        <v>27</v>
      </c>
      <c r="F4173" s="2">
        <v>435.17</v>
      </c>
      <c r="G4173" s="2">
        <v>4</v>
      </c>
      <c r="H4173" s="2">
        <v>-59.84</v>
      </c>
      <c r="I4173" t="str">
        <f t="shared" si="65"/>
        <v>Jan</v>
      </c>
      <c r="J4173">
        <f>YEAR(datas[[#This Row],[Order Date]])</f>
        <v>2023</v>
      </c>
    </row>
    <row r="4174" spans="1:10" ht="14.25" customHeight="1" x14ac:dyDescent="0.3">
      <c r="A4174" s="1">
        <v>44956</v>
      </c>
      <c r="B4174" s="2" t="s">
        <v>632</v>
      </c>
      <c r="C4174" s="2" t="s">
        <v>82</v>
      </c>
      <c r="D4174" s="2" t="s">
        <v>26</v>
      </c>
      <c r="E4174" s="2" t="s">
        <v>45</v>
      </c>
      <c r="F4174" s="2">
        <v>48.58</v>
      </c>
      <c r="G4174" s="2">
        <v>1</v>
      </c>
      <c r="H4174" s="2">
        <v>7.77</v>
      </c>
      <c r="I4174" t="str">
        <f t="shared" si="65"/>
        <v>Jan</v>
      </c>
      <c r="J4174">
        <f>YEAR(datas[[#This Row],[Order Date]])</f>
        <v>2023</v>
      </c>
    </row>
    <row r="4175" spans="1:10" ht="14.25" customHeight="1" x14ac:dyDescent="0.3">
      <c r="A4175" s="1">
        <v>44956</v>
      </c>
      <c r="B4175" s="2" t="s">
        <v>810</v>
      </c>
      <c r="C4175" s="2" t="s">
        <v>13</v>
      </c>
      <c r="D4175" s="2" t="s">
        <v>10</v>
      </c>
      <c r="E4175" s="2" t="s">
        <v>11</v>
      </c>
      <c r="F4175" s="2">
        <v>156.51</v>
      </c>
      <c r="G4175" s="2">
        <v>4</v>
      </c>
      <c r="H4175" s="2">
        <v>52.82</v>
      </c>
      <c r="I4175" t="str">
        <f t="shared" si="65"/>
        <v>Jan</v>
      </c>
      <c r="J4175">
        <f>YEAR(datas[[#This Row],[Order Date]])</f>
        <v>2023</v>
      </c>
    </row>
    <row r="4176" spans="1:10" ht="14.25" customHeight="1" x14ac:dyDescent="0.3">
      <c r="A4176" s="1">
        <v>44956</v>
      </c>
      <c r="B4176" s="2" t="s">
        <v>518</v>
      </c>
      <c r="C4176" s="2" t="s">
        <v>13</v>
      </c>
      <c r="D4176" s="2" t="s">
        <v>28</v>
      </c>
      <c r="E4176" s="2" t="s">
        <v>29</v>
      </c>
      <c r="F4176" s="2">
        <v>1439.97</v>
      </c>
      <c r="G4176" s="2">
        <v>4</v>
      </c>
      <c r="H4176" s="2">
        <v>144</v>
      </c>
      <c r="I4176" t="str">
        <f t="shared" si="65"/>
        <v>Jan</v>
      </c>
      <c r="J4176">
        <f>YEAR(datas[[#This Row],[Order Date]])</f>
        <v>2023</v>
      </c>
    </row>
    <row r="4177" spans="1:10" ht="14.25" customHeight="1" x14ac:dyDescent="0.3">
      <c r="A4177" s="1">
        <v>44956</v>
      </c>
      <c r="B4177" s="2" t="s">
        <v>518</v>
      </c>
      <c r="C4177" s="2" t="s">
        <v>13</v>
      </c>
      <c r="D4177" s="2" t="s">
        <v>10</v>
      </c>
      <c r="E4177" s="2" t="s">
        <v>16</v>
      </c>
      <c r="F4177" s="2">
        <v>1.73</v>
      </c>
      <c r="G4177" s="2">
        <v>3</v>
      </c>
      <c r="H4177" s="2">
        <v>-2.68</v>
      </c>
      <c r="I4177" t="str">
        <f t="shared" si="65"/>
        <v>Jan</v>
      </c>
      <c r="J4177">
        <f>YEAR(datas[[#This Row],[Order Date]])</f>
        <v>2023</v>
      </c>
    </row>
    <row r="4178" spans="1:10" ht="14.25" customHeight="1" x14ac:dyDescent="0.3">
      <c r="A4178" s="1">
        <v>44956</v>
      </c>
      <c r="B4178" s="2" t="s">
        <v>518</v>
      </c>
      <c r="C4178" s="2" t="s">
        <v>13</v>
      </c>
      <c r="D4178" s="2" t="s">
        <v>26</v>
      </c>
      <c r="E4178" s="2" t="s">
        <v>73</v>
      </c>
      <c r="F4178" s="2">
        <v>626.1</v>
      </c>
      <c r="G4178" s="2">
        <v>3</v>
      </c>
      <c r="H4178" s="2">
        <v>-538.45000000000005</v>
      </c>
      <c r="I4178" t="str">
        <f t="shared" si="65"/>
        <v>Jan</v>
      </c>
      <c r="J4178">
        <f>YEAR(datas[[#This Row],[Order Date]])</f>
        <v>2023</v>
      </c>
    </row>
    <row r="4179" spans="1:10" ht="14.25" customHeight="1" x14ac:dyDescent="0.3">
      <c r="A4179" s="1">
        <v>44957</v>
      </c>
      <c r="B4179" s="2" t="s">
        <v>147</v>
      </c>
      <c r="C4179" s="2" t="s">
        <v>21</v>
      </c>
      <c r="D4179" s="2" t="s">
        <v>28</v>
      </c>
      <c r="E4179" s="2" t="s">
        <v>29</v>
      </c>
      <c r="F4179" s="2">
        <v>109.59</v>
      </c>
      <c r="G4179" s="2">
        <v>1</v>
      </c>
      <c r="H4179" s="2">
        <v>8.2200000000000006</v>
      </c>
      <c r="I4179" t="str">
        <f t="shared" si="65"/>
        <v>Jan</v>
      </c>
      <c r="J4179">
        <f>YEAR(datas[[#This Row],[Order Date]])</f>
        <v>2023</v>
      </c>
    </row>
    <row r="4180" spans="1:10" ht="14.25" customHeight="1" x14ac:dyDescent="0.3">
      <c r="A4180" s="1">
        <v>44957</v>
      </c>
      <c r="B4180" s="2" t="s">
        <v>147</v>
      </c>
      <c r="C4180" s="2" t="s">
        <v>21</v>
      </c>
      <c r="D4180" s="2" t="s">
        <v>10</v>
      </c>
      <c r="E4180" s="2" t="s">
        <v>11</v>
      </c>
      <c r="F4180" s="2">
        <v>56.7</v>
      </c>
      <c r="G4180" s="2">
        <v>5</v>
      </c>
      <c r="H4180" s="2">
        <v>27.78</v>
      </c>
      <c r="I4180" t="str">
        <f t="shared" si="65"/>
        <v>Jan</v>
      </c>
      <c r="J4180">
        <f>YEAR(datas[[#This Row],[Order Date]])</f>
        <v>2023</v>
      </c>
    </row>
    <row r="4181" spans="1:10" ht="14.25" customHeight="1" x14ac:dyDescent="0.3">
      <c r="A4181" s="1">
        <v>44957</v>
      </c>
      <c r="B4181" s="2" t="s">
        <v>121</v>
      </c>
      <c r="C4181" s="2" t="s">
        <v>9</v>
      </c>
      <c r="D4181" s="2" t="s">
        <v>10</v>
      </c>
      <c r="E4181" s="2" t="s">
        <v>11</v>
      </c>
      <c r="F4181" s="2">
        <v>15.55</v>
      </c>
      <c r="G4181" s="2">
        <v>3</v>
      </c>
      <c r="H4181" s="2">
        <v>5.44</v>
      </c>
      <c r="I4181" t="str">
        <f t="shared" si="65"/>
        <v>Jan</v>
      </c>
      <c r="J4181">
        <f>YEAR(datas[[#This Row],[Order Date]])</f>
        <v>2023</v>
      </c>
    </row>
    <row r="4182" spans="1:10" ht="14.25" customHeight="1" x14ac:dyDescent="0.3">
      <c r="A4182" s="1">
        <v>44957</v>
      </c>
      <c r="B4182" s="2" t="s">
        <v>599</v>
      </c>
      <c r="C4182" s="2" t="s">
        <v>87</v>
      </c>
      <c r="D4182" s="2" t="s">
        <v>10</v>
      </c>
      <c r="E4182" s="2" t="s">
        <v>41</v>
      </c>
      <c r="F4182" s="2">
        <v>23.36</v>
      </c>
      <c r="G4182" s="2">
        <v>2</v>
      </c>
      <c r="H4182" s="2">
        <v>11.68</v>
      </c>
      <c r="I4182" t="str">
        <f t="shared" si="65"/>
        <v>Jan</v>
      </c>
      <c r="J4182">
        <f>YEAR(datas[[#This Row],[Order Date]])</f>
        <v>2023</v>
      </c>
    </row>
    <row r="4183" spans="1:10" ht="14.25" customHeight="1" x14ac:dyDescent="0.3">
      <c r="A4183" s="1">
        <v>44957</v>
      </c>
      <c r="B4183" s="2" t="s">
        <v>214</v>
      </c>
      <c r="C4183" s="2" t="s">
        <v>23</v>
      </c>
      <c r="D4183" s="2" t="s">
        <v>10</v>
      </c>
      <c r="E4183" s="2" t="s">
        <v>16</v>
      </c>
      <c r="F4183" s="2">
        <v>1270.99</v>
      </c>
      <c r="G4183" s="2">
        <v>1</v>
      </c>
      <c r="H4183" s="2">
        <v>635.5</v>
      </c>
      <c r="I4183" t="str">
        <f t="shared" si="65"/>
        <v>Jan</v>
      </c>
      <c r="J4183">
        <f>YEAR(datas[[#This Row],[Order Date]])</f>
        <v>2023</v>
      </c>
    </row>
    <row r="4184" spans="1:10" ht="14.25" customHeight="1" x14ac:dyDescent="0.3">
      <c r="A4184" s="1">
        <v>44957</v>
      </c>
      <c r="B4184" s="2" t="s">
        <v>214</v>
      </c>
      <c r="C4184" s="2" t="s">
        <v>23</v>
      </c>
      <c r="D4184" s="2" t="s">
        <v>10</v>
      </c>
      <c r="E4184" s="2" t="s">
        <v>41</v>
      </c>
      <c r="F4184" s="2">
        <v>125.36</v>
      </c>
      <c r="G4184" s="2">
        <v>8</v>
      </c>
      <c r="H4184" s="2">
        <v>58.92</v>
      </c>
      <c r="I4184" t="str">
        <f t="shared" si="65"/>
        <v>Jan</v>
      </c>
      <c r="J4184">
        <f>YEAR(datas[[#This Row],[Order Date]])</f>
        <v>2023</v>
      </c>
    </row>
    <row r="4185" spans="1:10" ht="14.25" customHeight="1" x14ac:dyDescent="0.3">
      <c r="A4185" s="1">
        <v>44958</v>
      </c>
      <c r="B4185" s="2" t="s">
        <v>86</v>
      </c>
      <c r="C4185" s="2" t="s">
        <v>36</v>
      </c>
      <c r="D4185" s="2" t="s">
        <v>10</v>
      </c>
      <c r="E4185" s="2" t="s">
        <v>15</v>
      </c>
      <c r="F4185" s="2">
        <v>56.45</v>
      </c>
      <c r="G4185" s="2">
        <v>5</v>
      </c>
      <c r="H4185" s="2">
        <v>14.68</v>
      </c>
      <c r="I4185" t="str">
        <f t="shared" si="65"/>
        <v>Feb</v>
      </c>
      <c r="J4185">
        <f>YEAR(datas[[#This Row],[Order Date]])</f>
        <v>2023</v>
      </c>
    </row>
    <row r="4186" spans="1:10" ht="14.25" customHeight="1" x14ac:dyDescent="0.3">
      <c r="A4186" s="1">
        <v>44958</v>
      </c>
      <c r="B4186" s="2" t="s">
        <v>507</v>
      </c>
      <c r="C4186" s="2" t="s">
        <v>21</v>
      </c>
      <c r="D4186" s="2" t="s">
        <v>10</v>
      </c>
      <c r="E4186" s="2" t="s">
        <v>11</v>
      </c>
      <c r="F4186" s="2">
        <v>105.52</v>
      </c>
      <c r="G4186" s="2">
        <v>4</v>
      </c>
      <c r="H4186" s="2">
        <v>48.54</v>
      </c>
      <c r="I4186" t="str">
        <f t="shared" si="65"/>
        <v>Feb</v>
      </c>
      <c r="J4186">
        <f>YEAR(datas[[#This Row],[Order Date]])</f>
        <v>2023</v>
      </c>
    </row>
    <row r="4187" spans="1:10" ht="14.25" customHeight="1" x14ac:dyDescent="0.3">
      <c r="A4187" s="1">
        <v>44959</v>
      </c>
      <c r="B4187" s="2" t="s">
        <v>651</v>
      </c>
      <c r="C4187" s="2" t="s">
        <v>75</v>
      </c>
      <c r="D4187" s="2" t="s">
        <v>10</v>
      </c>
      <c r="E4187" s="2" t="s">
        <v>15</v>
      </c>
      <c r="F4187" s="2">
        <v>117.96</v>
      </c>
      <c r="G4187" s="2">
        <v>2</v>
      </c>
      <c r="H4187" s="2">
        <v>5.9</v>
      </c>
      <c r="I4187" t="str">
        <f t="shared" si="65"/>
        <v>Feb</v>
      </c>
      <c r="J4187">
        <f>YEAR(datas[[#This Row],[Order Date]])</f>
        <v>2023</v>
      </c>
    </row>
    <row r="4188" spans="1:10" ht="14.25" customHeight="1" x14ac:dyDescent="0.3">
      <c r="A4188" s="1">
        <v>44959</v>
      </c>
      <c r="B4188" s="2" t="s">
        <v>206</v>
      </c>
      <c r="C4188" s="2" t="s">
        <v>36</v>
      </c>
      <c r="D4188" s="2" t="s">
        <v>28</v>
      </c>
      <c r="E4188" s="2" t="s">
        <v>136</v>
      </c>
      <c r="F4188" s="2">
        <v>8749.9500000000007</v>
      </c>
      <c r="G4188" s="2">
        <v>5</v>
      </c>
      <c r="H4188" s="2">
        <v>2799.98</v>
      </c>
      <c r="I4188" t="str">
        <f t="shared" si="65"/>
        <v>Feb</v>
      </c>
      <c r="J4188">
        <f>YEAR(datas[[#This Row],[Order Date]])</f>
        <v>2023</v>
      </c>
    </row>
    <row r="4189" spans="1:10" ht="14.25" customHeight="1" x14ac:dyDescent="0.3">
      <c r="A4189" s="1">
        <v>44959</v>
      </c>
      <c r="B4189" s="2" t="s">
        <v>206</v>
      </c>
      <c r="C4189" s="2" t="s">
        <v>36</v>
      </c>
      <c r="D4189" s="2" t="s">
        <v>10</v>
      </c>
      <c r="E4189" s="2" t="s">
        <v>16</v>
      </c>
      <c r="F4189" s="2">
        <v>36.4</v>
      </c>
      <c r="G4189" s="2">
        <v>8</v>
      </c>
      <c r="H4189" s="2">
        <v>18.2</v>
      </c>
      <c r="I4189" t="str">
        <f t="shared" si="65"/>
        <v>Feb</v>
      </c>
      <c r="J4189">
        <f>YEAR(datas[[#This Row],[Order Date]])</f>
        <v>2023</v>
      </c>
    </row>
    <row r="4190" spans="1:10" ht="14.25" customHeight="1" x14ac:dyDescent="0.3">
      <c r="A4190" s="1">
        <v>44959</v>
      </c>
      <c r="B4190" s="2" t="s">
        <v>206</v>
      </c>
      <c r="C4190" s="2" t="s">
        <v>36</v>
      </c>
      <c r="D4190" s="2" t="s">
        <v>26</v>
      </c>
      <c r="E4190" s="2" t="s">
        <v>32</v>
      </c>
      <c r="F4190" s="2">
        <v>18.690000000000001</v>
      </c>
      <c r="G4190" s="2">
        <v>7</v>
      </c>
      <c r="H4190" s="2">
        <v>7.1</v>
      </c>
      <c r="I4190" t="str">
        <f t="shared" si="65"/>
        <v>Feb</v>
      </c>
      <c r="J4190">
        <f>YEAR(datas[[#This Row],[Order Date]])</f>
        <v>2023</v>
      </c>
    </row>
    <row r="4191" spans="1:10" ht="14.25" customHeight="1" x14ac:dyDescent="0.3">
      <c r="A4191" s="1">
        <v>44959</v>
      </c>
      <c r="B4191" s="2" t="s">
        <v>338</v>
      </c>
      <c r="C4191" s="2" t="s">
        <v>9</v>
      </c>
      <c r="D4191" s="2" t="s">
        <v>26</v>
      </c>
      <c r="E4191" s="2" t="s">
        <v>32</v>
      </c>
      <c r="F4191" s="2">
        <v>73.78</v>
      </c>
      <c r="G4191" s="2">
        <v>2</v>
      </c>
      <c r="H4191" s="2">
        <v>-77.47</v>
      </c>
      <c r="I4191" t="str">
        <f t="shared" si="65"/>
        <v>Feb</v>
      </c>
      <c r="J4191">
        <f>YEAR(datas[[#This Row],[Order Date]])</f>
        <v>2023</v>
      </c>
    </row>
    <row r="4192" spans="1:10" ht="14.25" customHeight="1" x14ac:dyDescent="0.3">
      <c r="A4192" s="1">
        <v>44960</v>
      </c>
      <c r="B4192" s="2" t="s">
        <v>77</v>
      </c>
      <c r="C4192" s="2" t="s">
        <v>25</v>
      </c>
      <c r="D4192" s="2" t="s">
        <v>26</v>
      </c>
      <c r="E4192" s="2" t="s">
        <v>27</v>
      </c>
      <c r="F4192" s="2">
        <v>866.4</v>
      </c>
      <c r="G4192" s="2">
        <v>4</v>
      </c>
      <c r="H4192" s="2">
        <v>225.26</v>
      </c>
      <c r="I4192" t="str">
        <f t="shared" si="65"/>
        <v>Feb</v>
      </c>
      <c r="J4192">
        <f>YEAR(datas[[#This Row],[Order Date]])</f>
        <v>2023</v>
      </c>
    </row>
    <row r="4193" spans="1:10" ht="14.25" customHeight="1" x14ac:dyDescent="0.3">
      <c r="A4193" s="1">
        <v>44961</v>
      </c>
      <c r="B4193" s="2" t="s">
        <v>534</v>
      </c>
      <c r="C4193" s="2" t="s">
        <v>55</v>
      </c>
      <c r="D4193" s="2" t="s">
        <v>26</v>
      </c>
      <c r="E4193" s="2" t="s">
        <v>32</v>
      </c>
      <c r="F4193" s="2">
        <v>14.37</v>
      </c>
      <c r="G4193" s="2">
        <v>2</v>
      </c>
      <c r="H4193" s="2">
        <v>3.95</v>
      </c>
      <c r="I4193" t="str">
        <f t="shared" si="65"/>
        <v>Feb</v>
      </c>
      <c r="J4193">
        <f>YEAR(datas[[#This Row],[Order Date]])</f>
        <v>2023</v>
      </c>
    </row>
    <row r="4194" spans="1:10" ht="14.25" customHeight="1" x14ac:dyDescent="0.3">
      <c r="A4194" s="1">
        <v>44961</v>
      </c>
      <c r="B4194" s="2" t="s">
        <v>459</v>
      </c>
      <c r="C4194" s="2" t="s">
        <v>215</v>
      </c>
      <c r="D4194" s="2" t="s">
        <v>28</v>
      </c>
      <c r="E4194" s="2" t="s">
        <v>29</v>
      </c>
      <c r="F4194" s="2">
        <v>90.48</v>
      </c>
      <c r="G4194" s="2">
        <v>2</v>
      </c>
      <c r="H4194" s="2">
        <v>23.52</v>
      </c>
      <c r="I4194" t="str">
        <f t="shared" si="65"/>
        <v>Feb</v>
      </c>
      <c r="J4194">
        <f>YEAR(datas[[#This Row],[Order Date]])</f>
        <v>2023</v>
      </c>
    </row>
    <row r="4195" spans="1:10" ht="14.25" customHeight="1" x14ac:dyDescent="0.3">
      <c r="A4195" s="1">
        <v>44961</v>
      </c>
      <c r="B4195" s="2" t="s">
        <v>474</v>
      </c>
      <c r="C4195" s="2" t="s">
        <v>21</v>
      </c>
      <c r="D4195" s="2" t="s">
        <v>10</v>
      </c>
      <c r="E4195" s="2" t="s">
        <v>15</v>
      </c>
      <c r="F4195" s="2">
        <v>93.02</v>
      </c>
      <c r="G4195" s="2">
        <v>2</v>
      </c>
      <c r="H4195" s="2">
        <v>3.72</v>
      </c>
      <c r="I4195" t="str">
        <f t="shared" si="65"/>
        <v>Feb</v>
      </c>
      <c r="J4195">
        <f>YEAR(datas[[#This Row],[Order Date]])</f>
        <v>2023</v>
      </c>
    </row>
    <row r="4196" spans="1:10" ht="14.25" customHeight="1" x14ac:dyDescent="0.3">
      <c r="A4196" s="1">
        <v>44962</v>
      </c>
      <c r="B4196" s="2" t="s">
        <v>437</v>
      </c>
      <c r="C4196" s="2" t="s">
        <v>23</v>
      </c>
      <c r="D4196" s="2" t="s">
        <v>10</v>
      </c>
      <c r="E4196" s="2" t="s">
        <v>15</v>
      </c>
      <c r="F4196" s="2">
        <v>80.98</v>
      </c>
      <c r="G4196" s="2">
        <v>1</v>
      </c>
      <c r="H4196" s="2">
        <v>1.62</v>
      </c>
      <c r="I4196" t="str">
        <f t="shared" si="65"/>
        <v>Feb</v>
      </c>
      <c r="J4196">
        <f>YEAR(datas[[#This Row],[Order Date]])</f>
        <v>2023</v>
      </c>
    </row>
    <row r="4197" spans="1:10" ht="14.25" customHeight="1" x14ac:dyDescent="0.3">
      <c r="A4197" s="1">
        <v>44962</v>
      </c>
      <c r="B4197" s="2" t="s">
        <v>437</v>
      </c>
      <c r="C4197" s="2" t="s">
        <v>23</v>
      </c>
      <c r="D4197" s="2" t="s">
        <v>10</v>
      </c>
      <c r="E4197" s="2" t="s">
        <v>11</v>
      </c>
      <c r="F4197" s="2">
        <v>348.84</v>
      </c>
      <c r="G4197" s="2">
        <v>9</v>
      </c>
      <c r="H4197" s="2">
        <v>170.93</v>
      </c>
      <c r="I4197" t="str">
        <f t="shared" si="65"/>
        <v>Feb</v>
      </c>
      <c r="J4197">
        <f>YEAR(datas[[#This Row],[Order Date]])</f>
        <v>2023</v>
      </c>
    </row>
    <row r="4198" spans="1:10" ht="14.25" customHeight="1" x14ac:dyDescent="0.3">
      <c r="A4198" s="1">
        <v>44962</v>
      </c>
      <c r="B4198" s="2" t="s">
        <v>437</v>
      </c>
      <c r="C4198" s="2" t="s">
        <v>23</v>
      </c>
      <c r="D4198" s="2" t="s">
        <v>10</v>
      </c>
      <c r="E4198" s="2" t="s">
        <v>30</v>
      </c>
      <c r="F4198" s="2">
        <v>9.4499999999999993</v>
      </c>
      <c r="G4198" s="2">
        <v>5</v>
      </c>
      <c r="H4198" s="2">
        <v>0.19</v>
      </c>
      <c r="I4198" t="str">
        <f t="shared" si="65"/>
        <v>Feb</v>
      </c>
      <c r="J4198">
        <f>YEAR(datas[[#This Row],[Order Date]])</f>
        <v>2023</v>
      </c>
    </row>
    <row r="4199" spans="1:10" ht="14.25" customHeight="1" x14ac:dyDescent="0.3">
      <c r="A4199" s="1">
        <v>44962</v>
      </c>
      <c r="B4199" s="2" t="s">
        <v>437</v>
      </c>
      <c r="C4199" s="2" t="s">
        <v>23</v>
      </c>
      <c r="D4199" s="2" t="s">
        <v>26</v>
      </c>
      <c r="E4199" s="2" t="s">
        <v>32</v>
      </c>
      <c r="F4199" s="2">
        <v>18.84</v>
      </c>
      <c r="G4199" s="2">
        <v>3</v>
      </c>
      <c r="H4199" s="2">
        <v>7.16</v>
      </c>
      <c r="I4199" t="str">
        <f t="shared" si="65"/>
        <v>Feb</v>
      </c>
      <c r="J4199">
        <f>YEAR(datas[[#This Row],[Order Date]])</f>
        <v>2023</v>
      </c>
    </row>
    <row r="4200" spans="1:10" ht="14.25" customHeight="1" x14ac:dyDescent="0.3">
      <c r="A4200" s="1">
        <v>44962</v>
      </c>
      <c r="B4200" s="2" t="s">
        <v>437</v>
      </c>
      <c r="C4200" s="2" t="s">
        <v>23</v>
      </c>
      <c r="D4200" s="2" t="s">
        <v>26</v>
      </c>
      <c r="E4200" s="2" t="s">
        <v>45</v>
      </c>
      <c r="F4200" s="2">
        <v>239.98</v>
      </c>
      <c r="G4200" s="2">
        <v>2</v>
      </c>
      <c r="H4200" s="2">
        <v>52.8</v>
      </c>
      <c r="I4200" t="str">
        <f t="shared" si="65"/>
        <v>Feb</v>
      </c>
      <c r="J4200">
        <f>YEAR(datas[[#This Row],[Order Date]])</f>
        <v>2023</v>
      </c>
    </row>
    <row r="4201" spans="1:10" ht="14.25" customHeight="1" x14ac:dyDescent="0.3">
      <c r="A4201" s="1">
        <v>44962</v>
      </c>
      <c r="B4201" s="2" t="s">
        <v>437</v>
      </c>
      <c r="C4201" s="2" t="s">
        <v>23</v>
      </c>
      <c r="D4201" s="2" t="s">
        <v>10</v>
      </c>
      <c r="E4201" s="2" t="s">
        <v>41</v>
      </c>
      <c r="F4201" s="2">
        <v>167.96</v>
      </c>
      <c r="G4201" s="2">
        <v>2</v>
      </c>
      <c r="H4201" s="2">
        <v>78.94</v>
      </c>
      <c r="I4201" t="str">
        <f t="shared" si="65"/>
        <v>Feb</v>
      </c>
      <c r="J4201">
        <f>YEAR(datas[[#This Row],[Order Date]])</f>
        <v>2023</v>
      </c>
    </row>
    <row r="4202" spans="1:10" ht="14.25" customHeight="1" x14ac:dyDescent="0.3">
      <c r="A4202" s="1">
        <v>44962</v>
      </c>
      <c r="B4202" s="2" t="s">
        <v>437</v>
      </c>
      <c r="C4202" s="2" t="s">
        <v>23</v>
      </c>
      <c r="D4202" s="2" t="s">
        <v>28</v>
      </c>
      <c r="E4202" s="2" t="s">
        <v>29</v>
      </c>
      <c r="F4202" s="2">
        <v>104.85</v>
      </c>
      <c r="G4202" s="2">
        <v>3</v>
      </c>
      <c r="H4202" s="2">
        <v>28.31</v>
      </c>
      <c r="I4202" t="str">
        <f t="shared" si="65"/>
        <v>Feb</v>
      </c>
      <c r="J4202">
        <f>YEAR(datas[[#This Row],[Order Date]])</f>
        <v>2023</v>
      </c>
    </row>
    <row r="4203" spans="1:10" ht="14.25" customHeight="1" x14ac:dyDescent="0.3">
      <c r="A4203" s="1">
        <v>44962</v>
      </c>
      <c r="B4203" s="2" t="s">
        <v>437</v>
      </c>
      <c r="C4203" s="2" t="s">
        <v>23</v>
      </c>
      <c r="D4203" s="2" t="s">
        <v>28</v>
      </c>
      <c r="E4203" s="2" t="s">
        <v>29</v>
      </c>
      <c r="F4203" s="2">
        <v>484.83</v>
      </c>
      <c r="G4203" s="2">
        <v>3</v>
      </c>
      <c r="H4203" s="2">
        <v>126.06</v>
      </c>
      <c r="I4203" t="str">
        <f t="shared" si="65"/>
        <v>Feb</v>
      </c>
      <c r="J4203">
        <f>YEAR(datas[[#This Row],[Order Date]])</f>
        <v>2023</v>
      </c>
    </row>
    <row r="4204" spans="1:10" ht="14.25" customHeight="1" x14ac:dyDescent="0.3">
      <c r="A4204" s="1">
        <v>44962</v>
      </c>
      <c r="B4204" s="2" t="s">
        <v>437</v>
      </c>
      <c r="C4204" s="2" t="s">
        <v>23</v>
      </c>
      <c r="D4204" s="2" t="s">
        <v>10</v>
      </c>
      <c r="E4204" s="2" t="s">
        <v>11</v>
      </c>
      <c r="F4204" s="2">
        <v>122.97</v>
      </c>
      <c r="G4204" s="2">
        <v>3</v>
      </c>
      <c r="H4204" s="2">
        <v>60.26</v>
      </c>
      <c r="I4204" t="str">
        <f t="shared" si="65"/>
        <v>Feb</v>
      </c>
      <c r="J4204">
        <f>YEAR(datas[[#This Row],[Order Date]])</f>
        <v>2023</v>
      </c>
    </row>
    <row r="4205" spans="1:10" ht="14.25" customHeight="1" x14ac:dyDescent="0.3">
      <c r="A4205" s="1">
        <v>44962</v>
      </c>
      <c r="B4205" s="2" t="s">
        <v>437</v>
      </c>
      <c r="C4205" s="2" t="s">
        <v>23</v>
      </c>
      <c r="D4205" s="2" t="s">
        <v>10</v>
      </c>
      <c r="E4205" s="2" t="s">
        <v>15</v>
      </c>
      <c r="F4205" s="2">
        <v>154.44</v>
      </c>
      <c r="G4205" s="2">
        <v>3</v>
      </c>
      <c r="H4205" s="2">
        <v>1.54</v>
      </c>
      <c r="I4205" t="str">
        <f t="shared" si="65"/>
        <v>Feb</v>
      </c>
      <c r="J4205">
        <f>YEAR(datas[[#This Row],[Order Date]])</f>
        <v>2023</v>
      </c>
    </row>
    <row r="4206" spans="1:10" ht="14.25" customHeight="1" x14ac:dyDescent="0.3">
      <c r="A4206" s="1">
        <v>44962</v>
      </c>
      <c r="B4206" s="2" t="s">
        <v>437</v>
      </c>
      <c r="C4206" s="2" t="s">
        <v>23</v>
      </c>
      <c r="D4206" s="2" t="s">
        <v>10</v>
      </c>
      <c r="E4206" s="2" t="s">
        <v>11</v>
      </c>
      <c r="F4206" s="2">
        <v>342.37</v>
      </c>
      <c r="G4206" s="2">
        <v>7</v>
      </c>
      <c r="H4206" s="2">
        <v>160.91</v>
      </c>
      <c r="I4206" t="str">
        <f t="shared" si="65"/>
        <v>Feb</v>
      </c>
      <c r="J4206">
        <f>YEAR(datas[[#This Row],[Order Date]])</f>
        <v>2023</v>
      </c>
    </row>
    <row r="4207" spans="1:10" ht="14.25" customHeight="1" x14ac:dyDescent="0.3">
      <c r="A4207" s="1">
        <v>44962</v>
      </c>
      <c r="B4207" s="2" t="s">
        <v>142</v>
      </c>
      <c r="C4207" s="2" t="s">
        <v>21</v>
      </c>
      <c r="D4207" s="2" t="s">
        <v>10</v>
      </c>
      <c r="E4207" s="2" t="s">
        <v>14</v>
      </c>
      <c r="F4207" s="2">
        <v>14.73</v>
      </c>
      <c r="G4207" s="2">
        <v>3</v>
      </c>
      <c r="H4207" s="2">
        <v>7.22</v>
      </c>
      <c r="I4207" t="str">
        <f t="shared" si="65"/>
        <v>Feb</v>
      </c>
      <c r="J4207">
        <f>YEAR(datas[[#This Row],[Order Date]])</f>
        <v>2023</v>
      </c>
    </row>
    <row r="4208" spans="1:10" ht="14.25" customHeight="1" x14ac:dyDescent="0.3">
      <c r="A4208" s="1">
        <v>44962</v>
      </c>
      <c r="B4208" s="2" t="s">
        <v>142</v>
      </c>
      <c r="C4208" s="2" t="s">
        <v>21</v>
      </c>
      <c r="D4208" s="2" t="s">
        <v>10</v>
      </c>
      <c r="E4208" s="2" t="s">
        <v>15</v>
      </c>
      <c r="F4208" s="2">
        <v>186.54</v>
      </c>
      <c r="G4208" s="2">
        <v>3</v>
      </c>
      <c r="H4208" s="2">
        <v>50.37</v>
      </c>
      <c r="I4208" t="str">
        <f t="shared" si="65"/>
        <v>Feb</v>
      </c>
      <c r="J4208">
        <f>YEAR(datas[[#This Row],[Order Date]])</f>
        <v>2023</v>
      </c>
    </row>
    <row r="4209" spans="1:10" ht="14.25" customHeight="1" x14ac:dyDescent="0.3">
      <c r="A4209" s="1">
        <v>44962</v>
      </c>
      <c r="B4209" s="2" t="s">
        <v>142</v>
      </c>
      <c r="C4209" s="2" t="s">
        <v>21</v>
      </c>
      <c r="D4209" s="2" t="s">
        <v>26</v>
      </c>
      <c r="E4209" s="2" t="s">
        <v>73</v>
      </c>
      <c r="F4209" s="2">
        <v>557.73</v>
      </c>
      <c r="G4209" s="2">
        <v>4</v>
      </c>
      <c r="H4209" s="2">
        <v>6.97</v>
      </c>
      <c r="I4209" t="str">
        <f t="shared" si="65"/>
        <v>Feb</v>
      </c>
      <c r="J4209">
        <f>YEAR(datas[[#This Row],[Order Date]])</f>
        <v>2023</v>
      </c>
    </row>
    <row r="4210" spans="1:10" ht="14.25" customHeight="1" x14ac:dyDescent="0.3">
      <c r="A4210" s="1">
        <v>44962</v>
      </c>
      <c r="B4210" s="2" t="s">
        <v>142</v>
      </c>
      <c r="C4210" s="2" t="s">
        <v>21</v>
      </c>
      <c r="D4210" s="2" t="s">
        <v>28</v>
      </c>
      <c r="E4210" s="2" t="s">
        <v>29</v>
      </c>
      <c r="F4210" s="2">
        <v>159.97</v>
      </c>
      <c r="G4210" s="2">
        <v>4</v>
      </c>
      <c r="H4210" s="2">
        <v>-31.99</v>
      </c>
      <c r="I4210" t="str">
        <f t="shared" si="65"/>
        <v>Feb</v>
      </c>
      <c r="J4210">
        <f>YEAR(datas[[#This Row],[Order Date]])</f>
        <v>2023</v>
      </c>
    </row>
    <row r="4211" spans="1:10" ht="14.25" customHeight="1" x14ac:dyDescent="0.3">
      <c r="A4211" s="1">
        <v>44963</v>
      </c>
      <c r="B4211" s="2" t="s">
        <v>178</v>
      </c>
      <c r="C4211" s="2" t="s">
        <v>62</v>
      </c>
      <c r="D4211" s="2" t="s">
        <v>26</v>
      </c>
      <c r="E4211" s="2" t="s">
        <v>32</v>
      </c>
      <c r="F4211" s="2">
        <v>132.22</v>
      </c>
      <c r="G4211" s="2">
        <v>4</v>
      </c>
      <c r="H4211" s="2">
        <v>-18.18</v>
      </c>
      <c r="I4211" t="str">
        <f t="shared" si="65"/>
        <v>Feb</v>
      </c>
      <c r="J4211">
        <f>YEAR(datas[[#This Row],[Order Date]])</f>
        <v>2023</v>
      </c>
    </row>
    <row r="4212" spans="1:10" ht="14.25" customHeight="1" x14ac:dyDescent="0.3">
      <c r="A4212" s="1">
        <v>44964</v>
      </c>
      <c r="B4212" s="2" t="s">
        <v>160</v>
      </c>
      <c r="C4212" s="2" t="s">
        <v>36</v>
      </c>
      <c r="D4212" s="2" t="s">
        <v>28</v>
      </c>
      <c r="E4212" s="2" t="s">
        <v>34</v>
      </c>
      <c r="F4212" s="2">
        <v>100</v>
      </c>
      <c r="G4212" s="2">
        <v>4</v>
      </c>
      <c r="H4212" s="2">
        <v>21</v>
      </c>
      <c r="I4212" t="str">
        <f t="shared" si="65"/>
        <v>Feb</v>
      </c>
      <c r="J4212">
        <f>YEAR(datas[[#This Row],[Order Date]])</f>
        <v>2023</v>
      </c>
    </row>
    <row r="4213" spans="1:10" ht="14.25" customHeight="1" x14ac:dyDescent="0.3">
      <c r="A4213" s="1">
        <v>44964</v>
      </c>
      <c r="B4213" s="2" t="s">
        <v>160</v>
      </c>
      <c r="C4213" s="2" t="s">
        <v>36</v>
      </c>
      <c r="D4213" s="2" t="s">
        <v>10</v>
      </c>
      <c r="E4213" s="2" t="s">
        <v>14</v>
      </c>
      <c r="F4213" s="2">
        <v>7.83</v>
      </c>
      <c r="G4213" s="2">
        <v>3</v>
      </c>
      <c r="H4213" s="2">
        <v>3.6</v>
      </c>
      <c r="I4213" t="str">
        <f t="shared" si="65"/>
        <v>Feb</v>
      </c>
      <c r="J4213">
        <f>YEAR(datas[[#This Row],[Order Date]])</f>
        <v>2023</v>
      </c>
    </row>
    <row r="4214" spans="1:10" ht="14.25" customHeight="1" x14ac:dyDescent="0.3">
      <c r="A4214" s="1">
        <v>44964</v>
      </c>
      <c r="B4214" s="2" t="s">
        <v>811</v>
      </c>
      <c r="C4214" s="2" t="s">
        <v>47</v>
      </c>
      <c r="D4214" s="2" t="s">
        <v>10</v>
      </c>
      <c r="E4214" s="2" t="s">
        <v>11</v>
      </c>
      <c r="F4214" s="2">
        <v>30.35</v>
      </c>
      <c r="G4214" s="2">
        <v>2</v>
      </c>
      <c r="H4214" s="2">
        <v>10.62</v>
      </c>
      <c r="I4214" t="str">
        <f t="shared" si="65"/>
        <v>Feb</v>
      </c>
      <c r="J4214">
        <f>YEAR(datas[[#This Row],[Order Date]])</f>
        <v>2023</v>
      </c>
    </row>
    <row r="4215" spans="1:10" ht="14.25" customHeight="1" x14ac:dyDescent="0.3">
      <c r="A4215" s="1">
        <v>44964</v>
      </c>
      <c r="B4215" s="2" t="s">
        <v>806</v>
      </c>
      <c r="C4215" s="2" t="s">
        <v>21</v>
      </c>
      <c r="D4215" s="2" t="s">
        <v>28</v>
      </c>
      <c r="E4215" s="2" t="s">
        <v>29</v>
      </c>
      <c r="F4215" s="2">
        <v>623.96</v>
      </c>
      <c r="G4215" s="2">
        <v>5</v>
      </c>
      <c r="H4215" s="2">
        <v>39</v>
      </c>
      <c r="I4215" t="str">
        <f t="shared" si="65"/>
        <v>Feb</v>
      </c>
      <c r="J4215">
        <f>YEAR(datas[[#This Row],[Order Date]])</f>
        <v>2023</v>
      </c>
    </row>
    <row r="4216" spans="1:10" ht="14.25" customHeight="1" x14ac:dyDescent="0.3">
      <c r="A4216" s="1">
        <v>44965</v>
      </c>
      <c r="B4216" s="2" t="s">
        <v>735</v>
      </c>
      <c r="C4216" s="2" t="s">
        <v>115</v>
      </c>
      <c r="D4216" s="2" t="s">
        <v>28</v>
      </c>
      <c r="E4216" s="2" t="s">
        <v>29</v>
      </c>
      <c r="F4216" s="2">
        <v>1127.98</v>
      </c>
      <c r="G4216" s="2">
        <v>3</v>
      </c>
      <c r="H4216" s="2">
        <v>126.9</v>
      </c>
      <c r="I4216" t="str">
        <f t="shared" si="65"/>
        <v>Feb</v>
      </c>
      <c r="J4216">
        <f>YEAR(datas[[#This Row],[Order Date]])</f>
        <v>2023</v>
      </c>
    </row>
    <row r="4217" spans="1:10" ht="14.25" customHeight="1" x14ac:dyDescent="0.3">
      <c r="A4217" s="1">
        <v>44965</v>
      </c>
      <c r="B4217" s="2" t="s">
        <v>84</v>
      </c>
      <c r="C4217" s="2" t="s">
        <v>9</v>
      </c>
      <c r="D4217" s="2" t="s">
        <v>26</v>
      </c>
      <c r="E4217" s="2" t="s">
        <v>27</v>
      </c>
      <c r="F4217" s="2">
        <v>241.5</v>
      </c>
      <c r="G4217" s="2">
        <v>4</v>
      </c>
      <c r="H4217" s="2">
        <v>0</v>
      </c>
      <c r="I4217" t="str">
        <f t="shared" si="65"/>
        <v>Feb</v>
      </c>
      <c r="J4217">
        <f>YEAR(datas[[#This Row],[Order Date]])</f>
        <v>2023</v>
      </c>
    </row>
    <row r="4218" spans="1:10" ht="14.25" customHeight="1" x14ac:dyDescent="0.3">
      <c r="A4218" s="1">
        <v>44966</v>
      </c>
      <c r="B4218" s="2" t="s">
        <v>764</v>
      </c>
      <c r="C4218" s="2" t="s">
        <v>21</v>
      </c>
      <c r="D4218" s="2" t="s">
        <v>28</v>
      </c>
      <c r="E4218" s="2" t="s">
        <v>34</v>
      </c>
      <c r="F4218" s="2">
        <v>89.97</v>
      </c>
      <c r="G4218" s="2">
        <v>3</v>
      </c>
      <c r="H4218" s="2">
        <v>39.590000000000003</v>
      </c>
      <c r="I4218" t="str">
        <f t="shared" si="65"/>
        <v>Feb</v>
      </c>
      <c r="J4218">
        <f>YEAR(datas[[#This Row],[Order Date]])</f>
        <v>2023</v>
      </c>
    </row>
    <row r="4219" spans="1:10" ht="14.25" customHeight="1" x14ac:dyDescent="0.3">
      <c r="A4219" s="1">
        <v>44966</v>
      </c>
      <c r="B4219" s="2" t="s">
        <v>764</v>
      </c>
      <c r="C4219" s="2" t="s">
        <v>21</v>
      </c>
      <c r="D4219" s="2" t="s">
        <v>28</v>
      </c>
      <c r="E4219" s="2" t="s">
        <v>34</v>
      </c>
      <c r="F4219" s="2">
        <v>31.86</v>
      </c>
      <c r="G4219" s="2">
        <v>2</v>
      </c>
      <c r="H4219" s="2">
        <v>11.15</v>
      </c>
      <c r="I4219" t="str">
        <f t="shared" si="65"/>
        <v>Feb</v>
      </c>
      <c r="J4219">
        <f>YEAR(datas[[#This Row],[Order Date]])</f>
        <v>2023</v>
      </c>
    </row>
    <row r="4220" spans="1:10" ht="14.25" customHeight="1" x14ac:dyDescent="0.3">
      <c r="A4220" s="1">
        <v>44968</v>
      </c>
      <c r="B4220" s="2" t="s">
        <v>604</v>
      </c>
      <c r="C4220" s="2" t="s">
        <v>329</v>
      </c>
      <c r="D4220" s="2" t="s">
        <v>28</v>
      </c>
      <c r="E4220" s="2" t="s">
        <v>29</v>
      </c>
      <c r="F4220" s="2">
        <v>69.930000000000007</v>
      </c>
      <c r="G4220" s="2">
        <v>7</v>
      </c>
      <c r="H4220" s="2">
        <v>0.7</v>
      </c>
      <c r="I4220" t="str">
        <f t="shared" si="65"/>
        <v>Feb</v>
      </c>
      <c r="J4220">
        <f>YEAR(datas[[#This Row],[Order Date]])</f>
        <v>2023</v>
      </c>
    </row>
    <row r="4221" spans="1:10" ht="14.25" customHeight="1" x14ac:dyDescent="0.3">
      <c r="A4221" s="1">
        <v>44969</v>
      </c>
      <c r="B4221" s="2" t="s">
        <v>204</v>
      </c>
      <c r="C4221" s="2" t="s">
        <v>23</v>
      </c>
      <c r="D4221" s="2" t="s">
        <v>10</v>
      </c>
      <c r="E4221" s="2" t="s">
        <v>15</v>
      </c>
      <c r="F4221" s="2">
        <v>1350.12</v>
      </c>
      <c r="G4221" s="2">
        <v>6</v>
      </c>
      <c r="H4221" s="2">
        <v>175.52</v>
      </c>
      <c r="I4221" t="str">
        <f t="shared" si="65"/>
        <v>Feb</v>
      </c>
      <c r="J4221">
        <f>YEAR(datas[[#This Row],[Order Date]])</f>
        <v>2023</v>
      </c>
    </row>
    <row r="4222" spans="1:10" ht="14.25" customHeight="1" x14ac:dyDescent="0.3">
      <c r="A4222" s="1">
        <v>44969</v>
      </c>
      <c r="B4222" s="2" t="s">
        <v>204</v>
      </c>
      <c r="C4222" s="2" t="s">
        <v>23</v>
      </c>
      <c r="D4222" s="2" t="s">
        <v>10</v>
      </c>
      <c r="E4222" s="2" t="s">
        <v>16</v>
      </c>
      <c r="F4222" s="2">
        <v>15.92</v>
      </c>
      <c r="G4222" s="2">
        <v>4</v>
      </c>
      <c r="H4222" s="2">
        <v>7.48</v>
      </c>
      <c r="I4222" t="str">
        <f t="shared" si="65"/>
        <v>Feb</v>
      </c>
      <c r="J4222">
        <f>YEAR(datas[[#This Row],[Order Date]])</f>
        <v>2023</v>
      </c>
    </row>
    <row r="4223" spans="1:10" ht="14.25" customHeight="1" x14ac:dyDescent="0.3">
      <c r="A4223" s="1">
        <v>44970</v>
      </c>
      <c r="B4223" s="2" t="s">
        <v>547</v>
      </c>
      <c r="C4223" s="2" t="s">
        <v>21</v>
      </c>
      <c r="D4223" s="2" t="s">
        <v>10</v>
      </c>
      <c r="E4223" s="2" t="s">
        <v>11</v>
      </c>
      <c r="F4223" s="2">
        <v>146.82</v>
      </c>
      <c r="G4223" s="2">
        <v>3</v>
      </c>
      <c r="H4223" s="2">
        <v>73.41</v>
      </c>
      <c r="I4223" t="str">
        <f t="shared" si="65"/>
        <v>Feb</v>
      </c>
      <c r="J4223">
        <f>YEAR(datas[[#This Row],[Order Date]])</f>
        <v>2023</v>
      </c>
    </row>
    <row r="4224" spans="1:10" ht="14.25" customHeight="1" x14ac:dyDescent="0.3">
      <c r="A4224" s="1">
        <v>44971</v>
      </c>
      <c r="B4224" s="2" t="s">
        <v>682</v>
      </c>
      <c r="C4224" s="2" t="s">
        <v>215</v>
      </c>
      <c r="D4224" s="2" t="s">
        <v>10</v>
      </c>
      <c r="E4224" s="2" t="s">
        <v>11</v>
      </c>
      <c r="F4224" s="2">
        <v>4.7699999999999996</v>
      </c>
      <c r="G4224" s="2">
        <v>1</v>
      </c>
      <c r="H4224" s="2">
        <v>2.15</v>
      </c>
      <c r="I4224" t="str">
        <f t="shared" si="65"/>
        <v>Feb</v>
      </c>
      <c r="J4224">
        <f>YEAR(datas[[#This Row],[Order Date]])</f>
        <v>2023</v>
      </c>
    </row>
    <row r="4225" spans="1:10" ht="14.25" customHeight="1" x14ac:dyDescent="0.3">
      <c r="A4225" s="1">
        <v>44971</v>
      </c>
      <c r="B4225" s="2" t="s">
        <v>682</v>
      </c>
      <c r="C4225" s="2" t="s">
        <v>215</v>
      </c>
      <c r="D4225" s="2" t="s">
        <v>10</v>
      </c>
      <c r="E4225" s="2" t="s">
        <v>19</v>
      </c>
      <c r="F4225" s="2">
        <v>7.98</v>
      </c>
      <c r="G4225" s="2">
        <v>3</v>
      </c>
      <c r="H4225" s="2">
        <v>2.0699999999999998</v>
      </c>
      <c r="I4225" t="str">
        <f t="shared" si="65"/>
        <v>Feb</v>
      </c>
      <c r="J4225">
        <f>YEAR(datas[[#This Row],[Order Date]])</f>
        <v>2023</v>
      </c>
    </row>
    <row r="4226" spans="1:10" ht="14.25" customHeight="1" x14ac:dyDescent="0.3">
      <c r="A4226" s="1">
        <v>44971</v>
      </c>
      <c r="B4226" s="2" t="s">
        <v>682</v>
      </c>
      <c r="C4226" s="2" t="s">
        <v>215</v>
      </c>
      <c r="D4226" s="2" t="s">
        <v>26</v>
      </c>
      <c r="E4226" s="2" t="s">
        <v>73</v>
      </c>
      <c r="F4226" s="2">
        <v>550.42999999999995</v>
      </c>
      <c r="G4226" s="2">
        <v>3</v>
      </c>
      <c r="H4226" s="2">
        <v>-47.18</v>
      </c>
      <c r="I4226" t="str">
        <f t="shared" si="65"/>
        <v>Feb</v>
      </c>
      <c r="J4226">
        <f>YEAR(datas[[#This Row],[Order Date]])</f>
        <v>2023</v>
      </c>
    </row>
    <row r="4227" spans="1:10" ht="14.25" customHeight="1" x14ac:dyDescent="0.3">
      <c r="A4227" s="1">
        <v>44971</v>
      </c>
      <c r="B4227" s="2" t="s">
        <v>682</v>
      </c>
      <c r="C4227" s="2" t="s">
        <v>215</v>
      </c>
      <c r="D4227" s="2" t="s">
        <v>26</v>
      </c>
      <c r="E4227" s="2" t="s">
        <v>32</v>
      </c>
      <c r="F4227" s="2">
        <v>10.56</v>
      </c>
      <c r="G4227" s="2">
        <v>6</v>
      </c>
      <c r="H4227" s="2">
        <v>4.6500000000000004</v>
      </c>
      <c r="I4227" t="str">
        <f t="shared" ref="I4227:I4290" si="66">TEXT(A4227,"mmm")</f>
        <v>Feb</v>
      </c>
      <c r="J4227">
        <f>YEAR(datas[[#This Row],[Order Date]])</f>
        <v>2023</v>
      </c>
    </row>
    <row r="4228" spans="1:10" ht="14.25" customHeight="1" x14ac:dyDescent="0.3">
      <c r="A4228" s="1">
        <v>44971</v>
      </c>
      <c r="B4228" s="2" t="s">
        <v>740</v>
      </c>
      <c r="C4228" s="2" t="s">
        <v>143</v>
      </c>
      <c r="D4228" s="2" t="s">
        <v>10</v>
      </c>
      <c r="E4228" s="2" t="s">
        <v>19</v>
      </c>
      <c r="F4228" s="2">
        <v>264.18</v>
      </c>
      <c r="G4228" s="2">
        <v>7</v>
      </c>
      <c r="H4228" s="2">
        <v>68.69</v>
      </c>
      <c r="I4228" t="str">
        <f t="shared" si="66"/>
        <v>Feb</v>
      </c>
      <c r="J4228">
        <f>YEAR(datas[[#This Row],[Order Date]])</f>
        <v>2023</v>
      </c>
    </row>
    <row r="4229" spans="1:10" ht="14.25" customHeight="1" x14ac:dyDescent="0.3">
      <c r="A4229" s="1">
        <v>44972</v>
      </c>
      <c r="B4229" s="2" t="s">
        <v>256</v>
      </c>
      <c r="C4229" s="2" t="s">
        <v>75</v>
      </c>
      <c r="D4229" s="2" t="s">
        <v>10</v>
      </c>
      <c r="E4229" s="2" t="s">
        <v>16</v>
      </c>
      <c r="F4229" s="2">
        <v>398.35</v>
      </c>
      <c r="G4229" s="2">
        <v>3</v>
      </c>
      <c r="H4229" s="2">
        <v>124.49</v>
      </c>
      <c r="I4229" t="str">
        <f t="shared" si="66"/>
        <v>Feb</v>
      </c>
      <c r="J4229">
        <f>YEAR(datas[[#This Row],[Order Date]])</f>
        <v>2023</v>
      </c>
    </row>
    <row r="4230" spans="1:10" ht="14.25" customHeight="1" x14ac:dyDescent="0.3">
      <c r="A4230" s="1">
        <v>44972</v>
      </c>
      <c r="B4230" s="2" t="s">
        <v>256</v>
      </c>
      <c r="C4230" s="2" t="s">
        <v>75</v>
      </c>
      <c r="D4230" s="2" t="s">
        <v>10</v>
      </c>
      <c r="E4230" s="2" t="s">
        <v>30</v>
      </c>
      <c r="F4230" s="2">
        <v>8.7200000000000006</v>
      </c>
      <c r="G4230" s="2">
        <v>4</v>
      </c>
      <c r="H4230" s="2">
        <v>3.58</v>
      </c>
      <c r="I4230" t="str">
        <f t="shared" si="66"/>
        <v>Feb</v>
      </c>
      <c r="J4230">
        <f>YEAR(datas[[#This Row],[Order Date]])</f>
        <v>2023</v>
      </c>
    </row>
    <row r="4231" spans="1:10" ht="14.25" customHeight="1" x14ac:dyDescent="0.3">
      <c r="A4231" s="1">
        <v>44973</v>
      </c>
      <c r="B4231" s="2" t="s">
        <v>471</v>
      </c>
      <c r="C4231" s="2" t="s">
        <v>13</v>
      </c>
      <c r="D4231" s="2" t="s">
        <v>10</v>
      </c>
      <c r="E4231" s="2" t="s">
        <v>53</v>
      </c>
      <c r="F4231" s="2">
        <v>92.06</v>
      </c>
      <c r="G4231" s="2">
        <v>6</v>
      </c>
      <c r="H4231" s="2">
        <v>-225.56</v>
      </c>
      <c r="I4231" t="str">
        <f t="shared" si="66"/>
        <v>Feb</v>
      </c>
      <c r="J4231">
        <f>YEAR(datas[[#This Row],[Order Date]])</f>
        <v>2023</v>
      </c>
    </row>
    <row r="4232" spans="1:10" ht="14.25" customHeight="1" x14ac:dyDescent="0.3">
      <c r="A4232" s="1">
        <v>44973</v>
      </c>
      <c r="B4232" s="2" t="s">
        <v>471</v>
      </c>
      <c r="C4232" s="2" t="s">
        <v>13</v>
      </c>
      <c r="D4232" s="2" t="s">
        <v>10</v>
      </c>
      <c r="E4232" s="2" t="s">
        <v>30</v>
      </c>
      <c r="F4232" s="2">
        <v>6.98</v>
      </c>
      <c r="G4232" s="2">
        <v>4</v>
      </c>
      <c r="H4232" s="2">
        <v>1.83</v>
      </c>
      <c r="I4232" t="str">
        <f t="shared" si="66"/>
        <v>Feb</v>
      </c>
      <c r="J4232">
        <f>YEAR(datas[[#This Row],[Order Date]])</f>
        <v>2023</v>
      </c>
    </row>
    <row r="4233" spans="1:10" ht="14.25" customHeight="1" x14ac:dyDescent="0.3">
      <c r="A4233" s="1">
        <v>44973</v>
      </c>
      <c r="B4233" s="2" t="s">
        <v>471</v>
      </c>
      <c r="C4233" s="2" t="s">
        <v>13</v>
      </c>
      <c r="D4233" s="2" t="s">
        <v>26</v>
      </c>
      <c r="E4233" s="2" t="s">
        <v>27</v>
      </c>
      <c r="F4233" s="2">
        <v>62.96</v>
      </c>
      <c r="G4233" s="2">
        <v>3</v>
      </c>
      <c r="H4233" s="2">
        <v>-2.7</v>
      </c>
      <c r="I4233" t="str">
        <f t="shared" si="66"/>
        <v>Feb</v>
      </c>
      <c r="J4233">
        <f>YEAR(datas[[#This Row],[Order Date]])</f>
        <v>2023</v>
      </c>
    </row>
    <row r="4234" spans="1:10" ht="14.25" customHeight="1" x14ac:dyDescent="0.3">
      <c r="A4234" s="1">
        <v>44973</v>
      </c>
      <c r="B4234" s="2" t="s">
        <v>471</v>
      </c>
      <c r="C4234" s="2" t="s">
        <v>13</v>
      </c>
      <c r="D4234" s="2" t="s">
        <v>10</v>
      </c>
      <c r="E4234" s="2" t="s">
        <v>11</v>
      </c>
      <c r="F4234" s="2">
        <v>5.18</v>
      </c>
      <c r="G4234" s="2">
        <v>1</v>
      </c>
      <c r="H4234" s="2">
        <v>1.81</v>
      </c>
      <c r="I4234" t="str">
        <f t="shared" si="66"/>
        <v>Feb</v>
      </c>
      <c r="J4234">
        <f>YEAR(datas[[#This Row],[Order Date]])</f>
        <v>2023</v>
      </c>
    </row>
    <row r="4235" spans="1:10" ht="14.25" customHeight="1" x14ac:dyDescent="0.3">
      <c r="A4235" s="1">
        <v>44973</v>
      </c>
      <c r="B4235" s="2" t="s">
        <v>700</v>
      </c>
      <c r="C4235" s="2" t="s">
        <v>87</v>
      </c>
      <c r="D4235" s="2" t="s">
        <v>26</v>
      </c>
      <c r="E4235" s="2" t="s">
        <v>27</v>
      </c>
      <c r="F4235" s="2">
        <v>227.96</v>
      </c>
      <c r="G4235" s="2">
        <v>2</v>
      </c>
      <c r="H4235" s="2">
        <v>36.47</v>
      </c>
      <c r="I4235" t="str">
        <f t="shared" si="66"/>
        <v>Feb</v>
      </c>
      <c r="J4235">
        <f>YEAR(datas[[#This Row],[Order Date]])</f>
        <v>2023</v>
      </c>
    </row>
    <row r="4236" spans="1:10" ht="14.25" customHeight="1" x14ac:dyDescent="0.3">
      <c r="A4236" s="1">
        <v>44973</v>
      </c>
      <c r="B4236" s="2" t="s">
        <v>111</v>
      </c>
      <c r="C4236" s="2" t="s">
        <v>25</v>
      </c>
      <c r="D4236" s="2" t="s">
        <v>26</v>
      </c>
      <c r="E4236" s="2" t="s">
        <v>32</v>
      </c>
      <c r="F4236" s="2">
        <v>318.08</v>
      </c>
      <c r="G4236" s="2">
        <v>4</v>
      </c>
      <c r="H4236" s="2">
        <v>34.99</v>
      </c>
      <c r="I4236" t="str">
        <f t="shared" si="66"/>
        <v>Feb</v>
      </c>
      <c r="J4236">
        <f>YEAR(datas[[#This Row],[Order Date]])</f>
        <v>2023</v>
      </c>
    </row>
    <row r="4237" spans="1:10" ht="14.25" customHeight="1" x14ac:dyDescent="0.3">
      <c r="A4237" s="1">
        <v>44973</v>
      </c>
      <c r="B4237" s="2" t="s">
        <v>111</v>
      </c>
      <c r="C4237" s="2" t="s">
        <v>25</v>
      </c>
      <c r="D4237" s="2" t="s">
        <v>10</v>
      </c>
      <c r="E4237" s="2" t="s">
        <v>16</v>
      </c>
      <c r="F4237" s="2">
        <v>5.8</v>
      </c>
      <c r="G4237" s="2">
        <v>1</v>
      </c>
      <c r="H4237" s="2">
        <v>2.61</v>
      </c>
      <c r="I4237" t="str">
        <f t="shared" si="66"/>
        <v>Feb</v>
      </c>
      <c r="J4237">
        <f>YEAR(datas[[#This Row],[Order Date]])</f>
        <v>2023</v>
      </c>
    </row>
    <row r="4238" spans="1:10" ht="14.25" customHeight="1" x14ac:dyDescent="0.3">
      <c r="A4238" s="1">
        <v>44973</v>
      </c>
      <c r="B4238" s="2" t="s">
        <v>524</v>
      </c>
      <c r="C4238" s="2" t="s">
        <v>75</v>
      </c>
      <c r="D4238" s="2" t="s">
        <v>26</v>
      </c>
      <c r="E4238" s="2" t="s">
        <v>27</v>
      </c>
      <c r="F4238" s="2">
        <v>326.64999999999998</v>
      </c>
      <c r="G4238" s="2">
        <v>3</v>
      </c>
      <c r="H4238" s="2">
        <v>39.92</v>
      </c>
      <c r="I4238" t="str">
        <f t="shared" si="66"/>
        <v>Feb</v>
      </c>
      <c r="J4238">
        <f>YEAR(datas[[#This Row],[Order Date]])</f>
        <v>2023</v>
      </c>
    </row>
    <row r="4239" spans="1:10" ht="14.25" customHeight="1" x14ac:dyDescent="0.3">
      <c r="A4239" s="1">
        <v>44973</v>
      </c>
      <c r="B4239" s="2" t="s">
        <v>524</v>
      </c>
      <c r="C4239" s="2" t="s">
        <v>75</v>
      </c>
      <c r="D4239" s="2" t="s">
        <v>28</v>
      </c>
      <c r="E4239" s="2" t="s">
        <v>34</v>
      </c>
      <c r="F4239" s="2">
        <v>89.97</v>
      </c>
      <c r="G4239" s="2">
        <v>3</v>
      </c>
      <c r="H4239" s="2">
        <v>39.590000000000003</v>
      </c>
      <c r="I4239" t="str">
        <f t="shared" si="66"/>
        <v>Feb</v>
      </c>
      <c r="J4239">
        <f>YEAR(datas[[#This Row],[Order Date]])</f>
        <v>2023</v>
      </c>
    </row>
    <row r="4240" spans="1:10" ht="14.25" customHeight="1" x14ac:dyDescent="0.3">
      <c r="A4240" s="1">
        <v>44976</v>
      </c>
      <c r="B4240" s="2" t="s">
        <v>284</v>
      </c>
      <c r="C4240" s="2" t="s">
        <v>75</v>
      </c>
      <c r="D4240" s="2" t="s">
        <v>26</v>
      </c>
      <c r="E4240" s="2" t="s">
        <v>32</v>
      </c>
      <c r="F4240" s="2">
        <v>44.46</v>
      </c>
      <c r="G4240" s="2">
        <v>2</v>
      </c>
      <c r="H4240" s="2">
        <v>14.67</v>
      </c>
      <c r="I4240" t="str">
        <f t="shared" si="66"/>
        <v>Feb</v>
      </c>
      <c r="J4240">
        <f>YEAR(datas[[#This Row],[Order Date]])</f>
        <v>2023</v>
      </c>
    </row>
    <row r="4241" spans="1:10" ht="14.25" customHeight="1" x14ac:dyDescent="0.3">
      <c r="A4241" s="1">
        <v>44976</v>
      </c>
      <c r="B4241" s="2" t="s">
        <v>284</v>
      </c>
      <c r="C4241" s="2" t="s">
        <v>75</v>
      </c>
      <c r="D4241" s="2" t="s">
        <v>10</v>
      </c>
      <c r="E4241" s="2" t="s">
        <v>15</v>
      </c>
      <c r="F4241" s="2">
        <v>242.94</v>
      </c>
      <c r="G4241" s="2">
        <v>3</v>
      </c>
      <c r="H4241" s="2">
        <v>9.7200000000000006</v>
      </c>
      <c r="I4241" t="str">
        <f t="shared" si="66"/>
        <v>Feb</v>
      </c>
      <c r="J4241">
        <f>YEAR(datas[[#This Row],[Order Date]])</f>
        <v>2023</v>
      </c>
    </row>
    <row r="4242" spans="1:10" ht="14.25" customHeight="1" x14ac:dyDescent="0.3">
      <c r="A4242" s="1">
        <v>44976</v>
      </c>
      <c r="B4242" s="2" t="s">
        <v>86</v>
      </c>
      <c r="C4242" s="2" t="s">
        <v>75</v>
      </c>
      <c r="D4242" s="2" t="s">
        <v>10</v>
      </c>
      <c r="E4242" s="2" t="s">
        <v>14</v>
      </c>
      <c r="F4242" s="2">
        <v>8.67</v>
      </c>
      <c r="G4242" s="2">
        <v>3</v>
      </c>
      <c r="H4242" s="2">
        <v>4.07</v>
      </c>
      <c r="I4242" t="str">
        <f t="shared" si="66"/>
        <v>Feb</v>
      </c>
      <c r="J4242">
        <f>YEAR(datas[[#This Row],[Order Date]])</f>
        <v>2023</v>
      </c>
    </row>
    <row r="4243" spans="1:10" ht="14.25" customHeight="1" x14ac:dyDescent="0.3">
      <c r="A4243" s="1">
        <v>44976</v>
      </c>
      <c r="B4243" s="2" t="s">
        <v>86</v>
      </c>
      <c r="C4243" s="2" t="s">
        <v>75</v>
      </c>
      <c r="D4243" s="2" t="s">
        <v>10</v>
      </c>
      <c r="E4243" s="2" t="s">
        <v>95</v>
      </c>
      <c r="F4243" s="2">
        <v>25.71</v>
      </c>
      <c r="G4243" s="2">
        <v>3</v>
      </c>
      <c r="H4243" s="2">
        <v>6.68</v>
      </c>
      <c r="I4243" t="str">
        <f t="shared" si="66"/>
        <v>Feb</v>
      </c>
      <c r="J4243">
        <f>YEAR(datas[[#This Row],[Order Date]])</f>
        <v>2023</v>
      </c>
    </row>
    <row r="4244" spans="1:10" ht="14.25" customHeight="1" x14ac:dyDescent="0.3">
      <c r="A4244" s="1">
        <v>44976</v>
      </c>
      <c r="B4244" s="2" t="s">
        <v>284</v>
      </c>
      <c r="C4244" s="2" t="s">
        <v>21</v>
      </c>
      <c r="D4244" s="2" t="s">
        <v>10</v>
      </c>
      <c r="E4244" s="2" t="s">
        <v>11</v>
      </c>
      <c r="F4244" s="2">
        <v>70.88</v>
      </c>
      <c r="G4244" s="2">
        <v>2</v>
      </c>
      <c r="H4244" s="2">
        <v>33.31</v>
      </c>
      <c r="I4244" t="str">
        <f t="shared" si="66"/>
        <v>Feb</v>
      </c>
      <c r="J4244">
        <f>YEAR(datas[[#This Row],[Order Date]])</f>
        <v>2023</v>
      </c>
    </row>
    <row r="4245" spans="1:10" ht="14.25" customHeight="1" x14ac:dyDescent="0.3">
      <c r="A4245" s="1">
        <v>44977</v>
      </c>
      <c r="B4245" s="2" t="s">
        <v>617</v>
      </c>
      <c r="C4245" s="2" t="s">
        <v>62</v>
      </c>
      <c r="D4245" s="2" t="s">
        <v>10</v>
      </c>
      <c r="E4245" s="2" t="s">
        <v>11</v>
      </c>
      <c r="F4245" s="2">
        <v>16.5</v>
      </c>
      <c r="G4245" s="2">
        <v>2</v>
      </c>
      <c r="H4245" s="2">
        <v>5.57</v>
      </c>
      <c r="I4245" t="str">
        <f t="shared" si="66"/>
        <v>Feb</v>
      </c>
      <c r="J4245">
        <f>YEAR(datas[[#This Row],[Order Date]])</f>
        <v>2023</v>
      </c>
    </row>
    <row r="4246" spans="1:10" ht="14.25" customHeight="1" x14ac:dyDescent="0.3">
      <c r="A4246" s="1">
        <v>44978</v>
      </c>
      <c r="B4246" s="2" t="s">
        <v>615</v>
      </c>
      <c r="C4246" s="2" t="s">
        <v>21</v>
      </c>
      <c r="D4246" s="2" t="s">
        <v>28</v>
      </c>
      <c r="E4246" s="2" t="s">
        <v>34</v>
      </c>
      <c r="F4246" s="2">
        <v>12.99</v>
      </c>
      <c r="G4246" s="2">
        <v>1</v>
      </c>
      <c r="H4246" s="2">
        <v>0.78</v>
      </c>
      <c r="I4246" t="str">
        <f t="shared" si="66"/>
        <v>Feb</v>
      </c>
      <c r="J4246">
        <f>YEAR(datas[[#This Row],[Order Date]])</f>
        <v>2023</v>
      </c>
    </row>
    <row r="4247" spans="1:10" ht="14.25" customHeight="1" x14ac:dyDescent="0.3">
      <c r="A4247" s="1">
        <v>44978</v>
      </c>
      <c r="B4247" s="2" t="s">
        <v>615</v>
      </c>
      <c r="C4247" s="2" t="s">
        <v>21</v>
      </c>
      <c r="D4247" s="2" t="s">
        <v>10</v>
      </c>
      <c r="E4247" s="2" t="s">
        <v>16</v>
      </c>
      <c r="F4247" s="2">
        <v>18.559999999999999</v>
      </c>
      <c r="G4247" s="2">
        <v>4</v>
      </c>
      <c r="H4247" s="2">
        <v>6.5</v>
      </c>
      <c r="I4247" t="str">
        <f t="shared" si="66"/>
        <v>Feb</v>
      </c>
      <c r="J4247">
        <f>YEAR(datas[[#This Row],[Order Date]])</f>
        <v>2023</v>
      </c>
    </row>
    <row r="4248" spans="1:10" ht="14.25" customHeight="1" x14ac:dyDescent="0.3">
      <c r="A4248" s="1">
        <v>44978</v>
      </c>
      <c r="B4248" s="2" t="s">
        <v>615</v>
      </c>
      <c r="C4248" s="2" t="s">
        <v>21</v>
      </c>
      <c r="D4248" s="2" t="s">
        <v>10</v>
      </c>
      <c r="E4248" s="2" t="s">
        <v>15</v>
      </c>
      <c r="F4248" s="2">
        <v>449.15</v>
      </c>
      <c r="G4248" s="2">
        <v>5</v>
      </c>
      <c r="H4248" s="2">
        <v>8.98</v>
      </c>
      <c r="I4248" t="str">
        <f t="shared" si="66"/>
        <v>Feb</v>
      </c>
      <c r="J4248">
        <f>YEAR(datas[[#This Row],[Order Date]])</f>
        <v>2023</v>
      </c>
    </row>
    <row r="4249" spans="1:10" ht="14.25" customHeight="1" x14ac:dyDescent="0.3">
      <c r="A4249" s="1">
        <v>44978</v>
      </c>
      <c r="B4249" s="2" t="s">
        <v>615</v>
      </c>
      <c r="C4249" s="2" t="s">
        <v>21</v>
      </c>
      <c r="D4249" s="2" t="s">
        <v>10</v>
      </c>
      <c r="E4249" s="2" t="s">
        <v>16</v>
      </c>
      <c r="F4249" s="2">
        <v>31.25</v>
      </c>
      <c r="G4249" s="2">
        <v>7</v>
      </c>
      <c r="H4249" s="2">
        <v>10.94</v>
      </c>
      <c r="I4249" t="str">
        <f t="shared" si="66"/>
        <v>Feb</v>
      </c>
      <c r="J4249">
        <f>YEAR(datas[[#This Row],[Order Date]])</f>
        <v>2023</v>
      </c>
    </row>
    <row r="4250" spans="1:10" ht="14.25" customHeight="1" x14ac:dyDescent="0.3">
      <c r="A4250" s="1">
        <v>44978</v>
      </c>
      <c r="B4250" s="2" t="s">
        <v>697</v>
      </c>
      <c r="C4250" s="2" t="s">
        <v>75</v>
      </c>
      <c r="D4250" s="2" t="s">
        <v>26</v>
      </c>
      <c r="E4250" s="2" t="s">
        <v>32</v>
      </c>
      <c r="F4250" s="2">
        <v>68.95</v>
      </c>
      <c r="G4250" s="2">
        <v>5</v>
      </c>
      <c r="H4250" s="2">
        <v>28.96</v>
      </c>
      <c r="I4250" t="str">
        <f t="shared" si="66"/>
        <v>Feb</v>
      </c>
      <c r="J4250">
        <f>YEAR(datas[[#This Row],[Order Date]])</f>
        <v>2023</v>
      </c>
    </row>
    <row r="4251" spans="1:10" ht="14.25" customHeight="1" x14ac:dyDescent="0.3">
      <c r="A4251" s="1">
        <v>44978</v>
      </c>
      <c r="B4251" s="2" t="s">
        <v>697</v>
      </c>
      <c r="C4251" s="2" t="s">
        <v>75</v>
      </c>
      <c r="D4251" s="2" t="s">
        <v>10</v>
      </c>
      <c r="E4251" s="2" t="s">
        <v>15</v>
      </c>
      <c r="F4251" s="2">
        <v>296.37</v>
      </c>
      <c r="G4251" s="2">
        <v>3</v>
      </c>
      <c r="H4251" s="2">
        <v>80.02</v>
      </c>
      <c r="I4251" t="str">
        <f t="shared" si="66"/>
        <v>Feb</v>
      </c>
      <c r="J4251">
        <f>YEAR(datas[[#This Row],[Order Date]])</f>
        <v>2023</v>
      </c>
    </row>
    <row r="4252" spans="1:10" ht="14.25" customHeight="1" x14ac:dyDescent="0.3">
      <c r="A4252" s="1">
        <v>44978</v>
      </c>
      <c r="B4252" s="2" t="s">
        <v>697</v>
      </c>
      <c r="C4252" s="2" t="s">
        <v>75</v>
      </c>
      <c r="D4252" s="2" t="s">
        <v>28</v>
      </c>
      <c r="E4252" s="2" t="s">
        <v>29</v>
      </c>
      <c r="F4252" s="2">
        <v>39.979999999999997</v>
      </c>
      <c r="G4252" s="2">
        <v>2</v>
      </c>
      <c r="H4252" s="2">
        <v>2</v>
      </c>
      <c r="I4252" t="str">
        <f t="shared" si="66"/>
        <v>Feb</v>
      </c>
      <c r="J4252">
        <f>YEAR(datas[[#This Row],[Order Date]])</f>
        <v>2023</v>
      </c>
    </row>
    <row r="4253" spans="1:10" ht="14.25" customHeight="1" x14ac:dyDescent="0.3">
      <c r="A4253" s="1">
        <v>44978</v>
      </c>
      <c r="B4253" s="2" t="s">
        <v>679</v>
      </c>
      <c r="C4253" s="2" t="s">
        <v>64</v>
      </c>
      <c r="D4253" s="2" t="s">
        <v>10</v>
      </c>
      <c r="E4253" s="2" t="s">
        <v>16</v>
      </c>
      <c r="F4253" s="2">
        <v>3.76</v>
      </c>
      <c r="G4253" s="2">
        <v>3</v>
      </c>
      <c r="H4253" s="2">
        <v>-2.76</v>
      </c>
      <c r="I4253" t="str">
        <f t="shared" si="66"/>
        <v>Feb</v>
      </c>
      <c r="J4253">
        <f>YEAR(datas[[#This Row],[Order Date]])</f>
        <v>2023</v>
      </c>
    </row>
    <row r="4254" spans="1:10" ht="14.25" customHeight="1" x14ac:dyDescent="0.3">
      <c r="A4254" s="1">
        <v>44978</v>
      </c>
      <c r="B4254" s="2" t="s">
        <v>679</v>
      </c>
      <c r="C4254" s="2" t="s">
        <v>64</v>
      </c>
      <c r="D4254" s="2" t="s">
        <v>10</v>
      </c>
      <c r="E4254" s="2" t="s">
        <v>16</v>
      </c>
      <c r="F4254" s="2">
        <v>34.86</v>
      </c>
      <c r="G4254" s="2">
        <v>2</v>
      </c>
      <c r="H4254" s="2">
        <v>-26.73</v>
      </c>
      <c r="I4254" t="str">
        <f t="shared" si="66"/>
        <v>Feb</v>
      </c>
      <c r="J4254">
        <f>YEAR(datas[[#This Row],[Order Date]])</f>
        <v>2023</v>
      </c>
    </row>
    <row r="4255" spans="1:10" ht="14.25" customHeight="1" x14ac:dyDescent="0.3">
      <c r="A4255" s="1">
        <v>44978</v>
      </c>
      <c r="B4255" s="2" t="s">
        <v>679</v>
      </c>
      <c r="C4255" s="2" t="s">
        <v>64</v>
      </c>
      <c r="D4255" s="2" t="s">
        <v>10</v>
      </c>
      <c r="E4255" s="2" t="s">
        <v>15</v>
      </c>
      <c r="F4255" s="2">
        <v>432.46</v>
      </c>
      <c r="G4255" s="2">
        <v>3</v>
      </c>
      <c r="H4255" s="2">
        <v>32.43</v>
      </c>
      <c r="I4255" t="str">
        <f t="shared" si="66"/>
        <v>Feb</v>
      </c>
      <c r="J4255">
        <f>YEAR(datas[[#This Row],[Order Date]])</f>
        <v>2023</v>
      </c>
    </row>
    <row r="4256" spans="1:10" ht="14.25" customHeight="1" x14ac:dyDescent="0.3">
      <c r="A4256" s="1">
        <v>44978</v>
      </c>
      <c r="B4256" s="2" t="s">
        <v>471</v>
      </c>
      <c r="C4256" s="2" t="s">
        <v>75</v>
      </c>
      <c r="D4256" s="2" t="s">
        <v>26</v>
      </c>
      <c r="E4256" s="2" t="s">
        <v>32</v>
      </c>
      <c r="F4256" s="2">
        <v>135.80000000000001</v>
      </c>
      <c r="G4256" s="2">
        <v>7</v>
      </c>
      <c r="H4256" s="2">
        <v>66.540000000000006</v>
      </c>
      <c r="I4256" t="str">
        <f t="shared" si="66"/>
        <v>Feb</v>
      </c>
      <c r="J4256">
        <f>YEAR(datas[[#This Row],[Order Date]])</f>
        <v>2023</v>
      </c>
    </row>
    <row r="4257" spans="1:10" ht="14.25" customHeight="1" x14ac:dyDescent="0.3">
      <c r="A4257" s="1">
        <v>44979</v>
      </c>
      <c r="B4257" s="2" t="s">
        <v>366</v>
      </c>
      <c r="C4257" s="2" t="s">
        <v>79</v>
      </c>
      <c r="D4257" s="2" t="s">
        <v>10</v>
      </c>
      <c r="E4257" s="2" t="s">
        <v>53</v>
      </c>
      <c r="F4257" s="2">
        <v>490.32</v>
      </c>
      <c r="G4257" s="2">
        <v>9</v>
      </c>
      <c r="H4257" s="2">
        <v>137.29</v>
      </c>
      <c r="I4257" t="str">
        <f t="shared" si="66"/>
        <v>Feb</v>
      </c>
      <c r="J4257">
        <f>YEAR(datas[[#This Row],[Order Date]])</f>
        <v>2023</v>
      </c>
    </row>
    <row r="4258" spans="1:10" ht="14.25" customHeight="1" x14ac:dyDescent="0.3">
      <c r="A4258" s="1">
        <v>44979</v>
      </c>
      <c r="B4258" s="2" t="s">
        <v>573</v>
      </c>
      <c r="C4258" s="2" t="s">
        <v>21</v>
      </c>
      <c r="D4258" s="2" t="s">
        <v>28</v>
      </c>
      <c r="E4258" s="2" t="s">
        <v>29</v>
      </c>
      <c r="F4258" s="2">
        <v>445.96</v>
      </c>
      <c r="G4258" s="2">
        <v>5</v>
      </c>
      <c r="H4258" s="2">
        <v>55.75</v>
      </c>
      <c r="I4258" t="str">
        <f t="shared" si="66"/>
        <v>Feb</v>
      </c>
      <c r="J4258">
        <f>YEAR(datas[[#This Row],[Order Date]])</f>
        <v>2023</v>
      </c>
    </row>
    <row r="4259" spans="1:10" ht="14.25" customHeight="1" x14ac:dyDescent="0.3">
      <c r="A4259" s="1">
        <v>44979</v>
      </c>
      <c r="B4259" s="2" t="s">
        <v>573</v>
      </c>
      <c r="C4259" s="2" t="s">
        <v>21</v>
      </c>
      <c r="D4259" s="2" t="s">
        <v>28</v>
      </c>
      <c r="E4259" s="2" t="s">
        <v>34</v>
      </c>
      <c r="F4259" s="2">
        <v>36.24</v>
      </c>
      <c r="G4259" s="2">
        <v>1</v>
      </c>
      <c r="H4259" s="2">
        <v>15.22</v>
      </c>
      <c r="I4259" t="str">
        <f t="shared" si="66"/>
        <v>Feb</v>
      </c>
      <c r="J4259">
        <f>YEAR(datas[[#This Row],[Order Date]])</f>
        <v>2023</v>
      </c>
    </row>
    <row r="4260" spans="1:10" ht="14.25" customHeight="1" x14ac:dyDescent="0.3">
      <c r="A4260" s="1">
        <v>44979</v>
      </c>
      <c r="B4260" s="2" t="s">
        <v>573</v>
      </c>
      <c r="C4260" s="2" t="s">
        <v>21</v>
      </c>
      <c r="D4260" s="2" t="s">
        <v>10</v>
      </c>
      <c r="E4260" s="2" t="s">
        <v>30</v>
      </c>
      <c r="F4260" s="2">
        <v>10.65</v>
      </c>
      <c r="G4260" s="2">
        <v>3</v>
      </c>
      <c r="H4260" s="2">
        <v>5.01</v>
      </c>
      <c r="I4260" t="str">
        <f t="shared" si="66"/>
        <v>Feb</v>
      </c>
      <c r="J4260">
        <f>YEAR(datas[[#This Row],[Order Date]])</f>
        <v>2023</v>
      </c>
    </row>
    <row r="4261" spans="1:10" ht="14.25" customHeight="1" x14ac:dyDescent="0.3">
      <c r="A4261" s="1">
        <v>44980</v>
      </c>
      <c r="B4261" s="2" t="s">
        <v>364</v>
      </c>
      <c r="C4261" s="2" t="s">
        <v>18</v>
      </c>
      <c r="D4261" s="2" t="s">
        <v>10</v>
      </c>
      <c r="E4261" s="2" t="s">
        <v>41</v>
      </c>
      <c r="F4261" s="2">
        <v>57.58</v>
      </c>
      <c r="G4261" s="2">
        <v>3</v>
      </c>
      <c r="H4261" s="2">
        <v>21.59</v>
      </c>
      <c r="I4261" t="str">
        <f t="shared" si="66"/>
        <v>Feb</v>
      </c>
      <c r="J4261">
        <f>YEAR(datas[[#This Row],[Order Date]])</f>
        <v>2023</v>
      </c>
    </row>
    <row r="4262" spans="1:10" ht="14.25" customHeight="1" x14ac:dyDescent="0.3">
      <c r="A4262" s="1">
        <v>44982</v>
      </c>
      <c r="B4262" s="2" t="s">
        <v>737</v>
      </c>
      <c r="C4262" s="2" t="s">
        <v>47</v>
      </c>
      <c r="D4262" s="2" t="s">
        <v>10</v>
      </c>
      <c r="E4262" s="2" t="s">
        <v>41</v>
      </c>
      <c r="F4262" s="2">
        <v>46.72</v>
      </c>
      <c r="G4262" s="2">
        <v>5</v>
      </c>
      <c r="H4262" s="2">
        <v>17.52</v>
      </c>
      <c r="I4262" t="str">
        <f t="shared" si="66"/>
        <v>Feb</v>
      </c>
      <c r="J4262">
        <f>YEAR(datas[[#This Row],[Order Date]])</f>
        <v>2023</v>
      </c>
    </row>
    <row r="4263" spans="1:10" ht="14.25" customHeight="1" x14ac:dyDescent="0.3">
      <c r="A4263" s="1">
        <v>44984</v>
      </c>
      <c r="B4263" s="2" t="s">
        <v>343</v>
      </c>
      <c r="C4263" s="2" t="s">
        <v>75</v>
      </c>
      <c r="D4263" s="2" t="s">
        <v>10</v>
      </c>
      <c r="E4263" s="2" t="s">
        <v>53</v>
      </c>
      <c r="F4263" s="2">
        <v>170.88</v>
      </c>
      <c r="G4263" s="2">
        <v>3</v>
      </c>
      <c r="H4263" s="2">
        <v>49.56</v>
      </c>
      <c r="I4263" t="str">
        <f t="shared" si="66"/>
        <v>Feb</v>
      </c>
      <c r="J4263">
        <f>YEAR(datas[[#This Row],[Order Date]])</f>
        <v>2023</v>
      </c>
    </row>
    <row r="4264" spans="1:10" ht="14.25" customHeight="1" x14ac:dyDescent="0.3">
      <c r="A4264" s="1">
        <v>44984</v>
      </c>
      <c r="B4264" s="2" t="s">
        <v>81</v>
      </c>
      <c r="C4264" s="2" t="s">
        <v>79</v>
      </c>
      <c r="D4264" s="2" t="s">
        <v>10</v>
      </c>
      <c r="E4264" s="2" t="s">
        <v>16</v>
      </c>
      <c r="F4264" s="2">
        <v>56.82</v>
      </c>
      <c r="G4264" s="2">
        <v>3</v>
      </c>
      <c r="H4264" s="2">
        <v>28.41</v>
      </c>
      <c r="I4264" t="str">
        <f t="shared" si="66"/>
        <v>Feb</v>
      </c>
      <c r="J4264">
        <f>YEAR(datas[[#This Row],[Order Date]])</f>
        <v>2023</v>
      </c>
    </row>
    <row r="4265" spans="1:10" ht="14.25" customHeight="1" x14ac:dyDescent="0.3">
      <c r="A4265" s="1">
        <v>44984</v>
      </c>
      <c r="B4265" s="2" t="s">
        <v>812</v>
      </c>
      <c r="C4265" s="2" t="s">
        <v>9</v>
      </c>
      <c r="D4265" s="2" t="s">
        <v>26</v>
      </c>
      <c r="E4265" s="2" t="s">
        <v>32</v>
      </c>
      <c r="F4265" s="2">
        <v>16.190000000000001</v>
      </c>
      <c r="G4265" s="2">
        <v>2</v>
      </c>
      <c r="H4265" s="2">
        <v>-6.88</v>
      </c>
      <c r="I4265" t="str">
        <f t="shared" si="66"/>
        <v>Feb</v>
      </c>
      <c r="J4265">
        <f>YEAR(datas[[#This Row],[Order Date]])</f>
        <v>2023</v>
      </c>
    </row>
    <row r="4266" spans="1:10" ht="14.25" customHeight="1" x14ac:dyDescent="0.3">
      <c r="A4266" s="1">
        <v>44985</v>
      </c>
      <c r="B4266" s="2" t="s">
        <v>460</v>
      </c>
      <c r="C4266" s="2" t="s">
        <v>75</v>
      </c>
      <c r="D4266" s="2" t="s">
        <v>10</v>
      </c>
      <c r="E4266" s="2" t="s">
        <v>30</v>
      </c>
      <c r="F4266" s="2">
        <v>36.479999999999997</v>
      </c>
      <c r="G4266" s="2">
        <v>6</v>
      </c>
      <c r="H4266" s="2">
        <v>18.239999999999998</v>
      </c>
      <c r="I4266" t="str">
        <f t="shared" si="66"/>
        <v>Feb</v>
      </c>
      <c r="J4266">
        <f>YEAR(datas[[#This Row],[Order Date]])</f>
        <v>2023</v>
      </c>
    </row>
    <row r="4267" spans="1:10" ht="14.25" customHeight="1" x14ac:dyDescent="0.3">
      <c r="A4267" s="1">
        <v>44986</v>
      </c>
      <c r="B4267" s="2" t="s">
        <v>574</v>
      </c>
      <c r="C4267" s="2" t="s">
        <v>75</v>
      </c>
      <c r="D4267" s="2" t="s">
        <v>26</v>
      </c>
      <c r="E4267" s="2" t="s">
        <v>73</v>
      </c>
      <c r="F4267" s="2">
        <v>836.59</v>
      </c>
      <c r="G4267" s="2">
        <v>8</v>
      </c>
      <c r="H4267" s="2">
        <v>-264.92</v>
      </c>
      <c r="I4267" t="str">
        <f t="shared" si="66"/>
        <v>Mar</v>
      </c>
      <c r="J4267">
        <f>YEAR(datas[[#This Row],[Order Date]])</f>
        <v>2023</v>
      </c>
    </row>
    <row r="4268" spans="1:10" ht="14.25" customHeight="1" x14ac:dyDescent="0.3">
      <c r="A4268" s="1">
        <v>44986</v>
      </c>
      <c r="B4268" s="2" t="s">
        <v>574</v>
      </c>
      <c r="C4268" s="2" t="s">
        <v>75</v>
      </c>
      <c r="D4268" s="2" t="s">
        <v>10</v>
      </c>
      <c r="E4268" s="2" t="s">
        <v>11</v>
      </c>
      <c r="F4268" s="2">
        <v>26.38</v>
      </c>
      <c r="G4268" s="2">
        <v>1</v>
      </c>
      <c r="H4268" s="2">
        <v>12.13</v>
      </c>
      <c r="I4268" t="str">
        <f t="shared" si="66"/>
        <v>Mar</v>
      </c>
      <c r="J4268">
        <f>YEAR(datas[[#This Row],[Order Date]])</f>
        <v>2023</v>
      </c>
    </row>
    <row r="4269" spans="1:10" ht="14.25" customHeight="1" x14ac:dyDescent="0.3">
      <c r="A4269" s="1">
        <v>44986</v>
      </c>
      <c r="B4269" s="2" t="s">
        <v>574</v>
      </c>
      <c r="C4269" s="2" t="s">
        <v>75</v>
      </c>
      <c r="D4269" s="2" t="s">
        <v>10</v>
      </c>
      <c r="E4269" s="2" t="s">
        <v>15</v>
      </c>
      <c r="F4269" s="2">
        <v>362.92</v>
      </c>
      <c r="G4269" s="2">
        <v>2</v>
      </c>
      <c r="H4269" s="2">
        <v>105.25</v>
      </c>
      <c r="I4269" t="str">
        <f t="shared" si="66"/>
        <v>Mar</v>
      </c>
      <c r="J4269">
        <f>YEAR(datas[[#This Row],[Order Date]])</f>
        <v>2023</v>
      </c>
    </row>
    <row r="4270" spans="1:10" ht="14.25" customHeight="1" x14ac:dyDescent="0.3">
      <c r="A4270" s="1">
        <v>44986</v>
      </c>
      <c r="B4270" s="2" t="s">
        <v>574</v>
      </c>
      <c r="C4270" s="2" t="s">
        <v>75</v>
      </c>
      <c r="D4270" s="2" t="s">
        <v>28</v>
      </c>
      <c r="E4270" s="2" t="s">
        <v>136</v>
      </c>
      <c r="F4270" s="2">
        <v>4899.93</v>
      </c>
      <c r="G4270" s="2">
        <v>7</v>
      </c>
      <c r="H4270" s="2">
        <v>2400.9699999999998</v>
      </c>
      <c r="I4270" t="str">
        <f t="shared" si="66"/>
        <v>Mar</v>
      </c>
      <c r="J4270">
        <f>YEAR(datas[[#This Row],[Order Date]])</f>
        <v>2023</v>
      </c>
    </row>
    <row r="4271" spans="1:10" ht="14.25" customHeight="1" x14ac:dyDescent="0.3">
      <c r="A4271" s="1">
        <v>44986</v>
      </c>
      <c r="B4271" s="2" t="s">
        <v>473</v>
      </c>
      <c r="C4271" s="2" t="s">
        <v>126</v>
      </c>
      <c r="D4271" s="2" t="s">
        <v>28</v>
      </c>
      <c r="E4271" s="2" t="s">
        <v>29</v>
      </c>
      <c r="F4271" s="2">
        <v>159.97999999999999</v>
      </c>
      <c r="G4271" s="2">
        <v>2</v>
      </c>
      <c r="H4271" s="2">
        <v>14</v>
      </c>
      <c r="I4271" t="str">
        <f t="shared" si="66"/>
        <v>Mar</v>
      </c>
      <c r="J4271">
        <f>YEAR(datas[[#This Row],[Order Date]])</f>
        <v>2023</v>
      </c>
    </row>
    <row r="4272" spans="1:10" ht="14.25" customHeight="1" x14ac:dyDescent="0.3">
      <c r="A4272" s="1">
        <v>44988</v>
      </c>
      <c r="B4272" s="2" t="s">
        <v>315</v>
      </c>
      <c r="C4272" s="2" t="s">
        <v>38</v>
      </c>
      <c r="D4272" s="2" t="s">
        <v>10</v>
      </c>
      <c r="E4272" s="2" t="s">
        <v>16</v>
      </c>
      <c r="F4272" s="2">
        <v>447.86</v>
      </c>
      <c r="G4272" s="2">
        <v>7</v>
      </c>
      <c r="H4272" s="2">
        <v>219.45</v>
      </c>
      <c r="I4272" t="str">
        <f t="shared" si="66"/>
        <v>Mar</v>
      </c>
      <c r="J4272">
        <f>YEAR(datas[[#This Row],[Order Date]])</f>
        <v>2023</v>
      </c>
    </row>
    <row r="4273" spans="1:10" ht="14.25" customHeight="1" x14ac:dyDescent="0.3">
      <c r="A4273" s="1">
        <v>44988</v>
      </c>
      <c r="B4273" s="2" t="s">
        <v>315</v>
      </c>
      <c r="C4273" s="2" t="s">
        <v>38</v>
      </c>
      <c r="D4273" s="2" t="s">
        <v>28</v>
      </c>
      <c r="E4273" s="2" t="s">
        <v>29</v>
      </c>
      <c r="F4273" s="2">
        <v>479.95</v>
      </c>
      <c r="G4273" s="2">
        <v>5</v>
      </c>
      <c r="H4273" s="2">
        <v>129.59</v>
      </c>
      <c r="I4273" t="str">
        <f t="shared" si="66"/>
        <v>Mar</v>
      </c>
      <c r="J4273">
        <f>YEAR(datas[[#This Row],[Order Date]])</f>
        <v>2023</v>
      </c>
    </row>
    <row r="4274" spans="1:10" ht="14.25" customHeight="1" x14ac:dyDescent="0.3">
      <c r="A4274" s="1">
        <v>44988</v>
      </c>
      <c r="B4274" s="2" t="s">
        <v>315</v>
      </c>
      <c r="C4274" s="2" t="s">
        <v>38</v>
      </c>
      <c r="D4274" s="2" t="s">
        <v>10</v>
      </c>
      <c r="E4274" s="2" t="s">
        <v>11</v>
      </c>
      <c r="F4274" s="2">
        <v>166.44</v>
      </c>
      <c r="G4274" s="2">
        <v>3</v>
      </c>
      <c r="H4274" s="2">
        <v>79.89</v>
      </c>
      <c r="I4274" t="str">
        <f t="shared" si="66"/>
        <v>Mar</v>
      </c>
      <c r="J4274">
        <f>YEAR(datas[[#This Row],[Order Date]])</f>
        <v>2023</v>
      </c>
    </row>
    <row r="4275" spans="1:10" ht="14.25" customHeight="1" x14ac:dyDescent="0.3">
      <c r="A4275" s="1">
        <v>44988</v>
      </c>
      <c r="B4275" s="2" t="s">
        <v>813</v>
      </c>
      <c r="C4275" s="2" t="s">
        <v>9</v>
      </c>
      <c r="D4275" s="2" t="s">
        <v>10</v>
      </c>
      <c r="E4275" s="2" t="s">
        <v>11</v>
      </c>
      <c r="F4275" s="2">
        <v>42.78</v>
      </c>
      <c r="G4275" s="2">
        <v>7</v>
      </c>
      <c r="H4275" s="2">
        <v>15.51</v>
      </c>
      <c r="I4275" t="str">
        <f t="shared" si="66"/>
        <v>Mar</v>
      </c>
      <c r="J4275">
        <f>YEAR(datas[[#This Row],[Order Date]])</f>
        <v>2023</v>
      </c>
    </row>
    <row r="4276" spans="1:10" ht="14.25" customHeight="1" x14ac:dyDescent="0.3">
      <c r="A4276" s="1">
        <v>44988</v>
      </c>
      <c r="B4276" s="2" t="s">
        <v>813</v>
      </c>
      <c r="C4276" s="2" t="s">
        <v>9</v>
      </c>
      <c r="D4276" s="2" t="s">
        <v>26</v>
      </c>
      <c r="E4276" s="2" t="s">
        <v>27</v>
      </c>
      <c r="F4276" s="2">
        <v>563.42999999999995</v>
      </c>
      <c r="G4276" s="2">
        <v>5</v>
      </c>
      <c r="H4276" s="2">
        <v>-56.34</v>
      </c>
      <c r="I4276" t="str">
        <f t="shared" si="66"/>
        <v>Mar</v>
      </c>
      <c r="J4276">
        <f>YEAR(datas[[#This Row],[Order Date]])</f>
        <v>2023</v>
      </c>
    </row>
    <row r="4277" spans="1:10" ht="14.25" customHeight="1" x14ac:dyDescent="0.3">
      <c r="A4277" s="1">
        <v>44988</v>
      </c>
      <c r="B4277" s="2" t="s">
        <v>655</v>
      </c>
      <c r="C4277" s="2" t="s">
        <v>68</v>
      </c>
      <c r="D4277" s="2" t="s">
        <v>28</v>
      </c>
      <c r="E4277" s="2" t="s">
        <v>29</v>
      </c>
      <c r="F4277" s="2">
        <v>134.85</v>
      </c>
      <c r="G4277" s="2">
        <v>3</v>
      </c>
      <c r="H4277" s="2">
        <v>37.76</v>
      </c>
      <c r="I4277" t="str">
        <f t="shared" si="66"/>
        <v>Mar</v>
      </c>
      <c r="J4277">
        <f>YEAR(datas[[#This Row],[Order Date]])</f>
        <v>2023</v>
      </c>
    </row>
    <row r="4278" spans="1:10" ht="14.25" customHeight="1" x14ac:dyDescent="0.3">
      <c r="A4278" s="1">
        <v>44988</v>
      </c>
      <c r="B4278" s="2" t="s">
        <v>463</v>
      </c>
      <c r="C4278" s="2" t="s">
        <v>9</v>
      </c>
      <c r="D4278" s="2" t="s">
        <v>26</v>
      </c>
      <c r="E4278" s="2" t="s">
        <v>73</v>
      </c>
      <c r="F4278" s="2">
        <v>637.9</v>
      </c>
      <c r="G4278" s="2">
        <v>3</v>
      </c>
      <c r="H4278" s="2">
        <v>-127.58</v>
      </c>
      <c r="I4278" t="str">
        <f t="shared" si="66"/>
        <v>Mar</v>
      </c>
      <c r="J4278">
        <f>YEAR(datas[[#This Row],[Order Date]])</f>
        <v>2023</v>
      </c>
    </row>
    <row r="4279" spans="1:10" ht="14.25" customHeight="1" x14ac:dyDescent="0.3">
      <c r="A4279" s="1">
        <v>44988</v>
      </c>
      <c r="B4279" s="2" t="s">
        <v>463</v>
      </c>
      <c r="C4279" s="2" t="s">
        <v>9</v>
      </c>
      <c r="D4279" s="2" t="s">
        <v>28</v>
      </c>
      <c r="E4279" s="2" t="s">
        <v>136</v>
      </c>
      <c r="F4279" s="2">
        <v>287.91000000000003</v>
      </c>
      <c r="G4279" s="2">
        <v>3</v>
      </c>
      <c r="H4279" s="2">
        <v>33.590000000000003</v>
      </c>
      <c r="I4279" t="str">
        <f t="shared" si="66"/>
        <v>Mar</v>
      </c>
      <c r="J4279">
        <f>YEAR(datas[[#This Row],[Order Date]])</f>
        <v>2023</v>
      </c>
    </row>
    <row r="4280" spans="1:10" ht="14.25" customHeight="1" x14ac:dyDescent="0.3">
      <c r="A4280" s="1">
        <v>44988</v>
      </c>
      <c r="B4280" s="2" t="s">
        <v>463</v>
      </c>
      <c r="C4280" s="2" t="s">
        <v>9</v>
      </c>
      <c r="D4280" s="2" t="s">
        <v>10</v>
      </c>
      <c r="E4280" s="2" t="s">
        <v>41</v>
      </c>
      <c r="F4280" s="2">
        <v>36.6</v>
      </c>
      <c r="G4280" s="2">
        <v>3</v>
      </c>
      <c r="H4280" s="2">
        <v>11.9</v>
      </c>
      <c r="I4280" t="str">
        <f t="shared" si="66"/>
        <v>Mar</v>
      </c>
      <c r="J4280">
        <f>YEAR(datas[[#This Row],[Order Date]])</f>
        <v>2023</v>
      </c>
    </row>
    <row r="4281" spans="1:10" ht="14.25" customHeight="1" x14ac:dyDescent="0.3">
      <c r="A4281" s="1">
        <v>44988</v>
      </c>
      <c r="B4281" s="2" t="s">
        <v>225</v>
      </c>
      <c r="C4281" s="2" t="s">
        <v>21</v>
      </c>
      <c r="D4281" s="2" t="s">
        <v>10</v>
      </c>
      <c r="E4281" s="2" t="s">
        <v>95</v>
      </c>
      <c r="F4281" s="2">
        <v>25.35</v>
      </c>
      <c r="G4281" s="2">
        <v>3</v>
      </c>
      <c r="H4281" s="2">
        <v>7.61</v>
      </c>
      <c r="I4281" t="str">
        <f t="shared" si="66"/>
        <v>Mar</v>
      </c>
      <c r="J4281">
        <f>YEAR(datas[[#This Row],[Order Date]])</f>
        <v>2023</v>
      </c>
    </row>
    <row r="4282" spans="1:10" ht="14.25" customHeight="1" x14ac:dyDescent="0.3">
      <c r="A4282" s="1">
        <v>44988</v>
      </c>
      <c r="B4282" s="2" t="s">
        <v>225</v>
      </c>
      <c r="C4282" s="2" t="s">
        <v>21</v>
      </c>
      <c r="D4282" s="2" t="s">
        <v>26</v>
      </c>
      <c r="E4282" s="2" t="s">
        <v>32</v>
      </c>
      <c r="F4282" s="2">
        <v>35.28</v>
      </c>
      <c r="G4282" s="2">
        <v>3</v>
      </c>
      <c r="H4282" s="2">
        <v>12</v>
      </c>
      <c r="I4282" t="str">
        <f t="shared" si="66"/>
        <v>Mar</v>
      </c>
      <c r="J4282">
        <f>YEAR(datas[[#This Row],[Order Date]])</f>
        <v>2023</v>
      </c>
    </row>
    <row r="4283" spans="1:10" ht="14.25" customHeight="1" x14ac:dyDescent="0.3">
      <c r="A4283" s="1">
        <v>44988</v>
      </c>
      <c r="B4283" s="2" t="s">
        <v>175</v>
      </c>
      <c r="C4283" s="2" t="s">
        <v>9</v>
      </c>
      <c r="D4283" s="2" t="s">
        <v>10</v>
      </c>
      <c r="E4283" s="2" t="s">
        <v>95</v>
      </c>
      <c r="F4283" s="2">
        <v>3930.07</v>
      </c>
      <c r="G4283" s="2">
        <v>3</v>
      </c>
      <c r="H4283" s="2">
        <v>-786.01</v>
      </c>
      <c r="I4283" t="str">
        <f t="shared" si="66"/>
        <v>Mar</v>
      </c>
      <c r="J4283">
        <f>YEAR(datas[[#This Row],[Order Date]])</f>
        <v>2023</v>
      </c>
    </row>
    <row r="4284" spans="1:10" ht="14.25" customHeight="1" x14ac:dyDescent="0.3">
      <c r="A4284" s="1">
        <v>44988</v>
      </c>
      <c r="B4284" s="2" t="s">
        <v>175</v>
      </c>
      <c r="C4284" s="2" t="s">
        <v>9</v>
      </c>
      <c r="D4284" s="2" t="s">
        <v>10</v>
      </c>
      <c r="E4284" s="2" t="s">
        <v>30</v>
      </c>
      <c r="F4284" s="2">
        <v>2.2999999999999998</v>
      </c>
      <c r="G4284" s="2">
        <v>1</v>
      </c>
      <c r="H4284" s="2">
        <v>0.78</v>
      </c>
      <c r="I4284" t="str">
        <f t="shared" si="66"/>
        <v>Mar</v>
      </c>
      <c r="J4284">
        <f>YEAR(datas[[#This Row],[Order Date]])</f>
        <v>2023</v>
      </c>
    </row>
    <row r="4285" spans="1:10" ht="14.25" customHeight="1" x14ac:dyDescent="0.3">
      <c r="A4285" s="1">
        <v>44988</v>
      </c>
      <c r="B4285" s="2" t="s">
        <v>175</v>
      </c>
      <c r="C4285" s="2" t="s">
        <v>9</v>
      </c>
      <c r="D4285" s="2" t="s">
        <v>28</v>
      </c>
      <c r="E4285" s="2" t="s">
        <v>29</v>
      </c>
      <c r="F4285" s="2">
        <v>431.98</v>
      </c>
      <c r="G4285" s="2">
        <v>3</v>
      </c>
      <c r="H4285" s="2">
        <v>32.4</v>
      </c>
      <c r="I4285" t="str">
        <f t="shared" si="66"/>
        <v>Mar</v>
      </c>
      <c r="J4285">
        <f>YEAR(datas[[#This Row],[Order Date]])</f>
        <v>2023</v>
      </c>
    </row>
    <row r="4286" spans="1:10" ht="14.25" customHeight="1" x14ac:dyDescent="0.3">
      <c r="A4286" s="1">
        <v>44988</v>
      </c>
      <c r="B4286" s="2" t="s">
        <v>175</v>
      </c>
      <c r="C4286" s="2" t="s">
        <v>9</v>
      </c>
      <c r="D4286" s="2" t="s">
        <v>28</v>
      </c>
      <c r="E4286" s="2" t="s">
        <v>34</v>
      </c>
      <c r="F4286" s="2">
        <v>41.72</v>
      </c>
      <c r="G4286" s="2">
        <v>7</v>
      </c>
      <c r="H4286" s="2">
        <v>5.74</v>
      </c>
      <c r="I4286" t="str">
        <f t="shared" si="66"/>
        <v>Mar</v>
      </c>
      <c r="J4286">
        <f>YEAR(datas[[#This Row],[Order Date]])</f>
        <v>2023</v>
      </c>
    </row>
    <row r="4287" spans="1:10" ht="14.25" customHeight="1" x14ac:dyDescent="0.3">
      <c r="A4287" s="1">
        <v>44989</v>
      </c>
      <c r="B4287" s="2" t="s">
        <v>660</v>
      </c>
      <c r="C4287" s="2" t="s">
        <v>21</v>
      </c>
      <c r="D4287" s="2" t="s">
        <v>10</v>
      </c>
      <c r="E4287" s="2" t="s">
        <v>19</v>
      </c>
      <c r="F4287" s="2">
        <v>16.989999999999998</v>
      </c>
      <c r="G4287" s="2">
        <v>1</v>
      </c>
      <c r="H4287" s="2">
        <v>4.93</v>
      </c>
      <c r="I4287" t="str">
        <f t="shared" si="66"/>
        <v>Mar</v>
      </c>
      <c r="J4287">
        <f>YEAR(datas[[#This Row],[Order Date]])</f>
        <v>2023</v>
      </c>
    </row>
    <row r="4288" spans="1:10" ht="14.25" customHeight="1" x14ac:dyDescent="0.3">
      <c r="A4288" s="1">
        <v>44989</v>
      </c>
      <c r="B4288" s="2" t="s">
        <v>277</v>
      </c>
      <c r="C4288" s="2" t="s">
        <v>64</v>
      </c>
      <c r="D4288" s="2" t="s">
        <v>10</v>
      </c>
      <c r="E4288" s="2" t="s">
        <v>14</v>
      </c>
      <c r="F4288" s="2">
        <v>10.08</v>
      </c>
      <c r="G4288" s="2">
        <v>4</v>
      </c>
      <c r="H4288" s="2">
        <v>3.53</v>
      </c>
      <c r="I4288" t="str">
        <f t="shared" si="66"/>
        <v>Mar</v>
      </c>
      <c r="J4288">
        <f>YEAR(datas[[#This Row],[Order Date]])</f>
        <v>2023</v>
      </c>
    </row>
    <row r="4289" spans="1:10" ht="14.25" customHeight="1" x14ac:dyDescent="0.3">
      <c r="A4289" s="1">
        <v>44989</v>
      </c>
      <c r="B4289" s="2" t="s">
        <v>314</v>
      </c>
      <c r="C4289" s="2" t="s">
        <v>68</v>
      </c>
      <c r="D4289" s="2" t="s">
        <v>10</v>
      </c>
      <c r="E4289" s="2" t="s">
        <v>16</v>
      </c>
      <c r="F4289" s="2">
        <v>128.4</v>
      </c>
      <c r="G4289" s="2">
        <v>3</v>
      </c>
      <c r="H4289" s="2">
        <v>64.2</v>
      </c>
      <c r="I4289" t="str">
        <f t="shared" si="66"/>
        <v>Mar</v>
      </c>
      <c r="J4289">
        <f>YEAR(datas[[#This Row],[Order Date]])</f>
        <v>2023</v>
      </c>
    </row>
    <row r="4290" spans="1:10" ht="14.25" customHeight="1" x14ac:dyDescent="0.3">
      <c r="A4290" s="1">
        <v>44989</v>
      </c>
      <c r="B4290" s="2" t="s">
        <v>727</v>
      </c>
      <c r="C4290" s="2" t="s">
        <v>278</v>
      </c>
      <c r="D4290" s="2" t="s">
        <v>28</v>
      </c>
      <c r="E4290" s="2" t="s">
        <v>34</v>
      </c>
      <c r="F4290" s="2">
        <v>159.97999999999999</v>
      </c>
      <c r="G4290" s="2">
        <v>2</v>
      </c>
      <c r="H4290" s="2">
        <v>57.59</v>
      </c>
      <c r="I4290" t="str">
        <f t="shared" si="66"/>
        <v>Mar</v>
      </c>
      <c r="J4290">
        <f>YEAR(datas[[#This Row],[Order Date]])</f>
        <v>2023</v>
      </c>
    </row>
    <row r="4291" spans="1:10" ht="14.25" customHeight="1" x14ac:dyDescent="0.3">
      <c r="A4291" s="1">
        <v>44990</v>
      </c>
      <c r="B4291" s="2" t="s">
        <v>342</v>
      </c>
      <c r="C4291" s="2" t="s">
        <v>9</v>
      </c>
      <c r="D4291" s="2" t="s">
        <v>10</v>
      </c>
      <c r="E4291" s="2" t="s">
        <v>41</v>
      </c>
      <c r="F4291" s="2">
        <v>149.35</v>
      </c>
      <c r="G4291" s="2">
        <v>3</v>
      </c>
      <c r="H4291" s="2">
        <v>50.41</v>
      </c>
      <c r="I4291" t="str">
        <f t="shared" ref="I4291:I4354" si="67">TEXT(A4291,"mmm")</f>
        <v>Mar</v>
      </c>
      <c r="J4291">
        <f>YEAR(datas[[#This Row],[Order Date]])</f>
        <v>2023</v>
      </c>
    </row>
    <row r="4292" spans="1:10" ht="14.25" customHeight="1" x14ac:dyDescent="0.3">
      <c r="A4292" s="1">
        <v>44990</v>
      </c>
      <c r="B4292" s="2" t="s">
        <v>342</v>
      </c>
      <c r="C4292" s="2" t="s">
        <v>9</v>
      </c>
      <c r="D4292" s="2" t="s">
        <v>10</v>
      </c>
      <c r="E4292" s="2" t="s">
        <v>15</v>
      </c>
      <c r="F4292" s="2">
        <v>12.99</v>
      </c>
      <c r="G4292" s="2">
        <v>1</v>
      </c>
      <c r="H4292" s="2">
        <v>-0.81</v>
      </c>
      <c r="I4292" t="str">
        <f t="shared" si="67"/>
        <v>Mar</v>
      </c>
      <c r="J4292">
        <f>YEAR(datas[[#This Row],[Order Date]])</f>
        <v>2023</v>
      </c>
    </row>
    <row r="4293" spans="1:10" ht="14.25" customHeight="1" x14ac:dyDescent="0.3">
      <c r="A4293" s="1">
        <v>44991</v>
      </c>
      <c r="B4293" s="2" t="s">
        <v>713</v>
      </c>
      <c r="C4293" s="2" t="s">
        <v>18</v>
      </c>
      <c r="D4293" s="2" t="s">
        <v>28</v>
      </c>
      <c r="E4293" s="2" t="s">
        <v>29</v>
      </c>
      <c r="F4293" s="2">
        <v>431.94</v>
      </c>
      <c r="G4293" s="2">
        <v>2</v>
      </c>
      <c r="H4293" s="2">
        <v>-71.989999999999995</v>
      </c>
      <c r="I4293" t="str">
        <f t="shared" si="67"/>
        <v>Mar</v>
      </c>
      <c r="J4293">
        <f>YEAR(datas[[#This Row],[Order Date]])</f>
        <v>2023</v>
      </c>
    </row>
    <row r="4294" spans="1:10" ht="14.25" customHeight="1" x14ac:dyDescent="0.3">
      <c r="A4294" s="1">
        <v>44991</v>
      </c>
      <c r="B4294" s="2" t="s">
        <v>713</v>
      </c>
      <c r="C4294" s="2" t="s">
        <v>18</v>
      </c>
      <c r="D4294" s="2" t="s">
        <v>10</v>
      </c>
      <c r="E4294" s="2" t="s">
        <v>16</v>
      </c>
      <c r="F4294" s="2">
        <v>2.04</v>
      </c>
      <c r="G4294" s="2">
        <v>1</v>
      </c>
      <c r="H4294" s="2">
        <v>-1.5</v>
      </c>
      <c r="I4294" t="str">
        <f t="shared" si="67"/>
        <v>Mar</v>
      </c>
      <c r="J4294">
        <f>YEAR(datas[[#This Row],[Order Date]])</f>
        <v>2023</v>
      </c>
    </row>
    <row r="4295" spans="1:10" ht="14.25" customHeight="1" x14ac:dyDescent="0.3">
      <c r="A4295" s="1">
        <v>44991</v>
      </c>
      <c r="B4295" s="2" t="s">
        <v>713</v>
      </c>
      <c r="C4295" s="2" t="s">
        <v>18</v>
      </c>
      <c r="D4295" s="2" t="s">
        <v>28</v>
      </c>
      <c r="E4295" s="2" t="s">
        <v>29</v>
      </c>
      <c r="F4295" s="2">
        <v>68.239999999999995</v>
      </c>
      <c r="G4295" s="2">
        <v>3</v>
      </c>
      <c r="H4295" s="2">
        <v>-12.51</v>
      </c>
      <c r="I4295" t="str">
        <f t="shared" si="67"/>
        <v>Mar</v>
      </c>
      <c r="J4295">
        <f>YEAR(datas[[#This Row],[Order Date]])</f>
        <v>2023</v>
      </c>
    </row>
    <row r="4296" spans="1:10" ht="14.25" customHeight="1" x14ac:dyDescent="0.3">
      <c r="A4296" s="1">
        <v>44991</v>
      </c>
      <c r="B4296" s="2" t="s">
        <v>714</v>
      </c>
      <c r="C4296" s="2" t="s">
        <v>13</v>
      </c>
      <c r="D4296" s="2" t="s">
        <v>10</v>
      </c>
      <c r="E4296" s="2" t="s">
        <v>53</v>
      </c>
      <c r="F4296" s="2">
        <v>2.33</v>
      </c>
      <c r="G4296" s="2">
        <v>3</v>
      </c>
      <c r="H4296" s="2">
        <v>-6.3</v>
      </c>
      <c r="I4296" t="str">
        <f t="shared" si="67"/>
        <v>Mar</v>
      </c>
      <c r="J4296">
        <f>YEAR(datas[[#This Row],[Order Date]])</f>
        <v>2023</v>
      </c>
    </row>
    <row r="4297" spans="1:10" ht="14.25" customHeight="1" x14ac:dyDescent="0.3">
      <c r="A4297" s="1">
        <v>44991</v>
      </c>
      <c r="B4297" s="2" t="s">
        <v>714</v>
      </c>
      <c r="C4297" s="2" t="s">
        <v>13</v>
      </c>
      <c r="D4297" s="2" t="s">
        <v>10</v>
      </c>
      <c r="E4297" s="2" t="s">
        <v>16</v>
      </c>
      <c r="F4297" s="2">
        <v>1.73</v>
      </c>
      <c r="G4297" s="2">
        <v>4</v>
      </c>
      <c r="H4297" s="2">
        <v>-2.76</v>
      </c>
      <c r="I4297" t="str">
        <f t="shared" si="67"/>
        <v>Mar</v>
      </c>
      <c r="J4297">
        <f>YEAR(datas[[#This Row],[Order Date]])</f>
        <v>2023</v>
      </c>
    </row>
    <row r="4298" spans="1:10" ht="14.25" customHeight="1" x14ac:dyDescent="0.3">
      <c r="A4298" s="1">
        <v>44991</v>
      </c>
      <c r="B4298" s="2" t="s">
        <v>714</v>
      </c>
      <c r="C4298" s="2" t="s">
        <v>13</v>
      </c>
      <c r="D4298" s="2" t="s">
        <v>26</v>
      </c>
      <c r="E4298" s="2" t="s">
        <v>32</v>
      </c>
      <c r="F4298" s="2">
        <v>159.04</v>
      </c>
      <c r="G4298" s="2">
        <v>5</v>
      </c>
      <c r="H4298" s="2">
        <v>-194.82</v>
      </c>
      <c r="I4298" t="str">
        <f t="shared" si="67"/>
        <v>Mar</v>
      </c>
      <c r="J4298">
        <f>YEAR(datas[[#This Row],[Order Date]])</f>
        <v>2023</v>
      </c>
    </row>
    <row r="4299" spans="1:10" ht="14.25" customHeight="1" x14ac:dyDescent="0.3">
      <c r="A4299" s="1">
        <v>44991</v>
      </c>
      <c r="B4299" s="2" t="s">
        <v>714</v>
      </c>
      <c r="C4299" s="2" t="s">
        <v>13</v>
      </c>
      <c r="D4299" s="2" t="s">
        <v>26</v>
      </c>
      <c r="E4299" s="2" t="s">
        <v>73</v>
      </c>
      <c r="F4299" s="2">
        <v>145.97999999999999</v>
      </c>
      <c r="G4299" s="2">
        <v>2</v>
      </c>
      <c r="H4299" s="2">
        <v>-99.27</v>
      </c>
      <c r="I4299" t="str">
        <f t="shared" si="67"/>
        <v>Mar</v>
      </c>
      <c r="J4299">
        <f>YEAR(datas[[#This Row],[Order Date]])</f>
        <v>2023</v>
      </c>
    </row>
    <row r="4300" spans="1:10" ht="14.25" customHeight="1" x14ac:dyDescent="0.3">
      <c r="A4300" s="1">
        <v>44992</v>
      </c>
      <c r="B4300" s="2" t="s">
        <v>358</v>
      </c>
      <c r="C4300" s="2" t="s">
        <v>9</v>
      </c>
      <c r="D4300" s="2" t="s">
        <v>28</v>
      </c>
      <c r="E4300" s="2" t="s">
        <v>29</v>
      </c>
      <c r="F4300" s="2">
        <v>21.07</v>
      </c>
      <c r="G4300" s="2">
        <v>3</v>
      </c>
      <c r="H4300" s="2">
        <v>1.58</v>
      </c>
      <c r="I4300" t="str">
        <f t="shared" si="67"/>
        <v>Mar</v>
      </c>
      <c r="J4300">
        <f>YEAR(datas[[#This Row],[Order Date]])</f>
        <v>2023</v>
      </c>
    </row>
    <row r="4301" spans="1:10" ht="14.25" customHeight="1" x14ac:dyDescent="0.3">
      <c r="A4301" s="1">
        <v>44993</v>
      </c>
      <c r="B4301" s="2" t="s">
        <v>527</v>
      </c>
      <c r="C4301" s="2" t="s">
        <v>64</v>
      </c>
      <c r="D4301" s="2" t="s">
        <v>28</v>
      </c>
      <c r="E4301" s="2" t="s">
        <v>29</v>
      </c>
      <c r="F4301" s="2">
        <v>1363.96</v>
      </c>
      <c r="G4301" s="2">
        <v>5</v>
      </c>
      <c r="H4301" s="2">
        <v>85.25</v>
      </c>
      <c r="I4301" t="str">
        <f t="shared" si="67"/>
        <v>Mar</v>
      </c>
      <c r="J4301">
        <f>YEAR(datas[[#This Row],[Order Date]])</f>
        <v>2023</v>
      </c>
    </row>
    <row r="4302" spans="1:10" ht="14.25" customHeight="1" x14ac:dyDescent="0.3">
      <c r="A4302" s="1">
        <v>44993</v>
      </c>
      <c r="B4302" s="2" t="s">
        <v>527</v>
      </c>
      <c r="C4302" s="2" t="s">
        <v>64</v>
      </c>
      <c r="D4302" s="2" t="s">
        <v>26</v>
      </c>
      <c r="E4302" s="2" t="s">
        <v>32</v>
      </c>
      <c r="F4302" s="2">
        <v>102.36</v>
      </c>
      <c r="G4302" s="2">
        <v>3</v>
      </c>
      <c r="H4302" s="2">
        <v>-3.84</v>
      </c>
      <c r="I4302" t="str">
        <f t="shared" si="67"/>
        <v>Mar</v>
      </c>
      <c r="J4302">
        <f>YEAR(datas[[#This Row],[Order Date]])</f>
        <v>2023</v>
      </c>
    </row>
    <row r="4303" spans="1:10" ht="14.25" customHeight="1" x14ac:dyDescent="0.3">
      <c r="A4303" s="1">
        <v>44993</v>
      </c>
      <c r="B4303" s="2" t="s">
        <v>256</v>
      </c>
      <c r="C4303" s="2" t="s">
        <v>55</v>
      </c>
      <c r="D4303" s="2" t="s">
        <v>10</v>
      </c>
      <c r="E4303" s="2" t="s">
        <v>16</v>
      </c>
      <c r="F4303" s="2">
        <v>9.6999999999999993</v>
      </c>
      <c r="G4303" s="2">
        <v>3</v>
      </c>
      <c r="H4303" s="2">
        <v>-7.11</v>
      </c>
      <c r="I4303" t="str">
        <f t="shared" si="67"/>
        <v>Mar</v>
      </c>
      <c r="J4303">
        <f>YEAR(datas[[#This Row],[Order Date]])</f>
        <v>2023</v>
      </c>
    </row>
    <row r="4304" spans="1:10" ht="14.25" customHeight="1" x14ac:dyDescent="0.3">
      <c r="A4304" s="1">
        <v>44993</v>
      </c>
      <c r="B4304" s="2" t="s">
        <v>348</v>
      </c>
      <c r="C4304" s="2" t="s">
        <v>18</v>
      </c>
      <c r="D4304" s="2" t="s">
        <v>28</v>
      </c>
      <c r="E4304" s="2" t="s">
        <v>29</v>
      </c>
      <c r="F4304" s="2">
        <v>108.58</v>
      </c>
      <c r="G4304" s="2">
        <v>4</v>
      </c>
      <c r="H4304" s="2">
        <v>-25.33</v>
      </c>
      <c r="I4304" t="str">
        <f t="shared" si="67"/>
        <v>Mar</v>
      </c>
      <c r="J4304">
        <f>YEAR(datas[[#This Row],[Order Date]])</f>
        <v>2023</v>
      </c>
    </row>
    <row r="4305" spans="1:10" ht="14.25" customHeight="1" x14ac:dyDescent="0.3">
      <c r="A4305" s="1">
        <v>44993</v>
      </c>
      <c r="B4305" s="2" t="s">
        <v>348</v>
      </c>
      <c r="C4305" s="2" t="s">
        <v>18</v>
      </c>
      <c r="D4305" s="2" t="s">
        <v>10</v>
      </c>
      <c r="E4305" s="2" t="s">
        <v>30</v>
      </c>
      <c r="F4305" s="2">
        <v>5.98</v>
      </c>
      <c r="G4305" s="2">
        <v>2</v>
      </c>
      <c r="H4305" s="2">
        <v>-1.35</v>
      </c>
      <c r="I4305" t="str">
        <f t="shared" si="67"/>
        <v>Mar</v>
      </c>
      <c r="J4305">
        <f>YEAR(datas[[#This Row],[Order Date]])</f>
        <v>2023</v>
      </c>
    </row>
    <row r="4306" spans="1:10" ht="14.25" customHeight="1" x14ac:dyDescent="0.3">
      <c r="A4306" s="1">
        <v>44993</v>
      </c>
      <c r="B4306" s="2" t="s">
        <v>729</v>
      </c>
      <c r="C4306" s="2" t="s">
        <v>75</v>
      </c>
      <c r="D4306" s="2" t="s">
        <v>26</v>
      </c>
      <c r="E4306" s="2" t="s">
        <v>32</v>
      </c>
      <c r="F4306" s="2">
        <v>113.6</v>
      </c>
      <c r="G4306" s="2">
        <v>8</v>
      </c>
      <c r="H4306" s="2">
        <v>44.3</v>
      </c>
      <c r="I4306" t="str">
        <f t="shared" si="67"/>
        <v>Mar</v>
      </c>
      <c r="J4306">
        <f>YEAR(datas[[#This Row],[Order Date]])</f>
        <v>2023</v>
      </c>
    </row>
    <row r="4307" spans="1:10" ht="14.25" customHeight="1" x14ac:dyDescent="0.3">
      <c r="A4307" s="1">
        <v>44993</v>
      </c>
      <c r="B4307" s="2" t="s">
        <v>729</v>
      </c>
      <c r="C4307" s="2" t="s">
        <v>75</v>
      </c>
      <c r="D4307" s="2" t="s">
        <v>10</v>
      </c>
      <c r="E4307" s="2" t="s">
        <v>11</v>
      </c>
      <c r="F4307" s="2">
        <v>12.96</v>
      </c>
      <c r="G4307" s="2">
        <v>2</v>
      </c>
      <c r="H4307" s="2">
        <v>6.35</v>
      </c>
      <c r="I4307" t="str">
        <f t="shared" si="67"/>
        <v>Mar</v>
      </c>
      <c r="J4307">
        <f>YEAR(datas[[#This Row],[Order Date]])</f>
        <v>2023</v>
      </c>
    </row>
    <row r="4308" spans="1:10" ht="14.25" customHeight="1" x14ac:dyDescent="0.3">
      <c r="A4308" s="1">
        <v>44993</v>
      </c>
      <c r="B4308" s="2" t="s">
        <v>729</v>
      </c>
      <c r="C4308" s="2" t="s">
        <v>75</v>
      </c>
      <c r="D4308" s="2" t="s">
        <v>10</v>
      </c>
      <c r="E4308" s="2" t="s">
        <v>16</v>
      </c>
      <c r="F4308" s="2">
        <v>69.459999999999994</v>
      </c>
      <c r="G4308" s="2">
        <v>2</v>
      </c>
      <c r="H4308" s="2">
        <v>22.57</v>
      </c>
      <c r="I4308" t="str">
        <f t="shared" si="67"/>
        <v>Mar</v>
      </c>
      <c r="J4308">
        <f>YEAR(datas[[#This Row],[Order Date]])</f>
        <v>2023</v>
      </c>
    </row>
    <row r="4309" spans="1:10" ht="14.25" customHeight="1" x14ac:dyDescent="0.3">
      <c r="A4309" s="1">
        <v>44993</v>
      </c>
      <c r="B4309" s="2" t="s">
        <v>767</v>
      </c>
      <c r="C4309" s="2" t="s">
        <v>9</v>
      </c>
      <c r="D4309" s="2" t="s">
        <v>10</v>
      </c>
      <c r="E4309" s="2" t="s">
        <v>16</v>
      </c>
      <c r="F4309" s="2">
        <v>8.86</v>
      </c>
      <c r="G4309" s="2">
        <v>9</v>
      </c>
      <c r="H4309" s="2">
        <v>-14.17</v>
      </c>
      <c r="I4309" t="str">
        <f t="shared" si="67"/>
        <v>Mar</v>
      </c>
      <c r="J4309">
        <f>YEAR(datas[[#This Row],[Order Date]])</f>
        <v>2023</v>
      </c>
    </row>
    <row r="4310" spans="1:10" ht="14.25" customHeight="1" x14ac:dyDescent="0.3">
      <c r="A4310" s="1">
        <v>44993</v>
      </c>
      <c r="B4310" s="2" t="s">
        <v>767</v>
      </c>
      <c r="C4310" s="2" t="s">
        <v>9</v>
      </c>
      <c r="D4310" s="2" t="s">
        <v>28</v>
      </c>
      <c r="E4310" s="2" t="s">
        <v>34</v>
      </c>
      <c r="F4310" s="2">
        <v>27.96</v>
      </c>
      <c r="G4310" s="2">
        <v>5</v>
      </c>
      <c r="H4310" s="2">
        <v>8.39</v>
      </c>
      <c r="I4310" t="str">
        <f t="shared" si="67"/>
        <v>Mar</v>
      </c>
      <c r="J4310">
        <f>YEAR(datas[[#This Row],[Order Date]])</f>
        <v>2023</v>
      </c>
    </row>
    <row r="4311" spans="1:10" ht="14.25" customHeight="1" x14ac:dyDescent="0.3">
      <c r="A4311" s="1">
        <v>44993</v>
      </c>
      <c r="B4311" s="2" t="s">
        <v>767</v>
      </c>
      <c r="C4311" s="2" t="s">
        <v>9</v>
      </c>
      <c r="D4311" s="2" t="s">
        <v>10</v>
      </c>
      <c r="E4311" s="2" t="s">
        <v>41</v>
      </c>
      <c r="F4311" s="2">
        <v>146.35</v>
      </c>
      <c r="G4311" s="2">
        <v>3</v>
      </c>
      <c r="H4311" s="2">
        <v>49.39</v>
      </c>
      <c r="I4311" t="str">
        <f t="shared" si="67"/>
        <v>Mar</v>
      </c>
      <c r="J4311">
        <f>YEAR(datas[[#This Row],[Order Date]])</f>
        <v>2023</v>
      </c>
    </row>
    <row r="4312" spans="1:10" ht="14.25" customHeight="1" x14ac:dyDescent="0.3">
      <c r="A4312" s="1">
        <v>44993</v>
      </c>
      <c r="B4312" s="2" t="s">
        <v>217</v>
      </c>
      <c r="C4312" s="2" t="s">
        <v>60</v>
      </c>
      <c r="D4312" s="2" t="s">
        <v>10</v>
      </c>
      <c r="E4312" s="2" t="s">
        <v>53</v>
      </c>
      <c r="F4312" s="2">
        <v>207.14</v>
      </c>
      <c r="G4312" s="2">
        <v>3</v>
      </c>
      <c r="H4312" s="2">
        <v>48.33</v>
      </c>
      <c r="I4312" t="str">
        <f t="shared" si="67"/>
        <v>Mar</v>
      </c>
      <c r="J4312">
        <f>YEAR(datas[[#This Row],[Order Date]])</f>
        <v>2023</v>
      </c>
    </row>
    <row r="4313" spans="1:10" ht="14.25" customHeight="1" x14ac:dyDescent="0.3">
      <c r="A4313" s="1">
        <v>44993</v>
      </c>
      <c r="B4313" s="2" t="s">
        <v>217</v>
      </c>
      <c r="C4313" s="2" t="s">
        <v>60</v>
      </c>
      <c r="D4313" s="2" t="s">
        <v>10</v>
      </c>
      <c r="E4313" s="2" t="s">
        <v>19</v>
      </c>
      <c r="F4313" s="2">
        <v>13.9</v>
      </c>
      <c r="G4313" s="2">
        <v>5</v>
      </c>
      <c r="H4313" s="2">
        <v>3.75</v>
      </c>
      <c r="I4313" t="str">
        <f t="shared" si="67"/>
        <v>Mar</v>
      </c>
      <c r="J4313">
        <f>YEAR(datas[[#This Row],[Order Date]])</f>
        <v>2023</v>
      </c>
    </row>
    <row r="4314" spans="1:10" ht="14.25" customHeight="1" x14ac:dyDescent="0.3">
      <c r="A4314" s="1">
        <v>44994</v>
      </c>
      <c r="B4314" s="2" t="s">
        <v>135</v>
      </c>
      <c r="C4314" s="2" t="s">
        <v>248</v>
      </c>
      <c r="D4314" s="2" t="s">
        <v>28</v>
      </c>
      <c r="E4314" s="2" t="s">
        <v>34</v>
      </c>
      <c r="F4314" s="2">
        <v>199.75</v>
      </c>
      <c r="G4314" s="2">
        <v>5</v>
      </c>
      <c r="H4314" s="2">
        <v>87.89</v>
      </c>
      <c r="I4314" t="str">
        <f t="shared" si="67"/>
        <v>Mar</v>
      </c>
      <c r="J4314">
        <f>YEAR(datas[[#This Row],[Order Date]])</f>
        <v>2023</v>
      </c>
    </row>
    <row r="4315" spans="1:10" ht="14.25" customHeight="1" x14ac:dyDescent="0.3">
      <c r="A4315" s="1">
        <v>44994</v>
      </c>
      <c r="B4315" s="2" t="s">
        <v>322</v>
      </c>
      <c r="C4315" s="2" t="s">
        <v>181</v>
      </c>
      <c r="D4315" s="2" t="s">
        <v>10</v>
      </c>
      <c r="E4315" s="2" t="s">
        <v>15</v>
      </c>
      <c r="F4315" s="2">
        <v>11.21</v>
      </c>
      <c r="G4315" s="2">
        <v>1</v>
      </c>
      <c r="H4315" s="2">
        <v>3.36</v>
      </c>
      <c r="I4315" t="str">
        <f t="shared" si="67"/>
        <v>Mar</v>
      </c>
      <c r="J4315">
        <f>YEAR(datas[[#This Row],[Order Date]])</f>
        <v>2023</v>
      </c>
    </row>
    <row r="4316" spans="1:10" ht="14.25" customHeight="1" x14ac:dyDescent="0.3">
      <c r="A4316" s="1">
        <v>44994</v>
      </c>
      <c r="B4316" s="2" t="s">
        <v>322</v>
      </c>
      <c r="C4316" s="2" t="s">
        <v>181</v>
      </c>
      <c r="D4316" s="2" t="s">
        <v>26</v>
      </c>
      <c r="E4316" s="2" t="s">
        <v>27</v>
      </c>
      <c r="F4316" s="2">
        <v>354.9</v>
      </c>
      <c r="G4316" s="2">
        <v>5</v>
      </c>
      <c r="H4316" s="2">
        <v>88.73</v>
      </c>
      <c r="I4316" t="str">
        <f t="shared" si="67"/>
        <v>Mar</v>
      </c>
      <c r="J4316">
        <f>YEAR(datas[[#This Row],[Order Date]])</f>
        <v>2023</v>
      </c>
    </row>
    <row r="4317" spans="1:10" ht="14.25" customHeight="1" x14ac:dyDescent="0.3">
      <c r="A4317" s="1">
        <v>44994</v>
      </c>
      <c r="B4317" s="2" t="s">
        <v>322</v>
      </c>
      <c r="C4317" s="2" t="s">
        <v>181</v>
      </c>
      <c r="D4317" s="2" t="s">
        <v>10</v>
      </c>
      <c r="E4317" s="2" t="s">
        <v>11</v>
      </c>
      <c r="F4317" s="2">
        <v>17.940000000000001</v>
      </c>
      <c r="G4317" s="2">
        <v>3</v>
      </c>
      <c r="H4317" s="2">
        <v>8.7899999999999991</v>
      </c>
      <c r="I4317" t="str">
        <f t="shared" si="67"/>
        <v>Mar</v>
      </c>
      <c r="J4317">
        <f>YEAR(datas[[#This Row],[Order Date]])</f>
        <v>2023</v>
      </c>
    </row>
    <row r="4318" spans="1:10" ht="14.25" customHeight="1" x14ac:dyDescent="0.3">
      <c r="A4318" s="1">
        <v>44994</v>
      </c>
      <c r="B4318" s="2" t="s">
        <v>322</v>
      </c>
      <c r="C4318" s="2" t="s">
        <v>181</v>
      </c>
      <c r="D4318" s="2" t="s">
        <v>10</v>
      </c>
      <c r="E4318" s="2" t="s">
        <v>16</v>
      </c>
      <c r="F4318" s="2">
        <v>51.8</v>
      </c>
      <c r="G4318" s="2">
        <v>4</v>
      </c>
      <c r="H4318" s="2">
        <v>23.31</v>
      </c>
      <c r="I4318" t="str">
        <f t="shared" si="67"/>
        <v>Mar</v>
      </c>
      <c r="J4318">
        <f>YEAR(datas[[#This Row],[Order Date]])</f>
        <v>2023</v>
      </c>
    </row>
    <row r="4319" spans="1:10" ht="14.25" customHeight="1" x14ac:dyDescent="0.3">
      <c r="A4319" s="1">
        <v>44995</v>
      </c>
      <c r="B4319" s="2" t="s">
        <v>814</v>
      </c>
      <c r="C4319" s="2" t="s">
        <v>75</v>
      </c>
      <c r="D4319" s="2" t="s">
        <v>26</v>
      </c>
      <c r="E4319" s="2" t="s">
        <v>45</v>
      </c>
      <c r="F4319" s="2">
        <v>176.78</v>
      </c>
      <c r="G4319" s="2">
        <v>1</v>
      </c>
      <c r="H4319" s="2">
        <v>-22.1</v>
      </c>
      <c r="I4319" t="str">
        <f t="shared" si="67"/>
        <v>Mar</v>
      </c>
      <c r="J4319">
        <f>YEAR(datas[[#This Row],[Order Date]])</f>
        <v>2023</v>
      </c>
    </row>
    <row r="4320" spans="1:10" ht="14.25" customHeight="1" x14ac:dyDescent="0.3">
      <c r="A4320" s="1">
        <v>44995</v>
      </c>
      <c r="B4320" s="2" t="s">
        <v>815</v>
      </c>
      <c r="C4320" s="2" t="s">
        <v>18</v>
      </c>
      <c r="D4320" s="2" t="s">
        <v>28</v>
      </c>
      <c r="E4320" s="2" t="s">
        <v>34</v>
      </c>
      <c r="F4320" s="2">
        <v>39.99</v>
      </c>
      <c r="G4320" s="2">
        <v>1</v>
      </c>
      <c r="H4320" s="2">
        <v>7.5</v>
      </c>
      <c r="I4320" t="str">
        <f t="shared" si="67"/>
        <v>Mar</v>
      </c>
      <c r="J4320">
        <f>YEAR(datas[[#This Row],[Order Date]])</f>
        <v>2023</v>
      </c>
    </row>
    <row r="4321" spans="1:10" ht="14.25" customHeight="1" x14ac:dyDescent="0.3">
      <c r="A4321" s="1">
        <v>44995</v>
      </c>
      <c r="B4321" s="2" t="s">
        <v>503</v>
      </c>
      <c r="C4321" s="2" t="s">
        <v>21</v>
      </c>
      <c r="D4321" s="2" t="s">
        <v>10</v>
      </c>
      <c r="E4321" s="2" t="s">
        <v>11</v>
      </c>
      <c r="F4321" s="2">
        <v>14.9</v>
      </c>
      <c r="G4321" s="2">
        <v>5</v>
      </c>
      <c r="H4321" s="2">
        <v>7.15</v>
      </c>
      <c r="I4321" t="str">
        <f t="shared" si="67"/>
        <v>Mar</v>
      </c>
      <c r="J4321">
        <f>YEAR(datas[[#This Row],[Order Date]])</f>
        <v>2023</v>
      </c>
    </row>
    <row r="4322" spans="1:10" ht="14.25" customHeight="1" x14ac:dyDescent="0.3">
      <c r="A4322" s="1">
        <v>44995</v>
      </c>
      <c r="B4322" s="2" t="s">
        <v>503</v>
      </c>
      <c r="C4322" s="2" t="s">
        <v>21</v>
      </c>
      <c r="D4322" s="2" t="s">
        <v>28</v>
      </c>
      <c r="E4322" s="2" t="s">
        <v>29</v>
      </c>
      <c r="F4322" s="2">
        <v>4158.91</v>
      </c>
      <c r="G4322" s="2">
        <v>8</v>
      </c>
      <c r="H4322" s="2">
        <v>363.9</v>
      </c>
      <c r="I4322" t="str">
        <f t="shared" si="67"/>
        <v>Mar</v>
      </c>
      <c r="J4322">
        <f>YEAR(datas[[#This Row],[Order Date]])</f>
        <v>2023</v>
      </c>
    </row>
    <row r="4323" spans="1:10" ht="14.25" customHeight="1" x14ac:dyDescent="0.3">
      <c r="A4323" s="1">
        <v>44995</v>
      </c>
      <c r="B4323" s="2" t="s">
        <v>583</v>
      </c>
      <c r="C4323" s="2" t="s">
        <v>21</v>
      </c>
      <c r="D4323" s="2" t="s">
        <v>28</v>
      </c>
      <c r="E4323" s="2" t="s">
        <v>34</v>
      </c>
      <c r="F4323" s="2">
        <v>26.85</v>
      </c>
      <c r="G4323" s="2">
        <v>3</v>
      </c>
      <c r="H4323" s="2">
        <v>5.0999999999999996</v>
      </c>
      <c r="I4323" t="str">
        <f t="shared" si="67"/>
        <v>Mar</v>
      </c>
      <c r="J4323">
        <f>YEAR(datas[[#This Row],[Order Date]])</f>
        <v>2023</v>
      </c>
    </row>
    <row r="4324" spans="1:10" ht="14.25" customHeight="1" x14ac:dyDescent="0.3">
      <c r="A4324" s="1">
        <v>44995</v>
      </c>
      <c r="B4324" s="2" t="s">
        <v>583</v>
      </c>
      <c r="C4324" s="2" t="s">
        <v>21</v>
      </c>
      <c r="D4324" s="2" t="s">
        <v>28</v>
      </c>
      <c r="E4324" s="2" t="s">
        <v>136</v>
      </c>
      <c r="F4324" s="2">
        <v>3357.6</v>
      </c>
      <c r="G4324" s="2">
        <v>3</v>
      </c>
      <c r="H4324" s="2">
        <v>377.73</v>
      </c>
      <c r="I4324" t="str">
        <f t="shared" si="67"/>
        <v>Mar</v>
      </c>
      <c r="J4324">
        <f>YEAR(datas[[#This Row],[Order Date]])</f>
        <v>2023</v>
      </c>
    </row>
    <row r="4325" spans="1:10" ht="14.25" customHeight="1" x14ac:dyDescent="0.3">
      <c r="A4325" s="1">
        <v>44995</v>
      </c>
      <c r="B4325" s="2" t="s">
        <v>290</v>
      </c>
      <c r="C4325" s="2" t="s">
        <v>55</v>
      </c>
      <c r="D4325" s="2" t="s">
        <v>10</v>
      </c>
      <c r="E4325" s="2" t="s">
        <v>15</v>
      </c>
      <c r="F4325" s="2">
        <v>104.7</v>
      </c>
      <c r="G4325" s="2">
        <v>1</v>
      </c>
      <c r="H4325" s="2">
        <v>6.54</v>
      </c>
      <c r="I4325" t="str">
        <f t="shared" si="67"/>
        <v>Mar</v>
      </c>
      <c r="J4325">
        <f>YEAR(datas[[#This Row],[Order Date]])</f>
        <v>2023</v>
      </c>
    </row>
    <row r="4326" spans="1:10" ht="14.25" customHeight="1" x14ac:dyDescent="0.3">
      <c r="A4326" s="1">
        <v>44996</v>
      </c>
      <c r="B4326" s="2" t="s">
        <v>473</v>
      </c>
      <c r="C4326" s="2" t="s">
        <v>140</v>
      </c>
      <c r="D4326" s="2" t="s">
        <v>28</v>
      </c>
      <c r="E4326" s="2" t="s">
        <v>34</v>
      </c>
      <c r="F4326" s="2">
        <v>45.98</v>
      </c>
      <c r="G4326" s="2">
        <v>2</v>
      </c>
      <c r="H4326" s="2">
        <v>19.77</v>
      </c>
      <c r="I4326" t="str">
        <f t="shared" si="67"/>
        <v>Mar</v>
      </c>
      <c r="J4326">
        <f>YEAR(datas[[#This Row],[Order Date]])</f>
        <v>2023</v>
      </c>
    </row>
    <row r="4327" spans="1:10" ht="14.25" customHeight="1" x14ac:dyDescent="0.3">
      <c r="A4327" s="1">
        <v>44996</v>
      </c>
      <c r="B4327" s="2" t="s">
        <v>473</v>
      </c>
      <c r="C4327" s="2" t="s">
        <v>140</v>
      </c>
      <c r="D4327" s="2" t="s">
        <v>10</v>
      </c>
      <c r="E4327" s="2" t="s">
        <v>16</v>
      </c>
      <c r="F4327" s="2">
        <v>17.46</v>
      </c>
      <c r="G4327" s="2">
        <v>2</v>
      </c>
      <c r="H4327" s="2">
        <v>8.2100000000000009</v>
      </c>
      <c r="I4327" t="str">
        <f t="shared" si="67"/>
        <v>Mar</v>
      </c>
      <c r="J4327">
        <f>YEAR(datas[[#This Row],[Order Date]])</f>
        <v>2023</v>
      </c>
    </row>
    <row r="4328" spans="1:10" ht="14.25" customHeight="1" x14ac:dyDescent="0.3">
      <c r="A4328" s="1">
        <v>44996</v>
      </c>
      <c r="B4328" s="2" t="s">
        <v>17</v>
      </c>
      <c r="C4328" s="2" t="s">
        <v>87</v>
      </c>
      <c r="D4328" s="2" t="s">
        <v>26</v>
      </c>
      <c r="E4328" s="2" t="s">
        <v>73</v>
      </c>
      <c r="F4328" s="2">
        <v>244.01</v>
      </c>
      <c r="G4328" s="2">
        <v>2</v>
      </c>
      <c r="H4328" s="2">
        <v>-31.37</v>
      </c>
      <c r="I4328" t="str">
        <f t="shared" si="67"/>
        <v>Mar</v>
      </c>
      <c r="J4328">
        <f>YEAR(datas[[#This Row],[Order Date]])</f>
        <v>2023</v>
      </c>
    </row>
    <row r="4329" spans="1:10" ht="14.25" customHeight="1" x14ac:dyDescent="0.3">
      <c r="A4329" s="1">
        <v>44996</v>
      </c>
      <c r="B4329" s="2" t="s">
        <v>496</v>
      </c>
      <c r="C4329" s="2" t="s">
        <v>23</v>
      </c>
      <c r="D4329" s="2" t="s">
        <v>26</v>
      </c>
      <c r="E4329" s="2" t="s">
        <v>32</v>
      </c>
      <c r="F4329" s="2">
        <v>76.92</v>
      </c>
      <c r="G4329" s="2">
        <v>4</v>
      </c>
      <c r="H4329" s="2">
        <v>31.54</v>
      </c>
      <c r="I4329" t="str">
        <f t="shared" si="67"/>
        <v>Mar</v>
      </c>
      <c r="J4329">
        <f>YEAR(datas[[#This Row],[Order Date]])</f>
        <v>2023</v>
      </c>
    </row>
    <row r="4330" spans="1:10" ht="14.25" customHeight="1" x14ac:dyDescent="0.3">
      <c r="A4330" s="1">
        <v>44996</v>
      </c>
      <c r="B4330" s="2" t="s">
        <v>496</v>
      </c>
      <c r="C4330" s="2" t="s">
        <v>23</v>
      </c>
      <c r="D4330" s="2" t="s">
        <v>10</v>
      </c>
      <c r="E4330" s="2" t="s">
        <v>15</v>
      </c>
      <c r="F4330" s="2">
        <v>481.32</v>
      </c>
      <c r="G4330" s="2">
        <v>4</v>
      </c>
      <c r="H4330" s="2">
        <v>125.14</v>
      </c>
      <c r="I4330" t="str">
        <f t="shared" si="67"/>
        <v>Mar</v>
      </c>
      <c r="J4330">
        <f>YEAR(datas[[#This Row],[Order Date]])</f>
        <v>2023</v>
      </c>
    </row>
    <row r="4331" spans="1:10" ht="14.25" customHeight="1" x14ac:dyDescent="0.3">
      <c r="A4331" s="1">
        <v>44996</v>
      </c>
      <c r="B4331" s="2" t="s">
        <v>804</v>
      </c>
      <c r="C4331" s="2" t="s">
        <v>18</v>
      </c>
      <c r="D4331" s="2" t="s">
        <v>26</v>
      </c>
      <c r="E4331" s="2" t="s">
        <v>32</v>
      </c>
      <c r="F4331" s="2">
        <v>30.34</v>
      </c>
      <c r="G4331" s="2">
        <v>4</v>
      </c>
      <c r="H4331" s="2">
        <v>9.48</v>
      </c>
      <c r="I4331" t="str">
        <f t="shared" si="67"/>
        <v>Mar</v>
      </c>
      <c r="J4331">
        <f>YEAR(datas[[#This Row],[Order Date]])</f>
        <v>2023</v>
      </c>
    </row>
    <row r="4332" spans="1:10" ht="14.25" customHeight="1" x14ac:dyDescent="0.3">
      <c r="A4332" s="1">
        <v>44997</v>
      </c>
      <c r="B4332" s="2" t="s">
        <v>482</v>
      </c>
      <c r="C4332" s="2" t="s">
        <v>40</v>
      </c>
      <c r="D4332" s="2" t="s">
        <v>10</v>
      </c>
      <c r="E4332" s="2" t="s">
        <v>11</v>
      </c>
      <c r="F4332" s="2">
        <v>12.96</v>
      </c>
      <c r="G4332" s="2">
        <v>2</v>
      </c>
      <c r="H4332" s="2">
        <v>6.22</v>
      </c>
      <c r="I4332" t="str">
        <f t="shared" si="67"/>
        <v>Mar</v>
      </c>
      <c r="J4332">
        <f>YEAR(datas[[#This Row],[Order Date]])</f>
        <v>2023</v>
      </c>
    </row>
    <row r="4333" spans="1:10" ht="14.25" customHeight="1" x14ac:dyDescent="0.3">
      <c r="A4333" s="1">
        <v>44997</v>
      </c>
      <c r="B4333" s="2" t="s">
        <v>656</v>
      </c>
      <c r="C4333" s="2" t="s">
        <v>75</v>
      </c>
      <c r="D4333" s="2" t="s">
        <v>10</v>
      </c>
      <c r="E4333" s="2" t="s">
        <v>41</v>
      </c>
      <c r="F4333" s="2">
        <v>29.34</v>
      </c>
      <c r="G4333" s="2">
        <v>3</v>
      </c>
      <c r="H4333" s="2">
        <v>13.5</v>
      </c>
      <c r="I4333" t="str">
        <f t="shared" si="67"/>
        <v>Mar</v>
      </c>
      <c r="J4333">
        <f>YEAR(datas[[#This Row],[Order Date]])</f>
        <v>2023</v>
      </c>
    </row>
    <row r="4334" spans="1:10" ht="14.25" customHeight="1" x14ac:dyDescent="0.3">
      <c r="A4334" s="1">
        <v>44997</v>
      </c>
      <c r="B4334" s="2" t="s">
        <v>131</v>
      </c>
      <c r="C4334" s="2" t="s">
        <v>21</v>
      </c>
      <c r="D4334" s="2" t="s">
        <v>10</v>
      </c>
      <c r="E4334" s="2" t="s">
        <v>15</v>
      </c>
      <c r="F4334" s="2">
        <v>676.55</v>
      </c>
      <c r="G4334" s="2">
        <v>5</v>
      </c>
      <c r="H4334" s="2">
        <v>6.77</v>
      </c>
      <c r="I4334" t="str">
        <f t="shared" si="67"/>
        <v>Mar</v>
      </c>
      <c r="J4334">
        <f>YEAR(datas[[#This Row],[Order Date]])</f>
        <v>2023</v>
      </c>
    </row>
    <row r="4335" spans="1:10" ht="14.25" customHeight="1" x14ac:dyDescent="0.3">
      <c r="A4335" s="1">
        <v>44997</v>
      </c>
      <c r="B4335" s="2" t="s">
        <v>131</v>
      </c>
      <c r="C4335" s="2" t="s">
        <v>21</v>
      </c>
      <c r="D4335" s="2" t="s">
        <v>10</v>
      </c>
      <c r="E4335" s="2" t="s">
        <v>53</v>
      </c>
      <c r="F4335" s="2">
        <v>154.9</v>
      </c>
      <c r="G4335" s="2">
        <v>5</v>
      </c>
      <c r="H4335" s="2">
        <v>40.270000000000003</v>
      </c>
      <c r="I4335" t="str">
        <f t="shared" si="67"/>
        <v>Mar</v>
      </c>
      <c r="J4335">
        <f>YEAR(datas[[#This Row],[Order Date]])</f>
        <v>2023</v>
      </c>
    </row>
    <row r="4336" spans="1:10" ht="14.25" customHeight="1" x14ac:dyDescent="0.3">
      <c r="A4336" s="1">
        <v>44997</v>
      </c>
      <c r="B4336" s="2" t="s">
        <v>131</v>
      </c>
      <c r="C4336" s="2" t="s">
        <v>21</v>
      </c>
      <c r="D4336" s="2" t="s">
        <v>10</v>
      </c>
      <c r="E4336" s="2" t="s">
        <v>41</v>
      </c>
      <c r="F4336" s="2">
        <v>30.56</v>
      </c>
      <c r="G4336" s="2">
        <v>4</v>
      </c>
      <c r="H4336" s="2">
        <v>14.97</v>
      </c>
      <c r="I4336" t="str">
        <f t="shared" si="67"/>
        <v>Mar</v>
      </c>
      <c r="J4336">
        <f>YEAR(datas[[#This Row],[Order Date]])</f>
        <v>2023</v>
      </c>
    </row>
    <row r="4337" spans="1:10" ht="14.25" customHeight="1" x14ac:dyDescent="0.3">
      <c r="A4337" s="1">
        <v>44997</v>
      </c>
      <c r="B4337" s="2" t="s">
        <v>131</v>
      </c>
      <c r="C4337" s="2" t="s">
        <v>21</v>
      </c>
      <c r="D4337" s="2" t="s">
        <v>26</v>
      </c>
      <c r="E4337" s="2" t="s">
        <v>27</v>
      </c>
      <c r="F4337" s="2">
        <v>770.35</v>
      </c>
      <c r="G4337" s="2">
        <v>3</v>
      </c>
      <c r="H4337" s="2">
        <v>77.040000000000006</v>
      </c>
      <c r="I4337" t="str">
        <f t="shared" si="67"/>
        <v>Mar</v>
      </c>
      <c r="J4337">
        <f>YEAR(datas[[#This Row],[Order Date]])</f>
        <v>2023</v>
      </c>
    </row>
    <row r="4338" spans="1:10" ht="14.25" customHeight="1" x14ac:dyDescent="0.3">
      <c r="A4338" s="1">
        <v>44997</v>
      </c>
      <c r="B4338" s="2" t="s">
        <v>376</v>
      </c>
      <c r="C4338" s="2" t="s">
        <v>21</v>
      </c>
      <c r="D4338" s="2" t="s">
        <v>10</v>
      </c>
      <c r="E4338" s="2" t="s">
        <v>11</v>
      </c>
      <c r="F4338" s="2">
        <v>19.98</v>
      </c>
      <c r="G4338" s="2">
        <v>2</v>
      </c>
      <c r="H4338" s="2">
        <v>8.99</v>
      </c>
      <c r="I4338" t="str">
        <f t="shared" si="67"/>
        <v>Mar</v>
      </c>
      <c r="J4338">
        <f>YEAR(datas[[#This Row],[Order Date]])</f>
        <v>2023</v>
      </c>
    </row>
    <row r="4339" spans="1:10" ht="14.25" customHeight="1" x14ac:dyDescent="0.3">
      <c r="A4339" s="1">
        <v>44998</v>
      </c>
      <c r="B4339" s="2" t="s">
        <v>653</v>
      </c>
      <c r="C4339" s="2" t="s">
        <v>55</v>
      </c>
      <c r="D4339" s="2" t="s">
        <v>10</v>
      </c>
      <c r="E4339" s="2" t="s">
        <v>53</v>
      </c>
      <c r="F4339" s="2">
        <v>157.91999999999999</v>
      </c>
      <c r="G4339" s="2">
        <v>5</v>
      </c>
      <c r="H4339" s="2">
        <v>17.77</v>
      </c>
      <c r="I4339" t="str">
        <f t="shared" si="67"/>
        <v>Mar</v>
      </c>
      <c r="J4339">
        <f>YEAR(datas[[#This Row],[Order Date]])</f>
        <v>2023</v>
      </c>
    </row>
    <row r="4340" spans="1:10" ht="14.25" customHeight="1" x14ac:dyDescent="0.3">
      <c r="A4340" s="1">
        <v>44998</v>
      </c>
      <c r="B4340" s="2" t="s">
        <v>653</v>
      </c>
      <c r="C4340" s="2" t="s">
        <v>55</v>
      </c>
      <c r="D4340" s="2" t="s">
        <v>28</v>
      </c>
      <c r="E4340" s="2" t="s">
        <v>29</v>
      </c>
      <c r="F4340" s="2">
        <v>203.18</v>
      </c>
      <c r="G4340" s="2">
        <v>2</v>
      </c>
      <c r="H4340" s="2">
        <v>15.24</v>
      </c>
      <c r="I4340" t="str">
        <f t="shared" si="67"/>
        <v>Mar</v>
      </c>
      <c r="J4340">
        <f>YEAR(datas[[#This Row],[Order Date]])</f>
        <v>2023</v>
      </c>
    </row>
    <row r="4341" spans="1:10" ht="14.25" customHeight="1" x14ac:dyDescent="0.3">
      <c r="A4341" s="1">
        <v>44998</v>
      </c>
      <c r="B4341" s="2" t="s">
        <v>302</v>
      </c>
      <c r="C4341" s="2" t="s">
        <v>9</v>
      </c>
      <c r="D4341" s="2" t="s">
        <v>10</v>
      </c>
      <c r="E4341" s="2" t="s">
        <v>11</v>
      </c>
      <c r="F4341" s="2">
        <v>70.08</v>
      </c>
      <c r="G4341" s="2">
        <v>5</v>
      </c>
      <c r="H4341" s="2">
        <v>24.53</v>
      </c>
      <c r="I4341" t="str">
        <f t="shared" si="67"/>
        <v>Mar</v>
      </c>
      <c r="J4341">
        <f>YEAR(datas[[#This Row],[Order Date]])</f>
        <v>2023</v>
      </c>
    </row>
    <row r="4342" spans="1:10" ht="14.25" customHeight="1" x14ac:dyDescent="0.3">
      <c r="A4342" s="1">
        <v>44998</v>
      </c>
      <c r="B4342" s="2" t="s">
        <v>302</v>
      </c>
      <c r="C4342" s="2" t="s">
        <v>9</v>
      </c>
      <c r="D4342" s="2" t="s">
        <v>10</v>
      </c>
      <c r="E4342" s="2" t="s">
        <v>16</v>
      </c>
      <c r="F4342" s="2">
        <v>1.27</v>
      </c>
      <c r="G4342" s="2">
        <v>2</v>
      </c>
      <c r="H4342" s="2">
        <v>-2.16</v>
      </c>
      <c r="I4342" t="str">
        <f t="shared" si="67"/>
        <v>Mar</v>
      </c>
      <c r="J4342">
        <f>YEAR(datas[[#This Row],[Order Date]])</f>
        <v>2023</v>
      </c>
    </row>
    <row r="4343" spans="1:10" ht="14.25" customHeight="1" x14ac:dyDescent="0.3">
      <c r="A4343" s="1">
        <v>44998</v>
      </c>
      <c r="B4343" s="2" t="s">
        <v>302</v>
      </c>
      <c r="C4343" s="2" t="s">
        <v>9</v>
      </c>
      <c r="D4343" s="2" t="s">
        <v>26</v>
      </c>
      <c r="E4343" s="2" t="s">
        <v>73</v>
      </c>
      <c r="F4343" s="2">
        <v>557.59</v>
      </c>
      <c r="G4343" s="2">
        <v>5</v>
      </c>
      <c r="H4343" s="2">
        <v>0</v>
      </c>
      <c r="I4343" t="str">
        <f t="shared" si="67"/>
        <v>Mar</v>
      </c>
      <c r="J4343">
        <f>YEAR(datas[[#This Row],[Order Date]])</f>
        <v>2023</v>
      </c>
    </row>
    <row r="4344" spans="1:10" ht="14.25" customHeight="1" x14ac:dyDescent="0.3">
      <c r="A4344" s="1">
        <v>44998</v>
      </c>
      <c r="B4344" s="2" t="s">
        <v>765</v>
      </c>
      <c r="C4344" s="2" t="s">
        <v>36</v>
      </c>
      <c r="D4344" s="2" t="s">
        <v>26</v>
      </c>
      <c r="E4344" s="2" t="s">
        <v>32</v>
      </c>
      <c r="F4344" s="2">
        <v>127.88</v>
      </c>
      <c r="G4344" s="2">
        <v>2</v>
      </c>
      <c r="H4344" s="2">
        <v>40.92</v>
      </c>
      <c r="I4344" t="str">
        <f t="shared" si="67"/>
        <v>Mar</v>
      </c>
      <c r="J4344">
        <f>YEAR(datas[[#This Row],[Order Date]])</f>
        <v>2023</v>
      </c>
    </row>
    <row r="4345" spans="1:10" ht="14.25" customHeight="1" x14ac:dyDescent="0.3">
      <c r="A4345" s="1">
        <v>44998</v>
      </c>
      <c r="B4345" s="2" t="s">
        <v>765</v>
      </c>
      <c r="C4345" s="2" t="s">
        <v>36</v>
      </c>
      <c r="D4345" s="2" t="s">
        <v>10</v>
      </c>
      <c r="E4345" s="2" t="s">
        <v>53</v>
      </c>
      <c r="F4345" s="2">
        <v>160.32</v>
      </c>
      <c r="G4345" s="2">
        <v>2</v>
      </c>
      <c r="H4345" s="2">
        <v>44.89</v>
      </c>
      <c r="I4345" t="str">
        <f t="shared" si="67"/>
        <v>Mar</v>
      </c>
      <c r="J4345">
        <f>YEAR(datas[[#This Row],[Order Date]])</f>
        <v>2023</v>
      </c>
    </row>
    <row r="4346" spans="1:10" ht="14.25" customHeight="1" x14ac:dyDescent="0.3">
      <c r="A4346" s="1">
        <v>44998</v>
      </c>
      <c r="B4346" s="2" t="s">
        <v>765</v>
      </c>
      <c r="C4346" s="2" t="s">
        <v>36</v>
      </c>
      <c r="D4346" s="2" t="s">
        <v>10</v>
      </c>
      <c r="E4346" s="2" t="s">
        <v>16</v>
      </c>
      <c r="F4346" s="2">
        <v>46</v>
      </c>
      <c r="G4346" s="2">
        <v>4</v>
      </c>
      <c r="H4346" s="2">
        <v>20.7</v>
      </c>
      <c r="I4346" t="str">
        <f t="shared" si="67"/>
        <v>Mar</v>
      </c>
      <c r="J4346">
        <f>YEAR(datas[[#This Row],[Order Date]])</f>
        <v>2023</v>
      </c>
    </row>
    <row r="4347" spans="1:10" ht="14.25" customHeight="1" x14ac:dyDescent="0.3">
      <c r="A4347" s="1">
        <v>44998</v>
      </c>
      <c r="B4347" s="2" t="s">
        <v>213</v>
      </c>
      <c r="C4347" s="2" t="s">
        <v>21</v>
      </c>
      <c r="D4347" s="2" t="s">
        <v>26</v>
      </c>
      <c r="E4347" s="2" t="s">
        <v>32</v>
      </c>
      <c r="F4347" s="2">
        <v>28.28</v>
      </c>
      <c r="G4347" s="2">
        <v>2</v>
      </c>
      <c r="H4347" s="2">
        <v>7.35</v>
      </c>
      <c r="I4347" t="str">
        <f t="shared" si="67"/>
        <v>Mar</v>
      </c>
      <c r="J4347">
        <f>YEAR(datas[[#This Row],[Order Date]])</f>
        <v>2023</v>
      </c>
    </row>
    <row r="4348" spans="1:10" ht="14.25" customHeight="1" x14ac:dyDescent="0.3">
      <c r="A4348" s="1">
        <v>44998</v>
      </c>
      <c r="B4348" s="2" t="s">
        <v>213</v>
      </c>
      <c r="C4348" s="2" t="s">
        <v>21</v>
      </c>
      <c r="D4348" s="2" t="s">
        <v>10</v>
      </c>
      <c r="E4348" s="2" t="s">
        <v>95</v>
      </c>
      <c r="F4348" s="2">
        <v>4912.59</v>
      </c>
      <c r="G4348" s="2">
        <v>3</v>
      </c>
      <c r="H4348" s="2">
        <v>196.5</v>
      </c>
      <c r="I4348" t="str">
        <f t="shared" si="67"/>
        <v>Mar</v>
      </c>
      <c r="J4348">
        <f>YEAR(datas[[#This Row],[Order Date]])</f>
        <v>2023</v>
      </c>
    </row>
    <row r="4349" spans="1:10" ht="14.25" customHeight="1" x14ac:dyDescent="0.3">
      <c r="A4349" s="1">
        <v>44998</v>
      </c>
      <c r="B4349" s="2" t="s">
        <v>733</v>
      </c>
      <c r="C4349" s="2" t="s">
        <v>18</v>
      </c>
      <c r="D4349" s="2" t="s">
        <v>26</v>
      </c>
      <c r="E4349" s="2" t="s">
        <v>27</v>
      </c>
      <c r="F4349" s="2">
        <v>386.68</v>
      </c>
      <c r="G4349" s="2">
        <v>2</v>
      </c>
      <c r="H4349" s="2">
        <v>-5.52</v>
      </c>
      <c r="I4349" t="str">
        <f t="shared" si="67"/>
        <v>Mar</v>
      </c>
      <c r="J4349">
        <f>YEAR(datas[[#This Row],[Order Date]])</f>
        <v>2023</v>
      </c>
    </row>
    <row r="4350" spans="1:10" ht="14.25" customHeight="1" x14ac:dyDescent="0.3">
      <c r="A4350" s="1">
        <v>44998</v>
      </c>
      <c r="B4350" s="2" t="s">
        <v>733</v>
      </c>
      <c r="C4350" s="2" t="s">
        <v>18</v>
      </c>
      <c r="D4350" s="2" t="s">
        <v>28</v>
      </c>
      <c r="E4350" s="2" t="s">
        <v>34</v>
      </c>
      <c r="F4350" s="2">
        <v>379.96</v>
      </c>
      <c r="G4350" s="2">
        <v>5</v>
      </c>
      <c r="H4350" s="2">
        <v>47.5</v>
      </c>
      <c r="I4350" t="str">
        <f t="shared" si="67"/>
        <v>Mar</v>
      </c>
      <c r="J4350">
        <f>YEAR(datas[[#This Row],[Order Date]])</f>
        <v>2023</v>
      </c>
    </row>
    <row r="4351" spans="1:10" ht="14.25" customHeight="1" x14ac:dyDescent="0.3">
      <c r="A4351" s="1">
        <v>44998</v>
      </c>
      <c r="B4351" s="2" t="s">
        <v>733</v>
      </c>
      <c r="C4351" s="2" t="s">
        <v>18</v>
      </c>
      <c r="D4351" s="2" t="s">
        <v>28</v>
      </c>
      <c r="E4351" s="2" t="s">
        <v>29</v>
      </c>
      <c r="F4351" s="2">
        <v>539.91</v>
      </c>
      <c r="G4351" s="2">
        <v>3</v>
      </c>
      <c r="H4351" s="2">
        <v>-116.98</v>
      </c>
      <c r="I4351" t="str">
        <f t="shared" si="67"/>
        <v>Mar</v>
      </c>
      <c r="J4351">
        <f>YEAR(datas[[#This Row],[Order Date]])</f>
        <v>2023</v>
      </c>
    </row>
    <row r="4352" spans="1:10" ht="14.25" customHeight="1" x14ac:dyDescent="0.3">
      <c r="A4352" s="1">
        <v>44998</v>
      </c>
      <c r="B4352" s="2" t="s">
        <v>733</v>
      </c>
      <c r="C4352" s="2" t="s">
        <v>18</v>
      </c>
      <c r="D4352" s="2" t="s">
        <v>10</v>
      </c>
      <c r="E4352" s="2" t="s">
        <v>11</v>
      </c>
      <c r="F4352" s="2">
        <v>41.24</v>
      </c>
      <c r="G4352" s="2">
        <v>5</v>
      </c>
      <c r="H4352" s="2">
        <v>13.92</v>
      </c>
      <c r="I4352" t="str">
        <f t="shared" si="67"/>
        <v>Mar</v>
      </c>
      <c r="J4352">
        <f>YEAR(datas[[#This Row],[Order Date]])</f>
        <v>2023</v>
      </c>
    </row>
    <row r="4353" spans="1:10" ht="14.25" customHeight="1" x14ac:dyDescent="0.3">
      <c r="A4353" s="1">
        <v>44998</v>
      </c>
      <c r="B4353" s="2" t="s">
        <v>733</v>
      </c>
      <c r="C4353" s="2" t="s">
        <v>18</v>
      </c>
      <c r="D4353" s="2" t="s">
        <v>10</v>
      </c>
      <c r="E4353" s="2" t="s">
        <v>16</v>
      </c>
      <c r="F4353" s="2">
        <v>51.9</v>
      </c>
      <c r="G4353" s="2">
        <v>1</v>
      </c>
      <c r="H4353" s="2">
        <v>-41.52</v>
      </c>
      <c r="I4353" t="str">
        <f t="shared" si="67"/>
        <v>Mar</v>
      </c>
      <c r="J4353">
        <f>YEAR(datas[[#This Row],[Order Date]])</f>
        <v>2023</v>
      </c>
    </row>
    <row r="4354" spans="1:10" ht="14.25" customHeight="1" x14ac:dyDescent="0.3">
      <c r="A4354" s="1">
        <v>44998</v>
      </c>
      <c r="B4354" s="2" t="s">
        <v>733</v>
      </c>
      <c r="C4354" s="2" t="s">
        <v>18</v>
      </c>
      <c r="D4354" s="2" t="s">
        <v>10</v>
      </c>
      <c r="E4354" s="2" t="s">
        <v>15</v>
      </c>
      <c r="F4354" s="2">
        <v>552.55999999999995</v>
      </c>
      <c r="G4354" s="2">
        <v>5</v>
      </c>
      <c r="H4354" s="2">
        <v>-138.13999999999999</v>
      </c>
      <c r="I4354" t="str">
        <f t="shared" si="67"/>
        <v>Mar</v>
      </c>
      <c r="J4354">
        <f>YEAR(datas[[#This Row],[Order Date]])</f>
        <v>2023</v>
      </c>
    </row>
    <row r="4355" spans="1:10" ht="14.25" customHeight="1" x14ac:dyDescent="0.3">
      <c r="A4355" s="1">
        <v>44998</v>
      </c>
      <c r="B4355" s="2" t="s">
        <v>733</v>
      </c>
      <c r="C4355" s="2" t="s">
        <v>18</v>
      </c>
      <c r="D4355" s="2" t="s">
        <v>10</v>
      </c>
      <c r="E4355" s="2" t="s">
        <v>16</v>
      </c>
      <c r="F4355" s="2">
        <v>23.16</v>
      </c>
      <c r="G4355" s="2">
        <v>5</v>
      </c>
      <c r="H4355" s="2">
        <v>-15.44</v>
      </c>
      <c r="I4355" t="str">
        <f t="shared" ref="I4355:I4418" si="68">TEXT(A4355,"mmm")</f>
        <v>Mar</v>
      </c>
      <c r="J4355">
        <f>YEAR(datas[[#This Row],[Order Date]])</f>
        <v>2023</v>
      </c>
    </row>
    <row r="4356" spans="1:10" ht="14.25" customHeight="1" x14ac:dyDescent="0.3">
      <c r="A4356" s="1">
        <v>44998</v>
      </c>
      <c r="B4356" s="2" t="s">
        <v>733</v>
      </c>
      <c r="C4356" s="2" t="s">
        <v>18</v>
      </c>
      <c r="D4356" s="2" t="s">
        <v>10</v>
      </c>
      <c r="E4356" s="2" t="s">
        <v>15</v>
      </c>
      <c r="F4356" s="2">
        <v>126.08</v>
      </c>
      <c r="G4356" s="2">
        <v>2</v>
      </c>
      <c r="H4356" s="2">
        <v>-28.37</v>
      </c>
      <c r="I4356" t="str">
        <f t="shared" si="68"/>
        <v>Mar</v>
      </c>
      <c r="J4356">
        <f>YEAR(datas[[#This Row],[Order Date]])</f>
        <v>2023</v>
      </c>
    </row>
    <row r="4357" spans="1:10" ht="14.25" customHeight="1" x14ac:dyDescent="0.3">
      <c r="A4357" s="1">
        <v>44998</v>
      </c>
      <c r="B4357" s="2" t="s">
        <v>733</v>
      </c>
      <c r="C4357" s="2" t="s">
        <v>18</v>
      </c>
      <c r="D4357" s="2" t="s">
        <v>28</v>
      </c>
      <c r="E4357" s="2" t="s">
        <v>136</v>
      </c>
      <c r="F4357" s="2">
        <v>449.1</v>
      </c>
      <c r="G4357" s="2">
        <v>3</v>
      </c>
      <c r="H4357" s="2">
        <v>-643.71</v>
      </c>
      <c r="I4357" t="str">
        <f t="shared" si="68"/>
        <v>Mar</v>
      </c>
      <c r="J4357">
        <f>YEAR(datas[[#This Row],[Order Date]])</f>
        <v>2023</v>
      </c>
    </row>
    <row r="4358" spans="1:10" ht="14.25" customHeight="1" x14ac:dyDescent="0.3">
      <c r="A4358" s="1">
        <v>44998</v>
      </c>
      <c r="B4358" s="2" t="s">
        <v>596</v>
      </c>
      <c r="C4358" s="2" t="s">
        <v>21</v>
      </c>
      <c r="D4358" s="2" t="s">
        <v>10</v>
      </c>
      <c r="E4358" s="2" t="s">
        <v>16</v>
      </c>
      <c r="F4358" s="2">
        <v>51.18</v>
      </c>
      <c r="G4358" s="2">
        <v>7</v>
      </c>
      <c r="H4358" s="2">
        <v>19.190000000000001</v>
      </c>
      <c r="I4358" t="str">
        <f t="shared" si="68"/>
        <v>Mar</v>
      </c>
      <c r="J4358">
        <f>YEAR(datas[[#This Row],[Order Date]])</f>
        <v>2023</v>
      </c>
    </row>
    <row r="4359" spans="1:10" ht="14.25" customHeight="1" x14ac:dyDescent="0.3">
      <c r="A4359" s="1">
        <v>44999</v>
      </c>
      <c r="B4359" s="2" t="s">
        <v>816</v>
      </c>
      <c r="C4359" s="2" t="s">
        <v>47</v>
      </c>
      <c r="D4359" s="2" t="s">
        <v>26</v>
      </c>
      <c r="E4359" s="2" t="s">
        <v>32</v>
      </c>
      <c r="F4359" s="2">
        <v>21.88</v>
      </c>
      <c r="G4359" s="2">
        <v>5</v>
      </c>
      <c r="H4359" s="2">
        <v>6.29</v>
      </c>
      <c r="I4359" t="str">
        <f t="shared" si="68"/>
        <v>Mar</v>
      </c>
      <c r="J4359">
        <f>YEAR(datas[[#This Row],[Order Date]])</f>
        <v>2023</v>
      </c>
    </row>
    <row r="4360" spans="1:10" ht="14.25" customHeight="1" x14ac:dyDescent="0.3">
      <c r="A4360" s="1">
        <v>44999</v>
      </c>
      <c r="B4360" s="2" t="s">
        <v>204</v>
      </c>
      <c r="C4360" s="2" t="s">
        <v>9</v>
      </c>
      <c r="D4360" s="2" t="s">
        <v>26</v>
      </c>
      <c r="E4360" s="2" t="s">
        <v>45</v>
      </c>
      <c r="F4360" s="2">
        <v>241.33</v>
      </c>
      <c r="G4360" s="2">
        <v>5</v>
      </c>
      <c r="H4360" s="2">
        <v>-14.2</v>
      </c>
      <c r="I4360" t="str">
        <f t="shared" si="68"/>
        <v>Mar</v>
      </c>
      <c r="J4360">
        <f>YEAR(datas[[#This Row],[Order Date]])</f>
        <v>2023</v>
      </c>
    </row>
    <row r="4361" spans="1:10" ht="14.25" customHeight="1" x14ac:dyDescent="0.3">
      <c r="A4361" s="1">
        <v>44999</v>
      </c>
      <c r="B4361" s="2" t="s">
        <v>204</v>
      </c>
      <c r="C4361" s="2" t="s">
        <v>9</v>
      </c>
      <c r="D4361" s="2" t="s">
        <v>10</v>
      </c>
      <c r="E4361" s="2" t="s">
        <v>11</v>
      </c>
      <c r="F4361" s="2">
        <v>5.18</v>
      </c>
      <c r="G4361" s="2">
        <v>1</v>
      </c>
      <c r="H4361" s="2">
        <v>1.88</v>
      </c>
      <c r="I4361" t="str">
        <f t="shared" si="68"/>
        <v>Mar</v>
      </c>
      <c r="J4361">
        <f>YEAR(datas[[#This Row],[Order Date]])</f>
        <v>2023</v>
      </c>
    </row>
    <row r="4362" spans="1:10" ht="14.25" customHeight="1" x14ac:dyDescent="0.3">
      <c r="A4362" s="1">
        <v>44999</v>
      </c>
      <c r="B4362" s="2" t="s">
        <v>204</v>
      </c>
      <c r="C4362" s="2" t="s">
        <v>9</v>
      </c>
      <c r="D4362" s="2" t="s">
        <v>10</v>
      </c>
      <c r="E4362" s="2" t="s">
        <v>19</v>
      </c>
      <c r="F4362" s="2">
        <v>145.54</v>
      </c>
      <c r="G4362" s="2">
        <v>7</v>
      </c>
      <c r="H4362" s="2">
        <v>16.37</v>
      </c>
      <c r="I4362" t="str">
        <f t="shared" si="68"/>
        <v>Mar</v>
      </c>
      <c r="J4362">
        <f>YEAR(datas[[#This Row],[Order Date]])</f>
        <v>2023</v>
      </c>
    </row>
    <row r="4363" spans="1:10" ht="14.25" customHeight="1" x14ac:dyDescent="0.3">
      <c r="A4363" s="1">
        <v>44999</v>
      </c>
      <c r="B4363" s="2" t="s">
        <v>61</v>
      </c>
      <c r="C4363" s="2" t="s">
        <v>82</v>
      </c>
      <c r="D4363" s="2" t="s">
        <v>26</v>
      </c>
      <c r="E4363" s="2" t="s">
        <v>27</v>
      </c>
      <c r="F4363" s="2">
        <v>196.78</v>
      </c>
      <c r="G4363" s="2">
        <v>2</v>
      </c>
      <c r="H4363" s="2">
        <v>-22.14</v>
      </c>
      <c r="I4363" t="str">
        <f t="shared" si="68"/>
        <v>Mar</v>
      </c>
      <c r="J4363">
        <f>YEAR(datas[[#This Row],[Order Date]])</f>
        <v>2023</v>
      </c>
    </row>
    <row r="4364" spans="1:10" ht="14.25" customHeight="1" x14ac:dyDescent="0.3">
      <c r="A4364" s="1">
        <v>44999</v>
      </c>
      <c r="B4364" s="2" t="s">
        <v>217</v>
      </c>
      <c r="C4364" s="2" t="s">
        <v>21</v>
      </c>
      <c r="D4364" s="2" t="s">
        <v>10</v>
      </c>
      <c r="E4364" s="2" t="s">
        <v>16</v>
      </c>
      <c r="F4364" s="2">
        <v>41.9</v>
      </c>
      <c r="G4364" s="2">
        <v>6</v>
      </c>
      <c r="H4364" s="2">
        <v>14.14</v>
      </c>
      <c r="I4364" t="str">
        <f t="shared" si="68"/>
        <v>Mar</v>
      </c>
      <c r="J4364">
        <f>YEAR(datas[[#This Row],[Order Date]])</f>
        <v>2023</v>
      </c>
    </row>
    <row r="4365" spans="1:10" ht="14.25" customHeight="1" x14ac:dyDescent="0.3">
      <c r="A4365" s="1">
        <v>44999</v>
      </c>
      <c r="B4365" s="2" t="s">
        <v>528</v>
      </c>
      <c r="C4365" s="2" t="s">
        <v>79</v>
      </c>
      <c r="D4365" s="2" t="s">
        <v>26</v>
      </c>
      <c r="E4365" s="2" t="s">
        <v>32</v>
      </c>
      <c r="F4365" s="2">
        <v>16.739999999999998</v>
      </c>
      <c r="G4365" s="2">
        <v>2</v>
      </c>
      <c r="H4365" s="2">
        <v>4.3499999999999996</v>
      </c>
      <c r="I4365" t="str">
        <f t="shared" si="68"/>
        <v>Mar</v>
      </c>
      <c r="J4365">
        <f>YEAR(datas[[#This Row],[Order Date]])</f>
        <v>2023</v>
      </c>
    </row>
    <row r="4366" spans="1:10" ht="14.25" customHeight="1" x14ac:dyDescent="0.3">
      <c r="A4366" s="1">
        <v>45000</v>
      </c>
      <c r="B4366" s="2" t="s">
        <v>557</v>
      </c>
      <c r="C4366" s="2" t="s">
        <v>18</v>
      </c>
      <c r="D4366" s="2" t="s">
        <v>28</v>
      </c>
      <c r="E4366" s="2" t="s">
        <v>34</v>
      </c>
      <c r="F4366" s="2">
        <v>83.98</v>
      </c>
      <c r="G4366" s="2">
        <v>3</v>
      </c>
      <c r="H4366" s="2">
        <v>-13.65</v>
      </c>
      <c r="I4366" t="str">
        <f t="shared" si="68"/>
        <v>Mar</v>
      </c>
      <c r="J4366">
        <f>YEAR(datas[[#This Row],[Order Date]])</f>
        <v>2023</v>
      </c>
    </row>
    <row r="4367" spans="1:10" ht="14.25" customHeight="1" x14ac:dyDescent="0.3">
      <c r="A4367" s="1">
        <v>45000</v>
      </c>
      <c r="B4367" s="2" t="s">
        <v>523</v>
      </c>
      <c r="C4367" s="2" t="s">
        <v>21</v>
      </c>
      <c r="D4367" s="2" t="s">
        <v>10</v>
      </c>
      <c r="E4367" s="2" t="s">
        <v>16</v>
      </c>
      <c r="F4367" s="2">
        <v>4.54</v>
      </c>
      <c r="G4367" s="2">
        <v>2</v>
      </c>
      <c r="H4367" s="2">
        <v>1.65</v>
      </c>
      <c r="I4367" t="str">
        <f t="shared" si="68"/>
        <v>Mar</v>
      </c>
      <c r="J4367">
        <f>YEAR(datas[[#This Row],[Order Date]])</f>
        <v>2023</v>
      </c>
    </row>
    <row r="4368" spans="1:10" ht="14.25" customHeight="1" x14ac:dyDescent="0.3">
      <c r="A4368" s="1">
        <v>45000</v>
      </c>
      <c r="B4368" s="2" t="s">
        <v>523</v>
      </c>
      <c r="C4368" s="2" t="s">
        <v>21</v>
      </c>
      <c r="D4368" s="2" t="s">
        <v>26</v>
      </c>
      <c r="E4368" s="2" t="s">
        <v>27</v>
      </c>
      <c r="F4368" s="2">
        <v>1352.03</v>
      </c>
      <c r="G4368" s="2">
        <v>4</v>
      </c>
      <c r="H4368" s="2">
        <v>84.5</v>
      </c>
      <c r="I4368" t="str">
        <f t="shared" si="68"/>
        <v>Mar</v>
      </c>
      <c r="J4368">
        <f>YEAR(datas[[#This Row],[Order Date]])</f>
        <v>2023</v>
      </c>
    </row>
    <row r="4369" spans="1:10" ht="14.25" customHeight="1" x14ac:dyDescent="0.3">
      <c r="A4369" s="1">
        <v>45000</v>
      </c>
      <c r="B4369" s="2" t="s">
        <v>767</v>
      </c>
      <c r="C4369" s="2" t="s">
        <v>143</v>
      </c>
      <c r="D4369" s="2" t="s">
        <v>10</v>
      </c>
      <c r="E4369" s="2" t="s">
        <v>11</v>
      </c>
      <c r="F4369" s="2">
        <v>319.76</v>
      </c>
      <c r="G4369" s="2">
        <v>14</v>
      </c>
      <c r="H4369" s="2">
        <v>147.09</v>
      </c>
      <c r="I4369" t="str">
        <f t="shared" si="68"/>
        <v>Mar</v>
      </c>
      <c r="J4369">
        <f>YEAR(datas[[#This Row],[Order Date]])</f>
        <v>2023</v>
      </c>
    </row>
    <row r="4370" spans="1:10" ht="14.25" customHeight="1" x14ac:dyDescent="0.3">
      <c r="A4370" s="1">
        <v>45000</v>
      </c>
      <c r="B4370" s="2" t="s">
        <v>767</v>
      </c>
      <c r="C4370" s="2" t="s">
        <v>143</v>
      </c>
      <c r="D4370" s="2" t="s">
        <v>10</v>
      </c>
      <c r="E4370" s="2" t="s">
        <v>11</v>
      </c>
      <c r="F4370" s="2">
        <v>45.68</v>
      </c>
      <c r="G4370" s="2">
        <v>2</v>
      </c>
      <c r="H4370" s="2">
        <v>21.01</v>
      </c>
      <c r="I4370" t="str">
        <f t="shared" si="68"/>
        <v>Mar</v>
      </c>
      <c r="J4370">
        <f>YEAR(datas[[#This Row],[Order Date]])</f>
        <v>2023</v>
      </c>
    </row>
    <row r="4371" spans="1:10" ht="14.25" customHeight="1" x14ac:dyDescent="0.3">
      <c r="A4371" s="1">
        <v>45000</v>
      </c>
      <c r="B4371" s="2" t="s">
        <v>232</v>
      </c>
      <c r="C4371" s="2" t="s">
        <v>9</v>
      </c>
      <c r="D4371" s="2" t="s">
        <v>26</v>
      </c>
      <c r="E4371" s="2" t="s">
        <v>27</v>
      </c>
      <c r="F4371" s="2">
        <v>528.42999999999995</v>
      </c>
      <c r="G4371" s="2">
        <v>5</v>
      </c>
      <c r="H4371" s="2">
        <v>-143.43</v>
      </c>
      <c r="I4371" t="str">
        <f t="shared" si="68"/>
        <v>Mar</v>
      </c>
      <c r="J4371">
        <f>YEAR(datas[[#This Row],[Order Date]])</f>
        <v>2023</v>
      </c>
    </row>
    <row r="4372" spans="1:10" ht="14.25" customHeight="1" x14ac:dyDescent="0.3">
      <c r="A4372" s="1">
        <v>45000</v>
      </c>
      <c r="B4372" s="2" t="s">
        <v>232</v>
      </c>
      <c r="C4372" s="2" t="s">
        <v>9</v>
      </c>
      <c r="D4372" s="2" t="s">
        <v>10</v>
      </c>
      <c r="E4372" s="2" t="s">
        <v>16</v>
      </c>
      <c r="F4372" s="2">
        <v>22.39</v>
      </c>
      <c r="G4372" s="2">
        <v>7</v>
      </c>
      <c r="H4372" s="2">
        <v>-35.82</v>
      </c>
      <c r="I4372" t="str">
        <f t="shared" si="68"/>
        <v>Mar</v>
      </c>
      <c r="J4372">
        <f>YEAR(datas[[#This Row],[Order Date]])</f>
        <v>2023</v>
      </c>
    </row>
    <row r="4373" spans="1:10" ht="14.25" customHeight="1" x14ac:dyDescent="0.3">
      <c r="A4373" s="1">
        <v>45002</v>
      </c>
      <c r="B4373" s="2" t="s">
        <v>419</v>
      </c>
      <c r="C4373" s="2" t="s">
        <v>181</v>
      </c>
      <c r="D4373" s="2" t="s">
        <v>10</v>
      </c>
      <c r="E4373" s="2" t="s">
        <v>19</v>
      </c>
      <c r="F4373" s="2">
        <v>39.68</v>
      </c>
      <c r="G4373" s="2">
        <v>2</v>
      </c>
      <c r="H4373" s="2">
        <v>10.32</v>
      </c>
      <c r="I4373" t="str">
        <f t="shared" si="68"/>
        <v>Mar</v>
      </c>
      <c r="J4373">
        <f>YEAR(datas[[#This Row],[Order Date]])</f>
        <v>2023</v>
      </c>
    </row>
    <row r="4374" spans="1:10" ht="14.25" customHeight="1" x14ac:dyDescent="0.3">
      <c r="A4374" s="1">
        <v>45002</v>
      </c>
      <c r="B4374" s="2" t="s">
        <v>155</v>
      </c>
      <c r="C4374" s="2" t="s">
        <v>38</v>
      </c>
      <c r="D4374" s="2" t="s">
        <v>28</v>
      </c>
      <c r="E4374" s="2" t="s">
        <v>29</v>
      </c>
      <c r="F4374" s="2">
        <v>129.97999999999999</v>
      </c>
      <c r="G4374" s="2">
        <v>2</v>
      </c>
      <c r="H4374" s="2">
        <v>62.39</v>
      </c>
      <c r="I4374" t="str">
        <f t="shared" si="68"/>
        <v>Mar</v>
      </c>
      <c r="J4374">
        <f>YEAR(datas[[#This Row],[Order Date]])</f>
        <v>2023</v>
      </c>
    </row>
    <row r="4375" spans="1:10" ht="14.25" customHeight="1" x14ac:dyDescent="0.3">
      <c r="A4375" s="1">
        <v>45002</v>
      </c>
      <c r="B4375" s="2" t="s">
        <v>155</v>
      </c>
      <c r="C4375" s="2" t="s">
        <v>38</v>
      </c>
      <c r="D4375" s="2" t="s">
        <v>10</v>
      </c>
      <c r="E4375" s="2" t="s">
        <v>16</v>
      </c>
      <c r="F4375" s="2">
        <v>32.54</v>
      </c>
      <c r="G4375" s="2">
        <v>2</v>
      </c>
      <c r="H4375" s="2">
        <v>15.94</v>
      </c>
      <c r="I4375" t="str">
        <f t="shared" si="68"/>
        <v>Mar</v>
      </c>
      <c r="J4375">
        <f>YEAR(datas[[#This Row],[Order Date]])</f>
        <v>2023</v>
      </c>
    </row>
    <row r="4376" spans="1:10" ht="14.25" customHeight="1" x14ac:dyDescent="0.3">
      <c r="A4376" s="1">
        <v>45002</v>
      </c>
      <c r="B4376" s="2" t="s">
        <v>403</v>
      </c>
      <c r="C4376" s="2" t="s">
        <v>215</v>
      </c>
      <c r="D4376" s="2" t="s">
        <v>10</v>
      </c>
      <c r="E4376" s="2" t="s">
        <v>41</v>
      </c>
      <c r="F4376" s="2">
        <v>199.9</v>
      </c>
      <c r="G4376" s="2">
        <v>5</v>
      </c>
      <c r="H4376" s="2">
        <v>89.96</v>
      </c>
      <c r="I4376" t="str">
        <f t="shared" si="68"/>
        <v>Mar</v>
      </c>
      <c r="J4376">
        <f>YEAR(datas[[#This Row],[Order Date]])</f>
        <v>2023</v>
      </c>
    </row>
    <row r="4377" spans="1:10" ht="14.25" customHeight="1" x14ac:dyDescent="0.3">
      <c r="A4377" s="1">
        <v>45002</v>
      </c>
      <c r="B4377" s="2" t="s">
        <v>403</v>
      </c>
      <c r="C4377" s="2" t="s">
        <v>215</v>
      </c>
      <c r="D4377" s="2" t="s">
        <v>10</v>
      </c>
      <c r="E4377" s="2" t="s">
        <v>53</v>
      </c>
      <c r="F4377" s="2">
        <v>901.95</v>
      </c>
      <c r="G4377" s="2">
        <v>3</v>
      </c>
      <c r="H4377" s="2">
        <v>297.64</v>
      </c>
      <c r="I4377" t="str">
        <f t="shared" si="68"/>
        <v>Mar</v>
      </c>
      <c r="J4377">
        <f>YEAR(datas[[#This Row],[Order Date]])</f>
        <v>2023</v>
      </c>
    </row>
    <row r="4378" spans="1:10" ht="14.25" customHeight="1" x14ac:dyDescent="0.3">
      <c r="A4378" s="1">
        <v>45002</v>
      </c>
      <c r="B4378" s="2" t="s">
        <v>403</v>
      </c>
      <c r="C4378" s="2" t="s">
        <v>215</v>
      </c>
      <c r="D4378" s="2" t="s">
        <v>26</v>
      </c>
      <c r="E4378" s="2" t="s">
        <v>32</v>
      </c>
      <c r="F4378" s="2">
        <v>971.5</v>
      </c>
      <c r="G4378" s="2">
        <v>5</v>
      </c>
      <c r="H4378" s="2">
        <v>252.59</v>
      </c>
      <c r="I4378" t="str">
        <f t="shared" si="68"/>
        <v>Mar</v>
      </c>
      <c r="J4378">
        <f>YEAR(datas[[#This Row],[Order Date]])</f>
        <v>2023</v>
      </c>
    </row>
    <row r="4379" spans="1:10" ht="14.25" customHeight="1" x14ac:dyDescent="0.3">
      <c r="A4379" s="1">
        <v>45002</v>
      </c>
      <c r="B4379" s="2" t="s">
        <v>532</v>
      </c>
      <c r="C4379" s="2" t="s">
        <v>21</v>
      </c>
      <c r="D4379" s="2" t="s">
        <v>28</v>
      </c>
      <c r="E4379" s="2" t="s">
        <v>29</v>
      </c>
      <c r="F4379" s="2">
        <v>84.78</v>
      </c>
      <c r="G4379" s="2">
        <v>2</v>
      </c>
      <c r="H4379" s="2">
        <v>-20.14</v>
      </c>
      <c r="I4379" t="str">
        <f t="shared" si="68"/>
        <v>Mar</v>
      </c>
      <c r="J4379">
        <f>YEAR(datas[[#This Row],[Order Date]])</f>
        <v>2023</v>
      </c>
    </row>
    <row r="4380" spans="1:10" ht="14.25" customHeight="1" x14ac:dyDescent="0.3">
      <c r="A4380" s="1">
        <v>45003</v>
      </c>
      <c r="B4380" s="2" t="s">
        <v>717</v>
      </c>
      <c r="C4380" s="2" t="s">
        <v>62</v>
      </c>
      <c r="D4380" s="2" t="s">
        <v>26</v>
      </c>
      <c r="E4380" s="2" t="s">
        <v>73</v>
      </c>
      <c r="F4380" s="2">
        <v>189.88</v>
      </c>
      <c r="G4380" s="2">
        <v>3</v>
      </c>
      <c r="H4380" s="2">
        <v>-94.94</v>
      </c>
      <c r="I4380" t="str">
        <f t="shared" si="68"/>
        <v>Mar</v>
      </c>
      <c r="J4380">
        <f>YEAR(datas[[#This Row],[Order Date]])</f>
        <v>2023</v>
      </c>
    </row>
    <row r="4381" spans="1:10" ht="14.25" customHeight="1" x14ac:dyDescent="0.3">
      <c r="A4381" s="1">
        <v>45003</v>
      </c>
      <c r="B4381" s="2" t="s">
        <v>107</v>
      </c>
      <c r="C4381" s="2" t="s">
        <v>62</v>
      </c>
      <c r="D4381" s="2" t="s">
        <v>10</v>
      </c>
      <c r="E4381" s="2" t="s">
        <v>53</v>
      </c>
      <c r="F4381" s="2">
        <v>871.8</v>
      </c>
      <c r="G4381" s="2">
        <v>3</v>
      </c>
      <c r="H4381" s="2">
        <v>87.18</v>
      </c>
      <c r="I4381" t="str">
        <f t="shared" si="68"/>
        <v>Mar</v>
      </c>
      <c r="J4381">
        <f>YEAR(datas[[#This Row],[Order Date]])</f>
        <v>2023</v>
      </c>
    </row>
    <row r="4382" spans="1:10" ht="14.25" customHeight="1" x14ac:dyDescent="0.3">
      <c r="A4382" s="1">
        <v>45004</v>
      </c>
      <c r="B4382" s="2" t="s">
        <v>306</v>
      </c>
      <c r="C4382" s="2" t="s">
        <v>126</v>
      </c>
      <c r="D4382" s="2" t="s">
        <v>26</v>
      </c>
      <c r="E4382" s="2" t="s">
        <v>45</v>
      </c>
      <c r="F4382" s="2">
        <v>72.290000000000006</v>
      </c>
      <c r="G4382" s="2">
        <v>1</v>
      </c>
      <c r="H4382" s="2">
        <v>-98.8</v>
      </c>
      <c r="I4382" t="str">
        <f t="shared" si="68"/>
        <v>Mar</v>
      </c>
      <c r="J4382">
        <f>YEAR(datas[[#This Row],[Order Date]])</f>
        <v>2023</v>
      </c>
    </row>
    <row r="4383" spans="1:10" ht="14.25" customHeight="1" x14ac:dyDescent="0.3">
      <c r="A4383" s="1">
        <v>45004</v>
      </c>
      <c r="B4383" s="2" t="s">
        <v>817</v>
      </c>
      <c r="C4383" s="2" t="s">
        <v>75</v>
      </c>
      <c r="D4383" s="2" t="s">
        <v>26</v>
      </c>
      <c r="E4383" s="2" t="s">
        <v>32</v>
      </c>
      <c r="F4383" s="2">
        <v>14.98</v>
      </c>
      <c r="G4383" s="2">
        <v>1</v>
      </c>
      <c r="H4383" s="2">
        <v>6.89</v>
      </c>
      <c r="I4383" t="str">
        <f t="shared" si="68"/>
        <v>Mar</v>
      </c>
      <c r="J4383">
        <f>YEAR(datas[[#This Row],[Order Date]])</f>
        <v>2023</v>
      </c>
    </row>
    <row r="4384" spans="1:10" ht="14.25" customHeight="1" x14ac:dyDescent="0.3">
      <c r="A4384" s="1">
        <v>45004</v>
      </c>
      <c r="B4384" s="2" t="s">
        <v>817</v>
      </c>
      <c r="C4384" s="2" t="s">
        <v>75</v>
      </c>
      <c r="D4384" s="2" t="s">
        <v>26</v>
      </c>
      <c r="E4384" s="2" t="s">
        <v>32</v>
      </c>
      <c r="F4384" s="2">
        <v>20.32</v>
      </c>
      <c r="G4384" s="2">
        <v>4</v>
      </c>
      <c r="H4384" s="2">
        <v>6.91</v>
      </c>
      <c r="I4384" t="str">
        <f t="shared" si="68"/>
        <v>Mar</v>
      </c>
      <c r="J4384">
        <f>YEAR(datas[[#This Row],[Order Date]])</f>
        <v>2023</v>
      </c>
    </row>
    <row r="4385" spans="1:10" ht="14.25" customHeight="1" x14ac:dyDescent="0.3">
      <c r="A4385" s="1">
        <v>45004</v>
      </c>
      <c r="B4385" s="2" t="s">
        <v>439</v>
      </c>
      <c r="C4385" s="2" t="s">
        <v>62</v>
      </c>
      <c r="D4385" s="2" t="s">
        <v>10</v>
      </c>
      <c r="E4385" s="2" t="s">
        <v>16</v>
      </c>
      <c r="F4385" s="2">
        <v>31.09</v>
      </c>
      <c r="G4385" s="2">
        <v>3</v>
      </c>
      <c r="H4385" s="2">
        <v>-20.72</v>
      </c>
      <c r="I4385" t="str">
        <f t="shared" si="68"/>
        <v>Mar</v>
      </c>
      <c r="J4385">
        <f>YEAR(datas[[#This Row],[Order Date]])</f>
        <v>2023</v>
      </c>
    </row>
    <row r="4386" spans="1:10" ht="14.25" customHeight="1" x14ac:dyDescent="0.3">
      <c r="A4386" s="1">
        <v>45005</v>
      </c>
      <c r="B4386" s="2" t="s">
        <v>527</v>
      </c>
      <c r="C4386" s="2" t="s">
        <v>52</v>
      </c>
      <c r="D4386" s="2" t="s">
        <v>28</v>
      </c>
      <c r="E4386" s="2" t="s">
        <v>29</v>
      </c>
      <c r="F4386" s="2">
        <v>84.78</v>
      </c>
      <c r="G4386" s="2">
        <v>2</v>
      </c>
      <c r="H4386" s="2">
        <v>-20.14</v>
      </c>
      <c r="I4386" t="str">
        <f t="shared" si="68"/>
        <v>Mar</v>
      </c>
      <c r="J4386">
        <f>YEAR(datas[[#This Row],[Order Date]])</f>
        <v>2023</v>
      </c>
    </row>
    <row r="4387" spans="1:10" ht="14.25" customHeight="1" x14ac:dyDescent="0.3">
      <c r="A4387" s="1">
        <v>45005</v>
      </c>
      <c r="B4387" s="2" t="s">
        <v>527</v>
      </c>
      <c r="C4387" s="2" t="s">
        <v>52</v>
      </c>
      <c r="D4387" s="2" t="s">
        <v>10</v>
      </c>
      <c r="E4387" s="2" t="s">
        <v>11</v>
      </c>
      <c r="F4387" s="2">
        <v>20.74</v>
      </c>
      <c r="G4387" s="2">
        <v>4</v>
      </c>
      <c r="H4387" s="2">
        <v>7.26</v>
      </c>
      <c r="I4387" t="str">
        <f t="shared" si="68"/>
        <v>Mar</v>
      </c>
      <c r="J4387">
        <f>YEAR(datas[[#This Row],[Order Date]])</f>
        <v>2023</v>
      </c>
    </row>
    <row r="4388" spans="1:10" ht="14.25" customHeight="1" x14ac:dyDescent="0.3">
      <c r="A4388" s="1">
        <v>45005</v>
      </c>
      <c r="B4388" s="2" t="s">
        <v>527</v>
      </c>
      <c r="C4388" s="2" t="s">
        <v>52</v>
      </c>
      <c r="D4388" s="2" t="s">
        <v>10</v>
      </c>
      <c r="E4388" s="2" t="s">
        <v>16</v>
      </c>
      <c r="F4388" s="2">
        <v>16.82</v>
      </c>
      <c r="G4388" s="2">
        <v>3</v>
      </c>
      <c r="H4388" s="2">
        <v>-12.9</v>
      </c>
      <c r="I4388" t="str">
        <f t="shared" si="68"/>
        <v>Mar</v>
      </c>
      <c r="J4388">
        <f>YEAR(datas[[#This Row],[Order Date]])</f>
        <v>2023</v>
      </c>
    </row>
    <row r="4389" spans="1:10" ht="14.25" customHeight="1" x14ac:dyDescent="0.3">
      <c r="A4389" s="1">
        <v>45005</v>
      </c>
      <c r="B4389" s="2" t="s">
        <v>527</v>
      </c>
      <c r="C4389" s="2" t="s">
        <v>52</v>
      </c>
      <c r="D4389" s="2" t="s">
        <v>10</v>
      </c>
      <c r="E4389" s="2" t="s">
        <v>11</v>
      </c>
      <c r="F4389" s="2">
        <v>10.37</v>
      </c>
      <c r="G4389" s="2">
        <v>2</v>
      </c>
      <c r="H4389" s="2">
        <v>3.63</v>
      </c>
      <c r="I4389" t="str">
        <f t="shared" si="68"/>
        <v>Mar</v>
      </c>
      <c r="J4389">
        <f>YEAR(datas[[#This Row],[Order Date]])</f>
        <v>2023</v>
      </c>
    </row>
    <row r="4390" spans="1:10" ht="14.25" customHeight="1" x14ac:dyDescent="0.3">
      <c r="A4390" s="1">
        <v>45005</v>
      </c>
      <c r="B4390" s="2" t="s">
        <v>582</v>
      </c>
      <c r="C4390" s="2" t="s">
        <v>13</v>
      </c>
      <c r="D4390" s="2" t="s">
        <v>28</v>
      </c>
      <c r="E4390" s="2" t="s">
        <v>29</v>
      </c>
      <c r="F4390" s="2">
        <v>11.99</v>
      </c>
      <c r="G4390" s="2">
        <v>1</v>
      </c>
      <c r="H4390" s="2">
        <v>0.9</v>
      </c>
      <c r="I4390" t="str">
        <f t="shared" si="68"/>
        <v>Mar</v>
      </c>
      <c r="J4390">
        <f>YEAR(datas[[#This Row],[Order Date]])</f>
        <v>2023</v>
      </c>
    </row>
    <row r="4391" spans="1:10" ht="14.25" customHeight="1" x14ac:dyDescent="0.3">
      <c r="A4391" s="1">
        <v>45005</v>
      </c>
      <c r="B4391" s="2" t="s">
        <v>701</v>
      </c>
      <c r="C4391" s="2" t="s">
        <v>91</v>
      </c>
      <c r="D4391" s="2" t="s">
        <v>26</v>
      </c>
      <c r="E4391" s="2" t="s">
        <v>73</v>
      </c>
      <c r="F4391" s="2">
        <v>697.16</v>
      </c>
      <c r="G4391" s="2">
        <v>4</v>
      </c>
      <c r="H4391" s="2">
        <v>146.4</v>
      </c>
      <c r="I4391" t="str">
        <f t="shared" si="68"/>
        <v>Mar</v>
      </c>
      <c r="J4391">
        <f>YEAR(datas[[#This Row],[Order Date]])</f>
        <v>2023</v>
      </c>
    </row>
    <row r="4392" spans="1:10" ht="14.25" customHeight="1" x14ac:dyDescent="0.3">
      <c r="A4392" s="1">
        <v>45005</v>
      </c>
      <c r="B4392" s="2" t="s">
        <v>224</v>
      </c>
      <c r="C4392" s="2" t="s">
        <v>143</v>
      </c>
      <c r="D4392" s="2" t="s">
        <v>26</v>
      </c>
      <c r="E4392" s="2" t="s">
        <v>32</v>
      </c>
      <c r="F4392" s="2">
        <v>86.45</v>
      </c>
      <c r="G4392" s="2">
        <v>7</v>
      </c>
      <c r="H4392" s="2">
        <v>38.04</v>
      </c>
      <c r="I4392" t="str">
        <f t="shared" si="68"/>
        <v>Mar</v>
      </c>
      <c r="J4392">
        <f>YEAR(datas[[#This Row],[Order Date]])</f>
        <v>2023</v>
      </c>
    </row>
    <row r="4393" spans="1:10" ht="14.25" customHeight="1" x14ac:dyDescent="0.3">
      <c r="A4393" s="1">
        <v>45006</v>
      </c>
      <c r="B4393" s="2" t="s">
        <v>458</v>
      </c>
      <c r="C4393" s="2" t="s">
        <v>13</v>
      </c>
      <c r="D4393" s="2" t="s">
        <v>10</v>
      </c>
      <c r="E4393" s="2" t="s">
        <v>16</v>
      </c>
      <c r="F4393" s="2">
        <v>3.17</v>
      </c>
      <c r="G4393" s="2">
        <v>2</v>
      </c>
      <c r="H4393" s="2">
        <v>-4.75</v>
      </c>
      <c r="I4393" t="str">
        <f t="shared" si="68"/>
        <v>Mar</v>
      </c>
      <c r="J4393">
        <f>YEAR(datas[[#This Row],[Order Date]])</f>
        <v>2023</v>
      </c>
    </row>
    <row r="4394" spans="1:10" ht="14.25" customHeight="1" x14ac:dyDescent="0.3">
      <c r="A4394" s="1">
        <v>45006</v>
      </c>
      <c r="B4394" s="2" t="s">
        <v>458</v>
      </c>
      <c r="C4394" s="2" t="s">
        <v>13</v>
      </c>
      <c r="D4394" s="2" t="s">
        <v>26</v>
      </c>
      <c r="E4394" s="2" t="s">
        <v>27</v>
      </c>
      <c r="F4394" s="2">
        <v>528.42999999999995</v>
      </c>
      <c r="G4394" s="2">
        <v>5</v>
      </c>
      <c r="H4394" s="2">
        <v>0</v>
      </c>
      <c r="I4394" t="str">
        <f t="shared" si="68"/>
        <v>Mar</v>
      </c>
      <c r="J4394">
        <f>YEAR(datas[[#This Row],[Order Date]])</f>
        <v>2023</v>
      </c>
    </row>
    <row r="4395" spans="1:10" ht="14.25" customHeight="1" x14ac:dyDescent="0.3">
      <c r="A4395" s="1">
        <v>45006</v>
      </c>
      <c r="B4395" s="2" t="s">
        <v>458</v>
      </c>
      <c r="C4395" s="2" t="s">
        <v>13</v>
      </c>
      <c r="D4395" s="2" t="s">
        <v>10</v>
      </c>
      <c r="E4395" s="2" t="s">
        <v>19</v>
      </c>
      <c r="F4395" s="2">
        <v>13.39</v>
      </c>
      <c r="G4395" s="2">
        <v>3</v>
      </c>
      <c r="H4395" s="2">
        <v>1.51</v>
      </c>
      <c r="I4395" t="str">
        <f t="shared" si="68"/>
        <v>Mar</v>
      </c>
      <c r="J4395">
        <f>YEAR(datas[[#This Row],[Order Date]])</f>
        <v>2023</v>
      </c>
    </row>
    <row r="4396" spans="1:10" ht="14.25" customHeight="1" x14ac:dyDescent="0.3">
      <c r="A4396" s="1">
        <v>45006</v>
      </c>
      <c r="B4396" s="2" t="s">
        <v>512</v>
      </c>
      <c r="C4396" s="2" t="s">
        <v>9</v>
      </c>
      <c r="D4396" s="2" t="s">
        <v>26</v>
      </c>
      <c r="E4396" s="2" t="s">
        <v>73</v>
      </c>
      <c r="F4396" s="2">
        <v>99.37</v>
      </c>
      <c r="G4396" s="2">
        <v>2</v>
      </c>
      <c r="H4396" s="2">
        <v>-1.42</v>
      </c>
      <c r="I4396" t="str">
        <f t="shared" si="68"/>
        <v>Mar</v>
      </c>
      <c r="J4396">
        <f>YEAR(datas[[#This Row],[Order Date]])</f>
        <v>2023</v>
      </c>
    </row>
    <row r="4397" spans="1:10" ht="14.25" customHeight="1" x14ac:dyDescent="0.3">
      <c r="A4397" s="1">
        <v>45006</v>
      </c>
      <c r="B4397" s="2" t="s">
        <v>512</v>
      </c>
      <c r="C4397" s="2" t="s">
        <v>9</v>
      </c>
      <c r="D4397" s="2" t="s">
        <v>10</v>
      </c>
      <c r="E4397" s="2" t="s">
        <v>19</v>
      </c>
      <c r="F4397" s="2">
        <v>1.34</v>
      </c>
      <c r="G4397" s="2">
        <v>1</v>
      </c>
      <c r="H4397" s="2">
        <v>0.5</v>
      </c>
      <c r="I4397" t="str">
        <f t="shared" si="68"/>
        <v>Mar</v>
      </c>
      <c r="J4397">
        <f>YEAR(datas[[#This Row],[Order Date]])</f>
        <v>2023</v>
      </c>
    </row>
    <row r="4398" spans="1:10" ht="14.25" customHeight="1" x14ac:dyDescent="0.3">
      <c r="A4398" s="1">
        <v>45007</v>
      </c>
      <c r="B4398" s="2" t="s">
        <v>427</v>
      </c>
      <c r="C4398" s="2" t="s">
        <v>66</v>
      </c>
      <c r="D4398" s="2" t="s">
        <v>28</v>
      </c>
      <c r="E4398" s="2" t="s">
        <v>34</v>
      </c>
      <c r="F4398" s="2">
        <v>58.58</v>
      </c>
      <c r="G4398" s="2">
        <v>2</v>
      </c>
      <c r="H4398" s="2">
        <v>19.329999999999998</v>
      </c>
      <c r="I4398" t="str">
        <f t="shared" si="68"/>
        <v>Mar</v>
      </c>
      <c r="J4398">
        <f>YEAR(datas[[#This Row],[Order Date]])</f>
        <v>2023</v>
      </c>
    </row>
    <row r="4399" spans="1:10" ht="14.25" customHeight="1" x14ac:dyDescent="0.3">
      <c r="A4399" s="1">
        <v>45007</v>
      </c>
      <c r="B4399" s="2" t="s">
        <v>457</v>
      </c>
      <c r="C4399" s="2" t="s">
        <v>82</v>
      </c>
      <c r="D4399" s="2" t="s">
        <v>26</v>
      </c>
      <c r="E4399" s="2" t="s">
        <v>27</v>
      </c>
      <c r="F4399" s="2">
        <v>167.89</v>
      </c>
      <c r="G4399" s="2">
        <v>7</v>
      </c>
      <c r="H4399" s="2">
        <v>14.69</v>
      </c>
      <c r="I4399" t="str">
        <f t="shared" si="68"/>
        <v>Mar</v>
      </c>
      <c r="J4399">
        <f>YEAR(datas[[#This Row],[Order Date]])</f>
        <v>2023</v>
      </c>
    </row>
    <row r="4400" spans="1:10" ht="14.25" customHeight="1" x14ac:dyDescent="0.3">
      <c r="A4400" s="1">
        <v>45009</v>
      </c>
      <c r="B4400" s="2" t="s">
        <v>769</v>
      </c>
      <c r="C4400" s="2" t="s">
        <v>52</v>
      </c>
      <c r="D4400" s="2" t="s">
        <v>28</v>
      </c>
      <c r="E4400" s="2" t="s">
        <v>29</v>
      </c>
      <c r="F4400" s="2">
        <v>403.17</v>
      </c>
      <c r="G4400" s="2">
        <v>4</v>
      </c>
      <c r="H4400" s="2">
        <v>25.2</v>
      </c>
      <c r="I4400" t="str">
        <f t="shared" si="68"/>
        <v>Mar</v>
      </c>
      <c r="J4400">
        <f>YEAR(datas[[#This Row],[Order Date]])</f>
        <v>2023</v>
      </c>
    </row>
    <row r="4401" spans="1:10" ht="14.25" customHeight="1" x14ac:dyDescent="0.3">
      <c r="A4401" s="1">
        <v>45009</v>
      </c>
      <c r="B4401" s="2" t="s">
        <v>493</v>
      </c>
      <c r="C4401" s="2" t="s">
        <v>68</v>
      </c>
      <c r="D4401" s="2" t="s">
        <v>10</v>
      </c>
      <c r="E4401" s="2" t="s">
        <v>11</v>
      </c>
      <c r="F4401" s="2">
        <v>22.48</v>
      </c>
      <c r="G4401" s="2">
        <v>1</v>
      </c>
      <c r="H4401" s="2">
        <v>10.34</v>
      </c>
      <c r="I4401" t="str">
        <f t="shared" si="68"/>
        <v>Mar</v>
      </c>
      <c r="J4401">
        <f>YEAR(datas[[#This Row],[Order Date]])</f>
        <v>2023</v>
      </c>
    </row>
    <row r="4402" spans="1:10" ht="14.25" customHeight="1" x14ac:dyDescent="0.3">
      <c r="A4402" s="1">
        <v>45009</v>
      </c>
      <c r="B4402" s="2" t="s">
        <v>352</v>
      </c>
      <c r="C4402" s="2" t="s">
        <v>47</v>
      </c>
      <c r="D4402" s="2" t="s">
        <v>26</v>
      </c>
      <c r="E4402" s="2" t="s">
        <v>45</v>
      </c>
      <c r="F4402" s="2">
        <v>301.47000000000003</v>
      </c>
      <c r="G4402" s="2">
        <v>3</v>
      </c>
      <c r="H4402" s="2">
        <v>-241.18</v>
      </c>
      <c r="I4402" t="str">
        <f t="shared" si="68"/>
        <v>Mar</v>
      </c>
      <c r="J4402">
        <f>YEAR(datas[[#This Row],[Order Date]])</f>
        <v>2023</v>
      </c>
    </row>
    <row r="4403" spans="1:10" ht="14.25" customHeight="1" x14ac:dyDescent="0.3">
      <c r="A4403" s="1">
        <v>45009</v>
      </c>
      <c r="B4403" s="2" t="s">
        <v>352</v>
      </c>
      <c r="C4403" s="2" t="s">
        <v>47</v>
      </c>
      <c r="D4403" s="2" t="s">
        <v>10</v>
      </c>
      <c r="E4403" s="2" t="s">
        <v>19</v>
      </c>
      <c r="F4403" s="2">
        <v>18.66</v>
      </c>
      <c r="G4403" s="2">
        <v>2</v>
      </c>
      <c r="H4403" s="2">
        <v>1.63</v>
      </c>
      <c r="I4403" t="str">
        <f t="shared" si="68"/>
        <v>Mar</v>
      </c>
      <c r="J4403">
        <f>YEAR(datas[[#This Row],[Order Date]])</f>
        <v>2023</v>
      </c>
    </row>
    <row r="4404" spans="1:10" ht="14.25" customHeight="1" x14ac:dyDescent="0.3">
      <c r="A4404" s="1">
        <v>45010</v>
      </c>
      <c r="B4404" s="2" t="s">
        <v>331</v>
      </c>
      <c r="C4404" s="2" t="s">
        <v>329</v>
      </c>
      <c r="D4404" s="2" t="s">
        <v>28</v>
      </c>
      <c r="E4404" s="2" t="s">
        <v>34</v>
      </c>
      <c r="F4404" s="2">
        <v>1287.45</v>
      </c>
      <c r="G4404" s="2">
        <v>5</v>
      </c>
      <c r="H4404" s="2">
        <v>244.62</v>
      </c>
      <c r="I4404" t="str">
        <f t="shared" si="68"/>
        <v>Mar</v>
      </c>
      <c r="J4404">
        <f>YEAR(datas[[#This Row],[Order Date]])</f>
        <v>2023</v>
      </c>
    </row>
    <row r="4405" spans="1:10" ht="14.25" customHeight="1" x14ac:dyDescent="0.3">
      <c r="A4405" s="1">
        <v>45010</v>
      </c>
      <c r="B4405" s="2" t="s">
        <v>162</v>
      </c>
      <c r="C4405" s="2" t="s">
        <v>75</v>
      </c>
      <c r="D4405" s="2" t="s">
        <v>10</v>
      </c>
      <c r="E4405" s="2" t="s">
        <v>19</v>
      </c>
      <c r="F4405" s="2">
        <v>59.52</v>
      </c>
      <c r="G4405" s="2">
        <v>3</v>
      </c>
      <c r="H4405" s="2">
        <v>17.86</v>
      </c>
      <c r="I4405" t="str">
        <f t="shared" si="68"/>
        <v>Mar</v>
      </c>
      <c r="J4405">
        <f>YEAR(datas[[#This Row],[Order Date]])</f>
        <v>2023</v>
      </c>
    </row>
    <row r="4406" spans="1:10" ht="14.25" customHeight="1" x14ac:dyDescent="0.3">
      <c r="A4406" s="1">
        <v>45011</v>
      </c>
      <c r="B4406" s="2" t="s">
        <v>528</v>
      </c>
      <c r="C4406" s="2" t="s">
        <v>75</v>
      </c>
      <c r="D4406" s="2" t="s">
        <v>10</v>
      </c>
      <c r="E4406" s="2" t="s">
        <v>15</v>
      </c>
      <c r="F4406" s="2">
        <v>459.95</v>
      </c>
      <c r="G4406" s="2">
        <v>5</v>
      </c>
      <c r="H4406" s="2">
        <v>18.399999999999999</v>
      </c>
      <c r="I4406" t="str">
        <f t="shared" si="68"/>
        <v>Mar</v>
      </c>
      <c r="J4406">
        <f>YEAR(datas[[#This Row],[Order Date]])</f>
        <v>2023</v>
      </c>
    </row>
    <row r="4407" spans="1:10" ht="14.25" customHeight="1" x14ac:dyDescent="0.3">
      <c r="A4407" s="1">
        <v>45011</v>
      </c>
      <c r="B4407" s="2" t="s">
        <v>694</v>
      </c>
      <c r="C4407" s="2" t="s">
        <v>115</v>
      </c>
      <c r="D4407" s="2" t="s">
        <v>10</v>
      </c>
      <c r="E4407" s="2" t="s">
        <v>15</v>
      </c>
      <c r="F4407" s="2">
        <v>67.64</v>
      </c>
      <c r="G4407" s="2">
        <v>5</v>
      </c>
      <c r="H4407" s="2">
        <v>5.92</v>
      </c>
      <c r="I4407" t="str">
        <f t="shared" si="68"/>
        <v>Mar</v>
      </c>
      <c r="J4407">
        <f>YEAR(datas[[#This Row],[Order Date]])</f>
        <v>2023</v>
      </c>
    </row>
    <row r="4408" spans="1:10" ht="14.25" customHeight="1" x14ac:dyDescent="0.3">
      <c r="A4408" s="1">
        <v>45011</v>
      </c>
      <c r="B4408" s="2" t="s">
        <v>694</v>
      </c>
      <c r="C4408" s="2" t="s">
        <v>115</v>
      </c>
      <c r="D4408" s="2" t="s">
        <v>28</v>
      </c>
      <c r="E4408" s="2" t="s">
        <v>34</v>
      </c>
      <c r="F4408" s="2">
        <v>119.98</v>
      </c>
      <c r="G4408" s="2">
        <v>3</v>
      </c>
      <c r="H4408" s="2">
        <v>-18</v>
      </c>
      <c r="I4408" t="str">
        <f t="shared" si="68"/>
        <v>Mar</v>
      </c>
      <c r="J4408">
        <f>YEAR(datas[[#This Row],[Order Date]])</f>
        <v>2023</v>
      </c>
    </row>
    <row r="4409" spans="1:10" ht="14.25" customHeight="1" x14ac:dyDescent="0.3">
      <c r="A4409" s="1">
        <v>45011</v>
      </c>
      <c r="B4409" s="2" t="s">
        <v>58</v>
      </c>
      <c r="C4409" s="2" t="s">
        <v>207</v>
      </c>
      <c r="D4409" s="2" t="s">
        <v>10</v>
      </c>
      <c r="E4409" s="2" t="s">
        <v>11</v>
      </c>
      <c r="F4409" s="2">
        <v>17.64</v>
      </c>
      <c r="G4409" s="2">
        <v>3</v>
      </c>
      <c r="H4409" s="2">
        <v>8.64</v>
      </c>
      <c r="I4409" t="str">
        <f t="shared" si="68"/>
        <v>Mar</v>
      </c>
      <c r="J4409">
        <f>YEAR(datas[[#This Row],[Order Date]])</f>
        <v>2023</v>
      </c>
    </row>
    <row r="4410" spans="1:10" ht="14.25" customHeight="1" x14ac:dyDescent="0.3">
      <c r="A4410" s="1">
        <v>45011</v>
      </c>
      <c r="B4410" s="2" t="s">
        <v>58</v>
      </c>
      <c r="C4410" s="2" t="s">
        <v>207</v>
      </c>
      <c r="D4410" s="2" t="s">
        <v>10</v>
      </c>
      <c r="E4410" s="2" t="s">
        <v>16</v>
      </c>
      <c r="F4410" s="2">
        <v>17.04</v>
      </c>
      <c r="G4410" s="2">
        <v>3</v>
      </c>
      <c r="H4410" s="2">
        <v>5.54</v>
      </c>
      <c r="I4410" t="str">
        <f t="shared" si="68"/>
        <v>Mar</v>
      </c>
      <c r="J4410">
        <f>YEAR(datas[[#This Row],[Order Date]])</f>
        <v>2023</v>
      </c>
    </row>
    <row r="4411" spans="1:10" ht="14.25" customHeight="1" x14ac:dyDescent="0.3">
      <c r="A4411" s="1">
        <v>45012</v>
      </c>
      <c r="B4411" s="2" t="s">
        <v>235</v>
      </c>
      <c r="C4411" s="2" t="s">
        <v>23</v>
      </c>
      <c r="D4411" s="2" t="s">
        <v>26</v>
      </c>
      <c r="E4411" s="2" t="s">
        <v>32</v>
      </c>
      <c r="F4411" s="2">
        <v>20.239999999999998</v>
      </c>
      <c r="G4411" s="2">
        <v>1</v>
      </c>
      <c r="H4411" s="2">
        <v>8.6999999999999993</v>
      </c>
      <c r="I4411" t="str">
        <f t="shared" si="68"/>
        <v>Mar</v>
      </c>
      <c r="J4411">
        <f>YEAR(datas[[#This Row],[Order Date]])</f>
        <v>2023</v>
      </c>
    </row>
    <row r="4412" spans="1:10" ht="14.25" customHeight="1" x14ac:dyDescent="0.3">
      <c r="A4412" s="1">
        <v>45012</v>
      </c>
      <c r="B4412" s="2" t="s">
        <v>235</v>
      </c>
      <c r="C4412" s="2" t="s">
        <v>23</v>
      </c>
      <c r="D4412" s="2" t="s">
        <v>26</v>
      </c>
      <c r="E4412" s="2" t="s">
        <v>32</v>
      </c>
      <c r="F4412" s="2">
        <v>39.92</v>
      </c>
      <c r="G4412" s="2">
        <v>4</v>
      </c>
      <c r="H4412" s="2">
        <v>11.18</v>
      </c>
      <c r="I4412" t="str">
        <f t="shared" si="68"/>
        <v>Mar</v>
      </c>
      <c r="J4412">
        <f>YEAR(datas[[#This Row],[Order Date]])</f>
        <v>2023</v>
      </c>
    </row>
    <row r="4413" spans="1:10" ht="14.25" customHeight="1" x14ac:dyDescent="0.3">
      <c r="A4413" s="1">
        <v>45012</v>
      </c>
      <c r="B4413" s="2" t="s">
        <v>235</v>
      </c>
      <c r="C4413" s="2" t="s">
        <v>23</v>
      </c>
      <c r="D4413" s="2" t="s">
        <v>10</v>
      </c>
      <c r="E4413" s="2" t="s">
        <v>16</v>
      </c>
      <c r="F4413" s="2">
        <v>32.54</v>
      </c>
      <c r="G4413" s="2">
        <v>2</v>
      </c>
      <c r="H4413" s="2">
        <v>15.94</v>
      </c>
      <c r="I4413" t="str">
        <f t="shared" si="68"/>
        <v>Mar</v>
      </c>
      <c r="J4413">
        <f>YEAR(datas[[#This Row],[Order Date]])</f>
        <v>2023</v>
      </c>
    </row>
    <row r="4414" spans="1:10" ht="14.25" customHeight="1" x14ac:dyDescent="0.3">
      <c r="A4414" s="1">
        <v>45013</v>
      </c>
      <c r="B4414" s="2" t="s">
        <v>391</v>
      </c>
      <c r="C4414" s="2" t="s">
        <v>36</v>
      </c>
      <c r="D4414" s="2" t="s">
        <v>10</v>
      </c>
      <c r="E4414" s="2" t="s">
        <v>15</v>
      </c>
      <c r="F4414" s="2">
        <v>31.4</v>
      </c>
      <c r="G4414" s="2">
        <v>2</v>
      </c>
      <c r="H4414" s="2">
        <v>7.85</v>
      </c>
      <c r="I4414" t="str">
        <f t="shared" si="68"/>
        <v>Mar</v>
      </c>
      <c r="J4414">
        <f>YEAR(datas[[#This Row],[Order Date]])</f>
        <v>2023</v>
      </c>
    </row>
    <row r="4415" spans="1:10" ht="14.25" customHeight="1" x14ac:dyDescent="0.3">
      <c r="A4415" s="1">
        <v>45013</v>
      </c>
      <c r="B4415" s="2" t="s">
        <v>463</v>
      </c>
      <c r="C4415" s="2" t="s">
        <v>21</v>
      </c>
      <c r="D4415" s="2" t="s">
        <v>10</v>
      </c>
      <c r="E4415" s="2" t="s">
        <v>15</v>
      </c>
      <c r="F4415" s="2">
        <v>87.92</v>
      </c>
      <c r="G4415" s="2">
        <v>4</v>
      </c>
      <c r="H4415" s="2">
        <v>0.88</v>
      </c>
      <c r="I4415" t="str">
        <f t="shared" si="68"/>
        <v>Mar</v>
      </c>
      <c r="J4415">
        <f>YEAR(datas[[#This Row],[Order Date]])</f>
        <v>2023</v>
      </c>
    </row>
    <row r="4416" spans="1:10" ht="14.25" customHeight="1" x14ac:dyDescent="0.3">
      <c r="A4416" s="1">
        <v>45013</v>
      </c>
      <c r="B4416" s="2" t="s">
        <v>463</v>
      </c>
      <c r="C4416" s="2" t="s">
        <v>21</v>
      </c>
      <c r="D4416" s="2" t="s">
        <v>10</v>
      </c>
      <c r="E4416" s="2" t="s">
        <v>11</v>
      </c>
      <c r="F4416" s="2">
        <v>5.98</v>
      </c>
      <c r="G4416" s="2">
        <v>1</v>
      </c>
      <c r="H4416" s="2">
        <v>2.93</v>
      </c>
      <c r="I4416" t="str">
        <f t="shared" si="68"/>
        <v>Mar</v>
      </c>
      <c r="J4416">
        <f>YEAR(datas[[#This Row],[Order Date]])</f>
        <v>2023</v>
      </c>
    </row>
    <row r="4417" spans="1:10" ht="14.25" customHeight="1" x14ac:dyDescent="0.3">
      <c r="A4417" s="1">
        <v>45014</v>
      </c>
      <c r="B4417" s="2" t="s">
        <v>24</v>
      </c>
      <c r="C4417" s="2" t="s">
        <v>13</v>
      </c>
      <c r="D4417" s="2" t="s">
        <v>10</v>
      </c>
      <c r="E4417" s="2" t="s">
        <v>11</v>
      </c>
      <c r="F4417" s="2">
        <v>45.53</v>
      </c>
      <c r="G4417" s="2">
        <v>3</v>
      </c>
      <c r="H4417" s="2">
        <v>15.93</v>
      </c>
      <c r="I4417" t="str">
        <f t="shared" si="68"/>
        <v>Mar</v>
      </c>
      <c r="J4417">
        <f>YEAR(datas[[#This Row],[Order Date]])</f>
        <v>2023</v>
      </c>
    </row>
    <row r="4418" spans="1:10" ht="14.25" customHeight="1" x14ac:dyDescent="0.3">
      <c r="A4418" s="1">
        <v>45014</v>
      </c>
      <c r="B4418" s="2" t="s">
        <v>24</v>
      </c>
      <c r="C4418" s="2" t="s">
        <v>13</v>
      </c>
      <c r="D4418" s="2" t="s">
        <v>26</v>
      </c>
      <c r="E4418" s="2" t="s">
        <v>27</v>
      </c>
      <c r="F4418" s="2">
        <v>844.12</v>
      </c>
      <c r="G4418" s="2">
        <v>6</v>
      </c>
      <c r="H4418" s="2">
        <v>-36.18</v>
      </c>
      <c r="I4418" t="str">
        <f t="shared" si="68"/>
        <v>Mar</v>
      </c>
      <c r="J4418">
        <f>YEAR(datas[[#This Row],[Order Date]])</f>
        <v>2023</v>
      </c>
    </row>
    <row r="4419" spans="1:10" ht="14.25" customHeight="1" x14ac:dyDescent="0.3">
      <c r="A4419" s="1">
        <v>45014</v>
      </c>
      <c r="B4419" s="2" t="s">
        <v>24</v>
      </c>
      <c r="C4419" s="2" t="s">
        <v>13</v>
      </c>
      <c r="D4419" s="2" t="s">
        <v>28</v>
      </c>
      <c r="E4419" s="2" t="s">
        <v>29</v>
      </c>
      <c r="F4419" s="2">
        <v>812.74</v>
      </c>
      <c r="G4419" s="2">
        <v>8</v>
      </c>
      <c r="H4419" s="2">
        <v>60.96</v>
      </c>
      <c r="I4419" t="str">
        <f t="shared" ref="I4419:I4482" si="69">TEXT(A4419,"mmm")</f>
        <v>Mar</v>
      </c>
      <c r="J4419">
        <f>YEAR(datas[[#This Row],[Order Date]])</f>
        <v>2023</v>
      </c>
    </row>
    <row r="4420" spans="1:10" ht="14.25" customHeight="1" x14ac:dyDescent="0.3">
      <c r="A4420" s="1">
        <v>45014</v>
      </c>
      <c r="B4420" s="2" t="s">
        <v>818</v>
      </c>
      <c r="C4420" s="2" t="s">
        <v>75</v>
      </c>
      <c r="D4420" s="2" t="s">
        <v>10</v>
      </c>
      <c r="E4420" s="2" t="s">
        <v>11</v>
      </c>
      <c r="F4420" s="2">
        <v>13.48</v>
      </c>
      <c r="G4420" s="2">
        <v>2</v>
      </c>
      <c r="H4420" s="2">
        <v>6.74</v>
      </c>
      <c r="I4420" t="str">
        <f t="shared" si="69"/>
        <v>Mar</v>
      </c>
      <c r="J4420">
        <f>YEAR(datas[[#This Row],[Order Date]])</f>
        <v>2023</v>
      </c>
    </row>
    <row r="4421" spans="1:10" ht="14.25" customHeight="1" x14ac:dyDescent="0.3">
      <c r="A4421" s="1">
        <v>45014</v>
      </c>
      <c r="B4421" s="2" t="s">
        <v>818</v>
      </c>
      <c r="C4421" s="2" t="s">
        <v>75</v>
      </c>
      <c r="D4421" s="2" t="s">
        <v>10</v>
      </c>
      <c r="E4421" s="2" t="s">
        <v>16</v>
      </c>
      <c r="F4421" s="2">
        <v>29.8</v>
      </c>
      <c r="G4421" s="2">
        <v>5</v>
      </c>
      <c r="H4421" s="2">
        <v>9.31</v>
      </c>
      <c r="I4421" t="str">
        <f t="shared" si="69"/>
        <v>Mar</v>
      </c>
      <c r="J4421">
        <f>YEAR(datas[[#This Row],[Order Date]])</f>
        <v>2023</v>
      </c>
    </row>
    <row r="4422" spans="1:10" ht="14.25" customHeight="1" x14ac:dyDescent="0.3">
      <c r="A4422" s="1">
        <v>45014</v>
      </c>
      <c r="B4422" s="2" t="s">
        <v>818</v>
      </c>
      <c r="C4422" s="2" t="s">
        <v>75</v>
      </c>
      <c r="D4422" s="2" t="s">
        <v>26</v>
      </c>
      <c r="E4422" s="2" t="s">
        <v>32</v>
      </c>
      <c r="F4422" s="2">
        <v>414</v>
      </c>
      <c r="G4422" s="2">
        <v>8</v>
      </c>
      <c r="H4422" s="2">
        <v>124.2</v>
      </c>
      <c r="I4422" t="str">
        <f t="shared" si="69"/>
        <v>Mar</v>
      </c>
      <c r="J4422">
        <f>YEAR(datas[[#This Row],[Order Date]])</f>
        <v>2023</v>
      </c>
    </row>
    <row r="4423" spans="1:10" ht="14.25" customHeight="1" x14ac:dyDescent="0.3">
      <c r="A4423" s="1">
        <v>45014</v>
      </c>
      <c r="B4423" s="2" t="s">
        <v>818</v>
      </c>
      <c r="C4423" s="2" t="s">
        <v>75</v>
      </c>
      <c r="D4423" s="2" t="s">
        <v>10</v>
      </c>
      <c r="E4423" s="2" t="s">
        <v>16</v>
      </c>
      <c r="F4423" s="2">
        <v>41.33</v>
      </c>
      <c r="G4423" s="2">
        <v>7</v>
      </c>
      <c r="H4423" s="2">
        <v>14.98</v>
      </c>
      <c r="I4423" t="str">
        <f t="shared" si="69"/>
        <v>Mar</v>
      </c>
      <c r="J4423">
        <f>YEAR(datas[[#This Row],[Order Date]])</f>
        <v>2023</v>
      </c>
    </row>
    <row r="4424" spans="1:10" ht="14.25" customHeight="1" x14ac:dyDescent="0.3">
      <c r="A4424" s="1">
        <v>45014</v>
      </c>
      <c r="B4424" s="2" t="s">
        <v>98</v>
      </c>
      <c r="C4424" s="2" t="s">
        <v>47</v>
      </c>
      <c r="D4424" s="2" t="s">
        <v>26</v>
      </c>
      <c r="E4424" s="2" t="s">
        <v>45</v>
      </c>
      <c r="F4424" s="2">
        <v>299.98</v>
      </c>
      <c r="G4424" s="2">
        <v>5</v>
      </c>
      <c r="H4424" s="2">
        <v>-167.99</v>
      </c>
      <c r="I4424" t="str">
        <f t="shared" si="69"/>
        <v>Mar</v>
      </c>
      <c r="J4424">
        <f>YEAR(datas[[#This Row],[Order Date]])</f>
        <v>2023</v>
      </c>
    </row>
    <row r="4425" spans="1:10" ht="14.25" customHeight="1" x14ac:dyDescent="0.3">
      <c r="A4425" s="1">
        <v>45014</v>
      </c>
      <c r="B4425" s="2" t="s">
        <v>98</v>
      </c>
      <c r="C4425" s="2" t="s">
        <v>47</v>
      </c>
      <c r="D4425" s="2" t="s">
        <v>28</v>
      </c>
      <c r="E4425" s="2" t="s">
        <v>29</v>
      </c>
      <c r="F4425" s="2">
        <v>158.38</v>
      </c>
      <c r="G4425" s="2">
        <v>4</v>
      </c>
      <c r="H4425" s="2">
        <v>-36.950000000000003</v>
      </c>
      <c r="I4425" t="str">
        <f t="shared" si="69"/>
        <v>Mar</v>
      </c>
      <c r="J4425">
        <f>YEAR(datas[[#This Row],[Order Date]])</f>
        <v>2023</v>
      </c>
    </row>
    <row r="4426" spans="1:10" ht="14.25" customHeight="1" x14ac:dyDescent="0.3">
      <c r="A4426" s="1">
        <v>45015</v>
      </c>
      <c r="B4426" s="2" t="s">
        <v>624</v>
      </c>
      <c r="C4426" s="2" t="s">
        <v>248</v>
      </c>
      <c r="D4426" s="2" t="s">
        <v>10</v>
      </c>
      <c r="E4426" s="2" t="s">
        <v>11</v>
      </c>
      <c r="F4426" s="2">
        <v>11.34</v>
      </c>
      <c r="G4426" s="2">
        <v>1</v>
      </c>
      <c r="H4426" s="2">
        <v>5.56</v>
      </c>
      <c r="I4426" t="str">
        <f t="shared" si="69"/>
        <v>Mar</v>
      </c>
      <c r="J4426">
        <f>YEAR(datas[[#This Row],[Order Date]])</f>
        <v>2023</v>
      </c>
    </row>
    <row r="4427" spans="1:10" ht="14.25" customHeight="1" x14ac:dyDescent="0.3">
      <c r="A4427" s="1">
        <v>45016</v>
      </c>
      <c r="B4427" s="2" t="s">
        <v>313</v>
      </c>
      <c r="C4427" s="2" t="s">
        <v>18</v>
      </c>
      <c r="D4427" s="2" t="s">
        <v>28</v>
      </c>
      <c r="E4427" s="2" t="s">
        <v>29</v>
      </c>
      <c r="F4427" s="2">
        <v>280.77999999999997</v>
      </c>
      <c r="G4427" s="2">
        <v>3</v>
      </c>
      <c r="H4427" s="2">
        <v>-60.84</v>
      </c>
      <c r="I4427" t="str">
        <f t="shared" si="69"/>
        <v>Mar</v>
      </c>
      <c r="J4427">
        <f>YEAR(datas[[#This Row],[Order Date]])</f>
        <v>2023</v>
      </c>
    </row>
    <row r="4428" spans="1:10" ht="14.25" customHeight="1" x14ac:dyDescent="0.3">
      <c r="A4428" s="1">
        <v>45016</v>
      </c>
      <c r="B4428" s="2" t="s">
        <v>313</v>
      </c>
      <c r="C4428" s="2" t="s">
        <v>18</v>
      </c>
      <c r="D4428" s="2" t="s">
        <v>28</v>
      </c>
      <c r="E4428" s="2" t="s">
        <v>34</v>
      </c>
      <c r="F4428" s="2">
        <v>31.98</v>
      </c>
      <c r="G4428" s="2">
        <v>2</v>
      </c>
      <c r="H4428" s="2">
        <v>1.2</v>
      </c>
      <c r="I4428" t="str">
        <f t="shared" si="69"/>
        <v>Mar</v>
      </c>
      <c r="J4428">
        <f>YEAR(datas[[#This Row],[Order Date]])</f>
        <v>2023</v>
      </c>
    </row>
    <row r="4429" spans="1:10" ht="14.25" customHeight="1" x14ac:dyDescent="0.3">
      <c r="A4429" s="1">
        <v>45016</v>
      </c>
      <c r="B4429" s="2" t="s">
        <v>49</v>
      </c>
      <c r="C4429" s="2" t="s">
        <v>75</v>
      </c>
      <c r="D4429" s="2" t="s">
        <v>26</v>
      </c>
      <c r="E4429" s="2" t="s">
        <v>27</v>
      </c>
      <c r="F4429" s="2">
        <v>328</v>
      </c>
      <c r="G4429" s="2">
        <v>6</v>
      </c>
      <c r="H4429" s="2">
        <v>54.67</v>
      </c>
      <c r="I4429" t="str">
        <f t="shared" si="69"/>
        <v>Mar</v>
      </c>
      <c r="J4429">
        <f>YEAR(datas[[#This Row],[Order Date]])</f>
        <v>2023</v>
      </c>
    </row>
    <row r="4430" spans="1:10" ht="14.25" customHeight="1" x14ac:dyDescent="0.3">
      <c r="A4430" s="1">
        <v>45017</v>
      </c>
      <c r="B4430" s="2" t="s">
        <v>819</v>
      </c>
      <c r="C4430" s="2" t="s">
        <v>75</v>
      </c>
      <c r="D4430" s="2" t="s">
        <v>10</v>
      </c>
      <c r="E4430" s="2" t="s">
        <v>19</v>
      </c>
      <c r="F4430" s="2">
        <v>59.52</v>
      </c>
      <c r="G4430" s="2">
        <v>3</v>
      </c>
      <c r="H4430" s="2">
        <v>15.48</v>
      </c>
      <c r="I4430" t="str">
        <f t="shared" si="69"/>
        <v>Apr</v>
      </c>
      <c r="J4430">
        <f>YEAR(datas[[#This Row],[Order Date]])</f>
        <v>2023</v>
      </c>
    </row>
    <row r="4431" spans="1:10" ht="14.25" customHeight="1" x14ac:dyDescent="0.3">
      <c r="A4431" s="1">
        <v>45017</v>
      </c>
      <c r="B4431" s="2" t="s">
        <v>819</v>
      </c>
      <c r="C4431" s="2" t="s">
        <v>75</v>
      </c>
      <c r="D4431" s="2" t="s">
        <v>10</v>
      </c>
      <c r="E4431" s="2" t="s">
        <v>15</v>
      </c>
      <c r="F4431" s="2">
        <v>161.94</v>
      </c>
      <c r="G4431" s="2">
        <v>3</v>
      </c>
      <c r="H4431" s="2">
        <v>9.7200000000000006</v>
      </c>
      <c r="I4431" t="str">
        <f t="shared" si="69"/>
        <v>Apr</v>
      </c>
      <c r="J4431">
        <f>YEAR(datas[[#This Row],[Order Date]])</f>
        <v>2023</v>
      </c>
    </row>
    <row r="4432" spans="1:10" ht="14.25" customHeight="1" x14ac:dyDescent="0.3">
      <c r="A4432" s="1">
        <v>45017</v>
      </c>
      <c r="B4432" s="2" t="s">
        <v>819</v>
      </c>
      <c r="C4432" s="2" t="s">
        <v>75</v>
      </c>
      <c r="D4432" s="2" t="s">
        <v>10</v>
      </c>
      <c r="E4432" s="2" t="s">
        <v>19</v>
      </c>
      <c r="F4432" s="2">
        <v>263.88</v>
      </c>
      <c r="G4432" s="2">
        <v>6</v>
      </c>
      <c r="H4432" s="2">
        <v>71.25</v>
      </c>
      <c r="I4432" t="str">
        <f t="shared" si="69"/>
        <v>Apr</v>
      </c>
      <c r="J4432">
        <f>YEAR(datas[[#This Row],[Order Date]])</f>
        <v>2023</v>
      </c>
    </row>
    <row r="4433" spans="1:10" ht="14.25" customHeight="1" x14ac:dyDescent="0.3">
      <c r="A4433" s="1">
        <v>45017</v>
      </c>
      <c r="B4433" s="2" t="s">
        <v>819</v>
      </c>
      <c r="C4433" s="2" t="s">
        <v>75</v>
      </c>
      <c r="D4433" s="2" t="s">
        <v>10</v>
      </c>
      <c r="E4433" s="2" t="s">
        <v>19</v>
      </c>
      <c r="F4433" s="2">
        <v>30.48</v>
      </c>
      <c r="G4433" s="2">
        <v>3</v>
      </c>
      <c r="H4433" s="2">
        <v>7.92</v>
      </c>
      <c r="I4433" t="str">
        <f t="shared" si="69"/>
        <v>Apr</v>
      </c>
      <c r="J4433">
        <f>YEAR(datas[[#This Row],[Order Date]])</f>
        <v>2023</v>
      </c>
    </row>
    <row r="4434" spans="1:10" ht="14.25" customHeight="1" x14ac:dyDescent="0.3">
      <c r="A4434" s="1">
        <v>45017</v>
      </c>
      <c r="B4434" s="2" t="s">
        <v>819</v>
      </c>
      <c r="C4434" s="2" t="s">
        <v>75</v>
      </c>
      <c r="D4434" s="2" t="s">
        <v>10</v>
      </c>
      <c r="E4434" s="2" t="s">
        <v>19</v>
      </c>
      <c r="F4434" s="2">
        <v>9.84</v>
      </c>
      <c r="G4434" s="2">
        <v>3</v>
      </c>
      <c r="H4434" s="2">
        <v>2.85</v>
      </c>
      <c r="I4434" t="str">
        <f t="shared" si="69"/>
        <v>Apr</v>
      </c>
      <c r="J4434">
        <f>YEAR(datas[[#This Row],[Order Date]])</f>
        <v>2023</v>
      </c>
    </row>
    <row r="4435" spans="1:10" ht="14.25" customHeight="1" x14ac:dyDescent="0.3">
      <c r="A4435" s="1">
        <v>45017</v>
      </c>
      <c r="B4435" s="2" t="s">
        <v>819</v>
      </c>
      <c r="C4435" s="2" t="s">
        <v>75</v>
      </c>
      <c r="D4435" s="2" t="s">
        <v>28</v>
      </c>
      <c r="E4435" s="2" t="s">
        <v>29</v>
      </c>
      <c r="F4435" s="2">
        <v>35.119999999999997</v>
      </c>
      <c r="G4435" s="2">
        <v>4</v>
      </c>
      <c r="H4435" s="2">
        <v>9.1300000000000008</v>
      </c>
      <c r="I4435" t="str">
        <f t="shared" si="69"/>
        <v>Apr</v>
      </c>
      <c r="J4435">
        <f>YEAR(datas[[#This Row],[Order Date]])</f>
        <v>2023</v>
      </c>
    </row>
    <row r="4436" spans="1:10" ht="14.25" customHeight="1" x14ac:dyDescent="0.3">
      <c r="A4436" s="1">
        <v>45017</v>
      </c>
      <c r="B4436" s="2" t="s">
        <v>392</v>
      </c>
      <c r="C4436" s="2" t="s">
        <v>55</v>
      </c>
      <c r="D4436" s="2" t="s">
        <v>10</v>
      </c>
      <c r="E4436" s="2" t="s">
        <v>30</v>
      </c>
      <c r="F4436" s="2">
        <v>31.56</v>
      </c>
      <c r="G4436" s="2">
        <v>5</v>
      </c>
      <c r="H4436" s="2">
        <v>9.86</v>
      </c>
      <c r="I4436" t="str">
        <f t="shared" si="69"/>
        <v>Apr</v>
      </c>
      <c r="J4436">
        <f>YEAR(datas[[#This Row],[Order Date]])</f>
        <v>2023</v>
      </c>
    </row>
    <row r="4437" spans="1:10" ht="14.25" customHeight="1" x14ac:dyDescent="0.3">
      <c r="A4437" s="1">
        <v>45017</v>
      </c>
      <c r="B4437" s="2" t="s">
        <v>392</v>
      </c>
      <c r="C4437" s="2" t="s">
        <v>55</v>
      </c>
      <c r="D4437" s="2" t="s">
        <v>10</v>
      </c>
      <c r="E4437" s="2" t="s">
        <v>53</v>
      </c>
      <c r="F4437" s="2">
        <v>30.14</v>
      </c>
      <c r="G4437" s="2">
        <v>2</v>
      </c>
      <c r="H4437" s="2">
        <v>3.01</v>
      </c>
      <c r="I4437" t="str">
        <f t="shared" si="69"/>
        <v>Apr</v>
      </c>
      <c r="J4437">
        <f>YEAR(datas[[#This Row],[Order Date]])</f>
        <v>2023</v>
      </c>
    </row>
    <row r="4438" spans="1:10" ht="14.25" customHeight="1" x14ac:dyDescent="0.3">
      <c r="A4438" s="1">
        <v>45017</v>
      </c>
      <c r="B4438" s="2" t="s">
        <v>812</v>
      </c>
      <c r="C4438" s="2" t="s">
        <v>75</v>
      </c>
      <c r="D4438" s="2" t="s">
        <v>10</v>
      </c>
      <c r="E4438" s="2" t="s">
        <v>19</v>
      </c>
      <c r="F4438" s="2">
        <v>88.04</v>
      </c>
      <c r="G4438" s="2">
        <v>4</v>
      </c>
      <c r="H4438" s="2">
        <v>22.89</v>
      </c>
      <c r="I4438" t="str">
        <f t="shared" si="69"/>
        <v>Apr</v>
      </c>
      <c r="J4438">
        <f>YEAR(datas[[#This Row],[Order Date]])</f>
        <v>2023</v>
      </c>
    </row>
    <row r="4439" spans="1:10" ht="14.25" customHeight="1" x14ac:dyDescent="0.3">
      <c r="A4439" s="1">
        <v>45017</v>
      </c>
      <c r="B4439" s="2" t="s">
        <v>631</v>
      </c>
      <c r="C4439" s="2" t="s">
        <v>75</v>
      </c>
      <c r="D4439" s="2" t="s">
        <v>10</v>
      </c>
      <c r="E4439" s="2" t="s">
        <v>14</v>
      </c>
      <c r="F4439" s="2">
        <v>20.7</v>
      </c>
      <c r="G4439" s="2">
        <v>2</v>
      </c>
      <c r="H4439" s="2">
        <v>9.94</v>
      </c>
      <c r="I4439" t="str">
        <f t="shared" si="69"/>
        <v>Apr</v>
      </c>
      <c r="J4439">
        <f>YEAR(datas[[#This Row],[Order Date]])</f>
        <v>2023</v>
      </c>
    </row>
    <row r="4440" spans="1:10" ht="14.25" customHeight="1" x14ac:dyDescent="0.3">
      <c r="A4440" s="1">
        <v>45017</v>
      </c>
      <c r="B4440" s="2" t="s">
        <v>631</v>
      </c>
      <c r="C4440" s="2" t="s">
        <v>75</v>
      </c>
      <c r="D4440" s="2" t="s">
        <v>10</v>
      </c>
      <c r="E4440" s="2" t="s">
        <v>95</v>
      </c>
      <c r="F4440" s="2">
        <v>10.95</v>
      </c>
      <c r="G4440" s="2">
        <v>3</v>
      </c>
      <c r="H4440" s="2">
        <v>3.29</v>
      </c>
      <c r="I4440" t="str">
        <f t="shared" si="69"/>
        <v>Apr</v>
      </c>
      <c r="J4440">
        <f>YEAR(datas[[#This Row],[Order Date]])</f>
        <v>2023</v>
      </c>
    </row>
    <row r="4441" spans="1:10" ht="14.25" customHeight="1" x14ac:dyDescent="0.3">
      <c r="A4441" s="1">
        <v>45017</v>
      </c>
      <c r="B4441" s="2" t="s">
        <v>631</v>
      </c>
      <c r="C4441" s="2" t="s">
        <v>75</v>
      </c>
      <c r="D4441" s="2" t="s">
        <v>10</v>
      </c>
      <c r="E4441" s="2" t="s">
        <v>16</v>
      </c>
      <c r="F4441" s="2">
        <v>14.35</v>
      </c>
      <c r="G4441" s="2">
        <v>3</v>
      </c>
      <c r="H4441" s="2">
        <v>4.66</v>
      </c>
      <c r="I4441" t="str">
        <f t="shared" si="69"/>
        <v>Apr</v>
      </c>
      <c r="J4441">
        <f>YEAR(datas[[#This Row],[Order Date]])</f>
        <v>2023</v>
      </c>
    </row>
    <row r="4442" spans="1:10" ht="14.25" customHeight="1" x14ac:dyDescent="0.3">
      <c r="A4442" s="1">
        <v>45017</v>
      </c>
      <c r="B4442" s="2" t="s">
        <v>630</v>
      </c>
      <c r="C4442" s="2" t="s">
        <v>75</v>
      </c>
      <c r="D4442" s="2" t="s">
        <v>26</v>
      </c>
      <c r="E4442" s="2" t="s">
        <v>27</v>
      </c>
      <c r="F4442" s="2">
        <v>1317.49</v>
      </c>
      <c r="G4442" s="2">
        <v>6</v>
      </c>
      <c r="H4442" s="2">
        <v>292.77999999999997</v>
      </c>
      <c r="I4442" t="str">
        <f t="shared" si="69"/>
        <v>Apr</v>
      </c>
      <c r="J4442">
        <f>YEAR(datas[[#This Row],[Order Date]])</f>
        <v>2023</v>
      </c>
    </row>
    <row r="4443" spans="1:10" ht="14.25" customHeight="1" x14ac:dyDescent="0.3">
      <c r="A4443" s="1">
        <v>45017</v>
      </c>
      <c r="B4443" s="2" t="s">
        <v>630</v>
      </c>
      <c r="C4443" s="2" t="s">
        <v>75</v>
      </c>
      <c r="D4443" s="2" t="s">
        <v>10</v>
      </c>
      <c r="E4443" s="2" t="s">
        <v>95</v>
      </c>
      <c r="F4443" s="2">
        <v>63.84</v>
      </c>
      <c r="G4443" s="2">
        <v>8</v>
      </c>
      <c r="H4443" s="2">
        <v>18.510000000000002</v>
      </c>
      <c r="I4443" t="str">
        <f t="shared" si="69"/>
        <v>Apr</v>
      </c>
      <c r="J4443">
        <f>YEAR(datas[[#This Row],[Order Date]])</f>
        <v>2023</v>
      </c>
    </row>
    <row r="4444" spans="1:10" ht="14.25" customHeight="1" x14ac:dyDescent="0.3">
      <c r="A4444" s="1">
        <v>45017</v>
      </c>
      <c r="B4444" s="2" t="s">
        <v>630</v>
      </c>
      <c r="C4444" s="2" t="s">
        <v>75</v>
      </c>
      <c r="D4444" s="2" t="s">
        <v>10</v>
      </c>
      <c r="E4444" s="2" t="s">
        <v>16</v>
      </c>
      <c r="F4444" s="2">
        <v>3.59</v>
      </c>
      <c r="G4444" s="2">
        <v>1</v>
      </c>
      <c r="H4444" s="2">
        <v>1.1200000000000001</v>
      </c>
      <c r="I4444" t="str">
        <f t="shared" si="69"/>
        <v>Apr</v>
      </c>
      <c r="J4444">
        <f>YEAR(datas[[#This Row],[Order Date]])</f>
        <v>2023</v>
      </c>
    </row>
    <row r="4445" spans="1:10" ht="14.25" customHeight="1" x14ac:dyDescent="0.3">
      <c r="A4445" s="1">
        <v>45017</v>
      </c>
      <c r="B4445" s="2" t="s">
        <v>545</v>
      </c>
      <c r="C4445" s="2" t="s">
        <v>23</v>
      </c>
      <c r="D4445" s="2" t="s">
        <v>26</v>
      </c>
      <c r="E4445" s="2" t="s">
        <v>32</v>
      </c>
      <c r="F4445" s="2">
        <v>7.04</v>
      </c>
      <c r="G4445" s="2">
        <v>4</v>
      </c>
      <c r="H4445" s="2">
        <v>3.1</v>
      </c>
      <c r="I4445" t="str">
        <f t="shared" si="69"/>
        <v>Apr</v>
      </c>
      <c r="J4445">
        <f>YEAR(datas[[#This Row],[Order Date]])</f>
        <v>2023</v>
      </c>
    </row>
    <row r="4446" spans="1:10" ht="14.25" customHeight="1" x14ac:dyDescent="0.3">
      <c r="A4446" s="1">
        <v>45017</v>
      </c>
      <c r="B4446" s="2" t="s">
        <v>232</v>
      </c>
      <c r="C4446" s="2" t="s">
        <v>79</v>
      </c>
      <c r="D4446" s="2" t="s">
        <v>28</v>
      </c>
      <c r="E4446" s="2" t="s">
        <v>29</v>
      </c>
      <c r="F4446" s="2">
        <v>12.99</v>
      </c>
      <c r="G4446" s="2">
        <v>1</v>
      </c>
      <c r="H4446" s="2">
        <v>0.26</v>
      </c>
      <c r="I4446" t="str">
        <f t="shared" si="69"/>
        <v>Apr</v>
      </c>
      <c r="J4446">
        <f>YEAR(datas[[#This Row],[Order Date]])</f>
        <v>2023</v>
      </c>
    </row>
    <row r="4447" spans="1:10" ht="14.25" customHeight="1" x14ac:dyDescent="0.3">
      <c r="A4447" s="1">
        <v>45018</v>
      </c>
      <c r="B4447" s="2" t="s">
        <v>633</v>
      </c>
      <c r="C4447" s="2" t="s">
        <v>79</v>
      </c>
      <c r="D4447" s="2" t="s">
        <v>26</v>
      </c>
      <c r="E4447" s="2" t="s">
        <v>27</v>
      </c>
      <c r="F4447" s="2">
        <v>1454.9</v>
      </c>
      <c r="G4447" s="2">
        <v>5</v>
      </c>
      <c r="H4447" s="2">
        <v>378.27</v>
      </c>
      <c r="I4447" t="str">
        <f t="shared" si="69"/>
        <v>Apr</v>
      </c>
      <c r="J4447">
        <f>YEAR(datas[[#This Row],[Order Date]])</f>
        <v>2023</v>
      </c>
    </row>
    <row r="4448" spans="1:10" ht="14.25" customHeight="1" x14ac:dyDescent="0.3">
      <c r="A4448" s="1">
        <v>45019</v>
      </c>
      <c r="B4448" s="2" t="s">
        <v>313</v>
      </c>
      <c r="C4448" s="2" t="s">
        <v>18</v>
      </c>
      <c r="D4448" s="2" t="s">
        <v>10</v>
      </c>
      <c r="E4448" s="2" t="s">
        <v>16</v>
      </c>
      <c r="F4448" s="2">
        <v>99.85</v>
      </c>
      <c r="G4448" s="2">
        <v>9</v>
      </c>
      <c r="H4448" s="2">
        <v>-83.21</v>
      </c>
      <c r="I4448" t="str">
        <f t="shared" si="69"/>
        <v>Apr</v>
      </c>
      <c r="J4448">
        <f>YEAR(datas[[#This Row],[Order Date]])</f>
        <v>2023</v>
      </c>
    </row>
    <row r="4449" spans="1:10" ht="14.25" customHeight="1" x14ac:dyDescent="0.3">
      <c r="A4449" s="1">
        <v>45019</v>
      </c>
      <c r="B4449" s="2" t="s">
        <v>438</v>
      </c>
      <c r="C4449" s="2" t="s">
        <v>68</v>
      </c>
      <c r="D4449" s="2" t="s">
        <v>26</v>
      </c>
      <c r="E4449" s="2" t="s">
        <v>32</v>
      </c>
      <c r="F4449" s="2">
        <v>71.12</v>
      </c>
      <c r="G4449" s="2">
        <v>4</v>
      </c>
      <c r="H4449" s="2">
        <v>22.05</v>
      </c>
      <c r="I4449" t="str">
        <f t="shared" si="69"/>
        <v>Apr</v>
      </c>
      <c r="J4449">
        <f>YEAR(datas[[#This Row],[Order Date]])</f>
        <v>2023</v>
      </c>
    </row>
    <row r="4450" spans="1:10" ht="14.25" customHeight="1" x14ac:dyDescent="0.3">
      <c r="A4450" s="1">
        <v>45019</v>
      </c>
      <c r="B4450" s="2" t="s">
        <v>438</v>
      </c>
      <c r="C4450" s="2" t="s">
        <v>68</v>
      </c>
      <c r="D4450" s="2" t="s">
        <v>28</v>
      </c>
      <c r="E4450" s="2" t="s">
        <v>29</v>
      </c>
      <c r="F4450" s="2">
        <v>259.95999999999998</v>
      </c>
      <c r="G4450" s="2">
        <v>4</v>
      </c>
      <c r="H4450" s="2">
        <v>124.78</v>
      </c>
      <c r="I4450" t="str">
        <f t="shared" si="69"/>
        <v>Apr</v>
      </c>
      <c r="J4450">
        <f>YEAR(datas[[#This Row],[Order Date]])</f>
        <v>2023</v>
      </c>
    </row>
    <row r="4451" spans="1:10" ht="14.25" customHeight="1" x14ac:dyDescent="0.3">
      <c r="A4451" s="1">
        <v>45019</v>
      </c>
      <c r="B4451" s="2" t="s">
        <v>101</v>
      </c>
      <c r="C4451" s="2" t="s">
        <v>9</v>
      </c>
      <c r="D4451" s="2" t="s">
        <v>10</v>
      </c>
      <c r="E4451" s="2" t="s">
        <v>11</v>
      </c>
      <c r="F4451" s="2">
        <v>10.27</v>
      </c>
      <c r="G4451" s="2">
        <v>3</v>
      </c>
      <c r="H4451" s="2">
        <v>3.21</v>
      </c>
      <c r="I4451" t="str">
        <f t="shared" si="69"/>
        <v>Apr</v>
      </c>
      <c r="J4451">
        <f>YEAR(datas[[#This Row],[Order Date]])</f>
        <v>2023</v>
      </c>
    </row>
    <row r="4452" spans="1:10" ht="14.25" customHeight="1" x14ac:dyDescent="0.3">
      <c r="A4452" s="1">
        <v>45020</v>
      </c>
      <c r="B4452" s="2" t="s">
        <v>24</v>
      </c>
      <c r="C4452" s="2" t="s">
        <v>36</v>
      </c>
      <c r="D4452" s="2" t="s">
        <v>28</v>
      </c>
      <c r="E4452" s="2" t="s">
        <v>29</v>
      </c>
      <c r="F4452" s="2">
        <v>149.97</v>
      </c>
      <c r="G4452" s="2">
        <v>3</v>
      </c>
      <c r="H4452" s="2">
        <v>6</v>
      </c>
      <c r="I4452" t="str">
        <f t="shared" si="69"/>
        <v>Apr</v>
      </c>
      <c r="J4452">
        <f>YEAR(datas[[#This Row],[Order Date]])</f>
        <v>2023</v>
      </c>
    </row>
    <row r="4453" spans="1:10" ht="14.25" customHeight="1" x14ac:dyDescent="0.3">
      <c r="A4453" s="1">
        <v>45020</v>
      </c>
      <c r="B4453" s="2" t="s">
        <v>24</v>
      </c>
      <c r="C4453" s="2" t="s">
        <v>36</v>
      </c>
      <c r="D4453" s="2" t="s">
        <v>10</v>
      </c>
      <c r="E4453" s="2" t="s">
        <v>11</v>
      </c>
      <c r="F4453" s="2">
        <v>27.81</v>
      </c>
      <c r="G4453" s="2">
        <v>3</v>
      </c>
      <c r="H4453" s="2">
        <v>13.07</v>
      </c>
      <c r="I4453" t="str">
        <f t="shared" si="69"/>
        <v>Apr</v>
      </c>
      <c r="J4453">
        <f>YEAR(datas[[#This Row],[Order Date]])</f>
        <v>2023</v>
      </c>
    </row>
    <row r="4454" spans="1:10" ht="14.25" customHeight="1" x14ac:dyDescent="0.3">
      <c r="A4454" s="1">
        <v>45020</v>
      </c>
      <c r="B4454" s="2" t="s">
        <v>283</v>
      </c>
      <c r="C4454" s="2" t="s">
        <v>75</v>
      </c>
      <c r="D4454" s="2" t="s">
        <v>10</v>
      </c>
      <c r="E4454" s="2" t="s">
        <v>16</v>
      </c>
      <c r="F4454" s="2">
        <v>588.78</v>
      </c>
      <c r="G4454" s="2">
        <v>2</v>
      </c>
      <c r="H4454" s="2">
        <v>184</v>
      </c>
      <c r="I4454" t="str">
        <f t="shared" si="69"/>
        <v>Apr</v>
      </c>
      <c r="J4454">
        <f>YEAR(datas[[#This Row],[Order Date]])</f>
        <v>2023</v>
      </c>
    </row>
    <row r="4455" spans="1:10" ht="14.25" customHeight="1" x14ac:dyDescent="0.3">
      <c r="A4455" s="1">
        <v>45020</v>
      </c>
      <c r="B4455" s="2" t="s">
        <v>356</v>
      </c>
      <c r="C4455" s="2" t="s">
        <v>75</v>
      </c>
      <c r="D4455" s="2" t="s">
        <v>26</v>
      </c>
      <c r="E4455" s="2" t="s">
        <v>32</v>
      </c>
      <c r="F4455" s="2">
        <v>82.64</v>
      </c>
      <c r="G4455" s="2">
        <v>2</v>
      </c>
      <c r="H4455" s="2">
        <v>7.44</v>
      </c>
      <c r="I4455" t="str">
        <f t="shared" si="69"/>
        <v>Apr</v>
      </c>
      <c r="J4455">
        <f>YEAR(datas[[#This Row],[Order Date]])</f>
        <v>2023</v>
      </c>
    </row>
    <row r="4456" spans="1:10" ht="14.25" customHeight="1" x14ac:dyDescent="0.3">
      <c r="A4456" s="1">
        <v>45020</v>
      </c>
      <c r="B4456" s="2" t="s">
        <v>356</v>
      </c>
      <c r="C4456" s="2" t="s">
        <v>75</v>
      </c>
      <c r="D4456" s="2" t="s">
        <v>10</v>
      </c>
      <c r="E4456" s="2" t="s">
        <v>15</v>
      </c>
      <c r="F4456" s="2">
        <v>31.02</v>
      </c>
      <c r="G4456" s="2">
        <v>2</v>
      </c>
      <c r="H4456" s="2">
        <v>8.07</v>
      </c>
      <c r="I4456" t="str">
        <f t="shared" si="69"/>
        <v>Apr</v>
      </c>
      <c r="J4456">
        <f>YEAR(datas[[#This Row],[Order Date]])</f>
        <v>2023</v>
      </c>
    </row>
    <row r="4457" spans="1:10" ht="14.25" customHeight="1" x14ac:dyDescent="0.3">
      <c r="A4457" s="1">
        <v>45020</v>
      </c>
      <c r="B4457" s="2" t="s">
        <v>356</v>
      </c>
      <c r="C4457" s="2" t="s">
        <v>75</v>
      </c>
      <c r="D4457" s="2" t="s">
        <v>28</v>
      </c>
      <c r="E4457" s="2" t="s">
        <v>34</v>
      </c>
      <c r="F4457" s="2">
        <v>89.97</v>
      </c>
      <c r="G4457" s="2">
        <v>3</v>
      </c>
      <c r="H4457" s="2">
        <v>37.79</v>
      </c>
      <c r="I4457" t="str">
        <f t="shared" si="69"/>
        <v>Apr</v>
      </c>
      <c r="J4457">
        <f>YEAR(datas[[#This Row],[Order Date]])</f>
        <v>2023</v>
      </c>
    </row>
    <row r="4458" spans="1:10" ht="14.25" customHeight="1" x14ac:dyDescent="0.3">
      <c r="A4458" s="1">
        <v>45021</v>
      </c>
      <c r="B4458" s="2" t="s">
        <v>208</v>
      </c>
      <c r="C4458" s="2" t="s">
        <v>9</v>
      </c>
      <c r="D4458" s="2" t="s">
        <v>10</v>
      </c>
      <c r="E4458" s="2" t="s">
        <v>15</v>
      </c>
      <c r="F4458" s="2">
        <v>158.37</v>
      </c>
      <c r="G4458" s="2">
        <v>7</v>
      </c>
      <c r="H4458" s="2">
        <v>13.86</v>
      </c>
      <c r="I4458" t="str">
        <f t="shared" si="69"/>
        <v>Apr</v>
      </c>
      <c r="J4458">
        <f>YEAR(datas[[#This Row],[Order Date]])</f>
        <v>2023</v>
      </c>
    </row>
    <row r="4459" spans="1:10" ht="14.25" customHeight="1" x14ac:dyDescent="0.3">
      <c r="A4459" s="1">
        <v>45021</v>
      </c>
      <c r="B4459" s="2" t="s">
        <v>718</v>
      </c>
      <c r="C4459" s="2" t="s">
        <v>18</v>
      </c>
      <c r="D4459" s="2" t="s">
        <v>28</v>
      </c>
      <c r="E4459" s="2" t="s">
        <v>29</v>
      </c>
      <c r="F4459" s="2">
        <v>118.78</v>
      </c>
      <c r="G4459" s="2">
        <v>3</v>
      </c>
      <c r="H4459" s="2">
        <v>-27.72</v>
      </c>
      <c r="I4459" t="str">
        <f t="shared" si="69"/>
        <v>Apr</v>
      </c>
      <c r="J4459">
        <f>YEAR(datas[[#This Row],[Order Date]])</f>
        <v>2023</v>
      </c>
    </row>
    <row r="4460" spans="1:10" ht="14.25" customHeight="1" x14ac:dyDescent="0.3">
      <c r="A4460" s="1">
        <v>45021</v>
      </c>
      <c r="B4460" s="2" t="s">
        <v>718</v>
      </c>
      <c r="C4460" s="2" t="s">
        <v>18</v>
      </c>
      <c r="D4460" s="2" t="s">
        <v>10</v>
      </c>
      <c r="E4460" s="2" t="s">
        <v>95</v>
      </c>
      <c r="F4460" s="2">
        <v>769.18</v>
      </c>
      <c r="G4460" s="2">
        <v>4</v>
      </c>
      <c r="H4460" s="2">
        <v>-163.44999999999999</v>
      </c>
      <c r="I4460" t="str">
        <f t="shared" si="69"/>
        <v>Apr</v>
      </c>
      <c r="J4460">
        <f>YEAR(datas[[#This Row],[Order Date]])</f>
        <v>2023</v>
      </c>
    </row>
    <row r="4461" spans="1:10" ht="14.25" customHeight="1" x14ac:dyDescent="0.3">
      <c r="A4461" s="1">
        <v>45022</v>
      </c>
      <c r="B4461" s="2" t="s">
        <v>200</v>
      </c>
      <c r="C4461" s="2" t="s">
        <v>785</v>
      </c>
      <c r="D4461" s="2" t="s">
        <v>28</v>
      </c>
      <c r="E4461" s="2" t="s">
        <v>29</v>
      </c>
      <c r="F4461" s="2">
        <v>1294.75</v>
      </c>
      <c r="G4461" s="2">
        <v>5</v>
      </c>
      <c r="H4461" s="2">
        <v>336.64</v>
      </c>
      <c r="I4461" t="str">
        <f t="shared" si="69"/>
        <v>Apr</v>
      </c>
      <c r="J4461">
        <f>YEAR(datas[[#This Row],[Order Date]])</f>
        <v>2023</v>
      </c>
    </row>
    <row r="4462" spans="1:10" ht="14.25" customHeight="1" x14ac:dyDescent="0.3">
      <c r="A4462" s="1">
        <v>45023</v>
      </c>
      <c r="B4462" s="2" t="s">
        <v>587</v>
      </c>
      <c r="C4462" s="2" t="s">
        <v>21</v>
      </c>
      <c r="D4462" s="2" t="s">
        <v>28</v>
      </c>
      <c r="E4462" s="2" t="s">
        <v>243</v>
      </c>
      <c r="F4462" s="2">
        <v>1199.98</v>
      </c>
      <c r="G4462" s="2">
        <v>3</v>
      </c>
      <c r="H4462" s="2">
        <v>374.99</v>
      </c>
      <c r="I4462" t="str">
        <f t="shared" si="69"/>
        <v>Apr</v>
      </c>
      <c r="J4462">
        <f>YEAR(datas[[#This Row],[Order Date]])</f>
        <v>2023</v>
      </c>
    </row>
    <row r="4463" spans="1:10" ht="14.25" customHeight="1" x14ac:dyDescent="0.3">
      <c r="A4463" s="1">
        <v>45023</v>
      </c>
      <c r="B4463" s="2" t="s">
        <v>171</v>
      </c>
      <c r="C4463" s="2" t="s">
        <v>75</v>
      </c>
      <c r="D4463" s="2" t="s">
        <v>26</v>
      </c>
      <c r="E4463" s="2" t="s">
        <v>27</v>
      </c>
      <c r="F4463" s="2">
        <v>658.75</v>
      </c>
      <c r="G4463" s="2">
        <v>3</v>
      </c>
      <c r="H4463" s="2">
        <v>146.38999999999999</v>
      </c>
      <c r="I4463" t="str">
        <f t="shared" si="69"/>
        <v>Apr</v>
      </c>
      <c r="J4463">
        <f>YEAR(datas[[#This Row],[Order Date]])</f>
        <v>2023</v>
      </c>
    </row>
    <row r="4464" spans="1:10" ht="14.25" customHeight="1" x14ac:dyDescent="0.3">
      <c r="A4464" s="1">
        <v>45023</v>
      </c>
      <c r="B4464" s="2" t="s">
        <v>654</v>
      </c>
      <c r="C4464" s="2" t="s">
        <v>75</v>
      </c>
      <c r="D4464" s="2" t="s">
        <v>10</v>
      </c>
      <c r="E4464" s="2" t="s">
        <v>19</v>
      </c>
      <c r="F4464" s="2">
        <v>3.64</v>
      </c>
      <c r="G4464" s="2">
        <v>2</v>
      </c>
      <c r="H4464" s="2">
        <v>0.98</v>
      </c>
      <c r="I4464" t="str">
        <f t="shared" si="69"/>
        <v>Apr</v>
      </c>
      <c r="J4464">
        <f>YEAR(datas[[#This Row],[Order Date]])</f>
        <v>2023</v>
      </c>
    </row>
    <row r="4465" spans="1:10" ht="14.25" customHeight="1" x14ac:dyDescent="0.3">
      <c r="A4465" s="1">
        <v>45023</v>
      </c>
      <c r="B4465" s="2" t="s">
        <v>513</v>
      </c>
      <c r="C4465" s="2" t="s">
        <v>87</v>
      </c>
      <c r="D4465" s="2" t="s">
        <v>10</v>
      </c>
      <c r="E4465" s="2" t="s">
        <v>11</v>
      </c>
      <c r="F4465" s="2">
        <v>37.94</v>
      </c>
      <c r="G4465" s="2">
        <v>2</v>
      </c>
      <c r="H4465" s="2">
        <v>18.21</v>
      </c>
      <c r="I4465" t="str">
        <f t="shared" si="69"/>
        <v>Apr</v>
      </c>
      <c r="J4465">
        <f>YEAR(datas[[#This Row],[Order Date]])</f>
        <v>2023</v>
      </c>
    </row>
    <row r="4466" spans="1:10" ht="14.25" customHeight="1" x14ac:dyDescent="0.3">
      <c r="A4466" s="1">
        <v>45023</v>
      </c>
      <c r="B4466" s="2" t="s">
        <v>138</v>
      </c>
      <c r="C4466" s="2" t="s">
        <v>18</v>
      </c>
      <c r="D4466" s="2" t="s">
        <v>10</v>
      </c>
      <c r="E4466" s="2" t="s">
        <v>53</v>
      </c>
      <c r="F4466" s="2">
        <v>33.53</v>
      </c>
      <c r="G4466" s="2">
        <v>3</v>
      </c>
      <c r="H4466" s="2">
        <v>2.5099999999999998</v>
      </c>
      <c r="I4466" t="str">
        <f t="shared" si="69"/>
        <v>Apr</v>
      </c>
      <c r="J4466">
        <f>YEAR(datas[[#This Row],[Order Date]])</f>
        <v>2023</v>
      </c>
    </row>
    <row r="4467" spans="1:10" ht="14.25" customHeight="1" x14ac:dyDescent="0.3">
      <c r="A4467" s="1">
        <v>45023</v>
      </c>
      <c r="B4467" s="2" t="s">
        <v>138</v>
      </c>
      <c r="C4467" s="2" t="s">
        <v>18</v>
      </c>
      <c r="D4467" s="2" t="s">
        <v>10</v>
      </c>
      <c r="E4467" s="2" t="s">
        <v>15</v>
      </c>
      <c r="F4467" s="2">
        <v>36.74</v>
      </c>
      <c r="G4467" s="2">
        <v>3</v>
      </c>
      <c r="H4467" s="2">
        <v>3.67</v>
      </c>
      <c r="I4467" t="str">
        <f t="shared" si="69"/>
        <v>Apr</v>
      </c>
      <c r="J4467">
        <f>YEAR(datas[[#This Row],[Order Date]])</f>
        <v>2023</v>
      </c>
    </row>
    <row r="4468" spans="1:10" ht="14.25" customHeight="1" x14ac:dyDescent="0.3">
      <c r="A4468" s="1">
        <v>45024</v>
      </c>
      <c r="B4468" s="2" t="s">
        <v>578</v>
      </c>
      <c r="C4468" s="2" t="s">
        <v>75</v>
      </c>
      <c r="D4468" s="2" t="s">
        <v>26</v>
      </c>
      <c r="E4468" s="2" t="s">
        <v>45</v>
      </c>
      <c r="F4468" s="2">
        <v>388.7</v>
      </c>
      <c r="G4468" s="2">
        <v>6</v>
      </c>
      <c r="H4468" s="2">
        <v>-4.8600000000000003</v>
      </c>
      <c r="I4468" t="str">
        <f t="shared" si="69"/>
        <v>Apr</v>
      </c>
      <c r="J4468">
        <f>YEAR(datas[[#This Row],[Order Date]])</f>
        <v>2023</v>
      </c>
    </row>
    <row r="4469" spans="1:10" ht="14.25" customHeight="1" x14ac:dyDescent="0.3">
      <c r="A4469" s="1">
        <v>45024</v>
      </c>
      <c r="B4469" s="2" t="s">
        <v>578</v>
      </c>
      <c r="C4469" s="2" t="s">
        <v>75</v>
      </c>
      <c r="D4469" s="2" t="s">
        <v>10</v>
      </c>
      <c r="E4469" s="2" t="s">
        <v>41</v>
      </c>
      <c r="F4469" s="2">
        <v>8.26</v>
      </c>
      <c r="G4469" s="2">
        <v>2</v>
      </c>
      <c r="H4469" s="2">
        <v>3.8</v>
      </c>
      <c r="I4469" t="str">
        <f t="shared" si="69"/>
        <v>Apr</v>
      </c>
      <c r="J4469">
        <f>YEAR(datas[[#This Row],[Order Date]])</f>
        <v>2023</v>
      </c>
    </row>
    <row r="4470" spans="1:10" ht="14.25" customHeight="1" x14ac:dyDescent="0.3">
      <c r="A4470" s="1">
        <v>45024</v>
      </c>
      <c r="B4470" s="2" t="s">
        <v>578</v>
      </c>
      <c r="C4470" s="2" t="s">
        <v>75</v>
      </c>
      <c r="D4470" s="2" t="s">
        <v>10</v>
      </c>
      <c r="E4470" s="2" t="s">
        <v>19</v>
      </c>
      <c r="F4470" s="2">
        <v>17.04</v>
      </c>
      <c r="G4470" s="2">
        <v>4</v>
      </c>
      <c r="H4470" s="2">
        <v>6.99</v>
      </c>
      <c r="I4470" t="str">
        <f t="shared" si="69"/>
        <v>Apr</v>
      </c>
      <c r="J4470">
        <f>YEAR(datas[[#This Row],[Order Date]])</f>
        <v>2023</v>
      </c>
    </row>
    <row r="4471" spans="1:10" ht="14.25" customHeight="1" x14ac:dyDescent="0.3">
      <c r="A4471" s="1">
        <v>45024</v>
      </c>
      <c r="B4471" s="2" t="s">
        <v>578</v>
      </c>
      <c r="C4471" s="2" t="s">
        <v>75</v>
      </c>
      <c r="D4471" s="2" t="s">
        <v>10</v>
      </c>
      <c r="E4471" s="2" t="s">
        <v>11</v>
      </c>
      <c r="F4471" s="2">
        <v>34.4</v>
      </c>
      <c r="G4471" s="2">
        <v>5</v>
      </c>
      <c r="H4471" s="2">
        <v>15.82</v>
      </c>
      <c r="I4471" t="str">
        <f t="shared" si="69"/>
        <v>Apr</v>
      </c>
      <c r="J4471">
        <f>YEAR(datas[[#This Row],[Order Date]])</f>
        <v>2023</v>
      </c>
    </row>
    <row r="4472" spans="1:10" ht="14.25" customHeight="1" x14ac:dyDescent="0.3">
      <c r="A4472" s="1">
        <v>45024</v>
      </c>
      <c r="B4472" s="2" t="s">
        <v>461</v>
      </c>
      <c r="C4472" s="2" t="s">
        <v>21</v>
      </c>
      <c r="D4472" s="2" t="s">
        <v>10</v>
      </c>
      <c r="E4472" s="2" t="s">
        <v>11</v>
      </c>
      <c r="F4472" s="2">
        <v>20.04</v>
      </c>
      <c r="G4472" s="2">
        <v>3</v>
      </c>
      <c r="H4472" s="2">
        <v>9.6199999999999992</v>
      </c>
      <c r="I4472" t="str">
        <f t="shared" si="69"/>
        <v>Apr</v>
      </c>
      <c r="J4472">
        <f>YEAR(datas[[#This Row],[Order Date]])</f>
        <v>2023</v>
      </c>
    </row>
    <row r="4473" spans="1:10" ht="14.25" customHeight="1" x14ac:dyDescent="0.3">
      <c r="A4473" s="1">
        <v>45024</v>
      </c>
      <c r="B4473" s="2" t="s">
        <v>461</v>
      </c>
      <c r="C4473" s="2" t="s">
        <v>21</v>
      </c>
      <c r="D4473" s="2" t="s">
        <v>10</v>
      </c>
      <c r="E4473" s="2" t="s">
        <v>15</v>
      </c>
      <c r="F4473" s="2">
        <v>64.959999999999994</v>
      </c>
      <c r="G4473" s="2">
        <v>2</v>
      </c>
      <c r="H4473" s="2">
        <v>2.6</v>
      </c>
      <c r="I4473" t="str">
        <f t="shared" si="69"/>
        <v>Apr</v>
      </c>
      <c r="J4473">
        <f>YEAR(datas[[#This Row],[Order Date]])</f>
        <v>2023</v>
      </c>
    </row>
    <row r="4474" spans="1:10" ht="14.25" customHeight="1" x14ac:dyDescent="0.3">
      <c r="A4474" s="1">
        <v>45024</v>
      </c>
      <c r="B4474" s="2" t="s">
        <v>461</v>
      </c>
      <c r="C4474" s="2" t="s">
        <v>21</v>
      </c>
      <c r="D4474" s="2" t="s">
        <v>10</v>
      </c>
      <c r="E4474" s="2" t="s">
        <v>11</v>
      </c>
      <c r="F4474" s="2">
        <v>12.96</v>
      </c>
      <c r="G4474" s="2">
        <v>2</v>
      </c>
      <c r="H4474" s="2">
        <v>6.22</v>
      </c>
      <c r="I4474" t="str">
        <f t="shared" si="69"/>
        <v>Apr</v>
      </c>
      <c r="J4474">
        <f>YEAR(datas[[#This Row],[Order Date]])</f>
        <v>2023</v>
      </c>
    </row>
    <row r="4475" spans="1:10" ht="14.25" customHeight="1" x14ac:dyDescent="0.3">
      <c r="A4475" s="1">
        <v>45024</v>
      </c>
      <c r="B4475" s="2" t="s">
        <v>527</v>
      </c>
      <c r="C4475" s="2" t="s">
        <v>9</v>
      </c>
      <c r="D4475" s="2" t="s">
        <v>28</v>
      </c>
      <c r="E4475" s="2" t="s">
        <v>34</v>
      </c>
      <c r="F4475" s="2">
        <v>431.93</v>
      </c>
      <c r="G4475" s="2">
        <v>9</v>
      </c>
      <c r="H4475" s="2">
        <v>64.790000000000006</v>
      </c>
      <c r="I4475" t="str">
        <f t="shared" si="69"/>
        <v>Apr</v>
      </c>
      <c r="J4475">
        <f>YEAR(datas[[#This Row],[Order Date]])</f>
        <v>2023</v>
      </c>
    </row>
    <row r="4476" spans="1:10" ht="14.25" customHeight="1" x14ac:dyDescent="0.3">
      <c r="A4476" s="1">
        <v>45024</v>
      </c>
      <c r="B4476" s="2" t="s">
        <v>527</v>
      </c>
      <c r="C4476" s="2" t="s">
        <v>9</v>
      </c>
      <c r="D4476" s="2" t="s">
        <v>26</v>
      </c>
      <c r="E4476" s="2" t="s">
        <v>27</v>
      </c>
      <c r="F4476" s="2">
        <v>95.98</v>
      </c>
      <c r="G4476" s="2">
        <v>4</v>
      </c>
      <c r="H4476" s="2">
        <v>-4.1100000000000003</v>
      </c>
      <c r="I4476" t="str">
        <f t="shared" si="69"/>
        <v>Apr</v>
      </c>
      <c r="J4476">
        <f>YEAR(datas[[#This Row],[Order Date]])</f>
        <v>2023</v>
      </c>
    </row>
    <row r="4477" spans="1:10" ht="14.25" customHeight="1" x14ac:dyDescent="0.3">
      <c r="A4477" s="1">
        <v>45024</v>
      </c>
      <c r="B4477" s="2" t="s">
        <v>527</v>
      </c>
      <c r="C4477" s="2" t="s">
        <v>9</v>
      </c>
      <c r="D4477" s="2" t="s">
        <v>10</v>
      </c>
      <c r="E4477" s="2" t="s">
        <v>16</v>
      </c>
      <c r="F4477" s="2">
        <v>1088.79</v>
      </c>
      <c r="G4477" s="2">
        <v>4</v>
      </c>
      <c r="H4477" s="2">
        <v>-1850.95</v>
      </c>
      <c r="I4477" t="str">
        <f t="shared" si="69"/>
        <v>Apr</v>
      </c>
      <c r="J4477">
        <f>YEAR(datas[[#This Row],[Order Date]])</f>
        <v>2023</v>
      </c>
    </row>
    <row r="4478" spans="1:10" ht="14.25" customHeight="1" x14ac:dyDescent="0.3">
      <c r="A4478" s="1">
        <v>45024</v>
      </c>
      <c r="B4478" s="2" t="s">
        <v>540</v>
      </c>
      <c r="C4478" s="2" t="s">
        <v>47</v>
      </c>
      <c r="D4478" s="2" t="s">
        <v>10</v>
      </c>
      <c r="E4478" s="2" t="s">
        <v>41</v>
      </c>
      <c r="F4478" s="2">
        <v>8.8699999999999992</v>
      </c>
      <c r="G4478" s="2">
        <v>1</v>
      </c>
      <c r="H4478" s="2">
        <v>3.22</v>
      </c>
      <c r="I4478" t="str">
        <f t="shared" si="69"/>
        <v>Apr</v>
      </c>
      <c r="J4478">
        <f>YEAR(datas[[#This Row],[Order Date]])</f>
        <v>2023</v>
      </c>
    </row>
    <row r="4479" spans="1:10" ht="14.25" customHeight="1" x14ac:dyDescent="0.3">
      <c r="A4479" s="1">
        <v>45024</v>
      </c>
      <c r="B4479" s="2" t="s">
        <v>540</v>
      </c>
      <c r="C4479" s="2" t="s">
        <v>47</v>
      </c>
      <c r="D4479" s="2" t="s">
        <v>10</v>
      </c>
      <c r="E4479" s="2" t="s">
        <v>16</v>
      </c>
      <c r="F4479" s="2">
        <v>121.1</v>
      </c>
      <c r="G4479" s="2">
        <v>6</v>
      </c>
      <c r="H4479" s="2">
        <v>-100.92</v>
      </c>
      <c r="I4479" t="str">
        <f t="shared" si="69"/>
        <v>Apr</v>
      </c>
      <c r="J4479">
        <f>YEAR(datas[[#This Row],[Order Date]])</f>
        <v>2023</v>
      </c>
    </row>
    <row r="4480" spans="1:10" ht="14.25" customHeight="1" x14ac:dyDescent="0.3">
      <c r="A4480" s="1">
        <v>45024</v>
      </c>
      <c r="B4480" s="2" t="s">
        <v>656</v>
      </c>
      <c r="C4480" s="2" t="s">
        <v>21</v>
      </c>
      <c r="D4480" s="2" t="s">
        <v>26</v>
      </c>
      <c r="E4480" s="2" t="s">
        <v>32</v>
      </c>
      <c r="F4480" s="2">
        <v>24.7</v>
      </c>
      <c r="G4480" s="2">
        <v>5</v>
      </c>
      <c r="H4480" s="2">
        <v>10.37</v>
      </c>
      <c r="I4480" t="str">
        <f t="shared" si="69"/>
        <v>Apr</v>
      </c>
      <c r="J4480">
        <f>YEAR(datas[[#This Row],[Order Date]])</f>
        <v>2023</v>
      </c>
    </row>
    <row r="4481" spans="1:10" ht="14.25" customHeight="1" x14ac:dyDescent="0.3">
      <c r="A4481" s="1">
        <v>45024</v>
      </c>
      <c r="B4481" s="2" t="s">
        <v>256</v>
      </c>
      <c r="C4481" s="2" t="s">
        <v>23</v>
      </c>
      <c r="D4481" s="2" t="s">
        <v>10</v>
      </c>
      <c r="E4481" s="2" t="s">
        <v>41</v>
      </c>
      <c r="F4481" s="2">
        <v>17.920000000000002</v>
      </c>
      <c r="G4481" s="2">
        <v>4</v>
      </c>
      <c r="H4481" s="2">
        <v>8.6</v>
      </c>
      <c r="I4481" t="str">
        <f t="shared" si="69"/>
        <v>Apr</v>
      </c>
      <c r="J4481">
        <f>YEAR(datas[[#This Row],[Order Date]])</f>
        <v>2023</v>
      </c>
    </row>
    <row r="4482" spans="1:10" ht="14.25" customHeight="1" x14ac:dyDescent="0.3">
      <c r="A4482" s="1">
        <v>45024</v>
      </c>
      <c r="B4482" s="2" t="s">
        <v>261</v>
      </c>
      <c r="C4482" s="2" t="s">
        <v>23</v>
      </c>
      <c r="D4482" s="2" t="s">
        <v>26</v>
      </c>
      <c r="E4482" s="2" t="s">
        <v>45</v>
      </c>
      <c r="F4482" s="2">
        <v>354.9</v>
      </c>
      <c r="G4482" s="2">
        <v>5</v>
      </c>
      <c r="H4482" s="2">
        <v>88.73</v>
      </c>
      <c r="I4482" t="str">
        <f t="shared" si="69"/>
        <v>Apr</v>
      </c>
      <c r="J4482">
        <f>YEAR(datas[[#This Row],[Order Date]])</f>
        <v>2023</v>
      </c>
    </row>
    <row r="4483" spans="1:10" ht="14.25" customHeight="1" x14ac:dyDescent="0.3">
      <c r="A4483" s="1">
        <v>45024</v>
      </c>
      <c r="B4483" s="2" t="s">
        <v>132</v>
      </c>
      <c r="C4483" s="2" t="s">
        <v>57</v>
      </c>
      <c r="D4483" s="2" t="s">
        <v>10</v>
      </c>
      <c r="E4483" s="2" t="s">
        <v>30</v>
      </c>
      <c r="F4483" s="2">
        <v>30</v>
      </c>
      <c r="G4483" s="2">
        <v>6</v>
      </c>
      <c r="H4483" s="2">
        <v>14.4</v>
      </c>
      <c r="I4483" t="str">
        <f t="shared" ref="I4483:I4546" si="70">TEXT(A4483,"mmm")</f>
        <v>Apr</v>
      </c>
      <c r="J4483">
        <f>YEAR(datas[[#This Row],[Order Date]])</f>
        <v>2023</v>
      </c>
    </row>
    <row r="4484" spans="1:10" ht="14.25" customHeight="1" x14ac:dyDescent="0.3">
      <c r="A4484" s="1">
        <v>45024</v>
      </c>
      <c r="B4484" s="2" t="s">
        <v>132</v>
      </c>
      <c r="C4484" s="2" t="s">
        <v>57</v>
      </c>
      <c r="D4484" s="2" t="s">
        <v>10</v>
      </c>
      <c r="E4484" s="2" t="s">
        <v>11</v>
      </c>
      <c r="F4484" s="2">
        <v>25.92</v>
      </c>
      <c r="G4484" s="2">
        <v>4</v>
      </c>
      <c r="H4484" s="2">
        <v>12.7</v>
      </c>
      <c r="I4484" t="str">
        <f t="shared" si="70"/>
        <v>Apr</v>
      </c>
      <c r="J4484">
        <f>YEAR(datas[[#This Row],[Order Date]])</f>
        <v>2023</v>
      </c>
    </row>
    <row r="4485" spans="1:10" ht="14.25" customHeight="1" x14ac:dyDescent="0.3">
      <c r="A4485" s="1">
        <v>45024</v>
      </c>
      <c r="B4485" s="2" t="s">
        <v>132</v>
      </c>
      <c r="C4485" s="2" t="s">
        <v>57</v>
      </c>
      <c r="D4485" s="2" t="s">
        <v>26</v>
      </c>
      <c r="E4485" s="2" t="s">
        <v>32</v>
      </c>
      <c r="F4485" s="2">
        <v>159.91999999999999</v>
      </c>
      <c r="G4485" s="2">
        <v>4</v>
      </c>
      <c r="H4485" s="2">
        <v>31.98</v>
      </c>
      <c r="I4485" t="str">
        <f t="shared" si="70"/>
        <v>Apr</v>
      </c>
      <c r="J4485">
        <f>YEAR(datas[[#This Row],[Order Date]])</f>
        <v>2023</v>
      </c>
    </row>
    <row r="4486" spans="1:10" ht="14.25" customHeight="1" x14ac:dyDescent="0.3">
      <c r="A4486" s="1">
        <v>45025</v>
      </c>
      <c r="B4486" s="2" t="s">
        <v>687</v>
      </c>
      <c r="C4486" s="2" t="s">
        <v>82</v>
      </c>
      <c r="D4486" s="2" t="s">
        <v>10</v>
      </c>
      <c r="E4486" s="2" t="s">
        <v>16</v>
      </c>
      <c r="F4486" s="2">
        <v>35.35</v>
      </c>
      <c r="G4486" s="2">
        <v>9</v>
      </c>
      <c r="H4486" s="2">
        <v>12.82</v>
      </c>
      <c r="I4486" t="str">
        <f t="shared" si="70"/>
        <v>Apr</v>
      </c>
      <c r="J4486">
        <f>YEAR(datas[[#This Row],[Order Date]])</f>
        <v>2023</v>
      </c>
    </row>
    <row r="4487" spans="1:10" ht="14.25" customHeight="1" x14ac:dyDescent="0.3">
      <c r="A4487" s="1">
        <v>45025</v>
      </c>
      <c r="B4487" s="2" t="s">
        <v>820</v>
      </c>
      <c r="C4487" s="2" t="s">
        <v>60</v>
      </c>
      <c r="D4487" s="2" t="s">
        <v>28</v>
      </c>
      <c r="E4487" s="2" t="s">
        <v>29</v>
      </c>
      <c r="F4487" s="2">
        <v>517.9</v>
      </c>
      <c r="G4487" s="2">
        <v>2</v>
      </c>
      <c r="H4487" s="2">
        <v>134.65</v>
      </c>
      <c r="I4487" t="str">
        <f t="shared" si="70"/>
        <v>Apr</v>
      </c>
      <c r="J4487">
        <f>YEAR(datas[[#This Row],[Order Date]])</f>
        <v>2023</v>
      </c>
    </row>
    <row r="4488" spans="1:10" ht="14.25" customHeight="1" x14ac:dyDescent="0.3">
      <c r="A4488" s="1">
        <v>45025</v>
      </c>
      <c r="B4488" s="2" t="s">
        <v>820</v>
      </c>
      <c r="C4488" s="2" t="s">
        <v>60</v>
      </c>
      <c r="D4488" s="2" t="s">
        <v>10</v>
      </c>
      <c r="E4488" s="2" t="s">
        <v>16</v>
      </c>
      <c r="F4488" s="2">
        <v>5.28</v>
      </c>
      <c r="G4488" s="2">
        <v>2</v>
      </c>
      <c r="H4488" s="2">
        <v>2.4300000000000002</v>
      </c>
      <c r="I4488" t="str">
        <f t="shared" si="70"/>
        <v>Apr</v>
      </c>
      <c r="J4488">
        <f>YEAR(datas[[#This Row],[Order Date]])</f>
        <v>2023</v>
      </c>
    </row>
    <row r="4489" spans="1:10" ht="14.25" customHeight="1" x14ac:dyDescent="0.3">
      <c r="A4489" s="1">
        <v>45025</v>
      </c>
      <c r="B4489" s="2" t="s">
        <v>288</v>
      </c>
      <c r="C4489" s="2" t="s">
        <v>21</v>
      </c>
      <c r="D4489" s="2" t="s">
        <v>26</v>
      </c>
      <c r="E4489" s="2" t="s">
        <v>45</v>
      </c>
      <c r="F4489" s="2">
        <v>556.66999999999996</v>
      </c>
      <c r="G4489" s="2">
        <v>5</v>
      </c>
      <c r="H4489" s="2">
        <v>6.55</v>
      </c>
      <c r="I4489" t="str">
        <f t="shared" si="70"/>
        <v>Apr</v>
      </c>
      <c r="J4489">
        <f>YEAR(datas[[#This Row],[Order Date]])</f>
        <v>2023</v>
      </c>
    </row>
    <row r="4490" spans="1:10" ht="14.25" customHeight="1" x14ac:dyDescent="0.3">
      <c r="A4490" s="1">
        <v>45026</v>
      </c>
      <c r="B4490" s="2" t="s">
        <v>764</v>
      </c>
      <c r="C4490" s="2" t="s">
        <v>47</v>
      </c>
      <c r="D4490" s="2" t="s">
        <v>10</v>
      </c>
      <c r="E4490" s="2" t="s">
        <v>16</v>
      </c>
      <c r="F4490" s="2">
        <v>8.9</v>
      </c>
      <c r="G4490" s="2">
        <v>2</v>
      </c>
      <c r="H4490" s="2">
        <v>-6.53</v>
      </c>
      <c r="I4490" t="str">
        <f t="shared" si="70"/>
        <v>Apr</v>
      </c>
      <c r="J4490">
        <f>YEAR(datas[[#This Row],[Order Date]])</f>
        <v>2023</v>
      </c>
    </row>
    <row r="4491" spans="1:10" ht="14.25" customHeight="1" x14ac:dyDescent="0.3">
      <c r="A4491" s="1">
        <v>45026</v>
      </c>
      <c r="B4491" s="2" t="s">
        <v>129</v>
      </c>
      <c r="C4491" s="2" t="s">
        <v>21</v>
      </c>
      <c r="D4491" s="2" t="s">
        <v>10</v>
      </c>
      <c r="E4491" s="2" t="s">
        <v>11</v>
      </c>
      <c r="F4491" s="2">
        <v>12.96</v>
      </c>
      <c r="G4491" s="2">
        <v>2</v>
      </c>
      <c r="H4491" s="2">
        <v>6.22</v>
      </c>
      <c r="I4491" t="str">
        <f t="shared" si="70"/>
        <v>Apr</v>
      </c>
      <c r="J4491">
        <f>YEAR(datas[[#This Row],[Order Date]])</f>
        <v>2023</v>
      </c>
    </row>
    <row r="4492" spans="1:10" ht="14.25" customHeight="1" x14ac:dyDescent="0.3">
      <c r="A4492" s="1">
        <v>45026</v>
      </c>
      <c r="B4492" s="2" t="s">
        <v>129</v>
      </c>
      <c r="C4492" s="2" t="s">
        <v>21</v>
      </c>
      <c r="D4492" s="2" t="s">
        <v>10</v>
      </c>
      <c r="E4492" s="2" t="s">
        <v>16</v>
      </c>
      <c r="F4492" s="2">
        <v>23.2</v>
      </c>
      <c r="G4492" s="2">
        <v>5</v>
      </c>
      <c r="H4492" s="2">
        <v>8.1199999999999992</v>
      </c>
      <c r="I4492" t="str">
        <f t="shared" si="70"/>
        <v>Apr</v>
      </c>
      <c r="J4492">
        <f>YEAR(datas[[#This Row],[Order Date]])</f>
        <v>2023</v>
      </c>
    </row>
    <row r="4493" spans="1:10" ht="14.25" customHeight="1" x14ac:dyDescent="0.3">
      <c r="A4493" s="1">
        <v>45026</v>
      </c>
      <c r="B4493" s="2" t="s">
        <v>614</v>
      </c>
      <c r="C4493" s="2" t="s">
        <v>21</v>
      </c>
      <c r="D4493" s="2" t="s">
        <v>10</v>
      </c>
      <c r="E4493" s="2" t="s">
        <v>53</v>
      </c>
      <c r="F4493" s="2">
        <v>113.76</v>
      </c>
      <c r="G4493" s="2">
        <v>3</v>
      </c>
      <c r="H4493" s="2">
        <v>44.37</v>
      </c>
      <c r="I4493" t="str">
        <f t="shared" si="70"/>
        <v>Apr</v>
      </c>
      <c r="J4493">
        <f>YEAR(datas[[#This Row],[Order Date]])</f>
        <v>2023</v>
      </c>
    </row>
    <row r="4494" spans="1:10" ht="14.25" customHeight="1" x14ac:dyDescent="0.3">
      <c r="A4494" s="1">
        <v>45026</v>
      </c>
      <c r="B4494" s="2" t="s">
        <v>614</v>
      </c>
      <c r="C4494" s="2" t="s">
        <v>21</v>
      </c>
      <c r="D4494" s="2" t="s">
        <v>10</v>
      </c>
      <c r="E4494" s="2" t="s">
        <v>15</v>
      </c>
      <c r="F4494" s="2">
        <v>579.51</v>
      </c>
      <c r="G4494" s="2">
        <v>3</v>
      </c>
      <c r="H4494" s="2">
        <v>81.13</v>
      </c>
      <c r="I4494" t="str">
        <f t="shared" si="70"/>
        <v>Apr</v>
      </c>
      <c r="J4494">
        <f>YEAR(datas[[#This Row],[Order Date]])</f>
        <v>2023</v>
      </c>
    </row>
    <row r="4495" spans="1:10" ht="14.25" customHeight="1" x14ac:dyDescent="0.3">
      <c r="A4495" s="1">
        <v>45026</v>
      </c>
      <c r="B4495" s="2" t="s">
        <v>614</v>
      </c>
      <c r="C4495" s="2" t="s">
        <v>21</v>
      </c>
      <c r="D4495" s="2" t="s">
        <v>10</v>
      </c>
      <c r="E4495" s="2" t="s">
        <v>15</v>
      </c>
      <c r="F4495" s="2">
        <v>150.66</v>
      </c>
      <c r="G4495" s="2">
        <v>9</v>
      </c>
      <c r="H4495" s="2">
        <v>6.03</v>
      </c>
      <c r="I4495" t="str">
        <f t="shared" si="70"/>
        <v>Apr</v>
      </c>
      <c r="J4495">
        <f>YEAR(datas[[#This Row],[Order Date]])</f>
        <v>2023</v>
      </c>
    </row>
    <row r="4496" spans="1:10" ht="14.25" customHeight="1" x14ac:dyDescent="0.3">
      <c r="A4496" s="1">
        <v>45026</v>
      </c>
      <c r="B4496" s="2" t="s">
        <v>614</v>
      </c>
      <c r="C4496" s="2" t="s">
        <v>21</v>
      </c>
      <c r="D4496" s="2" t="s">
        <v>10</v>
      </c>
      <c r="E4496" s="2" t="s">
        <v>16</v>
      </c>
      <c r="F4496" s="2">
        <v>48.03</v>
      </c>
      <c r="G4496" s="2">
        <v>4</v>
      </c>
      <c r="H4496" s="2">
        <v>15.61</v>
      </c>
      <c r="I4496" t="str">
        <f t="shared" si="70"/>
        <v>Apr</v>
      </c>
      <c r="J4496">
        <f>YEAR(datas[[#This Row],[Order Date]])</f>
        <v>2023</v>
      </c>
    </row>
    <row r="4497" spans="1:10" ht="14.25" customHeight="1" x14ac:dyDescent="0.3">
      <c r="A4497" s="1">
        <v>45026</v>
      </c>
      <c r="B4497" s="2" t="s">
        <v>144</v>
      </c>
      <c r="C4497" s="2" t="s">
        <v>13</v>
      </c>
      <c r="D4497" s="2" t="s">
        <v>10</v>
      </c>
      <c r="E4497" s="2" t="s">
        <v>19</v>
      </c>
      <c r="F4497" s="2">
        <v>13.57</v>
      </c>
      <c r="G4497" s="2">
        <v>4</v>
      </c>
      <c r="H4497" s="2">
        <v>3.22</v>
      </c>
      <c r="I4497" t="str">
        <f t="shared" si="70"/>
        <v>Apr</v>
      </c>
      <c r="J4497">
        <f>YEAR(datas[[#This Row],[Order Date]])</f>
        <v>2023</v>
      </c>
    </row>
    <row r="4498" spans="1:10" ht="14.25" customHeight="1" x14ac:dyDescent="0.3">
      <c r="A4498" s="1">
        <v>45028</v>
      </c>
      <c r="B4498" s="2" t="s">
        <v>44</v>
      </c>
      <c r="C4498" s="2" t="s">
        <v>36</v>
      </c>
      <c r="D4498" s="2" t="s">
        <v>26</v>
      </c>
      <c r="E4498" s="2" t="s">
        <v>73</v>
      </c>
      <c r="F4498" s="2">
        <v>343.92</v>
      </c>
      <c r="G4498" s="2">
        <v>4</v>
      </c>
      <c r="H4498" s="2">
        <v>75.66</v>
      </c>
      <c r="I4498" t="str">
        <f t="shared" si="70"/>
        <v>Apr</v>
      </c>
      <c r="J4498">
        <f>YEAR(datas[[#This Row],[Order Date]])</f>
        <v>2023</v>
      </c>
    </row>
    <row r="4499" spans="1:10" ht="14.25" customHeight="1" x14ac:dyDescent="0.3">
      <c r="A4499" s="1">
        <v>45028</v>
      </c>
      <c r="B4499" s="2" t="s">
        <v>44</v>
      </c>
      <c r="C4499" s="2" t="s">
        <v>36</v>
      </c>
      <c r="D4499" s="2" t="s">
        <v>10</v>
      </c>
      <c r="E4499" s="2" t="s">
        <v>11</v>
      </c>
      <c r="F4499" s="2">
        <v>40.99</v>
      </c>
      <c r="G4499" s="2">
        <v>1</v>
      </c>
      <c r="H4499" s="2">
        <v>20.09</v>
      </c>
      <c r="I4499" t="str">
        <f t="shared" si="70"/>
        <v>Apr</v>
      </c>
      <c r="J4499">
        <f>YEAR(datas[[#This Row],[Order Date]])</f>
        <v>2023</v>
      </c>
    </row>
    <row r="4500" spans="1:10" ht="14.25" customHeight="1" x14ac:dyDescent="0.3">
      <c r="A4500" s="1">
        <v>45028</v>
      </c>
      <c r="B4500" s="2" t="s">
        <v>44</v>
      </c>
      <c r="C4500" s="2" t="s">
        <v>36</v>
      </c>
      <c r="D4500" s="2" t="s">
        <v>10</v>
      </c>
      <c r="E4500" s="2" t="s">
        <v>41</v>
      </c>
      <c r="F4500" s="2">
        <v>63.9</v>
      </c>
      <c r="G4500" s="2">
        <v>5</v>
      </c>
      <c r="H4500" s="2">
        <v>28.76</v>
      </c>
      <c r="I4500" t="str">
        <f t="shared" si="70"/>
        <v>Apr</v>
      </c>
      <c r="J4500">
        <f>YEAR(datas[[#This Row],[Order Date]])</f>
        <v>2023</v>
      </c>
    </row>
    <row r="4501" spans="1:10" ht="14.25" customHeight="1" x14ac:dyDescent="0.3">
      <c r="A4501" s="1">
        <v>45028</v>
      </c>
      <c r="B4501" s="2" t="s">
        <v>514</v>
      </c>
      <c r="C4501" s="2" t="s">
        <v>21</v>
      </c>
      <c r="D4501" s="2" t="s">
        <v>26</v>
      </c>
      <c r="E4501" s="2" t="s">
        <v>27</v>
      </c>
      <c r="F4501" s="2">
        <v>638.29</v>
      </c>
      <c r="G4501" s="2">
        <v>7</v>
      </c>
      <c r="H4501" s="2">
        <v>-31.91</v>
      </c>
      <c r="I4501" t="str">
        <f t="shared" si="70"/>
        <v>Apr</v>
      </c>
      <c r="J4501">
        <f>YEAR(datas[[#This Row],[Order Date]])</f>
        <v>2023</v>
      </c>
    </row>
    <row r="4502" spans="1:10" ht="14.25" customHeight="1" x14ac:dyDescent="0.3">
      <c r="A4502" s="1">
        <v>45028</v>
      </c>
      <c r="B4502" s="2" t="s">
        <v>514</v>
      </c>
      <c r="C4502" s="2" t="s">
        <v>21</v>
      </c>
      <c r="D4502" s="2" t="s">
        <v>10</v>
      </c>
      <c r="E4502" s="2" t="s">
        <v>16</v>
      </c>
      <c r="F4502" s="2">
        <v>13.21</v>
      </c>
      <c r="G4502" s="2">
        <v>1</v>
      </c>
      <c r="H4502" s="2">
        <v>4.62</v>
      </c>
      <c r="I4502" t="str">
        <f t="shared" si="70"/>
        <v>Apr</v>
      </c>
      <c r="J4502">
        <f>YEAR(datas[[#This Row],[Order Date]])</f>
        <v>2023</v>
      </c>
    </row>
    <row r="4503" spans="1:10" ht="14.25" customHeight="1" x14ac:dyDescent="0.3">
      <c r="A4503" s="1">
        <v>45028</v>
      </c>
      <c r="B4503" s="2" t="s">
        <v>133</v>
      </c>
      <c r="C4503" s="2" t="s">
        <v>21</v>
      </c>
      <c r="D4503" s="2" t="s">
        <v>10</v>
      </c>
      <c r="E4503" s="2" t="s">
        <v>11</v>
      </c>
      <c r="F4503" s="2">
        <v>19.440000000000001</v>
      </c>
      <c r="G4503" s="2">
        <v>3</v>
      </c>
      <c r="H4503" s="2">
        <v>9.33</v>
      </c>
      <c r="I4503" t="str">
        <f t="shared" si="70"/>
        <v>Apr</v>
      </c>
      <c r="J4503">
        <f>YEAR(datas[[#This Row],[Order Date]])</f>
        <v>2023</v>
      </c>
    </row>
    <row r="4504" spans="1:10" ht="14.25" customHeight="1" x14ac:dyDescent="0.3">
      <c r="A4504" s="1">
        <v>45028</v>
      </c>
      <c r="B4504" s="2" t="s">
        <v>133</v>
      </c>
      <c r="C4504" s="2" t="s">
        <v>21</v>
      </c>
      <c r="D4504" s="2" t="s">
        <v>26</v>
      </c>
      <c r="E4504" s="2" t="s">
        <v>27</v>
      </c>
      <c r="F4504" s="2">
        <v>194.35</v>
      </c>
      <c r="G4504" s="2">
        <v>3</v>
      </c>
      <c r="H4504" s="2">
        <v>-36.44</v>
      </c>
      <c r="I4504" t="str">
        <f t="shared" si="70"/>
        <v>Apr</v>
      </c>
      <c r="J4504">
        <f>YEAR(datas[[#This Row],[Order Date]])</f>
        <v>2023</v>
      </c>
    </row>
    <row r="4505" spans="1:10" ht="14.25" customHeight="1" x14ac:dyDescent="0.3">
      <c r="A4505" s="1">
        <v>45028</v>
      </c>
      <c r="B4505" s="2" t="s">
        <v>133</v>
      </c>
      <c r="C4505" s="2" t="s">
        <v>21</v>
      </c>
      <c r="D4505" s="2" t="s">
        <v>10</v>
      </c>
      <c r="E4505" s="2" t="s">
        <v>16</v>
      </c>
      <c r="F4505" s="2">
        <v>36.619999999999997</v>
      </c>
      <c r="G4505" s="2">
        <v>3</v>
      </c>
      <c r="H4505" s="2">
        <v>13.73</v>
      </c>
      <c r="I4505" t="str">
        <f t="shared" si="70"/>
        <v>Apr</v>
      </c>
      <c r="J4505">
        <f>YEAR(datas[[#This Row],[Order Date]])</f>
        <v>2023</v>
      </c>
    </row>
    <row r="4506" spans="1:10" ht="14.25" customHeight="1" x14ac:dyDescent="0.3">
      <c r="A4506" s="1">
        <v>45028</v>
      </c>
      <c r="B4506" s="2" t="s">
        <v>631</v>
      </c>
      <c r="C4506" s="2" t="s">
        <v>115</v>
      </c>
      <c r="D4506" s="2" t="s">
        <v>10</v>
      </c>
      <c r="E4506" s="2" t="s">
        <v>15</v>
      </c>
      <c r="F4506" s="2">
        <v>129.55000000000001</v>
      </c>
      <c r="G4506" s="2">
        <v>3</v>
      </c>
      <c r="H4506" s="2">
        <v>-22.67</v>
      </c>
      <c r="I4506" t="str">
        <f t="shared" si="70"/>
        <v>Apr</v>
      </c>
      <c r="J4506">
        <f>YEAR(datas[[#This Row],[Order Date]])</f>
        <v>2023</v>
      </c>
    </row>
    <row r="4507" spans="1:10" ht="14.25" customHeight="1" x14ac:dyDescent="0.3">
      <c r="A4507" s="1">
        <v>45028</v>
      </c>
      <c r="B4507" s="2" t="s">
        <v>631</v>
      </c>
      <c r="C4507" s="2" t="s">
        <v>115</v>
      </c>
      <c r="D4507" s="2" t="s">
        <v>10</v>
      </c>
      <c r="E4507" s="2" t="s">
        <v>15</v>
      </c>
      <c r="F4507" s="2">
        <v>51.98</v>
      </c>
      <c r="G4507" s="2">
        <v>1</v>
      </c>
      <c r="H4507" s="2">
        <v>-5.2</v>
      </c>
      <c r="I4507" t="str">
        <f t="shared" si="70"/>
        <v>Apr</v>
      </c>
      <c r="J4507">
        <f>YEAR(datas[[#This Row],[Order Date]])</f>
        <v>2023</v>
      </c>
    </row>
    <row r="4508" spans="1:10" ht="14.25" customHeight="1" x14ac:dyDescent="0.3">
      <c r="A4508" s="1">
        <v>45028</v>
      </c>
      <c r="B4508" s="2" t="s">
        <v>631</v>
      </c>
      <c r="C4508" s="2" t="s">
        <v>115</v>
      </c>
      <c r="D4508" s="2" t="s">
        <v>10</v>
      </c>
      <c r="E4508" s="2" t="s">
        <v>11</v>
      </c>
      <c r="F4508" s="2">
        <v>10.27</v>
      </c>
      <c r="G4508" s="2">
        <v>3</v>
      </c>
      <c r="H4508" s="2">
        <v>3.47</v>
      </c>
      <c r="I4508" t="str">
        <f t="shared" si="70"/>
        <v>Apr</v>
      </c>
      <c r="J4508">
        <f>YEAR(datas[[#This Row],[Order Date]])</f>
        <v>2023</v>
      </c>
    </row>
    <row r="4509" spans="1:10" ht="14.25" customHeight="1" x14ac:dyDescent="0.3">
      <c r="A4509" s="1">
        <v>45029</v>
      </c>
      <c r="B4509" s="2" t="s">
        <v>602</v>
      </c>
      <c r="C4509" s="2" t="s">
        <v>21</v>
      </c>
      <c r="D4509" s="2" t="s">
        <v>10</v>
      </c>
      <c r="E4509" s="2" t="s">
        <v>41</v>
      </c>
      <c r="F4509" s="2">
        <v>6.12</v>
      </c>
      <c r="G4509" s="2">
        <v>3</v>
      </c>
      <c r="H4509" s="2">
        <v>2.88</v>
      </c>
      <c r="I4509" t="str">
        <f t="shared" si="70"/>
        <v>Apr</v>
      </c>
      <c r="J4509">
        <f>YEAR(datas[[#This Row],[Order Date]])</f>
        <v>2023</v>
      </c>
    </row>
    <row r="4510" spans="1:10" ht="14.25" customHeight="1" x14ac:dyDescent="0.3">
      <c r="A4510" s="1">
        <v>45030</v>
      </c>
      <c r="B4510" s="2" t="s">
        <v>368</v>
      </c>
      <c r="C4510" s="2" t="s">
        <v>21</v>
      </c>
      <c r="D4510" s="2" t="s">
        <v>26</v>
      </c>
      <c r="E4510" s="2" t="s">
        <v>27</v>
      </c>
      <c r="F4510" s="2">
        <v>383.8</v>
      </c>
      <c r="G4510" s="2">
        <v>5</v>
      </c>
      <c r="H4510" s="2">
        <v>38.380000000000003</v>
      </c>
      <c r="I4510" t="str">
        <f t="shared" si="70"/>
        <v>Apr</v>
      </c>
      <c r="J4510">
        <f>YEAR(datas[[#This Row],[Order Date]])</f>
        <v>2023</v>
      </c>
    </row>
    <row r="4511" spans="1:10" ht="14.25" customHeight="1" x14ac:dyDescent="0.3">
      <c r="A4511" s="1">
        <v>45030</v>
      </c>
      <c r="B4511" s="2" t="s">
        <v>458</v>
      </c>
      <c r="C4511" s="2" t="s">
        <v>55</v>
      </c>
      <c r="D4511" s="2" t="s">
        <v>26</v>
      </c>
      <c r="E4511" s="2" t="s">
        <v>27</v>
      </c>
      <c r="F4511" s="2">
        <v>933.54</v>
      </c>
      <c r="G4511" s="2">
        <v>4</v>
      </c>
      <c r="H4511" s="2">
        <v>105.02</v>
      </c>
      <c r="I4511" t="str">
        <f t="shared" si="70"/>
        <v>Apr</v>
      </c>
      <c r="J4511">
        <f>YEAR(datas[[#This Row],[Order Date]])</f>
        <v>2023</v>
      </c>
    </row>
    <row r="4512" spans="1:10" ht="14.25" customHeight="1" x14ac:dyDescent="0.3">
      <c r="A4512" s="1">
        <v>45030</v>
      </c>
      <c r="B4512" s="2" t="s">
        <v>458</v>
      </c>
      <c r="C4512" s="2" t="s">
        <v>55</v>
      </c>
      <c r="D4512" s="2" t="s">
        <v>10</v>
      </c>
      <c r="E4512" s="2" t="s">
        <v>15</v>
      </c>
      <c r="F4512" s="2">
        <v>42.98</v>
      </c>
      <c r="G4512" s="2">
        <v>4</v>
      </c>
      <c r="H4512" s="2">
        <v>4.3</v>
      </c>
      <c r="I4512" t="str">
        <f t="shared" si="70"/>
        <v>Apr</v>
      </c>
      <c r="J4512">
        <f>YEAR(datas[[#This Row],[Order Date]])</f>
        <v>2023</v>
      </c>
    </row>
    <row r="4513" spans="1:10" ht="14.25" customHeight="1" x14ac:dyDescent="0.3">
      <c r="A4513" s="1">
        <v>45030</v>
      </c>
      <c r="B4513" s="2" t="s">
        <v>63</v>
      </c>
      <c r="C4513" s="2" t="s">
        <v>36</v>
      </c>
      <c r="D4513" s="2" t="s">
        <v>10</v>
      </c>
      <c r="E4513" s="2" t="s">
        <v>15</v>
      </c>
      <c r="F4513" s="2">
        <v>81.2</v>
      </c>
      <c r="G4513" s="2">
        <v>5</v>
      </c>
      <c r="H4513" s="2">
        <v>12.18</v>
      </c>
      <c r="I4513" t="str">
        <f t="shared" si="70"/>
        <v>Apr</v>
      </c>
      <c r="J4513">
        <f>YEAR(datas[[#This Row],[Order Date]])</f>
        <v>2023</v>
      </c>
    </row>
    <row r="4514" spans="1:10" ht="14.25" customHeight="1" x14ac:dyDescent="0.3">
      <c r="A4514" s="1">
        <v>45030</v>
      </c>
      <c r="B4514" s="2" t="s">
        <v>821</v>
      </c>
      <c r="C4514" s="2" t="s">
        <v>215</v>
      </c>
      <c r="D4514" s="2" t="s">
        <v>10</v>
      </c>
      <c r="E4514" s="2" t="s">
        <v>16</v>
      </c>
      <c r="F4514" s="2">
        <v>25.06</v>
      </c>
      <c r="G4514" s="2">
        <v>2</v>
      </c>
      <c r="H4514" s="2">
        <v>11.78</v>
      </c>
      <c r="I4514" t="str">
        <f t="shared" si="70"/>
        <v>Apr</v>
      </c>
      <c r="J4514">
        <f>YEAR(datas[[#This Row],[Order Date]])</f>
        <v>2023</v>
      </c>
    </row>
    <row r="4515" spans="1:10" ht="14.25" customHeight="1" x14ac:dyDescent="0.3">
      <c r="A4515" s="1">
        <v>45031</v>
      </c>
      <c r="B4515" s="2" t="s">
        <v>304</v>
      </c>
      <c r="C4515" s="2" t="s">
        <v>115</v>
      </c>
      <c r="D4515" s="2" t="s">
        <v>10</v>
      </c>
      <c r="E4515" s="2" t="s">
        <v>16</v>
      </c>
      <c r="F4515" s="2">
        <v>189.59</v>
      </c>
      <c r="G4515" s="2">
        <v>2</v>
      </c>
      <c r="H4515" s="2">
        <v>-145.35</v>
      </c>
      <c r="I4515" t="str">
        <f t="shared" si="70"/>
        <v>Apr</v>
      </c>
      <c r="J4515">
        <f>YEAR(datas[[#This Row],[Order Date]])</f>
        <v>2023</v>
      </c>
    </row>
    <row r="4516" spans="1:10" ht="14.25" customHeight="1" x14ac:dyDescent="0.3">
      <c r="A4516" s="1">
        <v>45031</v>
      </c>
      <c r="B4516" s="2" t="s">
        <v>304</v>
      </c>
      <c r="C4516" s="2" t="s">
        <v>115</v>
      </c>
      <c r="D4516" s="2" t="s">
        <v>28</v>
      </c>
      <c r="E4516" s="2" t="s">
        <v>34</v>
      </c>
      <c r="F4516" s="2">
        <v>408.74</v>
      </c>
      <c r="G4516" s="2">
        <v>7</v>
      </c>
      <c r="H4516" s="2">
        <v>76.64</v>
      </c>
      <c r="I4516" t="str">
        <f t="shared" si="70"/>
        <v>Apr</v>
      </c>
      <c r="J4516">
        <f>YEAR(datas[[#This Row],[Order Date]])</f>
        <v>2023</v>
      </c>
    </row>
    <row r="4517" spans="1:10" ht="14.25" customHeight="1" x14ac:dyDescent="0.3">
      <c r="A4517" s="1">
        <v>45031</v>
      </c>
      <c r="B4517" s="2" t="s">
        <v>304</v>
      </c>
      <c r="C4517" s="2" t="s">
        <v>115</v>
      </c>
      <c r="D4517" s="2" t="s">
        <v>28</v>
      </c>
      <c r="E4517" s="2" t="s">
        <v>34</v>
      </c>
      <c r="F4517" s="2">
        <v>291.95999999999998</v>
      </c>
      <c r="G4517" s="2">
        <v>5</v>
      </c>
      <c r="H4517" s="2">
        <v>54.74</v>
      </c>
      <c r="I4517" t="str">
        <f t="shared" si="70"/>
        <v>Apr</v>
      </c>
      <c r="J4517">
        <f>YEAR(datas[[#This Row],[Order Date]])</f>
        <v>2023</v>
      </c>
    </row>
    <row r="4518" spans="1:10" ht="14.25" customHeight="1" x14ac:dyDescent="0.3">
      <c r="A4518" s="1">
        <v>45031</v>
      </c>
      <c r="B4518" s="2" t="s">
        <v>304</v>
      </c>
      <c r="C4518" s="2" t="s">
        <v>115</v>
      </c>
      <c r="D4518" s="2" t="s">
        <v>10</v>
      </c>
      <c r="E4518" s="2" t="s">
        <v>15</v>
      </c>
      <c r="F4518" s="2">
        <v>4.7699999999999996</v>
      </c>
      <c r="G4518" s="2">
        <v>2</v>
      </c>
      <c r="H4518" s="2">
        <v>-0.77</v>
      </c>
      <c r="I4518" t="str">
        <f t="shared" si="70"/>
        <v>Apr</v>
      </c>
      <c r="J4518">
        <f>YEAR(datas[[#This Row],[Order Date]])</f>
        <v>2023</v>
      </c>
    </row>
    <row r="4519" spans="1:10" ht="14.25" customHeight="1" x14ac:dyDescent="0.3">
      <c r="A4519" s="1">
        <v>45031</v>
      </c>
      <c r="B4519" s="2" t="s">
        <v>722</v>
      </c>
      <c r="C4519" s="2" t="s">
        <v>21</v>
      </c>
      <c r="D4519" s="2" t="s">
        <v>26</v>
      </c>
      <c r="E4519" s="2" t="s">
        <v>27</v>
      </c>
      <c r="F4519" s="2">
        <v>1121.57</v>
      </c>
      <c r="G4519" s="2">
        <v>2</v>
      </c>
      <c r="H4519" s="2">
        <v>0</v>
      </c>
      <c r="I4519" t="str">
        <f t="shared" si="70"/>
        <v>Apr</v>
      </c>
      <c r="J4519">
        <f>YEAR(datas[[#This Row],[Order Date]])</f>
        <v>2023</v>
      </c>
    </row>
    <row r="4520" spans="1:10" ht="14.25" customHeight="1" x14ac:dyDescent="0.3">
      <c r="A4520" s="1">
        <v>45031</v>
      </c>
      <c r="B4520" s="2" t="s">
        <v>232</v>
      </c>
      <c r="C4520" s="2" t="s">
        <v>9</v>
      </c>
      <c r="D4520" s="2" t="s">
        <v>10</v>
      </c>
      <c r="E4520" s="2" t="s">
        <v>19</v>
      </c>
      <c r="F4520" s="2">
        <v>33.49</v>
      </c>
      <c r="G4520" s="2">
        <v>7</v>
      </c>
      <c r="H4520" s="2">
        <v>5.86</v>
      </c>
      <c r="I4520" t="str">
        <f t="shared" si="70"/>
        <v>Apr</v>
      </c>
      <c r="J4520">
        <f>YEAR(datas[[#This Row],[Order Date]])</f>
        <v>2023</v>
      </c>
    </row>
    <row r="4521" spans="1:10" ht="14.25" customHeight="1" x14ac:dyDescent="0.3">
      <c r="A4521" s="1">
        <v>45031</v>
      </c>
      <c r="B4521" s="2" t="s">
        <v>232</v>
      </c>
      <c r="C4521" s="2" t="s">
        <v>9</v>
      </c>
      <c r="D4521" s="2" t="s">
        <v>10</v>
      </c>
      <c r="E4521" s="2" t="s">
        <v>30</v>
      </c>
      <c r="F4521" s="2">
        <v>8.0399999999999991</v>
      </c>
      <c r="G4521" s="2">
        <v>5</v>
      </c>
      <c r="H4521" s="2">
        <v>2.91</v>
      </c>
      <c r="I4521" t="str">
        <f t="shared" si="70"/>
        <v>Apr</v>
      </c>
      <c r="J4521">
        <f>YEAR(datas[[#This Row],[Order Date]])</f>
        <v>2023</v>
      </c>
    </row>
    <row r="4522" spans="1:10" ht="14.25" customHeight="1" x14ac:dyDescent="0.3">
      <c r="A4522" s="1">
        <v>45031</v>
      </c>
      <c r="B4522" s="2" t="s">
        <v>560</v>
      </c>
      <c r="C4522" s="2" t="s">
        <v>21</v>
      </c>
      <c r="D4522" s="2" t="s">
        <v>10</v>
      </c>
      <c r="E4522" s="2" t="s">
        <v>11</v>
      </c>
      <c r="F4522" s="2">
        <v>143.69999999999999</v>
      </c>
      <c r="G4522" s="2">
        <v>3</v>
      </c>
      <c r="H4522" s="2">
        <v>68.98</v>
      </c>
      <c r="I4522" t="str">
        <f t="shared" si="70"/>
        <v>Apr</v>
      </c>
      <c r="J4522">
        <f>YEAR(datas[[#This Row],[Order Date]])</f>
        <v>2023</v>
      </c>
    </row>
    <row r="4523" spans="1:10" ht="14.25" customHeight="1" x14ac:dyDescent="0.3">
      <c r="A4523" s="1">
        <v>45032</v>
      </c>
      <c r="B4523" s="2" t="s">
        <v>428</v>
      </c>
      <c r="C4523" s="2" t="s">
        <v>23</v>
      </c>
      <c r="D4523" s="2" t="s">
        <v>10</v>
      </c>
      <c r="E4523" s="2" t="s">
        <v>19</v>
      </c>
      <c r="F4523" s="2">
        <v>12.84</v>
      </c>
      <c r="G4523" s="2">
        <v>3</v>
      </c>
      <c r="H4523" s="2">
        <v>3.72</v>
      </c>
      <c r="I4523" t="str">
        <f t="shared" si="70"/>
        <v>Apr</v>
      </c>
      <c r="J4523">
        <f>YEAR(datas[[#This Row],[Order Date]])</f>
        <v>2023</v>
      </c>
    </row>
    <row r="4524" spans="1:10" ht="14.25" customHeight="1" x14ac:dyDescent="0.3">
      <c r="A4524" s="1">
        <v>45032</v>
      </c>
      <c r="B4524" s="2" t="s">
        <v>249</v>
      </c>
      <c r="C4524" s="2" t="s">
        <v>87</v>
      </c>
      <c r="D4524" s="2" t="s">
        <v>28</v>
      </c>
      <c r="E4524" s="2" t="s">
        <v>136</v>
      </c>
      <c r="F4524" s="2">
        <v>9099.93</v>
      </c>
      <c r="G4524" s="2">
        <v>7</v>
      </c>
      <c r="H4524" s="2">
        <v>2365.98</v>
      </c>
      <c r="I4524" t="str">
        <f t="shared" si="70"/>
        <v>Apr</v>
      </c>
      <c r="J4524">
        <f>YEAR(datas[[#This Row],[Order Date]])</f>
        <v>2023</v>
      </c>
    </row>
    <row r="4525" spans="1:10" ht="14.25" customHeight="1" x14ac:dyDescent="0.3">
      <c r="A4525" s="1">
        <v>45032</v>
      </c>
      <c r="B4525" s="2" t="s">
        <v>249</v>
      </c>
      <c r="C4525" s="2" t="s">
        <v>87</v>
      </c>
      <c r="D4525" s="2" t="s">
        <v>26</v>
      </c>
      <c r="E4525" s="2" t="s">
        <v>32</v>
      </c>
      <c r="F4525" s="2">
        <v>9.9600000000000009</v>
      </c>
      <c r="G4525" s="2">
        <v>2</v>
      </c>
      <c r="H4525" s="2">
        <v>3.29</v>
      </c>
      <c r="I4525" t="str">
        <f t="shared" si="70"/>
        <v>Apr</v>
      </c>
      <c r="J4525">
        <f>YEAR(datas[[#This Row],[Order Date]])</f>
        <v>2023</v>
      </c>
    </row>
    <row r="4526" spans="1:10" ht="14.25" customHeight="1" x14ac:dyDescent="0.3">
      <c r="A4526" s="1">
        <v>45032</v>
      </c>
      <c r="B4526" s="2" t="s">
        <v>249</v>
      </c>
      <c r="C4526" s="2" t="s">
        <v>87</v>
      </c>
      <c r="D4526" s="2" t="s">
        <v>10</v>
      </c>
      <c r="E4526" s="2" t="s">
        <v>16</v>
      </c>
      <c r="F4526" s="2">
        <v>25.3</v>
      </c>
      <c r="G4526" s="2">
        <v>5</v>
      </c>
      <c r="H4526" s="2">
        <v>11.89</v>
      </c>
      <c r="I4526" t="str">
        <f t="shared" si="70"/>
        <v>Apr</v>
      </c>
      <c r="J4526">
        <f>YEAR(datas[[#This Row],[Order Date]])</f>
        <v>2023</v>
      </c>
    </row>
    <row r="4527" spans="1:10" ht="14.25" customHeight="1" x14ac:dyDescent="0.3">
      <c r="A4527" s="1">
        <v>45032</v>
      </c>
      <c r="B4527" s="2" t="s">
        <v>307</v>
      </c>
      <c r="C4527" s="2" t="s">
        <v>82</v>
      </c>
      <c r="D4527" s="2" t="s">
        <v>10</v>
      </c>
      <c r="E4527" s="2" t="s">
        <v>95</v>
      </c>
      <c r="F4527" s="2">
        <v>28.8</v>
      </c>
      <c r="G4527" s="2">
        <v>3</v>
      </c>
      <c r="H4527" s="2">
        <v>0.86</v>
      </c>
      <c r="I4527" t="str">
        <f t="shared" si="70"/>
        <v>Apr</v>
      </c>
      <c r="J4527">
        <f>YEAR(datas[[#This Row],[Order Date]])</f>
        <v>2023</v>
      </c>
    </row>
    <row r="4528" spans="1:10" ht="14.25" customHeight="1" x14ac:dyDescent="0.3">
      <c r="A4528" s="1">
        <v>45032</v>
      </c>
      <c r="B4528" s="2" t="s">
        <v>572</v>
      </c>
      <c r="C4528" s="2" t="s">
        <v>62</v>
      </c>
      <c r="D4528" s="2" t="s">
        <v>28</v>
      </c>
      <c r="E4528" s="2" t="s">
        <v>34</v>
      </c>
      <c r="F4528" s="2">
        <v>35.17</v>
      </c>
      <c r="G4528" s="2">
        <v>4</v>
      </c>
      <c r="H4528" s="2">
        <v>8.35</v>
      </c>
      <c r="I4528" t="str">
        <f t="shared" si="70"/>
        <v>Apr</v>
      </c>
      <c r="J4528">
        <f>YEAR(datas[[#This Row],[Order Date]])</f>
        <v>2023</v>
      </c>
    </row>
    <row r="4529" spans="1:10" ht="14.25" customHeight="1" x14ac:dyDescent="0.3">
      <c r="A4529" s="1">
        <v>45032</v>
      </c>
      <c r="B4529" s="2" t="s">
        <v>572</v>
      </c>
      <c r="C4529" s="2" t="s">
        <v>62</v>
      </c>
      <c r="D4529" s="2" t="s">
        <v>10</v>
      </c>
      <c r="E4529" s="2" t="s">
        <v>11</v>
      </c>
      <c r="F4529" s="2">
        <v>123.09</v>
      </c>
      <c r="G4529" s="2">
        <v>7</v>
      </c>
      <c r="H4529" s="2">
        <v>40</v>
      </c>
      <c r="I4529" t="str">
        <f t="shared" si="70"/>
        <v>Apr</v>
      </c>
      <c r="J4529">
        <f>YEAR(datas[[#This Row],[Order Date]])</f>
        <v>2023</v>
      </c>
    </row>
    <row r="4530" spans="1:10" ht="14.25" customHeight="1" x14ac:dyDescent="0.3">
      <c r="A4530" s="1">
        <v>45033</v>
      </c>
      <c r="B4530" s="2" t="s">
        <v>214</v>
      </c>
      <c r="C4530" s="2" t="s">
        <v>115</v>
      </c>
      <c r="D4530" s="2" t="s">
        <v>28</v>
      </c>
      <c r="E4530" s="2" t="s">
        <v>29</v>
      </c>
      <c r="F4530" s="2">
        <v>36.79</v>
      </c>
      <c r="G4530" s="2">
        <v>1</v>
      </c>
      <c r="H4530" s="2">
        <v>4.1399999999999997</v>
      </c>
      <c r="I4530" t="str">
        <f t="shared" si="70"/>
        <v>Apr</v>
      </c>
      <c r="J4530">
        <f>YEAR(datas[[#This Row],[Order Date]])</f>
        <v>2023</v>
      </c>
    </row>
    <row r="4531" spans="1:10" ht="14.25" customHeight="1" x14ac:dyDescent="0.3">
      <c r="A4531" s="1">
        <v>45033</v>
      </c>
      <c r="B4531" s="2" t="s">
        <v>214</v>
      </c>
      <c r="C4531" s="2" t="s">
        <v>115</v>
      </c>
      <c r="D4531" s="2" t="s">
        <v>26</v>
      </c>
      <c r="E4531" s="2" t="s">
        <v>32</v>
      </c>
      <c r="F4531" s="2">
        <v>18.62</v>
      </c>
      <c r="G4531" s="2">
        <v>8</v>
      </c>
      <c r="H4531" s="2">
        <v>6.29</v>
      </c>
      <c r="I4531" t="str">
        <f t="shared" si="70"/>
        <v>Apr</v>
      </c>
      <c r="J4531">
        <f>YEAR(datas[[#This Row],[Order Date]])</f>
        <v>2023</v>
      </c>
    </row>
    <row r="4532" spans="1:10" ht="14.25" customHeight="1" x14ac:dyDescent="0.3">
      <c r="A4532" s="1">
        <v>45033</v>
      </c>
      <c r="B4532" s="2" t="s">
        <v>820</v>
      </c>
      <c r="C4532" s="2" t="s">
        <v>381</v>
      </c>
      <c r="D4532" s="2" t="s">
        <v>10</v>
      </c>
      <c r="E4532" s="2" t="s">
        <v>30</v>
      </c>
      <c r="F4532" s="2">
        <v>29.05</v>
      </c>
      <c r="G4532" s="2">
        <v>5</v>
      </c>
      <c r="H4532" s="2">
        <v>9.01</v>
      </c>
      <c r="I4532" t="str">
        <f t="shared" si="70"/>
        <v>Apr</v>
      </c>
      <c r="J4532">
        <f>YEAR(datas[[#This Row],[Order Date]])</f>
        <v>2023</v>
      </c>
    </row>
    <row r="4533" spans="1:10" ht="14.25" customHeight="1" x14ac:dyDescent="0.3">
      <c r="A4533" s="1">
        <v>45033</v>
      </c>
      <c r="B4533" s="2" t="s">
        <v>472</v>
      </c>
      <c r="C4533" s="2" t="s">
        <v>21</v>
      </c>
      <c r="D4533" s="2" t="s">
        <v>26</v>
      </c>
      <c r="E4533" s="2" t="s">
        <v>45</v>
      </c>
      <c r="F4533" s="2">
        <v>257.5</v>
      </c>
      <c r="G4533" s="2">
        <v>3</v>
      </c>
      <c r="H4533" s="2">
        <v>24.24</v>
      </c>
      <c r="I4533" t="str">
        <f t="shared" si="70"/>
        <v>Apr</v>
      </c>
      <c r="J4533">
        <f>YEAR(datas[[#This Row],[Order Date]])</f>
        <v>2023</v>
      </c>
    </row>
    <row r="4534" spans="1:10" ht="14.25" customHeight="1" x14ac:dyDescent="0.3">
      <c r="A4534" s="1">
        <v>45033</v>
      </c>
      <c r="B4534" s="2" t="s">
        <v>415</v>
      </c>
      <c r="C4534" s="2" t="s">
        <v>62</v>
      </c>
      <c r="D4534" s="2" t="s">
        <v>26</v>
      </c>
      <c r="E4534" s="2" t="s">
        <v>32</v>
      </c>
      <c r="F4534" s="2">
        <v>79.12</v>
      </c>
      <c r="G4534" s="2">
        <v>5</v>
      </c>
      <c r="H4534" s="2">
        <v>13.85</v>
      </c>
      <c r="I4534" t="str">
        <f t="shared" si="70"/>
        <v>Apr</v>
      </c>
      <c r="J4534">
        <f>YEAR(datas[[#This Row],[Order Date]])</f>
        <v>2023</v>
      </c>
    </row>
    <row r="4535" spans="1:10" ht="14.25" customHeight="1" x14ac:dyDescent="0.3">
      <c r="A4535" s="1">
        <v>45034</v>
      </c>
      <c r="B4535" s="2" t="s">
        <v>822</v>
      </c>
      <c r="C4535" s="2" t="s">
        <v>13</v>
      </c>
      <c r="D4535" s="2" t="s">
        <v>10</v>
      </c>
      <c r="E4535" s="2" t="s">
        <v>15</v>
      </c>
      <c r="F4535" s="2">
        <v>230.38</v>
      </c>
      <c r="G4535" s="2">
        <v>3</v>
      </c>
      <c r="H4535" s="2">
        <v>-48.95</v>
      </c>
      <c r="I4535" t="str">
        <f t="shared" si="70"/>
        <v>Apr</v>
      </c>
      <c r="J4535">
        <f>YEAR(datas[[#This Row],[Order Date]])</f>
        <v>2023</v>
      </c>
    </row>
    <row r="4536" spans="1:10" ht="14.25" customHeight="1" x14ac:dyDescent="0.3">
      <c r="A4536" s="1">
        <v>45034</v>
      </c>
      <c r="B4536" s="2" t="s">
        <v>822</v>
      </c>
      <c r="C4536" s="2" t="s">
        <v>13</v>
      </c>
      <c r="D4536" s="2" t="s">
        <v>10</v>
      </c>
      <c r="E4536" s="2" t="s">
        <v>11</v>
      </c>
      <c r="F4536" s="2">
        <v>9.66</v>
      </c>
      <c r="G4536" s="2">
        <v>2</v>
      </c>
      <c r="H4536" s="2">
        <v>3.26</v>
      </c>
      <c r="I4536" t="str">
        <f t="shared" si="70"/>
        <v>Apr</v>
      </c>
      <c r="J4536">
        <f>YEAR(datas[[#This Row],[Order Date]])</f>
        <v>2023</v>
      </c>
    </row>
    <row r="4537" spans="1:10" ht="14.25" customHeight="1" x14ac:dyDescent="0.3">
      <c r="A4537" s="1">
        <v>45034</v>
      </c>
      <c r="B4537" s="2" t="s">
        <v>575</v>
      </c>
      <c r="C4537" s="2" t="s">
        <v>36</v>
      </c>
      <c r="D4537" s="2" t="s">
        <v>10</v>
      </c>
      <c r="E4537" s="2" t="s">
        <v>53</v>
      </c>
      <c r="F4537" s="2">
        <v>203.92</v>
      </c>
      <c r="G4537" s="2">
        <v>4</v>
      </c>
      <c r="H4537" s="2">
        <v>55.06</v>
      </c>
      <c r="I4537" t="str">
        <f t="shared" si="70"/>
        <v>Apr</v>
      </c>
      <c r="J4537">
        <f>YEAR(datas[[#This Row],[Order Date]])</f>
        <v>2023</v>
      </c>
    </row>
    <row r="4538" spans="1:10" ht="14.25" customHeight="1" x14ac:dyDescent="0.3">
      <c r="A4538" s="1">
        <v>45034</v>
      </c>
      <c r="B4538" s="2" t="s">
        <v>575</v>
      </c>
      <c r="C4538" s="2" t="s">
        <v>36</v>
      </c>
      <c r="D4538" s="2" t="s">
        <v>28</v>
      </c>
      <c r="E4538" s="2" t="s">
        <v>29</v>
      </c>
      <c r="F4538" s="2">
        <v>29.56</v>
      </c>
      <c r="G4538" s="2">
        <v>4</v>
      </c>
      <c r="H4538" s="2">
        <v>7.98</v>
      </c>
      <c r="I4538" t="str">
        <f t="shared" si="70"/>
        <v>Apr</v>
      </c>
      <c r="J4538">
        <f>YEAR(datas[[#This Row],[Order Date]])</f>
        <v>2023</v>
      </c>
    </row>
    <row r="4539" spans="1:10" ht="14.25" customHeight="1" x14ac:dyDescent="0.3">
      <c r="A4539" s="1">
        <v>45034</v>
      </c>
      <c r="B4539" s="2" t="s">
        <v>495</v>
      </c>
      <c r="C4539" s="2" t="s">
        <v>9</v>
      </c>
      <c r="D4539" s="2" t="s">
        <v>26</v>
      </c>
      <c r="E4539" s="2" t="s">
        <v>27</v>
      </c>
      <c r="F4539" s="2">
        <v>344.37</v>
      </c>
      <c r="G4539" s="2">
        <v>4</v>
      </c>
      <c r="H4539" s="2">
        <v>-93.47</v>
      </c>
      <c r="I4539" t="str">
        <f t="shared" si="70"/>
        <v>Apr</v>
      </c>
      <c r="J4539">
        <f>YEAR(datas[[#This Row],[Order Date]])</f>
        <v>2023</v>
      </c>
    </row>
    <row r="4540" spans="1:10" ht="14.25" customHeight="1" x14ac:dyDescent="0.3">
      <c r="A4540" s="1">
        <v>45034</v>
      </c>
      <c r="B4540" s="2" t="s">
        <v>495</v>
      </c>
      <c r="C4540" s="2" t="s">
        <v>9</v>
      </c>
      <c r="D4540" s="2" t="s">
        <v>10</v>
      </c>
      <c r="E4540" s="2" t="s">
        <v>15</v>
      </c>
      <c r="F4540" s="2">
        <v>1554.94</v>
      </c>
      <c r="G4540" s="2">
        <v>3</v>
      </c>
      <c r="H4540" s="2">
        <v>77.75</v>
      </c>
      <c r="I4540" t="str">
        <f t="shared" si="70"/>
        <v>Apr</v>
      </c>
      <c r="J4540">
        <f>YEAR(datas[[#This Row],[Order Date]])</f>
        <v>2023</v>
      </c>
    </row>
    <row r="4541" spans="1:10" ht="14.25" customHeight="1" x14ac:dyDescent="0.3">
      <c r="A4541" s="1">
        <v>45034</v>
      </c>
      <c r="B4541" s="2" t="s">
        <v>495</v>
      </c>
      <c r="C4541" s="2" t="s">
        <v>9</v>
      </c>
      <c r="D4541" s="2" t="s">
        <v>26</v>
      </c>
      <c r="E4541" s="2" t="s">
        <v>32</v>
      </c>
      <c r="F4541" s="2">
        <v>127.88</v>
      </c>
      <c r="G4541" s="2">
        <v>5</v>
      </c>
      <c r="H4541" s="2">
        <v>-67.14</v>
      </c>
      <c r="I4541" t="str">
        <f t="shared" si="70"/>
        <v>Apr</v>
      </c>
      <c r="J4541">
        <f>YEAR(datas[[#This Row],[Order Date]])</f>
        <v>2023</v>
      </c>
    </row>
    <row r="4542" spans="1:10" ht="14.25" customHeight="1" x14ac:dyDescent="0.3">
      <c r="A4542" s="1">
        <v>45034</v>
      </c>
      <c r="B4542" s="2" t="s">
        <v>671</v>
      </c>
      <c r="C4542" s="2" t="s">
        <v>75</v>
      </c>
      <c r="D4542" s="2" t="s">
        <v>10</v>
      </c>
      <c r="E4542" s="2" t="s">
        <v>19</v>
      </c>
      <c r="F4542" s="2">
        <v>6.99</v>
      </c>
      <c r="G4542" s="2">
        <v>3</v>
      </c>
      <c r="H4542" s="2">
        <v>2.0299999999999998</v>
      </c>
      <c r="I4542" t="str">
        <f t="shared" si="70"/>
        <v>Apr</v>
      </c>
      <c r="J4542">
        <f>YEAR(datas[[#This Row],[Order Date]])</f>
        <v>2023</v>
      </c>
    </row>
    <row r="4543" spans="1:10" ht="14.25" customHeight="1" x14ac:dyDescent="0.3">
      <c r="A4543" s="1">
        <v>45034</v>
      </c>
      <c r="B4543" s="2" t="s">
        <v>671</v>
      </c>
      <c r="C4543" s="2" t="s">
        <v>75</v>
      </c>
      <c r="D4543" s="2" t="s">
        <v>10</v>
      </c>
      <c r="E4543" s="2" t="s">
        <v>95</v>
      </c>
      <c r="F4543" s="2">
        <v>6.84</v>
      </c>
      <c r="G4543" s="2">
        <v>1</v>
      </c>
      <c r="H4543" s="2">
        <v>1.85</v>
      </c>
      <c r="I4543" t="str">
        <f t="shared" si="70"/>
        <v>Apr</v>
      </c>
      <c r="J4543">
        <f>YEAR(datas[[#This Row],[Order Date]])</f>
        <v>2023</v>
      </c>
    </row>
    <row r="4544" spans="1:10" ht="14.25" customHeight="1" x14ac:dyDescent="0.3">
      <c r="A4544" s="1">
        <v>45035</v>
      </c>
      <c r="B4544" s="2" t="s">
        <v>208</v>
      </c>
      <c r="C4544" s="2" t="s">
        <v>47</v>
      </c>
      <c r="D4544" s="2" t="s">
        <v>26</v>
      </c>
      <c r="E4544" s="2" t="s">
        <v>73</v>
      </c>
      <c r="F4544" s="2">
        <v>205.18</v>
      </c>
      <c r="G4544" s="2">
        <v>2</v>
      </c>
      <c r="H4544" s="2">
        <v>-58.13</v>
      </c>
      <c r="I4544" t="str">
        <f t="shared" si="70"/>
        <v>Apr</v>
      </c>
      <c r="J4544">
        <f>YEAR(datas[[#This Row],[Order Date]])</f>
        <v>2023</v>
      </c>
    </row>
    <row r="4545" spans="1:10" ht="14.25" customHeight="1" x14ac:dyDescent="0.3">
      <c r="A4545" s="1">
        <v>45035</v>
      </c>
      <c r="B4545" s="2" t="s">
        <v>208</v>
      </c>
      <c r="C4545" s="2" t="s">
        <v>47</v>
      </c>
      <c r="D4545" s="2" t="s">
        <v>10</v>
      </c>
      <c r="E4545" s="2" t="s">
        <v>11</v>
      </c>
      <c r="F4545" s="2">
        <v>419.4</v>
      </c>
      <c r="G4545" s="2">
        <v>5</v>
      </c>
      <c r="H4545" s="2">
        <v>146.79</v>
      </c>
      <c r="I4545" t="str">
        <f t="shared" si="70"/>
        <v>Apr</v>
      </c>
      <c r="J4545">
        <f>YEAR(datas[[#This Row],[Order Date]])</f>
        <v>2023</v>
      </c>
    </row>
    <row r="4546" spans="1:10" ht="14.25" customHeight="1" x14ac:dyDescent="0.3">
      <c r="A4546" s="1">
        <v>45035</v>
      </c>
      <c r="B4546" s="2" t="s">
        <v>176</v>
      </c>
      <c r="C4546" s="2" t="s">
        <v>21</v>
      </c>
      <c r="D4546" s="2" t="s">
        <v>28</v>
      </c>
      <c r="E4546" s="2" t="s">
        <v>29</v>
      </c>
      <c r="F4546" s="2">
        <v>39.96</v>
      </c>
      <c r="G4546" s="2">
        <v>5</v>
      </c>
      <c r="H4546" s="2">
        <v>12.99</v>
      </c>
      <c r="I4546" t="str">
        <f t="shared" si="70"/>
        <v>Apr</v>
      </c>
      <c r="J4546">
        <f>YEAR(datas[[#This Row],[Order Date]])</f>
        <v>2023</v>
      </c>
    </row>
    <row r="4547" spans="1:10" ht="14.25" customHeight="1" x14ac:dyDescent="0.3">
      <c r="A4547" s="1">
        <v>45035</v>
      </c>
      <c r="B4547" s="2" t="s">
        <v>176</v>
      </c>
      <c r="C4547" s="2" t="s">
        <v>21</v>
      </c>
      <c r="D4547" s="2" t="s">
        <v>10</v>
      </c>
      <c r="E4547" s="2" t="s">
        <v>19</v>
      </c>
      <c r="F4547" s="2">
        <v>5.46</v>
      </c>
      <c r="G4547" s="2">
        <v>3</v>
      </c>
      <c r="H4547" s="2">
        <v>1.53</v>
      </c>
      <c r="I4547" t="str">
        <f t="shared" ref="I4547:I4610" si="71">TEXT(A4547,"mmm")</f>
        <v>Apr</v>
      </c>
      <c r="J4547">
        <f>YEAR(datas[[#This Row],[Order Date]])</f>
        <v>2023</v>
      </c>
    </row>
    <row r="4548" spans="1:10" ht="14.25" customHeight="1" x14ac:dyDescent="0.3">
      <c r="A4548" s="1">
        <v>45035</v>
      </c>
      <c r="B4548" s="2" t="s">
        <v>176</v>
      </c>
      <c r="C4548" s="2" t="s">
        <v>21</v>
      </c>
      <c r="D4548" s="2" t="s">
        <v>10</v>
      </c>
      <c r="E4548" s="2" t="s">
        <v>19</v>
      </c>
      <c r="F4548" s="2">
        <v>73.2</v>
      </c>
      <c r="G4548" s="2">
        <v>5</v>
      </c>
      <c r="H4548" s="2">
        <v>21.23</v>
      </c>
      <c r="I4548" t="str">
        <f t="shared" si="71"/>
        <v>Apr</v>
      </c>
      <c r="J4548">
        <f>YEAR(datas[[#This Row],[Order Date]])</f>
        <v>2023</v>
      </c>
    </row>
    <row r="4549" spans="1:10" ht="14.25" customHeight="1" x14ac:dyDescent="0.3">
      <c r="A4549" s="1">
        <v>45035</v>
      </c>
      <c r="B4549" s="2" t="s">
        <v>176</v>
      </c>
      <c r="C4549" s="2" t="s">
        <v>21</v>
      </c>
      <c r="D4549" s="2" t="s">
        <v>10</v>
      </c>
      <c r="E4549" s="2" t="s">
        <v>16</v>
      </c>
      <c r="F4549" s="2">
        <v>5.84</v>
      </c>
      <c r="G4549" s="2">
        <v>1</v>
      </c>
      <c r="H4549" s="2">
        <v>1.97</v>
      </c>
      <c r="I4549" t="str">
        <f t="shared" si="71"/>
        <v>Apr</v>
      </c>
      <c r="J4549">
        <f>YEAR(datas[[#This Row],[Order Date]])</f>
        <v>2023</v>
      </c>
    </row>
    <row r="4550" spans="1:10" ht="14.25" customHeight="1" x14ac:dyDescent="0.3">
      <c r="A4550" s="1">
        <v>45035</v>
      </c>
      <c r="B4550" s="2" t="s">
        <v>176</v>
      </c>
      <c r="C4550" s="2" t="s">
        <v>21</v>
      </c>
      <c r="D4550" s="2" t="s">
        <v>10</v>
      </c>
      <c r="E4550" s="2" t="s">
        <v>11</v>
      </c>
      <c r="F4550" s="2">
        <v>22.72</v>
      </c>
      <c r="G4550" s="2">
        <v>4</v>
      </c>
      <c r="H4550" s="2">
        <v>10.220000000000001</v>
      </c>
      <c r="I4550" t="str">
        <f t="shared" si="71"/>
        <v>Apr</v>
      </c>
      <c r="J4550">
        <f>YEAR(datas[[#This Row],[Order Date]])</f>
        <v>2023</v>
      </c>
    </row>
    <row r="4551" spans="1:10" ht="14.25" customHeight="1" x14ac:dyDescent="0.3">
      <c r="A4551" s="1">
        <v>45035</v>
      </c>
      <c r="B4551" s="2" t="s">
        <v>176</v>
      </c>
      <c r="C4551" s="2" t="s">
        <v>21</v>
      </c>
      <c r="D4551" s="2" t="s">
        <v>10</v>
      </c>
      <c r="E4551" s="2" t="s">
        <v>16</v>
      </c>
      <c r="F4551" s="2">
        <v>9.34</v>
      </c>
      <c r="G4551" s="2">
        <v>3</v>
      </c>
      <c r="H4551" s="2">
        <v>3.27</v>
      </c>
      <c r="I4551" t="str">
        <f t="shared" si="71"/>
        <v>Apr</v>
      </c>
      <c r="J4551">
        <f>YEAR(datas[[#This Row],[Order Date]])</f>
        <v>2023</v>
      </c>
    </row>
    <row r="4552" spans="1:10" ht="14.25" customHeight="1" x14ac:dyDescent="0.3">
      <c r="A4552" s="1">
        <v>45035</v>
      </c>
      <c r="B4552" s="2" t="s">
        <v>170</v>
      </c>
      <c r="C4552" s="2" t="s">
        <v>75</v>
      </c>
      <c r="D4552" s="2" t="s">
        <v>28</v>
      </c>
      <c r="E4552" s="2" t="s">
        <v>29</v>
      </c>
      <c r="F4552" s="2">
        <v>25.98</v>
      </c>
      <c r="G4552" s="2">
        <v>2</v>
      </c>
      <c r="H4552" s="2">
        <v>0.78</v>
      </c>
      <c r="I4552" t="str">
        <f t="shared" si="71"/>
        <v>Apr</v>
      </c>
      <c r="J4552">
        <f>YEAR(datas[[#This Row],[Order Date]])</f>
        <v>2023</v>
      </c>
    </row>
    <row r="4553" spans="1:10" ht="14.25" customHeight="1" x14ac:dyDescent="0.3">
      <c r="A4553" s="1">
        <v>45035</v>
      </c>
      <c r="B4553" s="2" t="s">
        <v>170</v>
      </c>
      <c r="C4553" s="2" t="s">
        <v>75</v>
      </c>
      <c r="D4553" s="2" t="s">
        <v>10</v>
      </c>
      <c r="E4553" s="2" t="s">
        <v>19</v>
      </c>
      <c r="F4553" s="2">
        <v>3.28</v>
      </c>
      <c r="G4553" s="2">
        <v>2</v>
      </c>
      <c r="H4553" s="2">
        <v>1.48</v>
      </c>
      <c r="I4553" t="str">
        <f t="shared" si="71"/>
        <v>Apr</v>
      </c>
      <c r="J4553">
        <f>YEAR(datas[[#This Row],[Order Date]])</f>
        <v>2023</v>
      </c>
    </row>
    <row r="4554" spans="1:10" ht="14.25" customHeight="1" x14ac:dyDescent="0.3">
      <c r="A4554" s="1">
        <v>45035</v>
      </c>
      <c r="B4554" s="2" t="s">
        <v>170</v>
      </c>
      <c r="C4554" s="2" t="s">
        <v>75</v>
      </c>
      <c r="D4554" s="2" t="s">
        <v>10</v>
      </c>
      <c r="E4554" s="2" t="s">
        <v>15</v>
      </c>
      <c r="F4554" s="2">
        <v>459.88</v>
      </c>
      <c r="G4554" s="2">
        <v>4</v>
      </c>
      <c r="H4554" s="2">
        <v>13.8</v>
      </c>
      <c r="I4554" t="str">
        <f t="shared" si="71"/>
        <v>Apr</v>
      </c>
      <c r="J4554">
        <f>YEAR(datas[[#This Row],[Order Date]])</f>
        <v>2023</v>
      </c>
    </row>
    <row r="4555" spans="1:10" ht="14.25" customHeight="1" x14ac:dyDescent="0.3">
      <c r="A4555" s="1">
        <v>45035</v>
      </c>
      <c r="B4555" s="2" t="s">
        <v>170</v>
      </c>
      <c r="C4555" s="2" t="s">
        <v>75</v>
      </c>
      <c r="D4555" s="2" t="s">
        <v>10</v>
      </c>
      <c r="E4555" s="2" t="s">
        <v>95</v>
      </c>
      <c r="F4555" s="2">
        <v>7.76</v>
      </c>
      <c r="G4555" s="2">
        <v>2</v>
      </c>
      <c r="H4555" s="2">
        <v>2.25</v>
      </c>
      <c r="I4555" t="str">
        <f t="shared" si="71"/>
        <v>Apr</v>
      </c>
      <c r="J4555">
        <f>YEAR(datas[[#This Row],[Order Date]])</f>
        <v>2023</v>
      </c>
    </row>
    <row r="4556" spans="1:10" ht="14.25" customHeight="1" x14ac:dyDescent="0.3">
      <c r="A4556" s="1">
        <v>45035</v>
      </c>
      <c r="B4556" s="2" t="s">
        <v>170</v>
      </c>
      <c r="C4556" s="2" t="s">
        <v>75</v>
      </c>
      <c r="D4556" s="2" t="s">
        <v>10</v>
      </c>
      <c r="E4556" s="2" t="s">
        <v>19</v>
      </c>
      <c r="F4556" s="2">
        <v>71.959999999999994</v>
      </c>
      <c r="G4556" s="2">
        <v>2</v>
      </c>
      <c r="H4556" s="2">
        <v>17.989999999999998</v>
      </c>
      <c r="I4556" t="str">
        <f t="shared" si="71"/>
        <v>Apr</v>
      </c>
      <c r="J4556">
        <f>YEAR(datas[[#This Row],[Order Date]])</f>
        <v>2023</v>
      </c>
    </row>
    <row r="4557" spans="1:10" ht="14.25" customHeight="1" x14ac:dyDescent="0.3">
      <c r="A4557" s="1">
        <v>45035</v>
      </c>
      <c r="B4557" s="2" t="s">
        <v>170</v>
      </c>
      <c r="C4557" s="2" t="s">
        <v>75</v>
      </c>
      <c r="D4557" s="2" t="s">
        <v>10</v>
      </c>
      <c r="E4557" s="2" t="s">
        <v>95</v>
      </c>
      <c r="F4557" s="2">
        <v>54.9</v>
      </c>
      <c r="G4557" s="2">
        <v>5</v>
      </c>
      <c r="H4557" s="2">
        <v>15.37</v>
      </c>
      <c r="I4557" t="str">
        <f t="shared" si="71"/>
        <v>Apr</v>
      </c>
      <c r="J4557">
        <f>YEAR(datas[[#This Row],[Order Date]])</f>
        <v>2023</v>
      </c>
    </row>
    <row r="4558" spans="1:10" ht="14.25" customHeight="1" x14ac:dyDescent="0.3">
      <c r="A4558" s="1">
        <v>45035</v>
      </c>
      <c r="B4558" s="2" t="s">
        <v>170</v>
      </c>
      <c r="C4558" s="2" t="s">
        <v>75</v>
      </c>
      <c r="D4558" s="2" t="s">
        <v>10</v>
      </c>
      <c r="E4558" s="2" t="s">
        <v>16</v>
      </c>
      <c r="F4558" s="2">
        <v>9.2799999999999994</v>
      </c>
      <c r="G4558" s="2">
        <v>2</v>
      </c>
      <c r="H4558" s="2">
        <v>3.25</v>
      </c>
      <c r="I4558" t="str">
        <f t="shared" si="71"/>
        <v>Apr</v>
      </c>
      <c r="J4558">
        <f>YEAR(datas[[#This Row],[Order Date]])</f>
        <v>2023</v>
      </c>
    </row>
    <row r="4559" spans="1:10" ht="14.25" customHeight="1" x14ac:dyDescent="0.3">
      <c r="A4559" s="1">
        <v>45037</v>
      </c>
      <c r="B4559" s="2" t="s">
        <v>528</v>
      </c>
      <c r="C4559" s="2" t="s">
        <v>13</v>
      </c>
      <c r="D4559" s="2" t="s">
        <v>10</v>
      </c>
      <c r="E4559" s="2" t="s">
        <v>15</v>
      </c>
      <c r="F4559" s="2">
        <v>102.34</v>
      </c>
      <c r="G4559" s="2">
        <v>4</v>
      </c>
      <c r="H4559" s="2">
        <v>-12.79</v>
      </c>
      <c r="I4559" t="str">
        <f t="shared" si="71"/>
        <v>Apr</v>
      </c>
      <c r="J4559">
        <f>YEAR(datas[[#This Row],[Order Date]])</f>
        <v>2023</v>
      </c>
    </row>
    <row r="4560" spans="1:10" ht="14.25" customHeight="1" x14ac:dyDescent="0.3">
      <c r="A4560" s="1">
        <v>45037</v>
      </c>
      <c r="B4560" s="2" t="s">
        <v>528</v>
      </c>
      <c r="C4560" s="2" t="s">
        <v>13</v>
      </c>
      <c r="D4560" s="2" t="s">
        <v>10</v>
      </c>
      <c r="E4560" s="2" t="s">
        <v>53</v>
      </c>
      <c r="F4560" s="2">
        <v>48.79</v>
      </c>
      <c r="G4560" s="2">
        <v>3</v>
      </c>
      <c r="H4560" s="2">
        <v>-126.86</v>
      </c>
      <c r="I4560" t="str">
        <f t="shared" si="71"/>
        <v>Apr</v>
      </c>
      <c r="J4560">
        <f>YEAR(datas[[#This Row],[Order Date]])</f>
        <v>2023</v>
      </c>
    </row>
    <row r="4561" spans="1:10" ht="14.25" customHeight="1" x14ac:dyDescent="0.3">
      <c r="A4561" s="1">
        <v>45037</v>
      </c>
      <c r="B4561" s="2" t="s">
        <v>528</v>
      </c>
      <c r="C4561" s="2" t="s">
        <v>13</v>
      </c>
      <c r="D4561" s="2" t="s">
        <v>10</v>
      </c>
      <c r="E4561" s="2" t="s">
        <v>16</v>
      </c>
      <c r="F4561" s="2">
        <v>44.85</v>
      </c>
      <c r="G4561" s="2">
        <v>8</v>
      </c>
      <c r="H4561" s="2">
        <v>-67.27</v>
      </c>
      <c r="I4561" t="str">
        <f t="shared" si="71"/>
        <v>Apr</v>
      </c>
      <c r="J4561">
        <f>YEAR(datas[[#This Row],[Order Date]])</f>
        <v>2023</v>
      </c>
    </row>
    <row r="4562" spans="1:10" ht="14.25" customHeight="1" x14ac:dyDescent="0.3">
      <c r="A4562" s="1">
        <v>45037</v>
      </c>
      <c r="B4562" s="2" t="s">
        <v>487</v>
      </c>
      <c r="C4562" s="2" t="s">
        <v>82</v>
      </c>
      <c r="D4562" s="2" t="s">
        <v>10</v>
      </c>
      <c r="E4562" s="2" t="s">
        <v>16</v>
      </c>
      <c r="F4562" s="2">
        <v>8.32</v>
      </c>
      <c r="G4562" s="2">
        <v>5</v>
      </c>
      <c r="H4562" s="2">
        <v>2.81</v>
      </c>
      <c r="I4562" t="str">
        <f t="shared" si="71"/>
        <v>Apr</v>
      </c>
      <c r="J4562">
        <f>YEAR(datas[[#This Row],[Order Date]])</f>
        <v>2023</v>
      </c>
    </row>
    <row r="4563" spans="1:10" ht="14.25" customHeight="1" x14ac:dyDescent="0.3">
      <c r="A4563" s="1">
        <v>45037</v>
      </c>
      <c r="B4563" s="2" t="s">
        <v>614</v>
      </c>
      <c r="C4563" s="2" t="s">
        <v>248</v>
      </c>
      <c r="D4563" s="2" t="s">
        <v>10</v>
      </c>
      <c r="E4563" s="2" t="s">
        <v>19</v>
      </c>
      <c r="F4563" s="2">
        <v>15.48</v>
      </c>
      <c r="G4563" s="2">
        <v>3</v>
      </c>
      <c r="H4563" s="2">
        <v>4.49</v>
      </c>
      <c r="I4563" t="str">
        <f t="shared" si="71"/>
        <v>Apr</v>
      </c>
      <c r="J4563">
        <f>YEAR(datas[[#This Row],[Order Date]])</f>
        <v>2023</v>
      </c>
    </row>
    <row r="4564" spans="1:10" ht="14.25" customHeight="1" x14ac:dyDescent="0.3">
      <c r="A4564" s="1">
        <v>45037</v>
      </c>
      <c r="B4564" s="2" t="s">
        <v>614</v>
      </c>
      <c r="C4564" s="2" t="s">
        <v>248</v>
      </c>
      <c r="D4564" s="2" t="s">
        <v>10</v>
      </c>
      <c r="E4564" s="2" t="s">
        <v>11</v>
      </c>
      <c r="F4564" s="2">
        <v>51.84</v>
      </c>
      <c r="G4564" s="2">
        <v>8</v>
      </c>
      <c r="H4564" s="2">
        <v>24.88</v>
      </c>
      <c r="I4564" t="str">
        <f t="shared" si="71"/>
        <v>Apr</v>
      </c>
      <c r="J4564">
        <f>YEAR(datas[[#This Row],[Order Date]])</f>
        <v>2023</v>
      </c>
    </row>
    <row r="4565" spans="1:10" ht="14.25" customHeight="1" x14ac:dyDescent="0.3">
      <c r="A4565" s="1">
        <v>45038</v>
      </c>
      <c r="B4565" s="2" t="s">
        <v>522</v>
      </c>
      <c r="C4565" s="2" t="s">
        <v>55</v>
      </c>
      <c r="D4565" s="2" t="s">
        <v>26</v>
      </c>
      <c r="E4565" s="2" t="s">
        <v>32</v>
      </c>
      <c r="F4565" s="2">
        <v>23.56</v>
      </c>
      <c r="G4565" s="2">
        <v>5</v>
      </c>
      <c r="H4565" s="2">
        <v>7.07</v>
      </c>
      <c r="I4565" t="str">
        <f t="shared" si="71"/>
        <v>Apr</v>
      </c>
      <c r="J4565">
        <f>YEAR(datas[[#This Row],[Order Date]])</f>
        <v>2023</v>
      </c>
    </row>
    <row r="4566" spans="1:10" ht="14.25" customHeight="1" x14ac:dyDescent="0.3">
      <c r="A4566" s="1">
        <v>45038</v>
      </c>
      <c r="B4566" s="2" t="s">
        <v>522</v>
      </c>
      <c r="C4566" s="2" t="s">
        <v>55</v>
      </c>
      <c r="D4566" s="2" t="s">
        <v>26</v>
      </c>
      <c r="E4566" s="2" t="s">
        <v>73</v>
      </c>
      <c r="F4566" s="2">
        <v>1272.6300000000001</v>
      </c>
      <c r="G4566" s="2">
        <v>6</v>
      </c>
      <c r="H4566" s="2">
        <v>-814.48</v>
      </c>
      <c r="I4566" t="str">
        <f t="shared" si="71"/>
        <v>Apr</v>
      </c>
      <c r="J4566">
        <f>YEAR(datas[[#This Row],[Order Date]])</f>
        <v>2023</v>
      </c>
    </row>
    <row r="4567" spans="1:10" ht="14.25" customHeight="1" x14ac:dyDescent="0.3">
      <c r="A4567" s="1">
        <v>45038</v>
      </c>
      <c r="B4567" s="2" t="s">
        <v>522</v>
      </c>
      <c r="C4567" s="2" t="s">
        <v>55</v>
      </c>
      <c r="D4567" s="2" t="s">
        <v>10</v>
      </c>
      <c r="E4567" s="2" t="s">
        <v>16</v>
      </c>
      <c r="F4567" s="2">
        <v>28.49</v>
      </c>
      <c r="G4567" s="2">
        <v>5</v>
      </c>
      <c r="H4567" s="2">
        <v>-20.89</v>
      </c>
      <c r="I4567" t="str">
        <f t="shared" si="71"/>
        <v>Apr</v>
      </c>
      <c r="J4567">
        <f>YEAR(datas[[#This Row],[Order Date]])</f>
        <v>2023</v>
      </c>
    </row>
    <row r="4568" spans="1:10" ht="14.25" customHeight="1" x14ac:dyDescent="0.3">
      <c r="A4568" s="1">
        <v>45038</v>
      </c>
      <c r="B4568" s="2" t="s">
        <v>522</v>
      </c>
      <c r="C4568" s="2" t="s">
        <v>55</v>
      </c>
      <c r="D4568" s="2" t="s">
        <v>10</v>
      </c>
      <c r="E4568" s="2" t="s">
        <v>95</v>
      </c>
      <c r="F4568" s="2">
        <v>185.38</v>
      </c>
      <c r="G4568" s="2">
        <v>2</v>
      </c>
      <c r="H4568" s="2">
        <v>-34.76</v>
      </c>
      <c r="I4568" t="str">
        <f t="shared" si="71"/>
        <v>Apr</v>
      </c>
      <c r="J4568">
        <f>YEAR(datas[[#This Row],[Order Date]])</f>
        <v>2023</v>
      </c>
    </row>
    <row r="4569" spans="1:10" ht="14.25" customHeight="1" x14ac:dyDescent="0.3">
      <c r="A4569" s="1">
        <v>45038</v>
      </c>
      <c r="B4569" s="2" t="s">
        <v>522</v>
      </c>
      <c r="C4569" s="2" t="s">
        <v>55</v>
      </c>
      <c r="D4569" s="2" t="s">
        <v>10</v>
      </c>
      <c r="E4569" s="2" t="s">
        <v>53</v>
      </c>
      <c r="F4569" s="2">
        <v>78.27</v>
      </c>
      <c r="G4569" s="2">
        <v>2</v>
      </c>
      <c r="H4569" s="2">
        <v>5.87</v>
      </c>
      <c r="I4569" t="str">
        <f t="shared" si="71"/>
        <v>Apr</v>
      </c>
      <c r="J4569">
        <f>YEAR(datas[[#This Row],[Order Date]])</f>
        <v>2023</v>
      </c>
    </row>
    <row r="4570" spans="1:10" ht="14.25" customHeight="1" x14ac:dyDescent="0.3">
      <c r="A4570" s="1">
        <v>45038</v>
      </c>
      <c r="B4570" s="2" t="s">
        <v>823</v>
      </c>
      <c r="C4570" s="2" t="s">
        <v>91</v>
      </c>
      <c r="D4570" s="2" t="s">
        <v>26</v>
      </c>
      <c r="E4570" s="2" t="s">
        <v>32</v>
      </c>
      <c r="F4570" s="2">
        <v>86.62</v>
      </c>
      <c r="G4570" s="2">
        <v>2</v>
      </c>
      <c r="H4570" s="2">
        <v>8.66</v>
      </c>
      <c r="I4570" t="str">
        <f t="shared" si="71"/>
        <v>Apr</v>
      </c>
      <c r="J4570">
        <f>YEAR(datas[[#This Row],[Order Date]])</f>
        <v>2023</v>
      </c>
    </row>
    <row r="4571" spans="1:10" ht="14.25" customHeight="1" x14ac:dyDescent="0.3">
      <c r="A4571" s="1">
        <v>45038</v>
      </c>
      <c r="B4571" s="2" t="s">
        <v>796</v>
      </c>
      <c r="C4571" s="2" t="s">
        <v>13</v>
      </c>
      <c r="D4571" s="2" t="s">
        <v>10</v>
      </c>
      <c r="E4571" s="2" t="s">
        <v>15</v>
      </c>
      <c r="F4571" s="2">
        <v>23.95</v>
      </c>
      <c r="G4571" s="2">
        <v>2</v>
      </c>
      <c r="H4571" s="2">
        <v>2.4</v>
      </c>
      <c r="I4571" t="str">
        <f t="shared" si="71"/>
        <v>Apr</v>
      </c>
      <c r="J4571">
        <f>YEAR(datas[[#This Row],[Order Date]])</f>
        <v>2023</v>
      </c>
    </row>
    <row r="4572" spans="1:10" ht="14.25" customHeight="1" x14ac:dyDescent="0.3">
      <c r="A4572" s="1">
        <v>45038</v>
      </c>
      <c r="B4572" s="2" t="s">
        <v>260</v>
      </c>
      <c r="C4572" s="2" t="s">
        <v>21</v>
      </c>
      <c r="D4572" s="2" t="s">
        <v>26</v>
      </c>
      <c r="E4572" s="2" t="s">
        <v>32</v>
      </c>
      <c r="F4572" s="2">
        <v>31.56</v>
      </c>
      <c r="G4572" s="2">
        <v>3</v>
      </c>
      <c r="H4572" s="2">
        <v>10.41</v>
      </c>
      <c r="I4572" t="str">
        <f t="shared" si="71"/>
        <v>Apr</v>
      </c>
      <c r="J4572">
        <f>YEAR(datas[[#This Row],[Order Date]])</f>
        <v>2023</v>
      </c>
    </row>
    <row r="4573" spans="1:10" ht="14.25" customHeight="1" x14ac:dyDescent="0.3">
      <c r="A4573" s="1">
        <v>45038</v>
      </c>
      <c r="B4573" s="2" t="s">
        <v>46</v>
      </c>
      <c r="C4573" s="2" t="s">
        <v>75</v>
      </c>
      <c r="D4573" s="2" t="s">
        <v>10</v>
      </c>
      <c r="E4573" s="2" t="s">
        <v>19</v>
      </c>
      <c r="F4573" s="2">
        <v>32.130000000000003</v>
      </c>
      <c r="G4573" s="2">
        <v>9</v>
      </c>
      <c r="H4573" s="2">
        <v>8.35</v>
      </c>
      <c r="I4573" t="str">
        <f t="shared" si="71"/>
        <v>Apr</v>
      </c>
      <c r="J4573">
        <f>YEAR(datas[[#This Row],[Order Date]])</f>
        <v>2023</v>
      </c>
    </row>
    <row r="4574" spans="1:10" ht="14.25" customHeight="1" x14ac:dyDescent="0.3">
      <c r="A4574" s="1">
        <v>45038</v>
      </c>
      <c r="B4574" s="2" t="s">
        <v>46</v>
      </c>
      <c r="C4574" s="2" t="s">
        <v>75</v>
      </c>
      <c r="D4574" s="2" t="s">
        <v>10</v>
      </c>
      <c r="E4574" s="2" t="s">
        <v>19</v>
      </c>
      <c r="F4574" s="2">
        <v>2.88</v>
      </c>
      <c r="G4574" s="2">
        <v>1</v>
      </c>
      <c r="H4574" s="2">
        <v>0.81</v>
      </c>
      <c r="I4574" t="str">
        <f t="shared" si="71"/>
        <v>Apr</v>
      </c>
      <c r="J4574">
        <f>YEAR(datas[[#This Row],[Order Date]])</f>
        <v>2023</v>
      </c>
    </row>
    <row r="4575" spans="1:10" ht="14.25" customHeight="1" x14ac:dyDescent="0.3">
      <c r="A4575" s="1">
        <v>45039</v>
      </c>
      <c r="B4575" s="2" t="s">
        <v>339</v>
      </c>
      <c r="C4575" s="2" t="s">
        <v>21</v>
      </c>
      <c r="D4575" s="2" t="s">
        <v>10</v>
      </c>
      <c r="E4575" s="2" t="s">
        <v>16</v>
      </c>
      <c r="F4575" s="2">
        <v>251.52</v>
      </c>
      <c r="G4575" s="2">
        <v>6</v>
      </c>
      <c r="H4575" s="2">
        <v>81.739999999999995</v>
      </c>
      <c r="I4575" t="str">
        <f t="shared" si="71"/>
        <v>Apr</v>
      </c>
      <c r="J4575">
        <f>YEAR(datas[[#This Row],[Order Date]])</f>
        <v>2023</v>
      </c>
    </row>
    <row r="4576" spans="1:10" ht="14.25" customHeight="1" x14ac:dyDescent="0.3">
      <c r="A4576" s="1">
        <v>45039</v>
      </c>
      <c r="B4576" s="2" t="s">
        <v>339</v>
      </c>
      <c r="C4576" s="2" t="s">
        <v>21</v>
      </c>
      <c r="D4576" s="2" t="s">
        <v>28</v>
      </c>
      <c r="E4576" s="2" t="s">
        <v>34</v>
      </c>
      <c r="F4576" s="2">
        <v>99.99</v>
      </c>
      <c r="G4576" s="2">
        <v>1</v>
      </c>
      <c r="H4576" s="2">
        <v>35</v>
      </c>
      <c r="I4576" t="str">
        <f t="shared" si="71"/>
        <v>Apr</v>
      </c>
      <c r="J4576">
        <f>YEAR(datas[[#This Row],[Order Date]])</f>
        <v>2023</v>
      </c>
    </row>
    <row r="4577" spans="1:10" ht="14.25" customHeight="1" x14ac:dyDescent="0.3">
      <c r="A4577" s="1">
        <v>45039</v>
      </c>
      <c r="B4577" s="2" t="s">
        <v>319</v>
      </c>
      <c r="C4577" s="2" t="s">
        <v>115</v>
      </c>
      <c r="D4577" s="2" t="s">
        <v>10</v>
      </c>
      <c r="E4577" s="2" t="s">
        <v>11</v>
      </c>
      <c r="F4577" s="2">
        <v>36.24</v>
      </c>
      <c r="G4577" s="2">
        <v>5</v>
      </c>
      <c r="H4577" s="2">
        <v>11.33</v>
      </c>
      <c r="I4577" t="str">
        <f t="shared" si="71"/>
        <v>Apr</v>
      </c>
      <c r="J4577">
        <f>YEAR(datas[[#This Row],[Order Date]])</f>
        <v>2023</v>
      </c>
    </row>
    <row r="4578" spans="1:10" ht="14.25" customHeight="1" x14ac:dyDescent="0.3">
      <c r="A4578" s="1">
        <v>45039</v>
      </c>
      <c r="B4578" s="2" t="s">
        <v>728</v>
      </c>
      <c r="C4578" s="2" t="s">
        <v>47</v>
      </c>
      <c r="D4578" s="2" t="s">
        <v>10</v>
      </c>
      <c r="E4578" s="2" t="s">
        <v>11</v>
      </c>
      <c r="F4578" s="2">
        <v>108.34</v>
      </c>
      <c r="G4578" s="2">
        <v>6</v>
      </c>
      <c r="H4578" s="2">
        <v>37.92</v>
      </c>
      <c r="I4578" t="str">
        <f t="shared" si="71"/>
        <v>Apr</v>
      </c>
      <c r="J4578">
        <f>YEAR(datas[[#This Row],[Order Date]])</f>
        <v>2023</v>
      </c>
    </row>
    <row r="4579" spans="1:10" ht="14.25" customHeight="1" x14ac:dyDescent="0.3">
      <c r="A4579" s="1">
        <v>45039</v>
      </c>
      <c r="B4579" s="2" t="s">
        <v>728</v>
      </c>
      <c r="C4579" s="2" t="s">
        <v>47</v>
      </c>
      <c r="D4579" s="2" t="s">
        <v>10</v>
      </c>
      <c r="E4579" s="2" t="s">
        <v>15</v>
      </c>
      <c r="F4579" s="2">
        <v>55.92</v>
      </c>
      <c r="G4579" s="2">
        <v>5</v>
      </c>
      <c r="H4579" s="2">
        <v>6.29</v>
      </c>
      <c r="I4579" t="str">
        <f t="shared" si="71"/>
        <v>Apr</v>
      </c>
      <c r="J4579">
        <f>YEAR(datas[[#This Row],[Order Date]])</f>
        <v>2023</v>
      </c>
    </row>
    <row r="4580" spans="1:10" ht="14.25" customHeight="1" x14ac:dyDescent="0.3">
      <c r="A4580" s="1">
        <v>45039</v>
      </c>
      <c r="B4580" s="2" t="s">
        <v>728</v>
      </c>
      <c r="C4580" s="2" t="s">
        <v>47</v>
      </c>
      <c r="D4580" s="2" t="s">
        <v>10</v>
      </c>
      <c r="E4580" s="2" t="s">
        <v>11</v>
      </c>
      <c r="F4580" s="2">
        <v>78.3</v>
      </c>
      <c r="G4580" s="2">
        <v>2</v>
      </c>
      <c r="H4580" s="2">
        <v>29.36</v>
      </c>
      <c r="I4580" t="str">
        <f t="shared" si="71"/>
        <v>Apr</v>
      </c>
      <c r="J4580">
        <f>YEAR(datas[[#This Row],[Order Date]])</f>
        <v>2023</v>
      </c>
    </row>
    <row r="4581" spans="1:10" ht="14.25" customHeight="1" x14ac:dyDescent="0.3">
      <c r="A4581" s="1">
        <v>45039</v>
      </c>
      <c r="B4581" s="2" t="s">
        <v>795</v>
      </c>
      <c r="C4581" s="2" t="s">
        <v>21</v>
      </c>
      <c r="D4581" s="2" t="s">
        <v>10</v>
      </c>
      <c r="E4581" s="2" t="s">
        <v>16</v>
      </c>
      <c r="F4581" s="2">
        <v>18.09</v>
      </c>
      <c r="G4581" s="2">
        <v>7</v>
      </c>
      <c r="H4581" s="2">
        <v>6.56</v>
      </c>
      <c r="I4581" t="str">
        <f t="shared" si="71"/>
        <v>Apr</v>
      </c>
      <c r="J4581">
        <f>YEAR(datas[[#This Row],[Order Date]])</f>
        <v>2023</v>
      </c>
    </row>
    <row r="4582" spans="1:10" ht="14.25" customHeight="1" x14ac:dyDescent="0.3">
      <c r="A4582" s="1">
        <v>45039</v>
      </c>
      <c r="B4582" s="2" t="s">
        <v>795</v>
      </c>
      <c r="C4582" s="2" t="s">
        <v>21</v>
      </c>
      <c r="D4582" s="2" t="s">
        <v>10</v>
      </c>
      <c r="E4582" s="2" t="s">
        <v>41</v>
      </c>
      <c r="F4582" s="2">
        <v>71.97</v>
      </c>
      <c r="G4582" s="2">
        <v>3</v>
      </c>
      <c r="H4582" s="2">
        <v>35.99</v>
      </c>
      <c r="I4582" t="str">
        <f t="shared" si="71"/>
        <v>Apr</v>
      </c>
      <c r="J4582">
        <f>YEAR(datas[[#This Row],[Order Date]])</f>
        <v>2023</v>
      </c>
    </row>
    <row r="4583" spans="1:10" ht="14.25" customHeight="1" x14ac:dyDescent="0.3">
      <c r="A4583" s="1">
        <v>45040</v>
      </c>
      <c r="B4583" s="2" t="s">
        <v>756</v>
      </c>
      <c r="C4583" s="2" t="s">
        <v>9</v>
      </c>
      <c r="D4583" s="2" t="s">
        <v>28</v>
      </c>
      <c r="E4583" s="2" t="s">
        <v>34</v>
      </c>
      <c r="F4583" s="2">
        <v>258.7</v>
      </c>
      <c r="G4583" s="2">
        <v>3</v>
      </c>
      <c r="H4583" s="2">
        <v>64.67</v>
      </c>
      <c r="I4583" t="str">
        <f t="shared" si="71"/>
        <v>Apr</v>
      </c>
      <c r="J4583">
        <f>YEAR(datas[[#This Row],[Order Date]])</f>
        <v>2023</v>
      </c>
    </row>
    <row r="4584" spans="1:10" ht="14.25" customHeight="1" x14ac:dyDescent="0.3">
      <c r="A4584" s="1">
        <v>45040</v>
      </c>
      <c r="B4584" s="2" t="s">
        <v>372</v>
      </c>
      <c r="C4584" s="2" t="s">
        <v>21</v>
      </c>
      <c r="D4584" s="2" t="s">
        <v>10</v>
      </c>
      <c r="E4584" s="2" t="s">
        <v>16</v>
      </c>
      <c r="F4584" s="2">
        <v>3.98</v>
      </c>
      <c r="G4584" s="2">
        <v>1</v>
      </c>
      <c r="H4584" s="2">
        <v>1.39</v>
      </c>
      <c r="I4584" t="str">
        <f t="shared" si="71"/>
        <v>Apr</v>
      </c>
      <c r="J4584">
        <f>YEAR(datas[[#This Row],[Order Date]])</f>
        <v>2023</v>
      </c>
    </row>
    <row r="4585" spans="1:10" ht="14.25" customHeight="1" x14ac:dyDescent="0.3">
      <c r="A4585" s="1">
        <v>45040</v>
      </c>
      <c r="B4585" s="2" t="s">
        <v>824</v>
      </c>
      <c r="C4585" s="2" t="s">
        <v>126</v>
      </c>
      <c r="D4585" s="2" t="s">
        <v>10</v>
      </c>
      <c r="E4585" s="2" t="s">
        <v>11</v>
      </c>
      <c r="F4585" s="2">
        <v>15.55</v>
      </c>
      <c r="G4585" s="2">
        <v>3</v>
      </c>
      <c r="H4585" s="2">
        <v>5.44</v>
      </c>
      <c r="I4585" t="str">
        <f t="shared" si="71"/>
        <v>Apr</v>
      </c>
      <c r="J4585">
        <f>YEAR(datas[[#This Row],[Order Date]])</f>
        <v>2023</v>
      </c>
    </row>
    <row r="4586" spans="1:10" ht="14.25" customHeight="1" x14ac:dyDescent="0.3">
      <c r="A4586" s="1">
        <v>45040</v>
      </c>
      <c r="B4586" s="2" t="s">
        <v>824</v>
      </c>
      <c r="C4586" s="2" t="s">
        <v>126</v>
      </c>
      <c r="D4586" s="2" t="s">
        <v>26</v>
      </c>
      <c r="E4586" s="2" t="s">
        <v>27</v>
      </c>
      <c r="F4586" s="2">
        <v>1325.76</v>
      </c>
      <c r="G4586" s="2">
        <v>6</v>
      </c>
      <c r="H4586" s="2">
        <v>149.15</v>
      </c>
      <c r="I4586" t="str">
        <f t="shared" si="71"/>
        <v>Apr</v>
      </c>
      <c r="J4586">
        <f>YEAR(datas[[#This Row],[Order Date]])</f>
        <v>2023</v>
      </c>
    </row>
    <row r="4587" spans="1:10" ht="14.25" customHeight="1" x14ac:dyDescent="0.3">
      <c r="A4587" s="1">
        <v>45040</v>
      </c>
      <c r="B4587" s="2" t="s">
        <v>824</v>
      </c>
      <c r="C4587" s="2" t="s">
        <v>126</v>
      </c>
      <c r="D4587" s="2" t="s">
        <v>10</v>
      </c>
      <c r="E4587" s="2" t="s">
        <v>16</v>
      </c>
      <c r="F4587" s="2">
        <v>3.11</v>
      </c>
      <c r="G4587" s="2">
        <v>2</v>
      </c>
      <c r="H4587" s="2">
        <v>-2.1800000000000002</v>
      </c>
      <c r="I4587" t="str">
        <f t="shared" si="71"/>
        <v>Apr</v>
      </c>
      <c r="J4587">
        <f>YEAR(datas[[#This Row],[Order Date]])</f>
        <v>2023</v>
      </c>
    </row>
    <row r="4588" spans="1:10" ht="14.25" customHeight="1" x14ac:dyDescent="0.3">
      <c r="A4588" s="1">
        <v>45041</v>
      </c>
      <c r="B4588" s="2" t="s">
        <v>384</v>
      </c>
      <c r="C4588" s="2" t="s">
        <v>18</v>
      </c>
      <c r="D4588" s="2" t="s">
        <v>28</v>
      </c>
      <c r="E4588" s="2" t="s">
        <v>29</v>
      </c>
      <c r="F4588" s="2">
        <v>82.8</v>
      </c>
      <c r="G4588" s="2">
        <v>2</v>
      </c>
      <c r="H4588" s="2">
        <v>-20.7</v>
      </c>
      <c r="I4588" t="str">
        <f t="shared" si="71"/>
        <v>Apr</v>
      </c>
      <c r="J4588">
        <f>YEAR(datas[[#This Row],[Order Date]])</f>
        <v>2023</v>
      </c>
    </row>
    <row r="4589" spans="1:10" ht="14.25" customHeight="1" x14ac:dyDescent="0.3">
      <c r="A4589" s="1">
        <v>45041</v>
      </c>
      <c r="B4589" s="2" t="s">
        <v>384</v>
      </c>
      <c r="C4589" s="2" t="s">
        <v>18</v>
      </c>
      <c r="D4589" s="2" t="s">
        <v>10</v>
      </c>
      <c r="E4589" s="2" t="s">
        <v>16</v>
      </c>
      <c r="F4589" s="2">
        <v>20.72</v>
      </c>
      <c r="G4589" s="2">
        <v>2</v>
      </c>
      <c r="H4589" s="2">
        <v>-13.82</v>
      </c>
      <c r="I4589" t="str">
        <f t="shared" si="71"/>
        <v>Apr</v>
      </c>
      <c r="J4589">
        <f>YEAR(datas[[#This Row],[Order Date]])</f>
        <v>2023</v>
      </c>
    </row>
    <row r="4590" spans="1:10" ht="14.25" customHeight="1" x14ac:dyDescent="0.3">
      <c r="A4590" s="1">
        <v>45041</v>
      </c>
      <c r="B4590" s="2" t="s">
        <v>384</v>
      </c>
      <c r="C4590" s="2" t="s">
        <v>18</v>
      </c>
      <c r="D4590" s="2" t="s">
        <v>10</v>
      </c>
      <c r="E4590" s="2" t="s">
        <v>16</v>
      </c>
      <c r="F4590" s="2">
        <v>4.9000000000000004</v>
      </c>
      <c r="G4590" s="2">
        <v>3</v>
      </c>
      <c r="H4590" s="2">
        <v>-3.43</v>
      </c>
      <c r="I4590" t="str">
        <f t="shared" si="71"/>
        <v>Apr</v>
      </c>
      <c r="J4590">
        <f>YEAR(datas[[#This Row],[Order Date]])</f>
        <v>2023</v>
      </c>
    </row>
    <row r="4591" spans="1:10" ht="14.25" customHeight="1" x14ac:dyDescent="0.3">
      <c r="A4591" s="1">
        <v>45042</v>
      </c>
      <c r="B4591" s="2" t="s">
        <v>596</v>
      </c>
      <c r="C4591" s="2" t="s">
        <v>75</v>
      </c>
      <c r="D4591" s="2" t="s">
        <v>26</v>
      </c>
      <c r="E4591" s="2" t="s">
        <v>27</v>
      </c>
      <c r="F4591" s="2">
        <v>434.65</v>
      </c>
      <c r="G4591" s="2">
        <v>3</v>
      </c>
      <c r="H4591" s="2">
        <v>62.78</v>
      </c>
      <c r="I4591" t="str">
        <f t="shared" si="71"/>
        <v>Apr</v>
      </c>
      <c r="J4591">
        <f>YEAR(datas[[#This Row],[Order Date]])</f>
        <v>2023</v>
      </c>
    </row>
    <row r="4592" spans="1:10" ht="14.25" customHeight="1" x14ac:dyDescent="0.3">
      <c r="A4592" s="1">
        <v>45044</v>
      </c>
      <c r="B4592" s="2" t="s">
        <v>627</v>
      </c>
      <c r="C4592" s="2" t="s">
        <v>9</v>
      </c>
      <c r="D4592" s="2" t="s">
        <v>28</v>
      </c>
      <c r="E4592" s="2" t="s">
        <v>29</v>
      </c>
      <c r="F4592" s="2">
        <v>369.58</v>
      </c>
      <c r="G4592" s="2">
        <v>3</v>
      </c>
      <c r="H4592" s="2">
        <v>41.58</v>
      </c>
      <c r="I4592" t="str">
        <f t="shared" si="71"/>
        <v>Apr</v>
      </c>
      <c r="J4592">
        <f>YEAR(datas[[#This Row],[Order Date]])</f>
        <v>2023</v>
      </c>
    </row>
    <row r="4593" spans="1:10" ht="14.25" customHeight="1" x14ac:dyDescent="0.3">
      <c r="A4593" s="1">
        <v>45044</v>
      </c>
      <c r="B4593" s="2" t="s">
        <v>627</v>
      </c>
      <c r="C4593" s="2" t="s">
        <v>9</v>
      </c>
      <c r="D4593" s="2" t="s">
        <v>10</v>
      </c>
      <c r="E4593" s="2" t="s">
        <v>14</v>
      </c>
      <c r="F4593" s="2">
        <v>15.71</v>
      </c>
      <c r="G4593" s="2">
        <v>4</v>
      </c>
      <c r="H4593" s="2">
        <v>5.7</v>
      </c>
      <c r="I4593" t="str">
        <f t="shared" si="71"/>
        <v>Apr</v>
      </c>
      <c r="J4593">
        <f>YEAR(datas[[#This Row],[Order Date]])</f>
        <v>2023</v>
      </c>
    </row>
    <row r="4594" spans="1:10" ht="14.25" customHeight="1" x14ac:dyDescent="0.3">
      <c r="A4594" s="1">
        <v>45044</v>
      </c>
      <c r="B4594" s="2" t="s">
        <v>266</v>
      </c>
      <c r="C4594" s="2" t="s">
        <v>126</v>
      </c>
      <c r="D4594" s="2" t="s">
        <v>10</v>
      </c>
      <c r="E4594" s="2" t="s">
        <v>11</v>
      </c>
      <c r="F4594" s="2">
        <v>29.47</v>
      </c>
      <c r="G4594" s="2">
        <v>3</v>
      </c>
      <c r="H4594" s="2">
        <v>9.9499999999999993</v>
      </c>
      <c r="I4594" t="str">
        <f t="shared" si="71"/>
        <v>Apr</v>
      </c>
      <c r="J4594">
        <f>YEAR(datas[[#This Row],[Order Date]])</f>
        <v>2023</v>
      </c>
    </row>
    <row r="4595" spans="1:10" ht="14.25" customHeight="1" x14ac:dyDescent="0.3">
      <c r="A4595" s="1">
        <v>45044</v>
      </c>
      <c r="B4595" s="2" t="s">
        <v>805</v>
      </c>
      <c r="C4595" s="2" t="s">
        <v>21</v>
      </c>
      <c r="D4595" s="2" t="s">
        <v>26</v>
      </c>
      <c r="E4595" s="2" t="s">
        <v>27</v>
      </c>
      <c r="F4595" s="2">
        <v>41.57</v>
      </c>
      <c r="G4595" s="2">
        <v>2</v>
      </c>
      <c r="H4595" s="2">
        <v>2.6</v>
      </c>
      <c r="I4595" t="str">
        <f t="shared" si="71"/>
        <v>Apr</v>
      </c>
      <c r="J4595">
        <f>YEAR(datas[[#This Row],[Order Date]])</f>
        <v>2023</v>
      </c>
    </row>
    <row r="4596" spans="1:10" ht="14.25" customHeight="1" x14ac:dyDescent="0.3">
      <c r="A4596" s="1">
        <v>45044</v>
      </c>
      <c r="B4596" s="2" t="s">
        <v>825</v>
      </c>
      <c r="C4596" s="2" t="s">
        <v>13</v>
      </c>
      <c r="D4596" s="2" t="s">
        <v>26</v>
      </c>
      <c r="E4596" s="2" t="s">
        <v>32</v>
      </c>
      <c r="F4596" s="2">
        <v>30.34</v>
      </c>
      <c r="G4596" s="2">
        <v>2</v>
      </c>
      <c r="H4596" s="2">
        <v>-31.86</v>
      </c>
      <c r="I4596" t="str">
        <f t="shared" si="71"/>
        <v>Apr</v>
      </c>
      <c r="J4596">
        <f>YEAR(datas[[#This Row],[Order Date]])</f>
        <v>2023</v>
      </c>
    </row>
    <row r="4597" spans="1:10" ht="14.25" customHeight="1" x14ac:dyDescent="0.3">
      <c r="A4597" s="1">
        <v>45046</v>
      </c>
      <c r="B4597" s="2" t="s">
        <v>218</v>
      </c>
      <c r="C4597" s="2" t="s">
        <v>75</v>
      </c>
      <c r="D4597" s="2" t="s">
        <v>10</v>
      </c>
      <c r="E4597" s="2" t="s">
        <v>16</v>
      </c>
      <c r="F4597" s="2">
        <v>7.71</v>
      </c>
      <c r="G4597" s="2">
        <v>2</v>
      </c>
      <c r="H4597" s="2">
        <v>2.8</v>
      </c>
      <c r="I4597" t="str">
        <f t="shared" si="71"/>
        <v>Apr</v>
      </c>
      <c r="J4597">
        <f>YEAR(datas[[#This Row],[Order Date]])</f>
        <v>2023</v>
      </c>
    </row>
    <row r="4598" spans="1:10" ht="14.25" customHeight="1" x14ac:dyDescent="0.3">
      <c r="A4598" s="1">
        <v>45046</v>
      </c>
      <c r="B4598" s="2" t="s">
        <v>214</v>
      </c>
      <c r="C4598" s="2" t="s">
        <v>9</v>
      </c>
      <c r="D4598" s="2" t="s">
        <v>26</v>
      </c>
      <c r="E4598" s="2" t="s">
        <v>32</v>
      </c>
      <c r="F4598" s="2">
        <v>22.61</v>
      </c>
      <c r="G4598" s="2">
        <v>3</v>
      </c>
      <c r="H4598" s="2">
        <v>-10.17</v>
      </c>
      <c r="I4598" t="str">
        <f t="shared" si="71"/>
        <v>Apr</v>
      </c>
      <c r="J4598">
        <f>YEAR(datas[[#This Row],[Order Date]])</f>
        <v>2023</v>
      </c>
    </row>
    <row r="4599" spans="1:10" ht="14.25" customHeight="1" x14ac:dyDescent="0.3">
      <c r="A4599" s="1">
        <v>45046</v>
      </c>
      <c r="B4599" s="2" t="s">
        <v>760</v>
      </c>
      <c r="C4599" s="2" t="s">
        <v>55</v>
      </c>
      <c r="D4599" s="2" t="s">
        <v>26</v>
      </c>
      <c r="E4599" s="2" t="s">
        <v>32</v>
      </c>
      <c r="F4599" s="2">
        <v>111.89</v>
      </c>
      <c r="G4599" s="2">
        <v>7</v>
      </c>
      <c r="H4599" s="2">
        <v>22.38</v>
      </c>
      <c r="I4599" t="str">
        <f t="shared" si="71"/>
        <v>Apr</v>
      </c>
      <c r="J4599">
        <f>YEAR(datas[[#This Row],[Order Date]])</f>
        <v>2023</v>
      </c>
    </row>
    <row r="4600" spans="1:10" ht="14.25" customHeight="1" x14ac:dyDescent="0.3">
      <c r="A4600" s="1">
        <v>45047</v>
      </c>
      <c r="B4600" s="2" t="s">
        <v>288</v>
      </c>
      <c r="C4600" s="2" t="s">
        <v>62</v>
      </c>
      <c r="D4600" s="2" t="s">
        <v>10</v>
      </c>
      <c r="E4600" s="2" t="s">
        <v>14</v>
      </c>
      <c r="F4600" s="2">
        <v>3.98</v>
      </c>
      <c r="G4600" s="2">
        <v>1</v>
      </c>
      <c r="H4600" s="2">
        <v>1.29</v>
      </c>
      <c r="I4600" t="str">
        <f t="shared" si="71"/>
        <v>May</v>
      </c>
      <c r="J4600">
        <f>YEAR(datas[[#This Row],[Order Date]])</f>
        <v>2023</v>
      </c>
    </row>
    <row r="4601" spans="1:10" ht="14.25" customHeight="1" x14ac:dyDescent="0.3">
      <c r="A4601" s="1">
        <v>45047</v>
      </c>
      <c r="B4601" s="2" t="s">
        <v>288</v>
      </c>
      <c r="C4601" s="2" t="s">
        <v>62</v>
      </c>
      <c r="D4601" s="2" t="s">
        <v>26</v>
      </c>
      <c r="E4601" s="2" t="s">
        <v>73</v>
      </c>
      <c r="F4601" s="2">
        <v>370.62</v>
      </c>
      <c r="G4601" s="2">
        <v>3</v>
      </c>
      <c r="H4601" s="2">
        <v>-142.07</v>
      </c>
      <c r="I4601" t="str">
        <f t="shared" si="71"/>
        <v>May</v>
      </c>
      <c r="J4601">
        <f>YEAR(datas[[#This Row],[Order Date]])</f>
        <v>2023</v>
      </c>
    </row>
    <row r="4602" spans="1:10" ht="14.25" customHeight="1" x14ac:dyDescent="0.3">
      <c r="A4602" s="1">
        <v>45047</v>
      </c>
      <c r="B4602" s="2" t="s">
        <v>288</v>
      </c>
      <c r="C4602" s="2" t="s">
        <v>62</v>
      </c>
      <c r="D4602" s="2" t="s">
        <v>10</v>
      </c>
      <c r="E4602" s="2" t="s">
        <v>16</v>
      </c>
      <c r="F4602" s="2">
        <v>2.74</v>
      </c>
      <c r="G4602" s="2">
        <v>2</v>
      </c>
      <c r="H4602" s="2">
        <v>-2.0099999999999998</v>
      </c>
      <c r="I4602" t="str">
        <f t="shared" si="71"/>
        <v>May</v>
      </c>
      <c r="J4602">
        <f>YEAR(datas[[#This Row],[Order Date]])</f>
        <v>2023</v>
      </c>
    </row>
    <row r="4603" spans="1:10" ht="14.25" customHeight="1" x14ac:dyDescent="0.3">
      <c r="A4603" s="1">
        <v>45047</v>
      </c>
      <c r="B4603" s="2" t="s">
        <v>826</v>
      </c>
      <c r="C4603" s="2" t="s">
        <v>57</v>
      </c>
      <c r="D4603" s="2" t="s">
        <v>10</v>
      </c>
      <c r="E4603" s="2" t="s">
        <v>11</v>
      </c>
      <c r="F4603" s="2">
        <v>109.92</v>
      </c>
      <c r="G4603" s="2">
        <v>2</v>
      </c>
      <c r="H4603" s="2">
        <v>53.86</v>
      </c>
      <c r="I4603" t="str">
        <f t="shared" si="71"/>
        <v>May</v>
      </c>
      <c r="J4603">
        <f>YEAR(datas[[#This Row],[Order Date]])</f>
        <v>2023</v>
      </c>
    </row>
    <row r="4604" spans="1:10" ht="14.25" customHeight="1" x14ac:dyDescent="0.3">
      <c r="A4604" s="1">
        <v>45047</v>
      </c>
      <c r="B4604" s="2" t="s">
        <v>826</v>
      </c>
      <c r="C4604" s="2" t="s">
        <v>57</v>
      </c>
      <c r="D4604" s="2" t="s">
        <v>10</v>
      </c>
      <c r="E4604" s="2" t="s">
        <v>11</v>
      </c>
      <c r="F4604" s="2">
        <v>19.440000000000001</v>
      </c>
      <c r="G4604" s="2">
        <v>3</v>
      </c>
      <c r="H4604" s="2">
        <v>9.33</v>
      </c>
      <c r="I4604" t="str">
        <f t="shared" si="71"/>
        <v>May</v>
      </c>
      <c r="J4604">
        <f>YEAR(datas[[#This Row],[Order Date]])</f>
        <v>2023</v>
      </c>
    </row>
    <row r="4605" spans="1:10" ht="14.25" customHeight="1" x14ac:dyDescent="0.3">
      <c r="A4605" s="1">
        <v>45047</v>
      </c>
      <c r="B4605" s="2" t="s">
        <v>826</v>
      </c>
      <c r="C4605" s="2" t="s">
        <v>57</v>
      </c>
      <c r="D4605" s="2" t="s">
        <v>10</v>
      </c>
      <c r="E4605" s="2" t="s">
        <v>19</v>
      </c>
      <c r="F4605" s="2">
        <v>11.16</v>
      </c>
      <c r="G4605" s="2">
        <v>2</v>
      </c>
      <c r="H4605" s="2">
        <v>4.3499999999999996</v>
      </c>
      <c r="I4605" t="str">
        <f t="shared" si="71"/>
        <v>May</v>
      </c>
      <c r="J4605">
        <f>YEAR(datas[[#This Row],[Order Date]])</f>
        <v>2023</v>
      </c>
    </row>
    <row r="4606" spans="1:10" ht="14.25" customHeight="1" x14ac:dyDescent="0.3">
      <c r="A4606" s="1">
        <v>45048</v>
      </c>
      <c r="B4606" s="2" t="s">
        <v>815</v>
      </c>
      <c r="C4606" s="2" t="s">
        <v>9</v>
      </c>
      <c r="D4606" s="2" t="s">
        <v>10</v>
      </c>
      <c r="E4606" s="2" t="s">
        <v>19</v>
      </c>
      <c r="F4606" s="2">
        <v>86.35</v>
      </c>
      <c r="G4606" s="2">
        <v>3</v>
      </c>
      <c r="H4606" s="2">
        <v>5.4</v>
      </c>
      <c r="I4606" t="str">
        <f t="shared" si="71"/>
        <v>May</v>
      </c>
      <c r="J4606">
        <f>YEAR(datas[[#This Row],[Order Date]])</f>
        <v>2023</v>
      </c>
    </row>
    <row r="4607" spans="1:10" ht="14.25" customHeight="1" x14ac:dyDescent="0.3">
      <c r="A4607" s="1">
        <v>45048</v>
      </c>
      <c r="B4607" s="2" t="s">
        <v>270</v>
      </c>
      <c r="C4607" s="2" t="s">
        <v>75</v>
      </c>
      <c r="D4607" s="2" t="s">
        <v>10</v>
      </c>
      <c r="E4607" s="2" t="s">
        <v>15</v>
      </c>
      <c r="F4607" s="2">
        <v>44.94</v>
      </c>
      <c r="G4607" s="2">
        <v>3</v>
      </c>
      <c r="H4607" s="2">
        <v>12.58</v>
      </c>
      <c r="I4607" t="str">
        <f t="shared" si="71"/>
        <v>May</v>
      </c>
      <c r="J4607">
        <f>YEAR(datas[[#This Row],[Order Date]])</f>
        <v>2023</v>
      </c>
    </row>
    <row r="4608" spans="1:10" ht="14.25" customHeight="1" x14ac:dyDescent="0.3">
      <c r="A4608" s="1">
        <v>45048</v>
      </c>
      <c r="B4608" s="2" t="s">
        <v>270</v>
      </c>
      <c r="C4608" s="2" t="s">
        <v>75</v>
      </c>
      <c r="D4608" s="2" t="s">
        <v>10</v>
      </c>
      <c r="E4608" s="2" t="s">
        <v>16</v>
      </c>
      <c r="F4608" s="2">
        <v>45.58</v>
      </c>
      <c r="G4608" s="2">
        <v>3</v>
      </c>
      <c r="H4608" s="2">
        <v>15.95</v>
      </c>
      <c r="I4608" t="str">
        <f t="shared" si="71"/>
        <v>May</v>
      </c>
      <c r="J4608">
        <f>YEAR(datas[[#This Row],[Order Date]])</f>
        <v>2023</v>
      </c>
    </row>
    <row r="4609" spans="1:10" ht="14.25" customHeight="1" x14ac:dyDescent="0.3">
      <c r="A4609" s="1">
        <v>45048</v>
      </c>
      <c r="B4609" s="2" t="s">
        <v>343</v>
      </c>
      <c r="C4609" s="2" t="s">
        <v>115</v>
      </c>
      <c r="D4609" s="2" t="s">
        <v>26</v>
      </c>
      <c r="E4609" s="2" t="s">
        <v>27</v>
      </c>
      <c r="F4609" s="2">
        <v>187.06</v>
      </c>
      <c r="G4609" s="2">
        <v>9</v>
      </c>
      <c r="H4609" s="2">
        <v>11.69</v>
      </c>
      <c r="I4609" t="str">
        <f t="shared" si="71"/>
        <v>May</v>
      </c>
      <c r="J4609">
        <f>YEAR(datas[[#This Row],[Order Date]])</f>
        <v>2023</v>
      </c>
    </row>
    <row r="4610" spans="1:10" ht="14.25" customHeight="1" x14ac:dyDescent="0.3">
      <c r="A4610" s="1">
        <v>45048</v>
      </c>
      <c r="B4610" s="2" t="s">
        <v>494</v>
      </c>
      <c r="C4610" s="2" t="s">
        <v>9</v>
      </c>
      <c r="D4610" s="2" t="s">
        <v>10</v>
      </c>
      <c r="E4610" s="2" t="s">
        <v>15</v>
      </c>
      <c r="F4610" s="2">
        <v>18.940000000000001</v>
      </c>
      <c r="G4610" s="2">
        <v>3</v>
      </c>
      <c r="H4610" s="2">
        <v>-3.79</v>
      </c>
      <c r="I4610" t="str">
        <f t="shared" si="71"/>
        <v>May</v>
      </c>
      <c r="J4610">
        <f>YEAR(datas[[#This Row],[Order Date]])</f>
        <v>2023</v>
      </c>
    </row>
    <row r="4611" spans="1:10" ht="14.25" customHeight="1" x14ac:dyDescent="0.3">
      <c r="A4611" s="1">
        <v>45048</v>
      </c>
      <c r="B4611" s="2" t="s">
        <v>494</v>
      </c>
      <c r="C4611" s="2" t="s">
        <v>9</v>
      </c>
      <c r="D4611" s="2" t="s">
        <v>10</v>
      </c>
      <c r="E4611" s="2" t="s">
        <v>15</v>
      </c>
      <c r="F4611" s="2">
        <v>12.67</v>
      </c>
      <c r="G4611" s="2">
        <v>3</v>
      </c>
      <c r="H4611" s="2">
        <v>-3.17</v>
      </c>
      <c r="I4611" t="str">
        <f t="shared" ref="I4611:I4674" si="72">TEXT(A4611,"mmm")</f>
        <v>May</v>
      </c>
      <c r="J4611">
        <f>YEAR(datas[[#This Row],[Order Date]])</f>
        <v>2023</v>
      </c>
    </row>
    <row r="4612" spans="1:10" ht="14.25" customHeight="1" x14ac:dyDescent="0.3">
      <c r="A4612" s="1">
        <v>45048</v>
      </c>
      <c r="B4612" s="2" t="s">
        <v>494</v>
      </c>
      <c r="C4612" s="2" t="s">
        <v>9</v>
      </c>
      <c r="D4612" s="2" t="s">
        <v>10</v>
      </c>
      <c r="E4612" s="2" t="s">
        <v>14</v>
      </c>
      <c r="F4612" s="2">
        <v>5.04</v>
      </c>
      <c r="G4612" s="2">
        <v>2</v>
      </c>
      <c r="H4612" s="2">
        <v>1.76</v>
      </c>
      <c r="I4612" t="str">
        <f t="shared" si="72"/>
        <v>May</v>
      </c>
      <c r="J4612">
        <f>YEAR(datas[[#This Row],[Order Date]])</f>
        <v>2023</v>
      </c>
    </row>
    <row r="4613" spans="1:10" ht="14.25" customHeight="1" x14ac:dyDescent="0.3">
      <c r="A4613" s="1">
        <v>45048</v>
      </c>
      <c r="B4613" s="2" t="s">
        <v>312</v>
      </c>
      <c r="C4613" s="2" t="s">
        <v>9</v>
      </c>
      <c r="D4613" s="2" t="s">
        <v>26</v>
      </c>
      <c r="E4613" s="2" t="s">
        <v>27</v>
      </c>
      <c r="F4613" s="2">
        <v>366.74</v>
      </c>
      <c r="G4613" s="2">
        <v>4</v>
      </c>
      <c r="H4613" s="2">
        <v>-110.02</v>
      </c>
      <c r="I4613" t="str">
        <f t="shared" si="72"/>
        <v>May</v>
      </c>
      <c r="J4613">
        <f>YEAR(datas[[#This Row],[Order Date]])</f>
        <v>2023</v>
      </c>
    </row>
    <row r="4614" spans="1:10" ht="14.25" customHeight="1" x14ac:dyDescent="0.3">
      <c r="A4614" s="1">
        <v>45048</v>
      </c>
      <c r="B4614" s="2" t="s">
        <v>213</v>
      </c>
      <c r="C4614" s="2" t="s">
        <v>75</v>
      </c>
      <c r="D4614" s="2" t="s">
        <v>26</v>
      </c>
      <c r="E4614" s="2" t="s">
        <v>32</v>
      </c>
      <c r="F4614" s="2">
        <v>12.56</v>
      </c>
      <c r="G4614" s="2">
        <v>2</v>
      </c>
      <c r="H4614" s="2">
        <v>4.0199999999999996</v>
      </c>
      <c r="I4614" t="str">
        <f t="shared" si="72"/>
        <v>May</v>
      </c>
      <c r="J4614">
        <f>YEAR(datas[[#This Row],[Order Date]])</f>
        <v>2023</v>
      </c>
    </row>
    <row r="4615" spans="1:10" ht="14.25" customHeight="1" x14ac:dyDescent="0.3">
      <c r="A4615" s="1">
        <v>45048</v>
      </c>
      <c r="B4615" s="2" t="s">
        <v>213</v>
      </c>
      <c r="C4615" s="2" t="s">
        <v>75</v>
      </c>
      <c r="D4615" s="2" t="s">
        <v>10</v>
      </c>
      <c r="E4615" s="2" t="s">
        <v>16</v>
      </c>
      <c r="F4615" s="2">
        <v>90.48</v>
      </c>
      <c r="G4615" s="2">
        <v>3</v>
      </c>
      <c r="H4615" s="2">
        <v>33.93</v>
      </c>
      <c r="I4615" t="str">
        <f t="shared" si="72"/>
        <v>May</v>
      </c>
      <c r="J4615">
        <f>YEAR(datas[[#This Row],[Order Date]])</f>
        <v>2023</v>
      </c>
    </row>
    <row r="4616" spans="1:10" ht="14.25" customHeight="1" x14ac:dyDescent="0.3">
      <c r="A4616" s="1">
        <v>45048</v>
      </c>
      <c r="B4616" s="2" t="s">
        <v>213</v>
      </c>
      <c r="C4616" s="2" t="s">
        <v>75</v>
      </c>
      <c r="D4616" s="2" t="s">
        <v>10</v>
      </c>
      <c r="E4616" s="2" t="s">
        <v>11</v>
      </c>
      <c r="F4616" s="2">
        <v>13.08</v>
      </c>
      <c r="G4616" s="2">
        <v>2</v>
      </c>
      <c r="H4616" s="2">
        <v>6.02</v>
      </c>
      <c r="I4616" t="str">
        <f t="shared" si="72"/>
        <v>May</v>
      </c>
      <c r="J4616">
        <f>YEAR(datas[[#This Row],[Order Date]])</f>
        <v>2023</v>
      </c>
    </row>
    <row r="4617" spans="1:10" ht="14.25" customHeight="1" x14ac:dyDescent="0.3">
      <c r="A4617" s="1">
        <v>45048</v>
      </c>
      <c r="B4617" s="2" t="s">
        <v>213</v>
      </c>
      <c r="C4617" s="2" t="s">
        <v>75</v>
      </c>
      <c r="D4617" s="2" t="s">
        <v>26</v>
      </c>
      <c r="E4617" s="2" t="s">
        <v>32</v>
      </c>
      <c r="F4617" s="2">
        <v>214.7</v>
      </c>
      <c r="G4617" s="2">
        <v>5</v>
      </c>
      <c r="H4617" s="2">
        <v>83.73</v>
      </c>
      <c r="I4617" t="str">
        <f t="shared" si="72"/>
        <v>May</v>
      </c>
      <c r="J4617">
        <f>YEAR(datas[[#This Row],[Order Date]])</f>
        <v>2023</v>
      </c>
    </row>
    <row r="4618" spans="1:10" ht="14.25" customHeight="1" x14ac:dyDescent="0.3">
      <c r="A4618" s="1">
        <v>45049</v>
      </c>
      <c r="B4618" s="2" t="s">
        <v>783</v>
      </c>
      <c r="C4618" s="2" t="s">
        <v>13</v>
      </c>
      <c r="D4618" s="2" t="s">
        <v>10</v>
      </c>
      <c r="E4618" s="2" t="s">
        <v>16</v>
      </c>
      <c r="F4618" s="2">
        <v>2.1800000000000002</v>
      </c>
      <c r="G4618" s="2">
        <v>1</v>
      </c>
      <c r="H4618" s="2">
        <v>-3.6</v>
      </c>
      <c r="I4618" t="str">
        <f t="shared" si="72"/>
        <v>May</v>
      </c>
      <c r="J4618">
        <f>YEAR(datas[[#This Row],[Order Date]])</f>
        <v>2023</v>
      </c>
    </row>
    <row r="4619" spans="1:10" ht="14.25" customHeight="1" x14ac:dyDescent="0.3">
      <c r="A4619" s="1">
        <v>45049</v>
      </c>
      <c r="B4619" s="2" t="s">
        <v>783</v>
      </c>
      <c r="C4619" s="2" t="s">
        <v>13</v>
      </c>
      <c r="D4619" s="2" t="s">
        <v>10</v>
      </c>
      <c r="E4619" s="2" t="s">
        <v>19</v>
      </c>
      <c r="F4619" s="2">
        <v>27.38</v>
      </c>
      <c r="G4619" s="2">
        <v>7</v>
      </c>
      <c r="H4619" s="2">
        <v>2.74</v>
      </c>
      <c r="I4619" t="str">
        <f t="shared" si="72"/>
        <v>May</v>
      </c>
      <c r="J4619">
        <f>YEAR(datas[[#This Row],[Order Date]])</f>
        <v>2023</v>
      </c>
    </row>
    <row r="4620" spans="1:10" ht="14.25" customHeight="1" x14ac:dyDescent="0.3">
      <c r="A4620" s="1">
        <v>45049</v>
      </c>
      <c r="B4620" s="2" t="s">
        <v>783</v>
      </c>
      <c r="C4620" s="2" t="s">
        <v>13</v>
      </c>
      <c r="D4620" s="2" t="s">
        <v>10</v>
      </c>
      <c r="E4620" s="2" t="s">
        <v>53</v>
      </c>
      <c r="F4620" s="2">
        <v>26.41</v>
      </c>
      <c r="G4620" s="2">
        <v>3</v>
      </c>
      <c r="H4620" s="2">
        <v>-71.3</v>
      </c>
      <c r="I4620" t="str">
        <f t="shared" si="72"/>
        <v>May</v>
      </c>
      <c r="J4620">
        <f>YEAR(datas[[#This Row],[Order Date]])</f>
        <v>2023</v>
      </c>
    </row>
    <row r="4621" spans="1:10" ht="14.25" customHeight="1" x14ac:dyDescent="0.3">
      <c r="A4621" s="1">
        <v>45049</v>
      </c>
      <c r="B4621" s="2" t="s">
        <v>827</v>
      </c>
      <c r="C4621" s="2" t="s">
        <v>47</v>
      </c>
      <c r="D4621" s="2" t="s">
        <v>28</v>
      </c>
      <c r="E4621" s="2" t="s">
        <v>34</v>
      </c>
      <c r="F4621" s="2">
        <v>132.52000000000001</v>
      </c>
      <c r="G4621" s="2">
        <v>5</v>
      </c>
      <c r="H4621" s="2">
        <v>34.79</v>
      </c>
      <c r="I4621" t="str">
        <f t="shared" si="72"/>
        <v>May</v>
      </c>
      <c r="J4621">
        <f>YEAR(datas[[#This Row],[Order Date]])</f>
        <v>2023</v>
      </c>
    </row>
    <row r="4622" spans="1:10" ht="14.25" customHeight="1" x14ac:dyDescent="0.3">
      <c r="A4622" s="1">
        <v>45049</v>
      </c>
      <c r="B4622" s="2" t="s">
        <v>827</v>
      </c>
      <c r="C4622" s="2" t="s">
        <v>47</v>
      </c>
      <c r="D4622" s="2" t="s">
        <v>10</v>
      </c>
      <c r="E4622" s="2" t="s">
        <v>15</v>
      </c>
      <c r="F4622" s="2">
        <v>195.64</v>
      </c>
      <c r="G4622" s="2">
        <v>5</v>
      </c>
      <c r="H4622" s="2">
        <v>-44.02</v>
      </c>
      <c r="I4622" t="str">
        <f t="shared" si="72"/>
        <v>May</v>
      </c>
      <c r="J4622">
        <f>YEAR(datas[[#This Row],[Order Date]])</f>
        <v>2023</v>
      </c>
    </row>
    <row r="4623" spans="1:10" ht="14.25" customHeight="1" x14ac:dyDescent="0.3">
      <c r="A4623" s="1">
        <v>45049</v>
      </c>
      <c r="B4623" s="2" t="s">
        <v>827</v>
      </c>
      <c r="C4623" s="2" t="s">
        <v>47</v>
      </c>
      <c r="D4623" s="2" t="s">
        <v>26</v>
      </c>
      <c r="E4623" s="2" t="s">
        <v>32</v>
      </c>
      <c r="F4623" s="2">
        <v>51.97</v>
      </c>
      <c r="G4623" s="2">
        <v>2</v>
      </c>
      <c r="H4623" s="2">
        <v>10.39</v>
      </c>
      <c r="I4623" t="str">
        <f t="shared" si="72"/>
        <v>May</v>
      </c>
      <c r="J4623">
        <f>YEAR(datas[[#This Row],[Order Date]])</f>
        <v>2023</v>
      </c>
    </row>
    <row r="4624" spans="1:10" ht="14.25" customHeight="1" x14ac:dyDescent="0.3">
      <c r="A4624" s="1">
        <v>45049</v>
      </c>
      <c r="B4624" s="2" t="s">
        <v>827</v>
      </c>
      <c r="C4624" s="2" t="s">
        <v>47</v>
      </c>
      <c r="D4624" s="2" t="s">
        <v>28</v>
      </c>
      <c r="E4624" s="2" t="s">
        <v>34</v>
      </c>
      <c r="F4624" s="2">
        <v>431.98</v>
      </c>
      <c r="G4624" s="2">
        <v>3</v>
      </c>
      <c r="H4624" s="2">
        <v>-75.599999999999994</v>
      </c>
      <c r="I4624" t="str">
        <f t="shared" si="72"/>
        <v>May</v>
      </c>
      <c r="J4624">
        <f>YEAR(datas[[#This Row],[Order Date]])</f>
        <v>2023</v>
      </c>
    </row>
    <row r="4625" spans="1:10" ht="14.25" customHeight="1" x14ac:dyDescent="0.3">
      <c r="A4625" s="1">
        <v>45049</v>
      </c>
      <c r="B4625" s="2" t="s">
        <v>827</v>
      </c>
      <c r="C4625" s="2" t="s">
        <v>47</v>
      </c>
      <c r="D4625" s="2" t="s">
        <v>28</v>
      </c>
      <c r="E4625" s="2" t="s">
        <v>136</v>
      </c>
      <c r="F4625" s="2">
        <v>224.94</v>
      </c>
      <c r="G4625" s="2">
        <v>3</v>
      </c>
      <c r="H4625" s="2">
        <v>-164.95</v>
      </c>
      <c r="I4625" t="str">
        <f t="shared" si="72"/>
        <v>May</v>
      </c>
      <c r="J4625">
        <f>YEAR(datas[[#This Row],[Order Date]])</f>
        <v>2023</v>
      </c>
    </row>
    <row r="4626" spans="1:10" ht="14.25" customHeight="1" x14ac:dyDescent="0.3">
      <c r="A4626" s="1">
        <v>45049</v>
      </c>
      <c r="B4626" s="2" t="s">
        <v>827</v>
      </c>
      <c r="C4626" s="2" t="s">
        <v>47</v>
      </c>
      <c r="D4626" s="2" t="s">
        <v>10</v>
      </c>
      <c r="E4626" s="2" t="s">
        <v>14</v>
      </c>
      <c r="F4626" s="2">
        <v>6</v>
      </c>
      <c r="G4626" s="2">
        <v>2</v>
      </c>
      <c r="H4626" s="2">
        <v>2.1</v>
      </c>
      <c r="I4626" t="str">
        <f t="shared" si="72"/>
        <v>May</v>
      </c>
      <c r="J4626">
        <f>YEAR(datas[[#This Row],[Order Date]])</f>
        <v>2023</v>
      </c>
    </row>
    <row r="4627" spans="1:10" ht="14.25" customHeight="1" x14ac:dyDescent="0.3">
      <c r="A4627" s="1">
        <v>45051</v>
      </c>
      <c r="B4627" s="2" t="s">
        <v>42</v>
      </c>
      <c r="C4627" s="2" t="s">
        <v>25</v>
      </c>
      <c r="D4627" s="2" t="s">
        <v>10</v>
      </c>
      <c r="E4627" s="2" t="s">
        <v>11</v>
      </c>
      <c r="F4627" s="2">
        <v>79.14</v>
      </c>
      <c r="G4627" s="2">
        <v>3</v>
      </c>
      <c r="H4627" s="2">
        <v>36.4</v>
      </c>
      <c r="I4627" t="str">
        <f t="shared" si="72"/>
        <v>May</v>
      </c>
      <c r="J4627">
        <f>YEAR(datas[[#This Row],[Order Date]])</f>
        <v>2023</v>
      </c>
    </row>
    <row r="4628" spans="1:10" ht="14.25" customHeight="1" x14ac:dyDescent="0.3">
      <c r="A4628" s="1">
        <v>45051</v>
      </c>
      <c r="B4628" s="2" t="s">
        <v>292</v>
      </c>
      <c r="C4628" s="2" t="s">
        <v>62</v>
      </c>
      <c r="D4628" s="2" t="s">
        <v>10</v>
      </c>
      <c r="E4628" s="2" t="s">
        <v>11</v>
      </c>
      <c r="F4628" s="2">
        <v>14.35</v>
      </c>
      <c r="G4628" s="2">
        <v>3</v>
      </c>
      <c r="H4628" s="2">
        <v>5.2</v>
      </c>
      <c r="I4628" t="str">
        <f t="shared" si="72"/>
        <v>May</v>
      </c>
      <c r="J4628">
        <f>YEAR(datas[[#This Row],[Order Date]])</f>
        <v>2023</v>
      </c>
    </row>
    <row r="4629" spans="1:10" ht="14.25" customHeight="1" x14ac:dyDescent="0.3">
      <c r="A4629" s="1">
        <v>45051</v>
      </c>
      <c r="B4629" s="2" t="s">
        <v>500</v>
      </c>
      <c r="C4629" s="2" t="s">
        <v>21</v>
      </c>
      <c r="D4629" s="2" t="s">
        <v>10</v>
      </c>
      <c r="E4629" s="2" t="s">
        <v>15</v>
      </c>
      <c r="F4629" s="2">
        <v>5.98</v>
      </c>
      <c r="G4629" s="2">
        <v>1</v>
      </c>
      <c r="H4629" s="2">
        <v>1.02</v>
      </c>
      <c r="I4629" t="str">
        <f t="shared" si="72"/>
        <v>May</v>
      </c>
      <c r="J4629">
        <f>YEAR(datas[[#This Row],[Order Date]])</f>
        <v>2023</v>
      </c>
    </row>
    <row r="4630" spans="1:10" ht="14.25" customHeight="1" x14ac:dyDescent="0.3">
      <c r="A4630" s="1">
        <v>45051</v>
      </c>
      <c r="B4630" s="2" t="s">
        <v>500</v>
      </c>
      <c r="C4630" s="2" t="s">
        <v>21</v>
      </c>
      <c r="D4630" s="2" t="s">
        <v>28</v>
      </c>
      <c r="E4630" s="2" t="s">
        <v>29</v>
      </c>
      <c r="F4630" s="2">
        <v>246.17</v>
      </c>
      <c r="G4630" s="2">
        <v>3</v>
      </c>
      <c r="H4630" s="2">
        <v>21.54</v>
      </c>
      <c r="I4630" t="str">
        <f t="shared" si="72"/>
        <v>May</v>
      </c>
      <c r="J4630">
        <f>YEAR(datas[[#This Row],[Order Date]])</f>
        <v>2023</v>
      </c>
    </row>
    <row r="4631" spans="1:10" ht="14.25" customHeight="1" x14ac:dyDescent="0.3">
      <c r="A4631" s="1">
        <v>45051</v>
      </c>
      <c r="B4631" s="2" t="s">
        <v>477</v>
      </c>
      <c r="C4631" s="2" t="s">
        <v>21</v>
      </c>
      <c r="D4631" s="2" t="s">
        <v>10</v>
      </c>
      <c r="E4631" s="2" t="s">
        <v>16</v>
      </c>
      <c r="F4631" s="2">
        <v>6.72</v>
      </c>
      <c r="G4631" s="2">
        <v>5</v>
      </c>
      <c r="H4631" s="2">
        <v>2.35</v>
      </c>
      <c r="I4631" t="str">
        <f t="shared" si="72"/>
        <v>May</v>
      </c>
      <c r="J4631">
        <f>YEAR(datas[[#This Row],[Order Date]])</f>
        <v>2023</v>
      </c>
    </row>
    <row r="4632" spans="1:10" ht="14.25" customHeight="1" x14ac:dyDescent="0.3">
      <c r="A4632" s="1">
        <v>45051</v>
      </c>
      <c r="B4632" s="2" t="s">
        <v>477</v>
      </c>
      <c r="C4632" s="2" t="s">
        <v>21</v>
      </c>
      <c r="D4632" s="2" t="s">
        <v>26</v>
      </c>
      <c r="E4632" s="2" t="s">
        <v>73</v>
      </c>
      <c r="F4632" s="2">
        <v>298.77999999999997</v>
      </c>
      <c r="G4632" s="2">
        <v>3</v>
      </c>
      <c r="H4632" s="2">
        <v>7.47</v>
      </c>
      <c r="I4632" t="str">
        <f t="shared" si="72"/>
        <v>May</v>
      </c>
      <c r="J4632">
        <f>YEAR(datas[[#This Row],[Order Date]])</f>
        <v>2023</v>
      </c>
    </row>
    <row r="4633" spans="1:10" ht="14.25" customHeight="1" x14ac:dyDescent="0.3">
      <c r="A4633" s="1">
        <v>45051</v>
      </c>
      <c r="B4633" s="2" t="s">
        <v>438</v>
      </c>
      <c r="C4633" s="2" t="s">
        <v>62</v>
      </c>
      <c r="D4633" s="2" t="s">
        <v>26</v>
      </c>
      <c r="E4633" s="2" t="s">
        <v>32</v>
      </c>
      <c r="F4633" s="2">
        <v>16.72</v>
      </c>
      <c r="G4633" s="2">
        <v>5</v>
      </c>
      <c r="H4633" s="2">
        <v>3.34</v>
      </c>
      <c r="I4633" t="str">
        <f t="shared" si="72"/>
        <v>May</v>
      </c>
      <c r="J4633">
        <f>YEAR(datas[[#This Row],[Order Date]])</f>
        <v>2023</v>
      </c>
    </row>
    <row r="4634" spans="1:10" ht="14.25" customHeight="1" x14ac:dyDescent="0.3">
      <c r="A4634" s="1">
        <v>45051</v>
      </c>
      <c r="B4634" s="2" t="s">
        <v>668</v>
      </c>
      <c r="C4634" s="2" t="s">
        <v>21</v>
      </c>
      <c r="D4634" s="2" t="s">
        <v>26</v>
      </c>
      <c r="E4634" s="2" t="s">
        <v>73</v>
      </c>
      <c r="F4634" s="2">
        <v>71.09</v>
      </c>
      <c r="G4634" s="2">
        <v>2</v>
      </c>
      <c r="H4634" s="2">
        <v>-1.78</v>
      </c>
      <c r="I4634" t="str">
        <f t="shared" si="72"/>
        <v>May</v>
      </c>
      <c r="J4634">
        <f>YEAR(datas[[#This Row],[Order Date]])</f>
        <v>2023</v>
      </c>
    </row>
    <row r="4635" spans="1:10" ht="14.25" customHeight="1" x14ac:dyDescent="0.3">
      <c r="A4635" s="1">
        <v>45051</v>
      </c>
      <c r="B4635" s="2" t="s">
        <v>828</v>
      </c>
      <c r="C4635" s="2" t="s">
        <v>66</v>
      </c>
      <c r="D4635" s="2" t="s">
        <v>26</v>
      </c>
      <c r="E4635" s="2" t="s">
        <v>73</v>
      </c>
      <c r="F4635" s="2">
        <v>1685.88</v>
      </c>
      <c r="G4635" s="2">
        <v>6</v>
      </c>
      <c r="H4635" s="2">
        <v>320.32</v>
      </c>
      <c r="I4635" t="str">
        <f t="shared" si="72"/>
        <v>May</v>
      </c>
      <c r="J4635">
        <f>YEAR(datas[[#This Row],[Order Date]])</f>
        <v>2023</v>
      </c>
    </row>
    <row r="4636" spans="1:10" ht="14.25" customHeight="1" x14ac:dyDescent="0.3">
      <c r="A4636" s="1">
        <v>45051</v>
      </c>
      <c r="B4636" s="2" t="s">
        <v>828</v>
      </c>
      <c r="C4636" s="2" t="s">
        <v>66</v>
      </c>
      <c r="D4636" s="2" t="s">
        <v>10</v>
      </c>
      <c r="E4636" s="2" t="s">
        <v>16</v>
      </c>
      <c r="F4636" s="2">
        <v>5.73</v>
      </c>
      <c r="G4636" s="2">
        <v>2</v>
      </c>
      <c r="H4636" s="2">
        <v>2</v>
      </c>
      <c r="I4636" t="str">
        <f t="shared" si="72"/>
        <v>May</v>
      </c>
      <c r="J4636">
        <f>YEAR(datas[[#This Row],[Order Date]])</f>
        <v>2023</v>
      </c>
    </row>
    <row r="4637" spans="1:10" ht="14.25" customHeight="1" x14ac:dyDescent="0.3">
      <c r="A4637" s="1">
        <v>45051</v>
      </c>
      <c r="B4637" s="2" t="s">
        <v>135</v>
      </c>
      <c r="C4637" s="2" t="s">
        <v>64</v>
      </c>
      <c r="D4637" s="2" t="s">
        <v>10</v>
      </c>
      <c r="E4637" s="2" t="s">
        <v>11</v>
      </c>
      <c r="F4637" s="2">
        <v>93.25</v>
      </c>
      <c r="G4637" s="2">
        <v>4</v>
      </c>
      <c r="H4637" s="2">
        <v>31.47</v>
      </c>
      <c r="I4637" t="str">
        <f t="shared" si="72"/>
        <v>May</v>
      </c>
      <c r="J4637">
        <f>YEAR(datas[[#This Row],[Order Date]])</f>
        <v>2023</v>
      </c>
    </row>
    <row r="4638" spans="1:10" ht="14.25" customHeight="1" x14ac:dyDescent="0.3">
      <c r="A4638" s="1">
        <v>45051</v>
      </c>
      <c r="B4638" s="2" t="s">
        <v>135</v>
      </c>
      <c r="C4638" s="2" t="s">
        <v>64</v>
      </c>
      <c r="D4638" s="2" t="s">
        <v>28</v>
      </c>
      <c r="E4638" s="2" t="s">
        <v>29</v>
      </c>
      <c r="F4638" s="2">
        <v>177.48</v>
      </c>
      <c r="G4638" s="2">
        <v>3</v>
      </c>
      <c r="H4638" s="2">
        <v>19.97</v>
      </c>
      <c r="I4638" t="str">
        <f t="shared" si="72"/>
        <v>May</v>
      </c>
      <c r="J4638">
        <f>YEAR(datas[[#This Row],[Order Date]])</f>
        <v>2023</v>
      </c>
    </row>
    <row r="4639" spans="1:10" ht="14.25" customHeight="1" x14ac:dyDescent="0.3">
      <c r="A4639" s="1">
        <v>45052</v>
      </c>
      <c r="B4639" s="2" t="s">
        <v>744</v>
      </c>
      <c r="C4639" s="2" t="s">
        <v>47</v>
      </c>
      <c r="D4639" s="2" t="s">
        <v>10</v>
      </c>
      <c r="E4639" s="2" t="s">
        <v>30</v>
      </c>
      <c r="F4639" s="2">
        <v>7.22</v>
      </c>
      <c r="G4639" s="2">
        <v>2</v>
      </c>
      <c r="H4639" s="2">
        <v>1.71</v>
      </c>
      <c r="I4639" t="str">
        <f t="shared" si="72"/>
        <v>May</v>
      </c>
      <c r="J4639">
        <f>YEAR(datas[[#This Row],[Order Date]])</f>
        <v>2023</v>
      </c>
    </row>
    <row r="4640" spans="1:10" ht="14.25" customHeight="1" x14ac:dyDescent="0.3">
      <c r="A4640" s="1">
        <v>45052</v>
      </c>
      <c r="B4640" s="2" t="s">
        <v>744</v>
      </c>
      <c r="C4640" s="2" t="s">
        <v>47</v>
      </c>
      <c r="D4640" s="2" t="s">
        <v>10</v>
      </c>
      <c r="E4640" s="2" t="s">
        <v>11</v>
      </c>
      <c r="F4640" s="2">
        <v>49.57</v>
      </c>
      <c r="G4640" s="2">
        <v>2</v>
      </c>
      <c r="H4640" s="2">
        <v>15.49</v>
      </c>
      <c r="I4640" t="str">
        <f t="shared" si="72"/>
        <v>May</v>
      </c>
      <c r="J4640">
        <f>YEAR(datas[[#This Row],[Order Date]])</f>
        <v>2023</v>
      </c>
    </row>
    <row r="4641" spans="1:10" ht="14.25" customHeight="1" x14ac:dyDescent="0.3">
      <c r="A4641" s="1">
        <v>45052</v>
      </c>
      <c r="B4641" s="2" t="s">
        <v>744</v>
      </c>
      <c r="C4641" s="2" t="s">
        <v>47</v>
      </c>
      <c r="D4641" s="2" t="s">
        <v>26</v>
      </c>
      <c r="E4641" s="2" t="s">
        <v>32</v>
      </c>
      <c r="F4641" s="2">
        <v>54.71</v>
      </c>
      <c r="G4641" s="2">
        <v>7</v>
      </c>
      <c r="H4641" s="2">
        <v>11.63</v>
      </c>
      <c r="I4641" t="str">
        <f t="shared" si="72"/>
        <v>May</v>
      </c>
      <c r="J4641">
        <f>YEAR(datas[[#This Row],[Order Date]])</f>
        <v>2023</v>
      </c>
    </row>
    <row r="4642" spans="1:10" ht="14.25" customHeight="1" x14ac:dyDescent="0.3">
      <c r="A4642" s="1">
        <v>45052</v>
      </c>
      <c r="B4642" s="2" t="s">
        <v>795</v>
      </c>
      <c r="C4642" s="2" t="s">
        <v>13</v>
      </c>
      <c r="D4642" s="2" t="s">
        <v>10</v>
      </c>
      <c r="E4642" s="2" t="s">
        <v>16</v>
      </c>
      <c r="F4642" s="2">
        <v>3.21</v>
      </c>
      <c r="G4642" s="2">
        <v>2</v>
      </c>
      <c r="H4642" s="2">
        <v>-5.29</v>
      </c>
      <c r="I4642" t="str">
        <f t="shared" si="72"/>
        <v>May</v>
      </c>
      <c r="J4642">
        <f>YEAR(datas[[#This Row],[Order Date]])</f>
        <v>2023</v>
      </c>
    </row>
    <row r="4643" spans="1:10" ht="14.25" customHeight="1" x14ac:dyDescent="0.3">
      <c r="A4643" s="1">
        <v>45052</v>
      </c>
      <c r="B4643" s="2" t="s">
        <v>795</v>
      </c>
      <c r="C4643" s="2" t="s">
        <v>13</v>
      </c>
      <c r="D4643" s="2" t="s">
        <v>28</v>
      </c>
      <c r="E4643" s="2" t="s">
        <v>34</v>
      </c>
      <c r="F4643" s="2">
        <v>26.18</v>
      </c>
      <c r="G4643" s="2">
        <v>2</v>
      </c>
      <c r="H4643" s="2">
        <v>-3.27</v>
      </c>
      <c r="I4643" t="str">
        <f t="shared" si="72"/>
        <v>May</v>
      </c>
      <c r="J4643">
        <f>YEAR(datas[[#This Row],[Order Date]])</f>
        <v>2023</v>
      </c>
    </row>
    <row r="4644" spans="1:10" ht="14.25" customHeight="1" x14ac:dyDescent="0.3">
      <c r="A4644" s="1">
        <v>45052</v>
      </c>
      <c r="B4644" s="2" t="s">
        <v>744</v>
      </c>
      <c r="C4644" s="2" t="s">
        <v>91</v>
      </c>
      <c r="D4644" s="2" t="s">
        <v>10</v>
      </c>
      <c r="E4644" s="2" t="s">
        <v>53</v>
      </c>
      <c r="F4644" s="2">
        <v>54.48</v>
      </c>
      <c r="G4644" s="2">
        <v>1</v>
      </c>
      <c r="H4644" s="2">
        <v>15.25</v>
      </c>
      <c r="I4644" t="str">
        <f t="shared" si="72"/>
        <v>May</v>
      </c>
      <c r="J4644">
        <f>YEAR(datas[[#This Row],[Order Date]])</f>
        <v>2023</v>
      </c>
    </row>
    <row r="4645" spans="1:10" ht="14.25" customHeight="1" x14ac:dyDescent="0.3">
      <c r="A4645" s="1">
        <v>45052</v>
      </c>
      <c r="B4645" s="2" t="s">
        <v>414</v>
      </c>
      <c r="C4645" s="2" t="s">
        <v>21</v>
      </c>
      <c r="D4645" s="2" t="s">
        <v>26</v>
      </c>
      <c r="E4645" s="2" t="s">
        <v>32</v>
      </c>
      <c r="F4645" s="2">
        <v>41.6</v>
      </c>
      <c r="G4645" s="2">
        <v>4</v>
      </c>
      <c r="H4645" s="2">
        <v>14.14</v>
      </c>
      <c r="I4645" t="str">
        <f t="shared" si="72"/>
        <v>May</v>
      </c>
      <c r="J4645">
        <f>YEAR(datas[[#This Row],[Order Date]])</f>
        <v>2023</v>
      </c>
    </row>
    <row r="4646" spans="1:10" ht="14.25" customHeight="1" x14ac:dyDescent="0.3">
      <c r="A4646" s="1">
        <v>45053</v>
      </c>
      <c r="B4646" s="2" t="s">
        <v>814</v>
      </c>
      <c r="C4646" s="2" t="s">
        <v>75</v>
      </c>
      <c r="D4646" s="2" t="s">
        <v>10</v>
      </c>
      <c r="E4646" s="2" t="s">
        <v>16</v>
      </c>
      <c r="F4646" s="2">
        <v>85.23</v>
      </c>
      <c r="G4646" s="2">
        <v>7</v>
      </c>
      <c r="H4646" s="2">
        <v>30.9</v>
      </c>
      <c r="I4646" t="str">
        <f t="shared" si="72"/>
        <v>May</v>
      </c>
      <c r="J4646">
        <f>YEAR(datas[[#This Row],[Order Date]])</f>
        <v>2023</v>
      </c>
    </row>
    <row r="4647" spans="1:10" ht="14.25" customHeight="1" x14ac:dyDescent="0.3">
      <c r="A4647" s="1">
        <v>45053</v>
      </c>
      <c r="B4647" s="2" t="s">
        <v>814</v>
      </c>
      <c r="C4647" s="2" t="s">
        <v>75</v>
      </c>
      <c r="D4647" s="2" t="s">
        <v>10</v>
      </c>
      <c r="E4647" s="2" t="s">
        <v>14</v>
      </c>
      <c r="F4647" s="2">
        <v>44.4</v>
      </c>
      <c r="G4647" s="2">
        <v>3</v>
      </c>
      <c r="H4647" s="2">
        <v>22.2</v>
      </c>
      <c r="I4647" t="str">
        <f t="shared" si="72"/>
        <v>May</v>
      </c>
      <c r="J4647">
        <f>YEAR(datas[[#This Row],[Order Date]])</f>
        <v>2023</v>
      </c>
    </row>
    <row r="4648" spans="1:10" ht="14.25" customHeight="1" x14ac:dyDescent="0.3">
      <c r="A4648" s="1">
        <v>45053</v>
      </c>
      <c r="B4648" s="2" t="s">
        <v>814</v>
      </c>
      <c r="C4648" s="2" t="s">
        <v>75</v>
      </c>
      <c r="D4648" s="2" t="s">
        <v>26</v>
      </c>
      <c r="E4648" s="2" t="s">
        <v>27</v>
      </c>
      <c r="F4648" s="2">
        <v>442.76</v>
      </c>
      <c r="G4648" s="2">
        <v>4</v>
      </c>
      <c r="H4648" s="2">
        <v>59.04</v>
      </c>
      <c r="I4648" t="str">
        <f t="shared" si="72"/>
        <v>May</v>
      </c>
      <c r="J4648">
        <f>YEAR(datas[[#This Row],[Order Date]])</f>
        <v>2023</v>
      </c>
    </row>
    <row r="4649" spans="1:10" ht="14.25" customHeight="1" x14ac:dyDescent="0.3">
      <c r="A4649" s="1">
        <v>45053</v>
      </c>
      <c r="B4649" s="2" t="s">
        <v>814</v>
      </c>
      <c r="C4649" s="2" t="s">
        <v>75</v>
      </c>
      <c r="D4649" s="2" t="s">
        <v>28</v>
      </c>
      <c r="E4649" s="2" t="s">
        <v>136</v>
      </c>
      <c r="F4649" s="2">
        <v>3999.95</v>
      </c>
      <c r="G4649" s="2">
        <v>5</v>
      </c>
      <c r="H4649" s="2">
        <v>1159.99</v>
      </c>
      <c r="I4649" t="str">
        <f t="shared" si="72"/>
        <v>May</v>
      </c>
      <c r="J4649">
        <f>YEAR(datas[[#This Row],[Order Date]])</f>
        <v>2023</v>
      </c>
    </row>
    <row r="4650" spans="1:10" ht="14.25" customHeight="1" x14ac:dyDescent="0.3">
      <c r="A4650" s="1">
        <v>45053</v>
      </c>
      <c r="B4650" s="2" t="s">
        <v>814</v>
      </c>
      <c r="C4650" s="2" t="s">
        <v>75</v>
      </c>
      <c r="D4650" s="2" t="s">
        <v>28</v>
      </c>
      <c r="E4650" s="2" t="s">
        <v>34</v>
      </c>
      <c r="F4650" s="2">
        <v>199.95</v>
      </c>
      <c r="G4650" s="2">
        <v>5</v>
      </c>
      <c r="H4650" s="2">
        <v>21.99</v>
      </c>
      <c r="I4650" t="str">
        <f t="shared" si="72"/>
        <v>May</v>
      </c>
      <c r="J4650">
        <f>YEAR(datas[[#This Row],[Order Date]])</f>
        <v>2023</v>
      </c>
    </row>
    <row r="4651" spans="1:10" ht="14.25" customHeight="1" x14ac:dyDescent="0.3">
      <c r="A4651" s="1">
        <v>45053</v>
      </c>
      <c r="B4651" s="2" t="s">
        <v>814</v>
      </c>
      <c r="C4651" s="2" t="s">
        <v>75</v>
      </c>
      <c r="D4651" s="2" t="s">
        <v>26</v>
      </c>
      <c r="E4651" s="2" t="s">
        <v>32</v>
      </c>
      <c r="F4651" s="2">
        <v>63.68</v>
      </c>
      <c r="G4651" s="2">
        <v>8</v>
      </c>
      <c r="H4651" s="2">
        <v>28.02</v>
      </c>
      <c r="I4651" t="str">
        <f t="shared" si="72"/>
        <v>May</v>
      </c>
      <c r="J4651">
        <f>YEAR(datas[[#This Row],[Order Date]])</f>
        <v>2023</v>
      </c>
    </row>
    <row r="4652" spans="1:10" ht="14.25" customHeight="1" x14ac:dyDescent="0.3">
      <c r="A4652" s="1">
        <v>45054</v>
      </c>
      <c r="B4652" s="2" t="s">
        <v>233</v>
      </c>
      <c r="C4652" s="2" t="s">
        <v>38</v>
      </c>
      <c r="D4652" s="2" t="s">
        <v>26</v>
      </c>
      <c r="E4652" s="2" t="s">
        <v>32</v>
      </c>
      <c r="F4652" s="2">
        <v>211.96</v>
      </c>
      <c r="G4652" s="2">
        <v>2</v>
      </c>
      <c r="H4652" s="2">
        <v>42.39</v>
      </c>
      <c r="I4652" t="str">
        <f t="shared" si="72"/>
        <v>May</v>
      </c>
      <c r="J4652">
        <f>YEAR(datas[[#This Row],[Order Date]])</f>
        <v>2023</v>
      </c>
    </row>
    <row r="4653" spans="1:10" ht="14.25" customHeight="1" x14ac:dyDescent="0.3">
      <c r="A4653" s="1">
        <v>45054</v>
      </c>
      <c r="B4653" s="2" t="s">
        <v>120</v>
      </c>
      <c r="C4653" s="2" t="s">
        <v>47</v>
      </c>
      <c r="D4653" s="2" t="s">
        <v>10</v>
      </c>
      <c r="E4653" s="2" t="s">
        <v>15</v>
      </c>
      <c r="F4653" s="2">
        <v>1006.06</v>
      </c>
      <c r="G4653" s="2">
        <v>3</v>
      </c>
      <c r="H4653" s="2">
        <v>88.03</v>
      </c>
      <c r="I4653" t="str">
        <f t="shared" si="72"/>
        <v>May</v>
      </c>
      <c r="J4653">
        <f>YEAR(datas[[#This Row],[Order Date]])</f>
        <v>2023</v>
      </c>
    </row>
    <row r="4654" spans="1:10" ht="14.25" customHeight="1" x14ac:dyDescent="0.3">
      <c r="A4654" s="1">
        <v>45054</v>
      </c>
      <c r="B4654" s="2" t="s">
        <v>120</v>
      </c>
      <c r="C4654" s="2" t="s">
        <v>47</v>
      </c>
      <c r="D4654" s="2" t="s">
        <v>10</v>
      </c>
      <c r="E4654" s="2" t="s">
        <v>11</v>
      </c>
      <c r="F4654" s="2">
        <v>10.69</v>
      </c>
      <c r="G4654" s="2">
        <v>2</v>
      </c>
      <c r="H4654" s="2">
        <v>3.74</v>
      </c>
      <c r="I4654" t="str">
        <f t="shared" si="72"/>
        <v>May</v>
      </c>
      <c r="J4654">
        <f>YEAR(datas[[#This Row],[Order Date]])</f>
        <v>2023</v>
      </c>
    </row>
    <row r="4655" spans="1:10" ht="14.25" customHeight="1" x14ac:dyDescent="0.3">
      <c r="A4655" s="1">
        <v>45054</v>
      </c>
      <c r="B4655" s="2" t="s">
        <v>120</v>
      </c>
      <c r="C4655" s="2" t="s">
        <v>47</v>
      </c>
      <c r="D4655" s="2" t="s">
        <v>10</v>
      </c>
      <c r="E4655" s="2" t="s">
        <v>11</v>
      </c>
      <c r="F4655" s="2">
        <v>10.37</v>
      </c>
      <c r="G4655" s="2">
        <v>2</v>
      </c>
      <c r="H4655" s="2">
        <v>3.63</v>
      </c>
      <c r="I4655" t="str">
        <f t="shared" si="72"/>
        <v>May</v>
      </c>
      <c r="J4655">
        <f>YEAR(datas[[#This Row],[Order Date]])</f>
        <v>2023</v>
      </c>
    </row>
    <row r="4656" spans="1:10" ht="14.25" customHeight="1" x14ac:dyDescent="0.3">
      <c r="A4656" s="1">
        <v>45054</v>
      </c>
      <c r="B4656" s="2" t="s">
        <v>120</v>
      </c>
      <c r="C4656" s="2" t="s">
        <v>47</v>
      </c>
      <c r="D4656" s="2" t="s">
        <v>10</v>
      </c>
      <c r="E4656" s="2" t="s">
        <v>15</v>
      </c>
      <c r="F4656" s="2">
        <v>25.12</v>
      </c>
      <c r="G4656" s="2">
        <v>2</v>
      </c>
      <c r="H4656" s="2">
        <v>1.57</v>
      </c>
      <c r="I4656" t="str">
        <f t="shared" si="72"/>
        <v>May</v>
      </c>
      <c r="J4656">
        <f>YEAR(datas[[#This Row],[Order Date]])</f>
        <v>2023</v>
      </c>
    </row>
    <row r="4657" spans="1:10" ht="14.25" customHeight="1" x14ac:dyDescent="0.3">
      <c r="A4657" s="1">
        <v>45054</v>
      </c>
      <c r="B4657" s="2" t="s">
        <v>120</v>
      </c>
      <c r="C4657" s="2" t="s">
        <v>47</v>
      </c>
      <c r="D4657" s="2" t="s">
        <v>28</v>
      </c>
      <c r="E4657" s="2" t="s">
        <v>34</v>
      </c>
      <c r="F4657" s="2">
        <v>58.11</v>
      </c>
      <c r="G4657" s="2">
        <v>2</v>
      </c>
      <c r="H4657" s="2">
        <v>7.26</v>
      </c>
      <c r="I4657" t="str">
        <f t="shared" si="72"/>
        <v>May</v>
      </c>
      <c r="J4657">
        <f>YEAR(datas[[#This Row],[Order Date]])</f>
        <v>2023</v>
      </c>
    </row>
    <row r="4658" spans="1:10" ht="14.25" customHeight="1" x14ac:dyDescent="0.3">
      <c r="A4658" s="1">
        <v>45054</v>
      </c>
      <c r="B4658" s="2" t="s">
        <v>405</v>
      </c>
      <c r="C4658" s="2" t="s">
        <v>21</v>
      </c>
      <c r="D4658" s="2" t="s">
        <v>10</v>
      </c>
      <c r="E4658" s="2" t="s">
        <v>11</v>
      </c>
      <c r="F4658" s="2">
        <v>17.940000000000001</v>
      </c>
      <c r="G4658" s="2">
        <v>3</v>
      </c>
      <c r="H4658" s="2">
        <v>8.07</v>
      </c>
      <c r="I4658" t="str">
        <f t="shared" si="72"/>
        <v>May</v>
      </c>
      <c r="J4658">
        <f>YEAR(datas[[#This Row],[Order Date]])</f>
        <v>2023</v>
      </c>
    </row>
    <row r="4659" spans="1:10" ht="14.25" customHeight="1" x14ac:dyDescent="0.3">
      <c r="A4659" s="1">
        <v>45055</v>
      </c>
      <c r="B4659" s="2" t="s">
        <v>401</v>
      </c>
      <c r="C4659" s="2" t="s">
        <v>82</v>
      </c>
      <c r="D4659" s="2" t="s">
        <v>28</v>
      </c>
      <c r="E4659" s="2" t="s">
        <v>34</v>
      </c>
      <c r="F4659" s="2">
        <v>93.98</v>
      </c>
      <c r="G4659" s="2">
        <v>2</v>
      </c>
      <c r="H4659" s="2">
        <v>13.16</v>
      </c>
      <c r="I4659" t="str">
        <f t="shared" si="72"/>
        <v>May</v>
      </c>
      <c r="J4659">
        <f>YEAR(datas[[#This Row],[Order Date]])</f>
        <v>2023</v>
      </c>
    </row>
    <row r="4660" spans="1:10" ht="14.25" customHeight="1" x14ac:dyDescent="0.3">
      <c r="A4660" s="1">
        <v>45055</v>
      </c>
      <c r="B4660" s="2" t="s">
        <v>693</v>
      </c>
      <c r="C4660" s="2" t="s">
        <v>18</v>
      </c>
      <c r="D4660" s="2" t="s">
        <v>10</v>
      </c>
      <c r="E4660" s="2" t="s">
        <v>41</v>
      </c>
      <c r="F4660" s="2">
        <v>9.34</v>
      </c>
      <c r="G4660" s="2">
        <v>1</v>
      </c>
      <c r="H4660" s="2">
        <v>3.5</v>
      </c>
      <c r="I4660" t="str">
        <f t="shared" si="72"/>
        <v>May</v>
      </c>
      <c r="J4660">
        <f>YEAR(datas[[#This Row],[Order Date]])</f>
        <v>2023</v>
      </c>
    </row>
    <row r="4661" spans="1:10" ht="14.25" customHeight="1" x14ac:dyDescent="0.3">
      <c r="A4661" s="1">
        <v>45055</v>
      </c>
      <c r="B4661" s="2" t="s">
        <v>693</v>
      </c>
      <c r="C4661" s="2" t="s">
        <v>18</v>
      </c>
      <c r="D4661" s="2" t="s">
        <v>10</v>
      </c>
      <c r="E4661" s="2" t="s">
        <v>19</v>
      </c>
      <c r="F4661" s="2">
        <v>79.36</v>
      </c>
      <c r="G4661" s="2">
        <v>5</v>
      </c>
      <c r="H4661" s="2">
        <v>9.92</v>
      </c>
      <c r="I4661" t="str">
        <f t="shared" si="72"/>
        <v>May</v>
      </c>
      <c r="J4661">
        <f>YEAR(datas[[#This Row],[Order Date]])</f>
        <v>2023</v>
      </c>
    </row>
    <row r="4662" spans="1:10" ht="14.25" customHeight="1" x14ac:dyDescent="0.3">
      <c r="A4662" s="1">
        <v>45055</v>
      </c>
      <c r="B4662" s="2" t="s">
        <v>216</v>
      </c>
      <c r="C4662" s="2" t="s">
        <v>75</v>
      </c>
      <c r="D4662" s="2" t="s">
        <v>10</v>
      </c>
      <c r="E4662" s="2" t="s">
        <v>19</v>
      </c>
      <c r="F4662" s="2">
        <v>8</v>
      </c>
      <c r="G4662" s="2">
        <v>5</v>
      </c>
      <c r="H4662" s="2">
        <v>3.44</v>
      </c>
      <c r="I4662" t="str">
        <f t="shared" si="72"/>
        <v>May</v>
      </c>
      <c r="J4662">
        <f>YEAR(datas[[#This Row],[Order Date]])</f>
        <v>2023</v>
      </c>
    </row>
    <row r="4663" spans="1:10" ht="14.25" customHeight="1" x14ac:dyDescent="0.3">
      <c r="A4663" s="1">
        <v>45055</v>
      </c>
      <c r="B4663" s="2" t="s">
        <v>402</v>
      </c>
      <c r="C4663" s="2" t="s">
        <v>21</v>
      </c>
      <c r="D4663" s="2" t="s">
        <v>10</v>
      </c>
      <c r="E4663" s="2" t="s">
        <v>11</v>
      </c>
      <c r="F4663" s="2">
        <v>32.04</v>
      </c>
      <c r="G4663" s="2">
        <v>4</v>
      </c>
      <c r="H4663" s="2">
        <v>14.42</v>
      </c>
      <c r="I4663" t="str">
        <f t="shared" si="72"/>
        <v>May</v>
      </c>
      <c r="J4663">
        <f>YEAR(datas[[#This Row],[Order Date]])</f>
        <v>2023</v>
      </c>
    </row>
    <row r="4664" spans="1:10" ht="14.25" customHeight="1" x14ac:dyDescent="0.3">
      <c r="A4664" s="1">
        <v>45055</v>
      </c>
      <c r="B4664" s="2" t="s">
        <v>17</v>
      </c>
      <c r="C4664" s="2" t="s">
        <v>9</v>
      </c>
      <c r="D4664" s="2" t="s">
        <v>28</v>
      </c>
      <c r="E4664" s="2" t="s">
        <v>29</v>
      </c>
      <c r="F4664" s="2">
        <v>19.14</v>
      </c>
      <c r="G4664" s="2">
        <v>2</v>
      </c>
      <c r="H4664" s="2">
        <v>1.91</v>
      </c>
      <c r="I4664" t="str">
        <f t="shared" si="72"/>
        <v>May</v>
      </c>
      <c r="J4664">
        <f>YEAR(datas[[#This Row],[Order Date]])</f>
        <v>2023</v>
      </c>
    </row>
    <row r="4665" spans="1:10" ht="14.25" customHeight="1" x14ac:dyDescent="0.3">
      <c r="A4665" s="1">
        <v>45055</v>
      </c>
      <c r="B4665" s="2" t="s">
        <v>504</v>
      </c>
      <c r="C4665" s="2" t="s">
        <v>36</v>
      </c>
      <c r="D4665" s="2" t="s">
        <v>10</v>
      </c>
      <c r="E4665" s="2" t="s">
        <v>19</v>
      </c>
      <c r="F4665" s="2">
        <v>27.86</v>
      </c>
      <c r="G4665" s="2">
        <v>7</v>
      </c>
      <c r="H4665" s="2">
        <v>9.19</v>
      </c>
      <c r="I4665" t="str">
        <f t="shared" si="72"/>
        <v>May</v>
      </c>
      <c r="J4665">
        <f>YEAR(datas[[#This Row],[Order Date]])</f>
        <v>2023</v>
      </c>
    </row>
    <row r="4666" spans="1:10" ht="14.25" customHeight="1" x14ac:dyDescent="0.3">
      <c r="A4666" s="1">
        <v>45055</v>
      </c>
      <c r="B4666" s="2" t="s">
        <v>829</v>
      </c>
      <c r="C4666" s="2" t="s">
        <v>9</v>
      </c>
      <c r="D4666" s="2" t="s">
        <v>10</v>
      </c>
      <c r="E4666" s="2" t="s">
        <v>15</v>
      </c>
      <c r="F4666" s="2">
        <v>856.66</v>
      </c>
      <c r="G4666" s="2">
        <v>6</v>
      </c>
      <c r="H4666" s="2">
        <v>107.08</v>
      </c>
      <c r="I4666" t="str">
        <f t="shared" si="72"/>
        <v>May</v>
      </c>
      <c r="J4666">
        <f>YEAR(datas[[#This Row],[Order Date]])</f>
        <v>2023</v>
      </c>
    </row>
    <row r="4667" spans="1:10" ht="14.25" customHeight="1" x14ac:dyDescent="0.3">
      <c r="A4667" s="1">
        <v>45055</v>
      </c>
      <c r="B4667" s="2" t="s">
        <v>829</v>
      </c>
      <c r="C4667" s="2" t="s">
        <v>9</v>
      </c>
      <c r="D4667" s="2" t="s">
        <v>10</v>
      </c>
      <c r="E4667" s="2" t="s">
        <v>16</v>
      </c>
      <c r="F4667" s="2">
        <v>13.18</v>
      </c>
      <c r="G4667" s="2">
        <v>4</v>
      </c>
      <c r="H4667" s="2">
        <v>-20.440000000000001</v>
      </c>
      <c r="I4667" t="str">
        <f t="shared" si="72"/>
        <v>May</v>
      </c>
      <c r="J4667">
        <f>YEAR(datas[[#This Row],[Order Date]])</f>
        <v>2023</v>
      </c>
    </row>
    <row r="4668" spans="1:10" ht="14.25" customHeight="1" x14ac:dyDescent="0.3">
      <c r="A4668" s="1">
        <v>45055</v>
      </c>
      <c r="B4668" s="2" t="s">
        <v>829</v>
      </c>
      <c r="C4668" s="2" t="s">
        <v>9</v>
      </c>
      <c r="D4668" s="2" t="s">
        <v>10</v>
      </c>
      <c r="E4668" s="2" t="s">
        <v>53</v>
      </c>
      <c r="F4668" s="2">
        <v>48.78</v>
      </c>
      <c r="G4668" s="2">
        <v>4</v>
      </c>
      <c r="H4668" s="2">
        <v>-131.72</v>
      </c>
      <c r="I4668" t="str">
        <f t="shared" si="72"/>
        <v>May</v>
      </c>
      <c r="J4668">
        <f>YEAR(datas[[#This Row],[Order Date]])</f>
        <v>2023</v>
      </c>
    </row>
    <row r="4669" spans="1:10" ht="14.25" customHeight="1" x14ac:dyDescent="0.3">
      <c r="A4669" s="1">
        <v>45055</v>
      </c>
      <c r="B4669" s="2" t="s">
        <v>829</v>
      </c>
      <c r="C4669" s="2" t="s">
        <v>9</v>
      </c>
      <c r="D4669" s="2" t="s">
        <v>10</v>
      </c>
      <c r="E4669" s="2" t="s">
        <v>11</v>
      </c>
      <c r="F4669" s="2">
        <v>76.64</v>
      </c>
      <c r="G4669" s="2">
        <v>2</v>
      </c>
      <c r="H4669" s="2">
        <v>26.82</v>
      </c>
      <c r="I4669" t="str">
        <f t="shared" si="72"/>
        <v>May</v>
      </c>
      <c r="J4669">
        <f>YEAR(datas[[#This Row],[Order Date]])</f>
        <v>2023</v>
      </c>
    </row>
    <row r="4670" spans="1:10" ht="14.25" customHeight="1" x14ac:dyDescent="0.3">
      <c r="A4670" s="1">
        <v>45055</v>
      </c>
      <c r="B4670" s="2" t="s">
        <v>829</v>
      </c>
      <c r="C4670" s="2" t="s">
        <v>9</v>
      </c>
      <c r="D4670" s="2" t="s">
        <v>10</v>
      </c>
      <c r="E4670" s="2" t="s">
        <v>16</v>
      </c>
      <c r="F4670" s="2">
        <v>18.53</v>
      </c>
      <c r="G4670" s="2">
        <v>6</v>
      </c>
      <c r="H4670" s="2">
        <v>-27.79</v>
      </c>
      <c r="I4670" t="str">
        <f t="shared" si="72"/>
        <v>May</v>
      </c>
      <c r="J4670">
        <f>YEAR(datas[[#This Row],[Order Date]])</f>
        <v>2023</v>
      </c>
    </row>
    <row r="4671" spans="1:10" ht="14.25" customHeight="1" x14ac:dyDescent="0.3">
      <c r="A4671" s="1">
        <v>45056</v>
      </c>
      <c r="B4671" s="2" t="s">
        <v>378</v>
      </c>
      <c r="C4671" s="2" t="s">
        <v>82</v>
      </c>
      <c r="D4671" s="2" t="s">
        <v>10</v>
      </c>
      <c r="E4671" s="2" t="s">
        <v>11</v>
      </c>
      <c r="F4671" s="2">
        <v>11.96</v>
      </c>
      <c r="G4671" s="2">
        <v>2</v>
      </c>
      <c r="H4671" s="2">
        <v>5.86</v>
      </c>
      <c r="I4671" t="str">
        <f t="shared" si="72"/>
        <v>May</v>
      </c>
      <c r="J4671">
        <f>YEAR(datas[[#This Row],[Order Date]])</f>
        <v>2023</v>
      </c>
    </row>
    <row r="4672" spans="1:10" ht="14.25" customHeight="1" x14ac:dyDescent="0.3">
      <c r="A4672" s="1">
        <v>45056</v>
      </c>
      <c r="B4672" s="2" t="s">
        <v>502</v>
      </c>
      <c r="C4672" s="2" t="s">
        <v>18</v>
      </c>
      <c r="D4672" s="2" t="s">
        <v>28</v>
      </c>
      <c r="E4672" s="2" t="s">
        <v>29</v>
      </c>
      <c r="F4672" s="2">
        <v>743.99</v>
      </c>
      <c r="G4672" s="2">
        <v>2</v>
      </c>
      <c r="H4672" s="2">
        <v>-124</v>
      </c>
      <c r="I4672" t="str">
        <f t="shared" si="72"/>
        <v>May</v>
      </c>
      <c r="J4672">
        <f>YEAR(datas[[#This Row],[Order Date]])</f>
        <v>2023</v>
      </c>
    </row>
    <row r="4673" spans="1:10" ht="14.25" customHeight="1" x14ac:dyDescent="0.3">
      <c r="A4673" s="1">
        <v>45056</v>
      </c>
      <c r="B4673" s="2" t="s">
        <v>414</v>
      </c>
      <c r="C4673" s="2" t="s">
        <v>13</v>
      </c>
      <c r="D4673" s="2" t="s">
        <v>10</v>
      </c>
      <c r="E4673" s="2" t="s">
        <v>41</v>
      </c>
      <c r="F4673" s="2">
        <v>7.07</v>
      </c>
      <c r="G4673" s="2">
        <v>2</v>
      </c>
      <c r="H4673" s="2">
        <v>2.39</v>
      </c>
      <c r="I4673" t="str">
        <f t="shared" si="72"/>
        <v>May</v>
      </c>
      <c r="J4673">
        <f>YEAR(datas[[#This Row],[Order Date]])</f>
        <v>2023</v>
      </c>
    </row>
    <row r="4674" spans="1:10" ht="14.25" customHeight="1" x14ac:dyDescent="0.3">
      <c r="A4674" s="1">
        <v>45057</v>
      </c>
      <c r="B4674" s="2" t="s">
        <v>273</v>
      </c>
      <c r="C4674" s="2" t="s">
        <v>21</v>
      </c>
      <c r="D4674" s="2" t="s">
        <v>10</v>
      </c>
      <c r="E4674" s="2" t="s">
        <v>11</v>
      </c>
      <c r="F4674" s="2">
        <v>5.98</v>
      </c>
      <c r="G4674" s="2">
        <v>1</v>
      </c>
      <c r="H4674" s="2">
        <v>2.69</v>
      </c>
      <c r="I4674" t="str">
        <f t="shared" si="72"/>
        <v>May</v>
      </c>
      <c r="J4674">
        <f>YEAR(datas[[#This Row],[Order Date]])</f>
        <v>2023</v>
      </c>
    </row>
    <row r="4675" spans="1:10" ht="14.25" customHeight="1" x14ac:dyDescent="0.3">
      <c r="A4675" s="1">
        <v>45058</v>
      </c>
      <c r="B4675" s="2" t="s">
        <v>493</v>
      </c>
      <c r="C4675" s="2" t="s">
        <v>36</v>
      </c>
      <c r="D4675" s="2" t="s">
        <v>10</v>
      </c>
      <c r="E4675" s="2" t="s">
        <v>19</v>
      </c>
      <c r="F4675" s="2">
        <v>10.96</v>
      </c>
      <c r="G4675" s="2">
        <v>4</v>
      </c>
      <c r="H4675" s="2">
        <v>2.96</v>
      </c>
      <c r="I4675" t="str">
        <f t="shared" ref="I4675:I4738" si="73">TEXT(A4675,"mmm")</f>
        <v>May</v>
      </c>
      <c r="J4675">
        <f>YEAR(datas[[#This Row],[Order Date]])</f>
        <v>2023</v>
      </c>
    </row>
    <row r="4676" spans="1:10" ht="14.25" customHeight="1" x14ac:dyDescent="0.3">
      <c r="A4676" s="1">
        <v>45058</v>
      </c>
      <c r="B4676" s="2" t="s">
        <v>129</v>
      </c>
      <c r="C4676" s="2" t="s">
        <v>18</v>
      </c>
      <c r="D4676" s="2" t="s">
        <v>10</v>
      </c>
      <c r="E4676" s="2" t="s">
        <v>15</v>
      </c>
      <c r="F4676" s="2">
        <v>82.37</v>
      </c>
      <c r="G4676" s="2">
        <v>2</v>
      </c>
      <c r="H4676" s="2">
        <v>-19.559999999999999</v>
      </c>
      <c r="I4676" t="str">
        <f t="shared" si="73"/>
        <v>May</v>
      </c>
      <c r="J4676">
        <f>YEAR(datas[[#This Row],[Order Date]])</f>
        <v>2023</v>
      </c>
    </row>
    <row r="4677" spans="1:10" ht="14.25" customHeight="1" x14ac:dyDescent="0.3">
      <c r="A4677" s="1">
        <v>45058</v>
      </c>
      <c r="B4677" s="2" t="s">
        <v>821</v>
      </c>
      <c r="C4677" s="2" t="s">
        <v>82</v>
      </c>
      <c r="D4677" s="2" t="s">
        <v>10</v>
      </c>
      <c r="E4677" s="2" t="s">
        <v>41</v>
      </c>
      <c r="F4677" s="2">
        <v>54.9</v>
      </c>
      <c r="G4677" s="2">
        <v>5</v>
      </c>
      <c r="H4677" s="2">
        <v>26.9</v>
      </c>
      <c r="I4677" t="str">
        <f t="shared" si="73"/>
        <v>May</v>
      </c>
      <c r="J4677">
        <f>YEAR(datas[[#This Row],[Order Date]])</f>
        <v>2023</v>
      </c>
    </row>
    <row r="4678" spans="1:10" ht="14.25" customHeight="1" x14ac:dyDescent="0.3">
      <c r="A4678" s="1">
        <v>45058</v>
      </c>
      <c r="B4678" s="2" t="s">
        <v>380</v>
      </c>
      <c r="C4678" s="2" t="s">
        <v>75</v>
      </c>
      <c r="D4678" s="2" t="s">
        <v>26</v>
      </c>
      <c r="E4678" s="2" t="s">
        <v>32</v>
      </c>
      <c r="F4678" s="2">
        <v>10.02</v>
      </c>
      <c r="G4678" s="2">
        <v>3</v>
      </c>
      <c r="H4678" s="2">
        <v>4.41</v>
      </c>
      <c r="I4678" t="str">
        <f t="shared" si="73"/>
        <v>May</v>
      </c>
      <c r="J4678">
        <f>YEAR(datas[[#This Row],[Order Date]])</f>
        <v>2023</v>
      </c>
    </row>
    <row r="4679" spans="1:10" ht="14.25" customHeight="1" x14ac:dyDescent="0.3">
      <c r="A4679" s="1">
        <v>45058</v>
      </c>
      <c r="B4679" s="2" t="s">
        <v>380</v>
      </c>
      <c r="C4679" s="2" t="s">
        <v>75</v>
      </c>
      <c r="D4679" s="2" t="s">
        <v>28</v>
      </c>
      <c r="E4679" s="2" t="s">
        <v>29</v>
      </c>
      <c r="F4679" s="2">
        <v>631.96</v>
      </c>
      <c r="G4679" s="2">
        <v>4</v>
      </c>
      <c r="H4679" s="2">
        <v>303.33999999999997</v>
      </c>
      <c r="I4679" t="str">
        <f t="shared" si="73"/>
        <v>May</v>
      </c>
      <c r="J4679">
        <f>YEAR(datas[[#This Row],[Order Date]])</f>
        <v>2023</v>
      </c>
    </row>
    <row r="4680" spans="1:10" ht="14.25" customHeight="1" x14ac:dyDescent="0.3">
      <c r="A4680" s="1">
        <v>45058</v>
      </c>
      <c r="B4680" s="2" t="s">
        <v>155</v>
      </c>
      <c r="C4680" s="2" t="s">
        <v>21</v>
      </c>
      <c r="D4680" s="2" t="s">
        <v>28</v>
      </c>
      <c r="E4680" s="2" t="s">
        <v>34</v>
      </c>
      <c r="F4680" s="2">
        <v>120</v>
      </c>
      <c r="G4680" s="2">
        <v>6</v>
      </c>
      <c r="H4680" s="2">
        <v>46.8</v>
      </c>
      <c r="I4680" t="str">
        <f t="shared" si="73"/>
        <v>May</v>
      </c>
      <c r="J4680">
        <f>YEAR(datas[[#This Row],[Order Date]])</f>
        <v>2023</v>
      </c>
    </row>
    <row r="4681" spans="1:10" ht="14.25" customHeight="1" x14ac:dyDescent="0.3">
      <c r="A4681" s="1">
        <v>45058</v>
      </c>
      <c r="B4681" s="2" t="s">
        <v>155</v>
      </c>
      <c r="C4681" s="2" t="s">
        <v>21</v>
      </c>
      <c r="D4681" s="2" t="s">
        <v>10</v>
      </c>
      <c r="E4681" s="2" t="s">
        <v>53</v>
      </c>
      <c r="F4681" s="2">
        <v>8.67</v>
      </c>
      <c r="G4681" s="2">
        <v>1</v>
      </c>
      <c r="H4681" s="2">
        <v>2.34</v>
      </c>
      <c r="I4681" t="str">
        <f t="shared" si="73"/>
        <v>May</v>
      </c>
      <c r="J4681">
        <f>YEAR(datas[[#This Row],[Order Date]])</f>
        <v>2023</v>
      </c>
    </row>
    <row r="4682" spans="1:10" ht="14.25" customHeight="1" x14ac:dyDescent="0.3">
      <c r="A4682" s="1">
        <v>45060</v>
      </c>
      <c r="B4682" s="2" t="s">
        <v>636</v>
      </c>
      <c r="C4682" s="2" t="s">
        <v>47</v>
      </c>
      <c r="D4682" s="2" t="s">
        <v>26</v>
      </c>
      <c r="E4682" s="2" t="s">
        <v>32</v>
      </c>
      <c r="F4682" s="2">
        <v>79.38</v>
      </c>
      <c r="G4682" s="2">
        <v>1</v>
      </c>
      <c r="H4682" s="2">
        <v>29.77</v>
      </c>
      <c r="I4682" t="str">
        <f t="shared" si="73"/>
        <v>May</v>
      </c>
      <c r="J4682">
        <f>YEAR(datas[[#This Row],[Order Date]])</f>
        <v>2023</v>
      </c>
    </row>
    <row r="4683" spans="1:10" ht="14.25" customHeight="1" x14ac:dyDescent="0.3">
      <c r="A4683" s="1">
        <v>45060</v>
      </c>
      <c r="B4683" s="2" t="s">
        <v>593</v>
      </c>
      <c r="C4683" s="2" t="s">
        <v>64</v>
      </c>
      <c r="D4683" s="2" t="s">
        <v>10</v>
      </c>
      <c r="E4683" s="2" t="s">
        <v>16</v>
      </c>
      <c r="F4683" s="2">
        <v>57.58</v>
      </c>
      <c r="G4683" s="2">
        <v>3</v>
      </c>
      <c r="H4683" s="2">
        <v>-44.15</v>
      </c>
      <c r="I4683" t="str">
        <f t="shared" si="73"/>
        <v>May</v>
      </c>
      <c r="J4683">
        <f>YEAR(datas[[#This Row],[Order Date]])</f>
        <v>2023</v>
      </c>
    </row>
    <row r="4684" spans="1:10" ht="14.25" customHeight="1" x14ac:dyDescent="0.3">
      <c r="A4684" s="1">
        <v>45060</v>
      </c>
      <c r="B4684" s="2" t="s">
        <v>593</v>
      </c>
      <c r="C4684" s="2" t="s">
        <v>64</v>
      </c>
      <c r="D4684" s="2" t="s">
        <v>10</v>
      </c>
      <c r="E4684" s="2" t="s">
        <v>11</v>
      </c>
      <c r="F4684" s="2">
        <v>31.1</v>
      </c>
      <c r="G4684" s="2">
        <v>6</v>
      </c>
      <c r="H4684" s="2">
        <v>10.89</v>
      </c>
      <c r="I4684" t="str">
        <f t="shared" si="73"/>
        <v>May</v>
      </c>
      <c r="J4684">
        <f>YEAR(datas[[#This Row],[Order Date]])</f>
        <v>2023</v>
      </c>
    </row>
    <row r="4685" spans="1:10" ht="14.25" customHeight="1" x14ac:dyDescent="0.3">
      <c r="A4685" s="1">
        <v>45060</v>
      </c>
      <c r="B4685" s="2" t="s">
        <v>593</v>
      </c>
      <c r="C4685" s="2" t="s">
        <v>64</v>
      </c>
      <c r="D4685" s="2" t="s">
        <v>26</v>
      </c>
      <c r="E4685" s="2" t="s">
        <v>32</v>
      </c>
      <c r="F4685" s="2">
        <v>30.19</v>
      </c>
      <c r="G4685" s="2">
        <v>3</v>
      </c>
      <c r="H4685" s="2">
        <v>8.3000000000000007</v>
      </c>
      <c r="I4685" t="str">
        <f t="shared" si="73"/>
        <v>May</v>
      </c>
      <c r="J4685">
        <f>YEAR(datas[[#This Row],[Order Date]])</f>
        <v>2023</v>
      </c>
    </row>
    <row r="4686" spans="1:10" ht="14.25" customHeight="1" x14ac:dyDescent="0.3">
      <c r="A4686" s="1">
        <v>45060</v>
      </c>
      <c r="B4686" s="2" t="s">
        <v>593</v>
      </c>
      <c r="C4686" s="2" t="s">
        <v>64</v>
      </c>
      <c r="D4686" s="2" t="s">
        <v>28</v>
      </c>
      <c r="E4686" s="2" t="s">
        <v>29</v>
      </c>
      <c r="F4686" s="2">
        <v>43.6</v>
      </c>
      <c r="G4686" s="2">
        <v>5</v>
      </c>
      <c r="H4686" s="2">
        <v>4.3600000000000003</v>
      </c>
      <c r="I4686" t="str">
        <f t="shared" si="73"/>
        <v>May</v>
      </c>
      <c r="J4686">
        <f>YEAR(datas[[#This Row],[Order Date]])</f>
        <v>2023</v>
      </c>
    </row>
    <row r="4687" spans="1:10" ht="14.25" customHeight="1" x14ac:dyDescent="0.3">
      <c r="A4687" s="1">
        <v>45060</v>
      </c>
      <c r="B4687" s="2" t="s">
        <v>593</v>
      </c>
      <c r="C4687" s="2" t="s">
        <v>64</v>
      </c>
      <c r="D4687" s="2" t="s">
        <v>10</v>
      </c>
      <c r="E4687" s="2" t="s">
        <v>19</v>
      </c>
      <c r="F4687" s="2">
        <v>4.7699999999999996</v>
      </c>
      <c r="G4687" s="2">
        <v>2</v>
      </c>
      <c r="H4687" s="2">
        <v>0.42</v>
      </c>
      <c r="I4687" t="str">
        <f t="shared" si="73"/>
        <v>May</v>
      </c>
      <c r="J4687">
        <f>YEAR(datas[[#This Row],[Order Date]])</f>
        <v>2023</v>
      </c>
    </row>
    <row r="4688" spans="1:10" ht="14.25" customHeight="1" x14ac:dyDescent="0.3">
      <c r="A4688" s="1">
        <v>45060</v>
      </c>
      <c r="B4688" s="2" t="s">
        <v>593</v>
      </c>
      <c r="C4688" s="2" t="s">
        <v>64</v>
      </c>
      <c r="D4688" s="2" t="s">
        <v>10</v>
      </c>
      <c r="E4688" s="2" t="s">
        <v>16</v>
      </c>
      <c r="F4688" s="2">
        <v>10.38</v>
      </c>
      <c r="G4688" s="2">
        <v>2</v>
      </c>
      <c r="H4688" s="2">
        <v>-7.61</v>
      </c>
      <c r="I4688" t="str">
        <f t="shared" si="73"/>
        <v>May</v>
      </c>
      <c r="J4688">
        <f>YEAR(datas[[#This Row],[Order Date]])</f>
        <v>2023</v>
      </c>
    </row>
    <row r="4689" spans="1:10" ht="14.25" customHeight="1" x14ac:dyDescent="0.3">
      <c r="A4689" s="1">
        <v>45060</v>
      </c>
      <c r="B4689" s="2" t="s">
        <v>593</v>
      </c>
      <c r="C4689" s="2" t="s">
        <v>64</v>
      </c>
      <c r="D4689" s="2" t="s">
        <v>10</v>
      </c>
      <c r="E4689" s="2" t="s">
        <v>16</v>
      </c>
      <c r="F4689" s="2">
        <v>13.39</v>
      </c>
      <c r="G4689" s="2">
        <v>8</v>
      </c>
      <c r="H4689" s="2">
        <v>-9.82</v>
      </c>
      <c r="I4689" t="str">
        <f t="shared" si="73"/>
        <v>May</v>
      </c>
      <c r="J4689">
        <f>YEAR(datas[[#This Row],[Order Date]])</f>
        <v>2023</v>
      </c>
    </row>
    <row r="4690" spans="1:10" ht="14.25" customHeight="1" x14ac:dyDescent="0.3">
      <c r="A4690" s="1">
        <v>45060</v>
      </c>
      <c r="B4690" s="2" t="s">
        <v>567</v>
      </c>
      <c r="C4690" s="2" t="s">
        <v>55</v>
      </c>
      <c r="D4690" s="2" t="s">
        <v>28</v>
      </c>
      <c r="E4690" s="2" t="s">
        <v>34</v>
      </c>
      <c r="F4690" s="2">
        <v>185.53</v>
      </c>
      <c r="G4690" s="2">
        <v>7</v>
      </c>
      <c r="H4690" s="2">
        <v>48.7</v>
      </c>
      <c r="I4690" t="str">
        <f t="shared" si="73"/>
        <v>May</v>
      </c>
      <c r="J4690">
        <f>YEAR(datas[[#This Row],[Order Date]])</f>
        <v>2023</v>
      </c>
    </row>
    <row r="4691" spans="1:10" ht="14.25" customHeight="1" x14ac:dyDescent="0.3">
      <c r="A4691" s="1">
        <v>45061</v>
      </c>
      <c r="B4691" s="2" t="s">
        <v>254</v>
      </c>
      <c r="C4691" s="2" t="s">
        <v>143</v>
      </c>
      <c r="D4691" s="2" t="s">
        <v>10</v>
      </c>
      <c r="E4691" s="2" t="s">
        <v>16</v>
      </c>
      <c r="F4691" s="2">
        <v>511.84</v>
      </c>
      <c r="G4691" s="2">
        <v>8</v>
      </c>
      <c r="H4691" s="2">
        <v>240.56</v>
      </c>
      <c r="I4691" t="str">
        <f t="shared" si="73"/>
        <v>May</v>
      </c>
      <c r="J4691">
        <f>YEAR(datas[[#This Row],[Order Date]])</f>
        <v>2023</v>
      </c>
    </row>
    <row r="4692" spans="1:10" ht="14.25" customHeight="1" x14ac:dyDescent="0.3">
      <c r="A4692" s="1">
        <v>45061</v>
      </c>
      <c r="B4692" s="2" t="s">
        <v>254</v>
      </c>
      <c r="C4692" s="2" t="s">
        <v>143</v>
      </c>
      <c r="D4692" s="2" t="s">
        <v>10</v>
      </c>
      <c r="E4692" s="2" t="s">
        <v>19</v>
      </c>
      <c r="F4692" s="2">
        <v>91.96</v>
      </c>
      <c r="G4692" s="2">
        <v>4</v>
      </c>
      <c r="H4692" s="2">
        <v>25.75</v>
      </c>
      <c r="I4692" t="str">
        <f t="shared" si="73"/>
        <v>May</v>
      </c>
      <c r="J4692">
        <f>YEAR(datas[[#This Row],[Order Date]])</f>
        <v>2023</v>
      </c>
    </row>
    <row r="4693" spans="1:10" ht="14.25" customHeight="1" x14ac:dyDescent="0.3">
      <c r="A4693" s="1">
        <v>45061</v>
      </c>
      <c r="B4693" s="2" t="s">
        <v>254</v>
      </c>
      <c r="C4693" s="2" t="s">
        <v>143</v>
      </c>
      <c r="D4693" s="2" t="s">
        <v>10</v>
      </c>
      <c r="E4693" s="2" t="s">
        <v>19</v>
      </c>
      <c r="F4693" s="2">
        <v>8.34</v>
      </c>
      <c r="G4693" s="2">
        <v>3</v>
      </c>
      <c r="H4693" s="2">
        <v>2.17</v>
      </c>
      <c r="I4693" t="str">
        <f t="shared" si="73"/>
        <v>May</v>
      </c>
      <c r="J4693">
        <f>YEAR(datas[[#This Row],[Order Date]])</f>
        <v>2023</v>
      </c>
    </row>
    <row r="4694" spans="1:10" ht="14.25" customHeight="1" x14ac:dyDescent="0.3">
      <c r="A4694" s="1">
        <v>45061</v>
      </c>
      <c r="B4694" s="2" t="s">
        <v>497</v>
      </c>
      <c r="C4694" s="2" t="s">
        <v>75</v>
      </c>
      <c r="D4694" s="2" t="s">
        <v>10</v>
      </c>
      <c r="E4694" s="2" t="s">
        <v>16</v>
      </c>
      <c r="F4694" s="2">
        <v>13.78</v>
      </c>
      <c r="G4694" s="2">
        <v>3</v>
      </c>
      <c r="H4694" s="2">
        <v>4.4800000000000004</v>
      </c>
      <c r="I4694" t="str">
        <f t="shared" si="73"/>
        <v>May</v>
      </c>
      <c r="J4694">
        <f>YEAR(datas[[#This Row],[Order Date]])</f>
        <v>2023</v>
      </c>
    </row>
    <row r="4695" spans="1:10" ht="14.25" customHeight="1" x14ac:dyDescent="0.3">
      <c r="A4695" s="1">
        <v>45061</v>
      </c>
      <c r="B4695" s="2" t="s">
        <v>8</v>
      </c>
      <c r="C4695" s="2" t="s">
        <v>64</v>
      </c>
      <c r="D4695" s="2" t="s">
        <v>10</v>
      </c>
      <c r="E4695" s="2" t="s">
        <v>16</v>
      </c>
      <c r="F4695" s="2">
        <v>7.76</v>
      </c>
      <c r="G4695" s="2">
        <v>4</v>
      </c>
      <c r="H4695" s="2">
        <v>-5.18</v>
      </c>
      <c r="I4695" t="str">
        <f t="shared" si="73"/>
        <v>May</v>
      </c>
      <c r="J4695">
        <f>YEAR(datas[[#This Row],[Order Date]])</f>
        <v>2023</v>
      </c>
    </row>
    <row r="4696" spans="1:10" ht="14.25" customHeight="1" x14ac:dyDescent="0.3">
      <c r="A4696" s="1">
        <v>45061</v>
      </c>
      <c r="B4696" s="2" t="s">
        <v>97</v>
      </c>
      <c r="C4696" s="2" t="s">
        <v>47</v>
      </c>
      <c r="D4696" s="2" t="s">
        <v>10</v>
      </c>
      <c r="E4696" s="2" t="s">
        <v>11</v>
      </c>
      <c r="F4696" s="2">
        <v>15.23</v>
      </c>
      <c r="G4696" s="2">
        <v>4</v>
      </c>
      <c r="H4696" s="2">
        <v>5.52</v>
      </c>
      <c r="I4696" t="str">
        <f t="shared" si="73"/>
        <v>May</v>
      </c>
      <c r="J4696">
        <f>YEAR(datas[[#This Row],[Order Date]])</f>
        <v>2023</v>
      </c>
    </row>
    <row r="4697" spans="1:10" ht="14.25" customHeight="1" x14ac:dyDescent="0.3">
      <c r="A4697" s="1">
        <v>45062</v>
      </c>
      <c r="B4697" s="2" t="s">
        <v>802</v>
      </c>
      <c r="C4697" s="2" t="s">
        <v>248</v>
      </c>
      <c r="D4697" s="2" t="s">
        <v>10</v>
      </c>
      <c r="E4697" s="2" t="s">
        <v>15</v>
      </c>
      <c r="F4697" s="2">
        <v>552.55999999999995</v>
      </c>
      <c r="G4697" s="2">
        <v>4</v>
      </c>
      <c r="H4697" s="2">
        <v>0</v>
      </c>
      <c r="I4697" t="str">
        <f t="shared" si="73"/>
        <v>May</v>
      </c>
      <c r="J4697">
        <f>YEAR(datas[[#This Row],[Order Date]])</f>
        <v>2023</v>
      </c>
    </row>
    <row r="4698" spans="1:10" ht="14.25" customHeight="1" x14ac:dyDescent="0.3">
      <c r="A4698" s="1">
        <v>45062</v>
      </c>
      <c r="B4698" s="2" t="s">
        <v>516</v>
      </c>
      <c r="C4698" s="2" t="s">
        <v>21</v>
      </c>
      <c r="D4698" s="2" t="s">
        <v>10</v>
      </c>
      <c r="E4698" s="2" t="s">
        <v>11</v>
      </c>
      <c r="F4698" s="2">
        <v>17.34</v>
      </c>
      <c r="G4698" s="2">
        <v>3</v>
      </c>
      <c r="H4698" s="2">
        <v>8.5</v>
      </c>
      <c r="I4698" t="str">
        <f t="shared" si="73"/>
        <v>May</v>
      </c>
      <c r="J4698">
        <f>YEAR(datas[[#This Row],[Order Date]])</f>
        <v>2023</v>
      </c>
    </row>
    <row r="4699" spans="1:10" ht="14.25" customHeight="1" x14ac:dyDescent="0.3">
      <c r="A4699" s="1">
        <v>45062</v>
      </c>
      <c r="B4699" s="2" t="s">
        <v>92</v>
      </c>
      <c r="C4699" s="2" t="s">
        <v>21</v>
      </c>
      <c r="D4699" s="2" t="s">
        <v>26</v>
      </c>
      <c r="E4699" s="2" t="s">
        <v>32</v>
      </c>
      <c r="F4699" s="2">
        <v>282.83999999999997</v>
      </c>
      <c r="G4699" s="2">
        <v>4</v>
      </c>
      <c r="H4699" s="2">
        <v>19.8</v>
      </c>
      <c r="I4699" t="str">
        <f t="shared" si="73"/>
        <v>May</v>
      </c>
      <c r="J4699">
        <f>YEAR(datas[[#This Row],[Order Date]])</f>
        <v>2023</v>
      </c>
    </row>
    <row r="4700" spans="1:10" ht="14.25" customHeight="1" x14ac:dyDescent="0.3">
      <c r="A4700" s="1">
        <v>45062</v>
      </c>
      <c r="B4700" s="2" t="s">
        <v>92</v>
      </c>
      <c r="C4700" s="2" t="s">
        <v>21</v>
      </c>
      <c r="D4700" s="2" t="s">
        <v>10</v>
      </c>
      <c r="E4700" s="2" t="s">
        <v>14</v>
      </c>
      <c r="F4700" s="2">
        <v>27.72</v>
      </c>
      <c r="G4700" s="2">
        <v>9</v>
      </c>
      <c r="H4700" s="2">
        <v>13.31</v>
      </c>
      <c r="I4700" t="str">
        <f t="shared" si="73"/>
        <v>May</v>
      </c>
      <c r="J4700">
        <f>YEAR(datas[[#This Row],[Order Date]])</f>
        <v>2023</v>
      </c>
    </row>
    <row r="4701" spans="1:10" ht="14.25" customHeight="1" x14ac:dyDescent="0.3">
      <c r="A4701" s="1">
        <v>45063</v>
      </c>
      <c r="B4701" s="2" t="s">
        <v>192</v>
      </c>
      <c r="C4701" s="2" t="s">
        <v>64</v>
      </c>
      <c r="D4701" s="2" t="s">
        <v>10</v>
      </c>
      <c r="E4701" s="2" t="s">
        <v>16</v>
      </c>
      <c r="F4701" s="2">
        <v>2.95</v>
      </c>
      <c r="G4701" s="2">
        <v>2</v>
      </c>
      <c r="H4701" s="2">
        <v>-2.16</v>
      </c>
      <c r="I4701" t="str">
        <f t="shared" si="73"/>
        <v>May</v>
      </c>
      <c r="J4701">
        <f>YEAR(datas[[#This Row],[Order Date]])</f>
        <v>2023</v>
      </c>
    </row>
    <row r="4702" spans="1:10" ht="14.25" customHeight="1" x14ac:dyDescent="0.3">
      <c r="A4702" s="1">
        <v>45063</v>
      </c>
      <c r="B4702" s="2" t="s">
        <v>192</v>
      </c>
      <c r="C4702" s="2" t="s">
        <v>64</v>
      </c>
      <c r="D4702" s="2" t="s">
        <v>10</v>
      </c>
      <c r="E4702" s="2" t="s">
        <v>16</v>
      </c>
      <c r="F4702" s="2">
        <v>27.02</v>
      </c>
      <c r="G4702" s="2">
        <v>6</v>
      </c>
      <c r="H4702" s="2">
        <v>-21.61</v>
      </c>
      <c r="I4702" t="str">
        <f t="shared" si="73"/>
        <v>May</v>
      </c>
      <c r="J4702">
        <f>YEAR(datas[[#This Row],[Order Date]])</f>
        <v>2023</v>
      </c>
    </row>
    <row r="4703" spans="1:10" ht="14.25" customHeight="1" x14ac:dyDescent="0.3">
      <c r="A4703" s="1">
        <v>45063</v>
      </c>
      <c r="B4703" s="2" t="s">
        <v>385</v>
      </c>
      <c r="C4703" s="2" t="s">
        <v>248</v>
      </c>
      <c r="D4703" s="2" t="s">
        <v>10</v>
      </c>
      <c r="E4703" s="2" t="s">
        <v>95</v>
      </c>
      <c r="F4703" s="2">
        <v>65.17</v>
      </c>
      <c r="G4703" s="2">
        <v>7</v>
      </c>
      <c r="H4703" s="2">
        <v>18.899999999999999</v>
      </c>
      <c r="I4703" t="str">
        <f t="shared" si="73"/>
        <v>May</v>
      </c>
      <c r="J4703">
        <f>YEAR(datas[[#This Row],[Order Date]])</f>
        <v>2023</v>
      </c>
    </row>
    <row r="4704" spans="1:10" ht="14.25" customHeight="1" x14ac:dyDescent="0.3">
      <c r="A4704" s="1">
        <v>45063</v>
      </c>
      <c r="B4704" s="2" t="s">
        <v>385</v>
      </c>
      <c r="C4704" s="2" t="s">
        <v>248</v>
      </c>
      <c r="D4704" s="2" t="s">
        <v>10</v>
      </c>
      <c r="E4704" s="2" t="s">
        <v>14</v>
      </c>
      <c r="F4704" s="2">
        <v>14.62</v>
      </c>
      <c r="G4704" s="2">
        <v>2</v>
      </c>
      <c r="H4704" s="2">
        <v>6.87</v>
      </c>
      <c r="I4704" t="str">
        <f t="shared" si="73"/>
        <v>May</v>
      </c>
      <c r="J4704">
        <f>YEAR(datas[[#This Row],[Order Date]])</f>
        <v>2023</v>
      </c>
    </row>
    <row r="4705" spans="1:10" ht="14.25" customHeight="1" x14ac:dyDescent="0.3">
      <c r="A4705" s="1">
        <v>45063</v>
      </c>
      <c r="B4705" s="2" t="s">
        <v>385</v>
      </c>
      <c r="C4705" s="2" t="s">
        <v>248</v>
      </c>
      <c r="D4705" s="2" t="s">
        <v>26</v>
      </c>
      <c r="E4705" s="2" t="s">
        <v>32</v>
      </c>
      <c r="F4705" s="2">
        <v>173.24</v>
      </c>
      <c r="G4705" s="2">
        <v>4</v>
      </c>
      <c r="H4705" s="2">
        <v>17.32</v>
      </c>
      <c r="I4705" t="str">
        <f t="shared" si="73"/>
        <v>May</v>
      </c>
      <c r="J4705">
        <f>YEAR(datas[[#This Row],[Order Date]])</f>
        <v>2023</v>
      </c>
    </row>
    <row r="4706" spans="1:10" ht="14.25" customHeight="1" x14ac:dyDescent="0.3">
      <c r="A4706" s="1">
        <v>45063</v>
      </c>
      <c r="B4706" s="2" t="s">
        <v>470</v>
      </c>
      <c r="C4706" s="2" t="s">
        <v>13</v>
      </c>
      <c r="D4706" s="2" t="s">
        <v>10</v>
      </c>
      <c r="E4706" s="2" t="s">
        <v>16</v>
      </c>
      <c r="F4706" s="2">
        <v>2.89</v>
      </c>
      <c r="G4706" s="2">
        <v>1</v>
      </c>
      <c r="H4706" s="2">
        <v>-4.7699999999999996</v>
      </c>
      <c r="I4706" t="str">
        <f t="shared" si="73"/>
        <v>May</v>
      </c>
      <c r="J4706">
        <f>YEAR(datas[[#This Row],[Order Date]])</f>
        <v>2023</v>
      </c>
    </row>
    <row r="4707" spans="1:10" ht="14.25" customHeight="1" x14ac:dyDescent="0.3">
      <c r="A4707" s="1">
        <v>45063</v>
      </c>
      <c r="B4707" s="2" t="s">
        <v>470</v>
      </c>
      <c r="C4707" s="2" t="s">
        <v>13</v>
      </c>
      <c r="D4707" s="2" t="s">
        <v>10</v>
      </c>
      <c r="E4707" s="2" t="s">
        <v>30</v>
      </c>
      <c r="F4707" s="2">
        <v>7.9</v>
      </c>
      <c r="G4707" s="2">
        <v>3</v>
      </c>
      <c r="H4707" s="2">
        <v>2.4700000000000002</v>
      </c>
      <c r="I4707" t="str">
        <f t="shared" si="73"/>
        <v>May</v>
      </c>
      <c r="J4707">
        <f>YEAR(datas[[#This Row],[Order Date]])</f>
        <v>2023</v>
      </c>
    </row>
    <row r="4708" spans="1:10" ht="14.25" customHeight="1" x14ac:dyDescent="0.3">
      <c r="A4708" s="1">
        <v>45063</v>
      </c>
      <c r="B4708" s="2" t="s">
        <v>470</v>
      </c>
      <c r="C4708" s="2" t="s">
        <v>13</v>
      </c>
      <c r="D4708" s="2" t="s">
        <v>26</v>
      </c>
      <c r="E4708" s="2" t="s">
        <v>32</v>
      </c>
      <c r="F4708" s="2">
        <v>22.61</v>
      </c>
      <c r="G4708" s="2">
        <v>3</v>
      </c>
      <c r="H4708" s="2">
        <v>-10.17</v>
      </c>
      <c r="I4708" t="str">
        <f t="shared" si="73"/>
        <v>May</v>
      </c>
      <c r="J4708">
        <f>YEAR(datas[[#This Row],[Order Date]])</f>
        <v>2023</v>
      </c>
    </row>
    <row r="4709" spans="1:10" ht="14.25" customHeight="1" x14ac:dyDescent="0.3">
      <c r="A4709" s="1">
        <v>45063</v>
      </c>
      <c r="B4709" s="2" t="s">
        <v>470</v>
      </c>
      <c r="C4709" s="2" t="s">
        <v>13</v>
      </c>
      <c r="D4709" s="2" t="s">
        <v>10</v>
      </c>
      <c r="E4709" s="2" t="s">
        <v>11</v>
      </c>
      <c r="F4709" s="2">
        <v>30.53</v>
      </c>
      <c r="G4709" s="2">
        <v>8</v>
      </c>
      <c r="H4709" s="2">
        <v>9.5399999999999991</v>
      </c>
      <c r="I4709" t="str">
        <f t="shared" si="73"/>
        <v>May</v>
      </c>
      <c r="J4709">
        <f>YEAR(datas[[#This Row],[Order Date]])</f>
        <v>2023</v>
      </c>
    </row>
    <row r="4710" spans="1:10" ht="14.25" customHeight="1" x14ac:dyDescent="0.3">
      <c r="A4710" s="1">
        <v>45064</v>
      </c>
      <c r="B4710" s="2" t="s">
        <v>81</v>
      </c>
      <c r="C4710" s="2" t="s">
        <v>21</v>
      </c>
      <c r="D4710" s="2" t="s">
        <v>10</v>
      </c>
      <c r="E4710" s="2" t="s">
        <v>15</v>
      </c>
      <c r="F4710" s="2">
        <v>104.28</v>
      </c>
      <c r="G4710" s="2">
        <v>3</v>
      </c>
      <c r="H4710" s="2">
        <v>26.07</v>
      </c>
      <c r="I4710" t="str">
        <f t="shared" si="73"/>
        <v>May</v>
      </c>
      <c r="J4710">
        <f>YEAR(datas[[#This Row],[Order Date]])</f>
        <v>2023</v>
      </c>
    </row>
    <row r="4711" spans="1:10" ht="14.25" customHeight="1" x14ac:dyDescent="0.3">
      <c r="A4711" s="1">
        <v>45064</v>
      </c>
      <c r="B4711" s="2" t="s">
        <v>81</v>
      </c>
      <c r="C4711" s="2" t="s">
        <v>21</v>
      </c>
      <c r="D4711" s="2" t="s">
        <v>10</v>
      </c>
      <c r="E4711" s="2" t="s">
        <v>11</v>
      </c>
      <c r="F4711" s="2">
        <v>17.940000000000001</v>
      </c>
      <c r="G4711" s="2">
        <v>3</v>
      </c>
      <c r="H4711" s="2">
        <v>8.7899999999999991</v>
      </c>
      <c r="I4711" t="str">
        <f t="shared" si="73"/>
        <v>May</v>
      </c>
      <c r="J4711">
        <f>YEAR(datas[[#This Row],[Order Date]])</f>
        <v>2023</v>
      </c>
    </row>
    <row r="4712" spans="1:10" ht="14.25" customHeight="1" x14ac:dyDescent="0.3">
      <c r="A4712" s="1">
        <v>45065</v>
      </c>
      <c r="B4712" s="2" t="s">
        <v>291</v>
      </c>
      <c r="C4712" s="2" t="s">
        <v>36</v>
      </c>
      <c r="D4712" s="2" t="s">
        <v>26</v>
      </c>
      <c r="E4712" s="2" t="s">
        <v>27</v>
      </c>
      <c r="F4712" s="2">
        <v>641.96</v>
      </c>
      <c r="G4712" s="2">
        <v>2</v>
      </c>
      <c r="H4712" s="2">
        <v>179.75</v>
      </c>
      <c r="I4712" t="str">
        <f t="shared" si="73"/>
        <v>May</v>
      </c>
      <c r="J4712">
        <f>YEAR(datas[[#This Row],[Order Date]])</f>
        <v>2023</v>
      </c>
    </row>
    <row r="4713" spans="1:10" ht="14.25" customHeight="1" x14ac:dyDescent="0.3">
      <c r="A4713" s="1">
        <v>45065</v>
      </c>
      <c r="B4713" s="2" t="s">
        <v>139</v>
      </c>
      <c r="C4713" s="2" t="s">
        <v>75</v>
      </c>
      <c r="D4713" s="2" t="s">
        <v>10</v>
      </c>
      <c r="E4713" s="2" t="s">
        <v>53</v>
      </c>
      <c r="F4713" s="2">
        <v>242.9</v>
      </c>
      <c r="G4713" s="2">
        <v>5</v>
      </c>
      <c r="H4713" s="2">
        <v>70.44</v>
      </c>
      <c r="I4713" t="str">
        <f t="shared" si="73"/>
        <v>May</v>
      </c>
      <c r="J4713">
        <f>YEAR(datas[[#This Row],[Order Date]])</f>
        <v>2023</v>
      </c>
    </row>
    <row r="4714" spans="1:10" ht="14.25" customHeight="1" x14ac:dyDescent="0.3">
      <c r="A4714" s="1">
        <v>45065</v>
      </c>
      <c r="B4714" s="2" t="s">
        <v>139</v>
      </c>
      <c r="C4714" s="2" t="s">
        <v>75</v>
      </c>
      <c r="D4714" s="2" t="s">
        <v>10</v>
      </c>
      <c r="E4714" s="2" t="s">
        <v>15</v>
      </c>
      <c r="F4714" s="2">
        <v>454.9</v>
      </c>
      <c r="G4714" s="2">
        <v>5</v>
      </c>
      <c r="H4714" s="2">
        <v>0</v>
      </c>
      <c r="I4714" t="str">
        <f t="shared" si="73"/>
        <v>May</v>
      </c>
      <c r="J4714">
        <f>YEAR(datas[[#This Row],[Order Date]])</f>
        <v>2023</v>
      </c>
    </row>
    <row r="4715" spans="1:10" ht="14.25" customHeight="1" x14ac:dyDescent="0.3">
      <c r="A4715" s="1">
        <v>45065</v>
      </c>
      <c r="B4715" s="2" t="s">
        <v>139</v>
      </c>
      <c r="C4715" s="2" t="s">
        <v>75</v>
      </c>
      <c r="D4715" s="2" t="s">
        <v>26</v>
      </c>
      <c r="E4715" s="2" t="s">
        <v>32</v>
      </c>
      <c r="F4715" s="2">
        <v>35.92</v>
      </c>
      <c r="G4715" s="2">
        <v>4</v>
      </c>
      <c r="H4715" s="2">
        <v>15.09</v>
      </c>
      <c r="I4715" t="str">
        <f t="shared" si="73"/>
        <v>May</v>
      </c>
      <c r="J4715">
        <f>YEAR(datas[[#This Row],[Order Date]])</f>
        <v>2023</v>
      </c>
    </row>
    <row r="4716" spans="1:10" ht="14.25" customHeight="1" x14ac:dyDescent="0.3">
      <c r="A4716" s="1">
        <v>45065</v>
      </c>
      <c r="B4716" s="2" t="s">
        <v>139</v>
      </c>
      <c r="C4716" s="2" t="s">
        <v>75</v>
      </c>
      <c r="D4716" s="2" t="s">
        <v>26</v>
      </c>
      <c r="E4716" s="2" t="s">
        <v>32</v>
      </c>
      <c r="F4716" s="2">
        <v>39.76</v>
      </c>
      <c r="G4716" s="2">
        <v>8</v>
      </c>
      <c r="H4716" s="2">
        <v>12.33</v>
      </c>
      <c r="I4716" t="str">
        <f t="shared" si="73"/>
        <v>May</v>
      </c>
      <c r="J4716">
        <f>YEAR(datas[[#This Row],[Order Date]])</f>
        <v>2023</v>
      </c>
    </row>
    <row r="4717" spans="1:10" ht="14.25" customHeight="1" x14ac:dyDescent="0.3">
      <c r="A4717" s="1">
        <v>45065</v>
      </c>
      <c r="B4717" s="2" t="s">
        <v>139</v>
      </c>
      <c r="C4717" s="2" t="s">
        <v>75</v>
      </c>
      <c r="D4717" s="2" t="s">
        <v>10</v>
      </c>
      <c r="E4717" s="2" t="s">
        <v>16</v>
      </c>
      <c r="F4717" s="2">
        <v>47.74</v>
      </c>
      <c r="G4717" s="2">
        <v>4</v>
      </c>
      <c r="H4717" s="2">
        <v>14.92</v>
      </c>
      <c r="I4717" t="str">
        <f t="shared" si="73"/>
        <v>May</v>
      </c>
      <c r="J4717">
        <f>YEAR(datas[[#This Row],[Order Date]])</f>
        <v>2023</v>
      </c>
    </row>
    <row r="4718" spans="1:10" ht="14.25" customHeight="1" x14ac:dyDescent="0.3">
      <c r="A4718" s="1">
        <v>45065</v>
      </c>
      <c r="B4718" s="2" t="s">
        <v>549</v>
      </c>
      <c r="C4718" s="2" t="s">
        <v>21</v>
      </c>
      <c r="D4718" s="2" t="s">
        <v>10</v>
      </c>
      <c r="E4718" s="2" t="s">
        <v>16</v>
      </c>
      <c r="F4718" s="2">
        <v>9.58</v>
      </c>
      <c r="G4718" s="2">
        <v>1</v>
      </c>
      <c r="H4718" s="2">
        <v>3.35</v>
      </c>
      <c r="I4718" t="str">
        <f t="shared" si="73"/>
        <v>May</v>
      </c>
      <c r="J4718">
        <f>YEAR(datas[[#This Row],[Order Date]])</f>
        <v>2023</v>
      </c>
    </row>
    <row r="4719" spans="1:10" ht="14.25" customHeight="1" x14ac:dyDescent="0.3">
      <c r="A4719" s="1">
        <v>45065</v>
      </c>
      <c r="B4719" s="2" t="s">
        <v>192</v>
      </c>
      <c r="C4719" s="2" t="s">
        <v>68</v>
      </c>
      <c r="D4719" s="2" t="s">
        <v>10</v>
      </c>
      <c r="E4719" s="2" t="s">
        <v>19</v>
      </c>
      <c r="F4719" s="2">
        <v>21.4</v>
      </c>
      <c r="G4719" s="2">
        <v>5</v>
      </c>
      <c r="H4719" s="2">
        <v>6.21</v>
      </c>
      <c r="I4719" t="str">
        <f t="shared" si="73"/>
        <v>May</v>
      </c>
      <c r="J4719">
        <f>YEAR(datas[[#This Row],[Order Date]])</f>
        <v>2023</v>
      </c>
    </row>
    <row r="4720" spans="1:10" ht="14.25" customHeight="1" x14ac:dyDescent="0.3">
      <c r="A4720" s="1">
        <v>45065</v>
      </c>
      <c r="B4720" s="2" t="s">
        <v>183</v>
      </c>
      <c r="C4720" s="2" t="s">
        <v>21</v>
      </c>
      <c r="D4720" s="2" t="s">
        <v>10</v>
      </c>
      <c r="E4720" s="2" t="s">
        <v>53</v>
      </c>
      <c r="F4720" s="2">
        <v>87.84</v>
      </c>
      <c r="G4720" s="2">
        <v>8</v>
      </c>
      <c r="H4720" s="2">
        <v>23.72</v>
      </c>
      <c r="I4720" t="str">
        <f t="shared" si="73"/>
        <v>May</v>
      </c>
      <c r="J4720">
        <f>YEAR(datas[[#This Row],[Order Date]])</f>
        <v>2023</v>
      </c>
    </row>
    <row r="4721" spans="1:10" ht="14.25" customHeight="1" x14ac:dyDescent="0.3">
      <c r="A4721" s="1">
        <v>45066</v>
      </c>
      <c r="B4721" s="2" t="s">
        <v>135</v>
      </c>
      <c r="C4721" s="2" t="s">
        <v>21</v>
      </c>
      <c r="D4721" s="2" t="s">
        <v>26</v>
      </c>
      <c r="E4721" s="2" t="s">
        <v>32</v>
      </c>
      <c r="F4721" s="2">
        <v>1049.2</v>
      </c>
      <c r="G4721" s="2">
        <v>5</v>
      </c>
      <c r="H4721" s="2">
        <v>272.79000000000002</v>
      </c>
      <c r="I4721" t="str">
        <f t="shared" si="73"/>
        <v>May</v>
      </c>
      <c r="J4721">
        <f>YEAR(datas[[#This Row],[Order Date]])</f>
        <v>2023</v>
      </c>
    </row>
    <row r="4722" spans="1:10" ht="14.25" customHeight="1" x14ac:dyDescent="0.3">
      <c r="A4722" s="1">
        <v>45066</v>
      </c>
      <c r="B4722" s="2" t="s">
        <v>135</v>
      </c>
      <c r="C4722" s="2" t="s">
        <v>21</v>
      </c>
      <c r="D4722" s="2" t="s">
        <v>10</v>
      </c>
      <c r="E4722" s="2" t="s">
        <v>16</v>
      </c>
      <c r="F4722" s="2">
        <v>15.42</v>
      </c>
      <c r="G4722" s="2">
        <v>4</v>
      </c>
      <c r="H4722" s="2">
        <v>5.01</v>
      </c>
      <c r="I4722" t="str">
        <f t="shared" si="73"/>
        <v>May</v>
      </c>
      <c r="J4722">
        <f>YEAR(datas[[#This Row],[Order Date]])</f>
        <v>2023</v>
      </c>
    </row>
    <row r="4723" spans="1:10" ht="14.25" customHeight="1" x14ac:dyDescent="0.3">
      <c r="A4723" s="1">
        <v>45066</v>
      </c>
      <c r="B4723" s="2" t="s">
        <v>591</v>
      </c>
      <c r="C4723" s="2" t="s">
        <v>115</v>
      </c>
      <c r="D4723" s="2" t="s">
        <v>28</v>
      </c>
      <c r="E4723" s="2" t="s">
        <v>29</v>
      </c>
      <c r="F4723" s="2">
        <v>1363.96</v>
      </c>
      <c r="G4723" s="2">
        <v>5</v>
      </c>
      <c r="H4723" s="2">
        <v>85.25</v>
      </c>
      <c r="I4723" t="str">
        <f t="shared" si="73"/>
        <v>May</v>
      </c>
      <c r="J4723">
        <f>YEAR(datas[[#This Row],[Order Date]])</f>
        <v>2023</v>
      </c>
    </row>
    <row r="4724" spans="1:10" ht="14.25" customHeight="1" x14ac:dyDescent="0.3">
      <c r="A4724" s="1">
        <v>45066</v>
      </c>
      <c r="B4724" s="2" t="s">
        <v>694</v>
      </c>
      <c r="C4724" s="2" t="s">
        <v>64</v>
      </c>
      <c r="D4724" s="2" t="s">
        <v>10</v>
      </c>
      <c r="E4724" s="2" t="s">
        <v>16</v>
      </c>
      <c r="F4724" s="2">
        <v>2.69</v>
      </c>
      <c r="G4724" s="2">
        <v>2</v>
      </c>
      <c r="H4724" s="2">
        <v>-2.25</v>
      </c>
      <c r="I4724" t="str">
        <f t="shared" si="73"/>
        <v>May</v>
      </c>
      <c r="J4724">
        <f>YEAR(datas[[#This Row],[Order Date]])</f>
        <v>2023</v>
      </c>
    </row>
    <row r="4725" spans="1:10" ht="14.25" customHeight="1" x14ac:dyDescent="0.3">
      <c r="A4725" s="1">
        <v>45066</v>
      </c>
      <c r="B4725" s="2" t="s">
        <v>540</v>
      </c>
      <c r="C4725" s="2" t="s">
        <v>126</v>
      </c>
      <c r="D4725" s="2" t="s">
        <v>10</v>
      </c>
      <c r="E4725" s="2" t="s">
        <v>16</v>
      </c>
      <c r="F4725" s="2">
        <v>40.64</v>
      </c>
      <c r="G4725" s="2">
        <v>7</v>
      </c>
      <c r="H4725" s="2">
        <v>-32.51</v>
      </c>
      <c r="I4725" t="str">
        <f t="shared" si="73"/>
        <v>May</v>
      </c>
      <c r="J4725">
        <f>YEAR(datas[[#This Row],[Order Date]])</f>
        <v>2023</v>
      </c>
    </row>
    <row r="4726" spans="1:10" ht="14.25" customHeight="1" x14ac:dyDescent="0.3">
      <c r="A4726" s="1">
        <v>45067</v>
      </c>
      <c r="B4726" s="2" t="s">
        <v>636</v>
      </c>
      <c r="C4726" s="2" t="s">
        <v>21</v>
      </c>
      <c r="D4726" s="2" t="s">
        <v>28</v>
      </c>
      <c r="E4726" s="2" t="s">
        <v>29</v>
      </c>
      <c r="F4726" s="2">
        <v>55.18</v>
      </c>
      <c r="G4726" s="2">
        <v>3</v>
      </c>
      <c r="H4726" s="2">
        <v>-12.41</v>
      </c>
      <c r="I4726" t="str">
        <f t="shared" si="73"/>
        <v>May</v>
      </c>
      <c r="J4726">
        <f>YEAR(datas[[#This Row],[Order Date]])</f>
        <v>2023</v>
      </c>
    </row>
    <row r="4727" spans="1:10" ht="14.25" customHeight="1" x14ac:dyDescent="0.3">
      <c r="A4727" s="1">
        <v>45067</v>
      </c>
      <c r="B4727" s="2" t="s">
        <v>636</v>
      </c>
      <c r="C4727" s="2" t="s">
        <v>21</v>
      </c>
      <c r="D4727" s="2" t="s">
        <v>28</v>
      </c>
      <c r="E4727" s="2" t="s">
        <v>34</v>
      </c>
      <c r="F4727" s="2">
        <v>66.260000000000005</v>
      </c>
      <c r="G4727" s="2">
        <v>2</v>
      </c>
      <c r="H4727" s="2">
        <v>27.17</v>
      </c>
      <c r="I4727" t="str">
        <f t="shared" si="73"/>
        <v>May</v>
      </c>
      <c r="J4727">
        <f>YEAR(datas[[#This Row],[Order Date]])</f>
        <v>2023</v>
      </c>
    </row>
    <row r="4728" spans="1:10" ht="14.25" customHeight="1" x14ac:dyDescent="0.3">
      <c r="A4728" s="1">
        <v>45067</v>
      </c>
      <c r="B4728" s="2" t="s">
        <v>100</v>
      </c>
      <c r="C4728" s="2" t="s">
        <v>66</v>
      </c>
      <c r="D4728" s="2" t="s">
        <v>28</v>
      </c>
      <c r="E4728" s="2" t="s">
        <v>136</v>
      </c>
      <c r="F4728" s="2">
        <v>2396.4</v>
      </c>
      <c r="G4728" s="2">
        <v>10</v>
      </c>
      <c r="H4728" s="2">
        <v>179.73</v>
      </c>
      <c r="I4728" t="str">
        <f t="shared" si="73"/>
        <v>May</v>
      </c>
      <c r="J4728">
        <f>YEAR(datas[[#This Row],[Order Date]])</f>
        <v>2023</v>
      </c>
    </row>
    <row r="4729" spans="1:10" ht="14.25" customHeight="1" x14ac:dyDescent="0.3">
      <c r="A4729" s="1">
        <v>45067</v>
      </c>
      <c r="B4729" s="2" t="s">
        <v>141</v>
      </c>
      <c r="C4729" s="2" t="s">
        <v>553</v>
      </c>
      <c r="D4729" s="2" t="s">
        <v>10</v>
      </c>
      <c r="E4729" s="2" t="s">
        <v>11</v>
      </c>
      <c r="F4729" s="2">
        <v>111.96</v>
      </c>
      <c r="G4729" s="2">
        <v>2</v>
      </c>
      <c r="H4729" s="2">
        <v>54.86</v>
      </c>
      <c r="I4729" t="str">
        <f t="shared" si="73"/>
        <v>May</v>
      </c>
      <c r="J4729">
        <f>YEAR(datas[[#This Row],[Order Date]])</f>
        <v>2023</v>
      </c>
    </row>
    <row r="4730" spans="1:10" ht="14.25" customHeight="1" x14ac:dyDescent="0.3">
      <c r="A4730" s="1">
        <v>45067</v>
      </c>
      <c r="B4730" s="2" t="s">
        <v>830</v>
      </c>
      <c r="C4730" s="2" t="s">
        <v>9</v>
      </c>
      <c r="D4730" s="2" t="s">
        <v>10</v>
      </c>
      <c r="E4730" s="2" t="s">
        <v>16</v>
      </c>
      <c r="F4730" s="2">
        <v>1.96</v>
      </c>
      <c r="G4730" s="2">
        <v>2</v>
      </c>
      <c r="H4730" s="2">
        <v>-3.24</v>
      </c>
      <c r="I4730" t="str">
        <f t="shared" si="73"/>
        <v>May</v>
      </c>
      <c r="J4730">
        <f>YEAR(datas[[#This Row],[Order Date]])</f>
        <v>2023</v>
      </c>
    </row>
    <row r="4731" spans="1:10" ht="14.25" customHeight="1" x14ac:dyDescent="0.3">
      <c r="A4731" s="1">
        <v>45067</v>
      </c>
      <c r="B4731" s="2" t="s">
        <v>830</v>
      </c>
      <c r="C4731" s="2" t="s">
        <v>9</v>
      </c>
      <c r="D4731" s="2" t="s">
        <v>10</v>
      </c>
      <c r="E4731" s="2" t="s">
        <v>11</v>
      </c>
      <c r="F4731" s="2">
        <v>82.66</v>
      </c>
      <c r="G4731" s="2">
        <v>9</v>
      </c>
      <c r="H4731" s="2">
        <v>31</v>
      </c>
      <c r="I4731" t="str">
        <f t="shared" si="73"/>
        <v>May</v>
      </c>
      <c r="J4731">
        <f>YEAR(datas[[#This Row],[Order Date]])</f>
        <v>2023</v>
      </c>
    </row>
    <row r="4732" spans="1:10" ht="14.25" customHeight="1" x14ac:dyDescent="0.3">
      <c r="A4732" s="1">
        <v>45067</v>
      </c>
      <c r="B4732" s="2" t="s">
        <v>634</v>
      </c>
      <c r="C4732" s="2" t="s">
        <v>13</v>
      </c>
      <c r="D4732" s="2" t="s">
        <v>10</v>
      </c>
      <c r="E4732" s="2" t="s">
        <v>16</v>
      </c>
      <c r="F4732" s="2">
        <v>3.8</v>
      </c>
      <c r="G4732" s="2">
        <v>3</v>
      </c>
      <c r="H4732" s="2">
        <v>-5.89</v>
      </c>
      <c r="I4732" t="str">
        <f t="shared" si="73"/>
        <v>May</v>
      </c>
      <c r="J4732">
        <f>YEAR(datas[[#This Row],[Order Date]])</f>
        <v>2023</v>
      </c>
    </row>
    <row r="4733" spans="1:10" ht="14.25" customHeight="1" x14ac:dyDescent="0.3">
      <c r="A4733" s="1">
        <v>45068</v>
      </c>
      <c r="B4733" s="2" t="s">
        <v>795</v>
      </c>
      <c r="C4733" s="2" t="s">
        <v>87</v>
      </c>
      <c r="D4733" s="2" t="s">
        <v>28</v>
      </c>
      <c r="E4733" s="2" t="s">
        <v>29</v>
      </c>
      <c r="F4733" s="2">
        <v>345</v>
      </c>
      <c r="G4733" s="2">
        <v>5</v>
      </c>
      <c r="H4733" s="2">
        <v>86.25</v>
      </c>
      <c r="I4733" t="str">
        <f t="shared" si="73"/>
        <v>May</v>
      </c>
      <c r="J4733">
        <f>YEAR(datas[[#This Row],[Order Date]])</f>
        <v>2023</v>
      </c>
    </row>
    <row r="4734" spans="1:10" ht="14.25" customHeight="1" x14ac:dyDescent="0.3">
      <c r="A4734" s="1">
        <v>45068</v>
      </c>
      <c r="B4734" s="2" t="s">
        <v>795</v>
      </c>
      <c r="C4734" s="2" t="s">
        <v>87</v>
      </c>
      <c r="D4734" s="2" t="s">
        <v>26</v>
      </c>
      <c r="E4734" s="2" t="s">
        <v>73</v>
      </c>
      <c r="F4734" s="2">
        <v>174.29</v>
      </c>
      <c r="G4734" s="2">
        <v>2</v>
      </c>
      <c r="H4734" s="2">
        <v>-19.920000000000002</v>
      </c>
      <c r="I4734" t="str">
        <f t="shared" si="73"/>
        <v>May</v>
      </c>
      <c r="J4734">
        <f>YEAR(datas[[#This Row],[Order Date]])</f>
        <v>2023</v>
      </c>
    </row>
    <row r="4735" spans="1:10" ht="14.25" customHeight="1" x14ac:dyDescent="0.3">
      <c r="A4735" s="1">
        <v>45068</v>
      </c>
      <c r="B4735" s="2" t="s">
        <v>795</v>
      </c>
      <c r="C4735" s="2" t="s">
        <v>87</v>
      </c>
      <c r="D4735" s="2" t="s">
        <v>10</v>
      </c>
      <c r="E4735" s="2" t="s">
        <v>53</v>
      </c>
      <c r="F4735" s="2">
        <v>662.84</v>
      </c>
      <c r="G4735" s="2">
        <v>4</v>
      </c>
      <c r="H4735" s="2">
        <v>172.34</v>
      </c>
      <c r="I4735" t="str">
        <f t="shared" si="73"/>
        <v>May</v>
      </c>
      <c r="J4735">
        <f>YEAR(datas[[#This Row],[Order Date]])</f>
        <v>2023</v>
      </c>
    </row>
    <row r="4736" spans="1:10" ht="14.25" customHeight="1" x14ac:dyDescent="0.3">
      <c r="A4736" s="1">
        <v>45068</v>
      </c>
      <c r="B4736" s="2" t="s">
        <v>795</v>
      </c>
      <c r="C4736" s="2" t="s">
        <v>87</v>
      </c>
      <c r="D4736" s="2" t="s">
        <v>28</v>
      </c>
      <c r="E4736" s="2" t="s">
        <v>34</v>
      </c>
      <c r="F4736" s="2">
        <v>95.1</v>
      </c>
      <c r="G4736" s="2">
        <v>5</v>
      </c>
      <c r="H4736" s="2">
        <v>30.43</v>
      </c>
      <c r="I4736" t="str">
        <f t="shared" si="73"/>
        <v>May</v>
      </c>
      <c r="J4736">
        <f>YEAR(datas[[#This Row],[Order Date]])</f>
        <v>2023</v>
      </c>
    </row>
    <row r="4737" spans="1:10" ht="14.25" customHeight="1" x14ac:dyDescent="0.3">
      <c r="A4737" s="1">
        <v>45068</v>
      </c>
      <c r="B4737" s="2" t="s">
        <v>795</v>
      </c>
      <c r="C4737" s="2" t="s">
        <v>87</v>
      </c>
      <c r="D4737" s="2" t="s">
        <v>10</v>
      </c>
      <c r="E4737" s="2" t="s">
        <v>41</v>
      </c>
      <c r="F4737" s="2">
        <v>26.88</v>
      </c>
      <c r="G4737" s="2">
        <v>6</v>
      </c>
      <c r="H4737" s="2">
        <v>12.9</v>
      </c>
      <c r="I4737" t="str">
        <f t="shared" si="73"/>
        <v>May</v>
      </c>
      <c r="J4737">
        <f>YEAR(datas[[#This Row],[Order Date]])</f>
        <v>2023</v>
      </c>
    </row>
    <row r="4738" spans="1:10" ht="14.25" customHeight="1" x14ac:dyDescent="0.3">
      <c r="A4738" s="1">
        <v>45068</v>
      </c>
      <c r="B4738" s="2" t="s">
        <v>795</v>
      </c>
      <c r="C4738" s="2" t="s">
        <v>87</v>
      </c>
      <c r="D4738" s="2" t="s">
        <v>28</v>
      </c>
      <c r="E4738" s="2" t="s">
        <v>29</v>
      </c>
      <c r="F4738" s="2">
        <v>257.98</v>
      </c>
      <c r="G4738" s="2">
        <v>2</v>
      </c>
      <c r="H4738" s="2">
        <v>74.81</v>
      </c>
      <c r="I4738" t="str">
        <f t="shared" si="73"/>
        <v>May</v>
      </c>
      <c r="J4738">
        <f>YEAR(datas[[#This Row],[Order Date]])</f>
        <v>2023</v>
      </c>
    </row>
    <row r="4739" spans="1:10" ht="14.25" customHeight="1" x14ac:dyDescent="0.3">
      <c r="A4739" s="1">
        <v>45068</v>
      </c>
      <c r="B4739" s="2" t="s">
        <v>538</v>
      </c>
      <c r="C4739" s="2" t="s">
        <v>23</v>
      </c>
      <c r="D4739" s="2" t="s">
        <v>10</v>
      </c>
      <c r="E4739" s="2" t="s">
        <v>14</v>
      </c>
      <c r="F4739" s="2">
        <v>14.73</v>
      </c>
      <c r="G4739" s="2">
        <v>3</v>
      </c>
      <c r="H4739" s="2">
        <v>7.22</v>
      </c>
      <c r="I4739" t="str">
        <f t="shared" ref="I4739:I4802" si="74">TEXT(A4739,"mmm")</f>
        <v>May</v>
      </c>
      <c r="J4739">
        <f>YEAR(datas[[#This Row],[Order Date]])</f>
        <v>2023</v>
      </c>
    </row>
    <row r="4740" spans="1:10" ht="14.25" customHeight="1" x14ac:dyDescent="0.3">
      <c r="A4740" s="1">
        <v>45068</v>
      </c>
      <c r="B4740" s="2" t="s">
        <v>529</v>
      </c>
      <c r="C4740" s="2" t="s">
        <v>21</v>
      </c>
      <c r="D4740" s="2" t="s">
        <v>28</v>
      </c>
      <c r="E4740" s="2" t="s">
        <v>29</v>
      </c>
      <c r="F4740" s="2">
        <v>222.38</v>
      </c>
      <c r="G4740" s="2">
        <v>2</v>
      </c>
      <c r="H4740" s="2">
        <v>22.24</v>
      </c>
      <c r="I4740" t="str">
        <f t="shared" si="74"/>
        <v>May</v>
      </c>
      <c r="J4740">
        <f>YEAR(datas[[#This Row],[Order Date]])</f>
        <v>2023</v>
      </c>
    </row>
    <row r="4741" spans="1:10" ht="14.25" customHeight="1" x14ac:dyDescent="0.3">
      <c r="A4741" s="1">
        <v>45069</v>
      </c>
      <c r="B4741" s="2" t="s">
        <v>508</v>
      </c>
      <c r="C4741" s="2" t="s">
        <v>21</v>
      </c>
      <c r="D4741" s="2" t="s">
        <v>26</v>
      </c>
      <c r="E4741" s="2" t="s">
        <v>32</v>
      </c>
      <c r="F4741" s="2">
        <v>37.049999999999997</v>
      </c>
      <c r="G4741" s="2">
        <v>3</v>
      </c>
      <c r="H4741" s="2">
        <v>16.3</v>
      </c>
      <c r="I4741" t="str">
        <f t="shared" si="74"/>
        <v>May</v>
      </c>
      <c r="J4741">
        <f>YEAR(datas[[#This Row],[Order Date]])</f>
        <v>2023</v>
      </c>
    </row>
    <row r="4742" spans="1:10" ht="14.25" customHeight="1" x14ac:dyDescent="0.3">
      <c r="A4742" s="1">
        <v>45069</v>
      </c>
      <c r="B4742" s="2" t="s">
        <v>387</v>
      </c>
      <c r="C4742" s="2" t="s">
        <v>13</v>
      </c>
      <c r="D4742" s="2" t="s">
        <v>28</v>
      </c>
      <c r="E4742" s="2" t="s">
        <v>29</v>
      </c>
      <c r="F4742" s="2">
        <v>1979.93</v>
      </c>
      <c r="G4742" s="2">
        <v>9</v>
      </c>
      <c r="H4742" s="2">
        <v>148.49</v>
      </c>
      <c r="I4742" t="str">
        <f t="shared" si="74"/>
        <v>May</v>
      </c>
      <c r="J4742">
        <f>YEAR(datas[[#This Row],[Order Date]])</f>
        <v>2023</v>
      </c>
    </row>
    <row r="4743" spans="1:10" ht="14.25" customHeight="1" x14ac:dyDescent="0.3">
      <c r="A4743" s="1">
        <v>45069</v>
      </c>
      <c r="B4743" s="2" t="s">
        <v>116</v>
      </c>
      <c r="C4743" s="2" t="s">
        <v>198</v>
      </c>
      <c r="D4743" s="2" t="s">
        <v>10</v>
      </c>
      <c r="E4743" s="2" t="s">
        <v>11</v>
      </c>
      <c r="F4743" s="2">
        <v>4.9800000000000004</v>
      </c>
      <c r="G4743" s="2">
        <v>1</v>
      </c>
      <c r="H4743" s="2">
        <v>2.44</v>
      </c>
      <c r="I4743" t="str">
        <f t="shared" si="74"/>
        <v>May</v>
      </c>
      <c r="J4743">
        <f>YEAR(datas[[#This Row],[Order Date]])</f>
        <v>2023</v>
      </c>
    </row>
    <row r="4744" spans="1:10" ht="14.25" customHeight="1" x14ac:dyDescent="0.3">
      <c r="A4744" s="1">
        <v>45069</v>
      </c>
      <c r="B4744" s="2" t="s">
        <v>831</v>
      </c>
      <c r="C4744" s="2" t="s">
        <v>18</v>
      </c>
      <c r="D4744" s="2" t="s">
        <v>28</v>
      </c>
      <c r="E4744" s="2" t="s">
        <v>243</v>
      </c>
      <c r="F4744" s="2">
        <v>8399.98</v>
      </c>
      <c r="G4744" s="2">
        <v>4</v>
      </c>
      <c r="H4744" s="2">
        <v>1120</v>
      </c>
      <c r="I4744" t="str">
        <f t="shared" si="74"/>
        <v>May</v>
      </c>
      <c r="J4744">
        <f>YEAR(datas[[#This Row],[Order Date]])</f>
        <v>2023</v>
      </c>
    </row>
    <row r="4745" spans="1:10" ht="14.25" customHeight="1" x14ac:dyDescent="0.3">
      <c r="A4745" s="1">
        <v>45069</v>
      </c>
      <c r="B4745" s="2" t="s">
        <v>831</v>
      </c>
      <c r="C4745" s="2" t="s">
        <v>18</v>
      </c>
      <c r="D4745" s="2" t="s">
        <v>10</v>
      </c>
      <c r="E4745" s="2" t="s">
        <v>16</v>
      </c>
      <c r="F4745" s="2">
        <v>6.29</v>
      </c>
      <c r="G4745" s="2">
        <v>1</v>
      </c>
      <c r="H4745" s="2">
        <v>-4.2</v>
      </c>
      <c r="I4745" t="str">
        <f t="shared" si="74"/>
        <v>May</v>
      </c>
      <c r="J4745">
        <f>YEAR(datas[[#This Row],[Order Date]])</f>
        <v>2023</v>
      </c>
    </row>
    <row r="4746" spans="1:10" ht="14.25" customHeight="1" x14ac:dyDescent="0.3">
      <c r="A4746" s="1">
        <v>45069</v>
      </c>
      <c r="B4746" s="2" t="s">
        <v>831</v>
      </c>
      <c r="C4746" s="2" t="s">
        <v>18</v>
      </c>
      <c r="D4746" s="2" t="s">
        <v>10</v>
      </c>
      <c r="E4746" s="2" t="s">
        <v>11</v>
      </c>
      <c r="F4746" s="2">
        <v>10.37</v>
      </c>
      <c r="G4746" s="2">
        <v>2</v>
      </c>
      <c r="H4746" s="2">
        <v>3.63</v>
      </c>
      <c r="I4746" t="str">
        <f t="shared" si="74"/>
        <v>May</v>
      </c>
      <c r="J4746">
        <f>YEAR(datas[[#This Row],[Order Date]])</f>
        <v>2023</v>
      </c>
    </row>
    <row r="4747" spans="1:10" ht="14.25" customHeight="1" x14ac:dyDescent="0.3">
      <c r="A4747" s="1">
        <v>45069</v>
      </c>
      <c r="B4747" s="2" t="s">
        <v>831</v>
      </c>
      <c r="C4747" s="2" t="s">
        <v>18</v>
      </c>
      <c r="D4747" s="2" t="s">
        <v>28</v>
      </c>
      <c r="E4747" s="2" t="s">
        <v>29</v>
      </c>
      <c r="F4747" s="2">
        <v>122.38</v>
      </c>
      <c r="G4747" s="2">
        <v>3</v>
      </c>
      <c r="H4747" s="2">
        <v>-24.48</v>
      </c>
      <c r="I4747" t="str">
        <f t="shared" si="74"/>
        <v>May</v>
      </c>
      <c r="J4747">
        <f>YEAR(datas[[#This Row],[Order Date]])</f>
        <v>2023</v>
      </c>
    </row>
    <row r="4748" spans="1:10" ht="14.25" customHeight="1" x14ac:dyDescent="0.3">
      <c r="A4748" s="1">
        <v>45070</v>
      </c>
      <c r="B4748" s="2" t="s">
        <v>540</v>
      </c>
      <c r="C4748" s="2" t="s">
        <v>36</v>
      </c>
      <c r="D4748" s="2" t="s">
        <v>10</v>
      </c>
      <c r="E4748" s="2" t="s">
        <v>95</v>
      </c>
      <c r="F4748" s="2">
        <v>69.5</v>
      </c>
      <c r="G4748" s="2">
        <v>5</v>
      </c>
      <c r="H4748" s="2">
        <v>20.16</v>
      </c>
      <c r="I4748" t="str">
        <f t="shared" si="74"/>
        <v>May</v>
      </c>
      <c r="J4748">
        <f>YEAR(datas[[#This Row],[Order Date]])</f>
        <v>2023</v>
      </c>
    </row>
    <row r="4749" spans="1:10" ht="14.25" customHeight="1" x14ac:dyDescent="0.3">
      <c r="A4749" s="1">
        <v>45070</v>
      </c>
      <c r="B4749" s="2" t="s">
        <v>540</v>
      </c>
      <c r="C4749" s="2" t="s">
        <v>36</v>
      </c>
      <c r="D4749" s="2" t="s">
        <v>10</v>
      </c>
      <c r="E4749" s="2" t="s">
        <v>11</v>
      </c>
      <c r="F4749" s="2">
        <v>191.6</v>
      </c>
      <c r="G4749" s="2">
        <v>4</v>
      </c>
      <c r="H4749" s="2">
        <v>91.97</v>
      </c>
      <c r="I4749" t="str">
        <f t="shared" si="74"/>
        <v>May</v>
      </c>
      <c r="J4749">
        <f>YEAR(datas[[#This Row],[Order Date]])</f>
        <v>2023</v>
      </c>
    </row>
    <row r="4750" spans="1:10" ht="14.25" customHeight="1" x14ac:dyDescent="0.3">
      <c r="A4750" s="1">
        <v>45070</v>
      </c>
      <c r="B4750" s="2" t="s">
        <v>353</v>
      </c>
      <c r="C4750" s="2" t="s">
        <v>18</v>
      </c>
      <c r="D4750" s="2" t="s">
        <v>10</v>
      </c>
      <c r="E4750" s="2" t="s">
        <v>19</v>
      </c>
      <c r="F4750" s="2">
        <v>16.66</v>
      </c>
      <c r="G4750" s="2">
        <v>3</v>
      </c>
      <c r="H4750" s="2">
        <v>3.33</v>
      </c>
      <c r="I4750" t="str">
        <f t="shared" si="74"/>
        <v>May</v>
      </c>
      <c r="J4750">
        <f>YEAR(datas[[#This Row],[Order Date]])</f>
        <v>2023</v>
      </c>
    </row>
    <row r="4751" spans="1:10" ht="14.25" customHeight="1" x14ac:dyDescent="0.3">
      <c r="A4751" s="1">
        <v>45071</v>
      </c>
      <c r="B4751" s="2" t="s">
        <v>713</v>
      </c>
      <c r="C4751" s="2" t="s">
        <v>23</v>
      </c>
      <c r="D4751" s="2" t="s">
        <v>26</v>
      </c>
      <c r="E4751" s="2" t="s">
        <v>32</v>
      </c>
      <c r="F4751" s="2">
        <v>24.96</v>
      </c>
      <c r="G4751" s="2">
        <v>4</v>
      </c>
      <c r="H4751" s="2">
        <v>6.24</v>
      </c>
      <c r="I4751" t="str">
        <f t="shared" si="74"/>
        <v>May</v>
      </c>
      <c r="J4751">
        <f>YEAR(datas[[#This Row],[Order Date]])</f>
        <v>2023</v>
      </c>
    </row>
    <row r="4752" spans="1:10" ht="14.25" customHeight="1" x14ac:dyDescent="0.3">
      <c r="A4752" s="1">
        <v>45071</v>
      </c>
      <c r="B4752" s="2" t="s">
        <v>713</v>
      </c>
      <c r="C4752" s="2" t="s">
        <v>23</v>
      </c>
      <c r="D4752" s="2" t="s">
        <v>10</v>
      </c>
      <c r="E4752" s="2" t="s">
        <v>11</v>
      </c>
      <c r="F4752" s="2">
        <v>19.36</v>
      </c>
      <c r="G4752" s="2">
        <v>2</v>
      </c>
      <c r="H4752" s="2">
        <v>9.2899999999999991</v>
      </c>
      <c r="I4752" t="str">
        <f t="shared" si="74"/>
        <v>May</v>
      </c>
      <c r="J4752">
        <f>YEAR(datas[[#This Row],[Order Date]])</f>
        <v>2023</v>
      </c>
    </row>
    <row r="4753" spans="1:10" ht="14.25" customHeight="1" x14ac:dyDescent="0.3">
      <c r="A4753" s="1">
        <v>45071</v>
      </c>
      <c r="B4753" s="2" t="s">
        <v>713</v>
      </c>
      <c r="C4753" s="2" t="s">
        <v>23</v>
      </c>
      <c r="D4753" s="2" t="s">
        <v>10</v>
      </c>
      <c r="E4753" s="2" t="s">
        <v>15</v>
      </c>
      <c r="F4753" s="2">
        <v>1267.6500000000001</v>
      </c>
      <c r="G4753" s="2">
        <v>9</v>
      </c>
      <c r="H4753" s="2">
        <v>152.12</v>
      </c>
      <c r="I4753" t="str">
        <f t="shared" si="74"/>
        <v>May</v>
      </c>
      <c r="J4753">
        <f>YEAR(datas[[#This Row],[Order Date]])</f>
        <v>2023</v>
      </c>
    </row>
    <row r="4754" spans="1:10" ht="14.25" customHeight="1" x14ac:dyDescent="0.3">
      <c r="A4754" s="1">
        <v>45072</v>
      </c>
      <c r="B4754" s="2" t="s">
        <v>159</v>
      </c>
      <c r="C4754" s="2" t="s">
        <v>9</v>
      </c>
      <c r="D4754" s="2" t="s">
        <v>10</v>
      </c>
      <c r="E4754" s="2" t="s">
        <v>11</v>
      </c>
      <c r="F4754" s="2">
        <v>10.37</v>
      </c>
      <c r="G4754" s="2">
        <v>2</v>
      </c>
      <c r="H4754" s="2">
        <v>3.63</v>
      </c>
      <c r="I4754" t="str">
        <f t="shared" si="74"/>
        <v>May</v>
      </c>
      <c r="J4754">
        <f>YEAR(datas[[#This Row],[Order Date]])</f>
        <v>2023</v>
      </c>
    </row>
    <row r="4755" spans="1:10" ht="14.25" customHeight="1" x14ac:dyDescent="0.3">
      <c r="A4755" s="1">
        <v>45072</v>
      </c>
      <c r="B4755" s="2" t="s">
        <v>159</v>
      </c>
      <c r="C4755" s="2" t="s">
        <v>9</v>
      </c>
      <c r="D4755" s="2" t="s">
        <v>26</v>
      </c>
      <c r="E4755" s="2" t="s">
        <v>27</v>
      </c>
      <c r="F4755" s="2">
        <v>388.43</v>
      </c>
      <c r="G4755" s="2">
        <v>5</v>
      </c>
      <c r="H4755" s="2">
        <v>-88.78</v>
      </c>
      <c r="I4755" t="str">
        <f t="shared" si="74"/>
        <v>May</v>
      </c>
      <c r="J4755">
        <f>YEAR(datas[[#This Row],[Order Date]])</f>
        <v>2023</v>
      </c>
    </row>
    <row r="4756" spans="1:10" ht="14.25" customHeight="1" x14ac:dyDescent="0.3">
      <c r="A4756" s="1">
        <v>45072</v>
      </c>
      <c r="B4756" s="2" t="s">
        <v>159</v>
      </c>
      <c r="C4756" s="2" t="s">
        <v>9</v>
      </c>
      <c r="D4756" s="2" t="s">
        <v>10</v>
      </c>
      <c r="E4756" s="2" t="s">
        <v>11</v>
      </c>
      <c r="F4756" s="2">
        <v>14.35</v>
      </c>
      <c r="G4756" s="2">
        <v>3</v>
      </c>
      <c r="H4756" s="2">
        <v>5.2</v>
      </c>
      <c r="I4756" t="str">
        <f t="shared" si="74"/>
        <v>May</v>
      </c>
      <c r="J4756">
        <f>YEAR(datas[[#This Row],[Order Date]])</f>
        <v>2023</v>
      </c>
    </row>
    <row r="4757" spans="1:10" ht="14.25" customHeight="1" x14ac:dyDescent="0.3">
      <c r="A4757" s="1">
        <v>45072</v>
      </c>
      <c r="B4757" s="2" t="s">
        <v>159</v>
      </c>
      <c r="C4757" s="2" t="s">
        <v>9</v>
      </c>
      <c r="D4757" s="2" t="s">
        <v>28</v>
      </c>
      <c r="E4757" s="2" t="s">
        <v>34</v>
      </c>
      <c r="F4757" s="2">
        <v>63.99</v>
      </c>
      <c r="G4757" s="2">
        <v>1</v>
      </c>
      <c r="H4757" s="2">
        <v>-7.2</v>
      </c>
      <c r="I4757" t="str">
        <f t="shared" si="74"/>
        <v>May</v>
      </c>
      <c r="J4757">
        <f>YEAR(datas[[#This Row],[Order Date]])</f>
        <v>2023</v>
      </c>
    </row>
    <row r="4758" spans="1:10" ht="14.25" customHeight="1" x14ac:dyDescent="0.3">
      <c r="A4758" s="1">
        <v>45072</v>
      </c>
      <c r="B4758" s="2" t="s">
        <v>331</v>
      </c>
      <c r="C4758" s="2" t="s">
        <v>710</v>
      </c>
      <c r="D4758" s="2" t="s">
        <v>10</v>
      </c>
      <c r="E4758" s="2" t="s">
        <v>11</v>
      </c>
      <c r="F4758" s="2">
        <v>19.440000000000001</v>
      </c>
      <c r="G4758" s="2">
        <v>3</v>
      </c>
      <c r="H4758" s="2">
        <v>9.33</v>
      </c>
      <c r="I4758" t="str">
        <f t="shared" si="74"/>
        <v>May</v>
      </c>
      <c r="J4758">
        <f>YEAR(datas[[#This Row],[Order Date]])</f>
        <v>2023</v>
      </c>
    </row>
    <row r="4759" spans="1:10" ht="14.25" customHeight="1" x14ac:dyDescent="0.3">
      <c r="A4759" s="1">
        <v>45072</v>
      </c>
      <c r="B4759" s="2" t="s">
        <v>331</v>
      </c>
      <c r="C4759" s="2" t="s">
        <v>710</v>
      </c>
      <c r="D4759" s="2" t="s">
        <v>10</v>
      </c>
      <c r="E4759" s="2" t="s">
        <v>16</v>
      </c>
      <c r="F4759" s="2">
        <v>9.64</v>
      </c>
      <c r="G4759" s="2">
        <v>2</v>
      </c>
      <c r="H4759" s="2">
        <v>4.43</v>
      </c>
      <c r="I4759" t="str">
        <f t="shared" si="74"/>
        <v>May</v>
      </c>
      <c r="J4759">
        <f>YEAR(datas[[#This Row],[Order Date]])</f>
        <v>2023</v>
      </c>
    </row>
    <row r="4760" spans="1:10" ht="14.25" customHeight="1" x14ac:dyDescent="0.3">
      <c r="A4760" s="1">
        <v>45072</v>
      </c>
      <c r="B4760" s="2" t="s">
        <v>331</v>
      </c>
      <c r="C4760" s="2" t="s">
        <v>710</v>
      </c>
      <c r="D4760" s="2" t="s">
        <v>10</v>
      </c>
      <c r="E4760" s="2" t="s">
        <v>11</v>
      </c>
      <c r="F4760" s="2">
        <v>12.7</v>
      </c>
      <c r="G4760" s="2">
        <v>2</v>
      </c>
      <c r="H4760" s="2">
        <v>5.84</v>
      </c>
      <c r="I4760" t="str">
        <f t="shared" si="74"/>
        <v>May</v>
      </c>
      <c r="J4760">
        <f>YEAR(datas[[#This Row],[Order Date]])</f>
        <v>2023</v>
      </c>
    </row>
    <row r="4761" spans="1:10" ht="14.25" customHeight="1" x14ac:dyDescent="0.3">
      <c r="A4761" s="1">
        <v>45072</v>
      </c>
      <c r="B4761" s="2" t="s">
        <v>331</v>
      </c>
      <c r="C4761" s="2" t="s">
        <v>710</v>
      </c>
      <c r="D4761" s="2" t="s">
        <v>26</v>
      </c>
      <c r="E4761" s="2" t="s">
        <v>32</v>
      </c>
      <c r="F4761" s="2">
        <v>41.37</v>
      </c>
      <c r="G4761" s="2">
        <v>3</v>
      </c>
      <c r="H4761" s="2">
        <v>17.38</v>
      </c>
      <c r="I4761" t="str">
        <f t="shared" si="74"/>
        <v>May</v>
      </c>
      <c r="J4761">
        <f>YEAR(datas[[#This Row],[Order Date]])</f>
        <v>2023</v>
      </c>
    </row>
    <row r="4762" spans="1:10" ht="14.25" customHeight="1" x14ac:dyDescent="0.3">
      <c r="A4762" s="1">
        <v>45072</v>
      </c>
      <c r="B4762" s="2" t="s">
        <v>567</v>
      </c>
      <c r="C4762" s="2" t="s">
        <v>18</v>
      </c>
      <c r="D4762" s="2" t="s">
        <v>10</v>
      </c>
      <c r="E4762" s="2" t="s">
        <v>19</v>
      </c>
      <c r="F4762" s="2">
        <v>1.5</v>
      </c>
      <c r="G4762" s="2">
        <v>1</v>
      </c>
      <c r="H4762" s="2">
        <v>0.17</v>
      </c>
      <c r="I4762" t="str">
        <f t="shared" si="74"/>
        <v>May</v>
      </c>
      <c r="J4762">
        <f>YEAR(datas[[#This Row],[Order Date]])</f>
        <v>2023</v>
      </c>
    </row>
    <row r="4763" spans="1:10" ht="14.25" customHeight="1" x14ac:dyDescent="0.3">
      <c r="A4763" s="1">
        <v>45072</v>
      </c>
      <c r="B4763" s="2" t="s">
        <v>567</v>
      </c>
      <c r="C4763" s="2" t="s">
        <v>18</v>
      </c>
      <c r="D4763" s="2" t="s">
        <v>10</v>
      </c>
      <c r="E4763" s="2" t="s">
        <v>53</v>
      </c>
      <c r="F4763" s="2">
        <v>34.85</v>
      </c>
      <c r="G4763" s="2">
        <v>2</v>
      </c>
      <c r="H4763" s="2">
        <v>6.53</v>
      </c>
      <c r="I4763" t="str">
        <f t="shared" si="74"/>
        <v>May</v>
      </c>
      <c r="J4763">
        <f>YEAR(datas[[#This Row],[Order Date]])</f>
        <v>2023</v>
      </c>
    </row>
    <row r="4764" spans="1:10" ht="14.25" customHeight="1" x14ac:dyDescent="0.3">
      <c r="A4764" s="1">
        <v>45072</v>
      </c>
      <c r="B4764" s="2" t="s">
        <v>212</v>
      </c>
      <c r="C4764" s="2" t="s">
        <v>21</v>
      </c>
      <c r="D4764" s="2" t="s">
        <v>10</v>
      </c>
      <c r="E4764" s="2" t="s">
        <v>30</v>
      </c>
      <c r="F4764" s="2">
        <v>5.94</v>
      </c>
      <c r="G4764" s="2">
        <v>3</v>
      </c>
      <c r="H4764" s="2">
        <v>0</v>
      </c>
      <c r="I4764" t="str">
        <f t="shared" si="74"/>
        <v>May</v>
      </c>
      <c r="J4764">
        <f>YEAR(datas[[#This Row],[Order Date]])</f>
        <v>2023</v>
      </c>
    </row>
    <row r="4765" spans="1:10" ht="14.25" customHeight="1" x14ac:dyDescent="0.3">
      <c r="A4765" s="1">
        <v>45072</v>
      </c>
      <c r="B4765" s="2" t="s">
        <v>212</v>
      </c>
      <c r="C4765" s="2" t="s">
        <v>21</v>
      </c>
      <c r="D4765" s="2" t="s">
        <v>10</v>
      </c>
      <c r="E4765" s="2" t="s">
        <v>11</v>
      </c>
      <c r="F4765" s="2">
        <v>45.36</v>
      </c>
      <c r="G4765" s="2">
        <v>7</v>
      </c>
      <c r="H4765" s="2">
        <v>21.77</v>
      </c>
      <c r="I4765" t="str">
        <f t="shared" si="74"/>
        <v>May</v>
      </c>
      <c r="J4765">
        <f>YEAR(datas[[#This Row],[Order Date]])</f>
        <v>2023</v>
      </c>
    </row>
    <row r="4766" spans="1:10" ht="14.25" customHeight="1" x14ac:dyDescent="0.3">
      <c r="A4766" s="1">
        <v>45072</v>
      </c>
      <c r="B4766" s="2" t="s">
        <v>212</v>
      </c>
      <c r="C4766" s="2" t="s">
        <v>21</v>
      </c>
      <c r="D4766" s="2" t="s">
        <v>28</v>
      </c>
      <c r="E4766" s="2" t="s">
        <v>29</v>
      </c>
      <c r="F4766" s="2">
        <v>211.17</v>
      </c>
      <c r="G4766" s="2">
        <v>4</v>
      </c>
      <c r="H4766" s="2">
        <v>23.76</v>
      </c>
      <c r="I4766" t="str">
        <f t="shared" si="74"/>
        <v>May</v>
      </c>
      <c r="J4766">
        <f>YEAR(datas[[#This Row],[Order Date]])</f>
        <v>2023</v>
      </c>
    </row>
    <row r="4767" spans="1:10" ht="14.25" customHeight="1" x14ac:dyDescent="0.3">
      <c r="A4767" s="1">
        <v>45072</v>
      </c>
      <c r="B4767" s="2" t="s">
        <v>212</v>
      </c>
      <c r="C4767" s="2" t="s">
        <v>21</v>
      </c>
      <c r="D4767" s="2" t="s">
        <v>26</v>
      </c>
      <c r="E4767" s="2" t="s">
        <v>27</v>
      </c>
      <c r="F4767" s="2">
        <v>484.7</v>
      </c>
      <c r="G4767" s="2">
        <v>6</v>
      </c>
      <c r="H4767" s="2">
        <v>-84.82</v>
      </c>
      <c r="I4767" t="str">
        <f t="shared" si="74"/>
        <v>May</v>
      </c>
      <c r="J4767">
        <f>YEAR(datas[[#This Row],[Order Date]])</f>
        <v>2023</v>
      </c>
    </row>
    <row r="4768" spans="1:10" ht="14.25" customHeight="1" x14ac:dyDescent="0.3">
      <c r="A4768" s="1">
        <v>45072</v>
      </c>
      <c r="B4768" s="2" t="s">
        <v>212</v>
      </c>
      <c r="C4768" s="2" t="s">
        <v>21</v>
      </c>
      <c r="D4768" s="2" t="s">
        <v>28</v>
      </c>
      <c r="E4768" s="2" t="s">
        <v>136</v>
      </c>
      <c r="F4768" s="2">
        <v>371.98</v>
      </c>
      <c r="G4768" s="2">
        <v>3</v>
      </c>
      <c r="H4768" s="2">
        <v>116.24</v>
      </c>
      <c r="I4768" t="str">
        <f t="shared" si="74"/>
        <v>May</v>
      </c>
      <c r="J4768">
        <f>YEAR(datas[[#This Row],[Order Date]])</f>
        <v>2023</v>
      </c>
    </row>
    <row r="4769" spans="1:10" ht="14.25" customHeight="1" x14ac:dyDescent="0.3">
      <c r="A4769" s="1">
        <v>45072</v>
      </c>
      <c r="B4769" s="2" t="s">
        <v>624</v>
      </c>
      <c r="C4769" s="2" t="s">
        <v>64</v>
      </c>
      <c r="D4769" s="2" t="s">
        <v>10</v>
      </c>
      <c r="E4769" s="2" t="s">
        <v>15</v>
      </c>
      <c r="F4769" s="2">
        <v>184.7</v>
      </c>
      <c r="G4769" s="2">
        <v>6</v>
      </c>
      <c r="H4769" s="2">
        <v>13.85</v>
      </c>
      <c r="I4769" t="str">
        <f t="shared" si="74"/>
        <v>May</v>
      </c>
      <c r="J4769">
        <f>YEAR(datas[[#This Row],[Order Date]])</f>
        <v>2023</v>
      </c>
    </row>
    <row r="4770" spans="1:10" ht="14.25" customHeight="1" x14ac:dyDescent="0.3">
      <c r="A4770" s="1">
        <v>45072</v>
      </c>
      <c r="B4770" s="2" t="s">
        <v>624</v>
      </c>
      <c r="C4770" s="2" t="s">
        <v>64</v>
      </c>
      <c r="D4770" s="2" t="s">
        <v>28</v>
      </c>
      <c r="E4770" s="2" t="s">
        <v>34</v>
      </c>
      <c r="F4770" s="2">
        <v>47.92</v>
      </c>
      <c r="G4770" s="2">
        <v>2</v>
      </c>
      <c r="H4770" s="2">
        <v>11.98</v>
      </c>
      <c r="I4770" t="str">
        <f t="shared" si="74"/>
        <v>May</v>
      </c>
      <c r="J4770">
        <f>YEAR(datas[[#This Row],[Order Date]])</f>
        <v>2023</v>
      </c>
    </row>
    <row r="4771" spans="1:10" ht="14.25" customHeight="1" x14ac:dyDescent="0.3">
      <c r="A4771" s="1">
        <v>45072</v>
      </c>
      <c r="B4771" s="2" t="s">
        <v>826</v>
      </c>
      <c r="C4771" s="2" t="s">
        <v>79</v>
      </c>
      <c r="D4771" s="2" t="s">
        <v>26</v>
      </c>
      <c r="E4771" s="2" t="s">
        <v>32</v>
      </c>
      <c r="F4771" s="2">
        <v>26.94</v>
      </c>
      <c r="G4771" s="2">
        <v>3</v>
      </c>
      <c r="H4771" s="2">
        <v>11.31</v>
      </c>
      <c r="I4771" t="str">
        <f t="shared" si="74"/>
        <v>May</v>
      </c>
      <c r="J4771">
        <f>YEAR(datas[[#This Row],[Order Date]])</f>
        <v>2023</v>
      </c>
    </row>
    <row r="4772" spans="1:10" ht="14.25" customHeight="1" x14ac:dyDescent="0.3">
      <c r="A4772" s="1">
        <v>45073</v>
      </c>
      <c r="B4772" s="2" t="s">
        <v>238</v>
      </c>
      <c r="C4772" s="2" t="s">
        <v>60</v>
      </c>
      <c r="D4772" s="2" t="s">
        <v>26</v>
      </c>
      <c r="E4772" s="2" t="s">
        <v>27</v>
      </c>
      <c r="F4772" s="2">
        <v>3504.9</v>
      </c>
      <c r="G4772" s="2">
        <v>5</v>
      </c>
      <c r="H4772" s="2">
        <v>700.98</v>
      </c>
      <c r="I4772" t="str">
        <f t="shared" si="74"/>
        <v>May</v>
      </c>
      <c r="J4772">
        <f>YEAR(datas[[#This Row],[Order Date]])</f>
        <v>2023</v>
      </c>
    </row>
    <row r="4773" spans="1:10" ht="14.25" customHeight="1" x14ac:dyDescent="0.3">
      <c r="A4773" s="1">
        <v>45073</v>
      </c>
      <c r="B4773" s="2" t="s">
        <v>238</v>
      </c>
      <c r="C4773" s="2" t="s">
        <v>60</v>
      </c>
      <c r="D4773" s="2" t="s">
        <v>10</v>
      </c>
      <c r="E4773" s="2" t="s">
        <v>11</v>
      </c>
      <c r="F4773" s="2">
        <v>144.12</v>
      </c>
      <c r="G4773" s="2">
        <v>3</v>
      </c>
      <c r="H4773" s="2">
        <v>69.180000000000007</v>
      </c>
      <c r="I4773" t="str">
        <f t="shared" si="74"/>
        <v>May</v>
      </c>
      <c r="J4773">
        <f>YEAR(datas[[#This Row],[Order Date]])</f>
        <v>2023</v>
      </c>
    </row>
    <row r="4774" spans="1:10" ht="14.25" customHeight="1" x14ac:dyDescent="0.3">
      <c r="A4774" s="1">
        <v>45073</v>
      </c>
      <c r="B4774" s="2" t="s">
        <v>238</v>
      </c>
      <c r="C4774" s="2" t="s">
        <v>60</v>
      </c>
      <c r="D4774" s="2" t="s">
        <v>10</v>
      </c>
      <c r="E4774" s="2" t="s">
        <v>11</v>
      </c>
      <c r="F4774" s="2">
        <v>314.55</v>
      </c>
      <c r="G4774" s="2">
        <v>3</v>
      </c>
      <c r="H4774" s="2">
        <v>150.97999999999999</v>
      </c>
      <c r="I4774" t="str">
        <f t="shared" si="74"/>
        <v>May</v>
      </c>
      <c r="J4774">
        <f>YEAR(datas[[#This Row],[Order Date]])</f>
        <v>2023</v>
      </c>
    </row>
    <row r="4775" spans="1:10" ht="14.25" customHeight="1" x14ac:dyDescent="0.3">
      <c r="A4775" s="1">
        <v>45073</v>
      </c>
      <c r="B4775" s="2" t="s">
        <v>335</v>
      </c>
      <c r="C4775" s="2" t="s">
        <v>13</v>
      </c>
      <c r="D4775" s="2" t="s">
        <v>26</v>
      </c>
      <c r="E4775" s="2" t="s">
        <v>32</v>
      </c>
      <c r="F4775" s="2">
        <v>25.18</v>
      </c>
      <c r="G4775" s="2">
        <v>3</v>
      </c>
      <c r="H4775" s="2">
        <v>-33.36</v>
      </c>
      <c r="I4775" t="str">
        <f t="shared" si="74"/>
        <v>May</v>
      </c>
      <c r="J4775">
        <f>YEAR(datas[[#This Row],[Order Date]])</f>
        <v>2023</v>
      </c>
    </row>
    <row r="4776" spans="1:10" ht="14.25" customHeight="1" x14ac:dyDescent="0.3">
      <c r="A4776" s="1">
        <v>45073</v>
      </c>
      <c r="B4776" s="2" t="s">
        <v>335</v>
      </c>
      <c r="C4776" s="2" t="s">
        <v>13</v>
      </c>
      <c r="D4776" s="2" t="s">
        <v>26</v>
      </c>
      <c r="E4776" s="2" t="s">
        <v>32</v>
      </c>
      <c r="F4776" s="2">
        <v>5.58</v>
      </c>
      <c r="G4776" s="2">
        <v>2</v>
      </c>
      <c r="H4776" s="2">
        <v>-1.68</v>
      </c>
      <c r="I4776" t="str">
        <f t="shared" si="74"/>
        <v>May</v>
      </c>
      <c r="J4776">
        <f>YEAR(datas[[#This Row],[Order Date]])</f>
        <v>2023</v>
      </c>
    </row>
    <row r="4777" spans="1:10" ht="14.25" customHeight="1" x14ac:dyDescent="0.3">
      <c r="A4777" s="1">
        <v>45073</v>
      </c>
      <c r="B4777" s="2" t="s">
        <v>335</v>
      </c>
      <c r="C4777" s="2" t="s">
        <v>13</v>
      </c>
      <c r="D4777" s="2" t="s">
        <v>10</v>
      </c>
      <c r="E4777" s="2" t="s">
        <v>15</v>
      </c>
      <c r="F4777" s="2">
        <v>1297.3699999999999</v>
      </c>
      <c r="G4777" s="2">
        <v>9</v>
      </c>
      <c r="H4777" s="2">
        <v>97.3</v>
      </c>
      <c r="I4777" t="str">
        <f t="shared" si="74"/>
        <v>May</v>
      </c>
      <c r="J4777">
        <f>YEAR(datas[[#This Row],[Order Date]])</f>
        <v>2023</v>
      </c>
    </row>
    <row r="4778" spans="1:10" ht="14.25" customHeight="1" x14ac:dyDescent="0.3">
      <c r="A4778" s="1">
        <v>45073</v>
      </c>
      <c r="B4778" s="2" t="s">
        <v>533</v>
      </c>
      <c r="C4778" s="2" t="s">
        <v>21</v>
      </c>
      <c r="D4778" s="2" t="s">
        <v>10</v>
      </c>
      <c r="E4778" s="2" t="s">
        <v>11</v>
      </c>
      <c r="F4778" s="2">
        <v>13.38</v>
      </c>
      <c r="G4778" s="2">
        <v>2</v>
      </c>
      <c r="H4778" s="2">
        <v>6.15</v>
      </c>
      <c r="I4778" t="str">
        <f t="shared" si="74"/>
        <v>May</v>
      </c>
      <c r="J4778">
        <f>YEAR(datas[[#This Row],[Order Date]])</f>
        <v>2023</v>
      </c>
    </row>
    <row r="4779" spans="1:10" ht="14.25" customHeight="1" x14ac:dyDescent="0.3">
      <c r="A4779" s="1">
        <v>45074</v>
      </c>
      <c r="B4779" s="2" t="s">
        <v>398</v>
      </c>
      <c r="C4779" s="2" t="s">
        <v>143</v>
      </c>
      <c r="D4779" s="2" t="s">
        <v>10</v>
      </c>
      <c r="E4779" s="2" t="s">
        <v>19</v>
      </c>
      <c r="F4779" s="2">
        <v>185.88</v>
      </c>
      <c r="G4779" s="2">
        <v>6</v>
      </c>
      <c r="H4779" s="2">
        <v>50.19</v>
      </c>
      <c r="I4779" t="str">
        <f t="shared" si="74"/>
        <v>May</v>
      </c>
      <c r="J4779">
        <f>YEAR(datas[[#This Row],[Order Date]])</f>
        <v>2023</v>
      </c>
    </row>
    <row r="4780" spans="1:10" ht="14.25" customHeight="1" x14ac:dyDescent="0.3">
      <c r="A4780" s="1">
        <v>45074</v>
      </c>
      <c r="B4780" s="2" t="s">
        <v>638</v>
      </c>
      <c r="C4780" s="2" t="s">
        <v>64</v>
      </c>
      <c r="D4780" s="2" t="s">
        <v>26</v>
      </c>
      <c r="E4780" s="2" t="s">
        <v>27</v>
      </c>
      <c r="F4780" s="2">
        <v>390.27</v>
      </c>
      <c r="G4780" s="2">
        <v>8</v>
      </c>
      <c r="H4780" s="2">
        <v>-24.39</v>
      </c>
      <c r="I4780" t="str">
        <f t="shared" si="74"/>
        <v>May</v>
      </c>
      <c r="J4780">
        <f>YEAR(datas[[#This Row],[Order Date]])</f>
        <v>2023</v>
      </c>
    </row>
    <row r="4781" spans="1:10" ht="14.25" customHeight="1" x14ac:dyDescent="0.3">
      <c r="A4781" s="1">
        <v>45074</v>
      </c>
      <c r="B4781" s="2" t="s">
        <v>638</v>
      </c>
      <c r="C4781" s="2" t="s">
        <v>64</v>
      </c>
      <c r="D4781" s="2" t="s">
        <v>10</v>
      </c>
      <c r="E4781" s="2" t="s">
        <v>11</v>
      </c>
      <c r="F4781" s="2">
        <v>62.19</v>
      </c>
      <c r="G4781" s="2">
        <v>13</v>
      </c>
      <c r="H4781" s="2">
        <v>19.440000000000001</v>
      </c>
      <c r="I4781" t="str">
        <f t="shared" si="74"/>
        <v>May</v>
      </c>
      <c r="J4781">
        <f>YEAR(datas[[#This Row],[Order Date]])</f>
        <v>2023</v>
      </c>
    </row>
    <row r="4782" spans="1:10" ht="14.25" customHeight="1" x14ac:dyDescent="0.3">
      <c r="A4782" s="1">
        <v>45074</v>
      </c>
      <c r="B4782" s="2" t="s">
        <v>120</v>
      </c>
      <c r="C4782" s="2" t="s">
        <v>21</v>
      </c>
      <c r="D4782" s="2" t="s">
        <v>10</v>
      </c>
      <c r="E4782" s="2" t="s">
        <v>53</v>
      </c>
      <c r="F4782" s="2">
        <v>262.24</v>
      </c>
      <c r="G4782" s="2">
        <v>2</v>
      </c>
      <c r="H4782" s="2">
        <v>78.67</v>
      </c>
      <c r="I4782" t="str">
        <f t="shared" si="74"/>
        <v>May</v>
      </c>
      <c r="J4782">
        <f>YEAR(datas[[#This Row],[Order Date]])</f>
        <v>2023</v>
      </c>
    </row>
    <row r="4783" spans="1:10" ht="14.25" customHeight="1" x14ac:dyDescent="0.3">
      <c r="A4783" s="1">
        <v>45074</v>
      </c>
      <c r="B4783" s="2" t="s">
        <v>120</v>
      </c>
      <c r="C4783" s="2" t="s">
        <v>21</v>
      </c>
      <c r="D4783" s="2" t="s">
        <v>10</v>
      </c>
      <c r="E4783" s="2" t="s">
        <v>11</v>
      </c>
      <c r="F4783" s="2">
        <v>182.72</v>
      </c>
      <c r="G4783" s="2">
        <v>8</v>
      </c>
      <c r="H4783" s="2">
        <v>84.05</v>
      </c>
      <c r="I4783" t="str">
        <f t="shared" si="74"/>
        <v>May</v>
      </c>
      <c r="J4783">
        <f>YEAR(datas[[#This Row],[Order Date]])</f>
        <v>2023</v>
      </c>
    </row>
    <row r="4784" spans="1:10" ht="14.25" customHeight="1" x14ac:dyDescent="0.3">
      <c r="A4784" s="1">
        <v>45074</v>
      </c>
      <c r="B4784" s="2" t="s">
        <v>120</v>
      </c>
      <c r="C4784" s="2" t="s">
        <v>21</v>
      </c>
      <c r="D4784" s="2" t="s">
        <v>28</v>
      </c>
      <c r="E4784" s="2" t="s">
        <v>34</v>
      </c>
      <c r="F4784" s="2">
        <v>131.6</v>
      </c>
      <c r="G4784" s="2">
        <v>7</v>
      </c>
      <c r="H4784" s="2">
        <v>7.9</v>
      </c>
      <c r="I4784" t="str">
        <f t="shared" si="74"/>
        <v>May</v>
      </c>
      <c r="J4784">
        <f>YEAR(datas[[#This Row],[Order Date]])</f>
        <v>2023</v>
      </c>
    </row>
    <row r="4785" spans="1:10" ht="14.25" customHeight="1" x14ac:dyDescent="0.3">
      <c r="A4785" s="1">
        <v>45074</v>
      </c>
      <c r="B4785" s="2" t="s">
        <v>120</v>
      </c>
      <c r="C4785" s="2" t="s">
        <v>21</v>
      </c>
      <c r="D4785" s="2" t="s">
        <v>10</v>
      </c>
      <c r="E4785" s="2" t="s">
        <v>16</v>
      </c>
      <c r="F4785" s="2">
        <v>22.72</v>
      </c>
      <c r="G4785" s="2">
        <v>4</v>
      </c>
      <c r="H4785" s="2">
        <v>7.38</v>
      </c>
      <c r="I4785" t="str">
        <f t="shared" si="74"/>
        <v>May</v>
      </c>
      <c r="J4785">
        <f>YEAR(datas[[#This Row],[Order Date]])</f>
        <v>2023</v>
      </c>
    </row>
    <row r="4786" spans="1:10" ht="14.25" customHeight="1" x14ac:dyDescent="0.3">
      <c r="A4786" s="1">
        <v>45074</v>
      </c>
      <c r="B4786" s="2" t="s">
        <v>120</v>
      </c>
      <c r="C4786" s="2" t="s">
        <v>21</v>
      </c>
      <c r="D4786" s="2" t="s">
        <v>28</v>
      </c>
      <c r="E4786" s="2" t="s">
        <v>136</v>
      </c>
      <c r="F4786" s="2">
        <v>558.4</v>
      </c>
      <c r="G4786" s="2">
        <v>2</v>
      </c>
      <c r="H4786" s="2">
        <v>41.88</v>
      </c>
      <c r="I4786" t="str">
        <f t="shared" si="74"/>
        <v>May</v>
      </c>
      <c r="J4786">
        <f>YEAR(datas[[#This Row],[Order Date]])</f>
        <v>2023</v>
      </c>
    </row>
    <row r="4787" spans="1:10" ht="14.25" customHeight="1" x14ac:dyDescent="0.3">
      <c r="A4787" s="1">
        <v>45074</v>
      </c>
      <c r="B4787" s="2" t="s">
        <v>213</v>
      </c>
      <c r="C4787" s="2" t="s">
        <v>75</v>
      </c>
      <c r="D4787" s="2" t="s">
        <v>10</v>
      </c>
      <c r="E4787" s="2" t="s">
        <v>95</v>
      </c>
      <c r="F4787" s="2">
        <v>54.9</v>
      </c>
      <c r="G4787" s="2">
        <v>5</v>
      </c>
      <c r="H4787" s="2">
        <v>15.37</v>
      </c>
      <c r="I4787" t="str">
        <f t="shared" si="74"/>
        <v>May</v>
      </c>
      <c r="J4787">
        <f>YEAR(datas[[#This Row],[Order Date]])</f>
        <v>2023</v>
      </c>
    </row>
    <row r="4788" spans="1:10" ht="14.25" customHeight="1" x14ac:dyDescent="0.3">
      <c r="A4788" s="1">
        <v>45074</v>
      </c>
      <c r="B4788" s="2" t="s">
        <v>522</v>
      </c>
      <c r="C4788" s="2" t="s">
        <v>13</v>
      </c>
      <c r="D4788" s="2" t="s">
        <v>28</v>
      </c>
      <c r="E4788" s="2" t="s">
        <v>29</v>
      </c>
      <c r="F4788" s="2">
        <v>286.39999999999998</v>
      </c>
      <c r="G4788" s="2">
        <v>1</v>
      </c>
      <c r="H4788" s="2">
        <v>25.06</v>
      </c>
      <c r="I4788" t="str">
        <f t="shared" si="74"/>
        <v>May</v>
      </c>
      <c r="J4788">
        <f>YEAR(datas[[#This Row],[Order Date]])</f>
        <v>2023</v>
      </c>
    </row>
    <row r="4789" spans="1:10" ht="14.25" customHeight="1" x14ac:dyDescent="0.3">
      <c r="A4789" s="1">
        <v>45075</v>
      </c>
      <c r="B4789" s="2" t="s">
        <v>628</v>
      </c>
      <c r="C4789" s="2" t="s">
        <v>198</v>
      </c>
      <c r="D4789" s="2" t="s">
        <v>28</v>
      </c>
      <c r="E4789" s="2" t="s">
        <v>29</v>
      </c>
      <c r="F4789" s="2">
        <v>979.95</v>
      </c>
      <c r="G4789" s="2">
        <v>5</v>
      </c>
      <c r="H4789" s="2">
        <v>274.39</v>
      </c>
      <c r="I4789" t="str">
        <f t="shared" si="74"/>
        <v>May</v>
      </c>
      <c r="J4789">
        <f>YEAR(datas[[#This Row],[Order Date]])</f>
        <v>2023</v>
      </c>
    </row>
    <row r="4790" spans="1:10" ht="14.25" customHeight="1" x14ac:dyDescent="0.3">
      <c r="A4790" s="1">
        <v>45075</v>
      </c>
      <c r="B4790" s="2" t="s">
        <v>628</v>
      </c>
      <c r="C4790" s="2" t="s">
        <v>198</v>
      </c>
      <c r="D4790" s="2" t="s">
        <v>10</v>
      </c>
      <c r="E4790" s="2" t="s">
        <v>16</v>
      </c>
      <c r="F4790" s="2">
        <v>22.75</v>
      </c>
      <c r="G4790" s="2">
        <v>5</v>
      </c>
      <c r="H4790" s="2">
        <v>11.38</v>
      </c>
      <c r="I4790" t="str">
        <f t="shared" si="74"/>
        <v>May</v>
      </c>
      <c r="J4790">
        <f>YEAR(datas[[#This Row],[Order Date]])</f>
        <v>2023</v>
      </c>
    </row>
    <row r="4791" spans="1:10" ht="14.25" customHeight="1" x14ac:dyDescent="0.3">
      <c r="A4791" s="1">
        <v>45075</v>
      </c>
      <c r="B4791" s="2" t="s">
        <v>819</v>
      </c>
      <c r="C4791" s="2" t="s">
        <v>62</v>
      </c>
      <c r="D4791" s="2" t="s">
        <v>10</v>
      </c>
      <c r="E4791" s="2" t="s">
        <v>16</v>
      </c>
      <c r="F4791" s="2">
        <v>11.28</v>
      </c>
      <c r="G4791" s="2">
        <v>3</v>
      </c>
      <c r="H4791" s="2">
        <v>-8.65</v>
      </c>
      <c r="I4791" t="str">
        <f t="shared" si="74"/>
        <v>May</v>
      </c>
      <c r="J4791">
        <f>YEAR(datas[[#This Row],[Order Date]])</f>
        <v>2023</v>
      </c>
    </row>
    <row r="4792" spans="1:10" ht="14.25" customHeight="1" x14ac:dyDescent="0.3">
      <c r="A4792" s="1">
        <v>45075</v>
      </c>
      <c r="B4792" s="2" t="s">
        <v>819</v>
      </c>
      <c r="C4792" s="2" t="s">
        <v>62</v>
      </c>
      <c r="D4792" s="2" t="s">
        <v>10</v>
      </c>
      <c r="E4792" s="2" t="s">
        <v>19</v>
      </c>
      <c r="F4792" s="2">
        <v>4.45</v>
      </c>
      <c r="G4792" s="2">
        <v>2</v>
      </c>
      <c r="H4792" s="2">
        <v>0.33</v>
      </c>
      <c r="I4792" t="str">
        <f t="shared" si="74"/>
        <v>May</v>
      </c>
      <c r="J4792">
        <f>YEAR(datas[[#This Row],[Order Date]])</f>
        <v>2023</v>
      </c>
    </row>
    <row r="4793" spans="1:10" ht="14.25" customHeight="1" x14ac:dyDescent="0.3">
      <c r="A4793" s="1">
        <v>45075</v>
      </c>
      <c r="B4793" s="2" t="s">
        <v>819</v>
      </c>
      <c r="C4793" s="2" t="s">
        <v>62</v>
      </c>
      <c r="D4793" s="2" t="s">
        <v>26</v>
      </c>
      <c r="E4793" s="2" t="s">
        <v>32</v>
      </c>
      <c r="F4793" s="2">
        <v>44.76</v>
      </c>
      <c r="G4793" s="2">
        <v>3</v>
      </c>
      <c r="H4793" s="2">
        <v>14.55</v>
      </c>
      <c r="I4793" t="str">
        <f t="shared" si="74"/>
        <v>May</v>
      </c>
      <c r="J4793">
        <f>YEAR(datas[[#This Row],[Order Date]])</f>
        <v>2023</v>
      </c>
    </row>
    <row r="4794" spans="1:10" ht="14.25" customHeight="1" x14ac:dyDescent="0.3">
      <c r="A4794" s="1">
        <v>45076</v>
      </c>
      <c r="B4794" s="2" t="s">
        <v>779</v>
      </c>
      <c r="C4794" s="2" t="s">
        <v>126</v>
      </c>
      <c r="D4794" s="2" t="s">
        <v>10</v>
      </c>
      <c r="E4794" s="2" t="s">
        <v>16</v>
      </c>
      <c r="F4794" s="2">
        <v>22.62</v>
      </c>
      <c r="G4794" s="2">
        <v>2</v>
      </c>
      <c r="H4794" s="2">
        <v>-15.08</v>
      </c>
      <c r="I4794" t="str">
        <f t="shared" si="74"/>
        <v>May</v>
      </c>
      <c r="J4794">
        <f>YEAR(datas[[#This Row],[Order Date]])</f>
        <v>2023</v>
      </c>
    </row>
    <row r="4795" spans="1:10" ht="14.25" customHeight="1" x14ac:dyDescent="0.3">
      <c r="A4795" s="1">
        <v>45076</v>
      </c>
      <c r="B4795" s="2" t="s">
        <v>779</v>
      </c>
      <c r="C4795" s="2" t="s">
        <v>126</v>
      </c>
      <c r="D4795" s="2" t="s">
        <v>10</v>
      </c>
      <c r="E4795" s="2" t="s">
        <v>16</v>
      </c>
      <c r="F4795" s="2">
        <v>14.95</v>
      </c>
      <c r="G4795" s="2">
        <v>2</v>
      </c>
      <c r="H4795" s="2">
        <v>-11.96</v>
      </c>
      <c r="I4795" t="str">
        <f t="shared" si="74"/>
        <v>May</v>
      </c>
      <c r="J4795">
        <f>YEAR(datas[[#This Row],[Order Date]])</f>
        <v>2023</v>
      </c>
    </row>
    <row r="4796" spans="1:10" ht="14.25" customHeight="1" x14ac:dyDescent="0.3">
      <c r="A4796" s="1">
        <v>45076</v>
      </c>
      <c r="B4796" s="2" t="s">
        <v>779</v>
      </c>
      <c r="C4796" s="2" t="s">
        <v>126</v>
      </c>
      <c r="D4796" s="2" t="s">
        <v>26</v>
      </c>
      <c r="E4796" s="2" t="s">
        <v>27</v>
      </c>
      <c r="F4796" s="2">
        <v>801.57</v>
      </c>
      <c r="G4796" s="2">
        <v>2</v>
      </c>
      <c r="H4796" s="2">
        <v>50.1</v>
      </c>
      <c r="I4796" t="str">
        <f t="shared" si="74"/>
        <v>May</v>
      </c>
      <c r="J4796">
        <f>YEAR(datas[[#This Row],[Order Date]])</f>
        <v>2023</v>
      </c>
    </row>
    <row r="4797" spans="1:10" ht="14.25" customHeight="1" x14ac:dyDescent="0.3">
      <c r="A4797" s="1">
        <v>45076</v>
      </c>
      <c r="B4797" s="2" t="s">
        <v>779</v>
      </c>
      <c r="C4797" s="2" t="s">
        <v>126</v>
      </c>
      <c r="D4797" s="2" t="s">
        <v>10</v>
      </c>
      <c r="E4797" s="2" t="s">
        <v>16</v>
      </c>
      <c r="F4797" s="2">
        <v>2.38</v>
      </c>
      <c r="G4797" s="2">
        <v>3</v>
      </c>
      <c r="H4797" s="2">
        <v>-1.9</v>
      </c>
      <c r="I4797" t="str">
        <f t="shared" si="74"/>
        <v>May</v>
      </c>
      <c r="J4797">
        <f>YEAR(datas[[#This Row],[Order Date]])</f>
        <v>2023</v>
      </c>
    </row>
    <row r="4798" spans="1:10" ht="14.25" customHeight="1" x14ac:dyDescent="0.3">
      <c r="A4798" s="1">
        <v>45076</v>
      </c>
      <c r="B4798" s="2" t="s">
        <v>779</v>
      </c>
      <c r="C4798" s="2" t="s">
        <v>126</v>
      </c>
      <c r="D4798" s="2" t="s">
        <v>10</v>
      </c>
      <c r="E4798" s="2" t="s">
        <v>11</v>
      </c>
      <c r="F4798" s="2">
        <v>32.79</v>
      </c>
      <c r="G4798" s="2">
        <v>1</v>
      </c>
      <c r="H4798" s="2">
        <v>11.89</v>
      </c>
      <c r="I4798" t="str">
        <f t="shared" si="74"/>
        <v>May</v>
      </c>
      <c r="J4798">
        <f>YEAR(datas[[#This Row],[Order Date]])</f>
        <v>2023</v>
      </c>
    </row>
    <row r="4799" spans="1:10" ht="14.25" customHeight="1" x14ac:dyDescent="0.3">
      <c r="A4799" s="1">
        <v>45076</v>
      </c>
      <c r="B4799" s="2" t="s">
        <v>832</v>
      </c>
      <c r="C4799" s="2" t="s">
        <v>115</v>
      </c>
      <c r="D4799" s="2" t="s">
        <v>10</v>
      </c>
      <c r="E4799" s="2" t="s">
        <v>16</v>
      </c>
      <c r="F4799" s="2">
        <v>3.28</v>
      </c>
      <c r="G4799" s="2">
        <v>2</v>
      </c>
      <c r="H4799" s="2">
        <v>-2.63</v>
      </c>
      <c r="I4799" t="str">
        <f t="shared" si="74"/>
        <v>May</v>
      </c>
      <c r="J4799">
        <f>YEAR(datas[[#This Row],[Order Date]])</f>
        <v>2023</v>
      </c>
    </row>
    <row r="4800" spans="1:10" ht="14.25" customHeight="1" x14ac:dyDescent="0.3">
      <c r="A4800" s="1">
        <v>45076</v>
      </c>
      <c r="B4800" s="2" t="s">
        <v>262</v>
      </c>
      <c r="C4800" s="2" t="s">
        <v>47</v>
      </c>
      <c r="D4800" s="2" t="s">
        <v>28</v>
      </c>
      <c r="E4800" s="2" t="s">
        <v>243</v>
      </c>
      <c r="F4800" s="2">
        <v>839.99</v>
      </c>
      <c r="G4800" s="2">
        <v>2</v>
      </c>
      <c r="H4800" s="2">
        <v>70</v>
      </c>
      <c r="I4800" t="str">
        <f t="shared" si="74"/>
        <v>May</v>
      </c>
      <c r="J4800">
        <f>YEAR(datas[[#This Row],[Order Date]])</f>
        <v>2023</v>
      </c>
    </row>
    <row r="4801" spans="1:10" ht="14.25" customHeight="1" x14ac:dyDescent="0.3">
      <c r="A4801" s="1">
        <v>45076</v>
      </c>
      <c r="B4801" s="2" t="s">
        <v>183</v>
      </c>
      <c r="C4801" s="2" t="s">
        <v>36</v>
      </c>
      <c r="D4801" s="2" t="s">
        <v>26</v>
      </c>
      <c r="E4801" s="2" t="s">
        <v>73</v>
      </c>
      <c r="F4801" s="2">
        <v>2275.5</v>
      </c>
      <c r="G4801" s="2">
        <v>10</v>
      </c>
      <c r="H4801" s="2">
        <v>386.84</v>
      </c>
      <c r="I4801" t="str">
        <f t="shared" si="74"/>
        <v>May</v>
      </c>
      <c r="J4801">
        <f>YEAR(datas[[#This Row],[Order Date]])</f>
        <v>2023</v>
      </c>
    </row>
    <row r="4802" spans="1:10" ht="14.25" customHeight="1" x14ac:dyDescent="0.3">
      <c r="A4802" s="1">
        <v>45076</v>
      </c>
      <c r="B4802" s="2" t="s">
        <v>183</v>
      </c>
      <c r="C4802" s="2" t="s">
        <v>36</v>
      </c>
      <c r="D4802" s="2" t="s">
        <v>28</v>
      </c>
      <c r="E4802" s="2" t="s">
        <v>34</v>
      </c>
      <c r="F4802" s="2">
        <v>1979.7</v>
      </c>
      <c r="G4802" s="2">
        <v>6</v>
      </c>
      <c r="H4802" s="2">
        <v>653.29999999999995</v>
      </c>
      <c r="I4802" t="str">
        <f t="shared" si="74"/>
        <v>May</v>
      </c>
      <c r="J4802">
        <f>YEAR(datas[[#This Row],[Order Date]])</f>
        <v>2023</v>
      </c>
    </row>
    <row r="4803" spans="1:10" ht="14.25" customHeight="1" x14ac:dyDescent="0.3">
      <c r="A4803" s="1">
        <v>45076</v>
      </c>
      <c r="B4803" s="2" t="s">
        <v>183</v>
      </c>
      <c r="C4803" s="2" t="s">
        <v>36</v>
      </c>
      <c r="D4803" s="2" t="s">
        <v>10</v>
      </c>
      <c r="E4803" s="2" t="s">
        <v>14</v>
      </c>
      <c r="F4803" s="2">
        <v>62.1</v>
      </c>
      <c r="G4803" s="2">
        <v>6</v>
      </c>
      <c r="H4803" s="2">
        <v>29.81</v>
      </c>
      <c r="I4803" t="str">
        <f t="shared" ref="I4803:I4866" si="75">TEXT(A4803,"mmm")</f>
        <v>May</v>
      </c>
      <c r="J4803">
        <f>YEAR(datas[[#This Row],[Order Date]])</f>
        <v>2023</v>
      </c>
    </row>
    <row r="4804" spans="1:10" ht="14.25" customHeight="1" x14ac:dyDescent="0.3">
      <c r="A4804" s="1">
        <v>45076</v>
      </c>
      <c r="B4804" s="2" t="s">
        <v>240</v>
      </c>
      <c r="C4804" s="2" t="s">
        <v>47</v>
      </c>
      <c r="D4804" s="2" t="s">
        <v>10</v>
      </c>
      <c r="E4804" s="2" t="s">
        <v>53</v>
      </c>
      <c r="F4804" s="2">
        <v>123.92</v>
      </c>
      <c r="G4804" s="2">
        <v>5</v>
      </c>
      <c r="H4804" s="2">
        <v>9.2899999999999991</v>
      </c>
      <c r="I4804" t="str">
        <f t="shared" si="75"/>
        <v>May</v>
      </c>
      <c r="J4804">
        <f>YEAR(datas[[#This Row],[Order Date]])</f>
        <v>2023</v>
      </c>
    </row>
    <row r="4805" spans="1:10" ht="14.25" customHeight="1" x14ac:dyDescent="0.3">
      <c r="A4805" s="1">
        <v>45076</v>
      </c>
      <c r="B4805" s="2" t="s">
        <v>555</v>
      </c>
      <c r="C4805" s="2" t="s">
        <v>21</v>
      </c>
      <c r="D4805" s="2" t="s">
        <v>10</v>
      </c>
      <c r="E4805" s="2" t="s">
        <v>11</v>
      </c>
      <c r="F4805" s="2">
        <v>38.880000000000003</v>
      </c>
      <c r="G4805" s="2">
        <v>6</v>
      </c>
      <c r="H4805" s="2">
        <v>18.66</v>
      </c>
      <c r="I4805" t="str">
        <f t="shared" si="75"/>
        <v>May</v>
      </c>
      <c r="J4805">
        <f>YEAR(datas[[#This Row],[Order Date]])</f>
        <v>2023</v>
      </c>
    </row>
    <row r="4806" spans="1:10" ht="14.25" customHeight="1" x14ac:dyDescent="0.3">
      <c r="A4806" s="1">
        <v>45076</v>
      </c>
      <c r="B4806" s="2" t="s">
        <v>374</v>
      </c>
      <c r="C4806" s="2" t="s">
        <v>79</v>
      </c>
      <c r="D4806" s="2" t="s">
        <v>10</v>
      </c>
      <c r="E4806" s="2" t="s">
        <v>53</v>
      </c>
      <c r="F4806" s="2">
        <v>364.74</v>
      </c>
      <c r="G4806" s="2">
        <v>3</v>
      </c>
      <c r="H4806" s="2">
        <v>109.42</v>
      </c>
      <c r="I4806" t="str">
        <f t="shared" si="75"/>
        <v>May</v>
      </c>
      <c r="J4806">
        <f>YEAR(datas[[#This Row],[Order Date]])</f>
        <v>2023</v>
      </c>
    </row>
    <row r="4807" spans="1:10" ht="14.25" customHeight="1" x14ac:dyDescent="0.3">
      <c r="A4807" s="1">
        <v>45076</v>
      </c>
      <c r="B4807" s="2" t="s">
        <v>374</v>
      </c>
      <c r="C4807" s="2" t="s">
        <v>79</v>
      </c>
      <c r="D4807" s="2" t="s">
        <v>26</v>
      </c>
      <c r="E4807" s="2" t="s">
        <v>32</v>
      </c>
      <c r="F4807" s="2">
        <v>47.4</v>
      </c>
      <c r="G4807" s="2">
        <v>5</v>
      </c>
      <c r="H4807" s="2">
        <v>21.33</v>
      </c>
      <c r="I4807" t="str">
        <f t="shared" si="75"/>
        <v>May</v>
      </c>
      <c r="J4807">
        <f>YEAR(datas[[#This Row],[Order Date]])</f>
        <v>2023</v>
      </c>
    </row>
    <row r="4808" spans="1:10" ht="14.25" customHeight="1" x14ac:dyDescent="0.3">
      <c r="A4808" s="1">
        <v>45076</v>
      </c>
      <c r="B4808" s="2" t="s">
        <v>374</v>
      </c>
      <c r="C4808" s="2" t="s">
        <v>79</v>
      </c>
      <c r="D4808" s="2" t="s">
        <v>10</v>
      </c>
      <c r="E4808" s="2" t="s">
        <v>15</v>
      </c>
      <c r="F4808" s="2">
        <v>49.76</v>
      </c>
      <c r="G4808" s="2">
        <v>4</v>
      </c>
      <c r="H4808" s="2">
        <v>13.93</v>
      </c>
      <c r="I4808" t="str">
        <f t="shared" si="75"/>
        <v>May</v>
      </c>
      <c r="J4808">
        <f>YEAR(datas[[#This Row],[Order Date]])</f>
        <v>2023</v>
      </c>
    </row>
    <row r="4809" spans="1:10" ht="14.25" customHeight="1" x14ac:dyDescent="0.3">
      <c r="A4809" s="1">
        <v>45076</v>
      </c>
      <c r="B4809" s="2" t="s">
        <v>374</v>
      </c>
      <c r="C4809" s="2" t="s">
        <v>79</v>
      </c>
      <c r="D4809" s="2" t="s">
        <v>10</v>
      </c>
      <c r="E4809" s="2" t="s">
        <v>19</v>
      </c>
      <c r="F4809" s="2">
        <v>5.56</v>
      </c>
      <c r="G4809" s="2">
        <v>2</v>
      </c>
      <c r="H4809" s="2">
        <v>1.45</v>
      </c>
      <c r="I4809" t="str">
        <f t="shared" si="75"/>
        <v>May</v>
      </c>
      <c r="J4809">
        <f>YEAR(datas[[#This Row],[Order Date]])</f>
        <v>2023</v>
      </c>
    </row>
    <row r="4810" spans="1:10" ht="14.25" customHeight="1" x14ac:dyDescent="0.3">
      <c r="A4810" s="1">
        <v>45076</v>
      </c>
      <c r="B4810" s="2" t="s">
        <v>374</v>
      </c>
      <c r="C4810" s="2" t="s">
        <v>79</v>
      </c>
      <c r="D4810" s="2" t="s">
        <v>10</v>
      </c>
      <c r="E4810" s="2" t="s">
        <v>11</v>
      </c>
      <c r="F4810" s="2">
        <v>629.1</v>
      </c>
      <c r="G4810" s="2">
        <v>6</v>
      </c>
      <c r="H4810" s="2">
        <v>301.97000000000003</v>
      </c>
      <c r="I4810" t="str">
        <f t="shared" si="75"/>
        <v>May</v>
      </c>
      <c r="J4810">
        <f>YEAR(datas[[#This Row],[Order Date]])</f>
        <v>2023</v>
      </c>
    </row>
    <row r="4811" spans="1:10" ht="14.25" customHeight="1" x14ac:dyDescent="0.3">
      <c r="A4811" s="1">
        <v>45076</v>
      </c>
      <c r="B4811" s="2" t="s">
        <v>374</v>
      </c>
      <c r="C4811" s="2" t="s">
        <v>79</v>
      </c>
      <c r="D4811" s="2" t="s">
        <v>10</v>
      </c>
      <c r="E4811" s="2" t="s">
        <v>19</v>
      </c>
      <c r="F4811" s="2">
        <v>14.7</v>
      </c>
      <c r="G4811" s="2">
        <v>5</v>
      </c>
      <c r="H4811" s="2">
        <v>3.97</v>
      </c>
      <c r="I4811" t="str">
        <f t="shared" si="75"/>
        <v>May</v>
      </c>
      <c r="J4811">
        <f>YEAR(datas[[#This Row],[Order Date]])</f>
        <v>2023</v>
      </c>
    </row>
    <row r="4812" spans="1:10" ht="14.25" customHeight="1" x14ac:dyDescent="0.3">
      <c r="A4812" s="1">
        <v>45076</v>
      </c>
      <c r="B4812" s="2" t="s">
        <v>374</v>
      </c>
      <c r="C4812" s="2" t="s">
        <v>79</v>
      </c>
      <c r="D4812" s="2" t="s">
        <v>10</v>
      </c>
      <c r="E4812" s="2" t="s">
        <v>11</v>
      </c>
      <c r="F4812" s="2">
        <v>45.36</v>
      </c>
      <c r="G4812" s="2">
        <v>7</v>
      </c>
      <c r="H4812" s="2">
        <v>21.77</v>
      </c>
      <c r="I4812" t="str">
        <f t="shared" si="75"/>
        <v>May</v>
      </c>
      <c r="J4812">
        <f>YEAR(datas[[#This Row],[Order Date]])</f>
        <v>2023</v>
      </c>
    </row>
    <row r="4813" spans="1:10" ht="14.25" customHeight="1" x14ac:dyDescent="0.3">
      <c r="A4813" s="1">
        <v>45076</v>
      </c>
      <c r="B4813" s="2" t="s">
        <v>374</v>
      </c>
      <c r="C4813" s="2" t="s">
        <v>79</v>
      </c>
      <c r="D4813" s="2" t="s">
        <v>28</v>
      </c>
      <c r="E4813" s="2" t="s">
        <v>29</v>
      </c>
      <c r="F4813" s="2">
        <v>125.99</v>
      </c>
      <c r="G4813" s="2">
        <v>1</v>
      </c>
      <c r="H4813" s="2">
        <v>35.28</v>
      </c>
      <c r="I4813" t="str">
        <f t="shared" si="75"/>
        <v>May</v>
      </c>
      <c r="J4813">
        <f>YEAR(datas[[#This Row],[Order Date]])</f>
        <v>2023</v>
      </c>
    </row>
    <row r="4814" spans="1:10" ht="14.25" customHeight="1" x14ac:dyDescent="0.3">
      <c r="A4814" s="1">
        <v>45076</v>
      </c>
      <c r="B4814" s="2" t="s">
        <v>813</v>
      </c>
      <c r="C4814" s="2" t="s">
        <v>21</v>
      </c>
      <c r="D4814" s="2" t="s">
        <v>26</v>
      </c>
      <c r="E4814" s="2" t="s">
        <v>32</v>
      </c>
      <c r="F4814" s="2">
        <v>167.84</v>
      </c>
      <c r="G4814" s="2">
        <v>8</v>
      </c>
      <c r="H4814" s="2">
        <v>11.75</v>
      </c>
      <c r="I4814" t="str">
        <f t="shared" si="75"/>
        <v>May</v>
      </c>
      <c r="J4814">
        <f>YEAR(datas[[#This Row],[Order Date]])</f>
        <v>2023</v>
      </c>
    </row>
    <row r="4815" spans="1:10" ht="14.25" customHeight="1" x14ac:dyDescent="0.3">
      <c r="A4815" s="1">
        <v>45076</v>
      </c>
      <c r="B4815" s="2" t="s">
        <v>687</v>
      </c>
      <c r="C4815" s="2" t="s">
        <v>36</v>
      </c>
      <c r="D4815" s="2" t="s">
        <v>10</v>
      </c>
      <c r="E4815" s="2" t="s">
        <v>41</v>
      </c>
      <c r="F4815" s="2">
        <v>26.55</v>
      </c>
      <c r="G4815" s="2">
        <v>9</v>
      </c>
      <c r="H4815" s="2">
        <v>12.74</v>
      </c>
      <c r="I4815" t="str">
        <f t="shared" si="75"/>
        <v>May</v>
      </c>
      <c r="J4815">
        <f>YEAR(datas[[#This Row],[Order Date]])</f>
        <v>2023</v>
      </c>
    </row>
    <row r="4816" spans="1:10" ht="14.25" customHeight="1" x14ac:dyDescent="0.3">
      <c r="A4816" s="1">
        <v>45076</v>
      </c>
      <c r="B4816" s="2" t="s">
        <v>687</v>
      </c>
      <c r="C4816" s="2" t="s">
        <v>36</v>
      </c>
      <c r="D4816" s="2" t="s">
        <v>28</v>
      </c>
      <c r="E4816" s="2" t="s">
        <v>34</v>
      </c>
      <c r="F4816" s="2">
        <v>111.98</v>
      </c>
      <c r="G4816" s="2">
        <v>2</v>
      </c>
      <c r="H4816" s="2">
        <v>26.88</v>
      </c>
      <c r="I4816" t="str">
        <f t="shared" si="75"/>
        <v>May</v>
      </c>
      <c r="J4816">
        <f>YEAR(datas[[#This Row],[Order Date]])</f>
        <v>2023</v>
      </c>
    </row>
    <row r="4817" spans="1:10" ht="14.25" customHeight="1" x14ac:dyDescent="0.3">
      <c r="A4817" s="1">
        <v>45076</v>
      </c>
      <c r="B4817" s="2" t="s">
        <v>442</v>
      </c>
      <c r="C4817" s="2" t="s">
        <v>9</v>
      </c>
      <c r="D4817" s="2" t="s">
        <v>28</v>
      </c>
      <c r="E4817" s="2" t="s">
        <v>29</v>
      </c>
      <c r="F4817" s="2">
        <v>79.959999999999994</v>
      </c>
      <c r="G4817" s="2">
        <v>5</v>
      </c>
      <c r="H4817" s="2">
        <v>8</v>
      </c>
      <c r="I4817" t="str">
        <f t="shared" si="75"/>
        <v>May</v>
      </c>
      <c r="J4817">
        <f>YEAR(datas[[#This Row],[Order Date]])</f>
        <v>2023</v>
      </c>
    </row>
    <row r="4818" spans="1:10" ht="14.25" customHeight="1" x14ac:dyDescent="0.3">
      <c r="A4818" s="1">
        <v>45076</v>
      </c>
      <c r="B4818" s="2" t="s">
        <v>442</v>
      </c>
      <c r="C4818" s="2" t="s">
        <v>9</v>
      </c>
      <c r="D4818" s="2" t="s">
        <v>28</v>
      </c>
      <c r="E4818" s="2" t="s">
        <v>34</v>
      </c>
      <c r="F4818" s="2">
        <v>223.96</v>
      </c>
      <c r="G4818" s="2">
        <v>5</v>
      </c>
      <c r="H4818" s="2">
        <v>11.2</v>
      </c>
      <c r="I4818" t="str">
        <f t="shared" si="75"/>
        <v>May</v>
      </c>
      <c r="J4818">
        <f>YEAR(datas[[#This Row],[Order Date]])</f>
        <v>2023</v>
      </c>
    </row>
    <row r="4819" spans="1:10" ht="14.25" customHeight="1" x14ac:dyDescent="0.3">
      <c r="A4819" s="1">
        <v>45077</v>
      </c>
      <c r="B4819" s="2" t="s">
        <v>514</v>
      </c>
      <c r="C4819" s="2" t="s">
        <v>13</v>
      </c>
      <c r="D4819" s="2" t="s">
        <v>26</v>
      </c>
      <c r="E4819" s="2" t="s">
        <v>32</v>
      </c>
      <c r="F4819" s="2">
        <v>32.06</v>
      </c>
      <c r="G4819" s="2">
        <v>3</v>
      </c>
      <c r="H4819" s="2">
        <v>-12.83</v>
      </c>
      <c r="I4819" t="str">
        <f t="shared" si="75"/>
        <v>May</v>
      </c>
      <c r="J4819">
        <f>YEAR(datas[[#This Row],[Order Date]])</f>
        <v>2023</v>
      </c>
    </row>
    <row r="4820" spans="1:10" ht="14.25" customHeight="1" x14ac:dyDescent="0.3">
      <c r="A4820" s="1">
        <v>45077</v>
      </c>
      <c r="B4820" s="2" t="s">
        <v>514</v>
      </c>
      <c r="C4820" s="2" t="s">
        <v>13</v>
      </c>
      <c r="D4820" s="2" t="s">
        <v>10</v>
      </c>
      <c r="E4820" s="2" t="s">
        <v>11</v>
      </c>
      <c r="F4820" s="2">
        <v>18.5</v>
      </c>
      <c r="G4820" s="2">
        <v>4</v>
      </c>
      <c r="H4820" s="2">
        <v>6.7</v>
      </c>
      <c r="I4820" t="str">
        <f t="shared" si="75"/>
        <v>May</v>
      </c>
      <c r="J4820">
        <f>YEAR(datas[[#This Row],[Order Date]])</f>
        <v>2023</v>
      </c>
    </row>
    <row r="4821" spans="1:10" ht="14.25" customHeight="1" x14ac:dyDescent="0.3">
      <c r="A4821" s="1">
        <v>45077</v>
      </c>
      <c r="B4821" s="2" t="s">
        <v>514</v>
      </c>
      <c r="C4821" s="2" t="s">
        <v>13</v>
      </c>
      <c r="D4821" s="2" t="s">
        <v>26</v>
      </c>
      <c r="E4821" s="2" t="s">
        <v>27</v>
      </c>
      <c r="F4821" s="2">
        <v>191.08</v>
      </c>
      <c r="G4821" s="2">
        <v>3</v>
      </c>
      <c r="H4821" s="2">
        <v>-38.22</v>
      </c>
      <c r="I4821" t="str">
        <f t="shared" si="75"/>
        <v>May</v>
      </c>
      <c r="J4821">
        <f>YEAR(datas[[#This Row],[Order Date]])</f>
        <v>2023</v>
      </c>
    </row>
    <row r="4822" spans="1:10" ht="14.25" customHeight="1" x14ac:dyDescent="0.3">
      <c r="A4822" s="1">
        <v>45077</v>
      </c>
      <c r="B4822" s="2" t="s">
        <v>514</v>
      </c>
      <c r="C4822" s="2" t="s">
        <v>13</v>
      </c>
      <c r="D4822" s="2" t="s">
        <v>10</v>
      </c>
      <c r="E4822" s="2" t="s">
        <v>11</v>
      </c>
      <c r="F4822" s="2">
        <v>10.37</v>
      </c>
      <c r="G4822" s="2">
        <v>2</v>
      </c>
      <c r="H4822" s="2">
        <v>3.63</v>
      </c>
      <c r="I4822" t="str">
        <f t="shared" si="75"/>
        <v>May</v>
      </c>
      <c r="J4822">
        <f>YEAR(datas[[#This Row],[Order Date]])</f>
        <v>2023</v>
      </c>
    </row>
    <row r="4823" spans="1:10" ht="14.25" customHeight="1" x14ac:dyDescent="0.3">
      <c r="A4823" s="1">
        <v>45077</v>
      </c>
      <c r="B4823" s="2" t="s">
        <v>758</v>
      </c>
      <c r="C4823" s="2" t="s">
        <v>75</v>
      </c>
      <c r="D4823" s="2" t="s">
        <v>10</v>
      </c>
      <c r="E4823" s="2" t="s">
        <v>16</v>
      </c>
      <c r="F4823" s="2">
        <v>7.15</v>
      </c>
      <c r="G4823" s="2">
        <v>3</v>
      </c>
      <c r="H4823" s="2">
        <v>2.3199999999999998</v>
      </c>
      <c r="I4823" t="str">
        <f t="shared" si="75"/>
        <v>May</v>
      </c>
      <c r="J4823">
        <f>YEAR(datas[[#This Row],[Order Date]])</f>
        <v>2023</v>
      </c>
    </row>
    <row r="4824" spans="1:10" ht="14.25" customHeight="1" x14ac:dyDescent="0.3">
      <c r="A4824" s="1">
        <v>45077</v>
      </c>
      <c r="B4824" s="2" t="s">
        <v>758</v>
      </c>
      <c r="C4824" s="2" t="s">
        <v>75</v>
      </c>
      <c r="D4824" s="2" t="s">
        <v>28</v>
      </c>
      <c r="E4824" s="2" t="s">
        <v>29</v>
      </c>
      <c r="F4824" s="2">
        <v>179.7</v>
      </c>
      <c r="G4824" s="2">
        <v>6</v>
      </c>
      <c r="H4824" s="2">
        <v>88.05</v>
      </c>
      <c r="I4824" t="str">
        <f t="shared" si="75"/>
        <v>May</v>
      </c>
      <c r="J4824">
        <f>YEAR(datas[[#This Row],[Order Date]])</f>
        <v>2023</v>
      </c>
    </row>
    <row r="4825" spans="1:10" ht="14.25" customHeight="1" x14ac:dyDescent="0.3">
      <c r="A4825" s="1">
        <v>45079</v>
      </c>
      <c r="B4825" s="2" t="s">
        <v>455</v>
      </c>
      <c r="C4825" s="2" t="s">
        <v>18</v>
      </c>
      <c r="D4825" s="2" t="s">
        <v>10</v>
      </c>
      <c r="E4825" s="2" t="s">
        <v>15</v>
      </c>
      <c r="F4825" s="2">
        <v>64.78</v>
      </c>
      <c r="G4825" s="2">
        <v>1</v>
      </c>
      <c r="H4825" s="2">
        <v>-12.96</v>
      </c>
      <c r="I4825" t="str">
        <f t="shared" si="75"/>
        <v>Jun</v>
      </c>
      <c r="J4825">
        <f>YEAR(datas[[#This Row],[Order Date]])</f>
        <v>2023</v>
      </c>
    </row>
    <row r="4826" spans="1:10" ht="14.25" customHeight="1" x14ac:dyDescent="0.3">
      <c r="A4826" s="1">
        <v>45079</v>
      </c>
      <c r="B4826" s="2" t="s">
        <v>213</v>
      </c>
      <c r="C4826" s="2" t="s">
        <v>82</v>
      </c>
      <c r="D4826" s="2" t="s">
        <v>10</v>
      </c>
      <c r="E4826" s="2" t="s">
        <v>11</v>
      </c>
      <c r="F4826" s="2">
        <v>30.18</v>
      </c>
      <c r="G4826" s="2">
        <v>3</v>
      </c>
      <c r="H4826" s="2">
        <v>13.88</v>
      </c>
      <c r="I4826" t="str">
        <f t="shared" si="75"/>
        <v>Jun</v>
      </c>
      <c r="J4826">
        <f>YEAR(datas[[#This Row],[Order Date]])</f>
        <v>2023</v>
      </c>
    </row>
    <row r="4827" spans="1:10" ht="14.25" customHeight="1" x14ac:dyDescent="0.3">
      <c r="A4827" s="1">
        <v>45079</v>
      </c>
      <c r="B4827" s="2" t="s">
        <v>213</v>
      </c>
      <c r="C4827" s="2" t="s">
        <v>82</v>
      </c>
      <c r="D4827" s="2" t="s">
        <v>10</v>
      </c>
      <c r="E4827" s="2" t="s">
        <v>16</v>
      </c>
      <c r="F4827" s="2">
        <v>51.65</v>
      </c>
      <c r="G4827" s="2">
        <v>12</v>
      </c>
      <c r="H4827" s="2">
        <v>18.72</v>
      </c>
      <c r="I4827" t="str">
        <f t="shared" si="75"/>
        <v>Jun</v>
      </c>
      <c r="J4827">
        <f>YEAR(datas[[#This Row],[Order Date]])</f>
        <v>2023</v>
      </c>
    </row>
    <row r="4828" spans="1:10" ht="14.25" customHeight="1" x14ac:dyDescent="0.3">
      <c r="A4828" s="1">
        <v>45079</v>
      </c>
      <c r="B4828" s="2" t="s">
        <v>213</v>
      </c>
      <c r="C4828" s="2" t="s">
        <v>82</v>
      </c>
      <c r="D4828" s="2" t="s">
        <v>10</v>
      </c>
      <c r="E4828" s="2" t="s">
        <v>16</v>
      </c>
      <c r="F4828" s="2">
        <v>11.23</v>
      </c>
      <c r="G4828" s="2">
        <v>3</v>
      </c>
      <c r="H4828" s="2">
        <v>3.93</v>
      </c>
      <c r="I4828" t="str">
        <f t="shared" si="75"/>
        <v>Jun</v>
      </c>
      <c r="J4828">
        <f>YEAR(datas[[#This Row],[Order Date]])</f>
        <v>2023</v>
      </c>
    </row>
    <row r="4829" spans="1:10" ht="14.25" customHeight="1" x14ac:dyDescent="0.3">
      <c r="A4829" s="1">
        <v>45080</v>
      </c>
      <c r="B4829" s="2" t="s">
        <v>141</v>
      </c>
      <c r="C4829" s="2" t="s">
        <v>21</v>
      </c>
      <c r="D4829" s="2" t="s">
        <v>26</v>
      </c>
      <c r="E4829" s="2" t="s">
        <v>73</v>
      </c>
      <c r="F4829" s="2">
        <v>71.09</v>
      </c>
      <c r="G4829" s="2">
        <v>2</v>
      </c>
      <c r="H4829" s="2">
        <v>-1.78</v>
      </c>
      <c r="I4829" t="str">
        <f t="shared" si="75"/>
        <v>Jun</v>
      </c>
      <c r="J4829">
        <f>YEAR(datas[[#This Row],[Order Date]])</f>
        <v>2023</v>
      </c>
    </row>
    <row r="4830" spans="1:10" ht="14.25" customHeight="1" x14ac:dyDescent="0.3">
      <c r="A4830" s="1">
        <v>45081</v>
      </c>
      <c r="B4830" s="2" t="s">
        <v>574</v>
      </c>
      <c r="C4830" s="2" t="s">
        <v>36</v>
      </c>
      <c r="D4830" s="2" t="s">
        <v>10</v>
      </c>
      <c r="E4830" s="2" t="s">
        <v>11</v>
      </c>
      <c r="F4830" s="2">
        <v>75.88</v>
      </c>
      <c r="G4830" s="2">
        <v>2</v>
      </c>
      <c r="H4830" s="2">
        <v>35.659999999999997</v>
      </c>
      <c r="I4830" t="str">
        <f t="shared" si="75"/>
        <v>Jun</v>
      </c>
      <c r="J4830">
        <f>YEAR(datas[[#This Row],[Order Date]])</f>
        <v>2023</v>
      </c>
    </row>
    <row r="4831" spans="1:10" ht="14.25" customHeight="1" x14ac:dyDescent="0.3">
      <c r="A4831" s="1">
        <v>45081</v>
      </c>
      <c r="B4831" s="2" t="s">
        <v>387</v>
      </c>
      <c r="C4831" s="2" t="s">
        <v>13</v>
      </c>
      <c r="D4831" s="2" t="s">
        <v>10</v>
      </c>
      <c r="E4831" s="2" t="s">
        <v>11</v>
      </c>
      <c r="F4831" s="2">
        <v>25.92</v>
      </c>
      <c r="G4831" s="2">
        <v>5</v>
      </c>
      <c r="H4831" s="2">
        <v>9.4</v>
      </c>
      <c r="I4831" t="str">
        <f t="shared" si="75"/>
        <v>Jun</v>
      </c>
      <c r="J4831">
        <f>YEAR(datas[[#This Row],[Order Date]])</f>
        <v>2023</v>
      </c>
    </row>
    <row r="4832" spans="1:10" ht="14.25" customHeight="1" x14ac:dyDescent="0.3">
      <c r="A4832" s="1">
        <v>45081</v>
      </c>
      <c r="B4832" s="2" t="s">
        <v>387</v>
      </c>
      <c r="C4832" s="2" t="s">
        <v>13</v>
      </c>
      <c r="D4832" s="2" t="s">
        <v>26</v>
      </c>
      <c r="E4832" s="2" t="s">
        <v>32</v>
      </c>
      <c r="F4832" s="2">
        <v>419.68</v>
      </c>
      <c r="G4832" s="2">
        <v>5</v>
      </c>
      <c r="H4832" s="2">
        <v>-356.73</v>
      </c>
      <c r="I4832" t="str">
        <f t="shared" si="75"/>
        <v>Jun</v>
      </c>
      <c r="J4832">
        <f>YEAR(datas[[#This Row],[Order Date]])</f>
        <v>2023</v>
      </c>
    </row>
    <row r="4833" spans="1:10" ht="14.25" customHeight="1" x14ac:dyDescent="0.3">
      <c r="A4833" s="1">
        <v>45081</v>
      </c>
      <c r="B4833" s="2" t="s">
        <v>387</v>
      </c>
      <c r="C4833" s="2" t="s">
        <v>13</v>
      </c>
      <c r="D4833" s="2" t="s">
        <v>26</v>
      </c>
      <c r="E4833" s="2" t="s">
        <v>32</v>
      </c>
      <c r="F4833" s="2">
        <v>11.69</v>
      </c>
      <c r="G4833" s="2">
        <v>3</v>
      </c>
      <c r="H4833" s="2">
        <v>-4.68</v>
      </c>
      <c r="I4833" t="str">
        <f t="shared" si="75"/>
        <v>Jun</v>
      </c>
      <c r="J4833">
        <f>YEAR(datas[[#This Row],[Order Date]])</f>
        <v>2023</v>
      </c>
    </row>
    <row r="4834" spans="1:10" ht="14.25" customHeight="1" x14ac:dyDescent="0.3">
      <c r="A4834" s="1">
        <v>45081</v>
      </c>
      <c r="B4834" s="2" t="s">
        <v>387</v>
      </c>
      <c r="C4834" s="2" t="s">
        <v>13</v>
      </c>
      <c r="D4834" s="2" t="s">
        <v>28</v>
      </c>
      <c r="E4834" s="2" t="s">
        <v>29</v>
      </c>
      <c r="F4834" s="2">
        <v>31.98</v>
      </c>
      <c r="G4834" s="2">
        <v>2</v>
      </c>
      <c r="H4834" s="2">
        <v>11.19</v>
      </c>
      <c r="I4834" t="str">
        <f t="shared" si="75"/>
        <v>Jun</v>
      </c>
      <c r="J4834">
        <f>YEAR(datas[[#This Row],[Order Date]])</f>
        <v>2023</v>
      </c>
    </row>
    <row r="4835" spans="1:10" ht="14.25" customHeight="1" x14ac:dyDescent="0.3">
      <c r="A4835" s="1">
        <v>45081</v>
      </c>
      <c r="B4835" s="2" t="s">
        <v>387</v>
      </c>
      <c r="C4835" s="2" t="s">
        <v>13</v>
      </c>
      <c r="D4835" s="2" t="s">
        <v>26</v>
      </c>
      <c r="E4835" s="2" t="s">
        <v>73</v>
      </c>
      <c r="F4835" s="2">
        <v>177.23</v>
      </c>
      <c r="G4835" s="2">
        <v>5</v>
      </c>
      <c r="H4835" s="2">
        <v>-120.51</v>
      </c>
      <c r="I4835" t="str">
        <f t="shared" si="75"/>
        <v>Jun</v>
      </c>
      <c r="J4835">
        <f>YEAR(datas[[#This Row],[Order Date]])</f>
        <v>2023</v>
      </c>
    </row>
    <row r="4836" spans="1:10" ht="14.25" customHeight="1" x14ac:dyDescent="0.3">
      <c r="A4836" s="1">
        <v>45081</v>
      </c>
      <c r="B4836" s="2" t="s">
        <v>387</v>
      </c>
      <c r="C4836" s="2" t="s">
        <v>13</v>
      </c>
      <c r="D4836" s="2" t="s">
        <v>26</v>
      </c>
      <c r="E4836" s="2" t="s">
        <v>32</v>
      </c>
      <c r="F4836" s="2">
        <v>4.04</v>
      </c>
      <c r="G4836" s="2">
        <v>3</v>
      </c>
      <c r="H4836" s="2">
        <v>-2.83</v>
      </c>
      <c r="I4836" t="str">
        <f t="shared" si="75"/>
        <v>Jun</v>
      </c>
      <c r="J4836">
        <f>YEAR(datas[[#This Row],[Order Date]])</f>
        <v>2023</v>
      </c>
    </row>
    <row r="4837" spans="1:10" ht="14.25" customHeight="1" x14ac:dyDescent="0.3">
      <c r="A4837" s="1">
        <v>45081</v>
      </c>
      <c r="B4837" s="2" t="s">
        <v>387</v>
      </c>
      <c r="C4837" s="2" t="s">
        <v>13</v>
      </c>
      <c r="D4837" s="2" t="s">
        <v>10</v>
      </c>
      <c r="E4837" s="2" t="s">
        <v>19</v>
      </c>
      <c r="F4837" s="2">
        <v>7.41</v>
      </c>
      <c r="G4837" s="2">
        <v>2</v>
      </c>
      <c r="H4837" s="2">
        <v>1.2</v>
      </c>
      <c r="I4837" t="str">
        <f t="shared" si="75"/>
        <v>Jun</v>
      </c>
      <c r="J4837">
        <f>YEAR(datas[[#This Row],[Order Date]])</f>
        <v>2023</v>
      </c>
    </row>
    <row r="4838" spans="1:10" ht="14.25" customHeight="1" x14ac:dyDescent="0.3">
      <c r="A4838" s="1">
        <v>45081</v>
      </c>
      <c r="B4838" s="2" t="s">
        <v>720</v>
      </c>
      <c r="C4838" s="2" t="s">
        <v>75</v>
      </c>
      <c r="D4838" s="2" t="s">
        <v>10</v>
      </c>
      <c r="E4838" s="2" t="s">
        <v>11</v>
      </c>
      <c r="F4838" s="2">
        <v>14.94</v>
      </c>
      <c r="G4838" s="2">
        <v>3</v>
      </c>
      <c r="H4838" s="2">
        <v>7.02</v>
      </c>
      <c r="I4838" t="str">
        <f t="shared" si="75"/>
        <v>Jun</v>
      </c>
      <c r="J4838">
        <f>YEAR(datas[[#This Row],[Order Date]])</f>
        <v>2023</v>
      </c>
    </row>
    <row r="4839" spans="1:10" ht="14.25" customHeight="1" x14ac:dyDescent="0.3">
      <c r="A4839" s="1">
        <v>45081</v>
      </c>
      <c r="B4839" s="2" t="s">
        <v>720</v>
      </c>
      <c r="C4839" s="2" t="s">
        <v>75</v>
      </c>
      <c r="D4839" s="2" t="s">
        <v>28</v>
      </c>
      <c r="E4839" s="2" t="s">
        <v>136</v>
      </c>
      <c r="F4839" s="2">
        <v>1349.85</v>
      </c>
      <c r="G4839" s="2">
        <v>3</v>
      </c>
      <c r="H4839" s="2">
        <v>364.46</v>
      </c>
      <c r="I4839" t="str">
        <f t="shared" si="75"/>
        <v>Jun</v>
      </c>
      <c r="J4839">
        <f>YEAR(datas[[#This Row],[Order Date]])</f>
        <v>2023</v>
      </c>
    </row>
    <row r="4840" spans="1:10" ht="14.25" customHeight="1" x14ac:dyDescent="0.3">
      <c r="A4840" s="1">
        <v>45081</v>
      </c>
      <c r="B4840" s="2" t="s">
        <v>720</v>
      </c>
      <c r="C4840" s="2" t="s">
        <v>75</v>
      </c>
      <c r="D4840" s="2" t="s">
        <v>26</v>
      </c>
      <c r="E4840" s="2" t="s">
        <v>45</v>
      </c>
      <c r="F4840" s="2">
        <v>136.78</v>
      </c>
      <c r="G4840" s="2">
        <v>1</v>
      </c>
      <c r="H4840" s="2">
        <v>5.13</v>
      </c>
      <c r="I4840" t="str">
        <f t="shared" si="75"/>
        <v>Jun</v>
      </c>
      <c r="J4840">
        <f>YEAR(datas[[#This Row],[Order Date]])</f>
        <v>2023</v>
      </c>
    </row>
    <row r="4841" spans="1:10" ht="14.25" customHeight="1" x14ac:dyDescent="0.3">
      <c r="A4841" s="1">
        <v>45081</v>
      </c>
      <c r="B4841" s="2" t="s">
        <v>720</v>
      </c>
      <c r="C4841" s="2" t="s">
        <v>75</v>
      </c>
      <c r="D4841" s="2" t="s">
        <v>26</v>
      </c>
      <c r="E4841" s="2" t="s">
        <v>32</v>
      </c>
      <c r="F4841" s="2">
        <v>61.12</v>
      </c>
      <c r="G4841" s="2">
        <v>4</v>
      </c>
      <c r="H4841" s="2">
        <v>20.78</v>
      </c>
      <c r="I4841" t="str">
        <f t="shared" si="75"/>
        <v>Jun</v>
      </c>
      <c r="J4841">
        <f>YEAR(datas[[#This Row],[Order Date]])</f>
        <v>2023</v>
      </c>
    </row>
    <row r="4842" spans="1:10" ht="14.25" customHeight="1" x14ac:dyDescent="0.3">
      <c r="A4842" s="1">
        <v>45082</v>
      </c>
      <c r="B4842" s="2" t="s">
        <v>244</v>
      </c>
      <c r="C4842" s="2" t="s">
        <v>18</v>
      </c>
      <c r="D4842" s="2" t="s">
        <v>10</v>
      </c>
      <c r="E4842" s="2" t="s">
        <v>15</v>
      </c>
      <c r="F4842" s="2">
        <v>124.61</v>
      </c>
      <c r="G4842" s="2">
        <v>4</v>
      </c>
      <c r="H4842" s="2">
        <v>-23.36</v>
      </c>
      <c r="I4842" t="str">
        <f t="shared" si="75"/>
        <v>Jun</v>
      </c>
      <c r="J4842">
        <f>YEAR(datas[[#This Row],[Order Date]])</f>
        <v>2023</v>
      </c>
    </row>
    <row r="4843" spans="1:10" ht="14.25" customHeight="1" x14ac:dyDescent="0.3">
      <c r="A4843" s="1">
        <v>45082</v>
      </c>
      <c r="B4843" s="2" t="s">
        <v>244</v>
      </c>
      <c r="C4843" s="2" t="s">
        <v>18</v>
      </c>
      <c r="D4843" s="2" t="s">
        <v>10</v>
      </c>
      <c r="E4843" s="2" t="s">
        <v>14</v>
      </c>
      <c r="F4843" s="2">
        <v>7.56</v>
      </c>
      <c r="G4843" s="2">
        <v>3</v>
      </c>
      <c r="H4843" s="2">
        <v>2.65</v>
      </c>
      <c r="I4843" t="str">
        <f t="shared" si="75"/>
        <v>Jun</v>
      </c>
      <c r="J4843">
        <f>YEAR(datas[[#This Row],[Order Date]])</f>
        <v>2023</v>
      </c>
    </row>
    <row r="4844" spans="1:10" ht="14.25" customHeight="1" x14ac:dyDescent="0.3">
      <c r="A4844" s="1">
        <v>45082</v>
      </c>
      <c r="B4844" s="2" t="s">
        <v>286</v>
      </c>
      <c r="C4844" s="2" t="s">
        <v>38</v>
      </c>
      <c r="D4844" s="2" t="s">
        <v>10</v>
      </c>
      <c r="E4844" s="2" t="s">
        <v>15</v>
      </c>
      <c r="F4844" s="2">
        <v>360.38</v>
      </c>
      <c r="G4844" s="2">
        <v>2</v>
      </c>
      <c r="H4844" s="2">
        <v>93.7</v>
      </c>
      <c r="I4844" t="str">
        <f t="shared" si="75"/>
        <v>Jun</v>
      </c>
      <c r="J4844">
        <f>YEAR(datas[[#This Row],[Order Date]])</f>
        <v>2023</v>
      </c>
    </row>
    <row r="4845" spans="1:10" ht="14.25" customHeight="1" x14ac:dyDescent="0.3">
      <c r="A4845" s="1">
        <v>45082</v>
      </c>
      <c r="B4845" s="2" t="s">
        <v>286</v>
      </c>
      <c r="C4845" s="2" t="s">
        <v>38</v>
      </c>
      <c r="D4845" s="2" t="s">
        <v>10</v>
      </c>
      <c r="E4845" s="2" t="s">
        <v>19</v>
      </c>
      <c r="F4845" s="2">
        <v>11.16</v>
      </c>
      <c r="G4845" s="2">
        <v>2</v>
      </c>
      <c r="H4845" s="2">
        <v>2.79</v>
      </c>
      <c r="I4845" t="str">
        <f t="shared" si="75"/>
        <v>Jun</v>
      </c>
      <c r="J4845">
        <f>YEAR(datas[[#This Row],[Order Date]])</f>
        <v>2023</v>
      </c>
    </row>
    <row r="4846" spans="1:10" ht="14.25" customHeight="1" x14ac:dyDescent="0.3">
      <c r="A4846" s="1">
        <v>45082</v>
      </c>
      <c r="B4846" s="2" t="s">
        <v>286</v>
      </c>
      <c r="C4846" s="2" t="s">
        <v>38</v>
      </c>
      <c r="D4846" s="2" t="s">
        <v>10</v>
      </c>
      <c r="E4846" s="2" t="s">
        <v>14</v>
      </c>
      <c r="F4846" s="2">
        <v>14.94</v>
      </c>
      <c r="G4846" s="2">
        <v>3</v>
      </c>
      <c r="H4846" s="2">
        <v>6.87</v>
      </c>
      <c r="I4846" t="str">
        <f t="shared" si="75"/>
        <v>Jun</v>
      </c>
      <c r="J4846">
        <f>YEAR(datas[[#This Row],[Order Date]])</f>
        <v>2023</v>
      </c>
    </row>
    <row r="4847" spans="1:10" ht="14.25" customHeight="1" x14ac:dyDescent="0.3">
      <c r="A4847" s="1">
        <v>45082</v>
      </c>
      <c r="B4847" s="2" t="s">
        <v>127</v>
      </c>
      <c r="C4847" s="2" t="s">
        <v>21</v>
      </c>
      <c r="D4847" s="2" t="s">
        <v>10</v>
      </c>
      <c r="E4847" s="2" t="s">
        <v>16</v>
      </c>
      <c r="F4847" s="2">
        <v>21.55</v>
      </c>
      <c r="G4847" s="2">
        <v>6</v>
      </c>
      <c r="H4847" s="2">
        <v>7</v>
      </c>
      <c r="I4847" t="str">
        <f t="shared" si="75"/>
        <v>Jun</v>
      </c>
      <c r="J4847">
        <f>YEAR(datas[[#This Row],[Order Date]])</f>
        <v>2023</v>
      </c>
    </row>
    <row r="4848" spans="1:10" ht="14.25" customHeight="1" x14ac:dyDescent="0.3">
      <c r="A4848" s="1">
        <v>45082</v>
      </c>
      <c r="B4848" s="2" t="s">
        <v>127</v>
      </c>
      <c r="C4848" s="2" t="s">
        <v>21</v>
      </c>
      <c r="D4848" s="2" t="s">
        <v>10</v>
      </c>
      <c r="E4848" s="2" t="s">
        <v>53</v>
      </c>
      <c r="F4848" s="2">
        <v>58.24</v>
      </c>
      <c r="G4848" s="2">
        <v>4</v>
      </c>
      <c r="H4848" s="2">
        <v>15.72</v>
      </c>
      <c r="I4848" t="str">
        <f t="shared" si="75"/>
        <v>Jun</v>
      </c>
      <c r="J4848">
        <f>YEAR(datas[[#This Row],[Order Date]])</f>
        <v>2023</v>
      </c>
    </row>
    <row r="4849" spans="1:10" ht="14.25" customHeight="1" x14ac:dyDescent="0.3">
      <c r="A4849" s="1">
        <v>45082</v>
      </c>
      <c r="B4849" s="2" t="s">
        <v>662</v>
      </c>
      <c r="C4849" s="2" t="s">
        <v>82</v>
      </c>
      <c r="D4849" s="2" t="s">
        <v>10</v>
      </c>
      <c r="E4849" s="2" t="s">
        <v>95</v>
      </c>
      <c r="F4849" s="2">
        <v>61.38</v>
      </c>
      <c r="G4849" s="2">
        <v>6</v>
      </c>
      <c r="H4849" s="2">
        <v>15.96</v>
      </c>
      <c r="I4849" t="str">
        <f t="shared" si="75"/>
        <v>Jun</v>
      </c>
      <c r="J4849">
        <f>YEAR(datas[[#This Row],[Order Date]])</f>
        <v>2023</v>
      </c>
    </row>
    <row r="4850" spans="1:10" ht="14.25" customHeight="1" x14ac:dyDescent="0.3">
      <c r="A4850" s="1">
        <v>45083</v>
      </c>
      <c r="B4850" s="2" t="s">
        <v>626</v>
      </c>
      <c r="C4850" s="2" t="s">
        <v>13</v>
      </c>
      <c r="D4850" s="2" t="s">
        <v>28</v>
      </c>
      <c r="E4850" s="2" t="s">
        <v>29</v>
      </c>
      <c r="F4850" s="2">
        <v>328.22</v>
      </c>
      <c r="G4850" s="2">
        <v>4</v>
      </c>
      <c r="H4850" s="2">
        <v>28.72</v>
      </c>
      <c r="I4850" t="str">
        <f t="shared" si="75"/>
        <v>Jun</v>
      </c>
      <c r="J4850">
        <f>YEAR(datas[[#This Row],[Order Date]])</f>
        <v>2023</v>
      </c>
    </row>
    <row r="4851" spans="1:10" ht="14.25" customHeight="1" x14ac:dyDescent="0.3">
      <c r="A4851" s="1">
        <v>45083</v>
      </c>
      <c r="B4851" s="2" t="s">
        <v>107</v>
      </c>
      <c r="C4851" s="2" t="s">
        <v>181</v>
      </c>
      <c r="D4851" s="2" t="s">
        <v>10</v>
      </c>
      <c r="E4851" s="2" t="s">
        <v>15</v>
      </c>
      <c r="F4851" s="2">
        <v>714.3</v>
      </c>
      <c r="G4851" s="2">
        <v>5</v>
      </c>
      <c r="H4851" s="2">
        <v>207.15</v>
      </c>
      <c r="I4851" t="str">
        <f t="shared" si="75"/>
        <v>Jun</v>
      </c>
      <c r="J4851">
        <f>YEAR(datas[[#This Row],[Order Date]])</f>
        <v>2023</v>
      </c>
    </row>
    <row r="4852" spans="1:10" ht="14.25" customHeight="1" x14ac:dyDescent="0.3">
      <c r="A4852" s="1">
        <v>45083</v>
      </c>
      <c r="B4852" s="2" t="s">
        <v>833</v>
      </c>
      <c r="C4852" s="2" t="s">
        <v>181</v>
      </c>
      <c r="D4852" s="2" t="s">
        <v>10</v>
      </c>
      <c r="E4852" s="2" t="s">
        <v>11</v>
      </c>
      <c r="F4852" s="2">
        <v>105.52</v>
      </c>
      <c r="G4852" s="2">
        <v>4</v>
      </c>
      <c r="H4852" s="2">
        <v>48.54</v>
      </c>
      <c r="I4852" t="str">
        <f t="shared" si="75"/>
        <v>Jun</v>
      </c>
      <c r="J4852">
        <f>YEAR(datas[[#This Row],[Order Date]])</f>
        <v>2023</v>
      </c>
    </row>
    <row r="4853" spans="1:10" ht="14.25" customHeight="1" x14ac:dyDescent="0.3">
      <c r="A4853" s="1">
        <v>45083</v>
      </c>
      <c r="B4853" s="2" t="s">
        <v>656</v>
      </c>
      <c r="C4853" s="2" t="s">
        <v>57</v>
      </c>
      <c r="D4853" s="2" t="s">
        <v>28</v>
      </c>
      <c r="E4853" s="2" t="s">
        <v>34</v>
      </c>
      <c r="F4853" s="2">
        <v>179.94</v>
      </c>
      <c r="G4853" s="2">
        <v>6</v>
      </c>
      <c r="H4853" s="2">
        <v>75.569999999999993</v>
      </c>
      <c r="I4853" t="str">
        <f t="shared" si="75"/>
        <v>Jun</v>
      </c>
      <c r="J4853">
        <f>YEAR(datas[[#This Row],[Order Date]])</f>
        <v>2023</v>
      </c>
    </row>
    <row r="4854" spans="1:10" ht="14.25" customHeight="1" x14ac:dyDescent="0.3">
      <c r="A4854" s="1">
        <v>45083</v>
      </c>
      <c r="B4854" s="2" t="s">
        <v>656</v>
      </c>
      <c r="C4854" s="2" t="s">
        <v>57</v>
      </c>
      <c r="D4854" s="2" t="s">
        <v>28</v>
      </c>
      <c r="E4854" s="2" t="s">
        <v>34</v>
      </c>
      <c r="F4854" s="2">
        <v>26.85</v>
      </c>
      <c r="G4854" s="2">
        <v>3</v>
      </c>
      <c r="H4854" s="2">
        <v>5.0999999999999996</v>
      </c>
      <c r="I4854" t="str">
        <f t="shared" si="75"/>
        <v>Jun</v>
      </c>
      <c r="J4854">
        <f>YEAR(datas[[#This Row],[Order Date]])</f>
        <v>2023</v>
      </c>
    </row>
    <row r="4855" spans="1:10" ht="14.25" customHeight="1" x14ac:dyDescent="0.3">
      <c r="A4855" s="1">
        <v>45083</v>
      </c>
      <c r="B4855" s="2" t="s">
        <v>656</v>
      </c>
      <c r="C4855" s="2" t="s">
        <v>57</v>
      </c>
      <c r="D4855" s="2" t="s">
        <v>28</v>
      </c>
      <c r="E4855" s="2" t="s">
        <v>34</v>
      </c>
      <c r="F4855" s="2">
        <v>323.37</v>
      </c>
      <c r="G4855" s="2">
        <v>3</v>
      </c>
      <c r="H4855" s="2">
        <v>129.35</v>
      </c>
      <c r="I4855" t="str">
        <f t="shared" si="75"/>
        <v>Jun</v>
      </c>
      <c r="J4855">
        <f>YEAR(datas[[#This Row],[Order Date]])</f>
        <v>2023</v>
      </c>
    </row>
    <row r="4856" spans="1:10" ht="14.25" customHeight="1" x14ac:dyDescent="0.3">
      <c r="A4856" s="1">
        <v>45083</v>
      </c>
      <c r="B4856" s="2" t="s">
        <v>656</v>
      </c>
      <c r="C4856" s="2" t="s">
        <v>57</v>
      </c>
      <c r="D4856" s="2" t="s">
        <v>10</v>
      </c>
      <c r="E4856" s="2" t="s">
        <v>11</v>
      </c>
      <c r="F4856" s="2">
        <v>59.94</v>
      </c>
      <c r="G4856" s="2">
        <v>3</v>
      </c>
      <c r="H4856" s="2">
        <v>28.17</v>
      </c>
      <c r="I4856" t="str">
        <f t="shared" si="75"/>
        <v>Jun</v>
      </c>
      <c r="J4856">
        <f>YEAR(datas[[#This Row],[Order Date]])</f>
        <v>2023</v>
      </c>
    </row>
    <row r="4857" spans="1:10" ht="14.25" customHeight="1" x14ac:dyDescent="0.3">
      <c r="A4857" s="1">
        <v>45083</v>
      </c>
      <c r="B4857" s="2" t="s">
        <v>656</v>
      </c>
      <c r="C4857" s="2" t="s">
        <v>57</v>
      </c>
      <c r="D4857" s="2" t="s">
        <v>10</v>
      </c>
      <c r="E4857" s="2" t="s">
        <v>16</v>
      </c>
      <c r="F4857" s="2">
        <v>64.14</v>
      </c>
      <c r="G4857" s="2">
        <v>3</v>
      </c>
      <c r="H4857" s="2">
        <v>30.79</v>
      </c>
      <c r="I4857" t="str">
        <f t="shared" si="75"/>
        <v>Jun</v>
      </c>
      <c r="J4857">
        <f>YEAR(datas[[#This Row],[Order Date]])</f>
        <v>2023</v>
      </c>
    </row>
    <row r="4858" spans="1:10" ht="14.25" customHeight="1" x14ac:dyDescent="0.3">
      <c r="A4858" s="1">
        <v>45083</v>
      </c>
      <c r="B4858" s="2" t="s">
        <v>656</v>
      </c>
      <c r="C4858" s="2" t="s">
        <v>57</v>
      </c>
      <c r="D4858" s="2" t="s">
        <v>10</v>
      </c>
      <c r="E4858" s="2" t="s">
        <v>16</v>
      </c>
      <c r="F4858" s="2">
        <v>11.67</v>
      </c>
      <c r="G4858" s="2">
        <v>3</v>
      </c>
      <c r="H4858" s="2">
        <v>5.6</v>
      </c>
      <c r="I4858" t="str">
        <f t="shared" si="75"/>
        <v>Jun</v>
      </c>
      <c r="J4858">
        <f>YEAR(datas[[#This Row],[Order Date]])</f>
        <v>2023</v>
      </c>
    </row>
    <row r="4859" spans="1:10" ht="14.25" customHeight="1" x14ac:dyDescent="0.3">
      <c r="A4859" s="1">
        <v>45083</v>
      </c>
      <c r="B4859" s="2" t="s">
        <v>656</v>
      </c>
      <c r="C4859" s="2" t="s">
        <v>57</v>
      </c>
      <c r="D4859" s="2" t="s">
        <v>10</v>
      </c>
      <c r="E4859" s="2" t="s">
        <v>11</v>
      </c>
      <c r="F4859" s="2">
        <v>12.96</v>
      </c>
      <c r="G4859" s="2">
        <v>2</v>
      </c>
      <c r="H4859" s="2">
        <v>6.22</v>
      </c>
      <c r="I4859" t="str">
        <f t="shared" si="75"/>
        <v>Jun</v>
      </c>
      <c r="J4859">
        <f>YEAR(datas[[#This Row],[Order Date]])</f>
        <v>2023</v>
      </c>
    </row>
    <row r="4860" spans="1:10" ht="14.25" customHeight="1" x14ac:dyDescent="0.3">
      <c r="A4860" s="1">
        <v>45083</v>
      </c>
      <c r="B4860" s="2" t="s">
        <v>304</v>
      </c>
      <c r="C4860" s="2" t="s">
        <v>21</v>
      </c>
      <c r="D4860" s="2" t="s">
        <v>10</v>
      </c>
      <c r="E4860" s="2" t="s">
        <v>14</v>
      </c>
      <c r="F4860" s="2">
        <v>22.05</v>
      </c>
      <c r="G4860" s="2">
        <v>7</v>
      </c>
      <c r="H4860" s="2">
        <v>10.58</v>
      </c>
      <c r="I4860" t="str">
        <f t="shared" si="75"/>
        <v>Jun</v>
      </c>
      <c r="J4860">
        <f>YEAR(datas[[#This Row],[Order Date]])</f>
        <v>2023</v>
      </c>
    </row>
    <row r="4861" spans="1:10" ht="14.25" customHeight="1" x14ac:dyDescent="0.3">
      <c r="A4861" s="1">
        <v>45083</v>
      </c>
      <c r="B4861" s="2" t="s">
        <v>304</v>
      </c>
      <c r="C4861" s="2" t="s">
        <v>21</v>
      </c>
      <c r="D4861" s="2" t="s">
        <v>10</v>
      </c>
      <c r="E4861" s="2" t="s">
        <v>11</v>
      </c>
      <c r="F4861" s="2">
        <v>99.9</v>
      </c>
      <c r="G4861" s="2">
        <v>5</v>
      </c>
      <c r="H4861" s="2">
        <v>46.95</v>
      </c>
      <c r="I4861" t="str">
        <f t="shared" si="75"/>
        <v>Jun</v>
      </c>
      <c r="J4861">
        <f>YEAR(datas[[#This Row],[Order Date]])</f>
        <v>2023</v>
      </c>
    </row>
    <row r="4862" spans="1:10" ht="14.25" customHeight="1" x14ac:dyDescent="0.3">
      <c r="A4862" s="1">
        <v>45083</v>
      </c>
      <c r="B4862" s="2" t="s">
        <v>24</v>
      </c>
      <c r="C4862" s="2" t="s">
        <v>21</v>
      </c>
      <c r="D4862" s="2" t="s">
        <v>28</v>
      </c>
      <c r="E4862" s="2" t="s">
        <v>29</v>
      </c>
      <c r="F4862" s="2">
        <v>3023.93</v>
      </c>
      <c r="G4862" s="2">
        <v>9</v>
      </c>
      <c r="H4862" s="2">
        <v>226.79</v>
      </c>
      <c r="I4862" t="str">
        <f t="shared" si="75"/>
        <v>Jun</v>
      </c>
      <c r="J4862">
        <f>YEAR(datas[[#This Row],[Order Date]])</f>
        <v>2023</v>
      </c>
    </row>
    <row r="4863" spans="1:10" ht="14.25" customHeight="1" x14ac:dyDescent="0.3">
      <c r="A4863" s="1">
        <v>45083</v>
      </c>
      <c r="B4863" s="2" t="s">
        <v>24</v>
      </c>
      <c r="C4863" s="2" t="s">
        <v>21</v>
      </c>
      <c r="D4863" s="2" t="s">
        <v>28</v>
      </c>
      <c r="E4863" s="2" t="s">
        <v>34</v>
      </c>
      <c r="F4863" s="2">
        <v>26.96</v>
      </c>
      <c r="G4863" s="2">
        <v>2</v>
      </c>
      <c r="H4863" s="2">
        <v>3.77</v>
      </c>
      <c r="I4863" t="str">
        <f t="shared" si="75"/>
        <v>Jun</v>
      </c>
      <c r="J4863">
        <f>YEAR(datas[[#This Row],[Order Date]])</f>
        <v>2023</v>
      </c>
    </row>
    <row r="4864" spans="1:10" ht="14.25" customHeight="1" x14ac:dyDescent="0.3">
      <c r="A4864" s="1">
        <v>45083</v>
      </c>
      <c r="B4864" s="2" t="s">
        <v>24</v>
      </c>
      <c r="C4864" s="2" t="s">
        <v>21</v>
      </c>
      <c r="D4864" s="2" t="s">
        <v>28</v>
      </c>
      <c r="E4864" s="2" t="s">
        <v>29</v>
      </c>
      <c r="F4864" s="2">
        <v>477.6</v>
      </c>
      <c r="G4864" s="2">
        <v>3</v>
      </c>
      <c r="H4864" s="2">
        <v>161.19</v>
      </c>
      <c r="I4864" t="str">
        <f t="shared" si="75"/>
        <v>Jun</v>
      </c>
      <c r="J4864">
        <f>YEAR(datas[[#This Row],[Order Date]])</f>
        <v>2023</v>
      </c>
    </row>
    <row r="4865" spans="1:10" ht="14.25" customHeight="1" x14ac:dyDescent="0.3">
      <c r="A4865" s="1">
        <v>45083</v>
      </c>
      <c r="B4865" s="2" t="s">
        <v>834</v>
      </c>
      <c r="C4865" s="2" t="s">
        <v>47</v>
      </c>
      <c r="D4865" s="2" t="s">
        <v>26</v>
      </c>
      <c r="E4865" s="2" t="s">
        <v>32</v>
      </c>
      <c r="F4865" s="2">
        <v>466.32</v>
      </c>
      <c r="G4865" s="2">
        <v>3</v>
      </c>
      <c r="H4865" s="2">
        <v>34.97</v>
      </c>
      <c r="I4865" t="str">
        <f t="shared" si="75"/>
        <v>Jun</v>
      </c>
      <c r="J4865">
        <f>YEAR(datas[[#This Row],[Order Date]])</f>
        <v>2023</v>
      </c>
    </row>
    <row r="4866" spans="1:10" ht="14.25" customHeight="1" x14ac:dyDescent="0.3">
      <c r="A4866" s="1">
        <v>45083</v>
      </c>
      <c r="B4866" s="2" t="s">
        <v>834</v>
      </c>
      <c r="C4866" s="2" t="s">
        <v>47</v>
      </c>
      <c r="D4866" s="2" t="s">
        <v>26</v>
      </c>
      <c r="E4866" s="2" t="s">
        <v>32</v>
      </c>
      <c r="F4866" s="2">
        <v>82.64</v>
      </c>
      <c r="G4866" s="2">
        <v>2</v>
      </c>
      <c r="H4866" s="2">
        <v>0</v>
      </c>
      <c r="I4866" t="str">
        <f t="shared" si="75"/>
        <v>Jun</v>
      </c>
      <c r="J4866">
        <f>YEAR(datas[[#This Row],[Order Date]])</f>
        <v>2023</v>
      </c>
    </row>
    <row r="4867" spans="1:10" ht="14.25" customHeight="1" x14ac:dyDescent="0.3">
      <c r="A4867" s="1">
        <v>45084</v>
      </c>
      <c r="B4867" s="2" t="s">
        <v>547</v>
      </c>
      <c r="C4867" s="2" t="s">
        <v>75</v>
      </c>
      <c r="D4867" s="2" t="s">
        <v>10</v>
      </c>
      <c r="E4867" s="2" t="s">
        <v>11</v>
      </c>
      <c r="F4867" s="2">
        <v>32.4</v>
      </c>
      <c r="G4867" s="2">
        <v>5</v>
      </c>
      <c r="H4867" s="2">
        <v>15.55</v>
      </c>
      <c r="I4867" t="str">
        <f t="shared" ref="I4867:I4930" si="76">TEXT(A4867,"mmm")</f>
        <v>Jun</v>
      </c>
      <c r="J4867">
        <f>YEAR(datas[[#This Row],[Order Date]])</f>
        <v>2023</v>
      </c>
    </row>
    <row r="4868" spans="1:10" ht="14.25" customHeight="1" x14ac:dyDescent="0.3">
      <c r="A4868" s="1">
        <v>45084</v>
      </c>
      <c r="B4868" s="2" t="s">
        <v>435</v>
      </c>
      <c r="C4868" s="2" t="s">
        <v>21</v>
      </c>
      <c r="D4868" s="2" t="s">
        <v>10</v>
      </c>
      <c r="E4868" s="2" t="s">
        <v>16</v>
      </c>
      <c r="F4868" s="2">
        <v>4.78</v>
      </c>
      <c r="G4868" s="2">
        <v>1</v>
      </c>
      <c r="H4868" s="2">
        <v>1.55</v>
      </c>
      <c r="I4868" t="str">
        <f t="shared" si="76"/>
        <v>Jun</v>
      </c>
      <c r="J4868">
        <f>YEAR(datas[[#This Row],[Order Date]])</f>
        <v>2023</v>
      </c>
    </row>
    <row r="4869" spans="1:10" ht="14.25" customHeight="1" x14ac:dyDescent="0.3">
      <c r="A4869" s="1">
        <v>45084</v>
      </c>
      <c r="B4869" s="2" t="s">
        <v>435</v>
      </c>
      <c r="C4869" s="2" t="s">
        <v>21</v>
      </c>
      <c r="D4869" s="2" t="s">
        <v>10</v>
      </c>
      <c r="E4869" s="2" t="s">
        <v>11</v>
      </c>
      <c r="F4869" s="2">
        <v>4.7300000000000004</v>
      </c>
      <c r="G4869" s="2">
        <v>1</v>
      </c>
      <c r="H4869" s="2">
        <v>2.3199999999999998</v>
      </c>
      <c r="I4869" t="str">
        <f t="shared" si="76"/>
        <v>Jun</v>
      </c>
      <c r="J4869">
        <f>YEAR(datas[[#This Row],[Order Date]])</f>
        <v>2023</v>
      </c>
    </row>
    <row r="4870" spans="1:10" ht="14.25" customHeight="1" x14ac:dyDescent="0.3">
      <c r="A4870" s="1">
        <v>45084</v>
      </c>
      <c r="B4870" s="2" t="s">
        <v>835</v>
      </c>
      <c r="C4870" s="2" t="s">
        <v>18</v>
      </c>
      <c r="D4870" s="2" t="s">
        <v>10</v>
      </c>
      <c r="E4870" s="2" t="s">
        <v>30</v>
      </c>
      <c r="F4870" s="2">
        <v>9.65</v>
      </c>
      <c r="G4870" s="2">
        <v>6</v>
      </c>
      <c r="H4870" s="2">
        <v>3.5</v>
      </c>
      <c r="I4870" t="str">
        <f t="shared" si="76"/>
        <v>Jun</v>
      </c>
      <c r="J4870">
        <f>YEAR(datas[[#This Row],[Order Date]])</f>
        <v>2023</v>
      </c>
    </row>
    <row r="4871" spans="1:10" ht="14.25" customHeight="1" x14ac:dyDescent="0.3">
      <c r="A4871" s="1">
        <v>45086</v>
      </c>
      <c r="B4871" s="2" t="s">
        <v>259</v>
      </c>
      <c r="C4871" s="2" t="s">
        <v>21</v>
      </c>
      <c r="D4871" s="2" t="s">
        <v>28</v>
      </c>
      <c r="E4871" s="2" t="s">
        <v>29</v>
      </c>
      <c r="F4871" s="2">
        <v>177.48</v>
      </c>
      <c r="G4871" s="2">
        <v>3</v>
      </c>
      <c r="H4871" s="2">
        <v>19.97</v>
      </c>
      <c r="I4871" t="str">
        <f t="shared" si="76"/>
        <v>Jun</v>
      </c>
      <c r="J4871">
        <f>YEAR(datas[[#This Row],[Order Date]])</f>
        <v>2023</v>
      </c>
    </row>
    <row r="4872" spans="1:10" ht="14.25" customHeight="1" x14ac:dyDescent="0.3">
      <c r="A4872" s="1">
        <v>45086</v>
      </c>
      <c r="B4872" s="2" t="s">
        <v>531</v>
      </c>
      <c r="C4872" s="2" t="s">
        <v>64</v>
      </c>
      <c r="D4872" s="2" t="s">
        <v>28</v>
      </c>
      <c r="E4872" s="2" t="s">
        <v>136</v>
      </c>
      <c r="F4872" s="2">
        <v>695.7</v>
      </c>
      <c r="G4872" s="2">
        <v>2</v>
      </c>
      <c r="H4872" s="2">
        <v>-27.83</v>
      </c>
      <c r="I4872" t="str">
        <f t="shared" si="76"/>
        <v>Jun</v>
      </c>
      <c r="J4872">
        <f>YEAR(datas[[#This Row],[Order Date]])</f>
        <v>2023</v>
      </c>
    </row>
    <row r="4873" spans="1:10" ht="14.25" customHeight="1" x14ac:dyDescent="0.3">
      <c r="A4873" s="1">
        <v>45086</v>
      </c>
      <c r="B4873" s="2" t="s">
        <v>694</v>
      </c>
      <c r="C4873" s="2" t="s">
        <v>21</v>
      </c>
      <c r="D4873" s="2" t="s">
        <v>26</v>
      </c>
      <c r="E4873" s="2" t="s">
        <v>27</v>
      </c>
      <c r="F4873" s="2">
        <v>122.35</v>
      </c>
      <c r="G4873" s="2">
        <v>3</v>
      </c>
      <c r="H4873" s="2">
        <v>13.76</v>
      </c>
      <c r="I4873" t="str">
        <f t="shared" si="76"/>
        <v>Jun</v>
      </c>
      <c r="J4873">
        <f>YEAR(datas[[#This Row],[Order Date]])</f>
        <v>2023</v>
      </c>
    </row>
    <row r="4874" spans="1:10" ht="14.25" customHeight="1" x14ac:dyDescent="0.3">
      <c r="A4874" s="1">
        <v>45086</v>
      </c>
      <c r="B4874" s="2" t="s">
        <v>571</v>
      </c>
      <c r="C4874" s="2" t="s">
        <v>140</v>
      </c>
      <c r="D4874" s="2" t="s">
        <v>26</v>
      </c>
      <c r="E4874" s="2" t="s">
        <v>73</v>
      </c>
      <c r="F4874" s="2">
        <v>692.94</v>
      </c>
      <c r="G4874" s="2">
        <v>3</v>
      </c>
      <c r="H4874" s="2">
        <v>173.24</v>
      </c>
      <c r="I4874" t="str">
        <f t="shared" si="76"/>
        <v>Jun</v>
      </c>
      <c r="J4874">
        <f>YEAR(datas[[#This Row],[Order Date]])</f>
        <v>2023</v>
      </c>
    </row>
    <row r="4875" spans="1:10" ht="14.25" customHeight="1" x14ac:dyDescent="0.3">
      <c r="A4875" s="1">
        <v>45087</v>
      </c>
      <c r="B4875" s="2" t="s">
        <v>707</v>
      </c>
      <c r="C4875" s="2" t="s">
        <v>21</v>
      </c>
      <c r="D4875" s="2" t="s">
        <v>10</v>
      </c>
      <c r="E4875" s="2" t="s">
        <v>14</v>
      </c>
      <c r="F4875" s="2">
        <v>20.7</v>
      </c>
      <c r="G4875" s="2">
        <v>2</v>
      </c>
      <c r="H4875" s="2">
        <v>9.94</v>
      </c>
      <c r="I4875" t="str">
        <f t="shared" si="76"/>
        <v>Jun</v>
      </c>
      <c r="J4875">
        <f>YEAR(datas[[#This Row],[Order Date]])</f>
        <v>2023</v>
      </c>
    </row>
    <row r="4876" spans="1:10" ht="14.25" customHeight="1" x14ac:dyDescent="0.3">
      <c r="A4876" s="1">
        <v>45087</v>
      </c>
      <c r="B4876" s="2" t="s">
        <v>707</v>
      </c>
      <c r="C4876" s="2" t="s">
        <v>21</v>
      </c>
      <c r="D4876" s="2" t="s">
        <v>26</v>
      </c>
      <c r="E4876" s="2" t="s">
        <v>73</v>
      </c>
      <c r="F4876" s="2">
        <v>1335.68</v>
      </c>
      <c r="G4876" s="2">
        <v>4</v>
      </c>
      <c r="H4876" s="2">
        <v>-217.05</v>
      </c>
      <c r="I4876" t="str">
        <f t="shared" si="76"/>
        <v>Jun</v>
      </c>
      <c r="J4876">
        <f>YEAR(datas[[#This Row],[Order Date]])</f>
        <v>2023</v>
      </c>
    </row>
    <row r="4877" spans="1:10" ht="14.25" customHeight="1" x14ac:dyDescent="0.3">
      <c r="A4877" s="1">
        <v>45087</v>
      </c>
      <c r="B4877" s="2" t="s">
        <v>707</v>
      </c>
      <c r="C4877" s="2" t="s">
        <v>21</v>
      </c>
      <c r="D4877" s="2" t="s">
        <v>10</v>
      </c>
      <c r="E4877" s="2" t="s">
        <v>11</v>
      </c>
      <c r="F4877" s="2">
        <v>32.4</v>
      </c>
      <c r="G4877" s="2">
        <v>5</v>
      </c>
      <c r="H4877" s="2">
        <v>15.55</v>
      </c>
      <c r="I4877" t="str">
        <f t="shared" si="76"/>
        <v>Jun</v>
      </c>
      <c r="J4877">
        <f>YEAR(datas[[#This Row],[Order Date]])</f>
        <v>2023</v>
      </c>
    </row>
    <row r="4878" spans="1:10" ht="14.25" customHeight="1" x14ac:dyDescent="0.3">
      <c r="A4878" s="1">
        <v>45087</v>
      </c>
      <c r="B4878" s="2" t="s">
        <v>807</v>
      </c>
      <c r="C4878" s="2" t="s">
        <v>18</v>
      </c>
      <c r="D4878" s="2" t="s">
        <v>10</v>
      </c>
      <c r="E4878" s="2" t="s">
        <v>14</v>
      </c>
      <c r="F4878" s="2">
        <v>23.62</v>
      </c>
      <c r="G4878" s="2">
        <v>8</v>
      </c>
      <c r="H4878" s="2">
        <v>7.97</v>
      </c>
      <c r="I4878" t="str">
        <f t="shared" si="76"/>
        <v>Jun</v>
      </c>
      <c r="J4878">
        <f>YEAR(datas[[#This Row],[Order Date]])</f>
        <v>2023</v>
      </c>
    </row>
    <row r="4879" spans="1:10" ht="14.25" customHeight="1" x14ac:dyDescent="0.3">
      <c r="A4879" s="1">
        <v>45088</v>
      </c>
      <c r="B4879" s="2" t="s">
        <v>186</v>
      </c>
      <c r="C4879" s="2" t="s">
        <v>9</v>
      </c>
      <c r="D4879" s="2" t="s">
        <v>10</v>
      </c>
      <c r="E4879" s="2" t="s">
        <v>16</v>
      </c>
      <c r="F4879" s="2">
        <v>1.34</v>
      </c>
      <c r="G4879" s="2">
        <v>4</v>
      </c>
      <c r="H4879" s="2">
        <v>-2.15</v>
      </c>
      <c r="I4879" t="str">
        <f t="shared" si="76"/>
        <v>Jun</v>
      </c>
      <c r="J4879">
        <f>YEAR(datas[[#This Row],[Order Date]])</f>
        <v>2023</v>
      </c>
    </row>
    <row r="4880" spans="1:10" ht="14.25" customHeight="1" x14ac:dyDescent="0.3">
      <c r="A4880" s="1">
        <v>45088</v>
      </c>
      <c r="B4880" s="2" t="s">
        <v>186</v>
      </c>
      <c r="C4880" s="2" t="s">
        <v>9</v>
      </c>
      <c r="D4880" s="2" t="s">
        <v>10</v>
      </c>
      <c r="E4880" s="2" t="s">
        <v>16</v>
      </c>
      <c r="F4880" s="2">
        <v>8.27</v>
      </c>
      <c r="G4880" s="2">
        <v>4</v>
      </c>
      <c r="H4880" s="2">
        <v>-13.65</v>
      </c>
      <c r="I4880" t="str">
        <f t="shared" si="76"/>
        <v>Jun</v>
      </c>
      <c r="J4880">
        <f>YEAR(datas[[#This Row],[Order Date]])</f>
        <v>2023</v>
      </c>
    </row>
    <row r="4881" spans="1:10" ht="14.25" customHeight="1" x14ac:dyDescent="0.3">
      <c r="A4881" s="1">
        <v>45088</v>
      </c>
      <c r="B4881" s="2" t="s">
        <v>186</v>
      </c>
      <c r="C4881" s="2" t="s">
        <v>9</v>
      </c>
      <c r="D4881" s="2" t="s">
        <v>26</v>
      </c>
      <c r="E4881" s="2" t="s">
        <v>32</v>
      </c>
      <c r="F4881" s="2">
        <v>12.54</v>
      </c>
      <c r="G4881" s="2">
        <v>7</v>
      </c>
      <c r="H4881" s="2">
        <v>-9.09</v>
      </c>
      <c r="I4881" t="str">
        <f t="shared" si="76"/>
        <v>Jun</v>
      </c>
      <c r="J4881">
        <f>YEAR(datas[[#This Row],[Order Date]])</f>
        <v>2023</v>
      </c>
    </row>
    <row r="4882" spans="1:10" ht="14.25" customHeight="1" x14ac:dyDescent="0.3">
      <c r="A4882" s="1">
        <v>45088</v>
      </c>
      <c r="B4882" s="2" t="s">
        <v>485</v>
      </c>
      <c r="C4882" s="2" t="s">
        <v>75</v>
      </c>
      <c r="D4882" s="2" t="s">
        <v>28</v>
      </c>
      <c r="E4882" s="2" t="s">
        <v>34</v>
      </c>
      <c r="F4882" s="2">
        <v>239.97</v>
      </c>
      <c r="G4882" s="2">
        <v>3</v>
      </c>
      <c r="H4882" s="2">
        <v>71.989999999999995</v>
      </c>
      <c r="I4882" t="str">
        <f t="shared" si="76"/>
        <v>Jun</v>
      </c>
      <c r="J4882">
        <f>YEAR(datas[[#This Row],[Order Date]])</f>
        <v>2023</v>
      </c>
    </row>
    <row r="4883" spans="1:10" ht="14.25" customHeight="1" x14ac:dyDescent="0.3">
      <c r="A4883" s="1">
        <v>45088</v>
      </c>
      <c r="B4883" s="2" t="s">
        <v>206</v>
      </c>
      <c r="C4883" s="2" t="s">
        <v>82</v>
      </c>
      <c r="D4883" s="2" t="s">
        <v>10</v>
      </c>
      <c r="E4883" s="2" t="s">
        <v>14</v>
      </c>
      <c r="F4883" s="2">
        <v>14.62</v>
      </c>
      <c r="G4883" s="2">
        <v>2</v>
      </c>
      <c r="H4883" s="2">
        <v>6.87</v>
      </c>
      <c r="I4883" t="str">
        <f t="shared" si="76"/>
        <v>Jun</v>
      </c>
      <c r="J4883">
        <f>YEAR(datas[[#This Row],[Order Date]])</f>
        <v>2023</v>
      </c>
    </row>
    <row r="4884" spans="1:10" ht="14.25" customHeight="1" x14ac:dyDescent="0.3">
      <c r="A4884" s="1">
        <v>45088</v>
      </c>
      <c r="B4884" s="2" t="s">
        <v>206</v>
      </c>
      <c r="C4884" s="2" t="s">
        <v>82</v>
      </c>
      <c r="D4884" s="2" t="s">
        <v>10</v>
      </c>
      <c r="E4884" s="2" t="s">
        <v>16</v>
      </c>
      <c r="F4884" s="2">
        <v>53.98</v>
      </c>
      <c r="G4884" s="2">
        <v>14</v>
      </c>
      <c r="H4884" s="2">
        <v>17.54</v>
      </c>
      <c r="I4884" t="str">
        <f t="shared" si="76"/>
        <v>Jun</v>
      </c>
      <c r="J4884">
        <f>YEAR(datas[[#This Row],[Order Date]])</f>
        <v>2023</v>
      </c>
    </row>
    <row r="4885" spans="1:10" ht="14.25" customHeight="1" x14ac:dyDescent="0.3">
      <c r="A4885" s="1">
        <v>45088</v>
      </c>
      <c r="B4885" s="2" t="s">
        <v>206</v>
      </c>
      <c r="C4885" s="2" t="s">
        <v>82</v>
      </c>
      <c r="D4885" s="2" t="s">
        <v>28</v>
      </c>
      <c r="E4885" s="2" t="s">
        <v>34</v>
      </c>
      <c r="F4885" s="2">
        <v>389.97</v>
      </c>
      <c r="G4885" s="2">
        <v>3</v>
      </c>
      <c r="H4885" s="2">
        <v>132.59</v>
      </c>
      <c r="I4885" t="str">
        <f t="shared" si="76"/>
        <v>Jun</v>
      </c>
      <c r="J4885">
        <f>YEAR(datas[[#This Row],[Order Date]])</f>
        <v>2023</v>
      </c>
    </row>
    <row r="4886" spans="1:10" ht="14.25" customHeight="1" x14ac:dyDescent="0.3">
      <c r="A4886" s="1">
        <v>45088</v>
      </c>
      <c r="B4886" s="2" t="s">
        <v>37</v>
      </c>
      <c r="C4886" s="2" t="s">
        <v>21</v>
      </c>
      <c r="D4886" s="2" t="s">
        <v>26</v>
      </c>
      <c r="E4886" s="2" t="s">
        <v>73</v>
      </c>
      <c r="F4886" s="2">
        <v>902.71</v>
      </c>
      <c r="G4886" s="2">
        <v>3</v>
      </c>
      <c r="H4886" s="2">
        <v>33.85</v>
      </c>
      <c r="I4886" t="str">
        <f t="shared" si="76"/>
        <v>Jun</v>
      </c>
      <c r="J4886">
        <f>YEAR(datas[[#This Row],[Order Date]])</f>
        <v>2023</v>
      </c>
    </row>
    <row r="4887" spans="1:10" ht="14.25" customHeight="1" x14ac:dyDescent="0.3">
      <c r="A4887" s="1">
        <v>45089</v>
      </c>
      <c r="B4887" s="2" t="s">
        <v>836</v>
      </c>
      <c r="C4887" s="2" t="s">
        <v>21</v>
      </c>
      <c r="D4887" s="2" t="s">
        <v>10</v>
      </c>
      <c r="E4887" s="2" t="s">
        <v>14</v>
      </c>
      <c r="F4887" s="2">
        <v>14.62</v>
      </c>
      <c r="G4887" s="2">
        <v>2</v>
      </c>
      <c r="H4887" s="2">
        <v>6.87</v>
      </c>
      <c r="I4887" t="str">
        <f t="shared" si="76"/>
        <v>Jun</v>
      </c>
      <c r="J4887">
        <f>YEAR(datas[[#This Row],[Order Date]])</f>
        <v>2023</v>
      </c>
    </row>
    <row r="4888" spans="1:10" ht="14.25" customHeight="1" x14ac:dyDescent="0.3">
      <c r="A4888" s="1">
        <v>45089</v>
      </c>
      <c r="B4888" s="2" t="s">
        <v>733</v>
      </c>
      <c r="C4888" s="2" t="s">
        <v>198</v>
      </c>
      <c r="D4888" s="2" t="s">
        <v>10</v>
      </c>
      <c r="E4888" s="2" t="s">
        <v>53</v>
      </c>
      <c r="F4888" s="2">
        <v>208.16</v>
      </c>
      <c r="G4888" s="2">
        <v>1</v>
      </c>
      <c r="H4888" s="2">
        <v>56.2</v>
      </c>
      <c r="I4888" t="str">
        <f t="shared" si="76"/>
        <v>Jun</v>
      </c>
      <c r="J4888">
        <f>YEAR(datas[[#This Row],[Order Date]])</f>
        <v>2023</v>
      </c>
    </row>
    <row r="4889" spans="1:10" ht="14.25" customHeight="1" x14ac:dyDescent="0.3">
      <c r="A4889" s="1">
        <v>45089</v>
      </c>
      <c r="B4889" s="2" t="s">
        <v>733</v>
      </c>
      <c r="C4889" s="2" t="s">
        <v>198</v>
      </c>
      <c r="D4889" s="2" t="s">
        <v>10</v>
      </c>
      <c r="E4889" s="2" t="s">
        <v>16</v>
      </c>
      <c r="F4889" s="2">
        <v>16.739999999999998</v>
      </c>
      <c r="G4889" s="2">
        <v>3</v>
      </c>
      <c r="H4889" s="2">
        <v>8.0399999999999991</v>
      </c>
      <c r="I4889" t="str">
        <f t="shared" si="76"/>
        <v>Jun</v>
      </c>
      <c r="J4889">
        <f>YEAR(datas[[#This Row],[Order Date]])</f>
        <v>2023</v>
      </c>
    </row>
    <row r="4890" spans="1:10" ht="14.25" customHeight="1" x14ac:dyDescent="0.3">
      <c r="A4890" s="1">
        <v>45089</v>
      </c>
      <c r="B4890" s="2" t="s">
        <v>303</v>
      </c>
      <c r="C4890" s="2" t="s">
        <v>38</v>
      </c>
      <c r="D4890" s="2" t="s">
        <v>26</v>
      </c>
      <c r="E4890" s="2" t="s">
        <v>32</v>
      </c>
      <c r="F4890" s="2">
        <v>47.04</v>
      </c>
      <c r="G4890" s="2">
        <v>3</v>
      </c>
      <c r="H4890" s="2">
        <v>18.350000000000001</v>
      </c>
      <c r="I4890" t="str">
        <f t="shared" si="76"/>
        <v>Jun</v>
      </c>
      <c r="J4890">
        <f>YEAR(datas[[#This Row],[Order Date]])</f>
        <v>2023</v>
      </c>
    </row>
    <row r="4891" spans="1:10" ht="14.25" customHeight="1" x14ac:dyDescent="0.3">
      <c r="A4891" s="1">
        <v>45089</v>
      </c>
      <c r="B4891" s="2" t="s">
        <v>303</v>
      </c>
      <c r="C4891" s="2" t="s">
        <v>38</v>
      </c>
      <c r="D4891" s="2" t="s">
        <v>10</v>
      </c>
      <c r="E4891" s="2" t="s">
        <v>16</v>
      </c>
      <c r="F4891" s="2">
        <v>30.84</v>
      </c>
      <c r="G4891" s="2">
        <v>4</v>
      </c>
      <c r="H4891" s="2">
        <v>13.88</v>
      </c>
      <c r="I4891" t="str">
        <f t="shared" si="76"/>
        <v>Jun</v>
      </c>
      <c r="J4891">
        <f>YEAR(datas[[#This Row],[Order Date]])</f>
        <v>2023</v>
      </c>
    </row>
    <row r="4892" spans="1:10" ht="14.25" customHeight="1" x14ac:dyDescent="0.3">
      <c r="A4892" s="1">
        <v>45089</v>
      </c>
      <c r="B4892" s="2" t="s">
        <v>303</v>
      </c>
      <c r="C4892" s="2" t="s">
        <v>38</v>
      </c>
      <c r="D4892" s="2" t="s">
        <v>10</v>
      </c>
      <c r="E4892" s="2" t="s">
        <v>15</v>
      </c>
      <c r="F4892" s="2">
        <v>226.56</v>
      </c>
      <c r="G4892" s="2">
        <v>6</v>
      </c>
      <c r="H4892" s="2">
        <v>63.44</v>
      </c>
      <c r="I4892" t="str">
        <f t="shared" si="76"/>
        <v>Jun</v>
      </c>
      <c r="J4892">
        <f>YEAR(datas[[#This Row],[Order Date]])</f>
        <v>2023</v>
      </c>
    </row>
    <row r="4893" spans="1:10" ht="14.25" customHeight="1" x14ac:dyDescent="0.3">
      <c r="A4893" s="1">
        <v>45089</v>
      </c>
      <c r="B4893" s="2" t="s">
        <v>303</v>
      </c>
      <c r="C4893" s="2" t="s">
        <v>38</v>
      </c>
      <c r="D4893" s="2" t="s">
        <v>10</v>
      </c>
      <c r="E4893" s="2" t="s">
        <v>41</v>
      </c>
      <c r="F4893" s="2">
        <v>115.02</v>
      </c>
      <c r="G4893" s="2">
        <v>9</v>
      </c>
      <c r="H4893" s="2">
        <v>51.76</v>
      </c>
      <c r="I4893" t="str">
        <f t="shared" si="76"/>
        <v>Jun</v>
      </c>
      <c r="J4893">
        <f>YEAR(datas[[#This Row],[Order Date]])</f>
        <v>2023</v>
      </c>
    </row>
    <row r="4894" spans="1:10" ht="14.25" customHeight="1" x14ac:dyDescent="0.3">
      <c r="A4894" s="1">
        <v>45089</v>
      </c>
      <c r="B4894" s="2" t="s">
        <v>303</v>
      </c>
      <c r="C4894" s="2" t="s">
        <v>38</v>
      </c>
      <c r="D4894" s="2" t="s">
        <v>28</v>
      </c>
      <c r="E4894" s="2" t="s">
        <v>29</v>
      </c>
      <c r="F4894" s="2">
        <v>68.040000000000006</v>
      </c>
      <c r="G4894" s="2">
        <v>7</v>
      </c>
      <c r="H4894" s="2">
        <v>19.73</v>
      </c>
      <c r="I4894" t="str">
        <f t="shared" si="76"/>
        <v>Jun</v>
      </c>
      <c r="J4894">
        <f>YEAR(datas[[#This Row],[Order Date]])</f>
        <v>2023</v>
      </c>
    </row>
    <row r="4895" spans="1:10" ht="14.25" customHeight="1" x14ac:dyDescent="0.3">
      <c r="A4895" s="1">
        <v>45089</v>
      </c>
      <c r="B4895" s="2" t="s">
        <v>748</v>
      </c>
      <c r="C4895" s="2" t="s">
        <v>13</v>
      </c>
      <c r="D4895" s="2" t="s">
        <v>28</v>
      </c>
      <c r="E4895" s="2" t="s">
        <v>136</v>
      </c>
      <c r="F4895" s="2">
        <v>1007.98</v>
      </c>
      <c r="G4895" s="2">
        <v>3</v>
      </c>
      <c r="H4895" s="2">
        <v>43.2</v>
      </c>
      <c r="I4895" t="str">
        <f t="shared" si="76"/>
        <v>Jun</v>
      </c>
      <c r="J4895">
        <f>YEAR(datas[[#This Row],[Order Date]])</f>
        <v>2023</v>
      </c>
    </row>
    <row r="4896" spans="1:10" ht="14.25" customHeight="1" x14ac:dyDescent="0.3">
      <c r="A4896" s="1">
        <v>45089</v>
      </c>
      <c r="B4896" s="2" t="s">
        <v>748</v>
      </c>
      <c r="C4896" s="2" t="s">
        <v>13</v>
      </c>
      <c r="D4896" s="2" t="s">
        <v>10</v>
      </c>
      <c r="E4896" s="2" t="s">
        <v>11</v>
      </c>
      <c r="F4896" s="2">
        <v>313.49</v>
      </c>
      <c r="G4896" s="2">
        <v>7</v>
      </c>
      <c r="H4896" s="2">
        <v>113.64</v>
      </c>
      <c r="I4896" t="str">
        <f t="shared" si="76"/>
        <v>Jun</v>
      </c>
      <c r="J4896">
        <f>YEAR(datas[[#This Row],[Order Date]])</f>
        <v>2023</v>
      </c>
    </row>
    <row r="4897" spans="1:10" ht="14.25" customHeight="1" x14ac:dyDescent="0.3">
      <c r="A4897" s="1">
        <v>45089</v>
      </c>
      <c r="B4897" s="2" t="s">
        <v>423</v>
      </c>
      <c r="C4897" s="2" t="s">
        <v>13</v>
      </c>
      <c r="D4897" s="2" t="s">
        <v>10</v>
      </c>
      <c r="E4897" s="2" t="s">
        <v>11</v>
      </c>
      <c r="F4897" s="2">
        <v>23.12</v>
      </c>
      <c r="G4897" s="2">
        <v>5</v>
      </c>
      <c r="H4897" s="2">
        <v>8.3800000000000008</v>
      </c>
      <c r="I4897" t="str">
        <f t="shared" si="76"/>
        <v>Jun</v>
      </c>
      <c r="J4897">
        <f>YEAR(datas[[#This Row],[Order Date]])</f>
        <v>2023</v>
      </c>
    </row>
    <row r="4898" spans="1:10" ht="14.25" customHeight="1" x14ac:dyDescent="0.3">
      <c r="A4898" s="1">
        <v>45089</v>
      </c>
      <c r="B4898" s="2" t="s">
        <v>783</v>
      </c>
      <c r="C4898" s="2" t="s">
        <v>75</v>
      </c>
      <c r="D4898" s="2" t="s">
        <v>10</v>
      </c>
      <c r="E4898" s="2" t="s">
        <v>11</v>
      </c>
      <c r="F4898" s="2">
        <v>92.94</v>
      </c>
      <c r="G4898" s="2">
        <v>3</v>
      </c>
      <c r="H4898" s="2">
        <v>41.82</v>
      </c>
      <c r="I4898" t="str">
        <f t="shared" si="76"/>
        <v>Jun</v>
      </c>
      <c r="J4898">
        <f>YEAR(datas[[#This Row],[Order Date]])</f>
        <v>2023</v>
      </c>
    </row>
    <row r="4899" spans="1:10" ht="14.25" customHeight="1" x14ac:dyDescent="0.3">
      <c r="A4899" s="1">
        <v>45089</v>
      </c>
      <c r="B4899" s="2" t="s">
        <v>783</v>
      </c>
      <c r="C4899" s="2" t="s">
        <v>75</v>
      </c>
      <c r="D4899" s="2" t="s">
        <v>10</v>
      </c>
      <c r="E4899" s="2" t="s">
        <v>53</v>
      </c>
      <c r="F4899" s="2">
        <v>52.56</v>
      </c>
      <c r="G4899" s="2">
        <v>3</v>
      </c>
      <c r="H4899" s="2">
        <v>18.399999999999999</v>
      </c>
      <c r="I4899" t="str">
        <f t="shared" si="76"/>
        <v>Jun</v>
      </c>
      <c r="J4899">
        <f>YEAR(datas[[#This Row],[Order Date]])</f>
        <v>2023</v>
      </c>
    </row>
    <row r="4900" spans="1:10" ht="14.25" customHeight="1" x14ac:dyDescent="0.3">
      <c r="A4900" s="1">
        <v>45089</v>
      </c>
      <c r="B4900" s="2" t="s">
        <v>471</v>
      </c>
      <c r="C4900" s="2" t="s">
        <v>21</v>
      </c>
      <c r="D4900" s="2" t="s">
        <v>10</v>
      </c>
      <c r="E4900" s="2" t="s">
        <v>11</v>
      </c>
      <c r="F4900" s="2">
        <v>185.88</v>
      </c>
      <c r="G4900" s="2">
        <v>6</v>
      </c>
      <c r="H4900" s="2">
        <v>83.65</v>
      </c>
      <c r="I4900" t="str">
        <f t="shared" si="76"/>
        <v>Jun</v>
      </c>
      <c r="J4900">
        <f>YEAR(datas[[#This Row],[Order Date]])</f>
        <v>2023</v>
      </c>
    </row>
    <row r="4901" spans="1:10" ht="14.25" customHeight="1" x14ac:dyDescent="0.3">
      <c r="A4901" s="1">
        <v>45089</v>
      </c>
      <c r="B4901" s="2" t="s">
        <v>471</v>
      </c>
      <c r="C4901" s="2" t="s">
        <v>21</v>
      </c>
      <c r="D4901" s="2" t="s">
        <v>10</v>
      </c>
      <c r="E4901" s="2" t="s">
        <v>11</v>
      </c>
      <c r="F4901" s="2">
        <v>12.96</v>
      </c>
      <c r="G4901" s="2">
        <v>2</v>
      </c>
      <c r="H4901" s="2">
        <v>6.22</v>
      </c>
      <c r="I4901" t="str">
        <f t="shared" si="76"/>
        <v>Jun</v>
      </c>
      <c r="J4901">
        <f>YEAR(datas[[#This Row],[Order Date]])</f>
        <v>2023</v>
      </c>
    </row>
    <row r="4902" spans="1:10" ht="14.25" customHeight="1" x14ac:dyDescent="0.3">
      <c r="A4902" s="1">
        <v>45089</v>
      </c>
      <c r="B4902" s="2" t="s">
        <v>367</v>
      </c>
      <c r="C4902" s="2" t="s">
        <v>9</v>
      </c>
      <c r="D4902" s="2" t="s">
        <v>10</v>
      </c>
      <c r="E4902" s="2" t="s">
        <v>53</v>
      </c>
      <c r="F4902" s="2">
        <v>64.38</v>
      </c>
      <c r="G4902" s="2">
        <v>4</v>
      </c>
      <c r="H4902" s="2">
        <v>-160.96</v>
      </c>
      <c r="I4902" t="str">
        <f t="shared" si="76"/>
        <v>Jun</v>
      </c>
      <c r="J4902">
        <f>YEAR(datas[[#This Row],[Order Date]])</f>
        <v>2023</v>
      </c>
    </row>
    <row r="4903" spans="1:10" ht="14.25" customHeight="1" x14ac:dyDescent="0.3">
      <c r="A4903" s="1">
        <v>45089</v>
      </c>
      <c r="B4903" s="2" t="s">
        <v>367</v>
      </c>
      <c r="C4903" s="2" t="s">
        <v>9</v>
      </c>
      <c r="D4903" s="2" t="s">
        <v>26</v>
      </c>
      <c r="E4903" s="2" t="s">
        <v>32</v>
      </c>
      <c r="F4903" s="2">
        <v>6.98</v>
      </c>
      <c r="G4903" s="2">
        <v>2</v>
      </c>
      <c r="H4903" s="2">
        <v>-4.54</v>
      </c>
      <c r="I4903" t="str">
        <f t="shared" si="76"/>
        <v>Jun</v>
      </c>
      <c r="J4903">
        <f>YEAR(datas[[#This Row],[Order Date]])</f>
        <v>2023</v>
      </c>
    </row>
    <row r="4904" spans="1:10" ht="14.25" customHeight="1" x14ac:dyDescent="0.3">
      <c r="A4904" s="1">
        <v>45089</v>
      </c>
      <c r="B4904" s="2" t="s">
        <v>367</v>
      </c>
      <c r="C4904" s="2" t="s">
        <v>9</v>
      </c>
      <c r="D4904" s="2" t="s">
        <v>10</v>
      </c>
      <c r="E4904" s="2" t="s">
        <v>19</v>
      </c>
      <c r="F4904" s="2">
        <v>11.26</v>
      </c>
      <c r="G4904" s="2">
        <v>8</v>
      </c>
      <c r="H4904" s="2">
        <v>3.94</v>
      </c>
      <c r="I4904" t="str">
        <f t="shared" si="76"/>
        <v>Jun</v>
      </c>
      <c r="J4904">
        <f>YEAR(datas[[#This Row],[Order Date]])</f>
        <v>2023</v>
      </c>
    </row>
    <row r="4905" spans="1:10" ht="14.25" customHeight="1" x14ac:dyDescent="0.3">
      <c r="A4905" s="1">
        <v>45089</v>
      </c>
      <c r="B4905" s="2" t="s">
        <v>367</v>
      </c>
      <c r="C4905" s="2" t="s">
        <v>9</v>
      </c>
      <c r="D4905" s="2" t="s">
        <v>10</v>
      </c>
      <c r="E4905" s="2" t="s">
        <v>11</v>
      </c>
      <c r="F4905" s="2">
        <v>15.55</v>
      </c>
      <c r="G4905" s="2">
        <v>3</v>
      </c>
      <c r="H4905" s="2">
        <v>5.64</v>
      </c>
      <c r="I4905" t="str">
        <f t="shared" si="76"/>
        <v>Jun</v>
      </c>
      <c r="J4905">
        <f>YEAR(datas[[#This Row],[Order Date]])</f>
        <v>2023</v>
      </c>
    </row>
    <row r="4906" spans="1:10" ht="14.25" customHeight="1" x14ac:dyDescent="0.3">
      <c r="A4906" s="1">
        <v>45089</v>
      </c>
      <c r="B4906" s="2" t="s">
        <v>367</v>
      </c>
      <c r="C4906" s="2" t="s">
        <v>9</v>
      </c>
      <c r="D4906" s="2" t="s">
        <v>26</v>
      </c>
      <c r="E4906" s="2" t="s">
        <v>27</v>
      </c>
      <c r="F4906" s="2">
        <v>379.37</v>
      </c>
      <c r="G4906" s="2">
        <v>2</v>
      </c>
      <c r="H4906" s="2">
        <v>-119.23</v>
      </c>
      <c r="I4906" t="str">
        <f t="shared" si="76"/>
        <v>Jun</v>
      </c>
      <c r="J4906">
        <f>YEAR(datas[[#This Row],[Order Date]])</f>
        <v>2023</v>
      </c>
    </row>
    <row r="4907" spans="1:10" ht="14.25" customHeight="1" x14ac:dyDescent="0.3">
      <c r="A4907" s="1">
        <v>45089</v>
      </c>
      <c r="B4907" s="2" t="s">
        <v>367</v>
      </c>
      <c r="C4907" s="2" t="s">
        <v>9</v>
      </c>
      <c r="D4907" s="2" t="s">
        <v>10</v>
      </c>
      <c r="E4907" s="2" t="s">
        <v>15</v>
      </c>
      <c r="F4907" s="2">
        <v>67.540000000000006</v>
      </c>
      <c r="G4907" s="2">
        <v>9</v>
      </c>
      <c r="H4907" s="2">
        <v>6.75</v>
      </c>
      <c r="I4907" t="str">
        <f t="shared" si="76"/>
        <v>Jun</v>
      </c>
      <c r="J4907">
        <f>YEAR(datas[[#This Row],[Order Date]])</f>
        <v>2023</v>
      </c>
    </row>
    <row r="4908" spans="1:10" ht="14.25" customHeight="1" x14ac:dyDescent="0.3">
      <c r="A4908" s="1">
        <v>45089</v>
      </c>
      <c r="B4908" s="2" t="s">
        <v>367</v>
      </c>
      <c r="C4908" s="2" t="s">
        <v>9</v>
      </c>
      <c r="D4908" s="2" t="s">
        <v>10</v>
      </c>
      <c r="E4908" s="2" t="s">
        <v>16</v>
      </c>
      <c r="F4908" s="2">
        <v>1.52</v>
      </c>
      <c r="G4908" s="2">
        <v>2</v>
      </c>
      <c r="H4908" s="2">
        <v>-2.67</v>
      </c>
      <c r="I4908" t="str">
        <f t="shared" si="76"/>
        <v>Jun</v>
      </c>
      <c r="J4908">
        <f>YEAR(datas[[#This Row],[Order Date]])</f>
        <v>2023</v>
      </c>
    </row>
    <row r="4909" spans="1:10" ht="14.25" customHeight="1" x14ac:dyDescent="0.3">
      <c r="A4909" s="1">
        <v>45090</v>
      </c>
      <c r="B4909" s="2" t="s">
        <v>147</v>
      </c>
      <c r="C4909" s="2" t="s">
        <v>60</v>
      </c>
      <c r="D4909" s="2" t="s">
        <v>28</v>
      </c>
      <c r="E4909" s="2" t="s">
        <v>29</v>
      </c>
      <c r="F4909" s="2">
        <v>377.97</v>
      </c>
      <c r="G4909" s="2">
        <v>3</v>
      </c>
      <c r="H4909" s="2">
        <v>94.49</v>
      </c>
      <c r="I4909" t="str">
        <f t="shared" si="76"/>
        <v>Jun</v>
      </c>
      <c r="J4909">
        <f>YEAR(datas[[#This Row],[Order Date]])</f>
        <v>2023</v>
      </c>
    </row>
    <row r="4910" spans="1:10" ht="14.25" customHeight="1" x14ac:dyDescent="0.3">
      <c r="A4910" s="1">
        <v>45090</v>
      </c>
      <c r="B4910" s="2" t="s">
        <v>401</v>
      </c>
      <c r="C4910" s="2" t="s">
        <v>469</v>
      </c>
      <c r="D4910" s="2" t="s">
        <v>10</v>
      </c>
      <c r="E4910" s="2" t="s">
        <v>14</v>
      </c>
      <c r="F4910" s="2">
        <v>18.899999999999999</v>
      </c>
      <c r="G4910" s="2">
        <v>3</v>
      </c>
      <c r="H4910" s="2">
        <v>8.69</v>
      </c>
      <c r="I4910" t="str">
        <f t="shared" si="76"/>
        <v>Jun</v>
      </c>
      <c r="J4910">
        <f>YEAR(datas[[#This Row],[Order Date]])</f>
        <v>2023</v>
      </c>
    </row>
    <row r="4911" spans="1:10" ht="14.25" customHeight="1" x14ac:dyDescent="0.3">
      <c r="A4911" s="1">
        <v>45090</v>
      </c>
      <c r="B4911" s="2" t="s">
        <v>284</v>
      </c>
      <c r="C4911" s="2" t="s">
        <v>75</v>
      </c>
      <c r="D4911" s="2" t="s">
        <v>10</v>
      </c>
      <c r="E4911" s="2" t="s">
        <v>16</v>
      </c>
      <c r="F4911" s="2">
        <v>33.57</v>
      </c>
      <c r="G4911" s="2">
        <v>2</v>
      </c>
      <c r="H4911" s="2">
        <v>11.75</v>
      </c>
      <c r="I4911" t="str">
        <f t="shared" si="76"/>
        <v>Jun</v>
      </c>
      <c r="J4911">
        <f>YEAR(datas[[#This Row],[Order Date]])</f>
        <v>2023</v>
      </c>
    </row>
    <row r="4912" spans="1:10" ht="14.25" customHeight="1" x14ac:dyDescent="0.3">
      <c r="A4912" s="1">
        <v>45091</v>
      </c>
      <c r="B4912" s="2" t="s">
        <v>366</v>
      </c>
      <c r="C4912" s="2" t="s">
        <v>21</v>
      </c>
      <c r="D4912" s="2" t="s">
        <v>10</v>
      </c>
      <c r="E4912" s="2" t="s">
        <v>19</v>
      </c>
      <c r="F4912" s="2">
        <v>7.04</v>
      </c>
      <c r="G4912" s="2">
        <v>4</v>
      </c>
      <c r="H4912" s="2">
        <v>2.04</v>
      </c>
      <c r="I4912" t="str">
        <f t="shared" si="76"/>
        <v>Jun</v>
      </c>
      <c r="J4912">
        <f>YEAR(datas[[#This Row],[Order Date]])</f>
        <v>2023</v>
      </c>
    </row>
    <row r="4913" spans="1:10" ht="14.25" customHeight="1" x14ac:dyDescent="0.3">
      <c r="A4913" s="1">
        <v>45091</v>
      </c>
      <c r="B4913" s="2" t="s">
        <v>366</v>
      </c>
      <c r="C4913" s="2" t="s">
        <v>21</v>
      </c>
      <c r="D4913" s="2" t="s">
        <v>26</v>
      </c>
      <c r="E4913" s="2" t="s">
        <v>32</v>
      </c>
      <c r="F4913" s="2">
        <v>8.73</v>
      </c>
      <c r="G4913" s="2">
        <v>3</v>
      </c>
      <c r="H4913" s="2">
        <v>4.0999999999999996</v>
      </c>
      <c r="I4913" t="str">
        <f t="shared" si="76"/>
        <v>Jun</v>
      </c>
      <c r="J4913">
        <f>YEAR(datas[[#This Row],[Order Date]])</f>
        <v>2023</v>
      </c>
    </row>
    <row r="4914" spans="1:10" ht="14.25" customHeight="1" x14ac:dyDescent="0.3">
      <c r="A4914" s="1">
        <v>45091</v>
      </c>
      <c r="B4914" s="2" t="s">
        <v>366</v>
      </c>
      <c r="C4914" s="2" t="s">
        <v>21</v>
      </c>
      <c r="D4914" s="2" t="s">
        <v>28</v>
      </c>
      <c r="E4914" s="2" t="s">
        <v>34</v>
      </c>
      <c r="F4914" s="2">
        <v>29.29</v>
      </c>
      <c r="G4914" s="2">
        <v>1</v>
      </c>
      <c r="H4914" s="2">
        <v>9.67</v>
      </c>
      <c r="I4914" t="str">
        <f t="shared" si="76"/>
        <v>Jun</v>
      </c>
      <c r="J4914">
        <f>YEAR(datas[[#This Row],[Order Date]])</f>
        <v>2023</v>
      </c>
    </row>
    <row r="4915" spans="1:10" ht="14.25" customHeight="1" x14ac:dyDescent="0.3">
      <c r="A4915" s="1">
        <v>45091</v>
      </c>
      <c r="B4915" s="2" t="s">
        <v>366</v>
      </c>
      <c r="C4915" s="2" t="s">
        <v>21</v>
      </c>
      <c r="D4915" s="2" t="s">
        <v>10</v>
      </c>
      <c r="E4915" s="2" t="s">
        <v>19</v>
      </c>
      <c r="F4915" s="2">
        <v>8.64</v>
      </c>
      <c r="G4915" s="2">
        <v>3</v>
      </c>
      <c r="H4915" s="2">
        <v>2.5099999999999998</v>
      </c>
      <c r="I4915" t="str">
        <f t="shared" si="76"/>
        <v>Jun</v>
      </c>
      <c r="J4915">
        <f>YEAR(datas[[#This Row],[Order Date]])</f>
        <v>2023</v>
      </c>
    </row>
    <row r="4916" spans="1:10" ht="14.25" customHeight="1" x14ac:dyDescent="0.3">
      <c r="A4916" s="1">
        <v>45091</v>
      </c>
      <c r="B4916" s="2" t="s">
        <v>231</v>
      </c>
      <c r="C4916" s="2" t="s">
        <v>21</v>
      </c>
      <c r="D4916" s="2" t="s">
        <v>26</v>
      </c>
      <c r="E4916" s="2" t="s">
        <v>45</v>
      </c>
      <c r="F4916" s="2">
        <v>599.16999999999996</v>
      </c>
      <c r="G4916" s="2">
        <v>5</v>
      </c>
      <c r="H4916" s="2">
        <v>35.25</v>
      </c>
      <c r="I4916" t="str">
        <f t="shared" si="76"/>
        <v>Jun</v>
      </c>
      <c r="J4916">
        <f>YEAR(datas[[#This Row],[Order Date]])</f>
        <v>2023</v>
      </c>
    </row>
    <row r="4917" spans="1:10" ht="14.25" customHeight="1" x14ac:dyDescent="0.3">
      <c r="A4917" s="1">
        <v>45091</v>
      </c>
      <c r="B4917" s="2" t="s">
        <v>358</v>
      </c>
      <c r="C4917" s="2" t="s">
        <v>21</v>
      </c>
      <c r="D4917" s="2" t="s">
        <v>26</v>
      </c>
      <c r="E4917" s="2" t="s">
        <v>73</v>
      </c>
      <c r="F4917" s="2">
        <v>1293.49</v>
      </c>
      <c r="G4917" s="2">
        <v>7</v>
      </c>
      <c r="H4917" s="2">
        <v>80.84</v>
      </c>
      <c r="I4917" t="str">
        <f t="shared" si="76"/>
        <v>Jun</v>
      </c>
      <c r="J4917">
        <f>YEAR(datas[[#This Row],[Order Date]])</f>
        <v>2023</v>
      </c>
    </row>
    <row r="4918" spans="1:10" ht="14.25" customHeight="1" x14ac:dyDescent="0.3">
      <c r="A4918" s="1">
        <v>45091</v>
      </c>
      <c r="B4918" s="2" t="s">
        <v>837</v>
      </c>
      <c r="C4918" s="2" t="s">
        <v>18</v>
      </c>
      <c r="D4918" s="2" t="s">
        <v>26</v>
      </c>
      <c r="E4918" s="2" t="s">
        <v>73</v>
      </c>
      <c r="F4918" s="2">
        <v>337.18</v>
      </c>
      <c r="G4918" s="2">
        <v>2</v>
      </c>
      <c r="H4918" s="2">
        <v>-118.01</v>
      </c>
      <c r="I4918" t="str">
        <f t="shared" si="76"/>
        <v>Jun</v>
      </c>
      <c r="J4918">
        <f>YEAR(datas[[#This Row],[Order Date]])</f>
        <v>2023</v>
      </c>
    </row>
    <row r="4919" spans="1:10" ht="14.25" customHeight="1" x14ac:dyDescent="0.3">
      <c r="A4919" s="1">
        <v>45091</v>
      </c>
      <c r="B4919" s="2" t="s">
        <v>155</v>
      </c>
      <c r="C4919" s="2" t="s">
        <v>64</v>
      </c>
      <c r="D4919" s="2" t="s">
        <v>10</v>
      </c>
      <c r="E4919" s="2" t="s">
        <v>16</v>
      </c>
      <c r="F4919" s="2">
        <v>39.94</v>
      </c>
      <c r="G4919" s="2">
        <v>4</v>
      </c>
      <c r="H4919" s="2">
        <v>-26.62</v>
      </c>
      <c r="I4919" t="str">
        <f t="shared" si="76"/>
        <v>Jun</v>
      </c>
      <c r="J4919">
        <f>YEAR(datas[[#This Row],[Order Date]])</f>
        <v>2023</v>
      </c>
    </row>
    <row r="4920" spans="1:10" ht="14.25" customHeight="1" x14ac:dyDescent="0.3">
      <c r="A4920" s="1">
        <v>45091</v>
      </c>
      <c r="B4920" s="2" t="s">
        <v>155</v>
      </c>
      <c r="C4920" s="2" t="s">
        <v>64</v>
      </c>
      <c r="D4920" s="2" t="s">
        <v>28</v>
      </c>
      <c r="E4920" s="2" t="s">
        <v>34</v>
      </c>
      <c r="F4920" s="2">
        <v>18.46</v>
      </c>
      <c r="G4920" s="2">
        <v>2</v>
      </c>
      <c r="H4920" s="2">
        <v>2.31</v>
      </c>
      <c r="I4920" t="str">
        <f t="shared" si="76"/>
        <v>Jun</v>
      </c>
      <c r="J4920">
        <f>YEAR(datas[[#This Row],[Order Date]])</f>
        <v>2023</v>
      </c>
    </row>
    <row r="4921" spans="1:10" ht="14.25" customHeight="1" x14ac:dyDescent="0.3">
      <c r="A4921" s="1">
        <v>45091</v>
      </c>
      <c r="B4921" s="2" t="s">
        <v>346</v>
      </c>
      <c r="C4921" s="2" t="s">
        <v>82</v>
      </c>
      <c r="D4921" s="2" t="s">
        <v>26</v>
      </c>
      <c r="E4921" s="2" t="s">
        <v>73</v>
      </c>
      <c r="F4921" s="2">
        <v>1115.17</v>
      </c>
      <c r="G4921" s="2">
        <v>7</v>
      </c>
      <c r="H4921" s="2">
        <v>334.55</v>
      </c>
      <c r="I4921" t="str">
        <f t="shared" si="76"/>
        <v>Jun</v>
      </c>
      <c r="J4921">
        <f>YEAR(datas[[#This Row],[Order Date]])</f>
        <v>2023</v>
      </c>
    </row>
    <row r="4922" spans="1:10" ht="14.25" customHeight="1" x14ac:dyDescent="0.3">
      <c r="A4922" s="1">
        <v>45092</v>
      </c>
      <c r="B4922" s="2" t="s">
        <v>533</v>
      </c>
      <c r="C4922" s="2" t="s">
        <v>9</v>
      </c>
      <c r="D4922" s="2" t="s">
        <v>10</v>
      </c>
      <c r="E4922" s="2" t="s">
        <v>11</v>
      </c>
      <c r="F4922" s="2">
        <v>173.49</v>
      </c>
      <c r="G4922" s="2">
        <v>7</v>
      </c>
      <c r="H4922" s="2">
        <v>54.22</v>
      </c>
      <c r="I4922" t="str">
        <f t="shared" si="76"/>
        <v>Jun</v>
      </c>
      <c r="J4922">
        <f>YEAR(datas[[#This Row],[Order Date]])</f>
        <v>2023</v>
      </c>
    </row>
    <row r="4923" spans="1:10" ht="14.25" customHeight="1" x14ac:dyDescent="0.3">
      <c r="A4923" s="1">
        <v>45093</v>
      </c>
      <c r="B4923" s="2" t="s">
        <v>722</v>
      </c>
      <c r="C4923" s="2" t="s">
        <v>21</v>
      </c>
      <c r="D4923" s="2" t="s">
        <v>10</v>
      </c>
      <c r="E4923" s="2" t="s">
        <v>11</v>
      </c>
      <c r="F4923" s="2">
        <v>46.35</v>
      </c>
      <c r="G4923" s="2">
        <v>5</v>
      </c>
      <c r="H4923" s="2">
        <v>21.78</v>
      </c>
      <c r="I4923" t="str">
        <f t="shared" si="76"/>
        <v>Jun</v>
      </c>
      <c r="J4923">
        <f>YEAR(datas[[#This Row],[Order Date]])</f>
        <v>2023</v>
      </c>
    </row>
    <row r="4924" spans="1:10" ht="14.25" customHeight="1" x14ac:dyDescent="0.3">
      <c r="A4924" s="1">
        <v>45093</v>
      </c>
      <c r="B4924" s="2" t="s">
        <v>666</v>
      </c>
      <c r="C4924" s="2" t="s">
        <v>62</v>
      </c>
      <c r="D4924" s="2" t="s">
        <v>28</v>
      </c>
      <c r="E4924" s="2" t="s">
        <v>136</v>
      </c>
      <c r="F4924" s="2">
        <v>91.48</v>
      </c>
      <c r="G4924" s="2">
        <v>1</v>
      </c>
      <c r="H4924" s="2">
        <v>-1.83</v>
      </c>
      <c r="I4924" t="str">
        <f t="shared" si="76"/>
        <v>Jun</v>
      </c>
      <c r="J4924">
        <f>YEAR(datas[[#This Row],[Order Date]])</f>
        <v>2023</v>
      </c>
    </row>
    <row r="4925" spans="1:10" ht="14.25" customHeight="1" x14ac:dyDescent="0.3">
      <c r="A4925" s="1">
        <v>45093</v>
      </c>
      <c r="B4925" s="2" t="s">
        <v>684</v>
      </c>
      <c r="C4925" s="2" t="s">
        <v>38</v>
      </c>
      <c r="D4925" s="2" t="s">
        <v>10</v>
      </c>
      <c r="E4925" s="2" t="s">
        <v>14</v>
      </c>
      <c r="F4925" s="2">
        <v>9.4499999999999993</v>
      </c>
      <c r="G4925" s="2">
        <v>3</v>
      </c>
      <c r="H4925" s="2">
        <v>4.54</v>
      </c>
      <c r="I4925" t="str">
        <f t="shared" si="76"/>
        <v>Jun</v>
      </c>
      <c r="J4925">
        <f>YEAR(datas[[#This Row],[Order Date]])</f>
        <v>2023</v>
      </c>
    </row>
    <row r="4926" spans="1:10" ht="14.25" customHeight="1" x14ac:dyDescent="0.3">
      <c r="A4926" s="1">
        <v>45094</v>
      </c>
      <c r="B4926" s="2" t="s">
        <v>838</v>
      </c>
      <c r="C4926" s="2" t="s">
        <v>75</v>
      </c>
      <c r="D4926" s="2" t="s">
        <v>10</v>
      </c>
      <c r="E4926" s="2" t="s">
        <v>15</v>
      </c>
      <c r="F4926" s="2">
        <v>208.56</v>
      </c>
      <c r="G4926" s="2">
        <v>6</v>
      </c>
      <c r="H4926" s="2">
        <v>52.14</v>
      </c>
      <c r="I4926" t="str">
        <f t="shared" si="76"/>
        <v>Jun</v>
      </c>
      <c r="J4926">
        <f>YEAR(datas[[#This Row],[Order Date]])</f>
        <v>2023</v>
      </c>
    </row>
    <row r="4927" spans="1:10" ht="14.25" customHeight="1" x14ac:dyDescent="0.3">
      <c r="A4927" s="1">
        <v>45094</v>
      </c>
      <c r="B4927" s="2" t="s">
        <v>838</v>
      </c>
      <c r="C4927" s="2" t="s">
        <v>75</v>
      </c>
      <c r="D4927" s="2" t="s">
        <v>10</v>
      </c>
      <c r="E4927" s="2" t="s">
        <v>11</v>
      </c>
      <c r="F4927" s="2">
        <v>32.4</v>
      </c>
      <c r="G4927" s="2">
        <v>5</v>
      </c>
      <c r="H4927" s="2">
        <v>15.55</v>
      </c>
      <c r="I4927" t="str">
        <f t="shared" si="76"/>
        <v>Jun</v>
      </c>
      <c r="J4927">
        <f>YEAR(datas[[#This Row],[Order Date]])</f>
        <v>2023</v>
      </c>
    </row>
    <row r="4928" spans="1:10" ht="14.25" customHeight="1" x14ac:dyDescent="0.3">
      <c r="A4928" s="1">
        <v>45094</v>
      </c>
      <c r="B4928" s="2" t="s">
        <v>838</v>
      </c>
      <c r="C4928" s="2" t="s">
        <v>75</v>
      </c>
      <c r="D4928" s="2" t="s">
        <v>26</v>
      </c>
      <c r="E4928" s="2" t="s">
        <v>27</v>
      </c>
      <c r="F4928" s="2">
        <v>319.41000000000003</v>
      </c>
      <c r="G4928" s="2">
        <v>5</v>
      </c>
      <c r="H4928" s="2">
        <v>7.1</v>
      </c>
      <c r="I4928" t="str">
        <f t="shared" si="76"/>
        <v>Jun</v>
      </c>
      <c r="J4928">
        <f>YEAR(datas[[#This Row],[Order Date]])</f>
        <v>2023</v>
      </c>
    </row>
    <row r="4929" spans="1:10" ht="14.25" customHeight="1" x14ac:dyDescent="0.3">
      <c r="A4929" s="1">
        <v>45094</v>
      </c>
      <c r="B4929" s="2" t="s">
        <v>838</v>
      </c>
      <c r="C4929" s="2" t="s">
        <v>75</v>
      </c>
      <c r="D4929" s="2" t="s">
        <v>10</v>
      </c>
      <c r="E4929" s="2" t="s">
        <v>11</v>
      </c>
      <c r="F4929" s="2">
        <v>14.56</v>
      </c>
      <c r="G4929" s="2">
        <v>2</v>
      </c>
      <c r="H4929" s="2">
        <v>6.99</v>
      </c>
      <c r="I4929" t="str">
        <f t="shared" si="76"/>
        <v>Jun</v>
      </c>
      <c r="J4929">
        <f>YEAR(datas[[#This Row],[Order Date]])</f>
        <v>2023</v>
      </c>
    </row>
    <row r="4930" spans="1:10" ht="14.25" customHeight="1" x14ac:dyDescent="0.3">
      <c r="A4930" s="1">
        <v>45094</v>
      </c>
      <c r="B4930" s="2" t="s">
        <v>838</v>
      </c>
      <c r="C4930" s="2" t="s">
        <v>75</v>
      </c>
      <c r="D4930" s="2" t="s">
        <v>28</v>
      </c>
      <c r="E4930" s="2" t="s">
        <v>34</v>
      </c>
      <c r="F4930" s="2">
        <v>30</v>
      </c>
      <c r="G4930" s="2">
        <v>2</v>
      </c>
      <c r="H4930" s="2">
        <v>3.3</v>
      </c>
      <c r="I4930" t="str">
        <f t="shared" si="76"/>
        <v>Jun</v>
      </c>
      <c r="J4930">
        <f>YEAR(datas[[#This Row],[Order Date]])</f>
        <v>2023</v>
      </c>
    </row>
    <row r="4931" spans="1:10" ht="14.25" customHeight="1" x14ac:dyDescent="0.3">
      <c r="A4931" s="1">
        <v>45094</v>
      </c>
      <c r="B4931" s="2" t="s">
        <v>838</v>
      </c>
      <c r="C4931" s="2" t="s">
        <v>75</v>
      </c>
      <c r="D4931" s="2" t="s">
        <v>10</v>
      </c>
      <c r="E4931" s="2" t="s">
        <v>16</v>
      </c>
      <c r="F4931" s="2">
        <v>48.48</v>
      </c>
      <c r="G4931" s="2">
        <v>4</v>
      </c>
      <c r="H4931" s="2">
        <v>16.36</v>
      </c>
      <c r="I4931" t="str">
        <f t="shared" ref="I4931:I4994" si="77">TEXT(A4931,"mmm")</f>
        <v>Jun</v>
      </c>
      <c r="J4931">
        <f>YEAR(datas[[#This Row],[Order Date]])</f>
        <v>2023</v>
      </c>
    </row>
    <row r="4932" spans="1:10" ht="14.25" customHeight="1" x14ac:dyDescent="0.3">
      <c r="A4932" s="1">
        <v>45094</v>
      </c>
      <c r="B4932" s="2" t="s">
        <v>838</v>
      </c>
      <c r="C4932" s="2" t="s">
        <v>75</v>
      </c>
      <c r="D4932" s="2" t="s">
        <v>10</v>
      </c>
      <c r="E4932" s="2" t="s">
        <v>19</v>
      </c>
      <c r="F4932" s="2">
        <v>1.68</v>
      </c>
      <c r="G4932" s="2">
        <v>1</v>
      </c>
      <c r="H4932" s="2">
        <v>0.84</v>
      </c>
      <c r="I4932" t="str">
        <f t="shared" si="77"/>
        <v>Jun</v>
      </c>
      <c r="J4932">
        <f>YEAR(datas[[#This Row],[Order Date]])</f>
        <v>2023</v>
      </c>
    </row>
    <row r="4933" spans="1:10" ht="14.25" customHeight="1" x14ac:dyDescent="0.3">
      <c r="A4933" s="1">
        <v>45094</v>
      </c>
      <c r="B4933" s="2" t="s">
        <v>537</v>
      </c>
      <c r="C4933" s="2" t="s">
        <v>21</v>
      </c>
      <c r="D4933" s="2" t="s">
        <v>10</v>
      </c>
      <c r="E4933" s="2" t="s">
        <v>11</v>
      </c>
      <c r="F4933" s="2">
        <v>111.96</v>
      </c>
      <c r="G4933" s="2">
        <v>2</v>
      </c>
      <c r="H4933" s="2">
        <v>54.86</v>
      </c>
      <c r="I4933" t="str">
        <f t="shared" si="77"/>
        <v>Jun</v>
      </c>
      <c r="J4933">
        <f>YEAR(datas[[#This Row],[Order Date]])</f>
        <v>2023</v>
      </c>
    </row>
    <row r="4934" spans="1:10" ht="14.25" customHeight="1" x14ac:dyDescent="0.3">
      <c r="A4934" s="1">
        <v>45094</v>
      </c>
      <c r="B4934" s="2" t="s">
        <v>740</v>
      </c>
      <c r="C4934" s="2" t="s">
        <v>75</v>
      </c>
      <c r="D4934" s="2" t="s">
        <v>10</v>
      </c>
      <c r="E4934" s="2" t="s">
        <v>15</v>
      </c>
      <c r="F4934" s="2">
        <v>40.74</v>
      </c>
      <c r="G4934" s="2">
        <v>3</v>
      </c>
      <c r="H4934" s="2">
        <v>0.41</v>
      </c>
      <c r="I4934" t="str">
        <f t="shared" si="77"/>
        <v>Jun</v>
      </c>
      <c r="J4934">
        <f>YEAR(datas[[#This Row],[Order Date]])</f>
        <v>2023</v>
      </c>
    </row>
    <row r="4935" spans="1:10" ht="14.25" customHeight="1" x14ac:dyDescent="0.3">
      <c r="A4935" s="1">
        <v>45094</v>
      </c>
      <c r="B4935" s="2" t="s">
        <v>76</v>
      </c>
      <c r="C4935" s="2" t="s">
        <v>21</v>
      </c>
      <c r="D4935" s="2" t="s">
        <v>26</v>
      </c>
      <c r="E4935" s="2" t="s">
        <v>45</v>
      </c>
      <c r="F4935" s="2">
        <v>239.67</v>
      </c>
      <c r="G4935" s="2">
        <v>2</v>
      </c>
      <c r="H4935" s="2">
        <v>14.1</v>
      </c>
      <c r="I4935" t="str">
        <f t="shared" si="77"/>
        <v>Jun</v>
      </c>
      <c r="J4935">
        <f>YEAR(datas[[#This Row],[Order Date]])</f>
        <v>2023</v>
      </c>
    </row>
    <row r="4936" spans="1:10" ht="14.25" customHeight="1" x14ac:dyDescent="0.3">
      <c r="A4936" s="1">
        <v>45094</v>
      </c>
      <c r="B4936" s="2" t="s">
        <v>76</v>
      </c>
      <c r="C4936" s="2" t="s">
        <v>21</v>
      </c>
      <c r="D4936" s="2" t="s">
        <v>10</v>
      </c>
      <c r="E4936" s="2" t="s">
        <v>14</v>
      </c>
      <c r="F4936" s="2">
        <v>22.5</v>
      </c>
      <c r="G4936" s="2">
        <v>6</v>
      </c>
      <c r="H4936" s="2">
        <v>10.8</v>
      </c>
      <c r="I4936" t="str">
        <f t="shared" si="77"/>
        <v>Jun</v>
      </c>
      <c r="J4936">
        <f>YEAR(datas[[#This Row],[Order Date]])</f>
        <v>2023</v>
      </c>
    </row>
    <row r="4937" spans="1:10" ht="14.25" customHeight="1" x14ac:dyDescent="0.3">
      <c r="A4937" s="1">
        <v>45094</v>
      </c>
      <c r="B4937" s="2" t="s">
        <v>76</v>
      </c>
      <c r="C4937" s="2" t="s">
        <v>21</v>
      </c>
      <c r="D4937" s="2" t="s">
        <v>10</v>
      </c>
      <c r="E4937" s="2" t="s">
        <v>11</v>
      </c>
      <c r="F4937" s="2">
        <v>219.84</v>
      </c>
      <c r="G4937" s="2">
        <v>4</v>
      </c>
      <c r="H4937" s="2">
        <v>107.72</v>
      </c>
      <c r="I4937" t="str">
        <f t="shared" si="77"/>
        <v>Jun</v>
      </c>
      <c r="J4937">
        <f>YEAR(datas[[#This Row],[Order Date]])</f>
        <v>2023</v>
      </c>
    </row>
    <row r="4938" spans="1:10" ht="14.25" customHeight="1" x14ac:dyDescent="0.3">
      <c r="A4938" s="1">
        <v>45094</v>
      </c>
      <c r="B4938" s="2" t="s">
        <v>228</v>
      </c>
      <c r="C4938" s="2" t="s">
        <v>126</v>
      </c>
      <c r="D4938" s="2" t="s">
        <v>26</v>
      </c>
      <c r="E4938" s="2" t="s">
        <v>32</v>
      </c>
      <c r="F4938" s="2">
        <v>266.35000000000002</v>
      </c>
      <c r="G4938" s="2">
        <v>3</v>
      </c>
      <c r="H4938" s="2">
        <v>-13.32</v>
      </c>
      <c r="I4938" t="str">
        <f t="shared" si="77"/>
        <v>Jun</v>
      </c>
      <c r="J4938">
        <f>YEAR(datas[[#This Row],[Order Date]])</f>
        <v>2023</v>
      </c>
    </row>
    <row r="4939" spans="1:10" ht="14.25" customHeight="1" x14ac:dyDescent="0.3">
      <c r="A4939" s="1">
        <v>45094</v>
      </c>
      <c r="B4939" s="2" t="s">
        <v>228</v>
      </c>
      <c r="C4939" s="2" t="s">
        <v>126</v>
      </c>
      <c r="D4939" s="2" t="s">
        <v>26</v>
      </c>
      <c r="E4939" s="2" t="s">
        <v>27</v>
      </c>
      <c r="F4939" s="2">
        <v>483.14</v>
      </c>
      <c r="G4939" s="2">
        <v>4</v>
      </c>
      <c r="H4939" s="2">
        <v>54.35</v>
      </c>
      <c r="I4939" t="str">
        <f t="shared" si="77"/>
        <v>Jun</v>
      </c>
      <c r="J4939">
        <f>YEAR(datas[[#This Row],[Order Date]])</f>
        <v>2023</v>
      </c>
    </row>
    <row r="4940" spans="1:10" ht="14.25" customHeight="1" x14ac:dyDescent="0.3">
      <c r="A4940" s="1">
        <v>45094</v>
      </c>
      <c r="B4940" s="2" t="s">
        <v>141</v>
      </c>
      <c r="C4940" s="2" t="s">
        <v>248</v>
      </c>
      <c r="D4940" s="2" t="s">
        <v>10</v>
      </c>
      <c r="E4940" s="2" t="s">
        <v>16</v>
      </c>
      <c r="F4940" s="2">
        <v>7.96</v>
      </c>
      <c r="G4940" s="2">
        <v>2</v>
      </c>
      <c r="H4940" s="2">
        <v>3.74</v>
      </c>
      <c r="I4940" t="str">
        <f t="shared" si="77"/>
        <v>Jun</v>
      </c>
      <c r="J4940">
        <f>YEAR(datas[[#This Row],[Order Date]])</f>
        <v>2023</v>
      </c>
    </row>
    <row r="4941" spans="1:10" ht="14.25" customHeight="1" x14ac:dyDescent="0.3">
      <c r="A4941" s="1">
        <v>45094</v>
      </c>
      <c r="B4941" s="2" t="s">
        <v>141</v>
      </c>
      <c r="C4941" s="2" t="s">
        <v>248</v>
      </c>
      <c r="D4941" s="2" t="s">
        <v>28</v>
      </c>
      <c r="E4941" s="2" t="s">
        <v>29</v>
      </c>
      <c r="F4941" s="2">
        <v>566.97</v>
      </c>
      <c r="G4941" s="2">
        <v>3</v>
      </c>
      <c r="H4941" s="2">
        <v>153.08000000000001</v>
      </c>
      <c r="I4941" t="str">
        <f t="shared" si="77"/>
        <v>Jun</v>
      </c>
      <c r="J4941">
        <f>YEAR(datas[[#This Row],[Order Date]])</f>
        <v>2023</v>
      </c>
    </row>
    <row r="4942" spans="1:10" ht="14.25" customHeight="1" x14ac:dyDescent="0.3">
      <c r="A4942" s="1">
        <v>45094</v>
      </c>
      <c r="B4942" s="2" t="s">
        <v>141</v>
      </c>
      <c r="C4942" s="2" t="s">
        <v>248</v>
      </c>
      <c r="D4942" s="2" t="s">
        <v>10</v>
      </c>
      <c r="E4942" s="2" t="s">
        <v>19</v>
      </c>
      <c r="F4942" s="2">
        <v>9.84</v>
      </c>
      <c r="G4942" s="2">
        <v>3</v>
      </c>
      <c r="H4942" s="2">
        <v>2.85</v>
      </c>
      <c r="I4942" t="str">
        <f t="shared" si="77"/>
        <v>Jun</v>
      </c>
      <c r="J4942">
        <f>YEAR(datas[[#This Row],[Order Date]])</f>
        <v>2023</v>
      </c>
    </row>
    <row r="4943" spans="1:10" ht="14.25" customHeight="1" x14ac:dyDescent="0.3">
      <c r="A4943" s="1">
        <v>45094</v>
      </c>
      <c r="B4943" s="2" t="s">
        <v>563</v>
      </c>
      <c r="C4943" s="2" t="s">
        <v>75</v>
      </c>
      <c r="D4943" s="2" t="s">
        <v>26</v>
      </c>
      <c r="E4943" s="2" t="s">
        <v>73</v>
      </c>
      <c r="F4943" s="2">
        <v>376.87</v>
      </c>
      <c r="G4943" s="2">
        <v>3</v>
      </c>
      <c r="H4943" s="2">
        <v>-213.56</v>
      </c>
      <c r="I4943" t="str">
        <f t="shared" si="77"/>
        <v>Jun</v>
      </c>
      <c r="J4943">
        <f>YEAR(datas[[#This Row],[Order Date]])</f>
        <v>2023</v>
      </c>
    </row>
    <row r="4944" spans="1:10" ht="14.25" customHeight="1" x14ac:dyDescent="0.3">
      <c r="A4944" s="1">
        <v>45095</v>
      </c>
      <c r="B4944" s="2" t="s">
        <v>306</v>
      </c>
      <c r="C4944" s="2" t="s">
        <v>13</v>
      </c>
      <c r="D4944" s="2" t="s">
        <v>10</v>
      </c>
      <c r="E4944" s="2" t="s">
        <v>11</v>
      </c>
      <c r="F4944" s="2">
        <v>76.86</v>
      </c>
      <c r="G4944" s="2">
        <v>2</v>
      </c>
      <c r="H4944" s="2">
        <v>26.9</v>
      </c>
      <c r="I4944" t="str">
        <f t="shared" si="77"/>
        <v>Jun</v>
      </c>
      <c r="J4944">
        <f>YEAR(datas[[#This Row],[Order Date]])</f>
        <v>2023</v>
      </c>
    </row>
    <row r="4945" spans="1:10" ht="14.25" customHeight="1" x14ac:dyDescent="0.3">
      <c r="A4945" s="1">
        <v>45095</v>
      </c>
      <c r="B4945" s="2" t="s">
        <v>733</v>
      </c>
      <c r="C4945" s="2" t="s">
        <v>18</v>
      </c>
      <c r="D4945" s="2" t="s">
        <v>10</v>
      </c>
      <c r="E4945" s="2" t="s">
        <v>11</v>
      </c>
      <c r="F4945" s="2">
        <v>6.85</v>
      </c>
      <c r="G4945" s="2">
        <v>2</v>
      </c>
      <c r="H4945" s="2">
        <v>2.14</v>
      </c>
      <c r="I4945" t="str">
        <f t="shared" si="77"/>
        <v>Jun</v>
      </c>
      <c r="J4945">
        <f>YEAR(datas[[#This Row],[Order Date]])</f>
        <v>2023</v>
      </c>
    </row>
    <row r="4946" spans="1:10" ht="14.25" customHeight="1" x14ac:dyDescent="0.3">
      <c r="A4946" s="1">
        <v>45095</v>
      </c>
      <c r="B4946" s="2" t="s">
        <v>733</v>
      </c>
      <c r="C4946" s="2" t="s">
        <v>18</v>
      </c>
      <c r="D4946" s="2" t="s">
        <v>10</v>
      </c>
      <c r="E4946" s="2" t="s">
        <v>16</v>
      </c>
      <c r="F4946" s="2">
        <v>4.63</v>
      </c>
      <c r="G4946" s="2">
        <v>2</v>
      </c>
      <c r="H4946" s="2">
        <v>-3.86</v>
      </c>
      <c r="I4946" t="str">
        <f t="shared" si="77"/>
        <v>Jun</v>
      </c>
      <c r="J4946">
        <f>YEAR(datas[[#This Row],[Order Date]])</f>
        <v>2023</v>
      </c>
    </row>
    <row r="4947" spans="1:10" ht="14.25" customHeight="1" x14ac:dyDescent="0.3">
      <c r="A4947" s="1">
        <v>45095</v>
      </c>
      <c r="B4947" s="2" t="s">
        <v>733</v>
      </c>
      <c r="C4947" s="2" t="s">
        <v>18</v>
      </c>
      <c r="D4947" s="2" t="s">
        <v>10</v>
      </c>
      <c r="E4947" s="2" t="s">
        <v>53</v>
      </c>
      <c r="F4947" s="2">
        <v>453.6</v>
      </c>
      <c r="G4947" s="2">
        <v>3</v>
      </c>
      <c r="H4947" s="2">
        <v>90.72</v>
      </c>
      <c r="I4947" t="str">
        <f t="shared" si="77"/>
        <v>Jun</v>
      </c>
      <c r="J4947">
        <f>YEAR(datas[[#This Row],[Order Date]])</f>
        <v>2023</v>
      </c>
    </row>
    <row r="4948" spans="1:10" ht="14.25" customHeight="1" x14ac:dyDescent="0.3">
      <c r="A4948" s="1">
        <v>45096</v>
      </c>
      <c r="B4948" s="2" t="s">
        <v>455</v>
      </c>
      <c r="C4948" s="2" t="s">
        <v>21</v>
      </c>
      <c r="D4948" s="2" t="s">
        <v>10</v>
      </c>
      <c r="E4948" s="2" t="s">
        <v>11</v>
      </c>
      <c r="F4948" s="2">
        <v>17.12</v>
      </c>
      <c r="G4948" s="2">
        <v>2</v>
      </c>
      <c r="H4948" s="2">
        <v>8.0500000000000007</v>
      </c>
      <c r="I4948" t="str">
        <f t="shared" si="77"/>
        <v>Jun</v>
      </c>
      <c r="J4948">
        <f>YEAR(datas[[#This Row],[Order Date]])</f>
        <v>2023</v>
      </c>
    </row>
    <row r="4949" spans="1:10" ht="14.25" customHeight="1" x14ac:dyDescent="0.3">
      <c r="A4949" s="1">
        <v>45097</v>
      </c>
      <c r="B4949" s="2" t="s">
        <v>422</v>
      </c>
      <c r="C4949" s="2" t="s">
        <v>38</v>
      </c>
      <c r="D4949" s="2" t="s">
        <v>28</v>
      </c>
      <c r="E4949" s="2" t="s">
        <v>34</v>
      </c>
      <c r="F4949" s="2">
        <v>45</v>
      </c>
      <c r="G4949" s="2">
        <v>3</v>
      </c>
      <c r="H4949" s="2">
        <v>4.95</v>
      </c>
      <c r="I4949" t="str">
        <f t="shared" si="77"/>
        <v>Jun</v>
      </c>
      <c r="J4949">
        <f>YEAR(datas[[#This Row],[Order Date]])</f>
        <v>2023</v>
      </c>
    </row>
    <row r="4950" spans="1:10" ht="14.25" customHeight="1" x14ac:dyDescent="0.3">
      <c r="A4950" s="1">
        <v>45097</v>
      </c>
      <c r="B4950" s="2" t="s">
        <v>422</v>
      </c>
      <c r="C4950" s="2" t="s">
        <v>38</v>
      </c>
      <c r="D4950" s="2" t="s">
        <v>28</v>
      </c>
      <c r="E4950" s="2" t="s">
        <v>29</v>
      </c>
      <c r="F4950" s="2">
        <v>21.8</v>
      </c>
      <c r="G4950" s="2">
        <v>2</v>
      </c>
      <c r="H4950" s="2">
        <v>6.1</v>
      </c>
      <c r="I4950" t="str">
        <f t="shared" si="77"/>
        <v>Jun</v>
      </c>
      <c r="J4950">
        <f>YEAR(datas[[#This Row],[Order Date]])</f>
        <v>2023</v>
      </c>
    </row>
    <row r="4951" spans="1:10" ht="14.25" customHeight="1" x14ac:dyDescent="0.3">
      <c r="A4951" s="1">
        <v>45097</v>
      </c>
      <c r="B4951" s="2" t="s">
        <v>752</v>
      </c>
      <c r="C4951" s="2" t="s">
        <v>21</v>
      </c>
      <c r="D4951" s="2" t="s">
        <v>10</v>
      </c>
      <c r="E4951" s="2" t="s">
        <v>19</v>
      </c>
      <c r="F4951" s="2">
        <v>5.16</v>
      </c>
      <c r="G4951" s="2">
        <v>2</v>
      </c>
      <c r="H4951" s="2">
        <v>1.34</v>
      </c>
      <c r="I4951" t="str">
        <f t="shared" si="77"/>
        <v>Jun</v>
      </c>
      <c r="J4951">
        <f>YEAR(datas[[#This Row],[Order Date]])</f>
        <v>2023</v>
      </c>
    </row>
    <row r="4952" spans="1:10" ht="14.25" customHeight="1" x14ac:dyDescent="0.3">
      <c r="A4952" s="1">
        <v>45097</v>
      </c>
      <c r="B4952" s="2" t="s">
        <v>752</v>
      </c>
      <c r="C4952" s="2" t="s">
        <v>21</v>
      </c>
      <c r="D4952" s="2" t="s">
        <v>10</v>
      </c>
      <c r="E4952" s="2" t="s">
        <v>11</v>
      </c>
      <c r="F4952" s="2">
        <v>38.880000000000003</v>
      </c>
      <c r="G4952" s="2">
        <v>6</v>
      </c>
      <c r="H4952" s="2">
        <v>18.66</v>
      </c>
      <c r="I4952" t="str">
        <f t="shared" si="77"/>
        <v>Jun</v>
      </c>
      <c r="J4952">
        <f>YEAR(datas[[#This Row],[Order Date]])</f>
        <v>2023</v>
      </c>
    </row>
    <row r="4953" spans="1:10" ht="14.25" customHeight="1" x14ac:dyDescent="0.3">
      <c r="A4953" s="1">
        <v>45097</v>
      </c>
      <c r="B4953" s="2" t="s">
        <v>724</v>
      </c>
      <c r="C4953" s="2" t="s">
        <v>18</v>
      </c>
      <c r="D4953" s="2" t="s">
        <v>10</v>
      </c>
      <c r="E4953" s="2" t="s">
        <v>11</v>
      </c>
      <c r="F4953" s="2">
        <v>45.06</v>
      </c>
      <c r="G4953" s="2">
        <v>8</v>
      </c>
      <c r="H4953" s="2">
        <v>15.21</v>
      </c>
      <c r="I4953" t="str">
        <f t="shared" si="77"/>
        <v>Jun</v>
      </c>
      <c r="J4953">
        <f>YEAR(datas[[#This Row],[Order Date]])</f>
        <v>2023</v>
      </c>
    </row>
    <row r="4954" spans="1:10" ht="14.25" customHeight="1" x14ac:dyDescent="0.3">
      <c r="A4954" s="1">
        <v>45097</v>
      </c>
      <c r="B4954" s="2" t="s">
        <v>724</v>
      </c>
      <c r="C4954" s="2" t="s">
        <v>18</v>
      </c>
      <c r="D4954" s="2" t="s">
        <v>10</v>
      </c>
      <c r="E4954" s="2" t="s">
        <v>16</v>
      </c>
      <c r="F4954" s="2">
        <v>29.72</v>
      </c>
      <c r="G4954" s="2">
        <v>6</v>
      </c>
      <c r="H4954" s="2">
        <v>-21.79</v>
      </c>
      <c r="I4954" t="str">
        <f t="shared" si="77"/>
        <v>Jun</v>
      </c>
      <c r="J4954">
        <f>YEAR(datas[[#This Row],[Order Date]])</f>
        <v>2023</v>
      </c>
    </row>
    <row r="4955" spans="1:10" ht="14.25" customHeight="1" x14ac:dyDescent="0.3">
      <c r="A4955" s="1">
        <v>45097</v>
      </c>
      <c r="B4955" s="2" t="s">
        <v>724</v>
      </c>
      <c r="C4955" s="2" t="s">
        <v>18</v>
      </c>
      <c r="D4955" s="2" t="s">
        <v>10</v>
      </c>
      <c r="E4955" s="2" t="s">
        <v>11</v>
      </c>
      <c r="F4955" s="2">
        <v>15.55</v>
      </c>
      <c r="G4955" s="2">
        <v>3</v>
      </c>
      <c r="H4955" s="2">
        <v>5.44</v>
      </c>
      <c r="I4955" t="str">
        <f t="shared" si="77"/>
        <v>Jun</v>
      </c>
      <c r="J4955">
        <f>YEAR(datas[[#This Row],[Order Date]])</f>
        <v>2023</v>
      </c>
    </row>
    <row r="4956" spans="1:10" ht="14.25" customHeight="1" x14ac:dyDescent="0.3">
      <c r="A4956" s="1">
        <v>45097</v>
      </c>
      <c r="B4956" s="2" t="s">
        <v>724</v>
      </c>
      <c r="C4956" s="2" t="s">
        <v>18</v>
      </c>
      <c r="D4956" s="2" t="s">
        <v>10</v>
      </c>
      <c r="E4956" s="2" t="s">
        <v>53</v>
      </c>
      <c r="F4956" s="2">
        <v>447.7</v>
      </c>
      <c r="G4956" s="2">
        <v>2</v>
      </c>
      <c r="H4956" s="2">
        <v>33.58</v>
      </c>
      <c r="I4956" t="str">
        <f t="shared" si="77"/>
        <v>Jun</v>
      </c>
      <c r="J4956">
        <f>YEAR(datas[[#This Row],[Order Date]])</f>
        <v>2023</v>
      </c>
    </row>
    <row r="4957" spans="1:10" ht="14.25" customHeight="1" x14ac:dyDescent="0.3">
      <c r="A4957" s="1">
        <v>45097</v>
      </c>
      <c r="B4957" s="2" t="s">
        <v>626</v>
      </c>
      <c r="C4957" s="2" t="s">
        <v>21</v>
      </c>
      <c r="D4957" s="2" t="s">
        <v>10</v>
      </c>
      <c r="E4957" s="2" t="s">
        <v>11</v>
      </c>
      <c r="F4957" s="2">
        <v>46.76</v>
      </c>
      <c r="G4957" s="2">
        <v>7</v>
      </c>
      <c r="H4957" s="2">
        <v>22.44</v>
      </c>
      <c r="I4957" t="str">
        <f t="shared" si="77"/>
        <v>Jun</v>
      </c>
      <c r="J4957">
        <f>YEAR(datas[[#This Row],[Order Date]])</f>
        <v>2023</v>
      </c>
    </row>
    <row r="4958" spans="1:10" ht="14.25" customHeight="1" x14ac:dyDescent="0.3">
      <c r="A4958" s="1">
        <v>45097</v>
      </c>
      <c r="B4958" s="2" t="s">
        <v>626</v>
      </c>
      <c r="C4958" s="2" t="s">
        <v>21</v>
      </c>
      <c r="D4958" s="2" t="s">
        <v>10</v>
      </c>
      <c r="E4958" s="2" t="s">
        <v>16</v>
      </c>
      <c r="F4958" s="2">
        <v>17.71</v>
      </c>
      <c r="G4958" s="2">
        <v>3</v>
      </c>
      <c r="H4958" s="2">
        <v>6.42</v>
      </c>
      <c r="I4958" t="str">
        <f t="shared" si="77"/>
        <v>Jun</v>
      </c>
      <c r="J4958">
        <f>YEAR(datas[[#This Row],[Order Date]])</f>
        <v>2023</v>
      </c>
    </row>
    <row r="4959" spans="1:10" ht="14.25" customHeight="1" x14ac:dyDescent="0.3">
      <c r="A4959" s="1">
        <v>45097</v>
      </c>
      <c r="B4959" s="2" t="s">
        <v>626</v>
      </c>
      <c r="C4959" s="2" t="s">
        <v>21</v>
      </c>
      <c r="D4959" s="2" t="s">
        <v>10</v>
      </c>
      <c r="E4959" s="2" t="s">
        <v>53</v>
      </c>
      <c r="F4959" s="2">
        <v>21.78</v>
      </c>
      <c r="G4959" s="2">
        <v>2</v>
      </c>
      <c r="H4959" s="2">
        <v>5.66</v>
      </c>
      <c r="I4959" t="str">
        <f t="shared" si="77"/>
        <v>Jun</v>
      </c>
      <c r="J4959">
        <f>YEAR(datas[[#This Row],[Order Date]])</f>
        <v>2023</v>
      </c>
    </row>
    <row r="4960" spans="1:10" ht="14.25" customHeight="1" x14ac:dyDescent="0.3">
      <c r="A4960" s="1">
        <v>45097</v>
      </c>
      <c r="B4960" s="2" t="s">
        <v>626</v>
      </c>
      <c r="C4960" s="2" t="s">
        <v>21</v>
      </c>
      <c r="D4960" s="2" t="s">
        <v>10</v>
      </c>
      <c r="E4960" s="2" t="s">
        <v>15</v>
      </c>
      <c r="F4960" s="2">
        <v>161.94</v>
      </c>
      <c r="G4960" s="2">
        <v>3</v>
      </c>
      <c r="H4960" s="2">
        <v>9.7200000000000006</v>
      </c>
      <c r="I4960" t="str">
        <f t="shared" si="77"/>
        <v>Jun</v>
      </c>
      <c r="J4960">
        <f>YEAR(datas[[#This Row],[Order Date]])</f>
        <v>2023</v>
      </c>
    </row>
    <row r="4961" spans="1:10" ht="14.25" customHeight="1" x14ac:dyDescent="0.3">
      <c r="A4961" s="1">
        <v>45097</v>
      </c>
      <c r="B4961" s="2" t="s">
        <v>626</v>
      </c>
      <c r="C4961" s="2" t="s">
        <v>21</v>
      </c>
      <c r="D4961" s="2" t="s">
        <v>26</v>
      </c>
      <c r="E4961" s="2" t="s">
        <v>27</v>
      </c>
      <c r="F4961" s="2">
        <v>161.57</v>
      </c>
      <c r="G4961" s="2">
        <v>2</v>
      </c>
      <c r="H4961" s="2">
        <v>-8.08</v>
      </c>
      <c r="I4961" t="str">
        <f t="shared" si="77"/>
        <v>Jun</v>
      </c>
      <c r="J4961">
        <f>YEAR(datas[[#This Row],[Order Date]])</f>
        <v>2023</v>
      </c>
    </row>
    <row r="4962" spans="1:10" ht="14.25" customHeight="1" x14ac:dyDescent="0.3">
      <c r="A4962" s="1">
        <v>45097</v>
      </c>
      <c r="B4962" s="2" t="s">
        <v>471</v>
      </c>
      <c r="C4962" s="2" t="s">
        <v>9</v>
      </c>
      <c r="D4962" s="2" t="s">
        <v>28</v>
      </c>
      <c r="E4962" s="2" t="s">
        <v>34</v>
      </c>
      <c r="F4962" s="2">
        <v>95.97</v>
      </c>
      <c r="G4962" s="2">
        <v>4</v>
      </c>
      <c r="H4962" s="2">
        <v>26.39</v>
      </c>
      <c r="I4962" t="str">
        <f t="shared" si="77"/>
        <v>Jun</v>
      </c>
      <c r="J4962">
        <f>YEAR(datas[[#This Row],[Order Date]])</f>
        <v>2023</v>
      </c>
    </row>
    <row r="4963" spans="1:10" ht="14.25" customHeight="1" x14ac:dyDescent="0.3">
      <c r="A4963" s="1">
        <v>45097</v>
      </c>
      <c r="B4963" s="2" t="s">
        <v>471</v>
      </c>
      <c r="C4963" s="2" t="s">
        <v>9</v>
      </c>
      <c r="D4963" s="2" t="s">
        <v>10</v>
      </c>
      <c r="E4963" s="2" t="s">
        <v>11</v>
      </c>
      <c r="F4963" s="2">
        <v>10.37</v>
      </c>
      <c r="G4963" s="2">
        <v>2</v>
      </c>
      <c r="H4963" s="2">
        <v>3.63</v>
      </c>
      <c r="I4963" t="str">
        <f t="shared" si="77"/>
        <v>Jun</v>
      </c>
      <c r="J4963">
        <f>YEAR(datas[[#This Row],[Order Date]])</f>
        <v>2023</v>
      </c>
    </row>
    <row r="4964" spans="1:10" ht="14.25" customHeight="1" x14ac:dyDescent="0.3">
      <c r="A4964" s="1">
        <v>45097</v>
      </c>
      <c r="B4964" s="2" t="s">
        <v>249</v>
      </c>
      <c r="C4964" s="2" t="s">
        <v>329</v>
      </c>
      <c r="D4964" s="2" t="s">
        <v>28</v>
      </c>
      <c r="E4964" s="2" t="s">
        <v>34</v>
      </c>
      <c r="F4964" s="2">
        <v>6.9</v>
      </c>
      <c r="G4964" s="2">
        <v>1</v>
      </c>
      <c r="H4964" s="2">
        <v>0.55000000000000004</v>
      </c>
      <c r="I4964" t="str">
        <f t="shared" si="77"/>
        <v>Jun</v>
      </c>
      <c r="J4964">
        <f>YEAR(datas[[#This Row],[Order Date]])</f>
        <v>2023</v>
      </c>
    </row>
    <row r="4965" spans="1:10" ht="14.25" customHeight="1" x14ac:dyDescent="0.3">
      <c r="A4965" s="1">
        <v>45097</v>
      </c>
      <c r="B4965" s="2" t="s">
        <v>249</v>
      </c>
      <c r="C4965" s="2" t="s">
        <v>329</v>
      </c>
      <c r="D4965" s="2" t="s">
        <v>26</v>
      </c>
      <c r="E4965" s="2" t="s">
        <v>32</v>
      </c>
      <c r="F4965" s="2">
        <v>57.69</v>
      </c>
      <c r="G4965" s="2">
        <v>3</v>
      </c>
      <c r="H4965" s="2">
        <v>23.65</v>
      </c>
      <c r="I4965" t="str">
        <f t="shared" si="77"/>
        <v>Jun</v>
      </c>
      <c r="J4965">
        <f>YEAR(datas[[#This Row],[Order Date]])</f>
        <v>2023</v>
      </c>
    </row>
    <row r="4966" spans="1:10" ht="14.25" customHeight="1" x14ac:dyDescent="0.3">
      <c r="A4966" s="1">
        <v>45098</v>
      </c>
      <c r="B4966" s="2" t="s">
        <v>494</v>
      </c>
      <c r="C4966" s="2" t="s">
        <v>75</v>
      </c>
      <c r="D4966" s="2" t="s">
        <v>10</v>
      </c>
      <c r="E4966" s="2" t="s">
        <v>16</v>
      </c>
      <c r="F4966" s="2">
        <v>36.56</v>
      </c>
      <c r="G4966" s="2">
        <v>5</v>
      </c>
      <c r="H4966" s="2">
        <v>12.8</v>
      </c>
      <c r="I4966" t="str">
        <f t="shared" si="77"/>
        <v>Jun</v>
      </c>
      <c r="J4966">
        <f>YEAR(datas[[#This Row],[Order Date]])</f>
        <v>2023</v>
      </c>
    </row>
    <row r="4967" spans="1:10" ht="14.25" customHeight="1" x14ac:dyDescent="0.3">
      <c r="A4967" s="1">
        <v>45098</v>
      </c>
      <c r="B4967" s="2" t="s">
        <v>494</v>
      </c>
      <c r="C4967" s="2" t="s">
        <v>75</v>
      </c>
      <c r="D4967" s="2" t="s">
        <v>10</v>
      </c>
      <c r="E4967" s="2" t="s">
        <v>16</v>
      </c>
      <c r="F4967" s="2">
        <v>186.14</v>
      </c>
      <c r="G4967" s="2">
        <v>6</v>
      </c>
      <c r="H4967" s="2">
        <v>60.5</v>
      </c>
      <c r="I4967" t="str">
        <f t="shared" si="77"/>
        <v>Jun</v>
      </c>
      <c r="J4967">
        <f>YEAR(datas[[#This Row],[Order Date]])</f>
        <v>2023</v>
      </c>
    </row>
    <row r="4968" spans="1:10" ht="14.25" customHeight="1" x14ac:dyDescent="0.3">
      <c r="A4968" s="1">
        <v>45098</v>
      </c>
      <c r="B4968" s="2" t="s">
        <v>494</v>
      </c>
      <c r="C4968" s="2" t="s">
        <v>75</v>
      </c>
      <c r="D4968" s="2" t="s">
        <v>26</v>
      </c>
      <c r="E4968" s="2" t="s">
        <v>45</v>
      </c>
      <c r="F4968" s="2">
        <v>353.57</v>
      </c>
      <c r="G4968" s="2">
        <v>2</v>
      </c>
      <c r="H4968" s="2">
        <v>-44.2</v>
      </c>
      <c r="I4968" t="str">
        <f t="shared" si="77"/>
        <v>Jun</v>
      </c>
      <c r="J4968">
        <f>YEAR(datas[[#This Row],[Order Date]])</f>
        <v>2023</v>
      </c>
    </row>
    <row r="4969" spans="1:10" ht="14.25" customHeight="1" x14ac:dyDescent="0.3">
      <c r="A4969" s="1">
        <v>45098</v>
      </c>
      <c r="B4969" s="2" t="s">
        <v>662</v>
      </c>
      <c r="C4969" s="2" t="s">
        <v>13</v>
      </c>
      <c r="D4969" s="2" t="s">
        <v>10</v>
      </c>
      <c r="E4969" s="2" t="s">
        <v>16</v>
      </c>
      <c r="F4969" s="2">
        <v>0.84</v>
      </c>
      <c r="G4969" s="2">
        <v>1</v>
      </c>
      <c r="H4969" s="2">
        <v>-1.34</v>
      </c>
      <c r="I4969" t="str">
        <f t="shared" si="77"/>
        <v>Jun</v>
      </c>
      <c r="J4969">
        <f>YEAR(datas[[#This Row],[Order Date]])</f>
        <v>2023</v>
      </c>
    </row>
    <row r="4970" spans="1:10" ht="14.25" customHeight="1" x14ac:dyDescent="0.3">
      <c r="A4970" s="1">
        <v>45100</v>
      </c>
      <c r="B4970" s="2" t="s">
        <v>648</v>
      </c>
      <c r="C4970" s="2" t="s">
        <v>75</v>
      </c>
      <c r="D4970" s="2" t="s">
        <v>10</v>
      </c>
      <c r="E4970" s="2" t="s">
        <v>14</v>
      </c>
      <c r="F4970" s="2">
        <v>122.12</v>
      </c>
      <c r="G4970" s="2">
        <v>4</v>
      </c>
      <c r="H4970" s="2">
        <v>56.18</v>
      </c>
      <c r="I4970" t="str">
        <f t="shared" si="77"/>
        <v>Jun</v>
      </c>
      <c r="J4970">
        <f>YEAR(datas[[#This Row],[Order Date]])</f>
        <v>2023</v>
      </c>
    </row>
    <row r="4971" spans="1:10" ht="14.25" customHeight="1" x14ac:dyDescent="0.3">
      <c r="A4971" s="1">
        <v>45100</v>
      </c>
      <c r="B4971" s="2" t="s">
        <v>648</v>
      </c>
      <c r="C4971" s="2" t="s">
        <v>75</v>
      </c>
      <c r="D4971" s="2" t="s">
        <v>10</v>
      </c>
      <c r="E4971" s="2" t="s">
        <v>14</v>
      </c>
      <c r="F4971" s="2">
        <v>18.45</v>
      </c>
      <c r="G4971" s="2">
        <v>5</v>
      </c>
      <c r="H4971" s="2">
        <v>8.67</v>
      </c>
      <c r="I4971" t="str">
        <f t="shared" si="77"/>
        <v>Jun</v>
      </c>
      <c r="J4971">
        <f>YEAR(datas[[#This Row],[Order Date]])</f>
        <v>2023</v>
      </c>
    </row>
    <row r="4972" spans="1:10" ht="14.25" customHeight="1" x14ac:dyDescent="0.3">
      <c r="A4972" s="1">
        <v>45100</v>
      </c>
      <c r="B4972" s="2" t="s">
        <v>648</v>
      </c>
      <c r="C4972" s="2" t="s">
        <v>75</v>
      </c>
      <c r="D4972" s="2" t="s">
        <v>10</v>
      </c>
      <c r="E4972" s="2" t="s">
        <v>15</v>
      </c>
      <c r="F4972" s="2">
        <v>324.89999999999998</v>
      </c>
      <c r="G4972" s="2">
        <v>5</v>
      </c>
      <c r="H4972" s="2">
        <v>38.99</v>
      </c>
      <c r="I4972" t="str">
        <f t="shared" si="77"/>
        <v>Jun</v>
      </c>
      <c r="J4972">
        <f>YEAR(datas[[#This Row],[Order Date]])</f>
        <v>2023</v>
      </c>
    </row>
    <row r="4973" spans="1:10" ht="14.25" customHeight="1" x14ac:dyDescent="0.3">
      <c r="A4973" s="1">
        <v>45100</v>
      </c>
      <c r="B4973" s="2" t="s">
        <v>648</v>
      </c>
      <c r="C4973" s="2" t="s">
        <v>75</v>
      </c>
      <c r="D4973" s="2" t="s">
        <v>10</v>
      </c>
      <c r="E4973" s="2" t="s">
        <v>11</v>
      </c>
      <c r="F4973" s="2">
        <v>146.72999999999999</v>
      </c>
      <c r="G4973" s="2">
        <v>3</v>
      </c>
      <c r="H4973" s="2">
        <v>68.959999999999994</v>
      </c>
      <c r="I4973" t="str">
        <f t="shared" si="77"/>
        <v>Jun</v>
      </c>
      <c r="J4973">
        <f>YEAR(datas[[#This Row],[Order Date]])</f>
        <v>2023</v>
      </c>
    </row>
    <row r="4974" spans="1:10" ht="14.25" customHeight="1" x14ac:dyDescent="0.3">
      <c r="A4974" s="1">
        <v>45100</v>
      </c>
      <c r="B4974" s="2" t="s">
        <v>648</v>
      </c>
      <c r="C4974" s="2" t="s">
        <v>75</v>
      </c>
      <c r="D4974" s="2" t="s">
        <v>10</v>
      </c>
      <c r="E4974" s="2" t="s">
        <v>30</v>
      </c>
      <c r="F4974" s="2">
        <v>3.96</v>
      </c>
      <c r="G4974" s="2">
        <v>2</v>
      </c>
      <c r="H4974" s="2">
        <v>1.47</v>
      </c>
      <c r="I4974" t="str">
        <f t="shared" si="77"/>
        <v>Jun</v>
      </c>
      <c r="J4974">
        <f>YEAR(datas[[#This Row],[Order Date]])</f>
        <v>2023</v>
      </c>
    </row>
    <row r="4975" spans="1:10" ht="14.25" customHeight="1" x14ac:dyDescent="0.3">
      <c r="A4975" s="1">
        <v>45100</v>
      </c>
      <c r="B4975" s="2" t="s">
        <v>657</v>
      </c>
      <c r="C4975" s="2" t="s">
        <v>75</v>
      </c>
      <c r="D4975" s="2" t="s">
        <v>10</v>
      </c>
      <c r="E4975" s="2" t="s">
        <v>95</v>
      </c>
      <c r="F4975" s="2">
        <v>835.17</v>
      </c>
      <c r="G4975" s="2">
        <v>7</v>
      </c>
      <c r="H4975" s="2">
        <v>16.7</v>
      </c>
      <c r="I4975" t="str">
        <f t="shared" si="77"/>
        <v>Jun</v>
      </c>
      <c r="J4975">
        <f>YEAR(datas[[#This Row],[Order Date]])</f>
        <v>2023</v>
      </c>
    </row>
    <row r="4976" spans="1:10" ht="14.25" customHeight="1" x14ac:dyDescent="0.3">
      <c r="A4976" s="1">
        <v>45100</v>
      </c>
      <c r="B4976" s="2" t="s">
        <v>191</v>
      </c>
      <c r="C4976" s="2" t="s">
        <v>21</v>
      </c>
      <c r="D4976" s="2" t="s">
        <v>10</v>
      </c>
      <c r="E4976" s="2" t="s">
        <v>15</v>
      </c>
      <c r="F4976" s="2">
        <v>93.68</v>
      </c>
      <c r="G4976" s="2">
        <v>4</v>
      </c>
      <c r="H4976" s="2">
        <v>25.29</v>
      </c>
      <c r="I4976" t="str">
        <f t="shared" si="77"/>
        <v>Jun</v>
      </c>
      <c r="J4976">
        <f>YEAR(datas[[#This Row],[Order Date]])</f>
        <v>2023</v>
      </c>
    </row>
    <row r="4977" spans="1:10" ht="14.25" customHeight="1" x14ac:dyDescent="0.3">
      <c r="A4977" s="1">
        <v>45100</v>
      </c>
      <c r="B4977" s="2" t="s">
        <v>191</v>
      </c>
      <c r="C4977" s="2" t="s">
        <v>21</v>
      </c>
      <c r="D4977" s="2" t="s">
        <v>10</v>
      </c>
      <c r="E4977" s="2" t="s">
        <v>14</v>
      </c>
      <c r="F4977" s="2">
        <v>21.93</v>
      </c>
      <c r="G4977" s="2">
        <v>3</v>
      </c>
      <c r="H4977" s="2">
        <v>10.31</v>
      </c>
      <c r="I4977" t="str">
        <f t="shared" si="77"/>
        <v>Jun</v>
      </c>
      <c r="J4977">
        <f>YEAR(datas[[#This Row],[Order Date]])</f>
        <v>2023</v>
      </c>
    </row>
    <row r="4978" spans="1:10" ht="14.25" customHeight="1" x14ac:dyDescent="0.3">
      <c r="A4978" s="1">
        <v>45100</v>
      </c>
      <c r="B4978" s="2" t="s">
        <v>191</v>
      </c>
      <c r="C4978" s="2" t="s">
        <v>21</v>
      </c>
      <c r="D4978" s="2" t="s">
        <v>28</v>
      </c>
      <c r="E4978" s="2" t="s">
        <v>29</v>
      </c>
      <c r="F4978" s="2">
        <v>862.34</v>
      </c>
      <c r="G4978" s="2">
        <v>7</v>
      </c>
      <c r="H4978" s="2">
        <v>97.01</v>
      </c>
      <c r="I4978" t="str">
        <f t="shared" si="77"/>
        <v>Jun</v>
      </c>
      <c r="J4978">
        <f>YEAR(datas[[#This Row],[Order Date]])</f>
        <v>2023</v>
      </c>
    </row>
    <row r="4979" spans="1:10" ht="14.25" customHeight="1" x14ac:dyDescent="0.3">
      <c r="A4979" s="1">
        <v>45100</v>
      </c>
      <c r="B4979" s="2" t="s">
        <v>191</v>
      </c>
      <c r="C4979" s="2" t="s">
        <v>21</v>
      </c>
      <c r="D4979" s="2" t="s">
        <v>10</v>
      </c>
      <c r="E4979" s="2" t="s">
        <v>11</v>
      </c>
      <c r="F4979" s="2">
        <v>19.98</v>
      </c>
      <c r="G4979" s="2">
        <v>1</v>
      </c>
      <c r="H4979" s="2">
        <v>9.39</v>
      </c>
      <c r="I4979" t="str">
        <f t="shared" si="77"/>
        <v>Jun</v>
      </c>
      <c r="J4979">
        <f>YEAR(datas[[#This Row],[Order Date]])</f>
        <v>2023</v>
      </c>
    </row>
    <row r="4980" spans="1:10" ht="14.25" customHeight="1" x14ac:dyDescent="0.3">
      <c r="A4980" s="1">
        <v>45100</v>
      </c>
      <c r="B4980" s="2" t="s">
        <v>605</v>
      </c>
      <c r="C4980" s="2" t="s">
        <v>75</v>
      </c>
      <c r="D4980" s="2" t="s">
        <v>10</v>
      </c>
      <c r="E4980" s="2" t="s">
        <v>14</v>
      </c>
      <c r="F4980" s="2">
        <v>25.83</v>
      </c>
      <c r="G4980" s="2">
        <v>7</v>
      </c>
      <c r="H4980" s="2">
        <v>12.14</v>
      </c>
      <c r="I4980" t="str">
        <f t="shared" si="77"/>
        <v>Jun</v>
      </c>
      <c r="J4980">
        <f>YEAR(datas[[#This Row],[Order Date]])</f>
        <v>2023</v>
      </c>
    </row>
    <row r="4981" spans="1:10" ht="14.25" customHeight="1" x14ac:dyDescent="0.3">
      <c r="A4981" s="1">
        <v>45101</v>
      </c>
      <c r="B4981" s="2" t="s">
        <v>722</v>
      </c>
      <c r="C4981" s="2" t="s">
        <v>21</v>
      </c>
      <c r="D4981" s="2" t="s">
        <v>28</v>
      </c>
      <c r="E4981" s="2" t="s">
        <v>29</v>
      </c>
      <c r="F4981" s="2">
        <v>38.24</v>
      </c>
      <c r="G4981" s="2">
        <v>4</v>
      </c>
      <c r="H4981" s="2">
        <v>-9.56</v>
      </c>
      <c r="I4981" t="str">
        <f t="shared" si="77"/>
        <v>Jun</v>
      </c>
      <c r="J4981">
        <f>YEAR(datas[[#This Row],[Order Date]])</f>
        <v>2023</v>
      </c>
    </row>
    <row r="4982" spans="1:10" ht="14.25" customHeight="1" x14ac:dyDescent="0.3">
      <c r="A4982" s="1">
        <v>45101</v>
      </c>
      <c r="B4982" s="2" t="s">
        <v>56</v>
      </c>
      <c r="C4982" s="2" t="s">
        <v>68</v>
      </c>
      <c r="D4982" s="2" t="s">
        <v>28</v>
      </c>
      <c r="E4982" s="2" t="s">
        <v>29</v>
      </c>
      <c r="F4982" s="2">
        <v>440.91</v>
      </c>
      <c r="G4982" s="2">
        <v>9</v>
      </c>
      <c r="H4982" s="2">
        <v>123.45</v>
      </c>
      <c r="I4982" t="str">
        <f t="shared" si="77"/>
        <v>Jun</v>
      </c>
      <c r="J4982">
        <f>YEAR(datas[[#This Row],[Order Date]])</f>
        <v>2023</v>
      </c>
    </row>
    <row r="4983" spans="1:10" ht="14.25" customHeight="1" x14ac:dyDescent="0.3">
      <c r="A4983" s="1">
        <v>45101</v>
      </c>
      <c r="B4983" s="2" t="s">
        <v>598</v>
      </c>
      <c r="C4983" s="2" t="s">
        <v>9</v>
      </c>
      <c r="D4983" s="2" t="s">
        <v>10</v>
      </c>
      <c r="E4983" s="2" t="s">
        <v>53</v>
      </c>
      <c r="F4983" s="2">
        <v>8.7100000000000009</v>
      </c>
      <c r="G4983" s="2">
        <v>2</v>
      </c>
      <c r="H4983" s="2">
        <v>-19.600000000000001</v>
      </c>
      <c r="I4983" t="str">
        <f t="shared" si="77"/>
        <v>Jun</v>
      </c>
      <c r="J4983">
        <f>YEAR(datas[[#This Row],[Order Date]])</f>
        <v>2023</v>
      </c>
    </row>
    <row r="4984" spans="1:10" ht="14.25" customHeight="1" x14ac:dyDescent="0.3">
      <c r="A4984" s="1">
        <v>45101</v>
      </c>
      <c r="B4984" s="2" t="s">
        <v>728</v>
      </c>
      <c r="C4984" s="2" t="s">
        <v>21</v>
      </c>
      <c r="D4984" s="2" t="s">
        <v>28</v>
      </c>
      <c r="E4984" s="2" t="s">
        <v>136</v>
      </c>
      <c r="F4984" s="2">
        <v>4476.8</v>
      </c>
      <c r="G4984" s="2">
        <v>4</v>
      </c>
      <c r="H4984" s="2">
        <v>503.64</v>
      </c>
      <c r="I4984" t="str">
        <f t="shared" si="77"/>
        <v>Jun</v>
      </c>
      <c r="J4984">
        <f>YEAR(datas[[#This Row],[Order Date]])</f>
        <v>2023</v>
      </c>
    </row>
    <row r="4985" spans="1:10" ht="14.25" customHeight="1" x14ac:dyDescent="0.3">
      <c r="A4985" s="1">
        <v>45101</v>
      </c>
      <c r="B4985" s="2" t="s">
        <v>728</v>
      </c>
      <c r="C4985" s="2" t="s">
        <v>21</v>
      </c>
      <c r="D4985" s="2" t="s">
        <v>10</v>
      </c>
      <c r="E4985" s="2" t="s">
        <v>11</v>
      </c>
      <c r="F4985" s="2">
        <v>104.85</v>
      </c>
      <c r="G4985" s="2">
        <v>1</v>
      </c>
      <c r="H4985" s="2">
        <v>50.33</v>
      </c>
      <c r="I4985" t="str">
        <f t="shared" si="77"/>
        <v>Jun</v>
      </c>
      <c r="J4985">
        <f>YEAR(datas[[#This Row],[Order Date]])</f>
        <v>2023</v>
      </c>
    </row>
    <row r="4986" spans="1:10" ht="14.25" customHeight="1" x14ac:dyDescent="0.3">
      <c r="A4986" s="1">
        <v>45101</v>
      </c>
      <c r="B4986" s="2" t="s">
        <v>728</v>
      </c>
      <c r="C4986" s="2" t="s">
        <v>21</v>
      </c>
      <c r="D4986" s="2" t="s">
        <v>10</v>
      </c>
      <c r="E4986" s="2" t="s">
        <v>53</v>
      </c>
      <c r="F4986" s="2">
        <v>241.44</v>
      </c>
      <c r="G4986" s="2">
        <v>3</v>
      </c>
      <c r="H4986" s="2">
        <v>72.430000000000007</v>
      </c>
      <c r="I4986" t="str">
        <f t="shared" si="77"/>
        <v>Jun</v>
      </c>
      <c r="J4986">
        <f>YEAR(datas[[#This Row],[Order Date]])</f>
        <v>2023</v>
      </c>
    </row>
    <row r="4987" spans="1:10" ht="14.25" customHeight="1" x14ac:dyDescent="0.3">
      <c r="A4987" s="1">
        <v>45102</v>
      </c>
      <c r="B4987" s="2" t="s">
        <v>225</v>
      </c>
      <c r="C4987" s="2" t="s">
        <v>18</v>
      </c>
      <c r="D4987" s="2" t="s">
        <v>26</v>
      </c>
      <c r="E4987" s="2" t="s">
        <v>27</v>
      </c>
      <c r="F4987" s="2">
        <v>422.06</v>
      </c>
      <c r="G4987" s="2">
        <v>3</v>
      </c>
      <c r="H4987" s="2">
        <v>-18.09</v>
      </c>
      <c r="I4987" t="str">
        <f t="shared" si="77"/>
        <v>Jun</v>
      </c>
      <c r="J4987">
        <f>YEAR(datas[[#This Row],[Order Date]])</f>
        <v>2023</v>
      </c>
    </row>
    <row r="4988" spans="1:10" ht="14.25" customHeight="1" x14ac:dyDescent="0.3">
      <c r="A4988" s="1">
        <v>45102</v>
      </c>
      <c r="B4988" s="2" t="s">
        <v>225</v>
      </c>
      <c r="C4988" s="2" t="s">
        <v>18</v>
      </c>
      <c r="D4988" s="2" t="s">
        <v>10</v>
      </c>
      <c r="E4988" s="2" t="s">
        <v>16</v>
      </c>
      <c r="F4988" s="2">
        <v>38.090000000000003</v>
      </c>
      <c r="G4988" s="2">
        <v>4</v>
      </c>
      <c r="H4988" s="2">
        <v>-27.93</v>
      </c>
      <c r="I4988" t="str">
        <f t="shared" si="77"/>
        <v>Jun</v>
      </c>
      <c r="J4988">
        <f>YEAR(datas[[#This Row],[Order Date]])</f>
        <v>2023</v>
      </c>
    </row>
    <row r="4989" spans="1:10" ht="14.25" customHeight="1" x14ac:dyDescent="0.3">
      <c r="A4989" s="1">
        <v>45102</v>
      </c>
      <c r="B4989" s="2" t="s">
        <v>225</v>
      </c>
      <c r="C4989" s="2" t="s">
        <v>18</v>
      </c>
      <c r="D4989" s="2" t="s">
        <v>10</v>
      </c>
      <c r="E4989" s="2" t="s">
        <v>15</v>
      </c>
      <c r="F4989" s="2">
        <v>254.35</v>
      </c>
      <c r="G4989" s="2">
        <v>6</v>
      </c>
      <c r="H4989" s="2">
        <v>-50.87</v>
      </c>
      <c r="I4989" t="str">
        <f t="shared" si="77"/>
        <v>Jun</v>
      </c>
      <c r="J4989">
        <f>YEAR(datas[[#This Row],[Order Date]])</f>
        <v>2023</v>
      </c>
    </row>
    <row r="4990" spans="1:10" ht="14.25" customHeight="1" x14ac:dyDescent="0.3">
      <c r="A4990" s="1">
        <v>45102</v>
      </c>
      <c r="B4990" s="2" t="s">
        <v>138</v>
      </c>
      <c r="C4990" s="2" t="s">
        <v>21</v>
      </c>
      <c r="D4990" s="2" t="s">
        <v>10</v>
      </c>
      <c r="E4990" s="2" t="s">
        <v>53</v>
      </c>
      <c r="F4990" s="2">
        <v>60.81</v>
      </c>
      <c r="G4990" s="2">
        <v>3</v>
      </c>
      <c r="H4990" s="2">
        <v>17.03</v>
      </c>
      <c r="I4990" t="str">
        <f t="shared" si="77"/>
        <v>Jun</v>
      </c>
      <c r="J4990">
        <f>YEAR(datas[[#This Row],[Order Date]])</f>
        <v>2023</v>
      </c>
    </row>
    <row r="4991" spans="1:10" ht="14.25" customHeight="1" x14ac:dyDescent="0.3">
      <c r="A4991" s="1">
        <v>45102</v>
      </c>
      <c r="B4991" s="2" t="s">
        <v>461</v>
      </c>
      <c r="C4991" s="2" t="s">
        <v>9</v>
      </c>
      <c r="D4991" s="2" t="s">
        <v>26</v>
      </c>
      <c r="E4991" s="2" t="s">
        <v>27</v>
      </c>
      <c r="F4991" s="2">
        <v>85.25</v>
      </c>
      <c r="G4991" s="2">
        <v>2</v>
      </c>
      <c r="H4991" s="2">
        <v>-6.09</v>
      </c>
      <c r="I4991" t="str">
        <f t="shared" si="77"/>
        <v>Jun</v>
      </c>
      <c r="J4991">
        <f>YEAR(datas[[#This Row],[Order Date]])</f>
        <v>2023</v>
      </c>
    </row>
    <row r="4992" spans="1:10" ht="14.25" customHeight="1" x14ac:dyDescent="0.3">
      <c r="A4992" s="1">
        <v>45102</v>
      </c>
      <c r="B4992" s="2" t="s">
        <v>461</v>
      </c>
      <c r="C4992" s="2" t="s">
        <v>9</v>
      </c>
      <c r="D4992" s="2" t="s">
        <v>26</v>
      </c>
      <c r="E4992" s="2" t="s">
        <v>32</v>
      </c>
      <c r="F4992" s="2">
        <v>32.71</v>
      </c>
      <c r="G4992" s="2">
        <v>2</v>
      </c>
      <c r="H4992" s="2">
        <v>-26.17</v>
      </c>
      <c r="I4992" t="str">
        <f t="shared" si="77"/>
        <v>Jun</v>
      </c>
      <c r="J4992">
        <f>YEAR(datas[[#This Row],[Order Date]])</f>
        <v>2023</v>
      </c>
    </row>
    <row r="4993" spans="1:10" ht="14.25" customHeight="1" x14ac:dyDescent="0.3">
      <c r="A4993" s="1">
        <v>45103</v>
      </c>
      <c r="B4993" s="2" t="s">
        <v>190</v>
      </c>
      <c r="C4993" s="2" t="s">
        <v>75</v>
      </c>
      <c r="D4993" s="2" t="s">
        <v>10</v>
      </c>
      <c r="E4993" s="2" t="s">
        <v>19</v>
      </c>
      <c r="F4993" s="2">
        <v>14.7</v>
      </c>
      <c r="G4993" s="2">
        <v>5</v>
      </c>
      <c r="H4993" s="2">
        <v>6.62</v>
      </c>
      <c r="I4993" t="str">
        <f t="shared" si="77"/>
        <v>Jun</v>
      </c>
      <c r="J4993">
        <f>YEAR(datas[[#This Row],[Order Date]])</f>
        <v>2023</v>
      </c>
    </row>
    <row r="4994" spans="1:10" ht="14.25" customHeight="1" x14ac:dyDescent="0.3">
      <c r="A4994" s="1">
        <v>45103</v>
      </c>
      <c r="B4994" s="2" t="s">
        <v>190</v>
      </c>
      <c r="C4994" s="2" t="s">
        <v>75</v>
      </c>
      <c r="D4994" s="2" t="s">
        <v>10</v>
      </c>
      <c r="E4994" s="2" t="s">
        <v>15</v>
      </c>
      <c r="F4994" s="2">
        <v>704.25</v>
      </c>
      <c r="G4994" s="2">
        <v>5</v>
      </c>
      <c r="H4994" s="2">
        <v>84.51</v>
      </c>
      <c r="I4994" t="str">
        <f t="shared" si="77"/>
        <v>Jun</v>
      </c>
      <c r="J4994">
        <f>YEAR(datas[[#This Row],[Order Date]])</f>
        <v>2023</v>
      </c>
    </row>
    <row r="4995" spans="1:10" ht="14.25" customHeight="1" x14ac:dyDescent="0.3">
      <c r="A4995" s="1">
        <v>45103</v>
      </c>
      <c r="B4995" s="2" t="s">
        <v>414</v>
      </c>
      <c r="C4995" s="2" t="s">
        <v>553</v>
      </c>
      <c r="D4995" s="2" t="s">
        <v>10</v>
      </c>
      <c r="E4995" s="2" t="s">
        <v>15</v>
      </c>
      <c r="F4995" s="2">
        <v>14.9</v>
      </c>
      <c r="G4995" s="2">
        <v>5</v>
      </c>
      <c r="H4995" s="2">
        <v>1.04</v>
      </c>
      <c r="I4995" t="str">
        <f t="shared" ref="I4995:I5058" si="78">TEXT(A4995,"mmm")</f>
        <v>Jun</v>
      </c>
      <c r="J4995">
        <f>YEAR(datas[[#This Row],[Order Date]])</f>
        <v>2023</v>
      </c>
    </row>
    <row r="4996" spans="1:10" ht="14.25" customHeight="1" x14ac:dyDescent="0.3">
      <c r="A4996" s="1">
        <v>45103</v>
      </c>
      <c r="B4996" s="2" t="s">
        <v>383</v>
      </c>
      <c r="C4996" s="2" t="s">
        <v>9</v>
      </c>
      <c r="D4996" s="2" t="s">
        <v>28</v>
      </c>
      <c r="E4996" s="2" t="s">
        <v>34</v>
      </c>
      <c r="F4996" s="2">
        <v>13.62</v>
      </c>
      <c r="G4996" s="2">
        <v>2</v>
      </c>
      <c r="H4996" s="2">
        <v>3.57</v>
      </c>
      <c r="I4996" t="str">
        <f t="shared" si="78"/>
        <v>Jun</v>
      </c>
      <c r="J4996">
        <f>YEAR(datas[[#This Row],[Order Date]])</f>
        <v>2023</v>
      </c>
    </row>
    <row r="4997" spans="1:10" ht="14.25" customHeight="1" x14ac:dyDescent="0.3">
      <c r="A4997" s="1">
        <v>45103</v>
      </c>
      <c r="B4997" s="2" t="s">
        <v>487</v>
      </c>
      <c r="C4997" s="2" t="s">
        <v>21</v>
      </c>
      <c r="D4997" s="2" t="s">
        <v>26</v>
      </c>
      <c r="E4997" s="2" t="s">
        <v>32</v>
      </c>
      <c r="F4997" s="2">
        <v>22.14</v>
      </c>
      <c r="G4997" s="2">
        <v>3</v>
      </c>
      <c r="H4997" s="2">
        <v>6.42</v>
      </c>
      <c r="I4997" t="str">
        <f t="shared" si="78"/>
        <v>Jun</v>
      </c>
      <c r="J4997">
        <f>YEAR(datas[[#This Row],[Order Date]])</f>
        <v>2023</v>
      </c>
    </row>
    <row r="4998" spans="1:10" ht="14.25" customHeight="1" x14ac:dyDescent="0.3">
      <c r="A4998" s="1">
        <v>45103</v>
      </c>
      <c r="B4998" s="2" t="s">
        <v>839</v>
      </c>
      <c r="C4998" s="2" t="s">
        <v>13</v>
      </c>
      <c r="D4998" s="2" t="s">
        <v>10</v>
      </c>
      <c r="E4998" s="2" t="s">
        <v>19</v>
      </c>
      <c r="F4998" s="2">
        <v>5.3</v>
      </c>
      <c r="G4998" s="2">
        <v>3</v>
      </c>
      <c r="H4998" s="2">
        <v>0.46</v>
      </c>
      <c r="I4998" t="str">
        <f t="shared" si="78"/>
        <v>Jun</v>
      </c>
      <c r="J4998">
        <f>YEAR(datas[[#This Row],[Order Date]])</f>
        <v>2023</v>
      </c>
    </row>
    <row r="4999" spans="1:10" ht="14.25" customHeight="1" x14ac:dyDescent="0.3">
      <c r="A4999" s="1">
        <v>45103</v>
      </c>
      <c r="B4999" s="2" t="s">
        <v>732</v>
      </c>
      <c r="C4999" s="2" t="s">
        <v>60</v>
      </c>
      <c r="D4999" s="2" t="s">
        <v>10</v>
      </c>
      <c r="E4999" s="2" t="s">
        <v>11</v>
      </c>
      <c r="F4999" s="2">
        <v>368.91</v>
      </c>
      <c r="G4999" s="2">
        <v>9</v>
      </c>
      <c r="H4999" s="2">
        <v>180.77</v>
      </c>
      <c r="I4999" t="str">
        <f t="shared" si="78"/>
        <v>Jun</v>
      </c>
      <c r="J4999">
        <f>YEAR(datas[[#This Row],[Order Date]])</f>
        <v>2023</v>
      </c>
    </row>
    <row r="5000" spans="1:10" ht="14.25" customHeight="1" x14ac:dyDescent="0.3">
      <c r="A5000" s="1">
        <v>45103</v>
      </c>
      <c r="B5000" s="2" t="s">
        <v>732</v>
      </c>
      <c r="C5000" s="2" t="s">
        <v>60</v>
      </c>
      <c r="D5000" s="2" t="s">
        <v>10</v>
      </c>
      <c r="E5000" s="2" t="s">
        <v>16</v>
      </c>
      <c r="F5000" s="2">
        <v>8.02</v>
      </c>
      <c r="G5000" s="2">
        <v>1</v>
      </c>
      <c r="H5000" s="2">
        <v>3.77</v>
      </c>
      <c r="I5000" t="str">
        <f t="shared" si="78"/>
        <v>Jun</v>
      </c>
      <c r="J5000">
        <f>YEAR(datas[[#This Row],[Order Date]])</f>
        <v>2023</v>
      </c>
    </row>
    <row r="5001" spans="1:10" ht="14.25" customHeight="1" x14ac:dyDescent="0.3">
      <c r="A5001" s="1">
        <v>45103</v>
      </c>
      <c r="B5001" s="2" t="s">
        <v>732</v>
      </c>
      <c r="C5001" s="2" t="s">
        <v>60</v>
      </c>
      <c r="D5001" s="2" t="s">
        <v>10</v>
      </c>
      <c r="E5001" s="2" t="s">
        <v>15</v>
      </c>
      <c r="F5001" s="2">
        <v>171.04</v>
      </c>
      <c r="G5001" s="2">
        <v>4</v>
      </c>
      <c r="H5001" s="2">
        <v>44.47</v>
      </c>
      <c r="I5001" t="str">
        <f t="shared" si="78"/>
        <v>Jun</v>
      </c>
      <c r="J5001">
        <f>YEAR(datas[[#This Row],[Order Date]])</f>
        <v>2023</v>
      </c>
    </row>
    <row r="5002" spans="1:10" ht="14.25" customHeight="1" x14ac:dyDescent="0.3">
      <c r="A5002" s="1">
        <v>45103</v>
      </c>
      <c r="B5002" s="2" t="s">
        <v>584</v>
      </c>
      <c r="C5002" s="2" t="s">
        <v>21</v>
      </c>
      <c r="D5002" s="2" t="s">
        <v>10</v>
      </c>
      <c r="E5002" s="2" t="s">
        <v>95</v>
      </c>
      <c r="F5002" s="2">
        <v>231.72</v>
      </c>
      <c r="G5002" s="2">
        <v>2</v>
      </c>
      <c r="H5002" s="2">
        <v>11.59</v>
      </c>
      <c r="I5002" t="str">
        <f t="shared" si="78"/>
        <v>Jun</v>
      </c>
      <c r="J5002">
        <f>YEAR(datas[[#This Row],[Order Date]])</f>
        <v>2023</v>
      </c>
    </row>
    <row r="5003" spans="1:10" ht="14.25" customHeight="1" x14ac:dyDescent="0.3">
      <c r="A5003" s="1">
        <v>45103</v>
      </c>
      <c r="B5003" s="2" t="s">
        <v>584</v>
      </c>
      <c r="C5003" s="2" t="s">
        <v>21</v>
      </c>
      <c r="D5003" s="2" t="s">
        <v>10</v>
      </c>
      <c r="E5003" s="2" t="s">
        <v>30</v>
      </c>
      <c r="F5003" s="2">
        <v>17.899999999999999</v>
      </c>
      <c r="G5003" s="2">
        <v>5</v>
      </c>
      <c r="H5003" s="2">
        <v>8.9499999999999993</v>
      </c>
      <c r="I5003" t="str">
        <f t="shared" si="78"/>
        <v>Jun</v>
      </c>
      <c r="J5003">
        <f>YEAR(datas[[#This Row],[Order Date]])</f>
        <v>2023</v>
      </c>
    </row>
    <row r="5004" spans="1:10" ht="14.25" customHeight="1" x14ac:dyDescent="0.3">
      <c r="A5004" s="1">
        <v>45103</v>
      </c>
      <c r="B5004" s="2" t="s">
        <v>584</v>
      </c>
      <c r="C5004" s="2" t="s">
        <v>21</v>
      </c>
      <c r="D5004" s="2" t="s">
        <v>10</v>
      </c>
      <c r="E5004" s="2" t="s">
        <v>11</v>
      </c>
      <c r="F5004" s="2">
        <v>12.48</v>
      </c>
      <c r="G5004" s="2">
        <v>2</v>
      </c>
      <c r="H5004" s="2">
        <v>5.62</v>
      </c>
      <c r="I5004" t="str">
        <f t="shared" si="78"/>
        <v>Jun</v>
      </c>
      <c r="J5004">
        <f>YEAR(datas[[#This Row],[Order Date]])</f>
        <v>2023</v>
      </c>
    </row>
    <row r="5005" spans="1:10" ht="14.25" customHeight="1" x14ac:dyDescent="0.3">
      <c r="A5005" s="1">
        <v>45103</v>
      </c>
      <c r="B5005" s="2" t="s">
        <v>449</v>
      </c>
      <c r="C5005" s="2" t="s">
        <v>75</v>
      </c>
      <c r="D5005" s="2" t="s">
        <v>28</v>
      </c>
      <c r="E5005" s="2" t="s">
        <v>34</v>
      </c>
      <c r="F5005" s="2">
        <v>20.97</v>
      </c>
      <c r="G5005" s="2">
        <v>3</v>
      </c>
      <c r="H5005" s="2">
        <v>9.02</v>
      </c>
      <c r="I5005" t="str">
        <f t="shared" si="78"/>
        <v>Jun</v>
      </c>
      <c r="J5005">
        <f>YEAR(datas[[#This Row],[Order Date]])</f>
        <v>2023</v>
      </c>
    </row>
    <row r="5006" spans="1:10" ht="14.25" customHeight="1" x14ac:dyDescent="0.3">
      <c r="A5006" s="1">
        <v>45103</v>
      </c>
      <c r="B5006" s="2" t="s">
        <v>449</v>
      </c>
      <c r="C5006" s="2" t="s">
        <v>75</v>
      </c>
      <c r="D5006" s="2" t="s">
        <v>28</v>
      </c>
      <c r="E5006" s="2" t="s">
        <v>34</v>
      </c>
      <c r="F5006" s="2">
        <v>139.96</v>
      </c>
      <c r="G5006" s="2">
        <v>4</v>
      </c>
      <c r="H5006" s="2">
        <v>9.8000000000000007</v>
      </c>
      <c r="I5006" t="str">
        <f t="shared" si="78"/>
        <v>Jun</v>
      </c>
      <c r="J5006">
        <f>YEAR(datas[[#This Row],[Order Date]])</f>
        <v>2023</v>
      </c>
    </row>
    <row r="5007" spans="1:10" ht="14.25" customHeight="1" x14ac:dyDescent="0.3">
      <c r="A5007" s="1">
        <v>45103</v>
      </c>
      <c r="B5007" s="2" t="s">
        <v>449</v>
      </c>
      <c r="C5007" s="2" t="s">
        <v>75</v>
      </c>
      <c r="D5007" s="2" t="s">
        <v>26</v>
      </c>
      <c r="E5007" s="2" t="s">
        <v>32</v>
      </c>
      <c r="F5007" s="2">
        <v>37.74</v>
      </c>
      <c r="G5007" s="2">
        <v>3</v>
      </c>
      <c r="H5007" s="2">
        <v>12.83</v>
      </c>
      <c r="I5007" t="str">
        <f t="shared" si="78"/>
        <v>Jun</v>
      </c>
      <c r="J5007">
        <f>YEAR(datas[[#This Row],[Order Date]])</f>
        <v>2023</v>
      </c>
    </row>
    <row r="5008" spans="1:10" ht="14.25" customHeight="1" x14ac:dyDescent="0.3">
      <c r="A5008" s="1">
        <v>45103</v>
      </c>
      <c r="B5008" s="2" t="s">
        <v>840</v>
      </c>
      <c r="C5008" s="2" t="s">
        <v>23</v>
      </c>
      <c r="D5008" s="2" t="s">
        <v>28</v>
      </c>
      <c r="E5008" s="2" t="s">
        <v>29</v>
      </c>
      <c r="F5008" s="2">
        <v>135.94999999999999</v>
      </c>
      <c r="G5008" s="2">
        <v>1</v>
      </c>
      <c r="H5008" s="2">
        <v>39.43</v>
      </c>
      <c r="I5008" t="str">
        <f t="shared" si="78"/>
        <v>Jun</v>
      </c>
      <c r="J5008">
        <f>YEAR(datas[[#This Row],[Order Date]])</f>
        <v>2023</v>
      </c>
    </row>
    <row r="5009" spans="1:10" ht="14.25" customHeight="1" x14ac:dyDescent="0.3">
      <c r="A5009" s="1">
        <v>45104</v>
      </c>
      <c r="B5009" s="2" t="s">
        <v>180</v>
      </c>
      <c r="C5009" s="2" t="s">
        <v>13</v>
      </c>
      <c r="D5009" s="2" t="s">
        <v>10</v>
      </c>
      <c r="E5009" s="2" t="s">
        <v>11</v>
      </c>
      <c r="F5009" s="2">
        <v>37.46</v>
      </c>
      <c r="G5009" s="2">
        <v>7</v>
      </c>
      <c r="H5009" s="2">
        <v>12.18</v>
      </c>
      <c r="I5009" t="str">
        <f t="shared" si="78"/>
        <v>Jun</v>
      </c>
      <c r="J5009">
        <f>YEAR(datas[[#This Row],[Order Date]])</f>
        <v>2023</v>
      </c>
    </row>
    <row r="5010" spans="1:10" ht="14.25" customHeight="1" x14ac:dyDescent="0.3">
      <c r="A5010" s="1">
        <v>45104</v>
      </c>
      <c r="B5010" s="2" t="s">
        <v>180</v>
      </c>
      <c r="C5010" s="2" t="s">
        <v>13</v>
      </c>
      <c r="D5010" s="2" t="s">
        <v>26</v>
      </c>
      <c r="E5010" s="2" t="s">
        <v>27</v>
      </c>
      <c r="F5010" s="2">
        <v>539.66</v>
      </c>
      <c r="G5010" s="2">
        <v>3</v>
      </c>
      <c r="H5010" s="2">
        <v>-7.71</v>
      </c>
      <c r="I5010" t="str">
        <f t="shared" si="78"/>
        <v>Jun</v>
      </c>
      <c r="J5010">
        <f>YEAR(datas[[#This Row],[Order Date]])</f>
        <v>2023</v>
      </c>
    </row>
    <row r="5011" spans="1:10" ht="14.25" customHeight="1" x14ac:dyDescent="0.3">
      <c r="A5011" s="1">
        <v>45104</v>
      </c>
      <c r="B5011" s="2" t="s">
        <v>532</v>
      </c>
      <c r="C5011" s="2" t="s">
        <v>21</v>
      </c>
      <c r="D5011" s="2" t="s">
        <v>28</v>
      </c>
      <c r="E5011" s="2" t="s">
        <v>29</v>
      </c>
      <c r="F5011" s="2">
        <v>201.58</v>
      </c>
      <c r="G5011" s="2">
        <v>2</v>
      </c>
      <c r="H5011" s="2">
        <v>12.6</v>
      </c>
      <c r="I5011" t="str">
        <f t="shared" si="78"/>
        <v>Jun</v>
      </c>
      <c r="J5011">
        <f>YEAR(datas[[#This Row],[Order Date]])</f>
        <v>2023</v>
      </c>
    </row>
    <row r="5012" spans="1:10" ht="14.25" customHeight="1" x14ac:dyDescent="0.3">
      <c r="A5012" s="1">
        <v>45105</v>
      </c>
      <c r="B5012" s="2" t="s">
        <v>404</v>
      </c>
      <c r="C5012" s="2" t="s">
        <v>13</v>
      </c>
      <c r="D5012" s="2" t="s">
        <v>28</v>
      </c>
      <c r="E5012" s="2" t="s">
        <v>29</v>
      </c>
      <c r="F5012" s="2">
        <v>359.98</v>
      </c>
      <c r="G5012" s="2">
        <v>3</v>
      </c>
      <c r="H5012" s="2">
        <v>36</v>
      </c>
      <c r="I5012" t="str">
        <f t="shared" si="78"/>
        <v>Jun</v>
      </c>
      <c r="J5012">
        <f>YEAR(datas[[#This Row],[Order Date]])</f>
        <v>2023</v>
      </c>
    </row>
    <row r="5013" spans="1:10" ht="14.25" customHeight="1" x14ac:dyDescent="0.3">
      <c r="A5013" s="1">
        <v>45105</v>
      </c>
      <c r="B5013" s="2" t="s">
        <v>39</v>
      </c>
      <c r="C5013" s="2" t="s">
        <v>21</v>
      </c>
      <c r="D5013" s="2" t="s">
        <v>10</v>
      </c>
      <c r="E5013" s="2" t="s">
        <v>16</v>
      </c>
      <c r="F5013" s="2">
        <v>7.75</v>
      </c>
      <c r="G5013" s="2">
        <v>3</v>
      </c>
      <c r="H5013" s="2">
        <v>2.81</v>
      </c>
      <c r="I5013" t="str">
        <f t="shared" si="78"/>
        <v>Jun</v>
      </c>
      <c r="J5013">
        <f>YEAR(datas[[#This Row],[Order Date]])</f>
        <v>2023</v>
      </c>
    </row>
    <row r="5014" spans="1:10" ht="14.25" customHeight="1" x14ac:dyDescent="0.3">
      <c r="A5014" s="1">
        <v>45105</v>
      </c>
      <c r="B5014" s="2" t="s">
        <v>39</v>
      </c>
      <c r="C5014" s="2" t="s">
        <v>21</v>
      </c>
      <c r="D5014" s="2" t="s">
        <v>10</v>
      </c>
      <c r="E5014" s="2" t="s">
        <v>16</v>
      </c>
      <c r="F5014" s="2">
        <v>33.57</v>
      </c>
      <c r="G5014" s="2">
        <v>2</v>
      </c>
      <c r="H5014" s="2">
        <v>11.75</v>
      </c>
      <c r="I5014" t="str">
        <f t="shared" si="78"/>
        <v>Jun</v>
      </c>
      <c r="J5014">
        <f>YEAR(datas[[#This Row],[Order Date]])</f>
        <v>2023</v>
      </c>
    </row>
    <row r="5015" spans="1:10" ht="14.25" customHeight="1" x14ac:dyDescent="0.3">
      <c r="A5015" s="1">
        <v>45105</v>
      </c>
      <c r="B5015" s="2" t="s">
        <v>725</v>
      </c>
      <c r="C5015" s="2" t="s">
        <v>87</v>
      </c>
      <c r="D5015" s="2" t="s">
        <v>26</v>
      </c>
      <c r="E5015" s="2" t="s">
        <v>27</v>
      </c>
      <c r="F5015" s="2">
        <v>121.96</v>
      </c>
      <c r="G5015" s="2">
        <v>2</v>
      </c>
      <c r="H5015" s="2">
        <v>20.73</v>
      </c>
      <c r="I5015" t="str">
        <f t="shared" si="78"/>
        <v>Jun</v>
      </c>
      <c r="J5015">
        <f>YEAR(datas[[#This Row],[Order Date]])</f>
        <v>2023</v>
      </c>
    </row>
    <row r="5016" spans="1:10" ht="14.25" customHeight="1" x14ac:dyDescent="0.3">
      <c r="A5016" s="1">
        <v>45105</v>
      </c>
      <c r="B5016" s="2" t="s">
        <v>725</v>
      </c>
      <c r="C5016" s="2" t="s">
        <v>87</v>
      </c>
      <c r="D5016" s="2" t="s">
        <v>10</v>
      </c>
      <c r="E5016" s="2" t="s">
        <v>53</v>
      </c>
      <c r="F5016" s="2">
        <v>8.74</v>
      </c>
      <c r="G5016" s="2">
        <v>2</v>
      </c>
      <c r="H5016" s="2">
        <v>2.27</v>
      </c>
      <c r="I5016" t="str">
        <f t="shared" si="78"/>
        <v>Jun</v>
      </c>
      <c r="J5016">
        <f>YEAR(datas[[#This Row],[Order Date]])</f>
        <v>2023</v>
      </c>
    </row>
    <row r="5017" spans="1:10" ht="14.25" customHeight="1" x14ac:dyDescent="0.3">
      <c r="A5017" s="1">
        <v>45105</v>
      </c>
      <c r="B5017" s="2" t="s">
        <v>725</v>
      </c>
      <c r="C5017" s="2" t="s">
        <v>87</v>
      </c>
      <c r="D5017" s="2" t="s">
        <v>10</v>
      </c>
      <c r="E5017" s="2" t="s">
        <v>11</v>
      </c>
      <c r="F5017" s="2">
        <v>61.96</v>
      </c>
      <c r="G5017" s="2">
        <v>2</v>
      </c>
      <c r="H5017" s="2">
        <v>27.88</v>
      </c>
      <c r="I5017" t="str">
        <f t="shared" si="78"/>
        <v>Jun</v>
      </c>
      <c r="J5017">
        <f>YEAR(datas[[#This Row],[Order Date]])</f>
        <v>2023</v>
      </c>
    </row>
    <row r="5018" spans="1:10" ht="14.25" customHeight="1" x14ac:dyDescent="0.3">
      <c r="A5018" s="1">
        <v>45105</v>
      </c>
      <c r="B5018" s="2" t="s">
        <v>725</v>
      </c>
      <c r="C5018" s="2" t="s">
        <v>87</v>
      </c>
      <c r="D5018" s="2" t="s">
        <v>10</v>
      </c>
      <c r="E5018" s="2" t="s">
        <v>16</v>
      </c>
      <c r="F5018" s="2">
        <v>7.96</v>
      </c>
      <c r="G5018" s="2">
        <v>2</v>
      </c>
      <c r="H5018" s="2">
        <v>3.74</v>
      </c>
      <c r="I5018" t="str">
        <f t="shared" si="78"/>
        <v>Jun</v>
      </c>
      <c r="J5018">
        <f>YEAR(datas[[#This Row],[Order Date]])</f>
        <v>2023</v>
      </c>
    </row>
    <row r="5019" spans="1:10" ht="14.25" customHeight="1" x14ac:dyDescent="0.3">
      <c r="A5019" s="1">
        <v>45105</v>
      </c>
      <c r="B5019" s="2" t="s">
        <v>725</v>
      </c>
      <c r="C5019" s="2" t="s">
        <v>87</v>
      </c>
      <c r="D5019" s="2" t="s">
        <v>10</v>
      </c>
      <c r="E5019" s="2" t="s">
        <v>53</v>
      </c>
      <c r="F5019" s="2">
        <v>275.24</v>
      </c>
      <c r="G5019" s="2">
        <v>4</v>
      </c>
      <c r="H5019" s="2">
        <v>121.11</v>
      </c>
      <c r="I5019" t="str">
        <f t="shared" si="78"/>
        <v>Jun</v>
      </c>
      <c r="J5019">
        <f>YEAR(datas[[#This Row],[Order Date]])</f>
        <v>2023</v>
      </c>
    </row>
    <row r="5020" spans="1:10" ht="14.25" customHeight="1" x14ac:dyDescent="0.3">
      <c r="A5020" s="1">
        <v>45106</v>
      </c>
      <c r="B5020" s="2" t="s">
        <v>328</v>
      </c>
      <c r="C5020" s="2" t="s">
        <v>43</v>
      </c>
      <c r="D5020" s="2" t="s">
        <v>10</v>
      </c>
      <c r="E5020" s="2" t="s">
        <v>15</v>
      </c>
      <c r="F5020" s="2">
        <v>191.88</v>
      </c>
      <c r="G5020" s="2">
        <v>6</v>
      </c>
      <c r="H5020" s="2">
        <v>19.190000000000001</v>
      </c>
      <c r="I5020" t="str">
        <f t="shared" si="78"/>
        <v>Jun</v>
      </c>
      <c r="J5020">
        <f>YEAR(datas[[#This Row],[Order Date]])</f>
        <v>2023</v>
      </c>
    </row>
    <row r="5021" spans="1:10" ht="14.25" customHeight="1" x14ac:dyDescent="0.3">
      <c r="A5021" s="1">
        <v>45107</v>
      </c>
      <c r="B5021" s="2" t="s">
        <v>484</v>
      </c>
      <c r="C5021" s="2" t="s">
        <v>23</v>
      </c>
      <c r="D5021" s="2" t="s">
        <v>10</v>
      </c>
      <c r="E5021" s="2" t="s">
        <v>19</v>
      </c>
      <c r="F5021" s="2">
        <v>35.97</v>
      </c>
      <c r="G5021" s="2">
        <v>3</v>
      </c>
      <c r="H5021" s="2">
        <v>9.7100000000000009</v>
      </c>
      <c r="I5021" t="str">
        <f t="shared" si="78"/>
        <v>Jun</v>
      </c>
      <c r="J5021">
        <f>YEAR(datas[[#This Row],[Order Date]])</f>
        <v>2023</v>
      </c>
    </row>
    <row r="5022" spans="1:10" ht="14.25" customHeight="1" x14ac:dyDescent="0.3">
      <c r="A5022" s="1">
        <v>45107</v>
      </c>
      <c r="B5022" s="2" t="s">
        <v>484</v>
      </c>
      <c r="C5022" s="2" t="s">
        <v>23</v>
      </c>
      <c r="D5022" s="2" t="s">
        <v>26</v>
      </c>
      <c r="E5022" s="2" t="s">
        <v>45</v>
      </c>
      <c r="F5022" s="2">
        <v>1266.8599999999999</v>
      </c>
      <c r="G5022" s="2">
        <v>7</v>
      </c>
      <c r="H5022" s="2">
        <v>291.38</v>
      </c>
      <c r="I5022" t="str">
        <f t="shared" si="78"/>
        <v>Jun</v>
      </c>
      <c r="J5022">
        <f>YEAR(datas[[#This Row],[Order Date]])</f>
        <v>2023</v>
      </c>
    </row>
    <row r="5023" spans="1:10" ht="14.25" customHeight="1" x14ac:dyDescent="0.3">
      <c r="A5023" s="1">
        <v>45107</v>
      </c>
      <c r="B5023" s="2" t="s">
        <v>371</v>
      </c>
      <c r="C5023" s="2" t="s">
        <v>13</v>
      </c>
      <c r="D5023" s="2" t="s">
        <v>28</v>
      </c>
      <c r="E5023" s="2" t="s">
        <v>34</v>
      </c>
      <c r="F5023" s="2">
        <v>50.12</v>
      </c>
      <c r="G5023" s="2">
        <v>7</v>
      </c>
      <c r="H5023" s="2">
        <v>-0.63</v>
      </c>
      <c r="I5023" t="str">
        <f t="shared" si="78"/>
        <v>Jun</v>
      </c>
      <c r="J5023">
        <f>YEAR(datas[[#This Row],[Order Date]])</f>
        <v>2023</v>
      </c>
    </row>
    <row r="5024" spans="1:10" ht="14.25" customHeight="1" x14ac:dyDescent="0.3">
      <c r="A5024" s="1">
        <v>45108</v>
      </c>
      <c r="B5024" s="2" t="s">
        <v>778</v>
      </c>
      <c r="C5024" s="2" t="s">
        <v>43</v>
      </c>
      <c r="D5024" s="2" t="s">
        <v>10</v>
      </c>
      <c r="E5024" s="2" t="s">
        <v>16</v>
      </c>
      <c r="F5024" s="2">
        <v>14.2</v>
      </c>
      <c r="G5024" s="2">
        <v>2</v>
      </c>
      <c r="H5024" s="2">
        <v>6.53</v>
      </c>
      <c r="I5024" t="str">
        <f t="shared" si="78"/>
        <v>Jul</v>
      </c>
      <c r="J5024">
        <f>YEAR(datas[[#This Row],[Order Date]])</f>
        <v>2023</v>
      </c>
    </row>
    <row r="5025" spans="1:10" ht="14.25" customHeight="1" x14ac:dyDescent="0.3">
      <c r="A5025" s="1">
        <v>45108</v>
      </c>
      <c r="B5025" s="2" t="s">
        <v>778</v>
      </c>
      <c r="C5025" s="2" t="s">
        <v>43</v>
      </c>
      <c r="D5025" s="2" t="s">
        <v>10</v>
      </c>
      <c r="E5025" s="2" t="s">
        <v>11</v>
      </c>
      <c r="F5025" s="2">
        <v>12.96</v>
      </c>
      <c r="G5025" s="2">
        <v>2</v>
      </c>
      <c r="H5025" s="2">
        <v>6.22</v>
      </c>
      <c r="I5025" t="str">
        <f t="shared" si="78"/>
        <v>Jul</v>
      </c>
      <c r="J5025">
        <f>YEAR(datas[[#This Row],[Order Date]])</f>
        <v>2023</v>
      </c>
    </row>
    <row r="5026" spans="1:10" ht="14.25" customHeight="1" x14ac:dyDescent="0.3">
      <c r="A5026" s="1">
        <v>45108</v>
      </c>
      <c r="B5026" s="2" t="s">
        <v>778</v>
      </c>
      <c r="C5026" s="2" t="s">
        <v>43</v>
      </c>
      <c r="D5026" s="2" t="s">
        <v>10</v>
      </c>
      <c r="E5026" s="2" t="s">
        <v>16</v>
      </c>
      <c r="F5026" s="2">
        <v>58.34</v>
      </c>
      <c r="G5026" s="2">
        <v>2</v>
      </c>
      <c r="H5026" s="2">
        <v>28</v>
      </c>
      <c r="I5026" t="str">
        <f t="shared" si="78"/>
        <v>Jul</v>
      </c>
      <c r="J5026">
        <f>YEAR(datas[[#This Row],[Order Date]])</f>
        <v>2023</v>
      </c>
    </row>
    <row r="5027" spans="1:10" ht="14.25" customHeight="1" x14ac:dyDescent="0.3">
      <c r="A5027" s="1">
        <v>45108</v>
      </c>
      <c r="B5027" s="2" t="s">
        <v>374</v>
      </c>
      <c r="C5027" s="2" t="s">
        <v>134</v>
      </c>
      <c r="D5027" s="2" t="s">
        <v>28</v>
      </c>
      <c r="E5027" s="2" t="s">
        <v>243</v>
      </c>
      <c r="F5027" s="2">
        <v>1499.95</v>
      </c>
      <c r="G5027" s="2">
        <v>5</v>
      </c>
      <c r="H5027" s="2">
        <v>449.99</v>
      </c>
      <c r="I5027" t="str">
        <f t="shared" si="78"/>
        <v>Jul</v>
      </c>
      <c r="J5027">
        <f>YEAR(datas[[#This Row],[Order Date]])</f>
        <v>2023</v>
      </c>
    </row>
    <row r="5028" spans="1:10" ht="14.25" customHeight="1" x14ac:dyDescent="0.3">
      <c r="A5028" s="1">
        <v>45108</v>
      </c>
      <c r="B5028" s="2" t="s">
        <v>794</v>
      </c>
      <c r="C5028" s="2" t="s">
        <v>75</v>
      </c>
      <c r="D5028" s="2" t="s">
        <v>10</v>
      </c>
      <c r="E5028" s="2" t="s">
        <v>14</v>
      </c>
      <c r="F5028" s="2">
        <v>30.53</v>
      </c>
      <c r="G5028" s="2">
        <v>1</v>
      </c>
      <c r="H5028" s="2">
        <v>14.04</v>
      </c>
      <c r="I5028" t="str">
        <f t="shared" si="78"/>
        <v>Jul</v>
      </c>
      <c r="J5028">
        <f>YEAR(datas[[#This Row],[Order Date]])</f>
        <v>2023</v>
      </c>
    </row>
    <row r="5029" spans="1:10" ht="14.25" customHeight="1" x14ac:dyDescent="0.3">
      <c r="A5029" s="1">
        <v>45108</v>
      </c>
      <c r="B5029" s="2" t="s">
        <v>794</v>
      </c>
      <c r="C5029" s="2" t="s">
        <v>75</v>
      </c>
      <c r="D5029" s="2" t="s">
        <v>28</v>
      </c>
      <c r="E5029" s="2" t="s">
        <v>34</v>
      </c>
      <c r="F5029" s="2">
        <v>30.84</v>
      </c>
      <c r="G5029" s="2">
        <v>3</v>
      </c>
      <c r="H5029" s="2">
        <v>6.17</v>
      </c>
      <c r="I5029" t="str">
        <f t="shared" si="78"/>
        <v>Jul</v>
      </c>
      <c r="J5029">
        <f>YEAR(datas[[#This Row],[Order Date]])</f>
        <v>2023</v>
      </c>
    </row>
    <row r="5030" spans="1:10" ht="14.25" customHeight="1" x14ac:dyDescent="0.3">
      <c r="A5030" s="1">
        <v>45108</v>
      </c>
      <c r="B5030" s="2" t="s">
        <v>794</v>
      </c>
      <c r="C5030" s="2" t="s">
        <v>75</v>
      </c>
      <c r="D5030" s="2" t="s">
        <v>10</v>
      </c>
      <c r="E5030" s="2" t="s">
        <v>11</v>
      </c>
      <c r="F5030" s="2">
        <v>75.06</v>
      </c>
      <c r="G5030" s="2">
        <v>9</v>
      </c>
      <c r="H5030" s="2">
        <v>33.78</v>
      </c>
      <c r="I5030" t="str">
        <f t="shared" si="78"/>
        <v>Jul</v>
      </c>
      <c r="J5030">
        <f>YEAR(datas[[#This Row],[Order Date]])</f>
        <v>2023</v>
      </c>
    </row>
    <row r="5031" spans="1:10" ht="14.25" customHeight="1" x14ac:dyDescent="0.3">
      <c r="A5031" s="1">
        <v>45108</v>
      </c>
      <c r="B5031" s="2" t="s">
        <v>396</v>
      </c>
      <c r="C5031" s="2" t="s">
        <v>82</v>
      </c>
      <c r="D5031" s="2" t="s">
        <v>10</v>
      </c>
      <c r="E5031" s="2" t="s">
        <v>16</v>
      </c>
      <c r="F5031" s="2">
        <v>2.5</v>
      </c>
      <c r="G5031" s="2">
        <v>1</v>
      </c>
      <c r="H5031" s="2">
        <v>0.9</v>
      </c>
      <c r="I5031" t="str">
        <f t="shared" si="78"/>
        <v>Jul</v>
      </c>
      <c r="J5031">
        <f>YEAR(datas[[#This Row],[Order Date]])</f>
        <v>2023</v>
      </c>
    </row>
    <row r="5032" spans="1:10" ht="14.25" customHeight="1" x14ac:dyDescent="0.3">
      <c r="A5032" s="1">
        <v>45109</v>
      </c>
      <c r="B5032" s="2" t="s">
        <v>233</v>
      </c>
      <c r="C5032" s="2" t="s">
        <v>21</v>
      </c>
      <c r="D5032" s="2" t="s">
        <v>26</v>
      </c>
      <c r="E5032" s="2" t="s">
        <v>27</v>
      </c>
      <c r="F5032" s="2">
        <v>195.18</v>
      </c>
      <c r="G5032" s="2">
        <v>1</v>
      </c>
      <c r="H5032" s="2">
        <v>19.52</v>
      </c>
      <c r="I5032" t="str">
        <f t="shared" si="78"/>
        <v>Jul</v>
      </c>
      <c r="J5032">
        <f>YEAR(datas[[#This Row],[Order Date]])</f>
        <v>2023</v>
      </c>
    </row>
    <row r="5033" spans="1:10" ht="14.25" customHeight="1" x14ac:dyDescent="0.3">
      <c r="A5033" s="1">
        <v>45109</v>
      </c>
      <c r="B5033" s="2" t="s">
        <v>239</v>
      </c>
      <c r="C5033" s="2" t="s">
        <v>36</v>
      </c>
      <c r="D5033" s="2" t="s">
        <v>10</v>
      </c>
      <c r="E5033" s="2" t="s">
        <v>19</v>
      </c>
      <c r="F5033" s="2">
        <v>7.7</v>
      </c>
      <c r="G5033" s="2">
        <v>2</v>
      </c>
      <c r="H5033" s="2">
        <v>3.16</v>
      </c>
      <c r="I5033" t="str">
        <f t="shared" si="78"/>
        <v>Jul</v>
      </c>
      <c r="J5033">
        <f>YEAR(datas[[#This Row],[Order Date]])</f>
        <v>2023</v>
      </c>
    </row>
    <row r="5034" spans="1:10" ht="14.25" customHeight="1" x14ac:dyDescent="0.3">
      <c r="A5034" s="1">
        <v>45109</v>
      </c>
      <c r="B5034" s="2" t="s">
        <v>471</v>
      </c>
      <c r="C5034" s="2" t="s">
        <v>9</v>
      </c>
      <c r="D5034" s="2" t="s">
        <v>26</v>
      </c>
      <c r="E5034" s="2" t="s">
        <v>27</v>
      </c>
      <c r="F5034" s="2">
        <v>528.42999999999995</v>
      </c>
      <c r="G5034" s="2">
        <v>5</v>
      </c>
      <c r="H5034" s="2">
        <v>0</v>
      </c>
      <c r="I5034" t="str">
        <f t="shared" si="78"/>
        <v>Jul</v>
      </c>
      <c r="J5034">
        <f>YEAR(datas[[#This Row],[Order Date]])</f>
        <v>2023</v>
      </c>
    </row>
    <row r="5035" spans="1:10" ht="14.25" customHeight="1" x14ac:dyDescent="0.3">
      <c r="A5035" s="1">
        <v>45109</v>
      </c>
      <c r="B5035" s="2" t="s">
        <v>471</v>
      </c>
      <c r="C5035" s="2" t="s">
        <v>9</v>
      </c>
      <c r="D5035" s="2" t="s">
        <v>10</v>
      </c>
      <c r="E5035" s="2" t="s">
        <v>11</v>
      </c>
      <c r="F5035" s="2">
        <v>41.47</v>
      </c>
      <c r="G5035" s="2">
        <v>8</v>
      </c>
      <c r="H5035" s="2">
        <v>14.52</v>
      </c>
      <c r="I5035" t="str">
        <f t="shared" si="78"/>
        <v>Jul</v>
      </c>
      <c r="J5035">
        <f>YEAR(datas[[#This Row],[Order Date]])</f>
        <v>2023</v>
      </c>
    </row>
    <row r="5036" spans="1:10" ht="14.25" customHeight="1" x14ac:dyDescent="0.3">
      <c r="A5036" s="1">
        <v>45110</v>
      </c>
      <c r="B5036" s="2" t="s">
        <v>678</v>
      </c>
      <c r="C5036" s="2" t="s">
        <v>21</v>
      </c>
      <c r="D5036" s="2" t="s">
        <v>10</v>
      </c>
      <c r="E5036" s="2" t="s">
        <v>11</v>
      </c>
      <c r="F5036" s="2">
        <v>12.96</v>
      </c>
      <c r="G5036" s="2">
        <v>2</v>
      </c>
      <c r="H5036" s="2">
        <v>6.22</v>
      </c>
      <c r="I5036" t="str">
        <f t="shared" si="78"/>
        <v>Jul</v>
      </c>
      <c r="J5036">
        <f>YEAR(datas[[#This Row],[Order Date]])</f>
        <v>2023</v>
      </c>
    </row>
    <row r="5037" spans="1:10" ht="14.25" customHeight="1" x14ac:dyDescent="0.3">
      <c r="A5037" s="1">
        <v>45110</v>
      </c>
      <c r="B5037" s="2" t="s">
        <v>678</v>
      </c>
      <c r="C5037" s="2" t="s">
        <v>21</v>
      </c>
      <c r="D5037" s="2" t="s">
        <v>10</v>
      </c>
      <c r="E5037" s="2" t="s">
        <v>30</v>
      </c>
      <c r="F5037" s="2">
        <v>3.96</v>
      </c>
      <c r="G5037" s="2">
        <v>2</v>
      </c>
      <c r="H5037" s="2">
        <v>0.08</v>
      </c>
      <c r="I5037" t="str">
        <f t="shared" si="78"/>
        <v>Jul</v>
      </c>
      <c r="J5037">
        <f>YEAR(datas[[#This Row],[Order Date]])</f>
        <v>2023</v>
      </c>
    </row>
    <row r="5038" spans="1:10" ht="14.25" customHeight="1" x14ac:dyDescent="0.3">
      <c r="A5038" s="1">
        <v>45110</v>
      </c>
      <c r="B5038" s="2" t="s">
        <v>131</v>
      </c>
      <c r="C5038" s="2" t="s">
        <v>75</v>
      </c>
      <c r="D5038" s="2" t="s">
        <v>10</v>
      </c>
      <c r="E5038" s="2" t="s">
        <v>53</v>
      </c>
      <c r="F5038" s="2">
        <v>706.86</v>
      </c>
      <c r="G5038" s="2">
        <v>7</v>
      </c>
      <c r="H5038" s="2">
        <v>197.92</v>
      </c>
      <c r="I5038" t="str">
        <f t="shared" si="78"/>
        <v>Jul</v>
      </c>
      <c r="J5038">
        <f>YEAR(datas[[#This Row],[Order Date]])</f>
        <v>2023</v>
      </c>
    </row>
    <row r="5039" spans="1:10" ht="14.25" customHeight="1" x14ac:dyDescent="0.3">
      <c r="A5039" s="1">
        <v>45110</v>
      </c>
      <c r="B5039" s="2" t="s">
        <v>129</v>
      </c>
      <c r="C5039" s="2" t="s">
        <v>18</v>
      </c>
      <c r="D5039" s="2" t="s">
        <v>10</v>
      </c>
      <c r="E5039" s="2" t="s">
        <v>11</v>
      </c>
      <c r="F5039" s="2">
        <v>123.92</v>
      </c>
      <c r="G5039" s="2">
        <v>5</v>
      </c>
      <c r="H5039" s="2">
        <v>38.729999999999997</v>
      </c>
      <c r="I5039" t="str">
        <f t="shared" si="78"/>
        <v>Jul</v>
      </c>
      <c r="J5039">
        <f>YEAR(datas[[#This Row],[Order Date]])</f>
        <v>2023</v>
      </c>
    </row>
    <row r="5040" spans="1:10" ht="14.25" customHeight="1" x14ac:dyDescent="0.3">
      <c r="A5040" s="1">
        <v>45111</v>
      </c>
      <c r="B5040" s="2" t="s">
        <v>334</v>
      </c>
      <c r="C5040" s="2" t="s">
        <v>21</v>
      </c>
      <c r="D5040" s="2" t="s">
        <v>26</v>
      </c>
      <c r="E5040" s="2" t="s">
        <v>32</v>
      </c>
      <c r="F5040" s="2">
        <v>25.4</v>
      </c>
      <c r="G5040" s="2">
        <v>5</v>
      </c>
      <c r="H5040" s="2">
        <v>8.64</v>
      </c>
      <c r="I5040" t="str">
        <f t="shared" si="78"/>
        <v>Jul</v>
      </c>
      <c r="J5040">
        <f>YEAR(datas[[#This Row],[Order Date]])</f>
        <v>2023</v>
      </c>
    </row>
    <row r="5041" spans="1:10" ht="14.25" customHeight="1" x14ac:dyDescent="0.3">
      <c r="A5041" s="1">
        <v>45111</v>
      </c>
      <c r="B5041" s="2" t="s">
        <v>334</v>
      </c>
      <c r="C5041" s="2" t="s">
        <v>21</v>
      </c>
      <c r="D5041" s="2" t="s">
        <v>10</v>
      </c>
      <c r="E5041" s="2" t="s">
        <v>41</v>
      </c>
      <c r="F5041" s="2">
        <v>43.96</v>
      </c>
      <c r="G5041" s="2">
        <v>2</v>
      </c>
      <c r="H5041" s="2">
        <v>20.66</v>
      </c>
      <c r="I5041" t="str">
        <f t="shared" si="78"/>
        <v>Jul</v>
      </c>
      <c r="J5041">
        <f>YEAR(datas[[#This Row],[Order Date]])</f>
        <v>2023</v>
      </c>
    </row>
    <row r="5042" spans="1:10" ht="14.25" customHeight="1" x14ac:dyDescent="0.3">
      <c r="A5042" s="1">
        <v>45111</v>
      </c>
      <c r="B5042" s="2" t="s">
        <v>334</v>
      </c>
      <c r="C5042" s="2" t="s">
        <v>21</v>
      </c>
      <c r="D5042" s="2" t="s">
        <v>26</v>
      </c>
      <c r="E5042" s="2" t="s">
        <v>45</v>
      </c>
      <c r="F5042" s="2">
        <v>1279.17</v>
      </c>
      <c r="G5042" s="2">
        <v>5</v>
      </c>
      <c r="H5042" s="2">
        <v>225.74</v>
      </c>
      <c r="I5042" t="str">
        <f t="shared" si="78"/>
        <v>Jul</v>
      </c>
      <c r="J5042">
        <f>YEAR(datas[[#This Row],[Order Date]])</f>
        <v>2023</v>
      </c>
    </row>
    <row r="5043" spans="1:10" ht="14.25" customHeight="1" x14ac:dyDescent="0.3">
      <c r="A5043" s="1">
        <v>45111</v>
      </c>
      <c r="B5043" s="2" t="s">
        <v>334</v>
      </c>
      <c r="C5043" s="2" t="s">
        <v>21</v>
      </c>
      <c r="D5043" s="2" t="s">
        <v>10</v>
      </c>
      <c r="E5043" s="2" t="s">
        <v>15</v>
      </c>
      <c r="F5043" s="2">
        <v>27.92</v>
      </c>
      <c r="G5043" s="2">
        <v>4</v>
      </c>
      <c r="H5043" s="2">
        <v>0.56000000000000005</v>
      </c>
      <c r="I5043" t="str">
        <f t="shared" si="78"/>
        <v>Jul</v>
      </c>
      <c r="J5043">
        <f>YEAR(datas[[#This Row],[Order Date]])</f>
        <v>2023</v>
      </c>
    </row>
    <row r="5044" spans="1:10" ht="14.25" customHeight="1" x14ac:dyDescent="0.3">
      <c r="A5044" s="1">
        <v>45111</v>
      </c>
      <c r="B5044" s="2" t="s">
        <v>135</v>
      </c>
      <c r="C5044" s="2" t="s">
        <v>82</v>
      </c>
      <c r="D5044" s="2" t="s">
        <v>26</v>
      </c>
      <c r="E5044" s="2" t="s">
        <v>32</v>
      </c>
      <c r="F5044" s="2">
        <v>25.4</v>
      </c>
      <c r="G5044" s="2">
        <v>5</v>
      </c>
      <c r="H5044" s="2">
        <v>8.64</v>
      </c>
      <c r="I5044" t="str">
        <f t="shared" si="78"/>
        <v>Jul</v>
      </c>
      <c r="J5044">
        <f>YEAR(datas[[#This Row],[Order Date]])</f>
        <v>2023</v>
      </c>
    </row>
    <row r="5045" spans="1:10" ht="14.25" customHeight="1" x14ac:dyDescent="0.3">
      <c r="A5045" s="1">
        <v>45111</v>
      </c>
      <c r="B5045" s="2" t="s">
        <v>135</v>
      </c>
      <c r="C5045" s="2" t="s">
        <v>82</v>
      </c>
      <c r="D5045" s="2" t="s">
        <v>28</v>
      </c>
      <c r="E5045" s="2" t="s">
        <v>29</v>
      </c>
      <c r="F5045" s="2">
        <v>177.48</v>
      </c>
      <c r="G5045" s="2">
        <v>3</v>
      </c>
      <c r="H5045" s="2">
        <v>19.97</v>
      </c>
      <c r="I5045" t="str">
        <f t="shared" si="78"/>
        <v>Jul</v>
      </c>
      <c r="J5045">
        <f>YEAR(datas[[#This Row],[Order Date]])</f>
        <v>2023</v>
      </c>
    </row>
    <row r="5046" spans="1:10" ht="14.25" customHeight="1" x14ac:dyDescent="0.3">
      <c r="A5046" s="1">
        <v>45111</v>
      </c>
      <c r="B5046" s="2" t="s">
        <v>135</v>
      </c>
      <c r="C5046" s="2" t="s">
        <v>82</v>
      </c>
      <c r="D5046" s="2" t="s">
        <v>28</v>
      </c>
      <c r="E5046" s="2" t="s">
        <v>29</v>
      </c>
      <c r="F5046" s="2">
        <v>71.98</v>
      </c>
      <c r="G5046" s="2">
        <v>3</v>
      </c>
      <c r="H5046" s="2">
        <v>9</v>
      </c>
      <c r="I5046" t="str">
        <f t="shared" si="78"/>
        <v>Jul</v>
      </c>
      <c r="J5046">
        <f>YEAR(datas[[#This Row],[Order Date]])</f>
        <v>2023</v>
      </c>
    </row>
    <row r="5047" spans="1:10" ht="14.25" customHeight="1" x14ac:dyDescent="0.3">
      <c r="A5047" s="1">
        <v>45114</v>
      </c>
      <c r="B5047" s="2" t="s">
        <v>643</v>
      </c>
      <c r="C5047" s="2" t="s">
        <v>64</v>
      </c>
      <c r="D5047" s="2" t="s">
        <v>10</v>
      </c>
      <c r="E5047" s="2" t="s">
        <v>95</v>
      </c>
      <c r="F5047" s="2">
        <v>45.58</v>
      </c>
      <c r="G5047" s="2">
        <v>7</v>
      </c>
      <c r="H5047" s="2">
        <v>5.13</v>
      </c>
      <c r="I5047" t="str">
        <f t="shared" si="78"/>
        <v>Jul</v>
      </c>
      <c r="J5047">
        <f>YEAR(datas[[#This Row],[Order Date]])</f>
        <v>2023</v>
      </c>
    </row>
    <row r="5048" spans="1:10" ht="14.25" customHeight="1" x14ac:dyDescent="0.3">
      <c r="A5048" s="1">
        <v>45114</v>
      </c>
      <c r="B5048" s="2" t="s">
        <v>261</v>
      </c>
      <c r="C5048" s="2" t="s">
        <v>21</v>
      </c>
      <c r="D5048" s="2" t="s">
        <v>26</v>
      </c>
      <c r="E5048" s="2" t="s">
        <v>32</v>
      </c>
      <c r="F5048" s="2">
        <v>215.65</v>
      </c>
      <c r="G5048" s="2">
        <v>5</v>
      </c>
      <c r="H5048" s="2">
        <v>73.319999999999993</v>
      </c>
      <c r="I5048" t="str">
        <f t="shared" si="78"/>
        <v>Jul</v>
      </c>
      <c r="J5048">
        <f>YEAR(datas[[#This Row],[Order Date]])</f>
        <v>2023</v>
      </c>
    </row>
    <row r="5049" spans="1:10" ht="14.25" customHeight="1" x14ac:dyDescent="0.3">
      <c r="A5049" s="1">
        <v>45114</v>
      </c>
      <c r="B5049" s="2" t="s">
        <v>96</v>
      </c>
      <c r="C5049" s="2" t="s">
        <v>13</v>
      </c>
      <c r="D5049" s="2" t="s">
        <v>26</v>
      </c>
      <c r="E5049" s="2" t="s">
        <v>32</v>
      </c>
      <c r="F5049" s="2">
        <v>60.29</v>
      </c>
      <c r="G5049" s="2">
        <v>8</v>
      </c>
      <c r="H5049" s="2">
        <v>-27.13</v>
      </c>
      <c r="I5049" t="str">
        <f t="shared" si="78"/>
        <v>Jul</v>
      </c>
      <c r="J5049">
        <f>YEAR(datas[[#This Row],[Order Date]])</f>
        <v>2023</v>
      </c>
    </row>
    <row r="5050" spans="1:10" ht="14.25" customHeight="1" x14ac:dyDescent="0.3">
      <c r="A5050" s="1">
        <v>45114</v>
      </c>
      <c r="B5050" s="2" t="s">
        <v>96</v>
      </c>
      <c r="C5050" s="2" t="s">
        <v>13</v>
      </c>
      <c r="D5050" s="2" t="s">
        <v>10</v>
      </c>
      <c r="E5050" s="2" t="s">
        <v>30</v>
      </c>
      <c r="F5050" s="2">
        <v>2.63</v>
      </c>
      <c r="G5050" s="2">
        <v>1</v>
      </c>
      <c r="H5050" s="2">
        <v>0.82</v>
      </c>
      <c r="I5050" t="str">
        <f t="shared" si="78"/>
        <v>Jul</v>
      </c>
      <c r="J5050">
        <f>YEAR(datas[[#This Row],[Order Date]])</f>
        <v>2023</v>
      </c>
    </row>
    <row r="5051" spans="1:10" ht="14.25" customHeight="1" x14ac:dyDescent="0.3">
      <c r="A5051" s="1">
        <v>45114</v>
      </c>
      <c r="B5051" s="2" t="s">
        <v>96</v>
      </c>
      <c r="C5051" s="2" t="s">
        <v>13</v>
      </c>
      <c r="D5051" s="2" t="s">
        <v>10</v>
      </c>
      <c r="E5051" s="2" t="s">
        <v>11</v>
      </c>
      <c r="F5051" s="2">
        <v>23.69</v>
      </c>
      <c r="G5051" s="2">
        <v>9</v>
      </c>
      <c r="H5051" s="2">
        <v>7.7</v>
      </c>
      <c r="I5051" t="str">
        <f t="shared" si="78"/>
        <v>Jul</v>
      </c>
      <c r="J5051">
        <f>YEAR(datas[[#This Row],[Order Date]])</f>
        <v>2023</v>
      </c>
    </row>
    <row r="5052" spans="1:10" ht="14.25" customHeight="1" x14ac:dyDescent="0.3">
      <c r="A5052" s="1">
        <v>45114</v>
      </c>
      <c r="B5052" s="2" t="s">
        <v>96</v>
      </c>
      <c r="C5052" s="2" t="s">
        <v>13</v>
      </c>
      <c r="D5052" s="2" t="s">
        <v>26</v>
      </c>
      <c r="E5052" s="2" t="s">
        <v>27</v>
      </c>
      <c r="F5052" s="2">
        <v>253.37</v>
      </c>
      <c r="G5052" s="2">
        <v>2</v>
      </c>
      <c r="H5052" s="2">
        <v>-14.48</v>
      </c>
      <c r="I5052" t="str">
        <f t="shared" si="78"/>
        <v>Jul</v>
      </c>
      <c r="J5052">
        <f>YEAR(datas[[#This Row],[Order Date]])</f>
        <v>2023</v>
      </c>
    </row>
    <row r="5053" spans="1:10" ht="14.25" customHeight="1" x14ac:dyDescent="0.3">
      <c r="A5053" s="1">
        <v>45114</v>
      </c>
      <c r="B5053" s="2" t="s">
        <v>831</v>
      </c>
      <c r="C5053" s="2" t="s">
        <v>21</v>
      </c>
      <c r="D5053" s="2" t="s">
        <v>26</v>
      </c>
      <c r="E5053" s="2" t="s">
        <v>27</v>
      </c>
      <c r="F5053" s="2">
        <v>287.97000000000003</v>
      </c>
      <c r="G5053" s="2">
        <v>4</v>
      </c>
      <c r="H5053" s="2">
        <v>-3.6</v>
      </c>
      <c r="I5053" t="str">
        <f t="shared" si="78"/>
        <v>Jul</v>
      </c>
      <c r="J5053">
        <f>YEAR(datas[[#This Row],[Order Date]])</f>
        <v>2023</v>
      </c>
    </row>
    <row r="5054" spans="1:10" ht="14.25" customHeight="1" x14ac:dyDescent="0.3">
      <c r="A5054" s="1">
        <v>45114</v>
      </c>
      <c r="B5054" s="2" t="s">
        <v>831</v>
      </c>
      <c r="C5054" s="2" t="s">
        <v>21</v>
      </c>
      <c r="D5054" s="2" t="s">
        <v>28</v>
      </c>
      <c r="E5054" s="2" t="s">
        <v>243</v>
      </c>
      <c r="F5054" s="2">
        <v>2799.96</v>
      </c>
      <c r="G5054" s="2">
        <v>5</v>
      </c>
      <c r="H5054" s="2">
        <v>944.99</v>
      </c>
      <c r="I5054" t="str">
        <f t="shared" si="78"/>
        <v>Jul</v>
      </c>
      <c r="J5054">
        <f>YEAR(datas[[#This Row],[Order Date]])</f>
        <v>2023</v>
      </c>
    </row>
    <row r="5055" spans="1:10" ht="14.25" customHeight="1" x14ac:dyDescent="0.3">
      <c r="A5055" s="1">
        <v>45114</v>
      </c>
      <c r="B5055" s="2" t="s">
        <v>831</v>
      </c>
      <c r="C5055" s="2" t="s">
        <v>21</v>
      </c>
      <c r="D5055" s="2" t="s">
        <v>10</v>
      </c>
      <c r="E5055" s="2" t="s">
        <v>11</v>
      </c>
      <c r="F5055" s="2">
        <v>48.94</v>
      </c>
      <c r="G5055" s="2">
        <v>1</v>
      </c>
      <c r="H5055" s="2">
        <v>24.47</v>
      </c>
      <c r="I5055" t="str">
        <f t="shared" si="78"/>
        <v>Jul</v>
      </c>
      <c r="J5055">
        <f>YEAR(datas[[#This Row],[Order Date]])</f>
        <v>2023</v>
      </c>
    </row>
    <row r="5056" spans="1:10" ht="14.25" customHeight="1" x14ac:dyDescent="0.3">
      <c r="A5056" s="1">
        <v>45114</v>
      </c>
      <c r="B5056" s="2" t="s">
        <v>642</v>
      </c>
      <c r="C5056" s="2" t="s">
        <v>18</v>
      </c>
      <c r="D5056" s="2" t="s">
        <v>10</v>
      </c>
      <c r="E5056" s="2" t="s">
        <v>14</v>
      </c>
      <c r="F5056" s="2">
        <v>10.08</v>
      </c>
      <c r="G5056" s="2">
        <v>2</v>
      </c>
      <c r="H5056" s="2">
        <v>3.28</v>
      </c>
      <c r="I5056" t="str">
        <f t="shared" si="78"/>
        <v>Jul</v>
      </c>
      <c r="J5056">
        <f>YEAR(datas[[#This Row],[Order Date]])</f>
        <v>2023</v>
      </c>
    </row>
    <row r="5057" spans="1:10" ht="14.25" customHeight="1" x14ac:dyDescent="0.3">
      <c r="A5057" s="1">
        <v>45114</v>
      </c>
      <c r="B5057" s="2" t="s">
        <v>642</v>
      </c>
      <c r="C5057" s="2" t="s">
        <v>18</v>
      </c>
      <c r="D5057" s="2" t="s">
        <v>28</v>
      </c>
      <c r="E5057" s="2" t="s">
        <v>29</v>
      </c>
      <c r="F5057" s="2">
        <v>59.99</v>
      </c>
      <c r="G5057" s="2">
        <v>1</v>
      </c>
      <c r="H5057" s="2">
        <v>-13</v>
      </c>
      <c r="I5057" t="str">
        <f t="shared" si="78"/>
        <v>Jul</v>
      </c>
      <c r="J5057">
        <f>YEAR(datas[[#This Row],[Order Date]])</f>
        <v>2023</v>
      </c>
    </row>
    <row r="5058" spans="1:10" ht="14.25" customHeight="1" x14ac:dyDescent="0.3">
      <c r="A5058" s="1">
        <v>45114</v>
      </c>
      <c r="B5058" s="2" t="s">
        <v>642</v>
      </c>
      <c r="C5058" s="2" t="s">
        <v>18</v>
      </c>
      <c r="D5058" s="2" t="s">
        <v>10</v>
      </c>
      <c r="E5058" s="2" t="s">
        <v>16</v>
      </c>
      <c r="F5058" s="2">
        <v>5.72</v>
      </c>
      <c r="G5058" s="2">
        <v>5</v>
      </c>
      <c r="H5058" s="2">
        <v>-4.76</v>
      </c>
      <c r="I5058" t="str">
        <f t="shared" si="78"/>
        <v>Jul</v>
      </c>
      <c r="J5058">
        <f>YEAR(datas[[#This Row],[Order Date]])</f>
        <v>2023</v>
      </c>
    </row>
    <row r="5059" spans="1:10" ht="14.25" customHeight="1" x14ac:dyDescent="0.3">
      <c r="A5059" s="1">
        <v>45114</v>
      </c>
      <c r="B5059" s="2" t="s">
        <v>642</v>
      </c>
      <c r="C5059" s="2" t="s">
        <v>18</v>
      </c>
      <c r="D5059" s="2" t="s">
        <v>10</v>
      </c>
      <c r="E5059" s="2" t="s">
        <v>16</v>
      </c>
      <c r="F5059" s="2">
        <v>9.42</v>
      </c>
      <c r="G5059" s="2">
        <v>5</v>
      </c>
      <c r="H5059" s="2">
        <v>-7.85</v>
      </c>
      <c r="I5059" t="str">
        <f t="shared" ref="I5059:I5122" si="79">TEXT(A5059,"mmm")</f>
        <v>Jul</v>
      </c>
      <c r="J5059">
        <f>YEAR(datas[[#This Row],[Order Date]])</f>
        <v>2023</v>
      </c>
    </row>
    <row r="5060" spans="1:10" ht="14.25" customHeight="1" x14ac:dyDescent="0.3">
      <c r="A5060" s="1">
        <v>45114</v>
      </c>
      <c r="B5060" s="2" t="s">
        <v>728</v>
      </c>
      <c r="C5060" s="2" t="s">
        <v>134</v>
      </c>
      <c r="D5060" s="2" t="s">
        <v>10</v>
      </c>
      <c r="E5060" s="2" t="s">
        <v>11</v>
      </c>
      <c r="F5060" s="2">
        <v>12.96</v>
      </c>
      <c r="G5060" s="2">
        <v>2</v>
      </c>
      <c r="H5060" s="2">
        <v>6.22</v>
      </c>
      <c r="I5060" t="str">
        <f t="shared" si="79"/>
        <v>Jul</v>
      </c>
      <c r="J5060">
        <f>YEAR(datas[[#This Row],[Order Date]])</f>
        <v>2023</v>
      </c>
    </row>
    <row r="5061" spans="1:10" ht="14.25" customHeight="1" x14ac:dyDescent="0.3">
      <c r="A5061" s="1">
        <v>45114</v>
      </c>
      <c r="B5061" s="2" t="s">
        <v>728</v>
      </c>
      <c r="C5061" s="2" t="s">
        <v>134</v>
      </c>
      <c r="D5061" s="2" t="s">
        <v>10</v>
      </c>
      <c r="E5061" s="2" t="s">
        <v>19</v>
      </c>
      <c r="F5061" s="2">
        <v>45.98</v>
      </c>
      <c r="G5061" s="2">
        <v>2</v>
      </c>
      <c r="H5061" s="2">
        <v>12.87</v>
      </c>
      <c r="I5061" t="str">
        <f t="shared" si="79"/>
        <v>Jul</v>
      </c>
      <c r="J5061">
        <f>YEAR(datas[[#This Row],[Order Date]])</f>
        <v>2023</v>
      </c>
    </row>
    <row r="5062" spans="1:10" ht="14.25" customHeight="1" x14ac:dyDescent="0.3">
      <c r="A5062" s="1">
        <v>45115</v>
      </c>
      <c r="B5062" s="2" t="s">
        <v>833</v>
      </c>
      <c r="C5062" s="2" t="s">
        <v>9</v>
      </c>
      <c r="D5062" s="2" t="s">
        <v>28</v>
      </c>
      <c r="E5062" s="2" t="s">
        <v>29</v>
      </c>
      <c r="F5062" s="2">
        <v>863.64</v>
      </c>
      <c r="G5062" s="2">
        <v>9</v>
      </c>
      <c r="H5062" s="2">
        <v>107.96</v>
      </c>
      <c r="I5062" t="str">
        <f t="shared" si="79"/>
        <v>Jul</v>
      </c>
      <c r="J5062">
        <f>YEAR(datas[[#This Row],[Order Date]])</f>
        <v>2023</v>
      </c>
    </row>
    <row r="5063" spans="1:10" ht="14.25" customHeight="1" x14ac:dyDescent="0.3">
      <c r="A5063" s="1">
        <v>45115</v>
      </c>
      <c r="B5063" s="2" t="s">
        <v>833</v>
      </c>
      <c r="C5063" s="2" t="s">
        <v>9</v>
      </c>
      <c r="D5063" s="2" t="s">
        <v>10</v>
      </c>
      <c r="E5063" s="2" t="s">
        <v>19</v>
      </c>
      <c r="F5063" s="2">
        <v>47.62</v>
      </c>
      <c r="G5063" s="2">
        <v>3</v>
      </c>
      <c r="H5063" s="2">
        <v>3.57</v>
      </c>
      <c r="I5063" t="str">
        <f t="shared" si="79"/>
        <v>Jul</v>
      </c>
      <c r="J5063">
        <f>YEAR(datas[[#This Row],[Order Date]])</f>
        <v>2023</v>
      </c>
    </row>
    <row r="5064" spans="1:10" ht="14.25" customHeight="1" x14ac:dyDescent="0.3">
      <c r="A5064" s="1">
        <v>45115</v>
      </c>
      <c r="B5064" s="2" t="s">
        <v>434</v>
      </c>
      <c r="C5064" s="2" t="s">
        <v>126</v>
      </c>
      <c r="D5064" s="2" t="s">
        <v>10</v>
      </c>
      <c r="E5064" s="2" t="s">
        <v>16</v>
      </c>
      <c r="F5064" s="2">
        <v>19.97</v>
      </c>
      <c r="G5064" s="2">
        <v>2</v>
      </c>
      <c r="H5064" s="2">
        <v>-13.31</v>
      </c>
      <c r="I5064" t="str">
        <f t="shared" si="79"/>
        <v>Jul</v>
      </c>
      <c r="J5064">
        <f>YEAR(datas[[#This Row],[Order Date]])</f>
        <v>2023</v>
      </c>
    </row>
    <row r="5065" spans="1:10" ht="14.25" customHeight="1" x14ac:dyDescent="0.3">
      <c r="A5065" s="1">
        <v>45115</v>
      </c>
      <c r="B5065" s="2" t="s">
        <v>434</v>
      </c>
      <c r="C5065" s="2" t="s">
        <v>126</v>
      </c>
      <c r="D5065" s="2" t="s">
        <v>10</v>
      </c>
      <c r="E5065" s="2" t="s">
        <v>15</v>
      </c>
      <c r="F5065" s="2">
        <v>33.49</v>
      </c>
      <c r="G5065" s="2">
        <v>7</v>
      </c>
      <c r="H5065" s="2">
        <v>-1.26</v>
      </c>
      <c r="I5065" t="str">
        <f t="shared" si="79"/>
        <v>Jul</v>
      </c>
      <c r="J5065">
        <f>YEAR(datas[[#This Row],[Order Date]])</f>
        <v>2023</v>
      </c>
    </row>
    <row r="5066" spans="1:10" ht="14.25" customHeight="1" x14ac:dyDescent="0.3">
      <c r="A5066" s="1">
        <v>45115</v>
      </c>
      <c r="B5066" s="2" t="s">
        <v>434</v>
      </c>
      <c r="C5066" s="2" t="s">
        <v>126</v>
      </c>
      <c r="D5066" s="2" t="s">
        <v>10</v>
      </c>
      <c r="E5066" s="2" t="s">
        <v>16</v>
      </c>
      <c r="F5066" s="2">
        <v>8.74</v>
      </c>
      <c r="G5066" s="2">
        <v>4</v>
      </c>
      <c r="H5066" s="2">
        <v>-6.12</v>
      </c>
      <c r="I5066" t="str">
        <f t="shared" si="79"/>
        <v>Jul</v>
      </c>
      <c r="J5066">
        <f>YEAR(datas[[#This Row],[Order Date]])</f>
        <v>2023</v>
      </c>
    </row>
    <row r="5067" spans="1:10" ht="14.25" customHeight="1" x14ac:dyDescent="0.3">
      <c r="A5067" s="1">
        <v>45115</v>
      </c>
      <c r="B5067" s="2" t="s">
        <v>434</v>
      </c>
      <c r="C5067" s="2" t="s">
        <v>126</v>
      </c>
      <c r="D5067" s="2" t="s">
        <v>26</v>
      </c>
      <c r="E5067" s="2" t="s">
        <v>27</v>
      </c>
      <c r="F5067" s="2">
        <v>662.88</v>
      </c>
      <c r="G5067" s="2">
        <v>3</v>
      </c>
      <c r="H5067" s="2">
        <v>74.569999999999993</v>
      </c>
      <c r="I5067" t="str">
        <f t="shared" si="79"/>
        <v>Jul</v>
      </c>
      <c r="J5067">
        <f>YEAR(datas[[#This Row],[Order Date]])</f>
        <v>2023</v>
      </c>
    </row>
    <row r="5068" spans="1:10" ht="14.25" customHeight="1" x14ac:dyDescent="0.3">
      <c r="A5068" s="1">
        <v>45115</v>
      </c>
      <c r="B5068" s="2" t="s">
        <v>463</v>
      </c>
      <c r="C5068" s="2" t="s">
        <v>82</v>
      </c>
      <c r="D5068" s="2" t="s">
        <v>28</v>
      </c>
      <c r="E5068" s="2" t="s">
        <v>29</v>
      </c>
      <c r="F5068" s="2">
        <v>107.98</v>
      </c>
      <c r="G5068" s="2">
        <v>1</v>
      </c>
      <c r="H5068" s="2">
        <v>9.4499999999999993</v>
      </c>
      <c r="I5068" t="str">
        <f t="shared" si="79"/>
        <v>Jul</v>
      </c>
      <c r="J5068">
        <f>YEAR(datas[[#This Row],[Order Date]])</f>
        <v>2023</v>
      </c>
    </row>
    <row r="5069" spans="1:10" ht="14.25" customHeight="1" x14ac:dyDescent="0.3">
      <c r="A5069" s="1">
        <v>45115</v>
      </c>
      <c r="B5069" s="2" t="s">
        <v>463</v>
      </c>
      <c r="C5069" s="2" t="s">
        <v>82</v>
      </c>
      <c r="D5069" s="2" t="s">
        <v>10</v>
      </c>
      <c r="E5069" s="2" t="s">
        <v>16</v>
      </c>
      <c r="F5069" s="2">
        <v>19.3</v>
      </c>
      <c r="G5069" s="2">
        <v>3</v>
      </c>
      <c r="H5069" s="2">
        <v>6.03</v>
      </c>
      <c r="I5069" t="str">
        <f t="shared" si="79"/>
        <v>Jul</v>
      </c>
      <c r="J5069">
        <f>YEAR(datas[[#This Row],[Order Date]])</f>
        <v>2023</v>
      </c>
    </row>
    <row r="5070" spans="1:10" ht="14.25" customHeight="1" x14ac:dyDescent="0.3">
      <c r="A5070" s="1">
        <v>45115</v>
      </c>
      <c r="B5070" s="2" t="s">
        <v>438</v>
      </c>
      <c r="C5070" s="2" t="s">
        <v>64</v>
      </c>
      <c r="D5070" s="2" t="s">
        <v>28</v>
      </c>
      <c r="E5070" s="2" t="s">
        <v>29</v>
      </c>
      <c r="F5070" s="2">
        <v>823.96</v>
      </c>
      <c r="G5070" s="2">
        <v>5</v>
      </c>
      <c r="H5070" s="2">
        <v>51.5</v>
      </c>
      <c r="I5070" t="str">
        <f t="shared" si="79"/>
        <v>Jul</v>
      </c>
      <c r="J5070">
        <f>YEAR(datas[[#This Row],[Order Date]])</f>
        <v>2023</v>
      </c>
    </row>
    <row r="5071" spans="1:10" ht="14.25" customHeight="1" x14ac:dyDescent="0.3">
      <c r="A5071" s="1">
        <v>45115</v>
      </c>
      <c r="B5071" s="2" t="s">
        <v>438</v>
      </c>
      <c r="C5071" s="2" t="s">
        <v>64</v>
      </c>
      <c r="D5071" s="2" t="s">
        <v>10</v>
      </c>
      <c r="E5071" s="2" t="s">
        <v>11</v>
      </c>
      <c r="F5071" s="2">
        <v>15.98</v>
      </c>
      <c r="G5071" s="2">
        <v>2</v>
      </c>
      <c r="H5071" s="2">
        <v>5</v>
      </c>
      <c r="I5071" t="str">
        <f t="shared" si="79"/>
        <v>Jul</v>
      </c>
      <c r="J5071">
        <f>YEAR(datas[[#This Row],[Order Date]])</f>
        <v>2023</v>
      </c>
    </row>
    <row r="5072" spans="1:10" ht="14.25" customHeight="1" x14ac:dyDescent="0.3">
      <c r="A5072" s="1">
        <v>45115</v>
      </c>
      <c r="B5072" s="2" t="s">
        <v>495</v>
      </c>
      <c r="C5072" s="2" t="s">
        <v>553</v>
      </c>
      <c r="D5072" s="2" t="s">
        <v>10</v>
      </c>
      <c r="E5072" s="2" t="s">
        <v>11</v>
      </c>
      <c r="F5072" s="2">
        <v>12.96</v>
      </c>
      <c r="G5072" s="2">
        <v>2</v>
      </c>
      <c r="H5072" s="2">
        <v>6.22</v>
      </c>
      <c r="I5072" t="str">
        <f t="shared" si="79"/>
        <v>Jul</v>
      </c>
      <c r="J5072">
        <f>YEAR(datas[[#This Row],[Order Date]])</f>
        <v>2023</v>
      </c>
    </row>
    <row r="5073" spans="1:10" ht="14.25" customHeight="1" x14ac:dyDescent="0.3">
      <c r="A5073" s="1">
        <v>45116</v>
      </c>
      <c r="B5073" s="2" t="s">
        <v>161</v>
      </c>
      <c r="C5073" s="2" t="s">
        <v>75</v>
      </c>
      <c r="D5073" s="2" t="s">
        <v>26</v>
      </c>
      <c r="E5073" s="2" t="s">
        <v>27</v>
      </c>
      <c r="F5073" s="2">
        <v>408.01</v>
      </c>
      <c r="G5073" s="2">
        <v>2</v>
      </c>
      <c r="H5073" s="2">
        <v>72.53</v>
      </c>
      <c r="I5073" t="str">
        <f t="shared" si="79"/>
        <v>Jul</v>
      </c>
      <c r="J5073">
        <f>YEAR(datas[[#This Row],[Order Date]])</f>
        <v>2023</v>
      </c>
    </row>
    <row r="5074" spans="1:10" ht="14.25" customHeight="1" x14ac:dyDescent="0.3">
      <c r="A5074" s="1">
        <v>45116</v>
      </c>
      <c r="B5074" s="2" t="s">
        <v>161</v>
      </c>
      <c r="C5074" s="2" t="s">
        <v>75</v>
      </c>
      <c r="D5074" s="2" t="s">
        <v>26</v>
      </c>
      <c r="E5074" s="2" t="s">
        <v>32</v>
      </c>
      <c r="F5074" s="2">
        <v>165.28</v>
      </c>
      <c r="G5074" s="2">
        <v>4</v>
      </c>
      <c r="H5074" s="2">
        <v>14.88</v>
      </c>
      <c r="I5074" t="str">
        <f t="shared" si="79"/>
        <v>Jul</v>
      </c>
      <c r="J5074">
        <f>YEAR(datas[[#This Row],[Order Date]])</f>
        <v>2023</v>
      </c>
    </row>
    <row r="5075" spans="1:10" ht="14.25" customHeight="1" x14ac:dyDescent="0.3">
      <c r="A5075" s="1">
        <v>45117</v>
      </c>
      <c r="B5075" s="2" t="s">
        <v>222</v>
      </c>
      <c r="C5075" s="2" t="s">
        <v>55</v>
      </c>
      <c r="D5075" s="2" t="s">
        <v>10</v>
      </c>
      <c r="E5075" s="2" t="s">
        <v>15</v>
      </c>
      <c r="F5075" s="2">
        <v>16.77</v>
      </c>
      <c r="G5075" s="2">
        <v>2</v>
      </c>
      <c r="H5075" s="2">
        <v>1.47</v>
      </c>
      <c r="I5075" t="str">
        <f t="shared" si="79"/>
        <v>Jul</v>
      </c>
      <c r="J5075">
        <f>YEAR(datas[[#This Row],[Order Date]])</f>
        <v>2023</v>
      </c>
    </row>
    <row r="5076" spans="1:10" ht="14.25" customHeight="1" x14ac:dyDescent="0.3">
      <c r="A5076" s="1">
        <v>45117</v>
      </c>
      <c r="B5076" s="2" t="s">
        <v>636</v>
      </c>
      <c r="C5076" s="2" t="s">
        <v>9</v>
      </c>
      <c r="D5076" s="2" t="s">
        <v>10</v>
      </c>
      <c r="E5076" s="2" t="s">
        <v>15</v>
      </c>
      <c r="F5076" s="2">
        <v>338.04</v>
      </c>
      <c r="G5076" s="2">
        <v>3</v>
      </c>
      <c r="H5076" s="2">
        <v>-33.799999999999997</v>
      </c>
      <c r="I5076" t="str">
        <f t="shared" si="79"/>
        <v>Jul</v>
      </c>
      <c r="J5076">
        <f>YEAR(datas[[#This Row],[Order Date]])</f>
        <v>2023</v>
      </c>
    </row>
    <row r="5077" spans="1:10" ht="14.25" customHeight="1" x14ac:dyDescent="0.3">
      <c r="A5077" s="1">
        <v>45117</v>
      </c>
      <c r="B5077" s="2" t="s">
        <v>636</v>
      </c>
      <c r="C5077" s="2" t="s">
        <v>9</v>
      </c>
      <c r="D5077" s="2" t="s">
        <v>10</v>
      </c>
      <c r="E5077" s="2" t="s">
        <v>19</v>
      </c>
      <c r="F5077" s="2">
        <v>154.24</v>
      </c>
      <c r="G5077" s="2">
        <v>4</v>
      </c>
      <c r="H5077" s="2">
        <v>17.350000000000001</v>
      </c>
      <c r="I5077" t="str">
        <f t="shared" si="79"/>
        <v>Jul</v>
      </c>
      <c r="J5077">
        <f>YEAR(datas[[#This Row],[Order Date]])</f>
        <v>2023</v>
      </c>
    </row>
    <row r="5078" spans="1:10" ht="14.25" customHeight="1" x14ac:dyDescent="0.3">
      <c r="A5078" s="1">
        <v>45117</v>
      </c>
      <c r="B5078" s="2" t="s">
        <v>396</v>
      </c>
      <c r="C5078" s="2" t="s">
        <v>55</v>
      </c>
      <c r="D5078" s="2" t="s">
        <v>10</v>
      </c>
      <c r="E5078" s="2" t="s">
        <v>16</v>
      </c>
      <c r="F5078" s="2">
        <v>44.86</v>
      </c>
      <c r="G5078" s="2">
        <v>6</v>
      </c>
      <c r="H5078" s="2">
        <v>-35.880000000000003</v>
      </c>
      <c r="I5078" t="str">
        <f t="shared" si="79"/>
        <v>Jul</v>
      </c>
      <c r="J5078">
        <f>YEAR(datas[[#This Row],[Order Date]])</f>
        <v>2023</v>
      </c>
    </row>
    <row r="5079" spans="1:10" ht="14.25" customHeight="1" x14ac:dyDescent="0.3">
      <c r="A5079" s="1">
        <v>45117</v>
      </c>
      <c r="B5079" s="2" t="s">
        <v>471</v>
      </c>
      <c r="C5079" s="2" t="s">
        <v>18</v>
      </c>
      <c r="D5079" s="2" t="s">
        <v>28</v>
      </c>
      <c r="E5079" s="2" t="s">
        <v>136</v>
      </c>
      <c r="F5079" s="2">
        <v>341.99</v>
      </c>
      <c r="G5079" s="2">
        <v>3</v>
      </c>
      <c r="H5079" s="2">
        <v>-319.19</v>
      </c>
      <c r="I5079" t="str">
        <f t="shared" si="79"/>
        <v>Jul</v>
      </c>
      <c r="J5079">
        <f>YEAR(datas[[#This Row],[Order Date]])</f>
        <v>2023</v>
      </c>
    </row>
    <row r="5080" spans="1:10" ht="14.25" customHeight="1" x14ac:dyDescent="0.3">
      <c r="A5080" s="1">
        <v>45119</v>
      </c>
      <c r="B5080" s="2" t="s">
        <v>151</v>
      </c>
      <c r="C5080" s="2" t="s">
        <v>21</v>
      </c>
      <c r="D5080" s="2" t="s">
        <v>28</v>
      </c>
      <c r="E5080" s="2" t="s">
        <v>29</v>
      </c>
      <c r="F5080" s="2">
        <v>95.76</v>
      </c>
      <c r="G5080" s="2">
        <v>6</v>
      </c>
      <c r="H5080" s="2">
        <v>7.18</v>
      </c>
      <c r="I5080" t="str">
        <f t="shared" si="79"/>
        <v>Jul</v>
      </c>
      <c r="J5080">
        <f>YEAR(datas[[#This Row],[Order Date]])</f>
        <v>2023</v>
      </c>
    </row>
    <row r="5081" spans="1:10" ht="14.25" customHeight="1" x14ac:dyDescent="0.3">
      <c r="A5081" s="1">
        <v>45121</v>
      </c>
      <c r="B5081" s="2" t="s">
        <v>513</v>
      </c>
      <c r="C5081" s="2" t="s">
        <v>55</v>
      </c>
      <c r="D5081" s="2" t="s">
        <v>28</v>
      </c>
      <c r="E5081" s="2" t="s">
        <v>29</v>
      </c>
      <c r="F5081" s="2">
        <v>380.86</v>
      </c>
      <c r="G5081" s="2">
        <v>8</v>
      </c>
      <c r="H5081" s="2">
        <v>38.090000000000003</v>
      </c>
      <c r="I5081" t="str">
        <f t="shared" si="79"/>
        <v>Jul</v>
      </c>
      <c r="J5081">
        <f>YEAR(datas[[#This Row],[Order Date]])</f>
        <v>2023</v>
      </c>
    </row>
    <row r="5082" spans="1:10" ht="14.25" customHeight="1" x14ac:dyDescent="0.3">
      <c r="A5082" s="1">
        <v>45121</v>
      </c>
      <c r="B5082" s="2" t="s">
        <v>705</v>
      </c>
      <c r="C5082" s="2" t="s">
        <v>18</v>
      </c>
      <c r="D5082" s="2" t="s">
        <v>10</v>
      </c>
      <c r="E5082" s="2" t="s">
        <v>95</v>
      </c>
      <c r="F5082" s="2">
        <v>11.63</v>
      </c>
      <c r="G5082" s="2">
        <v>2</v>
      </c>
      <c r="H5082" s="2">
        <v>1.02</v>
      </c>
      <c r="I5082" t="str">
        <f t="shared" si="79"/>
        <v>Jul</v>
      </c>
      <c r="J5082">
        <f>YEAR(datas[[#This Row],[Order Date]])</f>
        <v>2023</v>
      </c>
    </row>
    <row r="5083" spans="1:10" ht="14.25" customHeight="1" x14ac:dyDescent="0.3">
      <c r="A5083" s="1">
        <v>45121</v>
      </c>
      <c r="B5083" s="2" t="s">
        <v>562</v>
      </c>
      <c r="C5083" s="2" t="s">
        <v>75</v>
      </c>
      <c r="D5083" s="2" t="s">
        <v>10</v>
      </c>
      <c r="E5083" s="2" t="s">
        <v>15</v>
      </c>
      <c r="F5083" s="2">
        <v>11.21</v>
      </c>
      <c r="G5083" s="2">
        <v>1</v>
      </c>
      <c r="H5083" s="2">
        <v>3.36</v>
      </c>
      <c r="I5083" t="str">
        <f t="shared" si="79"/>
        <v>Jul</v>
      </c>
      <c r="J5083">
        <f>YEAR(datas[[#This Row],[Order Date]])</f>
        <v>2023</v>
      </c>
    </row>
    <row r="5084" spans="1:10" ht="14.25" customHeight="1" x14ac:dyDescent="0.3">
      <c r="A5084" s="1">
        <v>45121</v>
      </c>
      <c r="B5084" s="2" t="s">
        <v>562</v>
      </c>
      <c r="C5084" s="2" t="s">
        <v>75</v>
      </c>
      <c r="D5084" s="2" t="s">
        <v>10</v>
      </c>
      <c r="E5084" s="2" t="s">
        <v>16</v>
      </c>
      <c r="F5084" s="2">
        <v>9.14</v>
      </c>
      <c r="G5084" s="2">
        <v>3</v>
      </c>
      <c r="H5084" s="2">
        <v>3.2</v>
      </c>
      <c r="I5084" t="str">
        <f t="shared" si="79"/>
        <v>Jul</v>
      </c>
      <c r="J5084">
        <f>YEAR(datas[[#This Row],[Order Date]])</f>
        <v>2023</v>
      </c>
    </row>
    <row r="5085" spans="1:10" ht="14.25" customHeight="1" x14ac:dyDescent="0.3">
      <c r="A5085" s="1">
        <v>45121</v>
      </c>
      <c r="B5085" s="2" t="s">
        <v>562</v>
      </c>
      <c r="C5085" s="2" t="s">
        <v>75</v>
      </c>
      <c r="D5085" s="2" t="s">
        <v>10</v>
      </c>
      <c r="E5085" s="2" t="s">
        <v>30</v>
      </c>
      <c r="F5085" s="2">
        <v>14.07</v>
      </c>
      <c r="G5085" s="2">
        <v>7</v>
      </c>
      <c r="H5085" s="2">
        <v>6.89</v>
      </c>
      <c r="I5085" t="str">
        <f t="shared" si="79"/>
        <v>Jul</v>
      </c>
      <c r="J5085">
        <f>YEAR(datas[[#This Row],[Order Date]])</f>
        <v>2023</v>
      </c>
    </row>
    <row r="5086" spans="1:10" ht="14.25" customHeight="1" x14ac:dyDescent="0.3">
      <c r="A5086" s="1">
        <v>45121</v>
      </c>
      <c r="B5086" s="2" t="s">
        <v>562</v>
      </c>
      <c r="C5086" s="2" t="s">
        <v>75</v>
      </c>
      <c r="D5086" s="2" t="s">
        <v>10</v>
      </c>
      <c r="E5086" s="2" t="s">
        <v>19</v>
      </c>
      <c r="F5086" s="2">
        <v>41.86</v>
      </c>
      <c r="G5086" s="2">
        <v>7</v>
      </c>
      <c r="H5086" s="2">
        <v>10.47</v>
      </c>
      <c r="I5086" t="str">
        <f t="shared" si="79"/>
        <v>Jul</v>
      </c>
      <c r="J5086">
        <f>YEAR(datas[[#This Row],[Order Date]])</f>
        <v>2023</v>
      </c>
    </row>
    <row r="5087" spans="1:10" ht="14.25" customHeight="1" x14ac:dyDescent="0.3">
      <c r="A5087" s="1">
        <v>45121</v>
      </c>
      <c r="B5087" s="2" t="s">
        <v>562</v>
      </c>
      <c r="C5087" s="2" t="s">
        <v>75</v>
      </c>
      <c r="D5087" s="2" t="s">
        <v>10</v>
      </c>
      <c r="E5087" s="2" t="s">
        <v>16</v>
      </c>
      <c r="F5087" s="2">
        <v>8.5399999999999991</v>
      </c>
      <c r="G5087" s="2">
        <v>2</v>
      </c>
      <c r="H5087" s="2">
        <v>2.88</v>
      </c>
      <c r="I5087" t="str">
        <f t="shared" si="79"/>
        <v>Jul</v>
      </c>
      <c r="J5087">
        <f>YEAR(datas[[#This Row],[Order Date]])</f>
        <v>2023</v>
      </c>
    </row>
    <row r="5088" spans="1:10" ht="14.25" customHeight="1" x14ac:dyDescent="0.3">
      <c r="A5088" s="1">
        <v>45121</v>
      </c>
      <c r="B5088" s="2" t="s">
        <v>562</v>
      </c>
      <c r="C5088" s="2" t="s">
        <v>75</v>
      </c>
      <c r="D5088" s="2" t="s">
        <v>26</v>
      </c>
      <c r="E5088" s="2" t="s">
        <v>45</v>
      </c>
      <c r="F5088" s="2">
        <v>579.14</v>
      </c>
      <c r="G5088" s="2">
        <v>4</v>
      </c>
      <c r="H5088" s="2">
        <v>21.72</v>
      </c>
      <c r="I5088" t="str">
        <f t="shared" si="79"/>
        <v>Jul</v>
      </c>
      <c r="J5088">
        <f>YEAR(datas[[#This Row],[Order Date]])</f>
        <v>2023</v>
      </c>
    </row>
    <row r="5089" spans="1:10" ht="14.25" customHeight="1" x14ac:dyDescent="0.3">
      <c r="A5089" s="1">
        <v>45121</v>
      </c>
      <c r="B5089" s="2" t="s">
        <v>307</v>
      </c>
      <c r="C5089" s="2" t="s">
        <v>9</v>
      </c>
      <c r="D5089" s="2" t="s">
        <v>28</v>
      </c>
      <c r="E5089" s="2" t="s">
        <v>29</v>
      </c>
      <c r="F5089" s="2">
        <v>419.94</v>
      </c>
      <c r="G5089" s="2">
        <v>7</v>
      </c>
      <c r="H5089" s="2">
        <v>52.49</v>
      </c>
      <c r="I5089" t="str">
        <f t="shared" si="79"/>
        <v>Jul</v>
      </c>
      <c r="J5089">
        <f>YEAR(datas[[#This Row],[Order Date]])</f>
        <v>2023</v>
      </c>
    </row>
    <row r="5090" spans="1:10" ht="14.25" customHeight="1" x14ac:dyDescent="0.3">
      <c r="A5090" s="1">
        <v>45121</v>
      </c>
      <c r="B5090" s="2" t="s">
        <v>769</v>
      </c>
      <c r="C5090" s="2" t="s">
        <v>75</v>
      </c>
      <c r="D5090" s="2" t="s">
        <v>10</v>
      </c>
      <c r="E5090" s="2" t="s">
        <v>16</v>
      </c>
      <c r="F5090" s="2">
        <v>14.16</v>
      </c>
      <c r="G5090" s="2">
        <v>2</v>
      </c>
      <c r="H5090" s="2">
        <v>5.13</v>
      </c>
      <c r="I5090" t="str">
        <f t="shared" si="79"/>
        <v>Jul</v>
      </c>
      <c r="J5090">
        <f>YEAR(datas[[#This Row],[Order Date]])</f>
        <v>2023</v>
      </c>
    </row>
    <row r="5091" spans="1:10" ht="14.25" customHeight="1" x14ac:dyDescent="0.3">
      <c r="A5091" s="1">
        <v>45121</v>
      </c>
      <c r="B5091" s="2" t="s">
        <v>736</v>
      </c>
      <c r="C5091" s="2" t="s">
        <v>198</v>
      </c>
      <c r="D5091" s="2" t="s">
        <v>28</v>
      </c>
      <c r="E5091" s="2" t="s">
        <v>34</v>
      </c>
      <c r="F5091" s="2">
        <v>29</v>
      </c>
      <c r="G5091" s="2">
        <v>2</v>
      </c>
      <c r="H5091" s="2">
        <v>7.25</v>
      </c>
      <c r="I5091" t="str">
        <f t="shared" si="79"/>
        <v>Jul</v>
      </c>
      <c r="J5091">
        <f>YEAR(datas[[#This Row],[Order Date]])</f>
        <v>2023</v>
      </c>
    </row>
    <row r="5092" spans="1:10" ht="14.25" customHeight="1" x14ac:dyDescent="0.3">
      <c r="A5092" s="1">
        <v>45121</v>
      </c>
      <c r="B5092" s="2" t="s">
        <v>305</v>
      </c>
      <c r="C5092" s="2" t="s">
        <v>75</v>
      </c>
      <c r="D5092" s="2" t="s">
        <v>10</v>
      </c>
      <c r="E5092" s="2" t="s">
        <v>30</v>
      </c>
      <c r="F5092" s="2">
        <v>29.61</v>
      </c>
      <c r="G5092" s="2">
        <v>9</v>
      </c>
      <c r="H5092" s="2">
        <v>13.32</v>
      </c>
      <c r="I5092" t="str">
        <f t="shared" si="79"/>
        <v>Jul</v>
      </c>
      <c r="J5092">
        <f>YEAR(datas[[#This Row],[Order Date]])</f>
        <v>2023</v>
      </c>
    </row>
    <row r="5093" spans="1:10" ht="14.25" customHeight="1" x14ac:dyDescent="0.3">
      <c r="A5093" s="1">
        <v>45121</v>
      </c>
      <c r="B5093" s="2" t="s">
        <v>204</v>
      </c>
      <c r="C5093" s="2" t="s">
        <v>9</v>
      </c>
      <c r="D5093" s="2" t="s">
        <v>10</v>
      </c>
      <c r="E5093" s="2" t="s">
        <v>11</v>
      </c>
      <c r="F5093" s="2">
        <v>219.84</v>
      </c>
      <c r="G5093" s="2">
        <v>5</v>
      </c>
      <c r="H5093" s="2">
        <v>79.69</v>
      </c>
      <c r="I5093" t="str">
        <f t="shared" si="79"/>
        <v>Jul</v>
      </c>
      <c r="J5093">
        <f>YEAR(datas[[#This Row],[Order Date]])</f>
        <v>2023</v>
      </c>
    </row>
    <row r="5094" spans="1:10" ht="14.25" customHeight="1" x14ac:dyDescent="0.3">
      <c r="A5094" s="1">
        <v>45121</v>
      </c>
      <c r="B5094" s="2" t="s">
        <v>841</v>
      </c>
      <c r="C5094" s="2" t="s">
        <v>23</v>
      </c>
      <c r="D5094" s="2" t="s">
        <v>10</v>
      </c>
      <c r="E5094" s="2" t="s">
        <v>16</v>
      </c>
      <c r="F5094" s="2">
        <v>36.4</v>
      </c>
      <c r="G5094" s="2">
        <v>5</v>
      </c>
      <c r="H5094" s="2">
        <v>17.11</v>
      </c>
      <c r="I5094" t="str">
        <f t="shared" si="79"/>
        <v>Jul</v>
      </c>
      <c r="J5094">
        <f>YEAR(datas[[#This Row],[Order Date]])</f>
        <v>2023</v>
      </c>
    </row>
    <row r="5095" spans="1:10" ht="14.25" customHeight="1" x14ac:dyDescent="0.3">
      <c r="A5095" s="1">
        <v>45121</v>
      </c>
      <c r="B5095" s="2" t="s">
        <v>841</v>
      </c>
      <c r="C5095" s="2" t="s">
        <v>23</v>
      </c>
      <c r="D5095" s="2" t="s">
        <v>26</v>
      </c>
      <c r="E5095" s="2" t="s">
        <v>32</v>
      </c>
      <c r="F5095" s="2">
        <v>51.75</v>
      </c>
      <c r="G5095" s="2">
        <v>1</v>
      </c>
      <c r="H5095" s="2">
        <v>15.53</v>
      </c>
      <c r="I5095" t="str">
        <f t="shared" si="79"/>
        <v>Jul</v>
      </c>
      <c r="J5095">
        <f>YEAR(datas[[#This Row],[Order Date]])</f>
        <v>2023</v>
      </c>
    </row>
    <row r="5096" spans="1:10" ht="14.25" customHeight="1" x14ac:dyDescent="0.3">
      <c r="A5096" s="1">
        <v>45121</v>
      </c>
      <c r="B5096" s="2" t="s">
        <v>819</v>
      </c>
      <c r="C5096" s="2" t="s">
        <v>21</v>
      </c>
      <c r="D5096" s="2" t="s">
        <v>28</v>
      </c>
      <c r="E5096" s="2" t="s">
        <v>29</v>
      </c>
      <c r="F5096" s="2">
        <v>110.38</v>
      </c>
      <c r="G5096" s="2">
        <v>3</v>
      </c>
      <c r="H5096" s="2">
        <v>12.42</v>
      </c>
      <c r="I5096" t="str">
        <f t="shared" si="79"/>
        <v>Jul</v>
      </c>
      <c r="J5096">
        <f>YEAR(datas[[#This Row],[Order Date]])</f>
        <v>2023</v>
      </c>
    </row>
    <row r="5097" spans="1:10" ht="14.25" customHeight="1" x14ac:dyDescent="0.3">
      <c r="A5097" s="1">
        <v>45121</v>
      </c>
      <c r="B5097" s="2" t="s">
        <v>819</v>
      </c>
      <c r="C5097" s="2" t="s">
        <v>21</v>
      </c>
      <c r="D5097" s="2" t="s">
        <v>10</v>
      </c>
      <c r="E5097" s="2" t="s">
        <v>53</v>
      </c>
      <c r="F5097" s="2">
        <v>151.62</v>
      </c>
      <c r="G5097" s="2">
        <v>7</v>
      </c>
      <c r="H5097" s="2">
        <v>50.03</v>
      </c>
      <c r="I5097" t="str">
        <f t="shared" si="79"/>
        <v>Jul</v>
      </c>
      <c r="J5097">
        <f>YEAR(datas[[#This Row],[Order Date]])</f>
        <v>2023</v>
      </c>
    </row>
    <row r="5098" spans="1:10" ht="14.25" customHeight="1" x14ac:dyDescent="0.3">
      <c r="A5098" s="1">
        <v>45121</v>
      </c>
      <c r="B5098" s="2" t="s">
        <v>819</v>
      </c>
      <c r="C5098" s="2" t="s">
        <v>21</v>
      </c>
      <c r="D5098" s="2" t="s">
        <v>26</v>
      </c>
      <c r="E5098" s="2" t="s">
        <v>32</v>
      </c>
      <c r="F5098" s="2">
        <v>30.8</v>
      </c>
      <c r="G5098" s="2">
        <v>4</v>
      </c>
      <c r="H5098" s="2">
        <v>10.16</v>
      </c>
      <c r="I5098" t="str">
        <f t="shared" si="79"/>
        <v>Jul</v>
      </c>
      <c r="J5098">
        <f>YEAR(datas[[#This Row],[Order Date]])</f>
        <v>2023</v>
      </c>
    </row>
    <row r="5099" spans="1:10" ht="14.25" customHeight="1" x14ac:dyDescent="0.3">
      <c r="A5099" s="1">
        <v>45122</v>
      </c>
      <c r="B5099" s="2" t="s">
        <v>583</v>
      </c>
      <c r="C5099" s="2" t="s">
        <v>134</v>
      </c>
      <c r="D5099" s="2" t="s">
        <v>10</v>
      </c>
      <c r="E5099" s="2" t="s">
        <v>95</v>
      </c>
      <c r="F5099" s="2">
        <v>44.4</v>
      </c>
      <c r="G5099" s="2">
        <v>5</v>
      </c>
      <c r="H5099" s="2">
        <v>12.43</v>
      </c>
      <c r="I5099" t="str">
        <f t="shared" si="79"/>
        <v>Jul</v>
      </c>
      <c r="J5099">
        <f>YEAR(datas[[#This Row],[Order Date]])</f>
        <v>2023</v>
      </c>
    </row>
    <row r="5100" spans="1:10" ht="14.25" customHeight="1" x14ac:dyDescent="0.3">
      <c r="A5100" s="1">
        <v>45122</v>
      </c>
      <c r="B5100" s="2" t="s">
        <v>298</v>
      </c>
      <c r="C5100" s="2" t="s">
        <v>52</v>
      </c>
      <c r="D5100" s="2" t="s">
        <v>26</v>
      </c>
      <c r="E5100" s="2" t="s">
        <v>27</v>
      </c>
      <c r="F5100" s="2">
        <v>230.28</v>
      </c>
      <c r="G5100" s="2">
        <v>3</v>
      </c>
      <c r="H5100" s="2">
        <v>23.03</v>
      </c>
      <c r="I5100" t="str">
        <f t="shared" si="79"/>
        <v>Jul</v>
      </c>
      <c r="J5100">
        <f>YEAR(datas[[#This Row],[Order Date]])</f>
        <v>2023</v>
      </c>
    </row>
    <row r="5101" spans="1:10" ht="14.25" customHeight="1" x14ac:dyDescent="0.3">
      <c r="A5101" s="1">
        <v>45122</v>
      </c>
      <c r="B5101" s="2" t="s">
        <v>298</v>
      </c>
      <c r="C5101" s="2" t="s">
        <v>52</v>
      </c>
      <c r="D5101" s="2" t="s">
        <v>10</v>
      </c>
      <c r="E5101" s="2" t="s">
        <v>11</v>
      </c>
      <c r="F5101" s="2">
        <v>105.52</v>
      </c>
      <c r="G5101" s="2">
        <v>5</v>
      </c>
      <c r="H5101" s="2">
        <v>34.29</v>
      </c>
      <c r="I5101" t="str">
        <f t="shared" si="79"/>
        <v>Jul</v>
      </c>
      <c r="J5101">
        <f>YEAR(datas[[#This Row],[Order Date]])</f>
        <v>2023</v>
      </c>
    </row>
    <row r="5102" spans="1:10" ht="14.25" customHeight="1" x14ac:dyDescent="0.3">
      <c r="A5102" s="1">
        <v>45123</v>
      </c>
      <c r="B5102" s="2" t="s">
        <v>521</v>
      </c>
      <c r="C5102" s="2" t="s">
        <v>9</v>
      </c>
      <c r="D5102" s="2" t="s">
        <v>10</v>
      </c>
      <c r="E5102" s="2" t="s">
        <v>15</v>
      </c>
      <c r="F5102" s="2">
        <v>37.22</v>
      </c>
      <c r="G5102" s="2">
        <v>3</v>
      </c>
      <c r="H5102" s="2">
        <v>3.72</v>
      </c>
      <c r="I5102" t="str">
        <f t="shared" si="79"/>
        <v>Jul</v>
      </c>
      <c r="J5102">
        <f>YEAR(datas[[#This Row],[Order Date]])</f>
        <v>2023</v>
      </c>
    </row>
    <row r="5103" spans="1:10" ht="14.25" customHeight="1" x14ac:dyDescent="0.3">
      <c r="A5103" s="1">
        <v>45123</v>
      </c>
      <c r="B5103" s="2" t="s">
        <v>521</v>
      </c>
      <c r="C5103" s="2" t="s">
        <v>9</v>
      </c>
      <c r="D5103" s="2" t="s">
        <v>10</v>
      </c>
      <c r="E5103" s="2" t="s">
        <v>11</v>
      </c>
      <c r="F5103" s="2">
        <v>20.02</v>
      </c>
      <c r="G5103" s="2">
        <v>3</v>
      </c>
      <c r="H5103" s="2">
        <v>6.26</v>
      </c>
      <c r="I5103" t="str">
        <f t="shared" si="79"/>
        <v>Jul</v>
      </c>
      <c r="J5103">
        <f>YEAR(datas[[#This Row],[Order Date]])</f>
        <v>2023</v>
      </c>
    </row>
    <row r="5104" spans="1:10" ht="14.25" customHeight="1" x14ac:dyDescent="0.3">
      <c r="A5104" s="1">
        <v>45123</v>
      </c>
      <c r="B5104" s="2" t="s">
        <v>127</v>
      </c>
      <c r="C5104" s="2" t="s">
        <v>18</v>
      </c>
      <c r="D5104" s="2" t="s">
        <v>28</v>
      </c>
      <c r="E5104" s="2" t="s">
        <v>29</v>
      </c>
      <c r="F5104" s="2">
        <v>143.97999999999999</v>
      </c>
      <c r="G5104" s="2">
        <v>3</v>
      </c>
      <c r="H5104" s="2">
        <v>-28.8</v>
      </c>
      <c r="I5104" t="str">
        <f t="shared" si="79"/>
        <v>Jul</v>
      </c>
      <c r="J5104">
        <f>YEAR(datas[[#This Row],[Order Date]])</f>
        <v>2023</v>
      </c>
    </row>
    <row r="5105" spans="1:10" ht="14.25" customHeight="1" x14ac:dyDescent="0.3">
      <c r="A5105" s="1">
        <v>45123</v>
      </c>
      <c r="B5105" s="2" t="s">
        <v>127</v>
      </c>
      <c r="C5105" s="2" t="s">
        <v>18</v>
      </c>
      <c r="D5105" s="2" t="s">
        <v>28</v>
      </c>
      <c r="E5105" s="2" t="s">
        <v>29</v>
      </c>
      <c r="F5105" s="2">
        <v>494.38</v>
      </c>
      <c r="G5105" s="2">
        <v>4</v>
      </c>
      <c r="H5105" s="2">
        <v>-115.35</v>
      </c>
      <c r="I5105" t="str">
        <f t="shared" si="79"/>
        <v>Jul</v>
      </c>
      <c r="J5105">
        <f>YEAR(datas[[#This Row],[Order Date]])</f>
        <v>2023</v>
      </c>
    </row>
    <row r="5106" spans="1:10" ht="14.25" customHeight="1" x14ac:dyDescent="0.3">
      <c r="A5106" s="1">
        <v>45123</v>
      </c>
      <c r="B5106" s="2" t="s">
        <v>127</v>
      </c>
      <c r="C5106" s="2" t="s">
        <v>18</v>
      </c>
      <c r="D5106" s="2" t="s">
        <v>10</v>
      </c>
      <c r="E5106" s="2" t="s">
        <v>95</v>
      </c>
      <c r="F5106" s="2">
        <v>5.84</v>
      </c>
      <c r="G5106" s="2">
        <v>2</v>
      </c>
      <c r="H5106" s="2">
        <v>0.73</v>
      </c>
      <c r="I5106" t="str">
        <f t="shared" si="79"/>
        <v>Jul</v>
      </c>
      <c r="J5106">
        <f>YEAR(datas[[#This Row],[Order Date]])</f>
        <v>2023</v>
      </c>
    </row>
    <row r="5107" spans="1:10" ht="14.25" customHeight="1" x14ac:dyDescent="0.3">
      <c r="A5107" s="1">
        <v>45123</v>
      </c>
      <c r="B5107" s="2" t="s">
        <v>298</v>
      </c>
      <c r="C5107" s="2" t="s">
        <v>9</v>
      </c>
      <c r="D5107" s="2" t="s">
        <v>26</v>
      </c>
      <c r="E5107" s="2" t="s">
        <v>32</v>
      </c>
      <c r="F5107" s="2">
        <v>9.5500000000000007</v>
      </c>
      <c r="G5107" s="2">
        <v>3</v>
      </c>
      <c r="H5107" s="2">
        <v>-3.82</v>
      </c>
      <c r="I5107" t="str">
        <f t="shared" si="79"/>
        <v>Jul</v>
      </c>
      <c r="J5107">
        <f>YEAR(datas[[#This Row],[Order Date]])</f>
        <v>2023</v>
      </c>
    </row>
    <row r="5108" spans="1:10" ht="14.25" customHeight="1" x14ac:dyDescent="0.3">
      <c r="A5108" s="1">
        <v>45123</v>
      </c>
      <c r="B5108" s="2" t="s">
        <v>161</v>
      </c>
      <c r="C5108" s="2" t="s">
        <v>43</v>
      </c>
      <c r="D5108" s="2" t="s">
        <v>10</v>
      </c>
      <c r="E5108" s="2" t="s">
        <v>41</v>
      </c>
      <c r="F5108" s="2">
        <v>10.199999999999999</v>
      </c>
      <c r="G5108" s="2">
        <v>5</v>
      </c>
      <c r="H5108" s="2">
        <v>4.79</v>
      </c>
      <c r="I5108" t="str">
        <f t="shared" si="79"/>
        <v>Jul</v>
      </c>
      <c r="J5108">
        <f>YEAR(datas[[#This Row],[Order Date]])</f>
        <v>2023</v>
      </c>
    </row>
    <row r="5109" spans="1:10" ht="14.25" customHeight="1" x14ac:dyDescent="0.3">
      <c r="A5109" s="1">
        <v>45123</v>
      </c>
      <c r="B5109" s="2" t="s">
        <v>161</v>
      </c>
      <c r="C5109" s="2" t="s">
        <v>43</v>
      </c>
      <c r="D5109" s="2" t="s">
        <v>10</v>
      </c>
      <c r="E5109" s="2" t="s">
        <v>19</v>
      </c>
      <c r="F5109" s="2">
        <v>22.32</v>
      </c>
      <c r="G5109" s="2">
        <v>3</v>
      </c>
      <c r="H5109" s="2">
        <v>5.58</v>
      </c>
      <c r="I5109" t="str">
        <f t="shared" si="79"/>
        <v>Jul</v>
      </c>
      <c r="J5109">
        <f>YEAR(datas[[#This Row],[Order Date]])</f>
        <v>2023</v>
      </c>
    </row>
    <row r="5110" spans="1:10" ht="14.25" customHeight="1" x14ac:dyDescent="0.3">
      <c r="A5110" s="1">
        <v>45123</v>
      </c>
      <c r="B5110" s="2" t="s">
        <v>161</v>
      </c>
      <c r="C5110" s="2" t="s">
        <v>43</v>
      </c>
      <c r="D5110" s="2" t="s">
        <v>10</v>
      </c>
      <c r="E5110" s="2" t="s">
        <v>16</v>
      </c>
      <c r="F5110" s="2">
        <v>24.1</v>
      </c>
      <c r="G5110" s="2">
        <v>5</v>
      </c>
      <c r="H5110" s="2">
        <v>11.09</v>
      </c>
      <c r="I5110" t="str">
        <f t="shared" si="79"/>
        <v>Jul</v>
      </c>
      <c r="J5110">
        <f>YEAR(datas[[#This Row],[Order Date]])</f>
        <v>2023</v>
      </c>
    </row>
    <row r="5111" spans="1:10" ht="14.25" customHeight="1" x14ac:dyDescent="0.3">
      <c r="A5111" s="1">
        <v>45123</v>
      </c>
      <c r="B5111" s="2" t="s">
        <v>161</v>
      </c>
      <c r="C5111" s="2" t="s">
        <v>43</v>
      </c>
      <c r="D5111" s="2" t="s">
        <v>28</v>
      </c>
      <c r="E5111" s="2" t="s">
        <v>34</v>
      </c>
      <c r="F5111" s="2">
        <v>75.98</v>
      </c>
      <c r="G5111" s="2">
        <v>2</v>
      </c>
      <c r="H5111" s="2">
        <v>18.239999999999998</v>
      </c>
      <c r="I5111" t="str">
        <f t="shared" si="79"/>
        <v>Jul</v>
      </c>
      <c r="J5111">
        <f>YEAR(datas[[#This Row],[Order Date]])</f>
        <v>2023</v>
      </c>
    </row>
    <row r="5112" spans="1:10" ht="14.25" customHeight="1" x14ac:dyDescent="0.3">
      <c r="A5112" s="1">
        <v>45123</v>
      </c>
      <c r="B5112" s="2" t="s">
        <v>161</v>
      </c>
      <c r="C5112" s="2" t="s">
        <v>43</v>
      </c>
      <c r="D5112" s="2" t="s">
        <v>10</v>
      </c>
      <c r="E5112" s="2" t="s">
        <v>16</v>
      </c>
      <c r="F5112" s="2">
        <v>6.46</v>
      </c>
      <c r="G5112" s="2">
        <v>2</v>
      </c>
      <c r="H5112" s="2">
        <v>3.17</v>
      </c>
      <c r="I5112" t="str">
        <f t="shared" si="79"/>
        <v>Jul</v>
      </c>
      <c r="J5112">
        <f>YEAR(datas[[#This Row],[Order Date]])</f>
        <v>2023</v>
      </c>
    </row>
    <row r="5113" spans="1:10" ht="14.25" customHeight="1" x14ac:dyDescent="0.3">
      <c r="A5113" s="1">
        <v>45123</v>
      </c>
      <c r="B5113" s="2" t="s">
        <v>161</v>
      </c>
      <c r="C5113" s="2" t="s">
        <v>43</v>
      </c>
      <c r="D5113" s="2" t="s">
        <v>10</v>
      </c>
      <c r="E5113" s="2" t="s">
        <v>11</v>
      </c>
      <c r="F5113" s="2">
        <v>60.12</v>
      </c>
      <c r="G5113" s="2">
        <v>9</v>
      </c>
      <c r="H5113" s="2">
        <v>28.86</v>
      </c>
      <c r="I5113" t="str">
        <f t="shared" si="79"/>
        <v>Jul</v>
      </c>
      <c r="J5113">
        <f>YEAR(datas[[#This Row],[Order Date]])</f>
        <v>2023</v>
      </c>
    </row>
    <row r="5114" spans="1:10" ht="14.25" customHeight="1" x14ac:dyDescent="0.3">
      <c r="A5114" s="1">
        <v>45124</v>
      </c>
      <c r="B5114" s="2" t="s">
        <v>202</v>
      </c>
      <c r="C5114" s="2" t="s">
        <v>21</v>
      </c>
      <c r="D5114" s="2" t="s">
        <v>10</v>
      </c>
      <c r="E5114" s="2" t="s">
        <v>15</v>
      </c>
      <c r="F5114" s="2">
        <v>77.88</v>
      </c>
      <c r="G5114" s="2">
        <v>2</v>
      </c>
      <c r="H5114" s="2">
        <v>3.89</v>
      </c>
      <c r="I5114" t="str">
        <f t="shared" si="79"/>
        <v>Jul</v>
      </c>
      <c r="J5114">
        <f>YEAR(datas[[#This Row],[Order Date]])</f>
        <v>2023</v>
      </c>
    </row>
    <row r="5115" spans="1:10" ht="14.25" customHeight="1" x14ac:dyDescent="0.3">
      <c r="A5115" s="1">
        <v>45124</v>
      </c>
      <c r="B5115" s="2" t="s">
        <v>279</v>
      </c>
      <c r="C5115" s="2" t="s">
        <v>87</v>
      </c>
      <c r="D5115" s="2" t="s">
        <v>10</v>
      </c>
      <c r="E5115" s="2" t="s">
        <v>53</v>
      </c>
      <c r="F5115" s="2">
        <v>162.63999999999999</v>
      </c>
      <c r="G5115" s="2">
        <v>2</v>
      </c>
      <c r="H5115" s="2">
        <v>45.54</v>
      </c>
      <c r="I5115" t="str">
        <f t="shared" si="79"/>
        <v>Jul</v>
      </c>
      <c r="J5115">
        <f>YEAR(datas[[#This Row],[Order Date]])</f>
        <v>2023</v>
      </c>
    </row>
    <row r="5116" spans="1:10" ht="14.25" customHeight="1" x14ac:dyDescent="0.3">
      <c r="A5116" s="1">
        <v>45124</v>
      </c>
      <c r="B5116" s="2" t="s">
        <v>279</v>
      </c>
      <c r="C5116" s="2" t="s">
        <v>87</v>
      </c>
      <c r="D5116" s="2" t="s">
        <v>28</v>
      </c>
      <c r="E5116" s="2" t="s">
        <v>29</v>
      </c>
      <c r="F5116" s="2">
        <v>597</v>
      </c>
      <c r="G5116" s="2">
        <v>3</v>
      </c>
      <c r="H5116" s="2">
        <v>280.58999999999997</v>
      </c>
      <c r="I5116" t="str">
        <f t="shared" si="79"/>
        <v>Jul</v>
      </c>
      <c r="J5116">
        <f>YEAR(datas[[#This Row],[Order Date]])</f>
        <v>2023</v>
      </c>
    </row>
    <row r="5117" spans="1:10" ht="14.25" customHeight="1" x14ac:dyDescent="0.3">
      <c r="A5117" s="1">
        <v>45124</v>
      </c>
      <c r="B5117" s="2" t="s">
        <v>279</v>
      </c>
      <c r="C5117" s="2" t="s">
        <v>87</v>
      </c>
      <c r="D5117" s="2" t="s">
        <v>10</v>
      </c>
      <c r="E5117" s="2" t="s">
        <v>11</v>
      </c>
      <c r="F5117" s="2">
        <v>55.48</v>
      </c>
      <c r="G5117" s="2">
        <v>1</v>
      </c>
      <c r="H5117" s="2">
        <v>26.63</v>
      </c>
      <c r="I5117" t="str">
        <f t="shared" si="79"/>
        <v>Jul</v>
      </c>
      <c r="J5117">
        <f>YEAR(datas[[#This Row],[Order Date]])</f>
        <v>2023</v>
      </c>
    </row>
    <row r="5118" spans="1:10" ht="14.25" customHeight="1" x14ac:dyDescent="0.3">
      <c r="A5118" s="1">
        <v>45124</v>
      </c>
      <c r="B5118" s="2" t="s">
        <v>247</v>
      </c>
      <c r="C5118" s="2" t="s">
        <v>91</v>
      </c>
      <c r="D5118" s="2" t="s">
        <v>10</v>
      </c>
      <c r="E5118" s="2" t="s">
        <v>11</v>
      </c>
      <c r="F5118" s="2">
        <v>21.93</v>
      </c>
      <c r="G5118" s="2">
        <v>3</v>
      </c>
      <c r="H5118" s="2">
        <v>10.09</v>
      </c>
      <c r="I5118" t="str">
        <f t="shared" si="79"/>
        <v>Jul</v>
      </c>
      <c r="J5118">
        <f>YEAR(datas[[#This Row],[Order Date]])</f>
        <v>2023</v>
      </c>
    </row>
    <row r="5119" spans="1:10" ht="14.25" customHeight="1" x14ac:dyDescent="0.3">
      <c r="A5119" s="1">
        <v>45124</v>
      </c>
      <c r="B5119" s="2" t="s">
        <v>247</v>
      </c>
      <c r="C5119" s="2" t="s">
        <v>91</v>
      </c>
      <c r="D5119" s="2" t="s">
        <v>10</v>
      </c>
      <c r="E5119" s="2" t="s">
        <v>15</v>
      </c>
      <c r="F5119" s="2">
        <v>242.94</v>
      </c>
      <c r="G5119" s="2">
        <v>3</v>
      </c>
      <c r="H5119" s="2">
        <v>4.8600000000000003</v>
      </c>
      <c r="I5119" t="str">
        <f t="shared" si="79"/>
        <v>Jul</v>
      </c>
      <c r="J5119">
        <f>YEAR(datas[[#This Row],[Order Date]])</f>
        <v>2023</v>
      </c>
    </row>
    <row r="5120" spans="1:10" ht="14.25" customHeight="1" x14ac:dyDescent="0.3">
      <c r="A5120" s="1">
        <v>45124</v>
      </c>
      <c r="B5120" s="2" t="s">
        <v>247</v>
      </c>
      <c r="C5120" s="2" t="s">
        <v>91</v>
      </c>
      <c r="D5120" s="2" t="s">
        <v>10</v>
      </c>
      <c r="E5120" s="2" t="s">
        <v>11</v>
      </c>
      <c r="F5120" s="2">
        <v>7.64</v>
      </c>
      <c r="G5120" s="2">
        <v>1</v>
      </c>
      <c r="H5120" s="2">
        <v>3.74</v>
      </c>
      <c r="I5120" t="str">
        <f t="shared" si="79"/>
        <v>Jul</v>
      </c>
      <c r="J5120">
        <f>YEAR(datas[[#This Row],[Order Date]])</f>
        <v>2023</v>
      </c>
    </row>
    <row r="5121" spans="1:10" ht="14.25" customHeight="1" x14ac:dyDescent="0.3">
      <c r="A5121" s="1">
        <v>45124</v>
      </c>
      <c r="B5121" s="2" t="s">
        <v>247</v>
      </c>
      <c r="C5121" s="2" t="s">
        <v>91</v>
      </c>
      <c r="D5121" s="2" t="s">
        <v>10</v>
      </c>
      <c r="E5121" s="2" t="s">
        <v>11</v>
      </c>
      <c r="F5121" s="2">
        <v>51.84</v>
      </c>
      <c r="G5121" s="2">
        <v>8</v>
      </c>
      <c r="H5121" s="2">
        <v>25.4</v>
      </c>
      <c r="I5121" t="str">
        <f t="shared" si="79"/>
        <v>Jul</v>
      </c>
      <c r="J5121">
        <f>YEAR(datas[[#This Row],[Order Date]])</f>
        <v>2023</v>
      </c>
    </row>
    <row r="5122" spans="1:10" ht="14.25" customHeight="1" x14ac:dyDescent="0.3">
      <c r="A5122" s="1">
        <v>45124</v>
      </c>
      <c r="B5122" s="2" t="s">
        <v>247</v>
      </c>
      <c r="C5122" s="2" t="s">
        <v>91</v>
      </c>
      <c r="D5122" s="2" t="s">
        <v>10</v>
      </c>
      <c r="E5122" s="2" t="s">
        <v>15</v>
      </c>
      <c r="F5122" s="2">
        <v>265.17</v>
      </c>
      <c r="G5122" s="2">
        <v>1</v>
      </c>
      <c r="H5122" s="2">
        <v>47.73</v>
      </c>
      <c r="I5122" t="str">
        <f t="shared" si="79"/>
        <v>Jul</v>
      </c>
      <c r="J5122">
        <f>YEAR(datas[[#This Row],[Order Date]])</f>
        <v>2023</v>
      </c>
    </row>
    <row r="5123" spans="1:10" ht="14.25" customHeight="1" x14ac:dyDescent="0.3">
      <c r="A5123" s="1">
        <v>45124</v>
      </c>
      <c r="B5123" s="2" t="s">
        <v>450</v>
      </c>
      <c r="C5123" s="2" t="s">
        <v>82</v>
      </c>
      <c r="D5123" s="2" t="s">
        <v>26</v>
      </c>
      <c r="E5123" s="2" t="s">
        <v>32</v>
      </c>
      <c r="F5123" s="2">
        <v>12.42</v>
      </c>
      <c r="G5123" s="2">
        <v>3</v>
      </c>
      <c r="H5123" s="2">
        <v>4.47</v>
      </c>
      <c r="I5123" t="str">
        <f t="shared" ref="I5123:I5186" si="80">TEXT(A5123,"mmm")</f>
        <v>Jul</v>
      </c>
      <c r="J5123">
        <f>YEAR(datas[[#This Row],[Order Date]])</f>
        <v>2023</v>
      </c>
    </row>
    <row r="5124" spans="1:10" ht="14.25" customHeight="1" x14ac:dyDescent="0.3">
      <c r="A5124" s="1">
        <v>45124</v>
      </c>
      <c r="B5124" s="2" t="s">
        <v>450</v>
      </c>
      <c r="C5124" s="2" t="s">
        <v>82</v>
      </c>
      <c r="D5124" s="2" t="s">
        <v>28</v>
      </c>
      <c r="E5124" s="2" t="s">
        <v>34</v>
      </c>
      <c r="F5124" s="2">
        <v>428.4</v>
      </c>
      <c r="G5124" s="2">
        <v>3</v>
      </c>
      <c r="H5124" s="2">
        <v>89.96</v>
      </c>
      <c r="I5124" t="str">
        <f t="shared" si="80"/>
        <v>Jul</v>
      </c>
      <c r="J5124">
        <f>YEAR(datas[[#This Row],[Order Date]])</f>
        <v>2023</v>
      </c>
    </row>
    <row r="5125" spans="1:10" ht="14.25" customHeight="1" x14ac:dyDescent="0.3">
      <c r="A5125" s="1">
        <v>45124</v>
      </c>
      <c r="B5125" s="2" t="s">
        <v>450</v>
      </c>
      <c r="C5125" s="2" t="s">
        <v>82</v>
      </c>
      <c r="D5125" s="2" t="s">
        <v>26</v>
      </c>
      <c r="E5125" s="2" t="s">
        <v>32</v>
      </c>
      <c r="F5125" s="2">
        <v>24.75</v>
      </c>
      <c r="G5125" s="2">
        <v>5</v>
      </c>
      <c r="H5125" s="2">
        <v>10.89</v>
      </c>
      <c r="I5125" t="str">
        <f t="shared" si="80"/>
        <v>Jul</v>
      </c>
      <c r="J5125">
        <f>YEAR(datas[[#This Row],[Order Date]])</f>
        <v>2023</v>
      </c>
    </row>
    <row r="5126" spans="1:10" ht="14.25" customHeight="1" x14ac:dyDescent="0.3">
      <c r="A5126" s="1">
        <v>45124</v>
      </c>
      <c r="B5126" s="2" t="s">
        <v>450</v>
      </c>
      <c r="C5126" s="2" t="s">
        <v>82</v>
      </c>
      <c r="D5126" s="2" t="s">
        <v>10</v>
      </c>
      <c r="E5126" s="2" t="s">
        <v>14</v>
      </c>
      <c r="F5126" s="2">
        <v>87.71</v>
      </c>
      <c r="G5126" s="2">
        <v>7</v>
      </c>
      <c r="H5126" s="2">
        <v>41.22</v>
      </c>
      <c r="I5126" t="str">
        <f t="shared" si="80"/>
        <v>Jul</v>
      </c>
      <c r="J5126">
        <f>YEAR(datas[[#This Row],[Order Date]])</f>
        <v>2023</v>
      </c>
    </row>
    <row r="5127" spans="1:10" ht="14.25" customHeight="1" x14ac:dyDescent="0.3">
      <c r="A5127" s="1">
        <v>45124</v>
      </c>
      <c r="B5127" s="2" t="s">
        <v>450</v>
      </c>
      <c r="C5127" s="2" t="s">
        <v>82</v>
      </c>
      <c r="D5127" s="2" t="s">
        <v>10</v>
      </c>
      <c r="E5127" s="2" t="s">
        <v>15</v>
      </c>
      <c r="F5127" s="2">
        <v>69.52</v>
      </c>
      <c r="G5127" s="2">
        <v>2</v>
      </c>
      <c r="H5127" s="2">
        <v>17.38</v>
      </c>
      <c r="I5127" t="str">
        <f t="shared" si="80"/>
        <v>Jul</v>
      </c>
      <c r="J5127">
        <f>YEAR(datas[[#This Row],[Order Date]])</f>
        <v>2023</v>
      </c>
    </row>
    <row r="5128" spans="1:10" ht="14.25" customHeight="1" x14ac:dyDescent="0.3">
      <c r="A5128" s="1">
        <v>45124</v>
      </c>
      <c r="B5128" s="2" t="s">
        <v>450</v>
      </c>
      <c r="C5128" s="2" t="s">
        <v>82</v>
      </c>
      <c r="D5128" s="2" t="s">
        <v>28</v>
      </c>
      <c r="E5128" s="2" t="s">
        <v>29</v>
      </c>
      <c r="F5128" s="2">
        <v>20.78</v>
      </c>
      <c r="G5128" s="2">
        <v>2</v>
      </c>
      <c r="H5128" s="2">
        <v>-4.68</v>
      </c>
      <c r="I5128" t="str">
        <f t="shared" si="80"/>
        <v>Jul</v>
      </c>
      <c r="J5128">
        <f>YEAR(datas[[#This Row],[Order Date]])</f>
        <v>2023</v>
      </c>
    </row>
    <row r="5129" spans="1:10" ht="14.25" customHeight="1" x14ac:dyDescent="0.3">
      <c r="A5129" s="1">
        <v>45124</v>
      </c>
      <c r="B5129" s="2" t="s">
        <v>450</v>
      </c>
      <c r="C5129" s="2" t="s">
        <v>82</v>
      </c>
      <c r="D5129" s="2" t="s">
        <v>10</v>
      </c>
      <c r="E5129" s="2" t="s">
        <v>16</v>
      </c>
      <c r="F5129" s="2">
        <v>12.82</v>
      </c>
      <c r="G5129" s="2">
        <v>3</v>
      </c>
      <c r="H5129" s="2">
        <v>4.17</v>
      </c>
      <c r="I5129" t="str">
        <f t="shared" si="80"/>
        <v>Jul</v>
      </c>
      <c r="J5129">
        <f>YEAR(datas[[#This Row],[Order Date]])</f>
        <v>2023</v>
      </c>
    </row>
    <row r="5130" spans="1:10" ht="14.25" customHeight="1" x14ac:dyDescent="0.3">
      <c r="A5130" s="1">
        <v>45124</v>
      </c>
      <c r="B5130" s="2" t="s">
        <v>442</v>
      </c>
      <c r="C5130" s="2" t="s">
        <v>75</v>
      </c>
      <c r="D5130" s="2" t="s">
        <v>10</v>
      </c>
      <c r="E5130" s="2" t="s">
        <v>53</v>
      </c>
      <c r="F5130" s="2">
        <v>45.96</v>
      </c>
      <c r="G5130" s="2">
        <v>2</v>
      </c>
      <c r="H5130" s="2">
        <v>13.79</v>
      </c>
      <c r="I5130" t="str">
        <f t="shared" si="80"/>
        <v>Jul</v>
      </c>
      <c r="J5130">
        <f>YEAR(datas[[#This Row],[Order Date]])</f>
        <v>2023</v>
      </c>
    </row>
    <row r="5131" spans="1:10" ht="14.25" customHeight="1" x14ac:dyDescent="0.3">
      <c r="A5131" s="1">
        <v>45125</v>
      </c>
      <c r="B5131" s="2" t="s">
        <v>709</v>
      </c>
      <c r="C5131" s="2" t="s">
        <v>126</v>
      </c>
      <c r="D5131" s="2" t="s">
        <v>26</v>
      </c>
      <c r="E5131" s="2" t="s">
        <v>27</v>
      </c>
      <c r="F5131" s="2">
        <v>544.01</v>
      </c>
      <c r="G5131" s="2">
        <v>3</v>
      </c>
      <c r="H5131" s="2">
        <v>40.799999999999997</v>
      </c>
      <c r="I5131" t="str">
        <f t="shared" si="80"/>
        <v>Jul</v>
      </c>
      <c r="J5131">
        <f>YEAR(datas[[#This Row],[Order Date]])</f>
        <v>2023</v>
      </c>
    </row>
    <row r="5132" spans="1:10" ht="14.25" customHeight="1" x14ac:dyDescent="0.3">
      <c r="A5132" s="1">
        <v>45125</v>
      </c>
      <c r="B5132" s="2" t="s">
        <v>709</v>
      </c>
      <c r="C5132" s="2" t="s">
        <v>126</v>
      </c>
      <c r="D5132" s="2" t="s">
        <v>10</v>
      </c>
      <c r="E5132" s="2" t="s">
        <v>16</v>
      </c>
      <c r="F5132" s="2">
        <v>1.87</v>
      </c>
      <c r="G5132" s="2">
        <v>3</v>
      </c>
      <c r="H5132" s="2">
        <v>-1.44</v>
      </c>
      <c r="I5132" t="str">
        <f t="shared" si="80"/>
        <v>Jul</v>
      </c>
      <c r="J5132">
        <f>YEAR(datas[[#This Row],[Order Date]])</f>
        <v>2023</v>
      </c>
    </row>
    <row r="5133" spans="1:10" ht="14.25" customHeight="1" x14ac:dyDescent="0.3">
      <c r="A5133" s="1">
        <v>45125</v>
      </c>
      <c r="B5133" s="2" t="s">
        <v>709</v>
      </c>
      <c r="C5133" s="2" t="s">
        <v>126</v>
      </c>
      <c r="D5133" s="2" t="s">
        <v>26</v>
      </c>
      <c r="E5133" s="2" t="s">
        <v>27</v>
      </c>
      <c r="F5133" s="2">
        <v>854.35</v>
      </c>
      <c r="G5133" s="2">
        <v>3</v>
      </c>
      <c r="H5133" s="2">
        <v>10.68</v>
      </c>
      <c r="I5133" t="str">
        <f t="shared" si="80"/>
        <v>Jul</v>
      </c>
      <c r="J5133">
        <f>YEAR(datas[[#This Row],[Order Date]])</f>
        <v>2023</v>
      </c>
    </row>
    <row r="5134" spans="1:10" ht="14.25" customHeight="1" x14ac:dyDescent="0.3">
      <c r="A5134" s="1">
        <v>45125</v>
      </c>
      <c r="B5134" s="2" t="s">
        <v>709</v>
      </c>
      <c r="C5134" s="2" t="s">
        <v>126</v>
      </c>
      <c r="D5134" s="2" t="s">
        <v>10</v>
      </c>
      <c r="E5134" s="2" t="s">
        <v>15</v>
      </c>
      <c r="F5134" s="2">
        <v>593.57000000000005</v>
      </c>
      <c r="G5134" s="2">
        <v>2</v>
      </c>
      <c r="H5134" s="2">
        <v>0</v>
      </c>
      <c r="I5134" t="str">
        <f t="shared" si="80"/>
        <v>Jul</v>
      </c>
      <c r="J5134">
        <f>YEAR(datas[[#This Row],[Order Date]])</f>
        <v>2023</v>
      </c>
    </row>
    <row r="5135" spans="1:10" ht="14.25" customHeight="1" x14ac:dyDescent="0.3">
      <c r="A5135" s="1">
        <v>45125</v>
      </c>
      <c r="B5135" s="2" t="s">
        <v>709</v>
      </c>
      <c r="C5135" s="2" t="s">
        <v>126</v>
      </c>
      <c r="D5135" s="2" t="s">
        <v>10</v>
      </c>
      <c r="E5135" s="2" t="s">
        <v>15</v>
      </c>
      <c r="F5135" s="2">
        <v>338.04</v>
      </c>
      <c r="G5135" s="2">
        <v>3</v>
      </c>
      <c r="H5135" s="2">
        <v>-33.799999999999997</v>
      </c>
      <c r="I5135" t="str">
        <f t="shared" si="80"/>
        <v>Jul</v>
      </c>
      <c r="J5135">
        <f>YEAR(datas[[#This Row],[Order Date]])</f>
        <v>2023</v>
      </c>
    </row>
    <row r="5136" spans="1:10" ht="14.25" customHeight="1" x14ac:dyDescent="0.3">
      <c r="A5136" s="1">
        <v>45125</v>
      </c>
      <c r="B5136" s="2" t="s">
        <v>180</v>
      </c>
      <c r="C5136" s="2" t="s">
        <v>25</v>
      </c>
      <c r="D5136" s="2" t="s">
        <v>26</v>
      </c>
      <c r="E5136" s="2" t="s">
        <v>27</v>
      </c>
      <c r="F5136" s="2">
        <v>140.81</v>
      </c>
      <c r="G5136" s="2">
        <v>1</v>
      </c>
      <c r="H5136" s="2">
        <v>39.43</v>
      </c>
      <c r="I5136" t="str">
        <f t="shared" si="80"/>
        <v>Jul</v>
      </c>
      <c r="J5136">
        <f>YEAR(datas[[#This Row],[Order Date]])</f>
        <v>2023</v>
      </c>
    </row>
    <row r="5137" spans="1:10" ht="14.25" customHeight="1" x14ac:dyDescent="0.3">
      <c r="A5137" s="1">
        <v>45125</v>
      </c>
      <c r="B5137" s="2" t="s">
        <v>429</v>
      </c>
      <c r="C5137" s="2" t="s">
        <v>55</v>
      </c>
      <c r="D5137" s="2" t="s">
        <v>10</v>
      </c>
      <c r="E5137" s="2" t="s">
        <v>95</v>
      </c>
      <c r="F5137" s="2">
        <v>33.799999999999997</v>
      </c>
      <c r="G5137" s="2">
        <v>5</v>
      </c>
      <c r="H5137" s="2">
        <v>4.2300000000000004</v>
      </c>
      <c r="I5137" t="str">
        <f t="shared" si="80"/>
        <v>Jul</v>
      </c>
      <c r="J5137">
        <f>YEAR(datas[[#This Row],[Order Date]])</f>
        <v>2023</v>
      </c>
    </row>
    <row r="5138" spans="1:10" ht="14.25" customHeight="1" x14ac:dyDescent="0.3">
      <c r="A5138" s="1">
        <v>45125</v>
      </c>
      <c r="B5138" s="2" t="s">
        <v>817</v>
      </c>
      <c r="C5138" s="2" t="s">
        <v>9</v>
      </c>
      <c r="D5138" s="2" t="s">
        <v>28</v>
      </c>
      <c r="E5138" s="2" t="s">
        <v>34</v>
      </c>
      <c r="F5138" s="2">
        <v>15.58</v>
      </c>
      <c r="G5138" s="2">
        <v>3</v>
      </c>
      <c r="H5138" s="2">
        <v>3.31</v>
      </c>
      <c r="I5138" t="str">
        <f t="shared" si="80"/>
        <v>Jul</v>
      </c>
      <c r="J5138">
        <f>YEAR(datas[[#This Row],[Order Date]])</f>
        <v>2023</v>
      </c>
    </row>
    <row r="5139" spans="1:10" ht="14.25" customHeight="1" x14ac:dyDescent="0.3">
      <c r="A5139" s="1">
        <v>45125</v>
      </c>
      <c r="B5139" s="2" t="s">
        <v>680</v>
      </c>
      <c r="C5139" s="2" t="s">
        <v>55</v>
      </c>
      <c r="D5139" s="2" t="s">
        <v>28</v>
      </c>
      <c r="E5139" s="2" t="s">
        <v>29</v>
      </c>
      <c r="F5139" s="2">
        <v>55.99</v>
      </c>
      <c r="G5139" s="2">
        <v>1</v>
      </c>
      <c r="H5139" s="2">
        <v>3.5</v>
      </c>
      <c r="I5139" t="str">
        <f t="shared" si="80"/>
        <v>Jul</v>
      </c>
      <c r="J5139">
        <f>YEAR(datas[[#This Row],[Order Date]])</f>
        <v>2023</v>
      </c>
    </row>
    <row r="5140" spans="1:10" ht="14.25" customHeight="1" x14ac:dyDescent="0.3">
      <c r="A5140" s="1">
        <v>45125</v>
      </c>
      <c r="B5140" s="2" t="s">
        <v>719</v>
      </c>
      <c r="C5140" s="2" t="s">
        <v>18</v>
      </c>
      <c r="D5140" s="2" t="s">
        <v>10</v>
      </c>
      <c r="E5140" s="2" t="s">
        <v>19</v>
      </c>
      <c r="F5140" s="2">
        <v>11.26</v>
      </c>
      <c r="G5140" s="2">
        <v>8</v>
      </c>
      <c r="H5140" s="2">
        <v>1.27</v>
      </c>
      <c r="I5140" t="str">
        <f t="shared" si="80"/>
        <v>Jul</v>
      </c>
      <c r="J5140">
        <f>YEAR(datas[[#This Row],[Order Date]])</f>
        <v>2023</v>
      </c>
    </row>
    <row r="5141" spans="1:10" ht="14.25" customHeight="1" x14ac:dyDescent="0.3">
      <c r="A5141" s="1">
        <v>45125</v>
      </c>
      <c r="B5141" s="2" t="s">
        <v>719</v>
      </c>
      <c r="C5141" s="2" t="s">
        <v>18</v>
      </c>
      <c r="D5141" s="2" t="s">
        <v>10</v>
      </c>
      <c r="E5141" s="2" t="s">
        <v>15</v>
      </c>
      <c r="F5141" s="2">
        <v>284.08</v>
      </c>
      <c r="G5141" s="2">
        <v>10</v>
      </c>
      <c r="H5141" s="2">
        <v>24.86</v>
      </c>
      <c r="I5141" t="str">
        <f t="shared" si="80"/>
        <v>Jul</v>
      </c>
      <c r="J5141">
        <f>YEAR(datas[[#This Row],[Order Date]])</f>
        <v>2023</v>
      </c>
    </row>
    <row r="5142" spans="1:10" ht="14.25" customHeight="1" x14ac:dyDescent="0.3">
      <c r="A5142" s="1">
        <v>45125</v>
      </c>
      <c r="B5142" s="2" t="s">
        <v>719</v>
      </c>
      <c r="C5142" s="2" t="s">
        <v>18</v>
      </c>
      <c r="D5142" s="2" t="s">
        <v>10</v>
      </c>
      <c r="E5142" s="2" t="s">
        <v>11</v>
      </c>
      <c r="F5142" s="2">
        <v>18.5</v>
      </c>
      <c r="G5142" s="2">
        <v>4</v>
      </c>
      <c r="H5142" s="2">
        <v>6.7</v>
      </c>
      <c r="I5142" t="str">
        <f t="shared" si="80"/>
        <v>Jul</v>
      </c>
      <c r="J5142">
        <f>YEAR(datas[[#This Row],[Order Date]])</f>
        <v>2023</v>
      </c>
    </row>
    <row r="5143" spans="1:10" ht="14.25" customHeight="1" x14ac:dyDescent="0.3">
      <c r="A5143" s="1">
        <v>45126</v>
      </c>
      <c r="B5143" s="2" t="s">
        <v>106</v>
      </c>
      <c r="C5143" s="2" t="s">
        <v>143</v>
      </c>
      <c r="D5143" s="2" t="s">
        <v>26</v>
      </c>
      <c r="E5143" s="2" t="s">
        <v>32</v>
      </c>
      <c r="F5143" s="2">
        <v>185.58</v>
      </c>
      <c r="G5143" s="2">
        <v>6</v>
      </c>
      <c r="H5143" s="2">
        <v>76.09</v>
      </c>
      <c r="I5143" t="str">
        <f t="shared" si="80"/>
        <v>Jul</v>
      </c>
      <c r="J5143">
        <f>YEAR(datas[[#This Row],[Order Date]])</f>
        <v>2023</v>
      </c>
    </row>
    <row r="5144" spans="1:10" ht="14.25" customHeight="1" x14ac:dyDescent="0.3">
      <c r="A5144" s="1">
        <v>45126</v>
      </c>
      <c r="B5144" s="2" t="s">
        <v>106</v>
      </c>
      <c r="C5144" s="2" t="s">
        <v>143</v>
      </c>
      <c r="D5144" s="2" t="s">
        <v>10</v>
      </c>
      <c r="E5144" s="2" t="s">
        <v>16</v>
      </c>
      <c r="F5144" s="2">
        <v>77.56</v>
      </c>
      <c r="G5144" s="2">
        <v>2</v>
      </c>
      <c r="H5144" s="2">
        <v>35.68</v>
      </c>
      <c r="I5144" t="str">
        <f t="shared" si="80"/>
        <v>Jul</v>
      </c>
      <c r="J5144">
        <f>YEAR(datas[[#This Row],[Order Date]])</f>
        <v>2023</v>
      </c>
    </row>
    <row r="5145" spans="1:10" ht="14.25" customHeight="1" x14ac:dyDescent="0.3">
      <c r="A5145" s="1">
        <v>45126</v>
      </c>
      <c r="B5145" s="2" t="s">
        <v>106</v>
      </c>
      <c r="C5145" s="2" t="s">
        <v>143</v>
      </c>
      <c r="D5145" s="2" t="s">
        <v>10</v>
      </c>
      <c r="E5145" s="2" t="s">
        <v>15</v>
      </c>
      <c r="F5145" s="2">
        <v>87.92</v>
      </c>
      <c r="G5145" s="2">
        <v>4</v>
      </c>
      <c r="H5145" s="2">
        <v>0.88</v>
      </c>
      <c r="I5145" t="str">
        <f t="shared" si="80"/>
        <v>Jul</v>
      </c>
      <c r="J5145">
        <f>YEAR(datas[[#This Row],[Order Date]])</f>
        <v>2023</v>
      </c>
    </row>
    <row r="5146" spans="1:10" ht="14.25" customHeight="1" x14ac:dyDescent="0.3">
      <c r="A5146" s="1">
        <v>45126</v>
      </c>
      <c r="B5146" s="2" t="s">
        <v>106</v>
      </c>
      <c r="C5146" s="2" t="s">
        <v>143</v>
      </c>
      <c r="D5146" s="2" t="s">
        <v>10</v>
      </c>
      <c r="E5146" s="2" t="s">
        <v>11</v>
      </c>
      <c r="F5146" s="2">
        <v>245.94</v>
      </c>
      <c r="G5146" s="2">
        <v>6</v>
      </c>
      <c r="H5146" s="2">
        <v>120.51</v>
      </c>
      <c r="I5146" t="str">
        <f t="shared" si="80"/>
        <v>Jul</v>
      </c>
      <c r="J5146">
        <f>YEAR(datas[[#This Row],[Order Date]])</f>
        <v>2023</v>
      </c>
    </row>
    <row r="5147" spans="1:10" ht="14.25" customHeight="1" x14ac:dyDescent="0.3">
      <c r="A5147" s="1">
        <v>45126</v>
      </c>
      <c r="B5147" s="2" t="s">
        <v>106</v>
      </c>
      <c r="C5147" s="2" t="s">
        <v>143</v>
      </c>
      <c r="D5147" s="2" t="s">
        <v>10</v>
      </c>
      <c r="E5147" s="2" t="s">
        <v>16</v>
      </c>
      <c r="F5147" s="2">
        <v>8.6</v>
      </c>
      <c r="G5147" s="2">
        <v>1</v>
      </c>
      <c r="H5147" s="2">
        <v>4.04</v>
      </c>
      <c r="I5147" t="str">
        <f t="shared" si="80"/>
        <v>Jul</v>
      </c>
      <c r="J5147">
        <f>YEAR(datas[[#This Row],[Order Date]])</f>
        <v>2023</v>
      </c>
    </row>
    <row r="5148" spans="1:10" ht="14.25" customHeight="1" x14ac:dyDescent="0.3">
      <c r="A5148" s="1">
        <v>45126</v>
      </c>
      <c r="B5148" s="2" t="s">
        <v>106</v>
      </c>
      <c r="C5148" s="2" t="s">
        <v>143</v>
      </c>
      <c r="D5148" s="2" t="s">
        <v>26</v>
      </c>
      <c r="E5148" s="2" t="s">
        <v>45</v>
      </c>
      <c r="F5148" s="2">
        <v>504.9</v>
      </c>
      <c r="G5148" s="2">
        <v>5</v>
      </c>
      <c r="H5148" s="2">
        <v>126.23</v>
      </c>
      <c r="I5148" t="str">
        <f t="shared" si="80"/>
        <v>Jul</v>
      </c>
      <c r="J5148">
        <f>YEAR(datas[[#This Row],[Order Date]])</f>
        <v>2023</v>
      </c>
    </row>
    <row r="5149" spans="1:10" ht="14.25" customHeight="1" x14ac:dyDescent="0.3">
      <c r="A5149" s="1">
        <v>45126</v>
      </c>
      <c r="B5149" s="2" t="s">
        <v>564</v>
      </c>
      <c r="C5149" s="2" t="s">
        <v>21</v>
      </c>
      <c r="D5149" s="2" t="s">
        <v>28</v>
      </c>
      <c r="E5149" s="2" t="s">
        <v>29</v>
      </c>
      <c r="F5149" s="2">
        <v>35.979999999999997</v>
      </c>
      <c r="G5149" s="2">
        <v>2</v>
      </c>
      <c r="H5149" s="2">
        <v>4.5</v>
      </c>
      <c r="I5149" t="str">
        <f t="shared" si="80"/>
        <v>Jul</v>
      </c>
      <c r="J5149">
        <f>YEAR(datas[[#This Row],[Order Date]])</f>
        <v>2023</v>
      </c>
    </row>
    <row r="5150" spans="1:10" ht="14.25" customHeight="1" x14ac:dyDescent="0.3">
      <c r="A5150" s="1">
        <v>45126</v>
      </c>
      <c r="B5150" s="2" t="s">
        <v>564</v>
      </c>
      <c r="C5150" s="2" t="s">
        <v>21</v>
      </c>
      <c r="D5150" s="2" t="s">
        <v>28</v>
      </c>
      <c r="E5150" s="2" t="s">
        <v>34</v>
      </c>
      <c r="F5150" s="2">
        <v>389.97</v>
      </c>
      <c r="G5150" s="2">
        <v>3</v>
      </c>
      <c r="H5150" s="2">
        <v>132.59</v>
      </c>
      <c r="I5150" t="str">
        <f t="shared" si="80"/>
        <v>Jul</v>
      </c>
      <c r="J5150">
        <f>YEAR(datas[[#This Row],[Order Date]])</f>
        <v>2023</v>
      </c>
    </row>
    <row r="5151" spans="1:10" ht="14.25" customHeight="1" x14ac:dyDescent="0.3">
      <c r="A5151" s="1">
        <v>45127</v>
      </c>
      <c r="B5151" s="2" t="s">
        <v>197</v>
      </c>
      <c r="C5151" s="2" t="s">
        <v>75</v>
      </c>
      <c r="D5151" s="2" t="s">
        <v>28</v>
      </c>
      <c r="E5151" s="2" t="s">
        <v>29</v>
      </c>
      <c r="F5151" s="2">
        <v>89.95</v>
      </c>
      <c r="G5151" s="2">
        <v>5</v>
      </c>
      <c r="H5151" s="2">
        <v>43.18</v>
      </c>
      <c r="I5151" t="str">
        <f t="shared" si="80"/>
        <v>Jul</v>
      </c>
      <c r="J5151">
        <f>YEAR(datas[[#This Row],[Order Date]])</f>
        <v>2023</v>
      </c>
    </row>
    <row r="5152" spans="1:10" ht="14.25" customHeight="1" x14ac:dyDescent="0.3">
      <c r="A5152" s="1">
        <v>45128</v>
      </c>
      <c r="B5152" s="2" t="s">
        <v>439</v>
      </c>
      <c r="C5152" s="2" t="s">
        <v>18</v>
      </c>
      <c r="D5152" s="2" t="s">
        <v>10</v>
      </c>
      <c r="E5152" s="2" t="s">
        <v>16</v>
      </c>
      <c r="F5152" s="2">
        <v>1.94</v>
      </c>
      <c r="G5152" s="2">
        <v>1</v>
      </c>
      <c r="H5152" s="2">
        <v>-1.29</v>
      </c>
      <c r="I5152" t="str">
        <f t="shared" si="80"/>
        <v>Jul</v>
      </c>
      <c r="J5152">
        <f>YEAR(datas[[#This Row],[Order Date]])</f>
        <v>2023</v>
      </c>
    </row>
    <row r="5153" spans="1:10" ht="14.25" customHeight="1" x14ac:dyDescent="0.3">
      <c r="A5153" s="1">
        <v>45128</v>
      </c>
      <c r="B5153" s="2" t="s">
        <v>813</v>
      </c>
      <c r="C5153" s="2" t="s">
        <v>47</v>
      </c>
      <c r="D5153" s="2" t="s">
        <v>10</v>
      </c>
      <c r="E5153" s="2" t="s">
        <v>19</v>
      </c>
      <c r="F5153" s="2">
        <v>18.66</v>
      </c>
      <c r="G5153" s="2">
        <v>2</v>
      </c>
      <c r="H5153" s="2">
        <v>1.4</v>
      </c>
      <c r="I5153" t="str">
        <f t="shared" si="80"/>
        <v>Jul</v>
      </c>
      <c r="J5153">
        <f>YEAR(datas[[#This Row],[Order Date]])</f>
        <v>2023</v>
      </c>
    </row>
    <row r="5154" spans="1:10" ht="14.25" customHeight="1" x14ac:dyDescent="0.3">
      <c r="A5154" s="1">
        <v>45128</v>
      </c>
      <c r="B5154" s="2" t="s">
        <v>813</v>
      </c>
      <c r="C5154" s="2" t="s">
        <v>47</v>
      </c>
      <c r="D5154" s="2" t="s">
        <v>10</v>
      </c>
      <c r="E5154" s="2" t="s">
        <v>16</v>
      </c>
      <c r="F5154" s="2">
        <v>11.09</v>
      </c>
      <c r="G5154" s="2">
        <v>7</v>
      </c>
      <c r="H5154" s="2">
        <v>-8.1300000000000008</v>
      </c>
      <c r="I5154" t="str">
        <f t="shared" si="80"/>
        <v>Jul</v>
      </c>
      <c r="J5154">
        <f>YEAR(datas[[#This Row],[Order Date]])</f>
        <v>2023</v>
      </c>
    </row>
    <row r="5155" spans="1:10" ht="14.25" customHeight="1" x14ac:dyDescent="0.3">
      <c r="A5155" s="1">
        <v>45128</v>
      </c>
      <c r="B5155" s="2" t="s">
        <v>813</v>
      </c>
      <c r="C5155" s="2" t="s">
        <v>47</v>
      </c>
      <c r="D5155" s="2" t="s">
        <v>10</v>
      </c>
      <c r="E5155" s="2" t="s">
        <v>15</v>
      </c>
      <c r="F5155" s="2">
        <v>66.69</v>
      </c>
      <c r="G5155" s="2">
        <v>1</v>
      </c>
      <c r="H5155" s="2">
        <v>4.17</v>
      </c>
      <c r="I5155" t="str">
        <f t="shared" si="80"/>
        <v>Jul</v>
      </c>
      <c r="J5155">
        <f>YEAR(datas[[#This Row],[Order Date]])</f>
        <v>2023</v>
      </c>
    </row>
    <row r="5156" spans="1:10" ht="14.25" customHeight="1" x14ac:dyDescent="0.3">
      <c r="A5156" s="1">
        <v>45128</v>
      </c>
      <c r="B5156" s="2" t="s">
        <v>813</v>
      </c>
      <c r="C5156" s="2" t="s">
        <v>47</v>
      </c>
      <c r="D5156" s="2" t="s">
        <v>10</v>
      </c>
      <c r="E5156" s="2" t="s">
        <v>15</v>
      </c>
      <c r="F5156" s="2">
        <v>99.49</v>
      </c>
      <c r="G5156" s="2">
        <v>2</v>
      </c>
      <c r="H5156" s="2">
        <v>8.7100000000000009</v>
      </c>
      <c r="I5156" t="str">
        <f t="shared" si="80"/>
        <v>Jul</v>
      </c>
      <c r="J5156">
        <f>YEAR(datas[[#This Row],[Order Date]])</f>
        <v>2023</v>
      </c>
    </row>
    <row r="5157" spans="1:10" ht="14.25" customHeight="1" x14ac:dyDescent="0.3">
      <c r="A5157" s="1">
        <v>45128</v>
      </c>
      <c r="B5157" s="2" t="s">
        <v>514</v>
      </c>
      <c r="C5157" s="2" t="s">
        <v>115</v>
      </c>
      <c r="D5157" s="2" t="s">
        <v>10</v>
      </c>
      <c r="E5157" s="2" t="s">
        <v>14</v>
      </c>
      <c r="F5157" s="2">
        <v>6.26</v>
      </c>
      <c r="G5157" s="2">
        <v>3</v>
      </c>
      <c r="H5157" s="2">
        <v>2.04</v>
      </c>
      <c r="I5157" t="str">
        <f t="shared" si="80"/>
        <v>Jul</v>
      </c>
      <c r="J5157">
        <f>YEAR(datas[[#This Row],[Order Date]])</f>
        <v>2023</v>
      </c>
    </row>
    <row r="5158" spans="1:10" ht="14.25" customHeight="1" x14ac:dyDescent="0.3">
      <c r="A5158" s="1">
        <v>45128</v>
      </c>
      <c r="B5158" s="2" t="s">
        <v>514</v>
      </c>
      <c r="C5158" s="2" t="s">
        <v>115</v>
      </c>
      <c r="D5158" s="2" t="s">
        <v>26</v>
      </c>
      <c r="E5158" s="2" t="s">
        <v>27</v>
      </c>
      <c r="F5158" s="2">
        <v>363.92</v>
      </c>
      <c r="G5158" s="2">
        <v>5</v>
      </c>
      <c r="H5158" s="2">
        <v>0</v>
      </c>
      <c r="I5158" t="str">
        <f t="shared" si="80"/>
        <v>Jul</v>
      </c>
      <c r="J5158">
        <f>YEAR(datas[[#This Row],[Order Date]])</f>
        <v>2023</v>
      </c>
    </row>
    <row r="5159" spans="1:10" ht="14.25" customHeight="1" x14ac:dyDescent="0.3">
      <c r="A5159" s="1">
        <v>45128</v>
      </c>
      <c r="B5159" s="2" t="s">
        <v>162</v>
      </c>
      <c r="C5159" s="2" t="s">
        <v>21</v>
      </c>
      <c r="D5159" s="2" t="s">
        <v>10</v>
      </c>
      <c r="E5159" s="2" t="s">
        <v>41</v>
      </c>
      <c r="F5159" s="2">
        <v>419.9</v>
      </c>
      <c r="G5159" s="2">
        <v>5</v>
      </c>
      <c r="H5159" s="2">
        <v>197.35</v>
      </c>
      <c r="I5159" t="str">
        <f t="shared" si="80"/>
        <v>Jul</v>
      </c>
      <c r="J5159">
        <f>YEAR(datas[[#This Row],[Order Date]])</f>
        <v>2023</v>
      </c>
    </row>
    <row r="5160" spans="1:10" ht="14.25" customHeight="1" x14ac:dyDescent="0.3">
      <c r="A5160" s="1">
        <v>45128</v>
      </c>
      <c r="B5160" s="2" t="s">
        <v>162</v>
      </c>
      <c r="C5160" s="2" t="s">
        <v>21</v>
      </c>
      <c r="D5160" s="2" t="s">
        <v>10</v>
      </c>
      <c r="E5160" s="2" t="s">
        <v>14</v>
      </c>
      <c r="F5160" s="2">
        <v>3.15</v>
      </c>
      <c r="G5160" s="2">
        <v>1</v>
      </c>
      <c r="H5160" s="2">
        <v>1.51</v>
      </c>
      <c r="I5160" t="str">
        <f t="shared" si="80"/>
        <v>Jul</v>
      </c>
      <c r="J5160">
        <f>YEAR(datas[[#This Row],[Order Date]])</f>
        <v>2023</v>
      </c>
    </row>
    <row r="5161" spans="1:10" ht="14.25" customHeight="1" x14ac:dyDescent="0.3">
      <c r="A5161" s="1">
        <v>45129</v>
      </c>
      <c r="B5161" s="2" t="s">
        <v>803</v>
      </c>
      <c r="C5161" s="2" t="s">
        <v>21</v>
      </c>
      <c r="D5161" s="2" t="s">
        <v>10</v>
      </c>
      <c r="E5161" s="2" t="s">
        <v>14</v>
      </c>
      <c r="F5161" s="2">
        <v>6.3</v>
      </c>
      <c r="G5161" s="2">
        <v>2</v>
      </c>
      <c r="H5161" s="2">
        <v>3.02</v>
      </c>
      <c r="I5161" t="str">
        <f t="shared" si="80"/>
        <v>Jul</v>
      </c>
      <c r="J5161">
        <f>YEAR(datas[[#This Row],[Order Date]])</f>
        <v>2023</v>
      </c>
    </row>
    <row r="5162" spans="1:10" ht="14.25" customHeight="1" x14ac:dyDescent="0.3">
      <c r="A5162" s="1">
        <v>45129</v>
      </c>
      <c r="B5162" s="2" t="s">
        <v>814</v>
      </c>
      <c r="C5162" s="2" t="s">
        <v>18</v>
      </c>
      <c r="D5162" s="2" t="s">
        <v>10</v>
      </c>
      <c r="E5162" s="2" t="s">
        <v>19</v>
      </c>
      <c r="F5162" s="2">
        <v>4.16</v>
      </c>
      <c r="G5162" s="2">
        <v>2</v>
      </c>
      <c r="H5162" s="2">
        <v>0.36</v>
      </c>
      <c r="I5162" t="str">
        <f t="shared" si="80"/>
        <v>Jul</v>
      </c>
      <c r="J5162">
        <f>YEAR(datas[[#This Row],[Order Date]])</f>
        <v>2023</v>
      </c>
    </row>
    <row r="5163" spans="1:10" ht="14.25" customHeight="1" x14ac:dyDescent="0.3">
      <c r="A5163" s="1">
        <v>45129</v>
      </c>
      <c r="B5163" s="2" t="s">
        <v>814</v>
      </c>
      <c r="C5163" s="2" t="s">
        <v>18</v>
      </c>
      <c r="D5163" s="2" t="s">
        <v>26</v>
      </c>
      <c r="E5163" s="2" t="s">
        <v>32</v>
      </c>
      <c r="F5163" s="2">
        <v>11.65</v>
      </c>
      <c r="G5163" s="2">
        <v>2</v>
      </c>
      <c r="H5163" s="2">
        <v>3.35</v>
      </c>
      <c r="I5163" t="str">
        <f t="shared" si="80"/>
        <v>Jul</v>
      </c>
      <c r="J5163">
        <f>YEAR(datas[[#This Row],[Order Date]])</f>
        <v>2023</v>
      </c>
    </row>
    <row r="5164" spans="1:10" ht="14.25" customHeight="1" x14ac:dyDescent="0.3">
      <c r="A5164" s="1">
        <v>45129</v>
      </c>
      <c r="B5164" s="2" t="s">
        <v>450</v>
      </c>
      <c r="C5164" s="2" t="s">
        <v>60</v>
      </c>
      <c r="D5164" s="2" t="s">
        <v>28</v>
      </c>
      <c r="E5164" s="2" t="s">
        <v>34</v>
      </c>
      <c r="F5164" s="2">
        <v>109.95</v>
      </c>
      <c r="G5164" s="2">
        <v>1</v>
      </c>
      <c r="H5164" s="2">
        <v>36.28</v>
      </c>
      <c r="I5164" t="str">
        <f t="shared" si="80"/>
        <v>Jul</v>
      </c>
      <c r="J5164">
        <f>YEAR(datas[[#This Row],[Order Date]])</f>
        <v>2023</v>
      </c>
    </row>
    <row r="5165" spans="1:10" ht="14.25" customHeight="1" x14ac:dyDescent="0.3">
      <c r="A5165" s="1">
        <v>45129</v>
      </c>
      <c r="B5165" s="2" t="s">
        <v>450</v>
      </c>
      <c r="C5165" s="2" t="s">
        <v>60</v>
      </c>
      <c r="D5165" s="2" t="s">
        <v>10</v>
      </c>
      <c r="E5165" s="2" t="s">
        <v>15</v>
      </c>
      <c r="F5165" s="2">
        <v>965.85</v>
      </c>
      <c r="G5165" s="2">
        <v>5</v>
      </c>
      <c r="H5165" s="2">
        <v>135.22</v>
      </c>
      <c r="I5165" t="str">
        <f t="shared" si="80"/>
        <v>Jul</v>
      </c>
      <c r="J5165">
        <f>YEAR(datas[[#This Row],[Order Date]])</f>
        <v>2023</v>
      </c>
    </row>
    <row r="5166" spans="1:10" ht="14.25" customHeight="1" x14ac:dyDescent="0.3">
      <c r="A5166" s="1">
        <v>45129</v>
      </c>
      <c r="B5166" s="2" t="s">
        <v>450</v>
      </c>
      <c r="C5166" s="2" t="s">
        <v>60</v>
      </c>
      <c r="D5166" s="2" t="s">
        <v>10</v>
      </c>
      <c r="E5166" s="2" t="s">
        <v>19</v>
      </c>
      <c r="F5166" s="2">
        <v>29.2</v>
      </c>
      <c r="G5166" s="2">
        <v>5</v>
      </c>
      <c r="H5166" s="2">
        <v>10.51</v>
      </c>
      <c r="I5166" t="str">
        <f t="shared" si="80"/>
        <v>Jul</v>
      </c>
      <c r="J5166">
        <f>YEAR(datas[[#This Row],[Order Date]])</f>
        <v>2023</v>
      </c>
    </row>
    <row r="5167" spans="1:10" ht="14.25" customHeight="1" x14ac:dyDescent="0.3">
      <c r="A5167" s="1">
        <v>45129</v>
      </c>
      <c r="B5167" s="2" t="s">
        <v>450</v>
      </c>
      <c r="C5167" s="2" t="s">
        <v>60</v>
      </c>
      <c r="D5167" s="2" t="s">
        <v>10</v>
      </c>
      <c r="E5167" s="2" t="s">
        <v>11</v>
      </c>
      <c r="F5167" s="2">
        <v>32.4</v>
      </c>
      <c r="G5167" s="2">
        <v>5</v>
      </c>
      <c r="H5167" s="2">
        <v>15.55</v>
      </c>
      <c r="I5167" t="str">
        <f t="shared" si="80"/>
        <v>Jul</v>
      </c>
      <c r="J5167">
        <f>YEAR(datas[[#This Row],[Order Date]])</f>
        <v>2023</v>
      </c>
    </row>
    <row r="5168" spans="1:10" ht="14.25" customHeight="1" x14ac:dyDescent="0.3">
      <c r="A5168" s="1">
        <v>45129</v>
      </c>
      <c r="B5168" s="2" t="s">
        <v>112</v>
      </c>
      <c r="C5168" s="2" t="s">
        <v>66</v>
      </c>
      <c r="D5168" s="2" t="s">
        <v>10</v>
      </c>
      <c r="E5168" s="2" t="s">
        <v>95</v>
      </c>
      <c r="F5168" s="2">
        <v>86.2</v>
      </c>
      <c r="G5168" s="2">
        <v>5</v>
      </c>
      <c r="H5168" s="2">
        <v>25</v>
      </c>
      <c r="I5168" t="str">
        <f t="shared" si="80"/>
        <v>Jul</v>
      </c>
      <c r="J5168">
        <f>YEAR(datas[[#This Row],[Order Date]])</f>
        <v>2023</v>
      </c>
    </row>
    <row r="5169" spans="1:10" ht="14.25" customHeight="1" x14ac:dyDescent="0.3">
      <c r="A5169" s="1">
        <v>45129</v>
      </c>
      <c r="B5169" s="2" t="s">
        <v>663</v>
      </c>
      <c r="C5169" s="2" t="s">
        <v>215</v>
      </c>
      <c r="D5169" s="2" t="s">
        <v>10</v>
      </c>
      <c r="E5169" s="2" t="s">
        <v>53</v>
      </c>
      <c r="F5169" s="2">
        <v>37.68</v>
      </c>
      <c r="G5169" s="2">
        <v>2</v>
      </c>
      <c r="H5169" s="2">
        <v>10.55</v>
      </c>
      <c r="I5169" t="str">
        <f t="shared" si="80"/>
        <v>Jul</v>
      </c>
      <c r="J5169">
        <f>YEAR(datas[[#This Row],[Order Date]])</f>
        <v>2023</v>
      </c>
    </row>
    <row r="5170" spans="1:10" ht="14.25" customHeight="1" x14ac:dyDescent="0.3">
      <c r="A5170" s="1">
        <v>45129</v>
      </c>
      <c r="B5170" s="2" t="s">
        <v>663</v>
      </c>
      <c r="C5170" s="2" t="s">
        <v>215</v>
      </c>
      <c r="D5170" s="2" t="s">
        <v>10</v>
      </c>
      <c r="E5170" s="2" t="s">
        <v>11</v>
      </c>
      <c r="F5170" s="2">
        <v>51.84</v>
      </c>
      <c r="G5170" s="2">
        <v>8</v>
      </c>
      <c r="H5170" s="2">
        <v>24.88</v>
      </c>
      <c r="I5170" t="str">
        <f t="shared" si="80"/>
        <v>Jul</v>
      </c>
      <c r="J5170">
        <f>YEAR(datas[[#This Row],[Order Date]])</f>
        <v>2023</v>
      </c>
    </row>
    <row r="5171" spans="1:10" ht="14.25" customHeight="1" x14ac:dyDescent="0.3">
      <c r="A5171" s="1">
        <v>45129</v>
      </c>
      <c r="B5171" s="2" t="s">
        <v>663</v>
      </c>
      <c r="C5171" s="2" t="s">
        <v>215</v>
      </c>
      <c r="D5171" s="2" t="s">
        <v>26</v>
      </c>
      <c r="E5171" s="2" t="s">
        <v>32</v>
      </c>
      <c r="F5171" s="2">
        <v>27.42</v>
      </c>
      <c r="G5171" s="2">
        <v>3</v>
      </c>
      <c r="H5171" s="2">
        <v>9.32</v>
      </c>
      <c r="I5171" t="str">
        <f t="shared" si="80"/>
        <v>Jul</v>
      </c>
      <c r="J5171">
        <f>YEAR(datas[[#This Row],[Order Date]])</f>
        <v>2023</v>
      </c>
    </row>
    <row r="5172" spans="1:10" ht="14.25" customHeight="1" x14ac:dyDescent="0.3">
      <c r="A5172" s="1">
        <v>45129</v>
      </c>
      <c r="B5172" s="2" t="s">
        <v>663</v>
      </c>
      <c r="C5172" s="2" t="s">
        <v>215</v>
      </c>
      <c r="D5172" s="2" t="s">
        <v>10</v>
      </c>
      <c r="E5172" s="2" t="s">
        <v>16</v>
      </c>
      <c r="F5172" s="2">
        <v>5.4</v>
      </c>
      <c r="G5172" s="2">
        <v>3</v>
      </c>
      <c r="H5172" s="2">
        <v>2.59</v>
      </c>
      <c r="I5172" t="str">
        <f t="shared" si="80"/>
        <v>Jul</v>
      </c>
      <c r="J5172">
        <f>YEAR(datas[[#This Row],[Order Date]])</f>
        <v>2023</v>
      </c>
    </row>
    <row r="5173" spans="1:10" ht="14.25" customHeight="1" x14ac:dyDescent="0.3">
      <c r="A5173" s="1">
        <v>45130</v>
      </c>
      <c r="B5173" s="2" t="s">
        <v>474</v>
      </c>
      <c r="C5173" s="2" t="s">
        <v>64</v>
      </c>
      <c r="D5173" s="2" t="s">
        <v>10</v>
      </c>
      <c r="E5173" s="2" t="s">
        <v>19</v>
      </c>
      <c r="F5173" s="2">
        <v>35.22</v>
      </c>
      <c r="G5173" s="2">
        <v>2</v>
      </c>
      <c r="H5173" s="2">
        <v>2.64</v>
      </c>
      <c r="I5173" t="str">
        <f t="shared" si="80"/>
        <v>Jul</v>
      </c>
      <c r="J5173">
        <f>YEAR(datas[[#This Row],[Order Date]])</f>
        <v>2023</v>
      </c>
    </row>
    <row r="5174" spans="1:10" ht="14.25" customHeight="1" x14ac:dyDescent="0.3">
      <c r="A5174" s="1">
        <v>45130</v>
      </c>
      <c r="B5174" s="2" t="s">
        <v>474</v>
      </c>
      <c r="C5174" s="2" t="s">
        <v>64</v>
      </c>
      <c r="D5174" s="2" t="s">
        <v>10</v>
      </c>
      <c r="E5174" s="2" t="s">
        <v>53</v>
      </c>
      <c r="F5174" s="2">
        <v>23.7</v>
      </c>
      <c r="G5174" s="2">
        <v>2</v>
      </c>
      <c r="H5174" s="2">
        <v>6.52</v>
      </c>
      <c r="I5174" t="str">
        <f t="shared" si="80"/>
        <v>Jul</v>
      </c>
      <c r="J5174">
        <f>YEAR(datas[[#This Row],[Order Date]])</f>
        <v>2023</v>
      </c>
    </row>
    <row r="5175" spans="1:10" ht="14.25" customHeight="1" x14ac:dyDescent="0.3">
      <c r="A5175" s="1">
        <v>45130</v>
      </c>
      <c r="B5175" s="2" t="s">
        <v>474</v>
      </c>
      <c r="C5175" s="2" t="s">
        <v>64</v>
      </c>
      <c r="D5175" s="2" t="s">
        <v>28</v>
      </c>
      <c r="E5175" s="2" t="s">
        <v>136</v>
      </c>
      <c r="F5175" s="2">
        <v>265.48</v>
      </c>
      <c r="G5175" s="2">
        <v>1</v>
      </c>
      <c r="H5175" s="2">
        <v>-111.5</v>
      </c>
      <c r="I5175" t="str">
        <f t="shared" si="80"/>
        <v>Jul</v>
      </c>
      <c r="J5175">
        <f>YEAR(datas[[#This Row],[Order Date]])</f>
        <v>2023</v>
      </c>
    </row>
    <row r="5176" spans="1:10" ht="14.25" customHeight="1" x14ac:dyDescent="0.3">
      <c r="A5176" s="1">
        <v>45130</v>
      </c>
      <c r="B5176" s="2" t="s">
        <v>137</v>
      </c>
      <c r="C5176" s="2" t="s">
        <v>13</v>
      </c>
      <c r="D5176" s="2" t="s">
        <v>10</v>
      </c>
      <c r="E5176" s="2" t="s">
        <v>16</v>
      </c>
      <c r="F5176" s="2">
        <v>11.42</v>
      </c>
      <c r="G5176" s="2">
        <v>4</v>
      </c>
      <c r="H5176" s="2">
        <v>-18.84</v>
      </c>
      <c r="I5176" t="str">
        <f t="shared" si="80"/>
        <v>Jul</v>
      </c>
      <c r="J5176">
        <f>YEAR(datas[[#This Row],[Order Date]])</f>
        <v>2023</v>
      </c>
    </row>
    <row r="5177" spans="1:10" ht="14.25" customHeight="1" x14ac:dyDescent="0.3">
      <c r="A5177" s="1">
        <v>45130</v>
      </c>
      <c r="B5177" s="2" t="s">
        <v>127</v>
      </c>
      <c r="C5177" s="2" t="s">
        <v>9</v>
      </c>
      <c r="D5177" s="2" t="s">
        <v>10</v>
      </c>
      <c r="E5177" s="2" t="s">
        <v>19</v>
      </c>
      <c r="F5177" s="2">
        <v>4.45</v>
      </c>
      <c r="G5177" s="2">
        <v>2</v>
      </c>
      <c r="H5177" s="2">
        <v>0.33</v>
      </c>
      <c r="I5177" t="str">
        <f t="shared" si="80"/>
        <v>Jul</v>
      </c>
      <c r="J5177">
        <f>YEAR(datas[[#This Row],[Order Date]])</f>
        <v>2023</v>
      </c>
    </row>
    <row r="5178" spans="1:10" ht="14.25" customHeight="1" x14ac:dyDescent="0.3">
      <c r="A5178" s="1">
        <v>45130</v>
      </c>
      <c r="B5178" s="2" t="s">
        <v>127</v>
      </c>
      <c r="C5178" s="2" t="s">
        <v>9</v>
      </c>
      <c r="D5178" s="2" t="s">
        <v>10</v>
      </c>
      <c r="E5178" s="2" t="s">
        <v>11</v>
      </c>
      <c r="F5178" s="2">
        <v>5.18</v>
      </c>
      <c r="G5178" s="2">
        <v>1</v>
      </c>
      <c r="H5178" s="2">
        <v>1.81</v>
      </c>
      <c r="I5178" t="str">
        <f t="shared" si="80"/>
        <v>Jul</v>
      </c>
      <c r="J5178">
        <f>YEAR(datas[[#This Row],[Order Date]])</f>
        <v>2023</v>
      </c>
    </row>
    <row r="5179" spans="1:10" ht="14.25" customHeight="1" x14ac:dyDescent="0.3">
      <c r="A5179" s="1">
        <v>45130</v>
      </c>
      <c r="B5179" s="2" t="s">
        <v>127</v>
      </c>
      <c r="C5179" s="2" t="s">
        <v>9</v>
      </c>
      <c r="D5179" s="2" t="s">
        <v>10</v>
      </c>
      <c r="E5179" s="2" t="s">
        <v>19</v>
      </c>
      <c r="F5179" s="2">
        <v>175.92</v>
      </c>
      <c r="G5179" s="2">
        <v>5</v>
      </c>
      <c r="H5179" s="2">
        <v>15.39</v>
      </c>
      <c r="I5179" t="str">
        <f t="shared" si="80"/>
        <v>Jul</v>
      </c>
      <c r="J5179">
        <f>YEAR(datas[[#This Row],[Order Date]])</f>
        <v>2023</v>
      </c>
    </row>
    <row r="5180" spans="1:10" ht="14.25" customHeight="1" x14ac:dyDescent="0.3">
      <c r="A5180" s="1">
        <v>45130</v>
      </c>
      <c r="B5180" s="2" t="s">
        <v>127</v>
      </c>
      <c r="C5180" s="2" t="s">
        <v>9</v>
      </c>
      <c r="D5180" s="2" t="s">
        <v>10</v>
      </c>
      <c r="E5180" s="2" t="s">
        <v>16</v>
      </c>
      <c r="F5180" s="2">
        <v>4.75</v>
      </c>
      <c r="G5180" s="2">
        <v>4</v>
      </c>
      <c r="H5180" s="2">
        <v>-8.32</v>
      </c>
      <c r="I5180" t="str">
        <f t="shared" si="80"/>
        <v>Jul</v>
      </c>
      <c r="J5180">
        <f>YEAR(datas[[#This Row],[Order Date]])</f>
        <v>2023</v>
      </c>
    </row>
    <row r="5181" spans="1:10" ht="14.25" customHeight="1" x14ac:dyDescent="0.3">
      <c r="A5181" s="1">
        <v>45130</v>
      </c>
      <c r="B5181" s="2" t="s">
        <v>127</v>
      </c>
      <c r="C5181" s="2" t="s">
        <v>9</v>
      </c>
      <c r="D5181" s="2" t="s">
        <v>10</v>
      </c>
      <c r="E5181" s="2" t="s">
        <v>95</v>
      </c>
      <c r="F5181" s="2">
        <v>13.34</v>
      </c>
      <c r="G5181" s="2">
        <v>2</v>
      </c>
      <c r="H5181" s="2">
        <v>1</v>
      </c>
      <c r="I5181" t="str">
        <f t="shared" si="80"/>
        <v>Jul</v>
      </c>
      <c r="J5181">
        <f>YEAR(datas[[#This Row],[Order Date]])</f>
        <v>2023</v>
      </c>
    </row>
    <row r="5182" spans="1:10" ht="14.25" customHeight="1" x14ac:dyDescent="0.3">
      <c r="A5182" s="1">
        <v>45130</v>
      </c>
      <c r="B5182" s="2" t="s">
        <v>394</v>
      </c>
      <c r="C5182" s="2" t="s">
        <v>9</v>
      </c>
      <c r="D5182" s="2" t="s">
        <v>28</v>
      </c>
      <c r="E5182" s="2" t="s">
        <v>29</v>
      </c>
      <c r="F5182" s="2">
        <v>115.14</v>
      </c>
      <c r="G5182" s="2">
        <v>8</v>
      </c>
      <c r="H5182" s="2">
        <v>11.51</v>
      </c>
      <c r="I5182" t="str">
        <f t="shared" si="80"/>
        <v>Jul</v>
      </c>
      <c r="J5182">
        <f>YEAR(datas[[#This Row],[Order Date]])</f>
        <v>2023</v>
      </c>
    </row>
    <row r="5183" spans="1:10" ht="14.25" customHeight="1" x14ac:dyDescent="0.3">
      <c r="A5183" s="1">
        <v>45131</v>
      </c>
      <c r="B5183" s="2" t="s">
        <v>576</v>
      </c>
      <c r="C5183" s="2" t="s">
        <v>75</v>
      </c>
      <c r="D5183" s="2" t="s">
        <v>26</v>
      </c>
      <c r="E5183" s="2" t="s">
        <v>27</v>
      </c>
      <c r="F5183" s="2">
        <v>253.76</v>
      </c>
      <c r="G5183" s="2">
        <v>2</v>
      </c>
      <c r="H5183" s="2">
        <v>31.02</v>
      </c>
      <c r="I5183" t="str">
        <f t="shared" si="80"/>
        <v>Jul</v>
      </c>
      <c r="J5183">
        <f>YEAR(datas[[#This Row],[Order Date]])</f>
        <v>2023</v>
      </c>
    </row>
    <row r="5184" spans="1:10" ht="14.25" customHeight="1" x14ac:dyDescent="0.3">
      <c r="A5184" s="1">
        <v>45131</v>
      </c>
      <c r="B5184" s="2" t="s">
        <v>296</v>
      </c>
      <c r="C5184" s="2" t="s">
        <v>40</v>
      </c>
      <c r="D5184" s="2" t="s">
        <v>10</v>
      </c>
      <c r="E5184" s="2" t="s">
        <v>19</v>
      </c>
      <c r="F5184" s="2">
        <v>73.2</v>
      </c>
      <c r="G5184" s="2">
        <v>5</v>
      </c>
      <c r="H5184" s="2">
        <v>21.23</v>
      </c>
      <c r="I5184" t="str">
        <f t="shared" si="80"/>
        <v>Jul</v>
      </c>
      <c r="J5184">
        <f>YEAR(datas[[#This Row],[Order Date]])</f>
        <v>2023</v>
      </c>
    </row>
    <row r="5185" spans="1:10" ht="14.25" customHeight="1" x14ac:dyDescent="0.3">
      <c r="A5185" s="1">
        <v>45132</v>
      </c>
      <c r="B5185" s="2" t="s">
        <v>92</v>
      </c>
      <c r="C5185" s="2" t="s">
        <v>21</v>
      </c>
      <c r="D5185" s="2" t="s">
        <v>10</v>
      </c>
      <c r="E5185" s="2" t="s">
        <v>16</v>
      </c>
      <c r="F5185" s="2">
        <v>119.62</v>
      </c>
      <c r="G5185" s="2">
        <v>8</v>
      </c>
      <c r="H5185" s="2">
        <v>40.369999999999997</v>
      </c>
      <c r="I5185" t="str">
        <f t="shared" si="80"/>
        <v>Jul</v>
      </c>
      <c r="J5185">
        <f>YEAR(datas[[#This Row],[Order Date]])</f>
        <v>2023</v>
      </c>
    </row>
    <row r="5186" spans="1:10" ht="14.25" customHeight="1" x14ac:dyDescent="0.3">
      <c r="A5186" s="1">
        <v>45132</v>
      </c>
      <c r="B5186" s="2" t="s">
        <v>92</v>
      </c>
      <c r="C5186" s="2" t="s">
        <v>21</v>
      </c>
      <c r="D5186" s="2" t="s">
        <v>26</v>
      </c>
      <c r="E5186" s="2" t="s">
        <v>32</v>
      </c>
      <c r="F5186" s="2">
        <v>255.76</v>
      </c>
      <c r="G5186" s="2">
        <v>4</v>
      </c>
      <c r="H5186" s="2">
        <v>81.84</v>
      </c>
      <c r="I5186" t="str">
        <f t="shared" si="80"/>
        <v>Jul</v>
      </c>
      <c r="J5186">
        <f>YEAR(datas[[#This Row],[Order Date]])</f>
        <v>2023</v>
      </c>
    </row>
    <row r="5187" spans="1:10" ht="14.25" customHeight="1" x14ac:dyDescent="0.3">
      <c r="A5187" s="1">
        <v>45132</v>
      </c>
      <c r="B5187" s="2" t="s">
        <v>92</v>
      </c>
      <c r="C5187" s="2" t="s">
        <v>21</v>
      </c>
      <c r="D5187" s="2" t="s">
        <v>26</v>
      </c>
      <c r="E5187" s="2" t="s">
        <v>27</v>
      </c>
      <c r="F5187" s="2">
        <v>241.57</v>
      </c>
      <c r="G5187" s="2">
        <v>2</v>
      </c>
      <c r="H5187" s="2">
        <v>18.12</v>
      </c>
      <c r="I5187" t="str">
        <f t="shared" ref="I5187:I5250" si="81">TEXT(A5187,"mmm")</f>
        <v>Jul</v>
      </c>
      <c r="J5187">
        <f>YEAR(datas[[#This Row],[Order Date]])</f>
        <v>2023</v>
      </c>
    </row>
    <row r="5188" spans="1:10" ht="14.25" customHeight="1" x14ac:dyDescent="0.3">
      <c r="A5188" s="1">
        <v>45132</v>
      </c>
      <c r="B5188" s="2" t="s">
        <v>92</v>
      </c>
      <c r="C5188" s="2" t="s">
        <v>21</v>
      </c>
      <c r="D5188" s="2" t="s">
        <v>26</v>
      </c>
      <c r="E5188" s="2" t="s">
        <v>32</v>
      </c>
      <c r="F5188" s="2">
        <v>69.3</v>
      </c>
      <c r="G5188" s="2">
        <v>9</v>
      </c>
      <c r="H5188" s="2">
        <v>22.87</v>
      </c>
      <c r="I5188" t="str">
        <f t="shared" si="81"/>
        <v>Jul</v>
      </c>
      <c r="J5188">
        <f>YEAR(datas[[#This Row],[Order Date]])</f>
        <v>2023</v>
      </c>
    </row>
    <row r="5189" spans="1:10" ht="14.25" customHeight="1" x14ac:dyDescent="0.3">
      <c r="A5189" s="1">
        <v>45132</v>
      </c>
      <c r="B5189" s="2" t="s">
        <v>783</v>
      </c>
      <c r="C5189" s="2" t="s">
        <v>47</v>
      </c>
      <c r="D5189" s="2" t="s">
        <v>28</v>
      </c>
      <c r="E5189" s="2" t="s">
        <v>243</v>
      </c>
      <c r="F5189" s="2">
        <v>1439.98</v>
      </c>
      <c r="G5189" s="2">
        <v>4</v>
      </c>
      <c r="H5189" s="2">
        <v>192</v>
      </c>
      <c r="I5189" t="str">
        <f t="shared" si="81"/>
        <v>Jul</v>
      </c>
      <c r="J5189">
        <f>YEAR(datas[[#This Row],[Order Date]])</f>
        <v>2023</v>
      </c>
    </row>
    <row r="5190" spans="1:10" ht="14.25" customHeight="1" x14ac:dyDescent="0.3">
      <c r="A5190" s="1">
        <v>45132</v>
      </c>
      <c r="B5190" s="2" t="s">
        <v>842</v>
      </c>
      <c r="C5190" s="2" t="s">
        <v>21</v>
      </c>
      <c r="D5190" s="2" t="s">
        <v>10</v>
      </c>
      <c r="E5190" s="2" t="s">
        <v>30</v>
      </c>
      <c r="F5190" s="2">
        <v>21.48</v>
      </c>
      <c r="G5190" s="2">
        <v>6</v>
      </c>
      <c r="H5190" s="2">
        <v>10.74</v>
      </c>
      <c r="I5190" t="str">
        <f t="shared" si="81"/>
        <v>Jul</v>
      </c>
      <c r="J5190">
        <f>YEAR(datas[[#This Row],[Order Date]])</f>
        <v>2023</v>
      </c>
    </row>
    <row r="5191" spans="1:10" ht="14.25" customHeight="1" x14ac:dyDescent="0.3">
      <c r="A5191" s="1">
        <v>45132</v>
      </c>
      <c r="B5191" s="2" t="s">
        <v>460</v>
      </c>
      <c r="C5191" s="2" t="s">
        <v>47</v>
      </c>
      <c r="D5191" s="2" t="s">
        <v>10</v>
      </c>
      <c r="E5191" s="2" t="s">
        <v>53</v>
      </c>
      <c r="F5191" s="2">
        <v>243.88</v>
      </c>
      <c r="G5191" s="2">
        <v>5</v>
      </c>
      <c r="H5191" s="2">
        <v>27.44</v>
      </c>
      <c r="I5191" t="str">
        <f t="shared" si="81"/>
        <v>Jul</v>
      </c>
      <c r="J5191">
        <f>YEAR(datas[[#This Row],[Order Date]])</f>
        <v>2023</v>
      </c>
    </row>
    <row r="5192" spans="1:10" ht="14.25" customHeight="1" x14ac:dyDescent="0.3">
      <c r="A5192" s="1">
        <v>45132</v>
      </c>
      <c r="B5192" s="2" t="s">
        <v>556</v>
      </c>
      <c r="C5192" s="2" t="s">
        <v>9</v>
      </c>
      <c r="D5192" s="2" t="s">
        <v>10</v>
      </c>
      <c r="E5192" s="2" t="s">
        <v>14</v>
      </c>
      <c r="F5192" s="2">
        <v>15.71</v>
      </c>
      <c r="G5192" s="2">
        <v>4</v>
      </c>
      <c r="H5192" s="2">
        <v>5.7</v>
      </c>
      <c r="I5192" t="str">
        <f t="shared" si="81"/>
        <v>Jul</v>
      </c>
      <c r="J5192">
        <f>YEAR(datas[[#This Row],[Order Date]])</f>
        <v>2023</v>
      </c>
    </row>
    <row r="5193" spans="1:10" ht="14.25" customHeight="1" x14ac:dyDescent="0.3">
      <c r="A5193" s="1">
        <v>45132</v>
      </c>
      <c r="B5193" s="2" t="s">
        <v>784</v>
      </c>
      <c r="C5193" s="2" t="s">
        <v>143</v>
      </c>
      <c r="D5193" s="2" t="s">
        <v>10</v>
      </c>
      <c r="E5193" s="2" t="s">
        <v>15</v>
      </c>
      <c r="F5193" s="2">
        <v>7.89</v>
      </c>
      <c r="G5193" s="2">
        <v>1</v>
      </c>
      <c r="H5193" s="2">
        <v>0.32</v>
      </c>
      <c r="I5193" t="str">
        <f t="shared" si="81"/>
        <v>Jul</v>
      </c>
      <c r="J5193">
        <f>YEAR(datas[[#This Row],[Order Date]])</f>
        <v>2023</v>
      </c>
    </row>
    <row r="5194" spans="1:10" ht="14.25" customHeight="1" x14ac:dyDescent="0.3">
      <c r="A5194" s="1">
        <v>45132</v>
      </c>
      <c r="B5194" s="2" t="s">
        <v>784</v>
      </c>
      <c r="C5194" s="2" t="s">
        <v>143</v>
      </c>
      <c r="D5194" s="2" t="s">
        <v>10</v>
      </c>
      <c r="E5194" s="2" t="s">
        <v>11</v>
      </c>
      <c r="F5194" s="2">
        <v>65.5</v>
      </c>
      <c r="G5194" s="2">
        <v>5</v>
      </c>
      <c r="H5194" s="2">
        <v>32.1</v>
      </c>
      <c r="I5194" t="str">
        <f t="shared" si="81"/>
        <v>Jul</v>
      </c>
      <c r="J5194">
        <f>YEAR(datas[[#This Row],[Order Date]])</f>
        <v>2023</v>
      </c>
    </row>
    <row r="5195" spans="1:10" ht="14.25" customHeight="1" x14ac:dyDescent="0.3">
      <c r="A5195" s="1">
        <v>45132</v>
      </c>
      <c r="B5195" s="2" t="s">
        <v>784</v>
      </c>
      <c r="C5195" s="2" t="s">
        <v>143</v>
      </c>
      <c r="D5195" s="2" t="s">
        <v>26</v>
      </c>
      <c r="E5195" s="2" t="s">
        <v>73</v>
      </c>
      <c r="F5195" s="2">
        <v>2430.08</v>
      </c>
      <c r="G5195" s="2">
        <v>8</v>
      </c>
      <c r="H5195" s="2">
        <v>388.81</v>
      </c>
      <c r="I5195" t="str">
        <f t="shared" si="81"/>
        <v>Jul</v>
      </c>
      <c r="J5195">
        <f>YEAR(datas[[#This Row],[Order Date]])</f>
        <v>2023</v>
      </c>
    </row>
    <row r="5196" spans="1:10" ht="14.25" customHeight="1" x14ac:dyDescent="0.3">
      <c r="A5196" s="1">
        <v>45132</v>
      </c>
      <c r="B5196" s="2" t="s">
        <v>375</v>
      </c>
      <c r="C5196" s="2" t="s">
        <v>36</v>
      </c>
      <c r="D5196" s="2" t="s">
        <v>10</v>
      </c>
      <c r="E5196" s="2" t="s">
        <v>16</v>
      </c>
      <c r="F5196" s="2">
        <v>10.44</v>
      </c>
      <c r="G5196" s="2">
        <v>1</v>
      </c>
      <c r="H5196" s="2">
        <v>4.8</v>
      </c>
      <c r="I5196" t="str">
        <f t="shared" si="81"/>
        <v>Jul</v>
      </c>
      <c r="J5196">
        <f>YEAR(datas[[#This Row],[Order Date]])</f>
        <v>2023</v>
      </c>
    </row>
    <row r="5197" spans="1:10" ht="14.25" customHeight="1" x14ac:dyDescent="0.3">
      <c r="A5197" s="1">
        <v>45132</v>
      </c>
      <c r="B5197" s="2" t="s">
        <v>808</v>
      </c>
      <c r="C5197" s="2" t="s">
        <v>9</v>
      </c>
      <c r="D5197" s="2" t="s">
        <v>10</v>
      </c>
      <c r="E5197" s="2" t="s">
        <v>41</v>
      </c>
      <c r="F5197" s="2">
        <v>20.94</v>
      </c>
      <c r="G5197" s="2">
        <v>1</v>
      </c>
      <c r="H5197" s="2">
        <v>7.07</v>
      </c>
      <c r="I5197" t="str">
        <f t="shared" si="81"/>
        <v>Jul</v>
      </c>
      <c r="J5197">
        <f>YEAR(datas[[#This Row],[Order Date]])</f>
        <v>2023</v>
      </c>
    </row>
    <row r="5198" spans="1:10" ht="14.25" customHeight="1" x14ac:dyDescent="0.3">
      <c r="A5198" s="1">
        <v>45132</v>
      </c>
      <c r="B5198" s="2" t="s">
        <v>356</v>
      </c>
      <c r="C5198" s="2" t="s">
        <v>21</v>
      </c>
      <c r="D5198" s="2" t="s">
        <v>10</v>
      </c>
      <c r="E5198" s="2" t="s">
        <v>19</v>
      </c>
      <c r="F5198" s="2">
        <v>37.17</v>
      </c>
      <c r="G5198" s="2">
        <v>9</v>
      </c>
      <c r="H5198" s="2">
        <v>11.15</v>
      </c>
      <c r="I5198" t="str">
        <f t="shared" si="81"/>
        <v>Jul</v>
      </c>
      <c r="J5198">
        <f>YEAR(datas[[#This Row],[Order Date]])</f>
        <v>2023</v>
      </c>
    </row>
    <row r="5199" spans="1:10" ht="14.25" customHeight="1" x14ac:dyDescent="0.3">
      <c r="A5199" s="1">
        <v>45132</v>
      </c>
      <c r="B5199" s="2" t="s">
        <v>634</v>
      </c>
      <c r="C5199" s="2" t="s">
        <v>79</v>
      </c>
      <c r="D5199" s="2" t="s">
        <v>10</v>
      </c>
      <c r="E5199" s="2" t="s">
        <v>11</v>
      </c>
      <c r="F5199" s="2">
        <v>20.62</v>
      </c>
      <c r="G5199" s="2">
        <v>2</v>
      </c>
      <c r="H5199" s="2">
        <v>9.69</v>
      </c>
      <c r="I5199" t="str">
        <f t="shared" si="81"/>
        <v>Jul</v>
      </c>
      <c r="J5199">
        <f>YEAR(datas[[#This Row],[Order Date]])</f>
        <v>2023</v>
      </c>
    </row>
    <row r="5200" spans="1:10" ht="14.25" customHeight="1" x14ac:dyDescent="0.3">
      <c r="A5200" s="1">
        <v>45132</v>
      </c>
      <c r="B5200" s="2" t="s">
        <v>634</v>
      </c>
      <c r="C5200" s="2" t="s">
        <v>79</v>
      </c>
      <c r="D5200" s="2" t="s">
        <v>28</v>
      </c>
      <c r="E5200" s="2" t="s">
        <v>34</v>
      </c>
      <c r="F5200" s="2">
        <v>124.25</v>
      </c>
      <c r="G5200" s="2">
        <v>7</v>
      </c>
      <c r="H5200" s="2">
        <v>48.46</v>
      </c>
      <c r="I5200" t="str">
        <f t="shared" si="81"/>
        <v>Jul</v>
      </c>
      <c r="J5200">
        <f>YEAR(datas[[#This Row],[Order Date]])</f>
        <v>2023</v>
      </c>
    </row>
    <row r="5201" spans="1:10" ht="14.25" customHeight="1" x14ac:dyDescent="0.3">
      <c r="A5201" s="1">
        <v>45132</v>
      </c>
      <c r="B5201" s="2" t="s">
        <v>634</v>
      </c>
      <c r="C5201" s="2" t="s">
        <v>79</v>
      </c>
      <c r="D5201" s="2" t="s">
        <v>28</v>
      </c>
      <c r="E5201" s="2" t="s">
        <v>29</v>
      </c>
      <c r="F5201" s="2">
        <v>297.55</v>
      </c>
      <c r="G5201" s="2">
        <v>5</v>
      </c>
      <c r="H5201" s="2">
        <v>83.31</v>
      </c>
      <c r="I5201" t="str">
        <f t="shared" si="81"/>
        <v>Jul</v>
      </c>
      <c r="J5201">
        <f>YEAR(datas[[#This Row],[Order Date]])</f>
        <v>2023</v>
      </c>
    </row>
    <row r="5202" spans="1:10" ht="14.25" customHeight="1" x14ac:dyDescent="0.3">
      <c r="A5202" s="1">
        <v>45132</v>
      </c>
      <c r="B5202" s="2" t="s">
        <v>634</v>
      </c>
      <c r="C5202" s="2" t="s">
        <v>79</v>
      </c>
      <c r="D5202" s="2" t="s">
        <v>26</v>
      </c>
      <c r="E5202" s="2" t="s">
        <v>27</v>
      </c>
      <c r="F5202" s="2">
        <v>403.56</v>
      </c>
      <c r="G5202" s="2">
        <v>4</v>
      </c>
      <c r="H5202" s="2">
        <v>96.85</v>
      </c>
      <c r="I5202" t="str">
        <f t="shared" si="81"/>
        <v>Jul</v>
      </c>
      <c r="J5202">
        <f>YEAR(datas[[#This Row],[Order Date]])</f>
        <v>2023</v>
      </c>
    </row>
    <row r="5203" spans="1:10" ht="14.25" customHeight="1" x14ac:dyDescent="0.3">
      <c r="A5203" s="1">
        <v>45132</v>
      </c>
      <c r="B5203" s="2" t="s">
        <v>634</v>
      </c>
      <c r="C5203" s="2" t="s">
        <v>79</v>
      </c>
      <c r="D5203" s="2" t="s">
        <v>26</v>
      </c>
      <c r="E5203" s="2" t="s">
        <v>32</v>
      </c>
      <c r="F5203" s="2">
        <v>95.2</v>
      </c>
      <c r="G5203" s="2">
        <v>5</v>
      </c>
      <c r="H5203" s="2">
        <v>27.61</v>
      </c>
      <c r="I5203" t="str">
        <f t="shared" si="81"/>
        <v>Jul</v>
      </c>
      <c r="J5203">
        <f>YEAR(datas[[#This Row],[Order Date]])</f>
        <v>2023</v>
      </c>
    </row>
    <row r="5204" spans="1:10" ht="14.25" customHeight="1" x14ac:dyDescent="0.3">
      <c r="A5204" s="1">
        <v>45135</v>
      </c>
      <c r="B5204" s="2" t="s">
        <v>600</v>
      </c>
      <c r="C5204" s="2" t="s">
        <v>60</v>
      </c>
      <c r="D5204" s="2" t="s">
        <v>10</v>
      </c>
      <c r="E5204" s="2" t="s">
        <v>30</v>
      </c>
      <c r="F5204" s="2">
        <v>20.440000000000001</v>
      </c>
      <c r="G5204" s="2">
        <v>7</v>
      </c>
      <c r="H5204" s="2">
        <v>9.1999999999999993</v>
      </c>
      <c r="I5204" t="str">
        <f t="shared" si="81"/>
        <v>Jul</v>
      </c>
      <c r="J5204">
        <f>YEAR(datas[[#This Row],[Order Date]])</f>
        <v>2023</v>
      </c>
    </row>
    <row r="5205" spans="1:10" ht="14.25" customHeight="1" x14ac:dyDescent="0.3">
      <c r="A5205" s="1">
        <v>45135</v>
      </c>
      <c r="B5205" s="2" t="s">
        <v>600</v>
      </c>
      <c r="C5205" s="2" t="s">
        <v>60</v>
      </c>
      <c r="D5205" s="2" t="s">
        <v>10</v>
      </c>
      <c r="E5205" s="2" t="s">
        <v>11</v>
      </c>
      <c r="F5205" s="2">
        <v>109.92</v>
      </c>
      <c r="G5205" s="2">
        <v>2</v>
      </c>
      <c r="H5205" s="2">
        <v>53.86</v>
      </c>
      <c r="I5205" t="str">
        <f t="shared" si="81"/>
        <v>Jul</v>
      </c>
      <c r="J5205">
        <f>YEAR(datas[[#This Row],[Order Date]])</f>
        <v>2023</v>
      </c>
    </row>
    <row r="5206" spans="1:10" ht="14.25" customHeight="1" x14ac:dyDescent="0.3">
      <c r="A5206" s="1">
        <v>45135</v>
      </c>
      <c r="B5206" s="2" t="s">
        <v>652</v>
      </c>
      <c r="C5206" s="2" t="s">
        <v>21</v>
      </c>
      <c r="D5206" s="2" t="s">
        <v>10</v>
      </c>
      <c r="E5206" s="2" t="s">
        <v>14</v>
      </c>
      <c r="F5206" s="2">
        <v>18.899999999999999</v>
      </c>
      <c r="G5206" s="2">
        <v>3</v>
      </c>
      <c r="H5206" s="2">
        <v>8.69</v>
      </c>
      <c r="I5206" t="str">
        <f t="shared" si="81"/>
        <v>Jul</v>
      </c>
      <c r="J5206">
        <f>YEAR(datas[[#This Row],[Order Date]])</f>
        <v>2023</v>
      </c>
    </row>
    <row r="5207" spans="1:10" ht="14.25" customHeight="1" x14ac:dyDescent="0.3">
      <c r="A5207" s="1">
        <v>45135</v>
      </c>
      <c r="B5207" s="2" t="s">
        <v>707</v>
      </c>
      <c r="C5207" s="2" t="s">
        <v>18</v>
      </c>
      <c r="D5207" s="2" t="s">
        <v>26</v>
      </c>
      <c r="E5207" s="2" t="s">
        <v>45</v>
      </c>
      <c r="F5207" s="2">
        <v>177.45</v>
      </c>
      <c r="G5207" s="2">
        <v>5</v>
      </c>
      <c r="H5207" s="2">
        <v>-78.08</v>
      </c>
      <c r="I5207" t="str">
        <f t="shared" si="81"/>
        <v>Jul</v>
      </c>
      <c r="J5207">
        <f>YEAR(datas[[#This Row],[Order Date]])</f>
        <v>2023</v>
      </c>
    </row>
    <row r="5208" spans="1:10" ht="14.25" customHeight="1" x14ac:dyDescent="0.3">
      <c r="A5208" s="1">
        <v>45135</v>
      </c>
      <c r="B5208" s="2" t="s">
        <v>707</v>
      </c>
      <c r="C5208" s="2" t="s">
        <v>18</v>
      </c>
      <c r="D5208" s="2" t="s">
        <v>10</v>
      </c>
      <c r="E5208" s="2" t="s">
        <v>16</v>
      </c>
      <c r="F5208" s="2">
        <v>1369.76</v>
      </c>
      <c r="G5208" s="2">
        <v>6</v>
      </c>
      <c r="H5208" s="2">
        <v>-913.18</v>
      </c>
      <c r="I5208" t="str">
        <f t="shared" si="81"/>
        <v>Jul</v>
      </c>
      <c r="J5208">
        <f>YEAR(datas[[#This Row],[Order Date]])</f>
        <v>2023</v>
      </c>
    </row>
    <row r="5209" spans="1:10" ht="14.25" customHeight="1" x14ac:dyDescent="0.3">
      <c r="A5209" s="1">
        <v>45135</v>
      </c>
      <c r="B5209" s="2" t="s">
        <v>707</v>
      </c>
      <c r="C5209" s="2" t="s">
        <v>18</v>
      </c>
      <c r="D5209" s="2" t="s">
        <v>10</v>
      </c>
      <c r="E5209" s="2" t="s">
        <v>53</v>
      </c>
      <c r="F5209" s="2">
        <v>9.48</v>
      </c>
      <c r="G5209" s="2">
        <v>3</v>
      </c>
      <c r="H5209" s="2">
        <v>0.71</v>
      </c>
      <c r="I5209" t="str">
        <f t="shared" si="81"/>
        <v>Jul</v>
      </c>
      <c r="J5209">
        <f>YEAR(datas[[#This Row],[Order Date]])</f>
        <v>2023</v>
      </c>
    </row>
    <row r="5210" spans="1:10" ht="14.25" customHeight="1" x14ac:dyDescent="0.3">
      <c r="A5210" s="1">
        <v>45135</v>
      </c>
      <c r="B5210" s="2" t="s">
        <v>500</v>
      </c>
      <c r="C5210" s="2" t="s">
        <v>9</v>
      </c>
      <c r="D5210" s="2" t="s">
        <v>26</v>
      </c>
      <c r="E5210" s="2" t="s">
        <v>32</v>
      </c>
      <c r="F5210" s="2">
        <v>24.7</v>
      </c>
      <c r="G5210" s="2">
        <v>5</v>
      </c>
      <c r="H5210" s="2">
        <v>-9.8800000000000008</v>
      </c>
      <c r="I5210" t="str">
        <f t="shared" si="81"/>
        <v>Jul</v>
      </c>
      <c r="J5210">
        <f>YEAR(datas[[#This Row],[Order Date]])</f>
        <v>2023</v>
      </c>
    </row>
    <row r="5211" spans="1:10" ht="14.25" customHeight="1" x14ac:dyDescent="0.3">
      <c r="A5211" s="1">
        <v>45135</v>
      </c>
      <c r="B5211" s="2" t="s">
        <v>500</v>
      </c>
      <c r="C5211" s="2" t="s">
        <v>9</v>
      </c>
      <c r="D5211" s="2" t="s">
        <v>26</v>
      </c>
      <c r="E5211" s="2" t="s">
        <v>32</v>
      </c>
      <c r="F5211" s="2">
        <v>302.72000000000003</v>
      </c>
      <c r="G5211" s="2">
        <v>5</v>
      </c>
      <c r="H5211" s="2">
        <v>-378.4</v>
      </c>
      <c r="I5211" t="str">
        <f t="shared" si="81"/>
        <v>Jul</v>
      </c>
      <c r="J5211">
        <f>YEAR(datas[[#This Row],[Order Date]])</f>
        <v>2023</v>
      </c>
    </row>
    <row r="5212" spans="1:10" ht="14.25" customHeight="1" x14ac:dyDescent="0.3">
      <c r="A5212" s="1">
        <v>45136</v>
      </c>
      <c r="B5212" s="2" t="s">
        <v>22</v>
      </c>
      <c r="C5212" s="2" t="s">
        <v>18</v>
      </c>
      <c r="D5212" s="2" t="s">
        <v>10</v>
      </c>
      <c r="E5212" s="2" t="s">
        <v>15</v>
      </c>
      <c r="F5212" s="2">
        <v>84.78</v>
      </c>
      <c r="G5212" s="2">
        <v>2</v>
      </c>
      <c r="H5212" s="2">
        <v>-16.96</v>
      </c>
      <c r="I5212" t="str">
        <f t="shared" si="81"/>
        <v>Jul</v>
      </c>
      <c r="J5212">
        <f>YEAR(datas[[#This Row],[Order Date]])</f>
        <v>2023</v>
      </c>
    </row>
    <row r="5213" spans="1:10" ht="14.25" customHeight="1" x14ac:dyDescent="0.3">
      <c r="A5213" s="1">
        <v>45136</v>
      </c>
      <c r="B5213" s="2" t="s">
        <v>589</v>
      </c>
      <c r="C5213" s="2" t="s">
        <v>64</v>
      </c>
      <c r="D5213" s="2" t="s">
        <v>10</v>
      </c>
      <c r="E5213" s="2" t="s">
        <v>16</v>
      </c>
      <c r="F5213" s="2">
        <v>2.21</v>
      </c>
      <c r="G5213" s="2">
        <v>3</v>
      </c>
      <c r="H5213" s="2">
        <v>-1.48</v>
      </c>
      <c r="I5213" t="str">
        <f t="shared" si="81"/>
        <v>Jul</v>
      </c>
      <c r="J5213">
        <f>YEAR(datas[[#This Row],[Order Date]])</f>
        <v>2023</v>
      </c>
    </row>
    <row r="5214" spans="1:10" ht="14.25" customHeight="1" x14ac:dyDescent="0.3">
      <c r="A5214" s="1">
        <v>45136</v>
      </c>
      <c r="B5214" s="2" t="s">
        <v>792</v>
      </c>
      <c r="C5214" s="2" t="s">
        <v>115</v>
      </c>
      <c r="D5214" s="2" t="s">
        <v>10</v>
      </c>
      <c r="E5214" s="2" t="s">
        <v>15</v>
      </c>
      <c r="F5214" s="2">
        <v>704.76</v>
      </c>
      <c r="G5214" s="2">
        <v>5</v>
      </c>
      <c r="H5214" s="2">
        <v>26.43</v>
      </c>
      <c r="I5214" t="str">
        <f t="shared" si="81"/>
        <v>Jul</v>
      </c>
      <c r="J5214">
        <f>YEAR(datas[[#This Row],[Order Date]])</f>
        <v>2023</v>
      </c>
    </row>
    <row r="5215" spans="1:10" ht="14.25" customHeight="1" x14ac:dyDescent="0.3">
      <c r="A5215" s="1">
        <v>45136</v>
      </c>
      <c r="B5215" s="2" t="s">
        <v>792</v>
      </c>
      <c r="C5215" s="2" t="s">
        <v>115</v>
      </c>
      <c r="D5215" s="2" t="s">
        <v>10</v>
      </c>
      <c r="E5215" s="2" t="s">
        <v>16</v>
      </c>
      <c r="F5215" s="2">
        <v>27.4</v>
      </c>
      <c r="G5215" s="2">
        <v>3</v>
      </c>
      <c r="H5215" s="2">
        <v>-20.09</v>
      </c>
      <c r="I5215" t="str">
        <f t="shared" si="81"/>
        <v>Jul</v>
      </c>
      <c r="J5215">
        <f>YEAR(datas[[#This Row],[Order Date]])</f>
        <v>2023</v>
      </c>
    </row>
    <row r="5216" spans="1:10" ht="14.25" customHeight="1" x14ac:dyDescent="0.3">
      <c r="A5216" s="1">
        <v>45137</v>
      </c>
      <c r="B5216" s="2" t="s">
        <v>542</v>
      </c>
      <c r="C5216" s="2" t="s">
        <v>9</v>
      </c>
      <c r="D5216" s="2" t="s">
        <v>10</v>
      </c>
      <c r="E5216" s="2" t="s">
        <v>16</v>
      </c>
      <c r="F5216" s="2">
        <v>9.26</v>
      </c>
      <c r="G5216" s="2">
        <v>3</v>
      </c>
      <c r="H5216" s="2">
        <v>-13.9</v>
      </c>
      <c r="I5216" t="str">
        <f t="shared" si="81"/>
        <v>Jul</v>
      </c>
      <c r="J5216">
        <f>YEAR(datas[[#This Row],[Order Date]])</f>
        <v>2023</v>
      </c>
    </row>
    <row r="5217" spans="1:10" ht="14.25" customHeight="1" x14ac:dyDescent="0.3">
      <c r="A5217" s="1">
        <v>45137</v>
      </c>
      <c r="B5217" s="2" t="s">
        <v>239</v>
      </c>
      <c r="C5217" s="2" t="s">
        <v>13</v>
      </c>
      <c r="D5217" s="2" t="s">
        <v>10</v>
      </c>
      <c r="E5217" s="2" t="s">
        <v>14</v>
      </c>
      <c r="F5217" s="2">
        <v>9.25</v>
      </c>
      <c r="G5217" s="2">
        <v>4</v>
      </c>
      <c r="H5217" s="2">
        <v>3.12</v>
      </c>
      <c r="I5217" t="str">
        <f t="shared" si="81"/>
        <v>Jul</v>
      </c>
      <c r="J5217">
        <f>YEAR(datas[[#This Row],[Order Date]])</f>
        <v>2023</v>
      </c>
    </row>
    <row r="5218" spans="1:10" ht="14.25" customHeight="1" x14ac:dyDescent="0.3">
      <c r="A5218" s="1">
        <v>45137</v>
      </c>
      <c r="B5218" s="2" t="s">
        <v>239</v>
      </c>
      <c r="C5218" s="2" t="s">
        <v>13</v>
      </c>
      <c r="D5218" s="2" t="s">
        <v>10</v>
      </c>
      <c r="E5218" s="2" t="s">
        <v>15</v>
      </c>
      <c r="F5218" s="2">
        <v>1036.6199999999999</v>
      </c>
      <c r="G5218" s="2">
        <v>2</v>
      </c>
      <c r="H5218" s="2">
        <v>51.83</v>
      </c>
      <c r="I5218" t="str">
        <f t="shared" si="81"/>
        <v>Jul</v>
      </c>
      <c r="J5218">
        <f>YEAR(datas[[#This Row],[Order Date]])</f>
        <v>2023</v>
      </c>
    </row>
    <row r="5219" spans="1:10" ht="14.25" customHeight="1" x14ac:dyDescent="0.3">
      <c r="A5219" s="1">
        <v>45137</v>
      </c>
      <c r="B5219" s="2" t="s">
        <v>342</v>
      </c>
      <c r="C5219" s="2" t="s">
        <v>21</v>
      </c>
      <c r="D5219" s="2" t="s">
        <v>10</v>
      </c>
      <c r="E5219" s="2" t="s">
        <v>53</v>
      </c>
      <c r="F5219" s="2">
        <v>715.64</v>
      </c>
      <c r="G5219" s="2">
        <v>2</v>
      </c>
      <c r="H5219" s="2">
        <v>178.91</v>
      </c>
      <c r="I5219" t="str">
        <f t="shared" si="81"/>
        <v>Jul</v>
      </c>
      <c r="J5219">
        <f>YEAR(datas[[#This Row],[Order Date]])</f>
        <v>2023</v>
      </c>
    </row>
    <row r="5220" spans="1:10" ht="14.25" customHeight="1" x14ac:dyDescent="0.3">
      <c r="A5220" s="1">
        <v>45138</v>
      </c>
      <c r="B5220" s="2" t="s">
        <v>387</v>
      </c>
      <c r="C5220" s="2" t="s">
        <v>60</v>
      </c>
      <c r="D5220" s="2" t="s">
        <v>10</v>
      </c>
      <c r="E5220" s="2" t="s">
        <v>53</v>
      </c>
      <c r="F5220" s="2">
        <v>283.14</v>
      </c>
      <c r="G5220" s="2">
        <v>4</v>
      </c>
      <c r="H5220" s="2">
        <v>72.36</v>
      </c>
      <c r="I5220" t="str">
        <f t="shared" si="81"/>
        <v>Jul</v>
      </c>
      <c r="J5220">
        <f>YEAR(datas[[#This Row],[Order Date]])</f>
        <v>2023</v>
      </c>
    </row>
    <row r="5221" spans="1:10" ht="14.25" customHeight="1" x14ac:dyDescent="0.3">
      <c r="A5221" s="1">
        <v>45138</v>
      </c>
      <c r="B5221" s="2" t="s">
        <v>387</v>
      </c>
      <c r="C5221" s="2" t="s">
        <v>60</v>
      </c>
      <c r="D5221" s="2" t="s">
        <v>28</v>
      </c>
      <c r="E5221" s="2" t="s">
        <v>29</v>
      </c>
      <c r="F5221" s="2">
        <v>635.96</v>
      </c>
      <c r="G5221" s="2">
        <v>4</v>
      </c>
      <c r="H5221" s="2">
        <v>165.35</v>
      </c>
      <c r="I5221" t="str">
        <f t="shared" si="81"/>
        <v>Jul</v>
      </c>
      <c r="J5221">
        <f>YEAR(datas[[#This Row],[Order Date]])</f>
        <v>2023</v>
      </c>
    </row>
    <row r="5222" spans="1:10" ht="14.25" customHeight="1" x14ac:dyDescent="0.3">
      <c r="A5222" s="1">
        <v>45138</v>
      </c>
      <c r="B5222" s="2" t="s">
        <v>387</v>
      </c>
      <c r="C5222" s="2" t="s">
        <v>60</v>
      </c>
      <c r="D5222" s="2" t="s">
        <v>28</v>
      </c>
      <c r="E5222" s="2" t="s">
        <v>29</v>
      </c>
      <c r="F5222" s="2">
        <v>118.99</v>
      </c>
      <c r="G5222" s="2">
        <v>1</v>
      </c>
      <c r="H5222" s="2">
        <v>33.32</v>
      </c>
      <c r="I5222" t="str">
        <f t="shared" si="81"/>
        <v>Jul</v>
      </c>
      <c r="J5222">
        <f>YEAR(datas[[#This Row],[Order Date]])</f>
        <v>2023</v>
      </c>
    </row>
    <row r="5223" spans="1:10" ht="14.25" customHeight="1" x14ac:dyDescent="0.3">
      <c r="A5223" s="1">
        <v>45138</v>
      </c>
      <c r="B5223" s="2" t="s">
        <v>387</v>
      </c>
      <c r="C5223" s="2" t="s">
        <v>60</v>
      </c>
      <c r="D5223" s="2" t="s">
        <v>26</v>
      </c>
      <c r="E5223" s="2" t="s">
        <v>32</v>
      </c>
      <c r="F5223" s="2">
        <v>272.94</v>
      </c>
      <c r="G5223" s="2">
        <v>3</v>
      </c>
      <c r="H5223" s="2">
        <v>30.02</v>
      </c>
      <c r="I5223" t="str">
        <f t="shared" si="81"/>
        <v>Jul</v>
      </c>
      <c r="J5223">
        <f>YEAR(datas[[#This Row],[Order Date]])</f>
        <v>2023</v>
      </c>
    </row>
    <row r="5224" spans="1:10" ht="14.25" customHeight="1" x14ac:dyDescent="0.3">
      <c r="A5224" s="1">
        <v>45138</v>
      </c>
      <c r="B5224" s="2" t="s">
        <v>183</v>
      </c>
      <c r="C5224" s="2" t="s">
        <v>21</v>
      </c>
      <c r="D5224" s="2" t="s">
        <v>26</v>
      </c>
      <c r="E5224" s="2" t="s">
        <v>73</v>
      </c>
      <c r="F5224" s="2">
        <v>863.13</v>
      </c>
      <c r="G5224" s="2">
        <v>7</v>
      </c>
      <c r="H5224" s="2">
        <v>-32.369999999999997</v>
      </c>
      <c r="I5224" t="str">
        <f t="shared" si="81"/>
        <v>Jul</v>
      </c>
      <c r="J5224">
        <f>YEAR(datas[[#This Row],[Order Date]])</f>
        <v>2023</v>
      </c>
    </row>
    <row r="5225" spans="1:10" ht="14.25" customHeight="1" x14ac:dyDescent="0.3">
      <c r="A5225" s="1">
        <v>45139</v>
      </c>
      <c r="B5225" s="2" t="s">
        <v>172</v>
      </c>
      <c r="C5225" s="2" t="s">
        <v>9</v>
      </c>
      <c r="D5225" s="2" t="s">
        <v>10</v>
      </c>
      <c r="E5225" s="2" t="s">
        <v>11</v>
      </c>
      <c r="F5225" s="2">
        <v>19.649999999999999</v>
      </c>
      <c r="G5225" s="2">
        <v>2</v>
      </c>
      <c r="H5225" s="2">
        <v>6.63</v>
      </c>
      <c r="I5225" t="str">
        <f t="shared" si="81"/>
        <v>Aug</v>
      </c>
      <c r="J5225">
        <f>YEAR(datas[[#This Row],[Order Date]])</f>
        <v>2023</v>
      </c>
    </row>
    <row r="5226" spans="1:10" ht="14.25" customHeight="1" x14ac:dyDescent="0.3">
      <c r="A5226" s="1">
        <v>45139</v>
      </c>
      <c r="B5226" s="2" t="s">
        <v>150</v>
      </c>
      <c r="C5226" s="2" t="s">
        <v>21</v>
      </c>
      <c r="D5226" s="2" t="s">
        <v>28</v>
      </c>
      <c r="E5226" s="2" t="s">
        <v>29</v>
      </c>
      <c r="F5226" s="2">
        <v>1039.73</v>
      </c>
      <c r="G5226" s="2">
        <v>2</v>
      </c>
      <c r="H5226" s="2">
        <v>90.98</v>
      </c>
      <c r="I5226" t="str">
        <f t="shared" si="81"/>
        <v>Aug</v>
      </c>
      <c r="J5226">
        <f>YEAR(datas[[#This Row],[Order Date]])</f>
        <v>2023</v>
      </c>
    </row>
    <row r="5227" spans="1:10" ht="14.25" customHeight="1" x14ac:dyDescent="0.3">
      <c r="A5227" s="1">
        <v>45139</v>
      </c>
      <c r="B5227" s="2" t="s">
        <v>150</v>
      </c>
      <c r="C5227" s="2" t="s">
        <v>21</v>
      </c>
      <c r="D5227" s="2" t="s">
        <v>10</v>
      </c>
      <c r="E5227" s="2" t="s">
        <v>53</v>
      </c>
      <c r="F5227" s="2">
        <v>45.96</v>
      </c>
      <c r="G5227" s="2">
        <v>2</v>
      </c>
      <c r="H5227" s="2">
        <v>13.79</v>
      </c>
      <c r="I5227" t="str">
        <f t="shared" si="81"/>
        <v>Aug</v>
      </c>
      <c r="J5227">
        <f>YEAR(datas[[#This Row],[Order Date]])</f>
        <v>2023</v>
      </c>
    </row>
    <row r="5228" spans="1:10" ht="14.25" customHeight="1" x14ac:dyDescent="0.3">
      <c r="A5228" s="1">
        <v>45139</v>
      </c>
      <c r="B5228" s="2" t="s">
        <v>652</v>
      </c>
      <c r="C5228" s="2" t="s">
        <v>18</v>
      </c>
      <c r="D5228" s="2" t="s">
        <v>26</v>
      </c>
      <c r="E5228" s="2" t="s">
        <v>32</v>
      </c>
      <c r="F5228" s="2">
        <v>19.309999999999999</v>
      </c>
      <c r="G5228" s="2">
        <v>2</v>
      </c>
      <c r="H5228" s="2">
        <v>3.14</v>
      </c>
      <c r="I5228" t="str">
        <f t="shared" si="81"/>
        <v>Aug</v>
      </c>
      <c r="J5228">
        <f>YEAR(datas[[#This Row],[Order Date]])</f>
        <v>2023</v>
      </c>
    </row>
    <row r="5229" spans="1:10" ht="14.25" customHeight="1" x14ac:dyDescent="0.3">
      <c r="A5229" s="1">
        <v>45140</v>
      </c>
      <c r="B5229" s="2" t="s">
        <v>96</v>
      </c>
      <c r="C5229" s="2" t="s">
        <v>21</v>
      </c>
      <c r="D5229" s="2" t="s">
        <v>26</v>
      </c>
      <c r="E5229" s="2" t="s">
        <v>73</v>
      </c>
      <c r="F5229" s="2">
        <v>136.46</v>
      </c>
      <c r="G5229" s="2">
        <v>2</v>
      </c>
      <c r="H5229" s="2">
        <v>15.35</v>
      </c>
      <c r="I5229" t="str">
        <f t="shared" si="81"/>
        <v>Aug</v>
      </c>
      <c r="J5229">
        <f>YEAR(datas[[#This Row],[Order Date]])</f>
        <v>2023</v>
      </c>
    </row>
    <row r="5230" spans="1:10" ht="14.25" customHeight="1" x14ac:dyDescent="0.3">
      <c r="A5230" s="1">
        <v>45140</v>
      </c>
      <c r="B5230" s="2" t="s">
        <v>96</v>
      </c>
      <c r="C5230" s="2" t="s">
        <v>21</v>
      </c>
      <c r="D5230" s="2" t="s">
        <v>28</v>
      </c>
      <c r="E5230" s="2" t="s">
        <v>29</v>
      </c>
      <c r="F5230" s="2">
        <v>333.58</v>
      </c>
      <c r="G5230" s="2">
        <v>3</v>
      </c>
      <c r="H5230" s="2">
        <v>33.36</v>
      </c>
      <c r="I5230" t="str">
        <f t="shared" si="81"/>
        <v>Aug</v>
      </c>
      <c r="J5230">
        <f>YEAR(datas[[#This Row],[Order Date]])</f>
        <v>2023</v>
      </c>
    </row>
    <row r="5231" spans="1:10" ht="14.25" customHeight="1" x14ac:dyDescent="0.3">
      <c r="A5231" s="1">
        <v>45140</v>
      </c>
      <c r="B5231" s="2" t="s">
        <v>96</v>
      </c>
      <c r="C5231" s="2" t="s">
        <v>21</v>
      </c>
      <c r="D5231" s="2" t="s">
        <v>10</v>
      </c>
      <c r="E5231" s="2" t="s">
        <v>16</v>
      </c>
      <c r="F5231" s="2">
        <v>12.54</v>
      </c>
      <c r="G5231" s="2">
        <v>2</v>
      </c>
      <c r="H5231" s="2">
        <v>4.7</v>
      </c>
      <c r="I5231" t="str">
        <f t="shared" si="81"/>
        <v>Aug</v>
      </c>
      <c r="J5231">
        <f>YEAR(datas[[#This Row],[Order Date]])</f>
        <v>2023</v>
      </c>
    </row>
    <row r="5232" spans="1:10" ht="14.25" customHeight="1" x14ac:dyDescent="0.3">
      <c r="A5232" s="1">
        <v>45141</v>
      </c>
      <c r="B5232" s="2" t="s">
        <v>843</v>
      </c>
      <c r="C5232" s="2" t="s">
        <v>329</v>
      </c>
      <c r="D5232" s="2" t="s">
        <v>10</v>
      </c>
      <c r="E5232" s="2" t="s">
        <v>41</v>
      </c>
      <c r="F5232" s="2">
        <v>81.540000000000006</v>
      </c>
      <c r="G5232" s="2">
        <v>3</v>
      </c>
      <c r="H5232" s="2">
        <v>38.32</v>
      </c>
      <c r="I5232" t="str">
        <f t="shared" si="81"/>
        <v>Aug</v>
      </c>
      <c r="J5232">
        <f>YEAR(datas[[#This Row],[Order Date]])</f>
        <v>2023</v>
      </c>
    </row>
    <row r="5233" spans="1:10" ht="14.25" customHeight="1" x14ac:dyDescent="0.3">
      <c r="A5233" s="1">
        <v>45141</v>
      </c>
      <c r="B5233" s="2" t="s">
        <v>843</v>
      </c>
      <c r="C5233" s="2" t="s">
        <v>329</v>
      </c>
      <c r="D5233" s="2" t="s">
        <v>28</v>
      </c>
      <c r="E5233" s="2" t="s">
        <v>34</v>
      </c>
      <c r="F5233" s="2">
        <v>167.28</v>
      </c>
      <c r="G5233" s="2">
        <v>12</v>
      </c>
      <c r="H5233" s="2">
        <v>23.42</v>
      </c>
      <c r="I5233" t="str">
        <f t="shared" si="81"/>
        <v>Aug</v>
      </c>
      <c r="J5233">
        <f>YEAR(datas[[#This Row],[Order Date]])</f>
        <v>2023</v>
      </c>
    </row>
    <row r="5234" spans="1:10" ht="14.25" customHeight="1" x14ac:dyDescent="0.3">
      <c r="A5234" s="1">
        <v>45142</v>
      </c>
      <c r="B5234" s="2" t="s">
        <v>844</v>
      </c>
      <c r="C5234" s="2" t="s">
        <v>36</v>
      </c>
      <c r="D5234" s="2" t="s">
        <v>10</v>
      </c>
      <c r="E5234" s="2" t="s">
        <v>95</v>
      </c>
      <c r="F5234" s="2">
        <v>35.06</v>
      </c>
      <c r="G5234" s="2">
        <v>2</v>
      </c>
      <c r="H5234" s="2">
        <v>10.52</v>
      </c>
      <c r="I5234" t="str">
        <f t="shared" si="81"/>
        <v>Aug</v>
      </c>
      <c r="J5234">
        <f>YEAR(datas[[#This Row],[Order Date]])</f>
        <v>2023</v>
      </c>
    </row>
    <row r="5235" spans="1:10" ht="14.25" customHeight="1" x14ac:dyDescent="0.3">
      <c r="A5235" s="1">
        <v>45142</v>
      </c>
      <c r="B5235" s="2" t="s">
        <v>844</v>
      </c>
      <c r="C5235" s="2" t="s">
        <v>36</v>
      </c>
      <c r="D5235" s="2" t="s">
        <v>10</v>
      </c>
      <c r="E5235" s="2" t="s">
        <v>14</v>
      </c>
      <c r="F5235" s="2">
        <v>4.13</v>
      </c>
      <c r="G5235" s="2">
        <v>1</v>
      </c>
      <c r="H5235" s="2">
        <v>1.9</v>
      </c>
      <c r="I5235" t="str">
        <f t="shared" si="81"/>
        <v>Aug</v>
      </c>
      <c r="J5235">
        <f>YEAR(datas[[#This Row],[Order Date]])</f>
        <v>2023</v>
      </c>
    </row>
    <row r="5236" spans="1:10" ht="14.25" customHeight="1" x14ac:dyDescent="0.3">
      <c r="A5236" s="1">
        <v>45142</v>
      </c>
      <c r="B5236" s="2" t="s">
        <v>844</v>
      </c>
      <c r="C5236" s="2" t="s">
        <v>36</v>
      </c>
      <c r="D5236" s="2" t="s">
        <v>26</v>
      </c>
      <c r="E5236" s="2" t="s">
        <v>32</v>
      </c>
      <c r="F5236" s="2">
        <v>109.8</v>
      </c>
      <c r="G5236" s="2">
        <v>9</v>
      </c>
      <c r="H5236" s="2">
        <v>46.12</v>
      </c>
      <c r="I5236" t="str">
        <f t="shared" si="81"/>
        <v>Aug</v>
      </c>
      <c r="J5236">
        <f>YEAR(datas[[#This Row],[Order Date]])</f>
        <v>2023</v>
      </c>
    </row>
    <row r="5237" spans="1:10" ht="14.25" customHeight="1" x14ac:dyDescent="0.3">
      <c r="A5237" s="1">
        <v>45142</v>
      </c>
      <c r="B5237" s="2" t="s">
        <v>844</v>
      </c>
      <c r="C5237" s="2" t="s">
        <v>36</v>
      </c>
      <c r="D5237" s="2" t="s">
        <v>10</v>
      </c>
      <c r="E5237" s="2" t="s">
        <v>14</v>
      </c>
      <c r="F5237" s="2">
        <v>9.82</v>
      </c>
      <c r="G5237" s="2">
        <v>2</v>
      </c>
      <c r="H5237" s="2">
        <v>4.8099999999999996</v>
      </c>
      <c r="I5237" t="str">
        <f t="shared" si="81"/>
        <v>Aug</v>
      </c>
      <c r="J5237">
        <f>YEAR(datas[[#This Row],[Order Date]])</f>
        <v>2023</v>
      </c>
    </row>
    <row r="5238" spans="1:10" ht="14.25" customHeight="1" x14ac:dyDescent="0.3">
      <c r="A5238" s="1">
        <v>45142</v>
      </c>
      <c r="B5238" s="2" t="s">
        <v>637</v>
      </c>
      <c r="C5238" s="2" t="s">
        <v>13</v>
      </c>
      <c r="D5238" s="2" t="s">
        <v>10</v>
      </c>
      <c r="E5238" s="2" t="s">
        <v>16</v>
      </c>
      <c r="F5238" s="2">
        <v>3.98</v>
      </c>
      <c r="G5238" s="2">
        <v>5</v>
      </c>
      <c r="H5238" s="2">
        <v>-6.57</v>
      </c>
      <c r="I5238" t="str">
        <f t="shared" si="81"/>
        <v>Aug</v>
      </c>
      <c r="J5238">
        <f>YEAR(datas[[#This Row],[Order Date]])</f>
        <v>2023</v>
      </c>
    </row>
    <row r="5239" spans="1:10" ht="14.25" customHeight="1" x14ac:dyDescent="0.3">
      <c r="A5239" s="1">
        <v>45142</v>
      </c>
      <c r="B5239" s="2" t="s">
        <v>100</v>
      </c>
      <c r="C5239" s="2" t="s">
        <v>21</v>
      </c>
      <c r="D5239" s="2" t="s">
        <v>28</v>
      </c>
      <c r="E5239" s="2" t="s">
        <v>29</v>
      </c>
      <c r="F5239" s="2">
        <v>302.38</v>
      </c>
      <c r="G5239" s="2">
        <v>2</v>
      </c>
      <c r="H5239" s="2">
        <v>30.24</v>
      </c>
      <c r="I5239" t="str">
        <f t="shared" si="81"/>
        <v>Aug</v>
      </c>
      <c r="J5239">
        <f>YEAR(datas[[#This Row],[Order Date]])</f>
        <v>2023</v>
      </c>
    </row>
    <row r="5240" spans="1:10" ht="14.25" customHeight="1" x14ac:dyDescent="0.3">
      <c r="A5240" s="1">
        <v>45142</v>
      </c>
      <c r="B5240" s="2" t="s">
        <v>100</v>
      </c>
      <c r="C5240" s="2" t="s">
        <v>21</v>
      </c>
      <c r="D5240" s="2" t="s">
        <v>10</v>
      </c>
      <c r="E5240" s="2" t="s">
        <v>16</v>
      </c>
      <c r="F5240" s="2">
        <v>20.95</v>
      </c>
      <c r="G5240" s="2">
        <v>3</v>
      </c>
      <c r="H5240" s="2">
        <v>7.07</v>
      </c>
      <c r="I5240" t="str">
        <f t="shared" si="81"/>
        <v>Aug</v>
      </c>
      <c r="J5240">
        <f>YEAR(datas[[#This Row],[Order Date]])</f>
        <v>2023</v>
      </c>
    </row>
    <row r="5241" spans="1:10" ht="14.25" customHeight="1" x14ac:dyDescent="0.3">
      <c r="A5241" s="1">
        <v>45142</v>
      </c>
      <c r="B5241" s="2" t="s">
        <v>100</v>
      </c>
      <c r="C5241" s="2" t="s">
        <v>21</v>
      </c>
      <c r="D5241" s="2" t="s">
        <v>10</v>
      </c>
      <c r="E5241" s="2" t="s">
        <v>16</v>
      </c>
      <c r="F5241" s="2">
        <v>11.78</v>
      </c>
      <c r="G5241" s="2">
        <v>3</v>
      </c>
      <c r="H5241" s="2">
        <v>3.98</v>
      </c>
      <c r="I5241" t="str">
        <f t="shared" si="81"/>
        <v>Aug</v>
      </c>
      <c r="J5241">
        <f>YEAR(datas[[#This Row],[Order Date]])</f>
        <v>2023</v>
      </c>
    </row>
    <row r="5242" spans="1:10" ht="14.25" customHeight="1" x14ac:dyDescent="0.3">
      <c r="A5242" s="1">
        <v>45143</v>
      </c>
      <c r="B5242" s="2" t="s">
        <v>663</v>
      </c>
      <c r="C5242" s="2" t="s">
        <v>198</v>
      </c>
      <c r="D5242" s="2" t="s">
        <v>10</v>
      </c>
      <c r="E5242" s="2" t="s">
        <v>19</v>
      </c>
      <c r="F5242" s="2">
        <v>197.05</v>
      </c>
      <c r="G5242" s="2">
        <v>7</v>
      </c>
      <c r="H5242" s="2">
        <v>59.12</v>
      </c>
      <c r="I5242" t="str">
        <f t="shared" si="81"/>
        <v>Aug</v>
      </c>
      <c r="J5242">
        <f>YEAR(datas[[#This Row],[Order Date]])</f>
        <v>2023</v>
      </c>
    </row>
    <row r="5243" spans="1:10" ht="14.25" customHeight="1" x14ac:dyDescent="0.3">
      <c r="A5243" s="1">
        <v>45144</v>
      </c>
      <c r="B5243" s="2" t="s">
        <v>183</v>
      </c>
      <c r="C5243" s="2" t="s">
        <v>75</v>
      </c>
      <c r="D5243" s="2" t="s">
        <v>10</v>
      </c>
      <c r="E5243" s="2" t="s">
        <v>11</v>
      </c>
      <c r="F5243" s="2">
        <v>70.88</v>
      </c>
      <c r="G5243" s="2">
        <v>2</v>
      </c>
      <c r="H5243" s="2">
        <v>33.31</v>
      </c>
      <c r="I5243" t="str">
        <f t="shared" si="81"/>
        <v>Aug</v>
      </c>
      <c r="J5243">
        <f>YEAR(datas[[#This Row],[Order Date]])</f>
        <v>2023</v>
      </c>
    </row>
    <row r="5244" spans="1:10" ht="14.25" customHeight="1" x14ac:dyDescent="0.3">
      <c r="A5244" s="1">
        <v>45144</v>
      </c>
      <c r="B5244" s="2" t="s">
        <v>409</v>
      </c>
      <c r="C5244" s="2" t="s">
        <v>21</v>
      </c>
      <c r="D5244" s="2" t="s">
        <v>28</v>
      </c>
      <c r="E5244" s="2" t="s">
        <v>29</v>
      </c>
      <c r="F5244" s="2">
        <v>211.17</v>
      </c>
      <c r="G5244" s="2">
        <v>4</v>
      </c>
      <c r="H5244" s="2">
        <v>18.48</v>
      </c>
      <c r="I5244" t="str">
        <f t="shared" si="81"/>
        <v>Aug</v>
      </c>
      <c r="J5244">
        <f>YEAR(datas[[#This Row],[Order Date]])</f>
        <v>2023</v>
      </c>
    </row>
    <row r="5245" spans="1:10" ht="14.25" customHeight="1" x14ac:dyDescent="0.3">
      <c r="A5245" s="1">
        <v>45144</v>
      </c>
      <c r="B5245" s="2" t="s">
        <v>340</v>
      </c>
      <c r="C5245" s="2" t="s">
        <v>75</v>
      </c>
      <c r="D5245" s="2" t="s">
        <v>10</v>
      </c>
      <c r="E5245" s="2" t="s">
        <v>19</v>
      </c>
      <c r="F5245" s="2">
        <v>38.340000000000003</v>
      </c>
      <c r="G5245" s="2">
        <v>9</v>
      </c>
      <c r="H5245" s="2">
        <v>15.72</v>
      </c>
      <c r="I5245" t="str">
        <f t="shared" si="81"/>
        <v>Aug</v>
      </c>
      <c r="J5245">
        <f>YEAR(datas[[#This Row],[Order Date]])</f>
        <v>2023</v>
      </c>
    </row>
    <row r="5246" spans="1:10" ht="14.25" customHeight="1" x14ac:dyDescent="0.3">
      <c r="A5246" s="1">
        <v>45145</v>
      </c>
      <c r="B5246" s="2" t="s">
        <v>430</v>
      </c>
      <c r="C5246" s="2" t="s">
        <v>82</v>
      </c>
      <c r="D5246" s="2" t="s">
        <v>28</v>
      </c>
      <c r="E5246" s="2" t="s">
        <v>34</v>
      </c>
      <c r="F5246" s="2">
        <v>179.97</v>
      </c>
      <c r="G5246" s="2">
        <v>3</v>
      </c>
      <c r="H5246" s="2">
        <v>86.39</v>
      </c>
      <c r="I5246" t="str">
        <f t="shared" si="81"/>
        <v>Aug</v>
      </c>
      <c r="J5246">
        <f>YEAR(datas[[#This Row],[Order Date]])</f>
        <v>2023</v>
      </c>
    </row>
    <row r="5247" spans="1:10" ht="14.25" customHeight="1" x14ac:dyDescent="0.3">
      <c r="A5247" s="1">
        <v>45146</v>
      </c>
      <c r="B5247" s="2" t="s">
        <v>524</v>
      </c>
      <c r="C5247" s="2" t="s">
        <v>9</v>
      </c>
      <c r="D5247" s="2" t="s">
        <v>10</v>
      </c>
      <c r="E5247" s="2" t="s">
        <v>30</v>
      </c>
      <c r="F5247" s="2">
        <v>11.17</v>
      </c>
      <c r="G5247" s="2">
        <v>4</v>
      </c>
      <c r="H5247" s="2">
        <v>3.63</v>
      </c>
      <c r="I5247" t="str">
        <f t="shared" si="81"/>
        <v>Aug</v>
      </c>
      <c r="J5247">
        <f>YEAR(datas[[#This Row],[Order Date]])</f>
        <v>2023</v>
      </c>
    </row>
    <row r="5248" spans="1:10" ht="14.25" customHeight="1" x14ac:dyDescent="0.3">
      <c r="A5248" s="1">
        <v>45146</v>
      </c>
      <c r="B5248" s="2" t="s">
        <v>524</v>
      </c>
      <c r="C5248" s="2" t="s">
        <v>9</v>
      </c>
      <c r="D5248" s="2" t="s">
        <v>10</v>
      </c>
      <c r="E5248" s="2" t="s">
        <v>11</v>
      </c>
      <c r="F5248" s="2">
        <v>53.95</v>
      </c>
      <c r="G5248" s="2">
        <v>3</v>
      </c>
      <c r="H5248" s="2">
        <v>17.53</v>
      </c>
      <c r="I5248" t="str">
        <f t="shared" si="81"/>
        <v>Aug</v>
      </c>
      <c r="J5248">
        <f>YEAR(datas[[#This Row],[Order Date]])</f>
        <v>2023</v>
      </c>
    </row>
    <row r="5249" spans="1:10" ht="14.25" customHeight="1" x14ac:dyDescent="0.3">
      <c r="A5249" s="1">
        <v>45146</v>
      </c>
      <c r="B5249" s="2" t="s">
        <v>691</v>
      </c>
      <c r="C5249" s="2" t="s">
        <v>143</v>
      </c>
      <c r="D5249" s="2" t="s">
        <v>10</v>
      </c>
      <c r="E5249" s="2" t="s">
        <v>30</v>
      </c>
      <c r="F5249" s="2">
        <v>23.34</v>
      </c>
      <c r="G5249" s="2">
        <v>3</v>
      </c>
      <c r="H5249" s="2">
        <v>0.23</v>
      </c>
      <c r="I5249" t="str">
        <f t="shared" si="81"/>
        <v>Aug</v>
      </c>
      <c r="J5249">
        <f>YEAR(datas[[#This Row],[Order Date]])</f>
        <v>2023</v>
      </c>
    </row>
    <row r="5250" spans="1:10" ht="14.25" customHeight="1" x14ac:dyDescent="0.3">
      <c r="A5250" s="1">
        <v>45146</v>
      </c>
      <c r="B5250" s="2" t="s">
        <v>756</v>
      </c>
      <c r="C5250" s="2" t="s">
        <v>21</v>
      </c>
      <c r="D5250" s="2" t="s">
        <v>26</v>
      </c>
      <c r="E5250" s="2" t="s">
        <v>73</v>
      </c>
      <c r="F5250" s="2">
        <v>513.02</v>
      </c>
      <c r="G5250" s="2">
        <v>2</v>
      </c>
      <c r="H5250" s="2">
        <v>12.83</v>
      </c>
      <c r="I5250" t="str">
        <f t="shared" si="81"/>
        <v>Aug</v>
      </c>
      <c r="J5250">
        <f>YEAR(datas[[#This Row],[Order Date]])</f>
        <v>2023</v>
      </c>
    </row>
    <row r="5251" spans="1:10" ht="14.25" customHeight="1" x14ac:dyDescent="0.3">
      <c r="A5251" s="1">
        <v>45146</v>
      </c>
      <c r="B5251" s="2" t="s">
        <v>756</v>
      </c>
      <c r="C5251" s="2" t="s">
        <v>21</v>
      </c>
      <c r="D5251" s="2" t="s">
        <v>10</v>
      </c>
      <c r="E5251" s="2" t="s">
        <v>53</v>
      </c>
      <c r="F5251" s="2">
        <v>487.92</v>
      </c>
      <c r="G5251" s="2">
        <v>6</v>
      </c>
      <c r="H5251" s="2">
        <v>136.62</v>
      </c>
      <c r="I5251" t="str">
        <f t="shared" ref="I5251:I5314" si="82">TEXT(A5251,"mmm")</f>
        <v>Aug</v>
      </c>
      <c r="J5251">
        <f>YEAR(datas[[#This Row],[Order Date]])</f>
        <v>2023</v>
      </c>
    </row>
    <row r="5252" spans="1:10" ht="14.25" customHeight="1" x14ac:dyDescent="0.3">
      <c r="A5252" s="1">
        <v>45146</v>
      </c>
      <c r="B5252" s="2" t="s">
        <v>756</v>
      </c>
      <c r="C5252" s="2" t="s">
        <v>21</v>
      </c>
      <c r="D5252" s="2" t="s">
        <v>10</v>
      </c>
      <c r="E5252" s="2" t="s">
        <v>16</v>
      </c>
      <c r="F5252" s="2">
        <v>15.24</v>
      </c>
      <c r="G5252" s="2">
        <v>5</v>
      </c>
      <c r="H5252" s="2">
        <v>5.33</v>
      </c>
      <c r="I5252" t="str">
        <f t="shared" si="82"/>
        <v>Aug</v>
      </c>
      <c r="J5252">
        <f>YEAR(datas[[#This Row],[Order Date]])</f>
        <v>2023</v>
      </c>
    </row>
    <row r="5253" spans="1:10" ht="14.25" customHeight="1" x14ac:dyDescent="0.3">
      <c r="A5253" s="1">
        <v>45146</v>
      </c>
      <c r="B5253" s="2" t="s">
        <v>377</v>
      </c>
      <c r="C5253" s="2" t="s">
        <v>329</v>
      </c>
      <c r="D5253" s="2" t="s">
        <v>10</v>
      </c>
      <c r="E5253" s="2" t="s">
        <v>11</v>
      </c>
      <c r="F5253" s="2">
        <v>10.56</v>
      </c>
      <c r="G5253" s="2">
        <v>2</v>
      </c>
      <c r="H5253" s="2">
        <v>4.75</v>
      </c>
      <c r="I5253" t="str">
        <f t="shared" si="82"/>
        <v>Aug</v>
      </c>
      <c r="J5253">
        <f>YEAR(datas[[#This Row],[Order Date]])</f>
        <v>2023</v>
      </c>
    </row>
    <row r="5254" spans="1:10" ht="14.25" customHeight="1" x14ac:dyDescent="0.3">
      <c r="A5254" s="1">
        <v>45147</v>
      </c>
      <c r="B5254" s="2" t="s">
        <v>525</v>
      </c>
      <c r="C5254" s="2" t="s">
        <v>115</v>
      </c>
      <c r="D5254" s="2" t="s">
        <v>10</v>
      </c>
      <c r="E5254" s="2" t="s">
        <v>11</v>
      </c>
      <c r="F5254" s="2">
        <v>30.82</v>
      </c>
      <c r="G5254" s="2">
        <v>9</v>
      </c>
      <c r="H5254" s="2">
        <v>9.6300000000000008</v>
      </c>
      <c r="I5254" t="str">
        <f t="shared" si="82"/>
        <v>Aug</v>
      </c>
      <c r="J5254">
        <f>YEAR(datas[[#This Row],[Order Date]])</f>
        <v>2023</v>
      </c>
    </row>
    <row r="5255" spans="1:10" ht="14.25" customHeight="1" x14ac:dyDescent="0.3">
      <c r="A5255" s="1">
        <v>45147</v>
      </c>
      <c r="B5255" s="2" t="s">
        <v>525</v>
      </c>
      <c r="C5255" s="2" t="s">
        <v>115</v>
      </c>
      <c r="D5255" s="2" t="s">
        <v>28</v>
      </c>
      <c r="E5255" s="2" t="s">
        <v>29</v>
      </c>
      <c r="F5255" s="2">
        <v>44.78</v>
      </c>
      <c r="G5255" s="2">
        <v>2</v>
      </c>
      <c r="H5255" s="2">
        <v>4.4800000000000004</v>
      </c>
      <c r="I5255" t="str">
        <f t="shared" si="82"/>
        <v>Aug</v>
      </c>
      <c r="J5255">
        <f>YEAR(datas[[#This Row],[Order Date]])</f>
        <v>2023</v>
      </c>
    </row>
    <row r="5256" spans="1:10" ht="14.25" customHeight="1" x14ac:dyDescent="0.3">
      <c r="A5256" s="1">
        <v>45147</v>
      </c>
      <c r="B5256" s="2" t="s">
        <v>525</v>
      </c>
      <c r="C5256" s="2" t="s">
        <v>115</v>
      </c>
      <c r="D5256" s="2" t="s">
        <v>10</v>
      </c>
      <c r="E5256" s="2" t="s">
        <v>53</v>
      </c>
      <c r="F5256" s="2">
        <v>569.54</v>
      </c>
      <c r="G5256" s="2">
        <v>4</v>
      </c>
      <c r="H5256" s="2">
        <v>64.069999999999993</v>
      </c>
      <c r="I5256" t="str">
        <f t="shared" si="82"/>
        <v>Aug</v>
      </c>
      <c r="J5256">
        <f>YEAR(datas[[#This Row],[Order Date]])</f>
        <v>2023</v>
      </c>
    </row>
    <row r="5257" spans="1:10" ht="14.25" customHeight="1" x14ac:dyDescent="0.3">
      <c r="A5257" s="1">
        <v>45147</v>
      </c>
      <c r="B5257" s="2" t="s">
        <v>360</v>
      </c>
      <c r="C5257" s="2" t="s">
        <v>62</v>
      </c>
      <c r="D5257" s="2" t="s">
        <v>10</v>
      </c>
      <c r="E5257" s="2" t="s">
        <v>16</v>
      </c>
      <c r="F5257" s="2">
        <v>4.34</v>
      </c>
      <c r="G5257" s="2">
        <v>3</v>
      </c>
      <c r="H5257" s="2">
        <v>-3.04</v>
      </c>
      <c r="I5257" t="str">
        <f t="shared" si="82"/>
        <v>Aug</v>
      </c>
      <c r="J5257">
        <f>YEAR(datas[[#This Row],[Order Date]])</f>
        <v>2023</v>
      </c>
    </row>
    <row r="5258" spans="1:10" ht="14.25" customHeight="1" x14ac:dyDescent="0.3">
      <c r="A5258" s="1">
        <v>45147</v>
      </c>
      <c r="B5258" s="2" t="s">
        <v>360</v>
      </c>
      <c r="C5258" s="2" t="s">
        <v>62</v>
      </c>
      <c r="D5258" s="2" t="s">
        <v>10</v>
      </c>
      <c r="E5258" s="2" t="s">
        <v>16</v>
      </c>
      <c r="F5258" s="2">
        <v>11.88</v>
      </c>
      <c r="G5258" s="2">
        <v>5</v>
      </c>
      <c r="H5258" s="2">
        <v>-7.92</v>
      </c>
      <c r="I5258" t="str">
        <f t="shared" si="82"/>
        <v>Aug</v>
      </c>
      <c r="J5258">
        <f>YEAR(datas[[#This Row],[Order Date]])</f>
        <v>2023</v>
      </c>
    </row>
    <row r="5259" spans="1:10" ht="14.25" customHeight="1" x14ac:dyDescent="0.3">
      <c r="A5259" s="1">
        <v>45149</v>
      </c>
      <c r="B5259" s="2" t="s">
        <v>499</v>
      </c>
      <c r="C5259" s="2" t="s">
        <v>329</v>
      </c>
      <c r="D5259" s="2" t="s">
        <v>10</v>
      </c>
      <c r="E5259" s="2" t="s">
        <v>11</v>
      </c>
      <c r="F5259" s="2">
        <v>32.4</v>
      </c>
      <c r="G5259" s="2">
        <v>5</v>
      </c>
      <c r="H5259" s="2">
        <v>15.55</v>
      </c>
      <c r="I5259" t="str">
        <f t="shared" si="82"/>
        <v>Aug</v>
      </c>
      <c r="J5259">
        <f>YEAR(datas[[#This Row],[Order Date]])</f>
        <v>2023</v>
      </c>
    </row>
    <row r="5260" spans="1:10" ht="14.25" customHeight="1" x14ac:dyDescent="0.3">
      <c r="A5260" s="1">
        <v>45149</v>
      </c>
      <c r="B5260" s="2" t="s">
        <v>499</v>
      </c>
      <c r="C5260" s="2" t="s">
        <v>329</v>
      </c>
      <c r="D5260" s="2" t="s">
        <v>10</v>
      </c>
      <c r="E5260" s="2" t="s">
        <v>16</v>
      </c>
      <c r="F5260" s="2">
        <v>41.86</v>
      </c>
      <c r="G5260" s="2">
        <v>7</v>
      </c>
      <c r="H5260" s="2">
        <v>19.260000000000002</v>
      </c>
      <c r="I5260" t="str">
        <f t="shared" si="82"/>
        <v>Aug</v>
      </c>
      <c r="J5260">
        <f>YEAR(datas[[#This Row],[Order Date]])</f>
        <v>2023</v>
      </c>
    </row>
    <row r="5261" spans="1:10" ht="14.25" customHeight="1" x14ac:dyDescent="0.3">
      <c r="A5261" s="1">
        <v>45149</v>
      </c>
      <c r="B5261" s="2" t="s">
        <v>499</v>
      </c>
      <c r="C5261" s="2" t="s">
        <v>329</v>
      </c>
      <c r="D5261" s="2" t="s">
        <v>10</v>
      </c>
      <c r="E5261" s="2" t="s">
        <v>16</v>
      </c>
      <c r="F5261" s="2">
        <v>77.56</v>
      </c>
      <c r="G5261" s="2">
        <v>2</v>
      </c>
      <c r="H5261" s="2">
        <v>35.68</v>
      </c>
      <c r="I5261" t="str">
        <f t="shared" si="82"/>
        <v>Aug</v>
      </c>
      <c r="J5261">
        <f>YEAR(datas[[#This Row],[Order Date]])</f>
        <v>2023</v>
      </c>
    </row>
    <row r="5262" spans="1:10" ht="14.25" customHeight="1" x14ac:dyDescent="0.3">
      <c r="A5262" s="1">
        <v>45150</v>
      </c>
      <c r="B5262" s="2" t="s">
        <v>714</v>
      </c>
      <c r="C5262" s="2" t="s">
        <v>165</v>
      </c>
      <c r="D5262" s="2" t="s">
        <v>10</v>
      </c>
      <c r="E5262" s="2" t="s">
        <v>11</v>
      </c>
      <c r="F5262" s="2">
        <v>6.48</v>
      </c>
      <c r="G5262" s="2">
        <v>1</v>
      </c>
      <c r="H5262" s="2">
        <v>3.11</v>
      </c>
      <c r="I5262" t="str">
        <f t="shared" si="82"/>
        <v>Aug</v>
      </c>
      <c r="J5262">
        <f>YEAR(datas[[#This Row],[Order Date]])</f>
        <v>2023</v>
      </c>
    </row>
    <row r="5263" spans="1:10" ht="14.25" customHeight="1" x14ac:dyDescent="0.3">
      <c r="A5263" s="1">
        <v>45150</v>
      </c>
      <c r="B5263" s="2" t="s">
        <v>826</v>
      </c>
      <c r="C5263" s="2" t="s">
        <v>9</v>
      </c>
      <c r="D5263" s="2" t="s">
        <v>28</v>
      </c>
      <c r="E5263" s="2" t="s">
        <v>34</v>
      </c>
      <c r="F5263" s="2">
        <v>1399.94</v>
      </c>
      <c r="G5263" s="2">
        <v>7</v>
      </c>
      <c r="H5263" s="2">
        <v>52.5</v>
      </c>
      <c r="I5263" t="str">
        <f t="shared" si="82"/>
        <v>Aug</v>
      </c>
      <c r="J5263">
        <f>YEAR(datas[[#This Row],[Order Date]])</f>
        <v>2023</v>
      </c>
    </row>
    <row r="5264" spans="1:10" ht="14.25" customHeight="1" x14ac:dyDescent="0.3">
      <c r="A5264" s="1">
        <v>45150</v>
      </c>
      <c r="B5264" s="2" t="s">
        <v>356</v>
      </c>
      <c r="C5264" s="2" t="s">
        <v>75</v>
      </c>
      <c r="D5264" s="2" t="s">
        <v>26</v>
      </c>
      <c r="E5264" s="2" t="s">
        <v>27</v>
      </c>
      <c r="F5264" s="2">
        <v>145.76</v>
      </c>
      <c r="G5264" s="2">
        <v>2</v>
      </c>
      <c r="H5264" s="2">
        <v>-8.1</v>
      </c>
      <c r="I5264" t="str">
        <f t="shared" si="82"/>
        <v>Aug</v>
      </c>
      <c r="J5264">
        <f>YEAR(datas[[#This Row],[Order Date]])</f>
        <v>2023</v>
      </c>
    </row>
    <row r="5265" spans="1:10" ht="14.25" customHeight="1" x14ac:dyDescent="0.3">
      <c r="A5265" s="1">
        <v>45150</v>
      </c>
      <c r="B5265" s="2" t="s">
        <v>671</v>
      </c>
      <c r="C5265" s="2" t="s">
        <v>64</v>
      </c>
      <c r="D5265" s="2" t="s">
        <v>26</v>
      </c>
      <c r="E5265" s="2" t="s">
        <v>73</v>
      </c>
      <c r="F5265" s="2">
        <v>562.29</v>
      </c>
      <c r="G5265" s="2">
        <v>7</v>
      </c>
      <c r="H5265" s="2">
        <v>-255.59</v>
      </c>
      <c r="I5265" t="str">
        <f t="shared" si="82"/>
        <v>Aug</v>
      </c>
      <c r="J5265">
        <f>YEAR(datas[[#This Row],[Order Date]])</f>
        <v>2023</v>
      </c>
    </row>
    <row r="5266" spans="1:10" ht="14.25" customHeight="1" x14ac:dyDescent="0.3">
      <c r="A5266" s="1">
        <v>45150</v>
      </c>
      <c r="B5266" s="2" t="s">
        <v>447</v>
      </c>
      <c r="C5266" s="2" t="s">
        <v>75</v>
      </c>
      <c r="D5266" s="2" t="s">
        <v>26</v>
      </c>
      <c r="E5266" s="2" t="s">
        <v>73</v>
      </c>
      <c r="F5266" s="2">
        <v>209.15</v>
      </c>
      <c r="G5266" s="2">
        <v>2</v>
      </c>
      <c r="H5266" s="2">
        <v>-66.23</v>
      </c>
      <c r="I5266" t="str">
        <f t="shared" si="82"/>
        <v>Aug</v>
      </c>
      <c r="J5266">
        <f>YEAR(datas[[#This Row],[Order Date]])</f>
        <v>2023</v>
      </c>
    </row>
    <row r="5267" spans="1:10" ht="14.25" customHeight="1" x14ac:dyDescent="0.3">
      <c r="A5267" s="1">
        <v>45150</v>
      </c>
      <c r="B5267" s="2" t="s">
        <v>447</v>
      </c>
      <c r="C5267" s="2" t="s">
        <v>75</v>
      </c>
      <c r="D5267" s="2" t="s">
        <v>10</v>
      </c>
      <c r="E5267" s="2" t="s">
        <v>15</v>
      </c>
      <c r="F5267" s="2">
        <v>1591.02</v>
      </c>
      <c r="G5267" s="2">
        <v>6</v>
      </c>
      <c r="H5267" s="2">
        <v>286.38</v>
      </c>
      <c r="I5267" t="str">
        <f t="shared" si="82"/>
        <v>Aug</v>
      </c>
      <c r="J5267">
        <f>YEAR(datas[[#This Row],[Order Date]])</f>
        <v>2023</v>
      </c>
    </row>
    <row r="5268" spans="1:10" ht="14.25" customHeight="1" x14ac:dyDescent="0.3">
      <c r="A5268" s="1">
        <v>45150</v>
      </c>
      <c r="B5268" s="2" t="s">
        <v>83</v>
      </c>
      <c r="C5268" s="2" t="s">
        <v>18</v>
      </c>
      <c r="D5268" s="2" t="s">
        <v>10</v>
      </c>
      <c r="E5268" s="2" t="s">
        <v>19</v>
      </c>
      <c r="F5268" s="2">
        <v>37.31</v>
      </c>
      <c r="G5268" s="2">
        <v>4</v>
      </c>
      <c r="H5268" s="2">
        <v>2.8</v>
      </c>
      <c r="I5268" t="str">
        <f t="shared" si="82"/>
        <v>Aug</v>
      </c>
      <c r="J5268">
        <f>YEAR(datas[[#This Row],[Order Date]])</f>
        <v>2023</v>
      </c>
    </row>
    <row r="5269" spans="1:10" ht="14.25" customHeight="1" x14ac:dyDescent="0.3">
      <c r="A5269" s="1">
        <v>45151</v>
      </c>
      <c r="B5269" s="2" t="s">
        <v>382</v>
      </c>
      <c r="C5269" s="2" t="s">
        <v>115</v>
      </c>
      <c r="D5269" s="2" t="s">
        <v>10</v>
      </c>
      <c r="E5269" s="2" t="s">
        <v>16</v>
      </c>
      <c r="F5269" s="2">
        <v>11.23</v>
      </c>
      <c r="G5269" s="2">
        <v>8</v>
      </c>
      <c r="H5269" s="2">
        <v>-8.24</v>
      </c>
      <c r="I5269" t="str">
        <f t="shared" si="82"/>
        <v>Aug</v>
      </c>
      <c r="J5269">
        <f>YEAR(datas[[#This Row],[Order Date]])</f>
        <v>2023</v>
      </c>
    </row>
    <row r="5270" spans="1:10" ht="14.25" customHeight="1" x14ac:dyDescent="0.3">
      <c r="A5270" s="1">
        <v>45151</v>
      </c>
      <c r="B5270" s="2" t="s">
        <v>382</v>
      </c>
      <c r="C5270" s="2" t="s">
        <v>115</v>
      </c>
      <c r="D5270" s="2" t="s">
        <v>10</v>
      </c>
      <c r="E5270" s="2" t="s">
        <v>11</v>
      </c>
      <c r="F5270" s="2">
        <v>10.27</v>
      </c>
      <c r="G5270" s="2">
        <v>3</v>
      </c>
      <c r="H5270" s="2">
        <v>3.21</v>
      </c>
      <c r="I5270" t="str">
        <f t="shared" si="82"/>
        <v>Aug</v>
      </c>
      <c r="J5270">
        <f>YEAR(datas[[#This Row],[Order Date]])</f>
        <v>2023</v>
      </c>
    </row>
    <row r="5271" spans="1:10" ht="14.25" customHeight="1" x14ac:dyDescent="0.3">
      <c r="A5271" s="1">
        <v>45151</v>
      </c>
      <c r="B5271" s="2" t="s">
        <v>225</v>
      </c>
      <c r="C5271" s="2" t="s">
        <v>79</v>
      </c>
      <c r="D5271" s="2" t="s">
        <v>26</v>
      </c>
      <c r="E5271" s="2" t="s">
        <v>45</v>
      </c>
      <c r="F5271" s="2">
        <v>241.96</v>
      </c>
      <c r="G5271" s="2">
        <v>2</v>
      </c>
      <c r="H5271" s="2">
        <v>24.2</v>
      </c>
      <c r="I5271" t="str">
        <f t="shared" si="82"/>
        <v>Aug</v>
      </c>
      <c r="J5271">
        <f>YEAR(datas[[#This Row],[Order Date]])</f>
        <v>2023</v>
      </c>
    </row>
    <row r="5272" spans="1:10" ht="14.25" customHeight="1" x14ac:dyDescent="0.3">
      <c r="A5272" s="1">
        <v>45151</v>
      </c>
      <c r="B5272" s="2" t="s">
        <v>225</v>
      </c>
      <c r="C5272" s="2" t="s">
        <v>79</v>
      </c>
      <c r="D5272" s="2" t="s">
        <v>10</v>
      </c>
      <c r="E5272" s="2" t="s">
        <v>16</v>
      </c>
      <c r="F5272" s="2">
        <v>8.52</v>
      </c>
      <c r="G5272" s="2">
        <v>3</v>
      </c>
      <c r="H5272" s="2">
        <v>4.17</v>
      </c>
      <c r="I5272" t="str">
        <f t="shared" si="82"/>
        <v>Aug</v>
      </c>
      <c r="J5272">
        <f>YEAR(datas[[#This Row],[Order Date]])</f>
        <v>2023</v>
      </c>
    </row>
    <row r="5273" spans="1:10" ht="14.25" customHeight="1" x14ac:dyDescent="0.3">
      <c r="A5273" s="1">
        <v>45151</v>
      </c>
      <c r="B5273" s="2" t="s">
        <v>530</v>
      </c>
      <c r="C5273" s="2" t="s">
        <v>40</v>
      </c>
      <c r="D5273" s="2" t="s">
        <v>10</v>
      </c>
      <c r="E5273" s="2" t="s">
        <v>53</v>
      </c>
      <c r="F5273" s="2">
        <v>17.34</v>
      </c>
      <c r="G5273" s="2">
        <v>2</v>
      </c>
      <c r="H5273" s="2">
        <v>4.68</v>
      </c>
      <c r="I5273" t="str">
        <f t="shared" si="82"/>
        <v>Aug</v>
      </c>
      <c r="J5273">
        <f>YEAR(datas[[#This Row],[Order Date]])</f>
        <v>2023</v>
      </c>
    </row>
    <row r="5274" spans="1:10" ht="14.25" customHeight="1" x14ac:dyDescent="0.3">
      <c r="A5274" s="1">
        <v>45151</v>
      </c>
      <c r="B5274" s="2" t="s">
        <v>530</v>
      </c>
      <c r="C5274" s="2" t="s">
        <v>40</v>
      </c>
      <c r="D5274" s="2" t="s">
        <v>28</v>
      </c>
      <c r="E5274" s="2" t="s">
        <v>34</v>
      </c>
      <c r="F5274" s="2">
        <v>71.98</v>
      </c>
      <c r="G5274" s="2">
        <v>2</v>
      </c>
      <c r="H5274" s="2">
        <v>15.12</v>
      </c>
      <c r="I5274" t="str">
        <f t="shared" si="82"/>
        <v>Aug</v>
      </c>
      <c r="J5274">
        <f>YEAR(datas[[#This Row],[Order Date]])</f>
        <v>2023</v>
      </c>
    </row>
    <row r="5275" spans="1:10" ht="14.25" customHeight="1" x14ac:dyDescent="0.3">
      <c r="A5275" s="1">
        <v>45151</v>
      </c>
      <c r="B5275" s="2" t="s">
        <v>575</v>
      </c>
      <c r="C5275" s="2" t="s">
        <v>36</v>
      </c>
      <c r="D5275" s="2" t="s">
        <v>10</v>
      </c>
      <c r="E5275" s="2" t="s">
        <v>16</v>
      </c>
      <c r="F5275" s="2">
        <v>22.32</v>
      </c>
      <c r="G5275" s="2">
        <v>4</v>
      </c>
      <c r="H5275" s="2">
        <v>10.71</v>
      </c>
      <c r="I5275" t="str">
        <f t="shared" si="82"/>
        <v>Aug</v>
      </c>
      <c r="J5275">
        <f>YEAR(datas[[#This Row],[Order Date]])</f>
        <v>2023</v>
      </c>
    </row>
    <row r="5276" spans="1:10" ht="14.25" customHeight="1" x14ac:dyDescent="0.3">
      <c r="A5276" s="1">
        <v>45151</v>
      </c>
      <c r="B5276" s="2" t="s">
        <v>575</v>
      </c>
      <c r="C5276" s="2" t="s">
        <v>36</v>
      </c>
      <c r="D5276" s="2" t="s">
        <v>10</v>
      </c>
      <c r="E5276" s="2" t="s">
        <v>14</v>
      </c>
      <c r="F5276" s="2">
        <v>103.6</v>
      </c>
      <c r="G5276" s="2">
        <v>7</v>
      </c>
      <c r="H5276" s="2">
        <v>51.8</v>
      </c>
      <c r="I5276" t="str">
        <f t="shared" si="82"/>
        <v>Aug</v>
      </c>
      <c r="J5276">
        <f>YEAR(datas[[#This Row],[Order Date]])</f>
        <v>2023</v>
      </c>
    </row>
    <row r="5277" spans="1:10" ht="14.25" customHeight="1" x14ac:dyDescent="0.3">
      <c r="A5277" s="1">
        <v>45151</v>
      </c>
      <c r="B5277" s="2" t="s">
        <v>255</v>
      </c>
      <c r="C5277" s="2" t="s">
        <v>9</v>
      </c>
      <c r="D5277" s="2" t="s">
        <v>10</v>
      </c>
      <c r="E5277" s="2" t="s">
        <v>95</v>
      </c>
      <c r="F5277" s="2">
        <v>185.38</v>
      </c>
      <c r="G5277" s="2">
        <v>2</v>
      </c>
      <c r="H5277" s="2">
        <v>-34.76</v>
      </c>
      <c r="I5277" t="str">
        <f t="shared" si="82"/>
        <v>Aug</v>
      </c>
      <c r="J5277">
        <f>YEAR(datas[[#This Row],[Order Date]])</f>
        <v>2023</v>
      </c>
    </row>
    <row r="5278" spans="1:10" ht="14.25" customHeight="1" x14ac:dyDescent="0.3">
      <c r="A5278" s="1">
        <v>45151</v>
      </c>
      <c r="B5278" s="2" t="s">
        <v>255</v>
      </c>
      <c r="C5278" s="2" t="s">
        <v>9</v>
      </c>
      <c r="D5278" s="2" t="s">
        <v>10</v>
      </c>
      <c r="E5278" s="2" t="s">
        <v>53</v>
      </c>
      <c r="F5278" s="2">
        <v>58.92</v>
      </c>
      <c r="G5278" s="2">
        <v>1</v>
      </c>
      <c r="H5278" s="2">
        <v>-153.19999999999999</v>
      </c>
      <c r="I5278" t="str">
        <f t="shared" si="82"/>
        <v>Aug</v>
      </c>
      <c r="J5278">
        <f>YEAR(datas[[#This Row],[Order Date]])</f>
        <v>2023</v>
      </c>
    </row>
    <row r="5279" spans="1:10" ht="14.25" customHeight="1" x14ac:dyDescent="0.3">
      <c r="A5279" s="1">
        <v>45152</v>
      </c>
      <c r="B5279" s="2" t="s">
        <v>821</v>
      </c>
      <c r="C5279" s="2" t="s">
        <v>21</v>
      </c>
      <c r="D5279" s="2" t="s">
        <v>10</v>
      </c>
      <c r="E5279" s="2" t="s">
        <v>11</v>
      </c>
      <c r="F5279" s="2">
        <v>15.54</v>
      </c>
      <c r="G5279" s="2">
        <v>3</v>
      </c>
      <c r="H5279" s="2">
        <v>7.61</v>
      </c>
      <c r="I5279" t="str">
        <f t="shared" si="82"/>
        <v>Aug</v>
      </c>
      <c r="J5279">
        <f>YEAR(datas[[#This Row],[Order Date]])</f>
        <v>2023</v>
      </c>
    </row>
    <row r="5280" spans="1:10" ht="14.25" customHeight="1" x14ac:dyDescent="0.3">
      <c r="A5280" s="1">
        <v>45152</v>
      </c>
      <c r="B5280" s="2" t="s">
        <v>821</v>
      </c>
      <c r="C5280" s="2" t="s">
        <v>21</v>
      </c>
      <c r="D5280" s="2" t="s">
        <v>28</v>
      </c>
      <c r="E5280" s="2" t="s">
        <v>136</v>
      </c>
      <c r="F5280" s="2">
        <v>105.55</v>
      </c>
      <c r="G5280" s="2">
        <v>6</v>
      </c>
      <c r="H5280" s="2">
        <v>35.619999999999997</v>
      </c>
      <c r="I5280" t="str">
        <f t="shared" si="82"/>
        <v>Aug</v>
      </c>
      <c r="J5280">
        <f>YEAR(datas[[#This Row],[Order Date]])</f>
        <v>2023</v>
      </c>
    </row>
    <row r="5281" spans="1:10" ht="14.25" customHeight="1" x14ac:dyDescent="0.3">
      <c r="A5281" s="1">
        <v>45152</v>
      </c>
      <c r="B5281" s="2" t="s">
        <v>618</v>
      </c>
      <c r="C5281" s="2" t="s">
        <v>62</v>
      </c>
      <c r="D5281" s="2" t="s">
        <v>10</v>
      </c>
      <c r="E5281" s="2" t="s">
        <v>11</v>
      </c>
      <c r="F5281" s="2">
        <v>15.55</v>
      </c>
      <c r="G5281" s="2">
        <v>3</v>
      </c>
      <c r="H5281" s="2">
        <v>5.44</v>
      </c>
      <c r="I5281" t="str">
        <f t="shared" si="82"/>
        <v>Aug</v>
      </c>
      <c r="J5281">
        <f>YEAR(datas[[#This Row],[Order Date]])</f>
        <v>2023</v>
      </c>
    </row>
    <row r="5282" spans="1:10" ht="14.25" customHeight="1" x14ac:dyDescent="0.3">
      <c r="A5282" s="1">
        <v>45152</v>
      </c>
      <c r="B5282" s="2" t="s">
        <v>217</v>
      </c>
      <c r="C5282" s="2" t="s">
        <v>47</v>
      </c>
      <c r="D5282" s="2" t="s">
        <v>28</v>
      </c>
      <c r="E5282" s="2" t="s">
        <v>29</v>
      </c>
      <c r="F5282" s="2">
        <v>259.89999999999998</v>
      </c>
      <c r="G5282" s="2">
        <v>2</v>
      </c>
      <c r="H5282" s="2">
        <v>-56.31</v>
      </c>
      <c r="I5282" t="str">
        <f t="shared" si="82"/>
        <v>Aug</v>
      </c>
      <c r="J5282">
        <f>YEAR(datas[[#This Row],[Order Date]])</f>
        <v>2023</v>
      </c>
    </row>
    <row r="5283" spans="1:10" ht="14.25" customHeight="1" x14ac:dyDescent="0.3">
      <c r="A5283" s="1">
        <v>45152</v>
      </c>
      <c r="B5283" s="2" t="s">
        <v>217</v>
      </c>
      <c r="C5283" s="2" t="s">
        <v>47</v>
      </c>
      <c r="D5283" s="2" t="s">
        <v>28</v>
      </c>
      <c r="E5283" s="2" t="s">
        <v>29</v>
      </c>
      <c r="F5283" s="2">
        <v>247.19</v>
      </c>
      <c r="G5283" s="2">
        <v>2</v>
      </c>
      <c r="H5283" s="2">
        <v>-49.44</v>
      </c>
      <c r="I5283" t="str">
        <f t="shared" si="82"/>
        <v>Aug</v>
      </c>
      <c r="J5283">
        <f>YEAR(datas[[#This Row],[Order Date]])</f>
        <v>2023</v>
      </c>
    </row>
    <row r="5284" spans="1:10" ht="14.25" customHeight="1" x14ac:dyDescent="0.3">
      <c r="A5284" s="1">
        <v>45152</v>
      </c>
      <c r="B5284" s="2" t="s">
        <v>217</v>
      </c>
      <c r="C5284" s="2" t="s">
        <v>47</v>
      </c>
      <c r="D5284" s="2" t="s">
        <v>28</v>
      </c>
      <c r="E5284" s="2" t="s">
        <v>34</v>
      </c>
      <c r="F5284" s="2">
        <v>279.95999999999998</v>
      </c>
      <c r="G5284" s="2">
        <v>5</v>
      </c>
      <c r="H5284" s="2">
        <v>48.99</v>
      </c>
      <c r="I5284" t="str">
        <f t="shared" si="82"/>
        <v>Aug</v>
      </c>
      <c r="J5284">
        <f>YEAR(datas[[#This Row],[Order Date]])</f>
        <v>2023</v>
      </c>
    </row>
    <row r="5285" spans="1:10" ht="14.25" customHeight="1" x14ac:dyDescent="0.3">
      <c r="A5285" s="1">
        <v>45153</v>
      </c>
      <c r="B5285" s="2" t="s">
        <v>365</v>
      </c>
      <c r="C5285" s="2" t="s">
        <v>126</v>
      </c>
      <c r="D5285" s="2" t="s">
        <v>10</v>
      </c>
      <c r="E5285" s="2" t="s">
        <v>16</v>
      </c>
      <c r="F5285" s="2">
        <v>18.88</v>
      </c>
      <c r="G5285" s="2">
        <v>3</v>
      </c>
      <c r="H5285" s="2">
        <v>-13.85</v>
      </c>
      <c r="I5285" t="str">
        <f t="shared" si="82"/>
        <v>Aug</v>
      </c>
      <c r="J5285">
        <f>YEAR(datas[[#This Row],[Order Date]])</f>
        <v>2023</v>
      </c>
    </row>
    <row r="5286" spans="1:10" ht="14.25" customHeight="1" x14ac:dyDescent="0.3">
      <c r="A5286" s="1">
        <v>45153</v>
      </c>
      <c r="B5286" s="2" t="s">
        <v>365</v>
      </c>
      <c r="C5286" s="2" t="s">
        <v>126</v>
      </c>
      <c r="D5286" s="2" t="s">
        <v>10</v>
      </c>
      <c r="E5286" s="2" t="s">
        <v>53</v>
      </c>
      <c r="F5286" s="2">
        <v>122.33</v>
      </c>
      <c r="G5286" s="2">
        <v>3</v>
      </c>
      <c r="H5286" s="2">
        <v>12.23</v>
      </c>
      <c r="I5286" t="str">
        <f t="shared" si="82"/>
        <v>Aug</v>
      </c>
      <c r="J5286">
        <f>YEAR(datas[[#This Row],[Order Date]])</f>
        <v>2023</v>
      </c>
    </row>
    <row r="5287" spans="1:10" ht="14.25" customHeight="1" x14ac:dyDescent="0.3">
      <c r="A5287" s="1">
        <v>45153</v>
      </c>
      <c r="B5287" s="2" t="s">
        <v>635</v>
      </c>
      <c r="C5287" s="2" t="s">
        <v>21</v>
      </c>
      <c r="D5287" s="2" t="s">
        <v>28</v>
      </c>
      <c r="E5287" s="2" t="s">
        <v>29</v>
      </c>
      <c r="F5287" s="2">
        <v>71.98</v>
      </c>
      <c r="G5287" s="2">
        <v>3</v>
      </c>
      <c r="H5287" s="2">
        <v>7.2</v>
      </c>
      <c r="I5287" t="str">
        <f t="shared" si="82"/>
        <v>Aug</v>
      </c>
      <c r="J5287">
        <f>YEAR(datas[[#This Row],[Order Date]])</f>
        <v>2023</v>
      </c>
    </row>
    <row r="5288" spans="1:10" ht="14.25" customHeight="1" x14ac:dyDescent="0.3">
      <c r="A5288" s="1">
        <v>45153</v>
      </c>
      <c r="B5288" s="2" t="s">
        <v>635</v>
      </c>
      <c r="C5288" s="2" t="s">
        <v>21</v>
      </c>
      <c r="D5288" s="2" t="s">
        <v>10</v>
      </c>
      <c r="E5288" s="2" t="s">
        <v>14</v>
      </c>
      <c r="F5288" s="2">
        <v>3.15</v>
      </c>
      <c r="G5288" s="2">
        <v>1</v>
      </c>
      <c r="H5288" s="2">
        <v>1.51</v>
      </c>
      <c r="I5288" t="str">
        <f t="shared" si="82"/>
        <v>Aug</v>
      </c>
      <c r="J5288">
        <f>YEAR(datas[[#This Row],[Order Date]])</f>
        <v>2023</v>
      </c>
    </row>
    <row r="5289" spans="1:10" ht="14.25" customHeight="1" x14ac:dyDescent="0.3">
      <c r="A5289" s="1">
        <v>45153</v>
      </c>
      <c r="B5289" s="2" t="s">
        <v>476</v>
      </c>
      <c r="C5289" s="2" t="s">
        <v>64</v>
      </c>
      <c r="D5289" s="2" t="s">
        <v>28</v>
      </c>
      <c r="E5289" s="2" t="s">
        <v>29</v>
      </c>
      <c r="F5289" s="2">
        <v>705.54</v>
      </c>
      <c r="G5289" s="2">
        <v>7</v>
      </c>
      <c r="H5289" s="2">
        <v>70.55</v>
      </c>
      <c r="I5289" t="str">
        <f t="shared" si="82"/>
        <v>Aug</v>
      </c>
      <c r="J5289">
        <f>YEAR(datas[[#This Row],[Order Date]])</f>
        <v>2023</v>
      </c>
    </row>
    <row r="5290" spans="1:10" ht="14.25" customHeight="1" x14ac:dyDescent="0.3">
      <c r="A5290" s="1">
        <v>45153</v>
      </c>
      <c r="B5290" s="2" t="s">
        <v>831</v>
      </c>
      <c r="C5290" s="2" t="s">
        <v>115</v>
      </c>
      <c r="D5290" s="2" t="s">
        <v>26</v>
      </c>
      <c r="E5290" s="2" t="s">
        <v>27</v>
      </c>
      <c r="F5290" s="2">
        <v>225.3</v>
      </c>
      <c r="G5290" s="2">
        <v>2</v>
      </c>
      <c r="H5290" s="2">
        <v>22.53</v>
      </c>
      <c r="I5290" t="str">
        <f t="shared" si="82"/>
        <v>Aug</v>
      </c>
      <c r="J5290">
        <f>YEAR(datas[[#This Row],[Order Date]])</f>
        <v>2023</v>
      </c>
    </row>
    <row r="5291" spans="1:10" ht="14.25" customHeight="1" x14ac:dyDescent="0.3">
      <c r="A5291" s="1">
        <v>45153</v>
      </c>
      <c r="B5291" s="2" t="s">
        <v>722</v>
      </c>
      <c r="C5291" s="2" t="s">
        <v>21</v>
      </c>
      <c r="D5291" s="2" t="s">
        <v>26</v>
      </c>
      <c r="E5291" s="2" t="s">
        <v>32</v>
      </c>
      <c r="F5291" s="2">
        <v>312.02999999999997</v>
      </c>
      <c r="G5291" s="2">
        <v>3</v>
      </c>
      <c r="H5291" s="2">
        <v>43.68</v>
      </c>
      <c r="I5291" t="str">
        <f t="shared" si="82"/>
        <v>Aug</v>
      </c>
      <c r="J5291">
        <f>YEAR(datas[[#This Row],[Order Date]])</f>
        <v>2023</v>
      </c>
    </row>
    <row r="5292" spans="1:10" ht="14.25" customHeight="1" x14ac:dyDescent="0.3">
      <c r="A5292" s="1">
        <v>45153</v>
      </c>
      <c r="B5292" s="2" t="s">
        <v>722</v>
      </c>
      <c r="C5292" s="2" t="s">
        <v>21</v>
      </c>
      <c r="D5292" s="2" t="s">
        <v>10</v>
      </c>
      <c r="E5292" s="2" t="s">
        <v>15</v>
      </c>
      <c r="F5292" s="2">
        <v>17.940000000000001</v>
      </c>
      <c r="G5292" s="2">
        <v>3</v>
      </c>
      <c r="H5292" s="2">
        <v>3.05</v>
      </c>
      <c r="I5292" t="str">
        <f t="shared" si="82"/>
        <v>Aug</v>
      </c>
      <c r="J5292">
        <f>YEAR(datas[[#This Row],[Order Date]])</f>
        <v>2023</v>
      </c>
    </row>
    <row r="5293" spans="1:10" ht="14.25" customHeight="1" x14ac:dyDescent="0.3">
      <c r="A5293" s="1">
        <v>45153</v>
      </c>
      <c r="B5293" s="2" t="s">
        <v>722</v>
      </c>
      <c r="C5293" s="2" t="s">
        <v>21</v>
      </c>
      <c r="D5293" s="2" t="s">
        <v>28</v>
      </c>
      <c r="E5293" s="2" t="s">
        <v>29</v>
      </c>
      <c r="F5293" s="2">
        <v>165.6</v>
      </c>
      <c r="G5293" s="2">
        <v>3</v>
      </c>
      <c r="H5293" s="2">
        <v>10.35</v>
      </c>
      <c r="I5293" t="str">
        <f t="shared" si="82"/>
        <v>Aug</v>
      </c>
      <c r="J5293">
        <f>YEAR(datas[[#This Row],[Order Date]])</f>
        <v>2023</v>
      </c>
    </row>
    <row r="5294" spans="1:10" ht="14.25" customHeight="1" x14ac:dyDescent="0.3">
      <c r="A5294" s="1">
        <v>45153</v>
      </c>
      <c r="B5294" s="2" t="s">
        <v>722</v>
      </c>
      <c r="C5294" s="2" t="s">
        <v>21</v>
      </c>
      <c r="D5294" s="2" t="s">
        <v>10</v>
      </c>
      <c r="E5294" s="2" t="s">
        <v>11</v>
      </c>
      <c r="F5294" s="2">
        <v>37.520000000000003</v>
      </c>
      <c r="G5294" s="2">
        <v>4</v>
      </c>
      <c r="H5294" s="2">
        <v>18.010000000000002</v>
      </c>
      <c r="I5294" t="str">
        <f t="shared" si="82"/>
        <v>Aug</v>
      </c>
      <c r="J5294">
        <f>YEAR(datas[[#This Row],[Order Date]])</f>
        <v>2023</v>
      </c>
    </row>
    <row r="5295" spans="1:10" ht="14.25" customHeight="1" x14ac:dyDescent="0.3">
      <c r="A5295" s="1">
        <v>45154</v>
      </c>
      <c r="B5295" s="2" t="s">
        <v>572</v>
      </c>
      <c r="C5295" s="2" t="s">
        <v>21</v>
      </c>
      <c r="D5295" s="2" t="s">
        <v>10</v>
      </c>
      <c r="E5295" s="2" t="s">
        <v>41</v>
      </c>
      <c r="F5295" s="2">
        <v>10.86</v>
      </c>
      <c r="G5295" s="2">
        <v>3</v>
      </c>
      <c r="H5295" s="2">
        <v>5.0999999999999996</v>
      </c>
      <c r="I5295" t="str">
        <f t="shared" si="82"/>
        <v>Aug</v>
      </c>
      <c r="J5295">
        <f>YEAR(datas[[#This Row],[Order Date]])</f>
        <v>2023</v>
      </c>
    </row>
    <row r="5296" spans="1:10" ht="14.25" customHeight="1" x14ac:dyDescent="0.3">
      <c r="A5296" s="1">
        <v>45154</v>
      </c>
      <c r="B5296" s="2" t="s">
        <v>845</v>
      </c>
      <c r="C5296" s="2" t="s">
        <v>21</v>
      </c>
      <c r="D5296" s="2" t="s">
        <v>26</v>
      </c>
      <c r="E5296" s="2" t="s">
        <v>73</v>
      </c>
      <c r="F5296" s="2">
        <v>161.28</v>
      </c>
      <c r="G5296" s="2">
        <v>2</v>
      </c>
      <c r="H5296" s="2">
        <v>12.1</v>
      </c>
      <c r="I5296" t="str">
        <f t="shared" si="82"/>
        <v>Aug</v>
      </c>
      <c r="J5296">
        <f>YEAR(datas[[#This Row],[Order Date]])</f>
        <v>2023</v>
      </c>
    </row>
    <row r="5297" spans="1:10" ht="14.25" customHeight="1" x14ac:dyDescent="0.3">
      <c r="A5297" s="1">
        <v>45154</v>
      </c>
      <c r="B5297" s="2" t="s">
        <v>425</v>
      </c>
      <c r="C5297" s="2" t="s">
        <v>21</v>
      </c>
      <c r="D5297" s="2" t="s">
        <v>10</v>
      </c>
      <c r="E5297" s="2" t="s">
        <v>11</v>
      </c>
      <c r="F5297" s="2">
        <v>32.4</v>
      </c>
      <c r="G5297" s="2">
        <v>5</v>
      </c>
      <c r="H5297" s="2">
        <v>15.55</v>
      </c>
      <c r="I5297" t="str">
        <f t="shared" si="82"/>
        <v>Aug</v>
      </c>
      <c r="J5297">
        <f>YEAR(datas[[#This Row],[Order Date]])</f>
        <v>2023</v>
      </c>
    </row>
    <row r="5298" spans="1:10" ht="14.25" customHeight="1" x14ac:dyDescent="0.3">
      <c r="A5298" s="1">
        <v>45155</v>
      </c>
      <c r="B5298" s="2" t="s">
        <v>758</v>
      </c>
      <c r="C5298" s="2" t="s">
        <v>82</v>
      </c>
      <c r="D5298" s="2" t="s">
        <v>10</v>
      </c>
      <c r="E5298" s="2" t="s">
        <v>16</v>
      </c>
      <c r="F5298" s="2">
        <v>15.71</v>
      </c>
      <c r="G5298" s="2">
        <v>4</v>
      </c>
      <c r="H5298" s="2">
        <v>5.7</v>
      </c>
      <c r="I5298" t="str">
        <f t="shared" si="82"/>
        <v>Aug</v>
      </c>
      <c r="J5298">
        <f>YEAR(datas[[#This Row],[Order Date]])</f>
        <v>2023</v>
      </c>
    </row>
    <row r="5299" spans="1:10" ht="14.25" customHeight="1" x14ac:dyDescent="0.3">
      <c r="A5299" s="1">
        <v>45156</v>
      </c>
      <c r="B5299" s="2" t="s">
        <v>771</v>
      </c>
      <c r="C5299" s="2" t="s">
        <v>75</v>
      </c>
      <c r="D5299" s="2" t="s">
        <v>10</v>
      </c>
      <c r="E5299" s="2" t="s">
        <v>53</v>
      </c>
      <c r="F5299" s="2">
        <v>355.32</v>
      </c>
      <c r="G5299" s="2">
        <v>9</v>
      </c>
      <c r="H5299" s="2">
        <v>99.49</v>
      </c>
      <c r="I5299" t="str">
        <f t="shared" si="82"/>
        <v>Aug</v>
      </c>
      <c r="J5299">
        <f>YEAR(datas[[#This Row],[Order Date]])</f>
        <v>2023</v>
      </c>
    </row>
    <row r="5300" spans="1:10" ht="14.25" customHeight="1" x14ac:dyDescent="0.3">
      <c r="A5300" s="1">
        <v>45156</v>
      </c>
      <c r="B5300" s="2" t="s">
        <v>551</v>
      </c>
      <c r="C5300" s="2" t="s">
        <v>75</v>
      </c>
      <c r="D5300" s="2" t="s">
        <v>28</v>
      </c>
      <c r="E5300" s="2" t="s">
        <v>29</v>
      </c>
      <c r="F5300" s="2">
        <v>39.99</v>
      </c>
      <c r="G5300" s="2">
        <v>1</v>
      </c>
      <c r="H5300" s="2">
        <v>11.6</v>
      </c>
      <c r="I5300" t="str">
        <f t="shared" si="82"/>
        <v>Aug</v>
      </c>
      <c r="J5300">
        <f>YEAR(datas[[#This Row],[Order Date]])</f>
        <v>2023</v>
      </c>
    </row>
    <row r="5301" spans="1:10" ht="14.25" customHeight="1" x14ac:dyDescent="0.3">
      <c r="A5301" s="1">
        <v>45156</v>
      </c>
      <c r="B5301" s="2" t="s">
        <v>89</v>
      </c>
      <c r="C5301" s="2" t="s">
        <v>9</v>
      </c>
      <c r="D5301" s="2" t="s">
        <v>10</v>
      </c>
      <c r="E5301" s="2" t="s">
        <v>16</v>
      </c>
      <c r="F5301" s="2">
        <v>2.0699999999999998</v>
      </c>
      <c r="G5301" s="2">
        <v>1</v>
      </c>
      <c r="H5301" s="2">
        <v>-3.41</v>
      </c>
      <c r="I5301" t="str">
        <f t="shared" si="82"/>
        <v>Aug</v>
      </c>
      <c r="J5301">
        <f>YEAR(datas[[#This Row],[Order Date]])</f>
        <v>2023</v>
      </c>
    </row>
    <row r="5302" spans="1:10" ht="14.25" customHeight="1" x14ac:dyDescent="0.3">
      <c r="A5302" s="1">
        <v>45156</v>
      </c>
      <c r="B5302" s="2" t="s">
        <v>89</v>
      </c>
      <c r="C5302" s="2" t="s">
        <v>9</v>
      </c>
      <c r="D5302" s="2" t="s">
        <v>10</v>
      </c>
      <c r="E5302" s="2" t="s">
        <v>11</v>
      </c>
      <c r="F5302" s="2">
        <v>83.84</v>
      </c>
      <c r="G5302" s="2">
        <v>8</v>
      </c>
      <c r="H5302" s="2">
        <v>30.39</v>
      </c>
      <c r="I5302" t="str">
        <f t="shared" si="82"/>
        <v>Aug</v>
      </c>
      <c r="J5302">
        <f>YEAR(datas[[#This Row],[Order Date]])</f>
        <v>2023</v>
      </c>
    </row>
    <row r="5303" spans="1:10" ht="14.25" customHeight="1" x14ac:dyDescent="0.3">
      <c r="A5303" s="1">
        <v>45156</v>
      </c>
      <c r="B5303" s="2" t="s">
        <v>408</v>
      </c>
      <c r="C5303" s="2" t="s">
        <v>9</v>
      </c>
      <c r="D5303" s="2" t="s">
        <v>26</v>
      </c>
      <c r="E5303" s="2" t="s">
        <v>32</v>
      </c>
      <c r="F5303" s="2">
        <v>9.5500000000000007</v>
      </c>
      <c r="G5303" s="2">
        <v>3</v>
      </c>
      <c r="H5303" s="2">
        <v>-3.82</v>
      </c>
      <c r="I5303" t="str">
        <f t="shared" si="82"/>
        <v>Aug</v>
      </c>
      <c r="J5303">
        <f>YEAR(datas[[#This Row],[Order Date]])</f>
        <v>2023</v>
      </c>
    </row>
    <row r="5304" spans="1:10" ht="14.25" customHeight="1" x14ac:dyDescent="0.3">
      <c r="A5304" s="1">
        <v>45156</v>
      </c>
      <c r="B5304" s="2" t="s">
        <v>408</v>
      </c>
      <c r="C5304" s="2" t="s">
        <v>9</v>
      </c>
      <c r="D5304" s="2" t="s">
        <v>26</v>
      </c>
      <c r="E5304" s="2" t="s">
        <v>32</v>
      </c>
      <c r="F5304" s="2">
        <v>5.34</v>
      </c>
      <c r="G5304" s="2">
        <v>4</v>
      </c>
      <c r="H5304" s="2">
        <v>-2.14</v>
      </c>
      <c r="I5304" t="str">
        <f t="shared" si="82"/>
        <v>Aug</v>
      </c>
      <c r="J5304">
        <f>YEAR(datas[[#This Row],[Order Date]])</f>
        <v>2023</v>
      </c>
    </row>
    <row r="5305" spans="1:10" ht="14.25" customHeight="1" x14ac:dyDescent="0.3">
      <c r="A5305" s="1">
        <v>45157</v>
      </c>
      <c r="B5305" s="2" t="s">
        <v>285</v>
      </c>
      <c r="C5305" s="2" t="s">
        <v>75</v>
      </c>
      <c r="D5305" s="2" t="s">
        <v>10</v>
      </c>
      <c r="E5305" s="2" t="s">
        <v>16</v>
      </c>
      <c r="F5305" s="2">
        <v>146.69</v>
      </c>
      <c r="G5305" s="2">
        <v>6</v>
      </c>
      <c r="H5305" s="2">
        <v>55.01</v>
      </c>
      <c r="I5305" t="str">
        <f t="shared" si="82"/>
        <v>Aug</v>
      </c>
      <c r="J5305">
        <f>YEAR(datas[[#This Row],[Order Date]])</f>
        <v>2023</v>
      </c>
    </row>
    <row r="5306" spans="1:10" ht="14.25" customHeight="1" x14ac:dyDescent="0.3">
      <c r="A5306" s="1">
        <v>45157</v>
      </c>
      <c r="B5306" s="2" t="s">
        <v>285</v>
      </c>
      <c r="C5306" s="2" t="s">
        <v>75</v>
      </c>
      <c r="D5306" s="2" t="s">
        <v>10</v>
      </c>
      <c r="E5306" s="2" t="s">
        <v>16</v>
      </c>
      <c r="F5306" s="2">
        <v>276.77999999999997</v>
      </c>
      <c r="G5306" s="2">
        <v>2</v>
      </c>
      <c r="H5306" s="2">
        <v>89.95</v>
      </c>
      <c r="I5306" t="str">
        <f t="shared" si="82"/>
        <v>Aug</v>
      </c>
      <c r="J5306">
        <f>YEAR(datas[[#This Row],[Order Date]])</f>
        <v>2023</v>
      </c>
    </row>
    <row r="5307" spans="1:10" ht="14.25" customHeight="1" x14ac:dyDescent="0.3">
      <c r="A5307" s="1">
        <v>45157</v>
      </c>
      <c r="B5307" s="2" t="s">
        <v>285</v>
      </c>
      <c r="C5307" s="2" t="s">
        <v>75</v>
      </c>
      <c r="D5307" s="2" t="s">
        <v>10</v>
      </c>
      <c r="E5307" s="2" t="s">
        <v>16</v>
      </c>
      <c r="F5307" s="2">
        <v>25.32</v>
      </c>
      <c r="G5307" s="2">
        <v>5</v>
      </c>
      <c r="H5307" s="2">
        <v>9.18</v>
      </c>
      <c r="I5307" t="str">
        <f t="shared" si="82"/>
        <v>Aug</v>
      </c>
      <c r="J5307">
        <f>YEAR(datas[[#This Row],[Order Date]])</f>
        <v>2023</v>
      </c>
    </row>
    <row r="5308" spans="1:10" ht="14.25" customHeight="1" x14ac:dyDescent="0.3">
      <c r="A5308" s="1">
        <v>45158</v>
      </c>
      <c r="B5308" s="2" t="s">
        <v>300</v>
      </c>
      <c r="C5308" s="2" t="s">
        <v>60</v>
      </c>
      <c r="D5308" s="2" t="s">
        <v>28</v>
      </c>
      <c r="E5308" s="2" t="s">
        <v>29</v>
      </c>
      <c r="F5308" s="2">
        <v>14.78</v>
      </c>
      <c r="G5308" s="2">
        <v>2</v>
      </c>
      <c r="H5308" s="2">
        <v>3.99</v>
      </c>
      <c r="I5308" t="str">
        <f t="shared" si="82"/>
        <v>Aug</v>
      </c>
      <c r="J5308">
        <f>YEAR(datas[[#This Row],[Order Date]])</f>
        <v>2023</v>
      </c>
    </row>
    <row r="5309" spans="1:10" ht="14.25" customHeight="1" x14ac:dyDescent="0.3">
      <c r="A5309" s="1">
        <v>45159</v>
      </c>
      <c r="B5309" s="2" t="s">
        <v>794</v>
      </c>
      <c r="C5309" s="2" t="s">
        <v>115</v>
      </c>
      <c r="D5309" s="2" t="s">
        <v>10</v>
      </c>
      <c r="E5309" s="2" t="s">
        <v>14</v>
      </c>
      <c r="F5309" s="2">
        <v>9.2200000000000006</v>
      </c>
      <c r="G5309" s="2">
        <v>4</v>
      </c>
      <c r="H5309" s="2">
        <v>3.34</v>
      </c>
      <c r="I5309" t="str">
        <f t="shared" si="82"/>
        <v>Aug</v>
      </c>
      <c r="J5309">
        <f>YEAR(datas[[#This Row],[Order Date]])</f>
        <v>2023</v>
      </c>
    </row>
    <row r="5310" spans="1:10" ht="14.25" customHeight="1" x14ac:dyDescent="0.3">
      <c r="A5310" s="1">
        <v>45159</v>
      </c>
      <c r="B5310" s="2" t="s">
        <v>794</v>
      </c>
      <c r="C5310" s="2" t="s">
        <v>115</v>
      </c>
      <c r="D5310" s="2" t="s">
        <v>10</v>
      </c>
      <c r="E5310" s="2" t="s">
        <v>95</v>
      </c>
      <c r="F5310" s="2">
        <v>28.05</v>
      </c>
      <c r="G5310" s="2">
        <v>2</v>
      </c>
      <c r="H5310" s="2">
        <v>3.51</v>
      </c>
      <c r="I5310" t="str">
        <f t="shared" si="82"/>
        <v>Aug</v>
      </c>
      <c r="J5310">
        <f>YEAR(datas[[#This Row],[Order Date]])</f>
        <v>2023</v>
      </c>
    </row>
    <row r="5311" spans="1:10" ht="14.25" customHeight="1" x14ac:dyDescent="0.3">
      <c r="A5311" s="1">
        <v>45159</v>
      </c>
      <c r="B5311" s="2" t="s">
        <v>135</v>
      </c>
      <c r="C5311" s="2" t="s">
        <v>18</v>
      </c>
      <c r="D5311" s="2" t="s">
        <v>26</v>
      </c>
      <c r="E5311" s="2" t="s">
        <v>73</v>
      </c>
      <c r="F5311" s="2">
        <v>815.29</v>
      </c>
      <c r="G5311" s="2">
        <v>9</v>
      </c>
      <c r="H5311" s="2">
        <v>-339.71</v>
      </c>
      <c r="I5311" t="str">
        <f t="shared" si="82"/>
        <v>Aug</v>
      </c>
      <c r="J5311">
        <f>YEAR(datas[[#This Row],[Order Date]])</f>
        <v>2023</v>
      </c>
    </row>
    <row r="5312" spans="1:10" ht="14.25" customHeight="1" x14ac:dyDescent="0.3">
      <c r="A5312" s="1">
        <v>45159</v>
      </c>
      <c r="B5312" s="2" t="s">
        <v>833</v>
      </c>
      <c r="C5312" s="2" t="s">
        <v>21</v>
      </c>
      <c r="D5312" s="2" t="s">
        <v>10</v>
      </c>
      <c r="E5312" s="2" t="s">
        <v>16</v>
      </c>
      <c r="F5312" s="2">
        <v>12.67</v>
      </c>
      <c r="G5312" s="2">
        <v>2</v>
      </c>
      <c r="H5312" s="2">
        <v>4.75</v>
      </c>
      <c r="I5312" t="str">
        <f t="shared" si="82"/>
        <v>Aug</v>
      </c>
      <c r="J5312">
        <f>YEAR(datas[[#This Row],[Order Date]])</f>
        <v>2023</v>
      </c>
    </row>
    <row r="5313" spans="1:10" ht="14.25" customHeight="1" x14ac:dyDescent="0.3">
      <c r="A5313" s="1">
        <v>45159</v>
      </c>
      <c r="B5313" s="2" t="s">
        <v>833</v>
      </c>
      <c r="C5313" s="2" t="s">
        <v>21</v>
      </c>
      <c r="D5313" s="2" t="s">
        <v>28</v>
      </c>
      <c r="E5313" s="2" t="s">
        <v>29</v>
      </c>
      <c r="F5313" s="2">
        <v>91.96</v>
      </c>
      <c r="G5313" s="2">
        <v>5</v>
      </c>
      <c r="H5313" s="2">
        <v>-20.69</v>
      </c>
      <c r="I5313" t="str">
        <f t="shared" si="82"/>
        <v>Aug</v>
      </c>
      <c r="J5313">
        <f>YEAR(datas[[#This Row],[Order Date]])</f>
        <v>2023</v>
      </c>
    </row>
    <row r="5314" spans="1:10" ht="14.25" customHeight="1" x14ac:dyDescent="0.3">
      <c r="A5314" s="1">
        <v>45159</v>
      </c>
      <c r="B5314" s="2" t="s">
        <v>833</v>
      </c>
      <c r="C5314" s="2" t="s">
        <v>21</v>
      </c>
      <c r="D5314" s="2" t="s">
        <v>28</v>
      </c>
      <c r="E5314" s="2" t="s">
        <v>34</v>
      </c>
      <c r="F5314" s="2">
        <v>254.97</v>
      </c>
      <c r="G5314" s="2">
        <v>3</v>
      </c>
      <c r="H5314" s="2">
        <v>91.79</v>
      </c>
      <c r="I5314" t="str">
        <f t="shared" si="82"/>
        <v>Aug</v>
      </c>
      <c r="J5314">
        <f>YEAR(datas[[#This Row],[Order Date]])</f>
        <v>2023</v>
      </c>
    </row>
    <row r="5315" spans="1:10" ht="14.25" customHeight="1" x14ac:dyDescent="0.3">
      <c r="A5315" s="1">
        <v>45159</v>
      </c>
      <c r="B5315" s="2" t="s">
        <v>833</v>
      </c>
      <c r="C5315" s="2" t="s">
        <v>21</v>
      </c>
      <c r="D5315" s="2" t="s">
        <v>28</v>
      </c>
      <c r="E5315" s="2" t="s">
        <v>29</v>
      </c>
      <c r="F5315" s="2">
        <v>31.98</v>
      </c>
      <c r="G5315" s="2">
        <v>2</v>
      </c>
      <c r="H5315" s="2">
        <v>-8</v>
      </c>
      <c r="I5315" t="str">
        <f t="shared" ref="I5315:I5378" si="83">TEXT(A5315,"mmm")</f>
        <v>Aug</v>
      </c>
      <c r="J5315">
        <f>YEAR(datas[[#This Row],[Order Date]])</f>
        <v>2023</v>
      </c>
    </row>
    <row r="5316" spans="1:10" ht="14.25" customHeight="1" x14ac:dyDescent="0.3">
      <c r="A5316" s="1">
        <v>45159</v>
      </c>
      <c r="B5316" s="2" t="s">
        <v>833</v>
      </c>
      <c r="C5316" s="2" t="s">
        <v>21</v>
      </c>
      <c r="D5316" s="2" t="s">
        <v>26</v>
      </c>
      <c r="E5316" s="2" t="s">
        <v>73</v>
      </c>
      <c r="F5316" s="2">
        <v>2887.06</v>
      </c>
      <c r="G5316" s="2">
        <v>9</v>
      </c>
      <c r="H5316" s="2">
        <v>180.44</v>
      </c>
      <c r="I5316" t="str">
        <f t="shared" si="83"/>
        <v>Aug</v>
      </c>
      <c r="J5316">
        <f>YEAR(datas[[#This Row],[Order Date]])</f>
        <v>2023</v>
      </c>
    </row>
    <row r="5317" spans="1:10" ht="14.25" customHeight="1" x14ac:dyDescent="0.3">
      <c r="A5317" s="1">
        <v>45159</v>
      </c>
      <c r="B5317" s="2" t="s">
        <v>833</v>
      </c>
      <c r="C5317" s="2" t="s">
        <v>21</v>
      </c>
      <c r="D5317" s="2" t="s">
        <v>10</v>
      </c>
      <c r="E5317" s="2" t="s">
        <v>11</v>
      </c>
      <c r="F5317" s="2">
        <v>12.96</v>
      </c>
      <c r="G5317" s="2">
        <v>2</v>
      </c>
      <c r="H5317" s="2">
        <v>6.22</v>
      </c>
      <c r="I5317" t="str">
        <f t="shared" si="83"/>
        <v>Aug</v>
      </c>
      <c r="J5317">
        <f>YEAR(datas[[#This Row],[Order Date]])</f>
        <v>2023</v>
      </c>
    </row>
    <row r="5318" spans="1:10" ht="14.25" customHeight="1" x14ac:dyDescent="0.3">
      <c r="A5318" s="1">
        <v>45159</v>
      </c>
      <c r="B5318" s="2" t="s">
        <v>833</v>
      </c>
      <c r="C5318" s="2" t="s">
        <v>21</v>
      </c>
      <c r="D5318" s="2" t="s">
        <v>10</v>
      </c>
      <c r="E5318" s="2" t="s">
        <v>11</v>
      </c>
      <c r="F5318" s="2">
        <v>47.52</v>
      </c>
      <c r="G5318" s="2">
        <v>9</v>
      </c>
      <c r="H5318" s="2">
        <v>21.38</v>
      </c>
      <c r="I5318" t="str">
        <f t="shared" si="83"/>
        <v>Aug</v>
      </c>
      <c r="J5318">
        <f>YEAR(datas[[#This Row],[Order Date]])</f>
        <v>2023</v>
      </c>
    </row>
    <row r="5319" spans="1:10" ht="14.25" customHeight="1" x14ac:dyDescent="0.3">
      <c r="A5319" s="1">
        <v>45159</v>
      </c>
      <c r="B5319" s="2" t="s">
        <v>539</v>
      </c>
      <c r="C5319" s="2" t="s">
        <v>82</v>
      </c>
      <c r="D5319" s="2" t="s">
        <v>10</v>
      </c>
      <c r="E5319" s="2" t="s">
        <v>16</v>
      </c>
      <c r="F5319" s="2">
        <v>33.44</v>
      </c>
      <c r="G5319" s="2">
        <v>10</v>
      </c>
      <c r="H5319" s="2">
        <v>11.7</v>
      </c>
      <c r="I5319" t="str">
        <f t="shared" si="83"/>
        <v>Aug</v>
      </c>
      <c r="J5319">
        <f>YEAR(datas[[#This Row],[Order Date]])</f>
        <v>2023</v>
      </c>
    </row>
    <row r="5320" spans="1:10" ht="14.25" customHeight="1" x14ac:dyDescent="0.3">
      <c r="A5320" s="1">
        <v>45159</v>
      </c>
      <c r="B5320" s="2" t="s">
        <v>205</v>
      </c>
      <c r="C5320" s="2" t="s">
        <v>75</v>
      </c>
      <c r="D5320" s="2" t="s">
        <v>26</v>
      </c>
      <c r="E5320" s="2" t="s">
        <v>27</v>
      </c>
      <c r="F5320" s="2">
        <v>573.16999999999996</v>
      </c>
      <c r="G5320" s="2">
        <v>7</v>
      </c>
      <c r="H5320" s="2">
        <v>63.69</v>
      </c>
      <c r="I5320" t="str">
        <f t="shared" si="83"/>
        <v>Aug</v>
      </c>
      <c r="J5320">
        <f>YEAR(datas[[#This Row],[Order Date]])</f>
        <v>2023</v>
      </c>
    </row>
    <row r="5321" spans="1:10" ht="14.25" customHeight="1" x14ac:dyDescent="0.3">
      <c r="A5321" s="1">
        <v>45160</v>
      </c>
      <c r="B5321" s="2" t="s">
        <v>423</v>
      </c>
      <c r="C5321" s="2" t="s">
        <v>47</v>
      </c>
      <c r="D5321" s="2" t="s">
        <v>10</v>
      </c>
      <c r="E5321" s="2" t="s">
        <v>53</v>
      </c>
      <c r="F5321" s="2">
        <v>113.55</v>
      </c>
      <c r="G5321" s="2">
        <v>2</v>
      </c>
      <c r="H5321" s="2">
        <v>8.52</v>
      </c>
      <c r="I5321" t="str">
        <f t="shared" si="83"/>
        <v>Aug</v>
      </c>
      <c r="J5321">
        <f>YEAR(datas[[#This Row],[Order Date]])</f>
        <v>2023</v>
      </c>
    </row>
    <row r="5322" spans="1:10" ht="14.25" customHeight="1" x14ac:dyDescent="0.3">
      <c r="A5322" s="1">
        <v>45160</v>
      </c>
      <c r="B5322" s="2" t="s">
        <v>423</v>
      </c>
      <c r="C5322" s="2" t="s">
        <v>47</v>
      </c>
      <c r="D5322" s="2" t="s">
        <v>10</v>
      </c>
      <c r="E5322" s="2" t="s">
        <v>16</v>
      </c>
      <c r="F5322" s="2">
        <v>3.32</v>
      </c>
      <c r="G5322" s="2">
        <v>2</v>
      </c>
      <c r="H5322" s="2">
        <v>-2.65</v>
      </c>
      <c r="I5322" t="str">
        <f t="shared" si="83"/>
        <v>Aug</v>
      </c>
      <c r="J5322">
        <f>YEAR(datas[[#This Row],[Order Date]])</f>
        <v>2023</v>
      </c>
    </row>
    <row r="5323" spans="1:10" ht="14.25" customHeight="1" x14ac:dyDescent="0.3">
      <c r="A5323" s="1">
        <v>45160</v>
      </c>
      <c r="B5323" s="2" t="s">
        <v>423</v>
      </c>
      <c r="C5323" s="2" t="s">
        <v>47</v>
      </c>
      <c r="D5323" s="2" t="s">
        <v>10</v>
      </c>
      <c r="E5323" s="2" t="s">
        <v>41</v>
      </c>
      <c r="F5323" s="2">
        <v>134.29</v>
      </c>
      <c r="G5323" s="2">
        <v>2</v>
      </c>
      <c r="H5323" s="2">
        <v>45.32</v>
      </c>
      <c r="I5323" t="str">
        <f t="shared" si="83"/>
        <v>Aug</v>
      </c>
      <c r="J5323">
        <f>YEAR(datas[[#This Row],[Order Date]])</f>
        <v>2023</v>
      </c>
    </row>
    <row r="5324" spans="1:10" ht="14.25" customHeight="1" x14ac:dyDescent="0.3">
      <c r="A5324" s="1">
        <v>45160</v>
      </c>
      <c r="B5324" s="2" t="s">
        <v>177</v>
      </c>
      <c r="C5324" s="2" t="s">
        <v>9</v>
      </c>
      <c r="D5324" s="2" t="s">
        <v>10</v>
      </c>
      <c r="E5324" s="2" t="s">
        <v>16</v>
      </c>
      <c r="F5324" s="2">
        <v>4.3099999999999996</v>
      </c>
      <c r="G5324" s="2">
        <v>2</v>
      </c>
      <c r="H5324" s="2">
        <v>-6.9</v>
      </c>
      <c r="I5324" t="str">
        <f t="shared" si="83"/>
        <v>Aug</v>
      </c>
      <c r="J5324">
        <f>YEAR(datas[[#This Row],[Order Date]])</f>
        <v>2023</v>
      </c>
    </row>
    <row r="5325" spans="1:10" ht="14.25" customHeight="1" x14ac:dyDescent="0.3">
      <c r="A5325" s="1">
        <v>45160</v>
      </c>
      <c r="B5325" s="2" t="s">
        <v>389</v>
      </c>
      <c r="C5325" s="2" t="s">
        <v>52</v>
      </c>
      <c r="D5325" s="2" t="s">
        <v>10</v>
      </c>
      <c r="E5325" s="2" t="s">
        <v>16</v>
      </c>
      <c r="F5325" s="2">
        <v>26.35</v>
      </c>
      <c r="G5325" s="2">
        <v>8</v>
      </c>
      <c r="H5325" s="2">
        <v>-18.45</v>
      </c>
      <c r="I5325" t="str">
        <f t="shared" si="83"/>
        <v>Aug</v>
      </c>
      <c r="J5325">
        <f>YEAR(datas[[#This Row],[Order Date]])</f>
        <v>2023</v>
      </c>
    </row>
    <row r="5326" spans="1:10" ht="14.25" customHeight="1" x14ac:dyDescent="0.3">
      <c r="A5326" s="1">
        <v>45160</v>
      </c>
      <c r="B5326" s="2" t="s">
        <v>558</v>
      </c>
      <c r="C5326" s="2" t="s">
        <v>82</v>
      </c>
      <c r="D5326" s="2" t="s">
        <v>10</v>
      </c>
      <c r="E5326" s="2" t="s">
        <v>11</v>
      </c>
      <c r="F5326" s="2">
        <v>19.440000000000001</v>
      </c>
      <c r="G5326" s="2">
        <v>3</v>
      </c>
      <c r="H5326" s="2">
        <v>9.33</v>
      </c>
      <c r="I5326" t="str">
        <f t="shared" si="83"/>
        <v>Aug</v>
      </c>
      <c r="J5326">
        <f>YEAR(datas[[#This Row],[Order Date]])</f>
        <v>2023</v>
      </c>
    </row>
    <row r="5327" spans="1:10" ht="14.25" customHeight="1" x14ac:dyDescent="0.3">
      <c r="A5327" s="1">
        <v>45160</v>
      </c>
      <c r="B5327" s="2" t="s">
        <v>601</v>
      </c>
      <c r="C5327" s="2" t="s">
        <v>126</v>
      </c>
      <c r="D5327" s="2" t="s">
        <v>26</v>
      </c>
      <c r="E5327" s="2" t="s">
        <v>32</v>
      </c>
      <c r="F5327" s="2">
        <v>98.33</v>
      </c>
      <c r="G5327" s="2">
        <v>3</v>
      </c>
      <c r="H5327" s="2">
        <v>9.83</v>
      </c>
      <c r="I5327" t="str">
        <f t="shared" si="83"/>
        <v>Aug</v>
      </c>
      <c r="J5327">
        <f>YEAR(datas[[#This Row],[Order Date]])</f>
        <v>2023</v>
      </c>
    </row>
    <row r="5328" spans="1:10" ht="14.25" customHeight="1" x14ac:dyDescent="0.3">
      <c r="A5328" s="1">
        <v>45160</v>
      </c>
      <c r="B5328" s="2" t="s">
        <v>269</v>
      </c>
      <c r="C5328" s="2" t="s">
        <v>21</v>
      </c>
      <c r="D5328" s="2" t="s">
        <v>10</v>
      </c>
      <c r="E5328" s="2" t="s">
        <v>19</v>
      </c>
      <c r="F5328" s="2">
        <v>5.76</v>
      </c>
      <c r="G5328" s="2">
        <v>2</v>
      </c>
      <c r="H5328" s="2">
        <v>1.67</v>
      </c>
      <c r="I5328" t="str">
        <f t="shared" si="83"/>
        <v>Aug</v>
      </c>
      <c r="J5328">
        <f>YEAR(datas[[#This Row],[Order Date]])</f>
        <v>2023</v>
      </c>
    </row>
    <row r="5329" spans="1:10" ht="14.25" customHeight="1" x14ac:dyDescent="0.3">
      <c r="A5329" s="1">
        <v>45161</v>
      </c>
      <c r="B5329" s="2" t="s">
        <v>846</v>
      </c>
      <c r="C5329" s="2" t="s">
        <v>9</v>
      </c>
      <c r="D5329" s="2" t="s">
        <v>10</v>
      </c>
      <c r="E5329" s="2" t="s">
        <v>15</v>
      </c>
      <c r="F5329" s="2">
        <v>727.3</v>
      </c>
      <c r="G5329" s="2">
        <v>8</v>
      </c>
      <c r="H5329" s="2">
        <v>-172.73</v>
      </c>
      <c r="I5329" t="str">
        <f t="shared" si="83"/>
        <v>Aug</v>
      </c>
      <c r="J5329">
        <f>YEAR(datas[[#This Row],[Order Date]])</f>
        <v>2023</v>
      </c>
    </row>
    <row r="5330" spans="1:10" ht="14.25" customHeight="1" x14ac:dyDescent="0.3">
      <c r="A5330" s="1">
        <v>45161</v>
      </c>
      <c r="B5330" s="2" t="s">
        <v>846</v>
      </c>
      <c r="C5330" s="2" t="s">
        <v>9</v>
      </c>
      <c r="D5330" s="2" t="s">
        <v>26</v>
      </c>
      <c r="E5330" s="2" t="s">
        <v>32</v>
      </c>
      <c r="F5330" s="2">
        <v>22.61</v>
      </c>
      <c r="G5330" s="2">
        <v>3</v>
      </c>
      <c r="H5330" s="2">
        <v>-10.17</v>
      </c>
      <c r="I5330" t="str">
        <f t="shared" si="83"/>
        <v>Aug</v>
      </c>
      <c r="J5330">
        <f>YEAR(datas[[#This Row],[Order Date]])</f>
        <v>2023</v>
      </c>
    </row>
    <row r="5331" spans="1:10" ht="14.25" customHeight="1" x14ac:dyDescent="0.3">
      <c r="A5331" s="1">
        <v>45161</v>
      </c>
      <c r="B5331" s="2" t="s">
        <v>846</v>
      </c>
      <c r="C5331" s="2" t="s">
        <v>9</v>
      </c>
      <c r="D5331" s="2" t="s">
        <v>28</v>
      </c>
      <c r="E5331" s="2" t="s">
        <v>34</v>
      </c>
      <c r="F5331" s="2">
        <v>666.4</v>
      </c>
      <c r="G5331" s="2">
        <v>7</v>
      </c>
      <c r="H5331" s="2">
        <v>-33.32</v>
      </c>
      <c r="I5331" t="str">
        <f t="shared" si="83"/>
        <v>Aug</v>
      </c>
      <c r="J5331">
        <f>YEAR(datas[[#This Row],[Order Date]])</f>
        <v>2023</v>
      </c>
    </row>
    <row r="5332" spans="1:10" ht="14.25" customHeight="1" x14ac:dyDescent="0.3">
      <c r="A5332" s="1">
        <v>45161</v>
      </c>
      <c r="B5332" s="2" t="s">
        <v>350</v>
      </c>
      <c r="C5332" s="2" t="s">
        <v>82</v>
      </c>
      <c r="D5332" s="2" t="s">
        <v>28</v>
      </c>
      <c r="E5332" s="2" t="s">
        <v>136</v>
      </c>
      <c r="F5332" s="2">
        <v>837.6</v>
      </c>
      <c r="G5332" s="2">
        <v>3</v>
      </c>
      <c r="H5332" s="2">
        <v>62.82</v>
      </c>
      <c r="I5332" t="str">
        <f t="shared" si="83"/>
        <v>Aug</v>
      </c>
      <c r="J5332">
        <f>YEAR(datas[[#This Row],[Order Date]])</f>
        <v>2023</v>
      </c>
    </row>
    <row r="5333" spans="1:10" ht="14.25" customHeight="1" x14ac:dyDescent="0.3">
      <c r="A5333" s="1">
        <v>45161</v>
      </c>
      <c r="B5333" s="2" t="s">
        <v>350</v>
      </c>
      <c r="C5333" s="2" t="s">
        <v>82</v>
      </c>
      <c r="D5333" s="2" t="s">
        <v>10</v>
      </c>
      <c r="E5333" s="2" t="s">
        <v>41</v>
      </c>
      <c r="F5333" s="2">
        <v>135.9</v>
      </c>
      <c r="G5333" s="2">
        <v>5</v>
      </c>
      <c r="H5333" s="2">
        <v>63.87</v>
      </c>
      <c r="I5333" t="str">
        <f t="shared" si="83"/>
        <v>Aug</v>
      </c>
      <c r="J5333">
        <f>YEAR(datas[[#This Row],[Order Date]])</f>
        <v>2023</v>
      </c>
    </row>
    <row r="5334" spans="1:10" ht="14.25" customHeight="1" x14ac:dyDescent="0.3">
      <c r="A5334" s="1">
        <v>45161</v>
      </c>
      <c r="B5334" s="2" t="s">
        <v>350</v>
      </c>
      <c r="C5334" s="2" t="s">
        <v>82</v>
      </c>
      <c r="D5334" s="2" t="s">
        <v>10</v>
      </c>
      <c r="E5334" s="2" t="s">
        <v>11</v>
      </c>
      <c r="F5334" s="2">
        <v>34.68</v>
      </c>
      <c r="G5334" s="2">
        <v>6</v>
      </c>
      <c r="H5334" s="2">
        <v>16.989999999999998</v>
      </c>
      <c r="I5334" t="str">
        <f t="shared" si="83"/>
        <v>Aug</v>
      </c>
      <c r="J5334">
        <f>YEAR(datas[[#This Row],[Order Date]])</f>
        <v>2023</v>
      </c>
    </row>
    <row r="5335" spans="1:10" ht="14.25" customHeight="1" x14ac:dyDescent="0.3">
      <c r="A5335" s="1">
        <v>45161</v>
      </c>
      <c r="B5335" s="2" t="s">
        <v>350</v>
      </c>
      <c r="C5335" s="2" t="s">
        <v>82</v>
      </c>
      <c r="D5335" s="2" t="s">
        <v>26</v>
      </c>
      <c r="E5335" s="2" t="s">
        <v>27</v>
      </c>
      <c r="F5335" s="2">
        <v>532.70000000000005</v>
      </c>
      <c r="G5335" s="2">
        <v>6</v>
      </c>
      <c r="H5335" s="2">
        <v>-39.950000000000003</v>
      </c>
      <c r="I5335" t="str">
        <f t="shared" si="83"/>
        <v>Aug</v>
      </c>
      <c r="J5335">
        <f>YEAR(datas[[#This Row],[Order Date]])</f>
        <v>2023</v>
      </c>
    </row>
    <row r="5336" spans="1:10" ht="14.25" customHeight="1" x14ac:dyDescent="0.3">
      <c r="A5336" s="1">
        <v>45161</v>
      </c>
      <c r="B5336" s="2" t="s">
        <v>350</v>
      </c>
      <c r="C5336" s="2" t="s">
        <v>82</v>
      </c>
      <c r="D5336" s="2" t="s">
        <v>10</v>
      </c>
      <c r="E5336" s="2" t="s">
        <v>53</v>
      </c>
      <c r="F5336" s="2">
        <v>43.1</v>
      </c>
      <c r="G5336" s="2">
        <v>5</v>
      </c>
      <c r="H5336" s="2">
        <v>11.21</v>
      </c>
      <c r="I5336" t="str">
        <f t="shared" si="83"/>
        <v>Aug</v>
      </c>
      <c r="J5336">
        <f>YEAR(datas[[#This Row],[Order Date]])</f>
        <v>2023</v>
      </c>
    </row>
    <row r="5337" spans="1:10" ht="14.25" customHeight="1" x14ac:dyDescent="0.3">
      <c r="A5337" s="1">
        <v>45161</v>
      </c>
      <c r="B5337" s="2" t="s">
        <v>350</v>
      </c>
      <c r="C5337" s="2" t="s">
        <v>82</v>
      </c>
      <c r="D5337" s="2" t="s">
        <v>10</v>
      </c>
      <c r="E5337" s="2" t="s">
        <v>95</v>
      </c>
      <c r="F5337" s="2">
        <v>15.88</v>
      </c>
      <c r="G5337" s="2">
        <v>4</v>
      </c>
      <c r="H5337" s="2">
        <v>0.16</v>
      </c>
      <c r="I5337" t="str">
        <f t="shared" si="83"/>
        <v>Aug</v>
      </c>
      <c r="J5337">
        <f>YEAR(datas[[#This Row],[Order Date]])</f>
        <v>2023</v>
      </c>
    </row>
    <row r="5338" spans="1:10" ht="14.25" customHeight="1" x14ac:dyDescent="0.3">
      <c r="A5338" s="1">
        <v>45161</v>
      </c>
      <c r="B5338" s="2" t="s">
        <v>429</v>
      </c>
      <c r="C5338" s="2" t="s">
        <v>75</v>
      </c>
      <c r="D5338" s="2" t="s">
        <v>10</v>
      </c>
      <c r="E5338" s="2" t="s">
        <v>19</v>
      </c>
      <c r="F5338" s="2">
        <v>21.3</v>
      </c>
      <c r="G5338" s="2">
        <v>5</v>
      </c>
      <c r="H5338" s="2">
        <v>8.73</v>
      </c>
      <c r="I5338" t="str">
        <f t="shared" si="83"/>
        <v>Aug</v>
      </c>
      <c r="J5338">
        <f>YEAR(datas[[#This Row],[Order Date]])</f>
        <v>2023</v>
      </c>
    </row>
    <row r="5339" spans="1:10" ht="14.25" customHeight="1" x14ac:dyDescent="0.3">
      <c r="A5339" s="1">
        <v>45161</v>
      </c>
      <c r="B5339" s="2" t="s">
        <v>429</v>
      </c>
      <c r="C5339" s="2" t="s">
        <v>75</v>
      </c>
      <c r="D5339" s="2" t="s">
        <v>10</v>
      </c>
      <c r="E5339" s="2" t="s">
        <v>53</v>
      </c>
      <c r="F5339" s="2">
        <v>1040.8</v>
      </c>
      <c r="G5339" s="2">
        <v>5</v>
      </c>
      <c r="H5339" s="2">
        <v>281.02</v>
      </c>
      <c r="I5339" t="str">
        <f t="shared" si="83"/>
        <v>Aug</v>
      </c>
      <c r="J5339">
        <f>YEAR(datas[[#This Row],[Order Date]])</f>
        <v>2023</v>
      </c>
    </row>
    <row r="5340" spans="1:10" ht="14.25" customHeight="1" x14ac:dyDescent="0.3">
      <c r="A5340" s="1">
        <v>45161</v>
      </c>
      <c r="B5340" s="2" t="s">
        <v>429</v>
      </c>
      <c r="C5340" s="2" t="s">
        <v>75</v>
      </c>
      <c r="D5340" s="2" t="s">
        <v>10</v>
      </c>
      <c r="E5340" s="2" t="s">
        <v>19</v>
      </c>
      <c r="F5340" s="2">
        <v>29.34</v>
      </c>
      <c r="G5340" s="2">
        <v>6</v>
      </c>
      <c r="H5340" s="2">
        <v>7.92</v>
      </c>
      <c r="I5340" t="str">
        <f t="shared" si="83"/>
        <v>Aug</v>
      </c>
      <c r="J5340">
        <f>YEAR(datas[[#This Row],[Order Date]])</f>
        <v>2023</v>
      </c>
    </row>
    <row r="5341" spans="1:10" ht="14.25" customHeight="1" x14ac:dyDescent="0.3">
      <c r="A5341" s="1">
        <v>45161</v>
      </c>
      <c r="B5341" s="2" t="s">
        <v>408</v>
      </c>
      <c r="C5341" s="2" t="s">
        <v>79</v>
      </c>
      <c r="D5341" s="2" t="s">
        <v>10</v>
      </c>
      <c r="E5341" s="2" t="s">
        <v>14</v>
      </c>
      <c r="F5341" s="2">
        <v>25.2</v>
      </c>
      <c r="G5341" s="2">
        <v>4</v>
      </c>
      <c r="H5341" s="2">
        <v>11.59</v>
      </c>
      <c r="I5341" t="str">
        <f t="shared" si="83"/>
        <v>Aug</v>
      </c>
      <c r="J5341">
        <f>YEAR(datas[[#This Row],[Order Date]])</f>
        <v>2023</v>
      </c>
    </row>
    <row r="5342" spans="1:10" ht="14.25" customHeight="1" x14ac:dyDescent="0.3">
      <c r="A5342" s="1">
        <v>45161</v>
      </c>
      <c r="B5342" s="2" t="s">
        <v>408</v>
      </c>
      <c r="C5342" s="2" t="s">
        <v>79</v>
      </c>
      <c r="D5342" s="2" t="s">
        <v>10</v>
      </c>
      <c r="E5342" s="2" t="s">
        <v>14</v>
      </c>
      <c r="F5342" s="2">
        <v>37.590000000000003</v>
      </c>
      <c r="G5342" s="2">
        <v>3</v>
      </c>
      <c r="H5342" s="2">
        <v>17.670000000000002</v>
      </c>
      <c r="I5342" t="str">
        <f t="shared" si="83"/>
        <v>Aug</v>
      </c>
      <c r="J5342">
        <f>YEAR(datas[[#This Row],[Order Date]])</f>
        <v>2023</v>
      </c>
    </row>
    <row r="5343" spans="1:10" ht="14.25" customHeight="1" x14ac:dyDescent="0.3">
      <c r="A5343" s="1">
        <v>45161</v>
      </c>
      <c r="B5343" s="2" t="s">
        <v>408</v>
      </c>
      <c r="C5343" s="2" t="s">
        <v>79</v>
      </c>
      <c r="D5343" s="2" t="s">
        <v>10</v>
      </c>
      <c r="E5343" s="2" t="s">
        <v>15</v>
      </c>
      <c r="F5343" s="2">
        <v>14.97</v>
      </c>
      <c r="G5343" s="2">
        <v>1</v>
      </c>
      <c r="H5343" s="2">
        <v>4.1900000000000004</v>
      </c>
      <c r="I5343" t="str">
        <f t="shared" si="83"/>
        <v>Aug</v>
      </c>
      <c r="J5343">
        <f>YEAR(datas[[#This Row],[Order Date]])</f>
        <v>2023</v>
      </c>
    </row>
    <row r="5344" spans="1:10" ht="14.25" customHeight="1" x14ac:dyDescent="0.3">
      <c r="A5344" s="1">
        <v>45161</v>
      </c>
      <c r="B5344" s="2" t="s">
        <v>408</v>
      </c>
      <c r="C5344" s="2" t="s">
        <v>79</v>
      </c>
      <c r="D5344" s="2" t="s">
        <v>28</v>
      </c>
      <c r="E5344" s="2" t="s">
        <v>34</v>
      </c>
      <c r="F5344" s="2">
        <v>1.98</v>
      </c>
      <c r="G5344" s="2">
        <v>2</v>
      </c>
      <c r="H5344" s="2">
        <v>0.89</v>
      </c>
      <c r="I5344" t="str">
        <f t="shared" si="83"/>
        <v>Aug</v>
      </c>
      <c r="J5344">
        <f>YEAR(datas[[#This Row],[Order Date]])</f>
        <v>2023</v>
      </c>
    </row>
    <row r="5345" spans="1:10" ht="14.25" customHeight="1" x14ac:dyDescent="0.3">
      <c r="A5345" s="1">
        <v>45164</v>
      </c>
      <c r="B5345" s="2" t="s">
        <v>404</v>
      </c>
      <c r="C5345" s="2" t="s">
        <v>21</v>
      </c>
      <c r="D5345" s="2" t="s">
        <v>10</v>
      </c>
      <c r="E5345" s="2" t="s">
        <v>30</v>
      </c>
      <c r="F5345" s="2">
        <v>10.23</v>
      </c>
      <c r="G5345" s="2">
        <v>3</v>
      </c>
      <c r="H5345" s="2">
        <v>4.91</v>
      </c>
      <c r="I5345" t="str">
        <f t="shared" si="83"/>
        <v>Aug</v>
      </c>
      <c r="J5345">
        <f>YEAR(datas[[#This Row],[Order Date]])</f>
        <v>2023</v>
      </c>
    </row>
    <row r="5346" spans="1:10" ht="14.25" customHeight="1" x14ac:dyDescent="0.3">
      <c r="A5346" s="1">
        <v>45164</v>
      </c>
      <c r="B5346" s="2" t="s">
        <v>404</v>
      </c>
      <c r="C5346" s="2" t="s">
        <v>21</v>
      </c>
      <c r="D5346" s="2" t="s">
        <v>10</v>
      </c>
      <c r="E5346" s="2" t="s">
        <v>11</v>
      </c>
      <c r="F5346" s="2">
        <v>154.9</v>
      </c>
      <c r="G5346" s="2">
        <v>5</v>
      </c>
      <c r="H5346" s="2">
        <v>69.709999999999994</v>
      </c>
      <c r="I5346" t="str">
        <f t="shared" si="83"/>
        <v>Aug</v>
      </c>
      <c r="J5346">
        <f>YEAR(datas[[#This Row],[Order Date]])</f>
        <v>2023</v>
      </c>
    </row>
    <row r="5347" spans="1:10" ht="14.25" customHeight="1" x14ac:dyDescent="0.3">
      <c r="A5347" s="1">
        <v>45164</v>
      </c>
      <c r="B5347" s="2" t="s">
        <v>100</v>
      </c>
      <c r="C5347" s="2" t="s">
        <v>9</v>
      </c>
      <c r="D5347" s="2" t="s">
        <v>28</v>
      </c>
      <c r="E5347" s="2" t="s">
        <v>34</v>
      </c>
      <c r="F5347" s="2">
        <v>159.97999999999999</v>
      </c>
      <c r="G5347" s="2">
        <v>2</v>
      </c>
      <c r="H5347" s="2">
        <v>44</v>
      </c>
      <c r="I5347" t="str">
        <f t="shared" si="83"/>
        <v>Aug</v>
      </c>
      <c r="J5347">
        <f>YEAR(datas[[#This Row],[Order Date]])</f>
        <v>2023</v>
      </c>
    </row>
    <row r="5348" spans="1:10" ht="14.25" customHeight="1" x14ac:dyDescent="0.3">
      <c r="A5348" s="1">
        <v>45164</v>
      </c>
      <c r="B5348" s="2" t="s">
        <v>100</v>
      </c>
      <c r="C5348" s="2" t="s">
        <v>9</v>
      </c>
      <c r="D5348" s="2" t="s">
        <v>26</v>
      </c>
      <c r="E5348" s="2" t="s">
        <v>27</v>
      </c>
      <c r="F5348" s="2">
        <v>1024.72</v>
      </c>
      <c r="G5348" s="2">
        <v>6</v>
      </c>
      <c r="H5348" s="2">
        <v>-29.28</v>
      </c>
      <c r="I5348" t="str">
        <f t="shared" si="83"/>
        <v>Aug</v>
      </c>
      <c r="J5348">
        <f>YEAR(datas[[#This Row],[Order Date]])</f>
        <v>2023</v>
      </c>
    </row>
    <row r="5349" spans="1:10" ht="14.25" customHeight="1" x14ac:dyDescent="0.3">
      <c r="A5349" s="1">
        <v>45164</v>
      </c>
      <c r="B5349" s="2" t="s">
        <v>377</v>
      </c>
      <c r="C5349" s="2" t="s">
        <v>82</v>
      </c>
      <c r="D5349" s="2" t="s">
        <v>10</v>
      </c>
      <c r="E5349" s="2" t="s">
        <v>11</v>
      </c>
      <c r="F5349" s="2">
        <v>6.48</v>
      </c>
      <c r="G5349" s="2">
        <v>1</v>
      </c>
      <c r="H5349" s="2">
        <v>3.11</v>
      </c>
      <c r="I5349" t="str">
        <f t="shared" si="83"/>
        <v>Aug</v>
      </c>
      <c r="J5349">
        <f>YEAR(datas[[#This Row],[Order Date]])</f>
        <v>2023</v>
      </c>
    </row>
    <row r="5350" spans="1:10" ht="14.25" customHeight="1" x14ac:dyDescent="0.3">
      <c r="A5350" s="1">
        <v>45164</v>
      </c>
      <c r="B5350" s="2" t="s">
        <v>421</v>
      </c>
      <c r="C5350" s="2" t="s">
        <v>21</v>
      </c>
      <c r="D5350" s="2" t="s">
        <v>26</v>
      </c>
      <c r="E5350" s="2" t="s">
        <v>27</v>
      </c>
      <c r="F5350" s="2">
        <v>1603.14</v>
      </c>
      <c r="G5350" s="2">
        <v>4</v>
      </c>
      <c r="H5350" s="2">
        <v>100.2</v>
      </c>
      <c r="I5350" t="str">
        <f t="shared" si="83"/>
        <v>Aug</v>
      </c>
      <c r="J5350">
        <f>YEAR(datas[[#This Row],[Order Date]])</f>
        <v>2023</v>
      </c>
    </row>
    <row r="5351" spans="1:10" ht="14.25" customHeight="1" x14ac:dyDescent="0.3">
      <c r="A5351" s="1">
        <v>45164</v>
      </c>
      <c r="B5351" s="2" t="s">
        <v>493</v>
      </c>
      <c r="C5351" s="2" t="s">
        <v>18</v>
      </c>
      <c r="D5351" s="2" t="s">
        <v>10</v>
      </c>
      <c r="E5351" s="2" t="s">
        <v>19</v>
      </c>
      <c r="F5351" s="2">
        <v>5.47</v>
      </c>
      <c r="G5351" s="2">
        <v>3</v>
      </c>
      <c r="H5351" s="2">
        <v>1.64</v>
      </c>
      <c r="I5351" t="str">
        <f t="shared" si="83"/>
        <v>Aug</v>
      </c>
      <c r="J5351">
        <f>YEAR(datas[[#This Row],[Order Date]])</f>
        <v>2023</v>
      </c>
    </row>
    <row r="5352" spans="1:10" ht="14.25" customHeight="1" x14ac:dyDescent="0.3">
      <c r="A5352" s="1">
        <v>45164</v>
      </c>
      <c r="B5352" s="2" t="s">
        <v>493</v>
      </c>
      <c r="C5352" s="2" t="s">
        <v>18</v>
      </c>
      <c r="D5352" s="2" t="s">
        <v>28</v>
      </c>
      <c r="E5352" s="2" t="s">
        <v>34</v>
      </c>
      <c r="F5352" s="2">
        <v>47.98</v>
      </c>
      <c r="G5352" s="2">
        <v>2</v>
      </c>
      <c r="H5352" s="2">
        <v>13.2</v>
      </c>
      <c r="I5352" t="str">
        <f t="shared" si="83"/>
        <v>Aug</v>
      </c>
      <c r="J5352">
        <f>YEAR(datas[[#This Row],[Order Date]])</f>
        <v>2023</v>
      </c>
    </row>
    <row r="5353" spans="1:10" ht="14.25" customHeight="1" x14ac:dyDescent="0.3">
      <c r="A5353" s="1">
        <v>45164</v>
      </c>
      <c r="B5353" s="2" t="s">
        <v>393</v>
      </c>
      <c r="C5353" s="2" t="s">
        <v>21</v>
      </c>
      <c r="D5353" s="2" t="s">
        <v>10</v>
      </c>
      <c r="E5353" s="2" t="s">
        <v>19</v>
      </c>
      <c r="F5353" s="2">
        <v>8.26</v>
      </c>
      <c r="G5353" s="2">
        <v>2</v>
      </c>
      <c r="H5353" s="2">
        <v>3.8</v>
      </c>
      <c r="I5353" t="str">
        <f t="shared" si="83"/>
        <v>Aug</v>
      </c>
      <c r="J5353">
        <f>YEAR(datas[[#This Row],[Order Date]])</f>
        <v>2023</v>
      </c>
    </row>
    <row r="5354" spans="1:10" ht="14.25" customHeight="1" x14ac:dyDescent="0.3">
      <c r="A5354" s="1">
        <v>45164</v>
      </c>
      <c r="B5354" s="2" t="s">
        <v>769</v>
      </c>
      <c r="C5354" s="2" t="s">
        <v>75</v>
      </c>
      <c r="D5354" s="2" t="s">
        <v>28</v>
      </c>
      <c r="E5354" s="2" t="s">
        <v>29</v>
      </c>
      <c r="F5354" s="2">
        <v>33</v>
      </c>
      <c r="G5354" s="2">
        <v>6</v>
      </c>
      <c r="H5354" s="2">
        <v>8.25</v>
      </c>
      <c r="I5354" t="str">
        <f t="shared" si="83"/>
        <v>Aug</v>
      </c>
      <c r="J5354">
        <f>YEAR(datas[[#This Row],[Order Date]])</f>
        <v>2023</v>
      </c>
    </row>
    <row r="5355" spans="1:10" ht="14.25" customHeight="1" x14ac:dyDescent="0.3">
      <c r="A5355" s="1">
        <v>45164</v>
      </c>
      <c r="B5355" s="2" t="s">
        <v>769</v>
      </c>
      <c r="C5355" s="2" t="s">
        <v>75</v>
      </c>
      <c r="D5355" s="2" t="s">
        <v>28</v>
      </c>
      <c r="E5355" s="2" t="s">
        <v>34</v>
      </c>
      <c r="F5355" s="2">
        <v>249.95</v>
      </c>
      <c r="G5355" s="2">
        <v>5</v>
      </c>
      <c r="H5355" s="2">
        <v>87.48</v>
      </c>
      <c r="I5355" t="str">
        <f t="shared" si="83"/>
        <v>Aug</v>
      </c>
      <c r="J5355">
        <f>YEAR(datas[[#This Row],[Order Date]])</f>
        <v>2023</v>
      </c>
    </row>
    <row r="5356" spans="1:10" ht="14.25" customHeight="1" x14ac:dyDescent="0.3">
      <c r="A5356" s="1">
        <v>45164</v>
      </c>
      <c r="B5356" s="2" t="s">
        <v>369</v>
      </c>
      <c r="C5356" s="2" t="s">
        <v>79</v>
      </c>
      <c r="D5356" s="2" t="s">
        <v>28</v>
      </c>
      <c r="E5356" s="2" t="s">
        <v>34</v>
      </c>
      <c r="F5356" s="2">
        <v>47.97</v>
      </c>
      <c r="G5356" s="2">
        <v>3</v>
      </c>
      <c r="H5356" s="2">
        <v>14.87</v>
      </c>
      <c r="I5356" t="str">
        <f t="shared" si="83"/>
        <v>Aug</v>
      </c>
      <c r="J5356">
        <f>YEAR(datas[[#This Row],[Order Date]])</f>
        <v>2023</v>
      </c>
    </row>
    <row r="5357" spans="1:10" ht="14.25" customHeight="1" x14ac:dyDescent="0.3">
      <c r="A5357" s="1">
        <v>45164</v>
      </c>
      <c r="B5357" s="2" t="s">
        <v>247</v>
      </c>
      <c r="C5357" s="2" t="s">
        <v>60</v>
      </c>
      <c r="D5357" s="2" t="s">
        <v>10</v>
      </c>
      <c r="E5357" s="2" t="s">
        <v>11</v>
      </c>
      <c r="F5357" s="2">
        <v>11.56</v>
      </c>
      <c r="G5357" s="2">
        <v>2</v>
      </c>
      <c r="H5357" s="2">
        <v>5.66</v>
      </c>
      <c r="I5357" t="str">
        <f t="shared" si="83"/>
        <v>Aug</v>
      </c>
      <c r="J5357">
        <f>YEAR(datas[[#This Row],[Order Date]])</f>
        <v>2023</v>
      </c>
    </row>
    <row r="5358" spans="1:10" ht="14.25" customHeight="1" x14ac:dyDescent="0.3">
      <c r="A5358" s="1">
        <v>45164</v>
      </c>
      <c r="B5358" s="2" t="s">
        <v>247</v>
      </c>
      <c r="C5358" s="2" t="s">
        <v>60</v>
      </c>
      <c r="D5358" s="2" t="s">
        <v>28</v>
      </c>
      <c r="E5358" s="2" t="s">
        <v>29</v>
      </c>
      <c r="F5358" s="2">
        <v>209.97</v>
      </c>
      <c r="G5358" s="2">
        <v>3</v>
      </c>
      <c r="H5358" s="2">
        <v>58.79</v>
      </c>
      <c r="I5358" t="str">
        <f t="shared" si="83"/>
        <v>Aug</v>
      </c>
      <c r="J5358">
        <f>YEAR(datas[[#This Row],[Order Date]])</f>
        <v>2023</v>
      </c>
    </row>
    <row r="5359" spans="1:10" ht="14.25" customHeight="1" x14ac:dyDescent="0.3">
      <c r="A5359" s="1">
        <v>45164</v>
      </c>
      <c r="B5359" s="2" t="s">
        <v>247</v>
      </c>
      <c r="C5359" s="2" t="s">
        <v>60</v>
      </c>
      <c r="D5359" s="2" t="s">
        <v>26</v>
      </c>
      <c r="E5359" s="2" t="s">
        <v>73</v>
      </c>
      <c r="F5359" s="2">
        <v>447.84</v>
      </c>
      <c r="G5359" s="2">
        <v>4</v>
      </c>
      <c r="H5359" s="2">
        <v>98.52</v>
      </c>
      <c r="I5359" t="str">
        <f t="shared" si="83"/>
        <v>Aug</v>
      </c>
      <c r="J5359">
        <f>YEAR(datas[[#This Row],[Order Date]])</f>
        <v>2023</v>
      </c>
    </row>
    <row r="5360" spans="1:10" ht="14.25" customHeight="1" x14ac:dyDescent="0.3">
      <c r="A5360" s="1">
        <v>45164</v>
      </c>
      <c r="B5360" s="2" t="s">
        <v>247</v>
      </c>
      <c r="C5360" s="2" t="s">
        <v>60</v>
      </c>
      <c r="D5360" s="2" t="s">
        <v>28</v>
      </c>
      <c r="E5360" s="2" t="s">
        <v>34</v>
      </c>
      <c r="F5360" s="2">
        <v>479.97</v>
      </c>
      <c r="G5360" s="2">
        <v>3</v>
      </c>
      <c r="H5360" s="2">
        <v>163.19</v>
      </c>
      <c r="I5360" t="str">
        <f t="shared" si="83"/>
        <v>Aug</v>
      </c>
      <c r="J5360">
        <f>YEAR(datas[[#This Row],[Order Date]])</f>
        <v>2023</v>
      </c>
    </row>
    <row r="5361" spans="1:10" ht="14.25" customHeight="1" x14ac:dyDescent="0.3">
      <c r="A5361" s="1">
        <v>45164</v>
      </c>
      <c r="B5361" s="2" t="s">
        <v>247</v>
      </c>
      <c r="C5361" s="2" t="s">
        <v>60</v>
      </c>
      <c r="D5361" s="2" t="s">
        <v>10</v>
      </c>
      <c r="E5361" s="2" t="s">
        <v>19</v>
      </c>
      <c r="F5361" s="2">
        <v>8.64</v>
      </c>
      <c r="G5361" s="2">
        <v>3</v>
      </c>
      <c r="H5361" s="2">
        <v>2.5099999999999998</v>
      </c>
      <c r="I5361" t="str">
        <f t="shared" si="83"/>
        <v>Aug</v>
      </c>
      <c r="J5361">
        <f>YEAR(datas[[#This Row],[Order Date]])</f>
        <v>2023</v>
      </c>
    </row>
    <row r="5362" spans="1:10" ht="14.25" customHeight="1" x14ac:dyDescent="0.3">
      <c r="A5362" s="1">
        <v>45164</v>
      </c>
      <c r="B5362" s="2" t="s">
        <v>59</v>
      </c>
      <c r="C5362" s="2" t="s">
        <v>23</v>
      </c>
      <c r="D5362" s="2" t="s">
        <v>26</v>
      </c>
      <c r="E5362" s="2" t="s">
        <v>32</v>
      </c>
      <c r="F5362" s="2">
        <v>186.54</v>
      </c>
      <c r="G5362" s="2">
        <v>3</v>
      </c>
      <c r="H5362" s="2">
        <v>41.04</v>
      </c>
      <c r="I5362" t="str">
        <f t="shared" si="83"/>
        <v>Aug</v>
      </c>
      <c r="J5362">
        <f>YEAR(datas[[#This Row],[Order Date]])</f>
        <v>2023</v>
      </c>
    </row>
    <row r="5363" spans="1:10" ht="14.25" customHeight="1" x14ac:dyDescent="0.3">
      <c r="A5363" s="1">
        <v>45164</v>
      </c>
      <c r="B5363" s="2" t="s">
        <v>760</v>
      </c>
      <c r="C5363" s="2" t="s">
        <v>75</v>
      </c>
      <c r="D5363" s="2" t="s">
        <v>10</v>
      </c>
      <c r="E5363" s="2" t="s">
        <v>16</v>
      </c>
      <c r="F5363" s="2">
        <v>146.69</v>
      </c>
      <c r="G5363" s="2">
        <v>8</v>
      </c>
      <c r="H5363" s="2">
        <v>45.84</v>
      </c>
      <c r="I5363" t="str">
        <f t="shared" si="83"/>
        <v>Aug</v>
      </c>
      <c r="J5363">
        <f>YEAR(datas[[#This Row],[Order Date]])</f>
        <v>2023</v>
      </c>
    </row>
    <row r="5364" spans="1:10" ht="14.25" customHeight="1" x14ac:dyDescent="0.3">
      <c r="A5364" s="1">
        <v>45164</v>
      </c>
      <c r="B5364" s="2" t="s">
        <v>715</v>
      </c>
      <c r="C5364" s="2" t="s">
        <v>64</v>
      </c>
      <c r="D5364" s="2" t="s">
        <v>10</v>
      </c>
      <c r="E5364" s="2" t="s">
        <v>11</v>
      </c>
      <c r="F5364" s="2">
        <v>31.01</v>
      </c>
      <c r="G5364" s="2">
        <v>1</v>
      </c>
      <c r="H5364" s="2">
        <v>11.24</v>
      </c>
      <c r="I5364" t="str">
        <f t="shared" si="83"/>
        <v>Aug</v>
      </c>
      <c r="J5364">
        <f>YEAR(datas[[#This Row],[Order Date]])</f>
        <v>2023</v>
      </c>
    </row>
    <row r="5365" spans="1:10" ht="14.25" customHeight="1" x14ac:dyDescent="0.3">
      <c r="A5365" s="1">
        <v>45165</v>
      </c>
      <c r="B5365" s="2" t="s">
        <v>639</v>
      </c>
      <c r="C5365" s="2" t="s">
        <v>9</v>
      </c>
      <c r="D5365" s="2" t="s">
        <v>10</v>
      </c>
      <c r="E5365" s="2" t="s">
        <v>95</v>
      </c>
      <c r="F5365" s="2">
        <v>51.52</v>
      </c>
      <c r="G5365" s="2">
        <v>5</v>
      </c>
      <c r="H5365" s="2">
        <v>-10.95</v>
      </c>
      <c r="I5365" t="str">
        <f t="shared" si="83"/>
        <v>Aug</v>
      </c>
      <c r="J5365">
        <f>YEAR(datas[[#This Row],[Order Date]])</f>
        <v>2023</v>
      </c>
    </row>
    <row r="5366" spans="1:10" ht="14.25" customHeight="1" x14ac:dyDescent="0.3">
      <c r="A5366" s="1">
        <v>45165</v>
      </c>
      <c r="B5366" s="2" t="s">
        <v>639</v>
      </c>
      <c r="C5366" s="2" t="s">
        <v>9</v>
      </c>
      <c r="D5366" s="2" t="s">
        <v>10</v>
      </c>
      <c r="E5366" s="2" t="s">
        <v>11</v>
      </c>
      <c r="F5366" s="2">
        <v>3.53</v>
      </c>
      <c r="G5366" s="2">
        <v>1</v>
      </c>
      <c r="H5366" s="2">
        <v>1.1499999999999999</v>
      </c>
      <c r="I5366" t="str">
        <f t="shared" si="83"/>
        <v>Aug</v>
      </c>
      <c r="J5366">
        <f>YEAR(datas[[#This Row],[Order Date]])</f>
        <v>2023</v>
      </c>
    </row>
    <row r="5367" spans="1:10" ht="14.25" customHeight="1" x14ac:dyDescent="0.3">
      <c r="A5367" s="1">
        <v>45165</v>
      </c>
      <c r="B5367" s="2" t="s">
        <v>639</v>
      </c>
      <c r="C5367" s="2" t="s">
        <v>9</v>
      </c>
      <c r="D5367" s="2" t="s">
        <v>10</v>
      </c>
      <c r="E5367" s="2" t="s">
        <v>11</v>
      </c>
      <c r="F5367" s="2">
        <v>4.62</v>
      </c>
      <c r="G5367" s="2">
        <v>1</v>
      </c>
      <c r="H5367" s="2">
        <v>1.68</v>
      </c>
      <c r="I5367" t="str">
        <f t="shared" si="83"/>
        <v>Aug</v>
      </c>
      <c r="J5367">
        <f>YEAR(datas[[#This Row],[Order Date]])</f>
        <v>2023</v>
      </c>
    </row>
    <row r="5368" spans="1:10" ht="14.25" customHeight="1" x14ac:dyDescent="0.3">
      <c r="A5368" s="1">
        <v>45165</v>
      </c>
      <c r="B5368" s="2" t="s">
        <v>639</v>
      </c>
      <c r="C5368" s="2" t="s">
        <v>9</v>
      </c>
      <c r="D5368" s="2" t="s">
        <v>10</v>
      </c>
      <c r="E5368" s="2" t="s">
        <v>95</v>
      </c>
      <c r="F5368" s="2">
        <v>55.17</v>
      </c>
      <c r="G5368" s="2">
        <v>4</v>
      </c>
      <c r="H5368" s="2">
        <v>6.21</v>
      </c>
      <c r="I5368" t="str">
        <f t="shared" si="83"/>
        <v>Aug</v>
      </c>
      <c r="J5368">
        <f>YEAR(datas[[#This Row],[Order Date]])</f>
        <v>2023</v>
      </c>
    </row>
    <row r="5369" spans="1:10" ht="14.25" customHeight="1" x14ac:dyDescent="0.3">
      <c r="A5369" s="1">
        <v>45165</v>
      </c>
      <c r="B5369" s="2" t="s">
        <v>838</v>
      </c>
      <c r="C5369" s="2" t="s">
        <v>181</v>
      </c>
      <c r="D5369" s="2" t="s">
        <v>10</v>
      </c>
      <c r="E5369" s="2" t="s">
        <v>11</v>
      </c>
      <c r="F5369" s="2">
        <v>122.97</v>
      </c>
      <c r="G5369" s="2">
        <v>3</v>
      </c>
      <c r="H5369" s="2">
        <v>60.26</v>
      </c>
      <c r="I5369" t="str">
        <f t="shared" si="83"/>
        <v>Aug</v>
      </c>
      <c r="J5369">
        <f>YEAR(datas[[#This Row],[Order Date]])</f>
        <v>2023</v>
      </c>
    </row>
    <row r="5370" spans="1:10" ht="14.25" customHeight="1" x14ac:dyDescent="0.3">
      <c r="A5370" s="1">
        <v>45165</v>
      </c>
      <c r="B5370" s="2" t="s">
        <v>838</v>
      </c>
      <c r="C5370" s="2" t="s">
        <v>181</v>
      </c>
      <c r="D5370" s="2" t="s">
        <v>26</v>
      </c>
      <c r="E5370" s="2" t="s">
        <v>73</v>
      </c>
      <c r="F5370" s="2">
        <v>244.62</v>
      </c>
      <c r="G5370" s="2">
        <v>1</v>
      </c>
      <c r="H5370" s="2">
        <v>20.97</v>
      </c>
      <c r="I5370" t="str">
        <f t="shared" si="83"/>
        <v>Aug</v>
      </c>
      <c r="J5370">
        <f>YEAR(datas[[#This Row],[Order Date]])</f>
        <v>2023</v>
      </c>
    </row>
    <row r="5371" spans="1:10" ht="14.25" customHeight="1" x14ac:dyDescent="0.3">
      <c r="A5371" s="1">
        <v>45165</v>
      </c>
      <c r="B5371" s="2" t="s">
        <v>838</v>
      </c>
      <c r="C5371" s="2" t="s">
        <v>181</v>
      </c>
      <c r="D5371" s="2" t="s">
        <v>28</v>
      </c>
      <c r="E5371" s="2" t="s">
        <v>29</v>
      </c>
      <c r="F5371" s="2">
        <v>59.97</v>
      </c>
      <c r="G5371" s="2">
        <v>3</v>
      </c>
      <c r="H5371" s="2">
        <v>28.79</v>
      </c>
      <c r="I5371" t="str">
        <f t="shared" si="83"/>
        <v>Aug</v>
      </c>
      <c r="J5371">
        <f>YEAR(datas[[#This Row],[Order Date]])</f>
        <v>2023</v>
      </c>
    </row>
    <row r="5372" spans="1:10" ht="14.25" customHeight="1" x14ac:dyDescent="0.3">
      <c r="A5372" s="1">
        <v>45165</v>
      </c>
      <c r="B5372" s="2" t="s">
        <v>838</v>
      </c>
      <c r="C5372" s="2" t="s">
        <v>181</v>
      </c>
      <c r="D5372" s="2" t="s">
        <v>10</v>
      </c>
      <c r="E5372" s="2" t="s">
        <v>11</v>
      </c>
      <c r="F5372" s="2">
        <v>81.540000000000006</v>
      </c>
      <c r="G5372" s="2">
        <v>9</v>
      </c>
      <c r="H5372" s="2">
        <v>36.69</v>
      </c>
      <c r="I5372" t="str">
        <f t="shared" si="83"/>
        <v>Aug</v>
      </c>
      <c r="J5372">
        <f>YEAR(datas[[#This Row],[Order Date]])</f>
        <v>2023</v>
      </c>
    </row>
    <row r="5373" spans="1:10" ht="14.25" customHeight="1" x14ac:dyDescent="0.3">
      <c r="A5373" s="1">
        <v>45165</v>
      </c>
      <c r="B5373" s="2" t="s">
        <v>838</v>
      </c>
      <c r="C5373" s="2" t="s">
        <v>181</v>
      </c>
      <c r="D5373" s="2" t="s">
        <v>10</v>
      </c>
      <c r="E5373" s="2" t="s">
        <v>30</v>
      </c>
      <c r="F5373" s="2">
        <v>11.68</v>
      </c>
      <c r="G5373" s="2">
        <v>4</v>
      </c>
      <c r="H5373" s="2">
        <v>5.26</v>
      </c>
      <c r="I5373" t="str">
        <f t="shared" si="83"/>
        <v>Aug</v>
      </c>
      <c r="J5373">
        <f>YEAR(datas[[#This Row],[Order Date]])</f>
        <v>2023</v>
      </c>
    </row>
    <row r="5374" spans="1:10" ht="14.25" customHeight="1" x14ac:dyDescent="0.3">
      <c r="A5374" s="1">
        <v>45165</v>
      </c>
      <c r="B5374" s="2" t="s">
        <v>838</v>
      </c>
      <c r="C5374" s="2" t="s">
        <v>181</v>
      </c>
      <c r="D5374" s="2" t="s">
        <v>10</v>
      </c>
      <c r="E5374" s="2" t="s">
        <v>16</v>
      </c>
      <c r="F5374" s="2">
        <v>29</v>
      </c>
      <c r="G5374" s="2">
        <v>5</v>
      </c>
      <c r="H5374" s="2">
        <v>13.92</v>
      </c>
      <c r="I5374" t="str">
        <f t="shared" si="83"/>
        <v>Aug</v>
      </c>
      <c r="J5374">
        <f>YEAR(datas[[#This Row],[Order Date]])</f>
        <v>2023</v>
      </c>
    </row>
    <row r="5375" spans="1:10" ht="14.25" customHeight="1" x14ac:dyDescent="0.3">
      <c r="A5375" s="1">
        <v>45165</v>
      </c>
      <c r="B5375" s="2" t="s">
        <v>809</v>
      </c>
      <c r="C5375" s="2" t="s">
        <v>9</v>
      </c>
      <c r="D5375" s="2" t="s">
        <v>10</v>
      </c>
      <c r="E5375" s="2" t="s">
        <v>15</v>
      </c>
      <c r="F5375" s="2">
        <v>14.16</v>
      </c>
      <c r="G5375" s="2">
        <v>1</v>
      </c>
      <c r="H5375" s="2">
        <v>1.06</v>
      </c>
      <c r="I5375" t="str">
        <f t="shared" si="83"/>
        <v>Aug</v>
      </c>
      <c r="J5375">
        <f>YEAR(datas[[#This Row],[Order Date]])</f>
        <v>2023</v>
      </c>
    </row>
    <row r="5376" spans="1:10" ht="14.25" customHeight="1" x14ac:dyDescent="0.3">
      <c r="A5376" s="1">
        <v>45165</v>
      </c>
      <c r="B5376" s="2" t="s">
        <v>809</v>
      </c>
      <c r="C5376" s="2" t="s">
        <v>9</v>
      </c>
      <c r="D5376" s="2" t="s">
        <v>10</v>
      </c>
      <c r="E5376" s="2" t="s">
        <v>11</v>
      </c>
      <c r="F5376" s="2">
        <v>79.92</v>
      </c>
      <c r="G5376" s="2">
        <v>5</v>
      </c>
      <c r="H5376" s="2">
        <v>27.97</v>
      </c>
      <c r="I5376" t="str">
        <f t="shared" si="83"/>
        <v>Aug</v>
      </c>
      <c r="J5376">
        <f>YEAR(datas[[#This Row],[Order Date]])</f>
        <v>2023</v>
      </c>
    </row>
    <row r="5377" spans="1:10" ht="14.25" customHeight="1" x14ac:dyDescent="0.3">
      <c r="A5377" s="1">
        <v>45165</v>
      </c>
      <c r="B5377" s="2" t="s">
        <v>623</v>
      </c>
      <c r="C5377" s="2" t="s">
        <v>64</v>
      </c>
      <c r="D5377" s="2" t="s">
        <v>10</v>
      </c>
      <c r="E5377" s="2" t="s">
        <v>14</v>
      </c>
      <c r="F5377" s="2">
        <v>9.2200000000000006</v>
      </c>
      <c r="G5377" s="2">
        <v>4</v>
      </c>
      <c r="H5377" s="2">
        <v>3.34</v>
      </c>
      <c r="I5377" t="str">
        <f t="shared" si="83"/>
        <v>Aug</v>
      </c>
      <c r="J5377">
        <f>YEAR(datas[[#This Row],[Order Date]])</f>
        <v>2023</v>
      </c>
    </row>
    <row r="5378" spans="1:10" ht="14.25" customHeight="1" x14ac:dyDescent="0.3">
      <c r="A5378" s="1">
        <v>45166</v>
      </c>
      <c r="B5378" s="2" t="s">
        <v>400</v>
      </c>
      <c r="C5378" s="2" t="s">
        <v>126</v>
      </c>
      <c r="D5378" s="2" t="s">
        <v>10</v>
      </c>
      <c r="E5378" s="2" t="s">
        <v>11</v>
      </c>
      <c r="F5378" s="2">
        <v>15.48</v>
      </c>
      <c r="G5378" s="2">
        <v>3</v>
      </c>
      <c r="H5378" s="2">
        <v>5.61</v>
      </c>
      <c r="I5378" t="str">
        <f t="shared" si="83"/>
        <v>Aug</v>
      </c>
      <c r="J5378">
        <f>YEAR(datas[[#This Row],[Order Date]])</f>
        <v>2023</v>
      </c>
    </row>
    <row r="5379" spans="1:10" ht="14.25" customHeight="1" x14ac:dyDescent="0.3">
      <c r="A5379" s="1">
        <v>45166</v>
      </c>
      <c r="B5379" s="2" t="s">
        <v>400</v>
      </c>
      <c r="C5379" s="2" t="s">
        <v>126</v>
      </c>
      <c r="D5379" s="2" t="s">
        <v>28</v>
      </c>
      <c r="E5379" s="2" t="s">
        <v>29</v>
      </c>
      <c r="F5379" s="2">
        <v>108.58</v>
      </c>
      <c r="G5379" s="2">
        <v>3</v>
      </c>
      <c r="H5379" s="2">
        <v>8.14</v>
      </c>
      <c r="I5379" t="str">
        <f t="shared" ref="I5379:I5442" si="84">TEXT(A5379,"mmm")</f>
        <v>Aug</v>
      </c>
      <c r="J5379">
        <f>YEAR(datas[[#This Row],[Order Date]])</f>
        <v>2023</v>
      </c>
    </row>
    <row r="5380" spans="1:10" ht="14.25" customHeight="1" x14ac:dyDescent="0.3">
      <c r="A5380" s="1">
        <v>45166</v>
      </c>
      <c r="B5380" s="2" t="s">
        <v>791</v>
      </c>
      <c r="C5380" s="2" t="s">
        <v>9</v>
      </c>
      <c r="D5380" s="2" t="s">
        <v>10</v>
      </c>
      <c r="E5380" s="2" t="s">
        <v>16</v>
      </c>
      <c r="F5380" s="2">
        <v>13.14</v>
      </c>
      <c r="G5380" s="2">
        <v>9</v>
      </c>
      <c r="H5380" s="2">
        <v>-21.68</v>
      </c>
      <c r="I5380" t="str">
        <f t="shared" si="84"/>
        <v>Aug</v>
      </c>
      <c r="J5380">
        <f>YEAR(datas[[#This Row],[Order Date]])</f>
        <v>2023</v>
      </c>
    </row>
    <row r="5381" spans="1:10" ht="14.25" customHeight="1" x14ac:dyDescent="0.3">
      <c r="A5381" s="1">
        <v>45166</v>
      </c>
      <c r="B5381" s="2" t="s">
        <v>791</v>
      </c>
      <c r="C5381" s="2" t="s">
        <v>9</v>
      </c>
      <c r="D5381" s="2" t="s">
        <v>10</v>
      </c>
      <c r="E5381" s="2" t="s">
        <v>16</v>
      </c>
      <c r="F5381" s="2">
        <v>10.02</v>
      </c>
      <c r="G5381" s="2">
        <v>4</v>
      </c>
      <c r="H5381" s="2">
        <v>-16.54</v>
      </c>
      <c r="I5381" t="str">
        <f t="shared" si="84"/>
        <v>Aug</v>
      </c>
      <c r="J5381">
        <f>YEAR(datas[[#This Row],[Order Date]])</f>
        <v>2023</v>
      </c>
    </row>
    <row r="5382" spans="1:10" ht="14.25" customHeight="1" x14ac:dyDescent="0.3">
      <c r="A5382" s="1">
        <v>45166</v>
      </c>
      <c r="B5382" s="2" t="s">
        <v>791</v>
      </c>
      <c r="C5382" s="2" t="s">
        <v>9</v>
      </c>
      <c r="D5382" s="2" t="s">
        <v>26</v>
      </c>
      <c r="E5382" s="2" t="s">
        <v>45</v>
      </c>
      <c r="F5382" s="2">
        <v>156.37</v>
      </c>
      <c r="G5382" s="2">
        <v>2</v>
      </c>
      <c r="H5382" s="2">
        <v>-52.89</v>
      </c>
      <c r="I5382" t="str">
        <f t="shared" si="84"/>
        <v>Aug</v>
      </c>
      <c r="J5382">
        <f>YEAR(datas[[#This Row],[Order Date]])</f>
        <v>2023</v>
      </c>
    </row>
    <row r="5383" spans="1:10" ht="14.25" customHeight="1" x14ac:dyDescent="0.3">
      <c r="A5383" s="1">
        <v>45166</v>
      </c>
      <c r="B5383" s="2" t="s">
        <v>687</v>
      </c>
      <c r="C5383" s="2" t="s">
        <v>47</v>
      </c>
      <c r="D5383" s="2" t="s">
        <v>10</v>
      </c>
      <c r="E5383" s="2" t="s">
        <v>16</v>
      </c>
      <c r="F5383" s="2">
        <v>18.43</v>
      </c>
      <c r="G5383" s="2">
        <v>8</v>
      </c>
      <c r="H5383" s="2">
        <v>-12.29</v>
      </c>
      <c r="I5383" t="str">
        <f t="shared" si="84"/>
        <v>Aug</v>
      </c>
      <c r="J5383">
        <f>YEAR(datas[[#This Row],[Order Date]])</f>
        <v>2023</v>
      </c>
    </row>
    <row r="5384" spans="1:10" ht="14.25" customHeight="1" x14ac:dyDescent="0.3">
      <c r="A5384" s="1">
        <v>45167</v>
      </c>
      <c r="B5384" s="2" t="s">
        <v>135</v>
      </c>
      <c r="C5384" s="2" t="s">
        <v>13</v>
      </c>
      <c r="D5384" s="2" t="s">
        <v>10</v>
      </c>
      <c r="E5384" s="2" t="s">
        <v>11</v>
      </c>
      <c r="F5384" s="2">
        <v>64.62</v>
      </c>
      <c r="G5384" s="2">
        <v>7</v>
      </c>
      <c r="H5384" s="2">
        <v>22.62</v>
      </c>
      <c r="I5384" t="str">
        <f t="shared" si="84"/>
        <v>Aug</v>
      </c>
      <c r="J5384">
        <f>YEAR(datas[[#This Row],[Order Date]])</f>
        <v>2023</v>
      </c>
    </row>
    <row r="5385" spans="1:10" ht="14.25" customHeight="1" x14ac:dyDescent="0.3">
      <c r="A5385" s="1">
        <v>45167</v>
      </c>
      <c r="B5385" s="2" t="s">
        <v>135</v>
      </c>
      <c r="C5385" s="2" t="s">
        <v>13</v>
      </c>
      <c r="D5385" s="2" t="s">
        <v>28</v>
      </c>
      <c r="E5385" s="2" t="s">
        <v>34</v>
      </c>
      <c r="F5385" s="2">
        <v>95.98</v>
      </c>
      <c r="G5385" s="2">
        <v>3</v>
      </c>
      <c r="H5385" s="2">
        <v>-10.8</v>
      </c>
      <c r="I5385" t="str">
        <f t="shared" si="84"/>
        <v>Aug</v>
      </c>
      <c r="J5385">
        <f>YEAR(datas[[#This Row],[Order Date]])</f>
        <v>2023</v>
      </c>
    </row>
    <row r="5386" spans="1:10" ht="14.25" customHeight="1" x14ac:dyDescent="0.3">
      <c r="A5386" s="1">
        <v>45167</v>
      </c>
      <c r="B5386" s="2" t="s">
        <v>135</v>
      </c>
      <c r="C5386" s="2" t="s">
        <v>13</v>
      </c>
      <c r="D5386" s="2" t="s">
        <v>10</v>
      </c>
      <c r="E5386" s="2" t="s">
        <v>16</v>
      </c>
      <c r="F5386" s="2">
        <v>1.79</v>
      </c>
      <c r="G5386" s="2">
        <v>3</v>
      </c>
      <c r="H5386" s="2">
        <v>-3.04</v>
      </c>
      <c r="I5386" t="str">
        <f t="shared" si="84"/>
        <v>Aug</v>
      </c>
      <c r="J5386">
        <f>YEAR(datas[[#This Row],[Order Date]])</f>
        <v>2023</v>
      </c>
    </row>
    <row r="5387" spans="1:10" ht="14.25" customHeight="1" x14ac:dyDescent="0.3">
      <c r="A5387" s="1">
        <v>45167</v>
      </c>
      <c r="B5387" s="2" t="s">
        <v>765</v>
      </c>
      <c r="C5387" s="2" t="s">
        <v>278</v>
      </c>
      <c r="D5387" s="2" t="s">
        <v>10</v>
      </c>
      <c r="E5387" s="2" t="s">
        <v>95</v>
      </c>
      <c r="F5387" s="2">
        <v>27.93</v>
      </c>
      <c r="G5387" s="2">
        <v>3</v>
      </c>
      <c r="H5387" s="2">
        <v>8.1</v>
      </c>
      <c r="I5387" t="str">
        <f t="shared" si="84"/>
        <v>Aug</v>
      </c>
      <c r="J5387">
        <f>YEAR(datas[[#This Row],[Order Date]])</f>
        <v>2023</v>
      </c>
    </row>
    <row r="5388" spans="1:10" ht="14.25" customHeight="1" x14ac:dyDescent="0.3">
      <c r="A5388" s="1">
        <v>45167</v>
      </c>
      <c r="B5388" s="2" t="s">
        <v>763</v>
      </c>
      <c r="C5388" s="2" t="s">
        <v>75</v>
      </c>
      <c r="D5388" s="2" t="s">
        <v>28</v>
      </c>
      <c r="E5388" s="2" t="s">
        <v>29</v>
      </c>
      <c r="F5388" s="2">
        <v>22</v>
      </c>
      <c r="G5388" s="2">
        <v>4</v>
      </c>
      <c r="H5388" s="2">
        <v>5.5</v>
      </c>
      <c r="I5388" t="str">
        <f t="shared" si="84"/>
        <v>Aug</v>
      </c>
      <c r="J5388">
        <f>YEAR(datas[[#This Row],[Order Date]])</f>
        <v>2023</v>
      </c>
    </row>
    <row r="5389" spans="1:10" ht="14.25" customHeight="1" x14ac:dyDescent="0.3">
      <c r="A5389" s="1">
        <v>45167</v>
      </c>
      <c r="B5389" s="2" t="s">
        <v>233</v>
      </c>
      <c r="C5389" s="2" t="s">
        <v>18</v>
      </c>
      <c r="D5389" s="2" t="s">
        <v>26</v>
      </c>
      <c r="E5389" s="2" t="s">
        <v>73</v>
      </c>
      <c r="F5389" s="2">
        <v>241.92</v>
      </c>
      <c r="G5389" s="2">
        <v>4</v>
      </c>
      <c r="H5389" s="2">
        <v>-56.45</v>
      </c>
      <c r="I5389" t="str">
        <f t="shared" si="84"/>
        <v>Aug</v>
      </c>
      <c r="J5389">
        <f>YEAR(datas[[#This Row],[Order Date]])</f>
        <v>2023</v>
      </c>
    </row>
    <row r="5390" spans="1:10" ht="14.25" customHeight="1" x14ac:dyDescent="0.3">
      <c r="A5390" s="1">
        <v>45167</v>
      </c>
      <c r="B5390" s="2" t="s">
        <v>233</v>
      </c>
      <c r="C5390" s="2" t="s">
        <v>18</v>
      </c>
      <c r="D5390" s="2" t="s">
        <v>26</v>
      </c>
      <c r="E5390" s="2" t="s">
        <v>45</v>
      </c>
      <c r="F5390" s="2">
        <v>163.88</v>
      </c>
      <c r="G5390" s="2">
        <v>4</v>
      </c>
      <c r="H5390" s="2">
        <v>-81.94</v>
      </c>
      <c r="I5390" t="str">
        <f t="shared" si="84"/>
        <v>Aug</v>
      </c>
      <c r="J5390">
        <f>YEAR(datas[[#This Row],[Order Date]])</f>
        <v>2023</v>
      </c>
    </row>
    <row r="5391" spans="1:10" ht="14.25" customHeight="1" x14ac:dyDescent="0.3">
      <c r="A5391" s="1">
        <v>45167</v>
      </c>
      <c r="B5391" s="2" t="s">
        <v>233</v>
      </c>
      <c r="C5391" s="2" t="s">
        <v>18</v>
      </c>
      <c r="D5391" s="2" t="s">
        <v>10</v>
      </c>
      <c r="E5391" s="2" t="s">
        <v>16</v>
      </c>
      <c r="F5391" s="2">
        <v>3.49</v>
      </c>
      <c r="G5391" s="2">
        <v>2</v>
      </c>
      <c r="H5391" s="2">
        <v>-2.79</v>
      </c>
      <c r="I5391" t="str">
        <f t="shared" si="84"/>
        <v>Aug</v>
      </c>
      <c r="J5391">
        <f>YEAR(datas[[#This Row],[Order Date]])</f>
        <v>2023</v>
      </c>
    </row>
    <row r="5392" spans="1:10" ht="14.25" customHeight="1" x14ac:dyDescent="0.3">
      <c r="A5392" s="1">
        <v>45167</v>
      </c>
      <c r="B5392" s="2" t="s">
        <v>233</v>
      </c>
      <c r="C5392" s="2" t="s">
        <v>18</v>
      </c>
      <c r="D5392" s="2" t="s">
        <v>10</v>
      </c>
      <c r="E5392" s="2" t="s">
        <v>30</v>
      </c>
      <c r="F5392" s="2">
        <v>10.58</v>
      </c>
      <c r="G5392" s="2">
        <v>7</v>
      </c>
      <c r="H5392" s="2">
        <v>-2.38</v>
      </c>
      <c r="I5392" t="str">
        <f t="shared" si="84"/>
        <v>Aug</v>
      </c>
      <c r="J5392">
        <f>YEAR(datas[[#This Row],[Order Date]])</f>
        <v>2023</v>
      </c>
    </row>
    <row r="5393" spans="1:10" ht="14.25" customHeight="1" x14ac:dyDescent="0.3">
      <c r="A5393" s="1">
        <v>45168</v>
      </c>
      <c r="B5393" s="2" t="s">
        <v>559</v>
      </c>
      <c r="C5393" s="2" t="s">
        <v>18</v>
      </c>
      <c r="D5393" s="2" t="s">
        <v>28</v>
      </c>
      <c r="E5393" s="2" t="s">
        <v>29</v>
      </c>
      <c r="F5393" s="2">
        <v>290.89999999999998</v>
      </c>
      <c r="G5393" s="2">
        <v>3</v>
      </c>
      <c r="H5393" s="2">
        <v>-67.88</v>
      </c>
      <c r="I5393" t="str">
        <f t="shared" si="84"/>
        <v>Aug</v>
      </c>
      <c r="J5393">
        <f>YEAR(datas[[#This Row],[Order Date]])</f>
        <v>2023</v>
      </c>
    </row>
    <row r="5394" spans="1:10" ht="14.25" customHeight="1" x14ac:dyDescent="0.3">
      <c r="A5394" s="1">
        <v>45168</v>
      </c>
      <c r="B5394" s="2" t="s">
        <v>559</v>
      </c>
      <c r="C5394" s="2" t="s">
        <v>18</v>
      </c>
      <c r="D5394" s="2" t="s">
        <v>10</v>
      </c>
      <c r="E5394" s="2" t="s">
        <v>15</v>
      </c>
      <c r="F5394" s="2">
        <v>54.22</v>
      </c>
      <c r="G5394" s="2">
        <v>2</v>
      </c>
      <c r="H5394" s="2">
        <v>3.39</v>
      </c>
      <c r="I5394" t="str">
        <f t="shared" si="84"/>
        <v>Aug</v>
      </c>
      <c r="J5394">
        <f>YEAR(datas[[#This Row],[Order Date]])</f>
        <v>2023</v>
      </c>
    </row>
    <row r="5395" spans="1:10" ht="14.25" customHeight="1" x14ac:dyDescent="0.3">
      <c r="A5395" s="1">
        <v>45168</v>
      </c>
      <c r="B5395" s="2" t="s">
        <v>559</v>
      </c>
      <c r="C5395" s="2" t="s">
        <v>18</v>
      </c>
      <c r="D5395" s="2" t="s">
        <v>26</v>
      </c>
      <c r="E5395" s="2" t="s">
        <v>27</v>
      </c>
      <c r="F5395" s="2">
        <v>786.74</v>
      </c>
      <c r="G5395" s="2">
        <v>4</v>
      </c>
      <c r="H5395" s="2">
        <v>-258.5</v>
      </c>
      <c r="I5395" t="str">
        <f t="shared" si="84"/>
        <v>Aug</v>
      </c>
      <c r="J5395">
        <f>YEAR(datas[[#This Row],[Order Date]])</f>
        <v>2023</v>
      </c>
    </row>
    <row r="5396" spans="1:10" ht="14.25" customHeight="1" x14ac:dyDescent="0.3">
      <c r="A5396" s="1">
        <v>45168</v>
      </c>
      <c r="B5396" s="2" t="s">
        <v>559</v>
      </c>
      <c r="C5396" s="2" t="s">
        <v>18</v>
      </c>
      <c r="D5396" s="2" t="s">
        <v>10</v>
      </c>
      <c r="E5396" s="2" t="s">
        <v>14</v>
      </c>
      <c r="F5396" s="2">
        <v>100.24</v>
      </c>
      <c r="G5396" s="2">
        <v>10</v>
      </c>
      <c r="H5396" s="2">
        <v>33.83</v>
      </c>
      <c r="I5396" t="str">
        <f t="shared" si="84"/>
        <v>Aug</v>
      </c>
      <c r="J5396">
        <f>YEAR(datas[[#This Row],[Order Date]])</f>
        <v>2023</v>
      </c>
    </row>
    <row r="5397" spans="1:10" ht="14.25" customHeight="1" x14ac:dyDescent="0.3">
      <c r="A5397" s="1">
        <v>45168</v>
      </c>
      <c r="B5397" s="2" t="s">
        <v>559</v>
      </c>
      <c r="C5397" s="2" t="s">
        <v>18</v>
      </c>
      <c r="D5397" s="2" t="s">
        <v>10</v>
      </c>
      <c r="E5397" s="2" t="s">
        <v>16</v>
      </c>
      <c r="F5397" s="2">
        <v>37.76</v>
      </c>
      <c r="G5397" s="2">
        <v>6</v>
      </c>
      <c r="H5397" s="2">
        <v>-27.69</v>
      </c>
      <c r="I5397" t="str">
        <f t="shared" si="84"/>
        <v>Aug</v>
      </c>
      <c r="J5397">
        <f>YEAR(datas[[#This Row],[Order Date]])</f>
        <v>2023</v>
      </c>
    </row>
    <row r="5398" spans="1:10" ht="14.25" customHeight="1" x14ac:dyDescent="0.3">
      <c r="A5398" s="1">
        <v>45168</v>
      </c>
      <c r="B5398" s="2" t="s">
        <v>157</v>
      </c>
      <c r="C5398" s="2" t="s">
        <v>21</v>
      </c>
      <c r="D5398" s="2" t="s">
        <v>26</v>
      </c>
      <c r="E5398" s="2" t="s">
        <v>32</v>
      </c>
      <c r="F5398" s="2">
        <v>47.04</v>
      </c>
      <c r="G5398" s="2">
        <v>4</v>
      </c>
      <c r="H5398" s="2">
        <v>15.99</v>
      </c>
      <c r="I5398" t="str">
        <f t="shared" si="84"/>
        <v>Aug</v>
      </c>
      <c r="J5398">
        <f>YEAR(datas[[#This Row],[Order Date]])</f>
        <v>2023</v>
      </c>
    </row>
    <row r="5399" spans="1:10" ht="14.25" customHeight="1" x14ac:dyDescent="0.3">
      <c r="A5399" s="1">
        <v>45168</v>
      </c>
      <c r="B5399" s="2" t="s">
        <v>157</v>
      </c>
      <c r="C5399" s="2" t="s">
        <v>21</v>
      </c>
      <c r="D5399" s="2" t="s">
        <v>28</v>
      </c>
      <c r="E5399" s="2" t="s">
        <v>29</v>
      </c>
      <c r="F5399" s="2">
        <v>339.96</v>
      </c>
      <c r="G5399" s="2">
        <v>5</v>
      </c>
      <c r="H5399" s="2">
        <v>42.5</v>
      </c>
      <c r="I5399" t="str">
        <f t="shared" si="84"/>
        <v>Aug</v>
      </c>
      <c r="J5399">
        <f>YEAR(datas[[#This Row],[Order Date]])</f>
        <v>2023</v>
      </c>
    </row>
    <row r="5400" spans="1:10" ht="14.25" customHeight="1" x14ac:dyDescent="0.3">
      <c r="A5400" s="1">
        <v>45169</v>
      </c>
      <c r="B5400" s="2" t="s">
        <v>705</v>
      </c>
      <c r="C5400" s="2" t="s">
        <v>9</v>
      </c>
      <c r="D5400" s="2" t="s">
        <v>10</v>
      </c>
      <c r="E5400" s="2" t="s">
        <v>15</v>
      </c>
      <c r="F5400" s="2">
        <v>23.97</v>
      </c>
      <c r="G5400" s="2">
        <v>2</v>
      </c>
      <c r="H5400" s="2">
        <v>2.4</v>
      </c>
      <c r="I5400" t="str">
        <f t="shared" si="84"/>
        <v>Aug</v>
      </c>
      <c r="J5400">
        <f>YEAR(datas[[#This Row],[Order Date]])</f>
        <v>2023</v>
      </c>
    </row>
    <row r="5401" spans="1:10" ht="14.25" customHeight="1" x14ac:dyDescent="0.3">
      <c r="A5401" s="1">
        <v>45170</v>
      </c>
      <c r="B5401" s="2" t="s">
        <v>765</v>
      </c>
      <c r="C5401" s="2" t="s">
        <v>75</v>
      </c>
      <c r="D5401" s="2" t="s">
        <v>28</v>
      </c>
      <c r="E5401" s="2" t="s">
        <v>34</v>
      </c>
      <c r="F5401" s="2">
        <v>6.79</v>
      </c>
      <c r="G5401" s="2">
        <v>1</v>
      </c>
      <c r="H5401" s="2">
        <v>2.31</v>
      </c>
      <c r="I5401" t="str">
        <f t="shared" si="84"/>
        <v>Sep</v>
      </c>
      <c r="J5401">
        <f>YEAR(datas[[#This Row],[Order Date]])</f>
        <v>2023</v>
      </c>
    </row>
    <row r="5402" spans="1:10" ht="14.25" customHeight="1" x14ac:dyDescent="0.3">
      <c r="A5402" s="1">
        <v>45170</v>
      </c>
      <c r="B5402" s="2" t="s">
        <v>765</v>
      </c>
      <c r="C5402" s="2" t="s">
        <v>75</v>
      </c>
      <c r="D5402" s="2" t="s">
        <v>10</v>
      </c>
      <c r="E5402" s="2" t="s">
        <v>11</v>
      </c>
      <c r="F5402" s="2">
        <v>24.56</v>
      </c>
      <c r="G5402" s="2">
        <v>2</v>
      </c>
      <c r="H5402" s="2">
        <v>11.54</v>
      </c>
      <c r="I5402" t="str">
        <f t="shared" si="84"/>
        <v>Sep</v>
      </c>
      <c r="J5402">
        <f>YEAR(datas[[#This Row],[Order Date]])</f>
        <v>2023</v>
      </c>
    </row>
    <row r="5403" spans="1:10" ht="14.25" customHeight="1" x14ac:dyDescent="0.3">
      <c r="A5403" s="1">
        <v>45170</v>
      </c>
      <c r="B5403" s="2" t="s">
        <v>765</v>
      </c>
      <c r="C5403" s="2" t="s">
        <v>75</v>
      </c>
      <c r="D5403" s="2" t="s">
        <v>10</v>
      </c>
      <c r="E5403" s="2" t="s">
        <v>16</v>
      </c>
      <c r="F5403" s="2">
        <v>3.05</v>
      </c>
      <c r="G5403" s="2">
        <v>1</v>
      </c>
      <c r="H5403" s="2">
        <v>1.07</v>
      </c>
      <c r="I5403" t="str">
        <f t="shared" si="84"/>
        <v>Sep</v>
      </c>
      <c r="J5403">
        <f>YEAR(datas[[#This Row],[Order Date]])</f>
        <v>2023</v>
      </c>
    </row>
    <row r="5404" spans="1:10" ht="14.25" customHeight="1" x14ac:dyDescent="0.3">
      <c r="A5404" s="1">
        <v>45170</v>
      </c>
      <c r="B5404" s="2" t="s">
        <v>765</v>
      </c>
      <c r="C5404" s="2" t="s">
        <v>75</v>
      </c>
      <c r="D5404" s="2" t="s">
        <v>10</v>
      </c>
      <c r="E5404" s="2" t="s">
        <v>11</v>
      </c>
      <c r="F5404" s="2">
        <v>49.12</v>
      </c>
      <c r="G5404" s="2">
        <v>4</v>
      </c>
      <c r="H5404" s="2">
        <v>23.09</v>
      </c>
      <c r="I5404" t="str">
        <f t="shared" si="84"/>
        <v>Sep</v>
      </c>
      <c r="J5404">
        <f>YEAR(datas[[#This Row],[Order Date]])</f>
        <v>2023</v>
      </c>
    </row>
    <row r="5405" spans="1:10" ht="14.25" customHeight="1" x14ac:dyDescent="0.3">
      <c r="A5405" s="1">
        <v>45170</v>
      </c>
      <c r="B5405" s="2" t="s">
        <v>765</v>
      </c>
      <c r="C5405" s="2" t="s">
        <v>75</v>
      </c>
      <c r="D5405" s="2" t="s">
        <v>10</v>
      </c>
      <c r="E5405" s="2" t="s">
        <v>16</v>
      </c>
      <c r="F5405" s="2">
        <v>4355.17</v>
      </c>
      <c r="G5405" s="2">
        <v>4</v>
      </c>
      <c r="H5405" s="2">
        <v>1415.43</v>
      </c>
      <c r="I5405" t="str">
        <f t="shared" si="84"/>
        <v>Sep</v>
      </c>
      <c r="J5405">
        <f>YEAR(datas[[#This Row],[Order Date]])</f>
        <v>2023</v>
      </c>
    </row>
    <row r="5406" spans="1:10" ht="14.25" customHeight="1" x14ac:dyDescent="0.3">
      <c r="A5406" s="1">
        <v>45170</v>
      </c>
      <c r="B5406" s="2" t="s">
        <v>829</v>
      </c>
      <c r="C5406" s="2" t="s">
        <v>21</v>
      </c>
      <c r="D5406" s="2" t="s">
        <v>10</v>
      </c>
      <c r="E5406" s="2" t="s">
        <v>41</v>
      </c>
      <c r="F5406" s="2">
        <v>21.88</v>
      </c>
      <c r="G5406" s="2">
        <v>2</v>
      </c>
      <c r="H5406" s="2">
        <v>10.94</v>
      </c>
      <c r="I5406" t="str">
        <f t="shared" si="84"/>
        <v>Sep</v>
      </c>
      <c r="J5406">
        <f>YEAR(datas[[#This Row],[Order Date]])</f>
        <v>2023</v>
      </c>
    </row>
    <row r="5407" spans="1:10" ht="14.25" customHeight="1" x14ac:dyDescent="0.3">
      <c r="A5407" s="1">
        <v>45170</v>
      </c>
      <c r="B5407" s="2" t="s">
        <v>131</v>
      </c>
      <c r="C5407" s="2" t="s">
        <v>18</v>
      </c>
      <c r="D5407" s="2" t="s">
        <v>10</v>
      </c>
      <c r="E5407" s="2" t="s">
        <v>11</v>
      </c>
      <c r="F5407" s="2">
        <v>30.48</v>
      </c>
      <c r="G5407" s="2">
        <v>6</v>
      </c>
      <c r="H5407" s="2">
        <v>9.91</v>
      </c>
      <c r="I5407" t="str">
        <f t="shared" si="84"/>
        <v>Sep</v>
      </c>
      <c r="J5407">
        <f>YEAR(datas[[#This Row],[Order Date]])</f>
        <v>2023</v>
      </c>
    </row>
    <row r="5408" spans="1:10" ht="14.25" customHeight="1" x14ac:dyDescent="0.3">
      <c r="A5408" s="1">
        <v>45170</v>
      </c>
      <c r="B5408" s="2" t="s">
        <v>131</v>
      </c>
      <c r="C5408" s="2" t="s">
        <v>18</v>
      </c>
      <c r="D5408" s="2" t="s">
        <v>28</v>
      </c>
      <c r="E5408" s="2" t="s">
        <v>29</v>
      </c>
      <c r="F5408" s="2">
        <v>23.99</v>
      </c>
      <c r="G5408" s="2">
        <v>2</v>
      </c>
      <c r="H5408" s="2">
        <v>-4.8</v>
      </c>
      <c r="I5408" t="str">
        <f t="shared" si="84"/>
        <v>Sep</v>
      </c>
      <c r="J5408">
        <f>YEAR(datas[[#This Row],[Order Date]])</f>
        <v>2023</v>
      </c>
    </row>
    <row r="5409" spans="1:10" ht="14.25" customHeight="1" x14ac:dyDescent="0.3">
      <c r="A5409" s="1">
        <v>45170</v>
      </c>
      <c r="B5409" s="2" t="s">
        <v>131</v>
      </c>
      <c r="C5409" s="2" t="s">
        <v>18</v>
      </c>
      <c r="D5409" s="2" t="s">
        <v>10</v>
      </c>
      <c r="E5409" s="2" t="s">
        <v>30</v>
      </c>
      <c r="F5409" s="2">
        <v>16.690000000000001</v>
      </c>
      <c r="G5409" s="2">
        <v>7</v>
      </c>
      <c r="H5409" s="2">
        <v>5.42</v>
      </c>
      <c r="I5409" t="str">
        <f t="shared" si="84"/>
        <v>Sep</v>
      </c>
      <c r="J5409">
        <f>YEAR(datas[[#This Row],[Order Date]])</f>
        <v>2023</v>
      </c>
    </row>
    <row r="5410" spans="1:10" ht="14.25" customHeight="1" x14ac:dyDescent="0.3">
      <c r="A5410" s="1">
        <v>45170</v>
      </c>
      <c r="B5410" s="2" t="s">
        <v>256</v>
      </c>
      <c r="C5410" s="2" t="s">
        <v>75</v>
      </c>
      <c r="D5410" s="2" t="s">
        <v>28</v>
      </c>
      <c r="E5410" s="2" t="s">
        <v>34</v>
      </c>
      <c r="F5410" s="2">
        <v>468.9</v>
      </c>
      <c r="G5410" s="2">
        <v>6</v>
      </c>
      <c r="H5410" s="2">
        <v>206.32</v>
      </c>
      <c r="I5410" t="str">
        <f t="shared" si="84"/>
        <v>Sep</v>
      </c>
      <c r="J5410">
        <f>YEAR(datas[[#This Row],[Order Date]])</f>
        <v>2023</v>
      </c>
    </row>
    <row r="5411" spans="1:10" ht="14.25" customHeight="1" x14ac:dyDescent="0.3">
      <c r="A5411" s="1">
        <v>45170</v>
      </c>
      <c r="B5411" s="2" t="s">
        <v>256</v>
      </c>
      <c r="C5411" s="2" t="s">
        <v>75</v>
      </c>
      <c r="D5411" s="2" t="s">
        <v>28</v>
      </c>
      <c r="E5411" s="2" t="s">
        <v>34</v>
      </c>
      <c r="F5411" s="2">
        <v>72.48</v>
      </c>
      <c r="G5411" s="2">
        <v>2</v>
      </c>
      <c r="H5411" s="2">
        <v>30.44</v>
      </c>
      <c r="I5411" t="str">
        <f t="shared" si="84"/>
        <v>Sep</v>
      </c>
      <c r="J5411">
        <f>YEAR(datas[[#This Row],[Order Date]])</f>
        <v>2023</v>
      </c>
    </row>
    <row r="5412" spans="1:10" ht="14.25" customHeight="1" x14ac:dyDescent="0.3">
      <c r="A5412" s="1">
        <v>45170</v>
      </c>
      <c r="B5412" s="2" t="s">
        <v>256</v>
      </c>
      <c r="C5412" s="2" t="s">
        <v>75</v>
      </c>
      <c r="D5412" s="2" t="s">
        <v>10</v>
      </c>
      <c r="E5412" s="2" t="s">
        <v>95</v>
      </c>
      <c r="F5412" s="2">
        <v>10.95</v>
      </c>
      <c r="G5412" s="2">
        <v>3</v>
      </c>
      <c r="H5412" s="2">
        <v>3.29</v>
      </c>
      <c r="I5412" t="str">
        <f t="shared" si="84"/>
        <v>Sep</v>
      </c>
      <c r="J5412">
        <f>YEAR(datas[[#This Row],[Order Date]])</f>
        <v>2023</v>
      </c>
    </row>
    <row r="5413" spans="1:10" ht="14.25" customHeight="1" x14ac:dyDescent="0.3">
      <c r="A5413" s="1">
        <v>45170</v>
      </c>
      <c r="B5413" s="2" t="s">
        <v>256</v>
      </c>
      <c r="C5413" s="2" t="s">
        <v>75</v>
      </c>
      <c r="D5413" s="2" t="s">
        <v>26</v>
      </c>
      <c r="E5413" s="2" t="s">
        <v>32</v>
      </c>
      <c r="F5413" s="2">
        <v>191.82</v>
      </c>
      <c r="G5413" s="2">
        <v>3</v>
      </c>
      <c r="H5413" s="2">
        <v>61.38</v>
      </c>
      <c r="I5413" t="str">
        <f t="shared" si="84"/>
        <v>Sep</v>
      </c>
      <c r="J5413">
        <f>YEAR(datas[[#This Row],[Order Date]])</f>
        <v>2023</v>
      </c>
    </row>
    <row r="5414" spans="1:10" ht="14.25" customHeight="1" x14ac:dyDescent="0.3">
      <c r="A5414" s="1">
        <v>45170</v>
      </c>
      <c r="B5414" s="2" t="s">
        <v>480</v>
      </c>
      <c r="C5414" s="2" t="s">
        <v>60</v>
      </c>
      <c r="D5414" s="2" t="s">
        <v>10</v>
      </c>
      <c r="E5414" s="2" t="s">
        <v>16</v>
      </c>
      <c r="F5414" s="2">
        <v>24.1</v>
      </c>
      <c r="G5414" s="2">
        <v>5</v>
      </c>
      <c r="H5414" s="2">
        <v>11.09</v>
      </c>
      <c r="I5414" t="str">
        <f t="shared" si="84"/>
        <v>Sep</v>
      </c>
      <c r="J5414">
        <f>YEAR(datas[[#This Row],[Order Date]])</f>
        <v>2023</v>
      </c>
    </row>
    <row r="5415" spans="1:10" ht="14.25" customHeight="1" x14ac:dyDescent="0.3">
      <c r="A5415" s="1">
        <v>45170</v>
      </c>
      <c r="B5415" s="2" t="s">
        <v>480</v>
      </c>
      <c r="C5415" s="2" t="s">
        <v>60</v>
      </c>
      <c r="D5415" s="2" t="s">
        <v>28</v>
      </c>
      <c r="E5415" s="2" t="s">
        <v>29</v>
      </c>
      <c r="F5415" s="2">
        <v>8.7799999999999994</v>
      </c>
      <c r="G5415" s="2">
        <v>1</v>
      </c>
      <c r="H5415" s="2">
        <v>2.2799999999999998</v>
      </c>
      <c r="I5415" t="str">
        <f t="shared" si="84"/>
        <v>Sep</v>
      </c>
      <c r="J5415">
        <f>YEAR(datas[[#This Row],[Order Date]])</f>
        <v>2023</v>
      </c>
    </row>
    <row r="5416" spans="1:10" ht="14.25" customHeight="1" x14ac:dyDescent="0.3">
      <c r="A5416" s="1">
        <v>45170</v>
      </c>
      <c r="B5416" s="2" t="s">
        <v>480</v>
      </c>
      <c r="C5416" s="2" t="s">
        <v>60</v>
      </c>
      <c r="D5416" s="2" t="s">
        <v>10</v>
      </c>
      <c r="E5416" s="2" t="s">
        <v>53</v>
      </c>
      <c r="F5416" s="2">
        <v>376.74</v>
      </c>
      <c r="G5416" s="2">
        <v>4</v>
      </c>
      <c r="H5416" s="2">
        <v>71.16</v>
      </c>
      <c r="I5416" t="str">
        <f t="shared" si="84"/>
        <v>Sep</v>
      </c>
      <c r="J5416">
        <f>YEAR(datas[[#This Row],[Order Date]])</f>
        <v>2023</v>
      </c>
    </row>
    <row r="5417" spans="1:10" ht="14.25" customHeight="1" x14ac:dyDescent="0.3">
      <c r="A5417" s="1">
        <v>45170</v>
      </c>
      <c r="B5417" s="2" t="s">
        <v>480</v>
      </c>
      <c r="C5417" s="2" t="s">
        <v>60</v>
      </c>
      <c r="D5417" s="2" t="s">
        <v>10</v>
      </c>
      <c r="E5417" s="2" t="s">
        <v>16</v>
      </c>
      <c r="F5417" s="2">
        <v>29.52</v>
      </c>
      <c r="G5417" s="2">
        <v>4</v>
      </c>
      <c r="H5417" s="2">
        <v>14.46</v>
      </c>
      <c r="I5417" t="str">
        <f t="shared" si="84"/>
        <v>Sep</v>
      </c>
      <c r="J5417">
        <f>YEAR(datas[[#This Row],[Order Date]])</f>
        <v>2023</v>
      </c>
    </row>
    <row r="5418" spans="1:10" ht="14.25" customHeight="1" x14ac:dyDescent="0.3">
      <c r="A5418" s="1">
        <v>45170</v>
      </c>
      <c r="B5418" s="2" t="s">
        <v>480</v>
      </c>
      <c r="C5418" s="2" t="s">
        <v>60</v>
      </c>
      <c r="D5418" s="2" t="s">
        <v>10</v>
      </c>
      <c r="E5418" s="2" t="s">
        <v>19</v>
      </c>
      <c r="F5418" s="2">
        <v>11.96</v>
      </c>
      <c r="G5418" s="2">
        <v>2</v>
      </c>
      <c r="H5418" s="2">
        <v>2.99</v>
      </c>
      <c r="I5418" t="str">
        <f t="shared" si="84"/>
        <v>Sep</v>
      </c>
      <c r="J5418">
        <f>YEAR(datas[[#This Row],[Order Date]])</f>
        <v>2023</v>
      </c>
    </row>
    <row r="5419" spans="1:10" ht="14.25" customHeight="1" x14ac:dyDescent="0.3">
      <c r="A5419" s="1">
        <v>45170</v>
      </c>
      <c r="B5419" s="2" t="s">
        <v>480</v>
      </c>
      <c r="C5419" s="2" t="s">
        <v>60</v>
      </c>
      <c r="D5419" s="2" t="s">
        <v>10</v>
      </c>
      <c r="E5419" s="2" t="s">
        <v>16</v>
      </c>
      <c r="F5419" s="2">
        <v>26.4</v>
      </c>
      <c r="G5419" s="2">
        <v>5</v>
      </c>
      <c r="H5419" s="2">
        <v>12.67</v>
      </c>
      <c r="I5419" t="str">
        <f t="shared" si="84"/>
        <v>Sep</v>
      </c>
      <c r="J5419">
        <f>YEAR(datas[[#This Row],[Order Date]])</f>
        <v>2023</v>
      </c>
    </row>
    <row r="5420" spans="1:10" ht="14.25" customHeight="1" x14ac:dyDescent="0.3">
      <c r="A5420" s="1">
        <v>45170</v>
      </c>
      <c r="B5420" s="2" t="s">
        <v>226</v>
      </c>
      <c r="C5420" s="2" t="s">
        <v>21</v>
      </c>
      <c r="D5420" s="2" t="s">
        <v>10</v>
      </c>
      <c r="E5420" s="2" t="s">
        <v>41</v>
      </c>
      <c r="F5420" s="2">
        <v>12.78</v>
      </c>
      <c r="G5420" s="2">
        <v>1</v>
      </c>
      <c r="H5420" s="2">
        <v>5.75</v>
      </c>
      <c r="I5420" t="str">
        <f t="shared" si="84"/>
        <v>Sep</v>
      </c>
      <c r="J5420">
        <f>YEAR(datas[[#This Row],[Order Date]])</f>
        <v>2023</v>
      </c>
    </row>
    <row r="5421" spans="1:10" ht="14.25" customHeight="1" x14ac:dyDescent="0.3">
      <c r="A5421" s="1">
        <v>45171</v>
      </c>
      <c r="B5421" s="2" t="s">
        <v>574</v>
      </c>
      <c r="C5421" s="2" t="s">
        <v>75</v>
      </c>
      <c r="D5421" s="2" t="s">
        <v>10</v>
      </c>
      <c r="E5421" s="2" t="s">
        <v>19</v>
      </c>
      <c r="F5421" s="2">
        <v>75.48</v>
      </c>
      <c r="G5421" s="2">
        <v>2</v>
      </c>
      <c r="H5421" s="2">
        <v>19.62</v>
      </c>
      <c r="I5421" t="str">
        <f t="shared" si="84"/>
        <v>Sep</v>
      </c>
      <c r="J5421">
        <f>YEAR(datas[[#This Row],[Order Date]])</f>
        <v>2023</v>
      </c>
    </row>
    <row r="5422" spans="1:10" ht="14.25" customHeight="1" x14ac:dyDescent="0.3">
      <c r="A5422" s="1">
        <v>45171</v>
      </c>
      <c r="B5422" s="2" t="s">
        <v>574</v>
      </c>
      <c r="C5422" s="2" t="s">
        <v>75</v>
      </c>
      <c r="D5422" s="2" t="s">
        <v>26</v>
      </c>
      <c r="E5422" s="2" t="s">
        <v>32</v>
      </c>
      <c r="F5422" s="2">
        <v>39.979999999999997</v>
      </c>
      <c r="G5422" s="2">
        <v>2</v>
      </c>
      <c r="H5422" s="2">
        <v>10</v>
      </c>
      <c r="I5422" t="str">
        <f t="shared" si="84"/>
        <v>Sep</v>
      </c>
      <c r="J5422">
        <f>YEAR(datas[[#This Row],[Order Date]])</f>
        <v>2023</v>
      </c>
    </row>
    <row r="5423" spans="1:10" ht="14.25" customHeight="1" x14ac:dyDescent="0.3">
      <c r="A5423" s="1">
        <v>45171</v>
      </c>
      <c r="B5423" s="2" t="s">
        <v>401</v>
      </c>
      <c r="C5423" s="2" t="s">
        <v>79</v>
      </c>
      <c r="D5423" s="2" t="s">
        <v>10</v>
      </c>
      <c r="E5423" s="2" t="s">
        <v>30</v>
      </c>
      <c r="F5423" s="2">
        <v>1.81</v>
      </c>
      <c r="G5423" s="2">
        <v>1</v>
      </c>
      <c r="H5423" s="2">
        <v>0.65</v>
      </c>
      <c r="I5423" t="str">
        <f t="shared" si="84"/>
        <v>Sep</v>
      </c>
      <c r="J5423">
        <f>YEAR(datas[[#This Row],[Order Date]])</f>
        <v>2023</v>
      </c>
    </row>
    <row r="5424" spans="1:10" ht="14.25" customHeight="1" x14ac:dyDescent="0.3">
      <c r="A5424" s="1">
        <v>45171</v>
      </c>
      <c r="B5424" s="2" t="s">
        <v>401</v>
      </c>
      <c r="C5424" s="2" t="s">
        <v>79</v>
      </c>
      <c r="D5424" s="2" t="s">
        <v>10</v>
      </c>
      <c r="E5424" s="2" t="s">
        <v>16</v>
      </c>
      <c r="F5424" s="2">
        <v>8.26</v>
      </c>
      <c r="G5424" s="2">
        <v>2</v>
      </c>
      <c r="H5424" s="2">
        <v>3.88</v>
      </c>
      <c r="I5424" t="str">
        <f t="shared" si="84"/>
        <v>Sep</v>
      </c>
      <c r="J5424">
        <f>YEAR(datas[[#This Row],[Order Date]])</f>
        <v>2023</v>
      </c>
    </row>
    <row r="5425" spans="1:10" ht="14.25" customHeight="1" x14ac:dyDescent="0.3">
      <c r="A5425" s="1">
        <v>45171</v>
      </c>
      <c r="B5425" s="2" t="s">
        <v>451</v>
      </c>
      <c r="C5425" s="2" t="s">
        <v>21</v>
      </c>
      <c r="D5425" s="2" t="s">
        <v>10</v>
      </c>
      <c r="E5425" s="2" t="s">
        <v>15</v>
      </c>
      <c r="F5425" s="2">
        <v>46.53</v>
      </c>
      <c r="G5425" s="2">
        <v>3</v>
      </c>
      <c r="H5425" s="2">
        <v>12.1</v>
      </c>
      <c r="I5425" t="str">
        <f t="shared" si="84"/>
        <v>Sep</v>
      </c>
      <c r="J5425">
        <f>YEAR(datas[[#This Row],[Order Date]])</f>
        <v>2023</v>
      </c>
    </row>
    <row r="5426" spans="1:10" ht="14.25" customHeight="1" x14ac:dyDescent="0.3">
      <c r="A5426" s="1">
        <v>45171</v>
      </c>
      <c r="B5426" s="2" t="s">
        <v>628</v>
      </c>
      <c r="C5426" s="2" t="s">
        <v>13</v>
      </c>
      <c r="D5426" s="2" t="s">
        <v>10</v>
      </c>
      <c r="E5426" s="2" t="s">
        <v>14</v>
      </c>
      <c r="F5426" s="2">
        <v>29.24</v>
      </c>
      <c r="G5426" s="2">
        <v>5</v>
      </c>
      <c r="H5426" s="2">
        <v>9.8699999999999992</v>
      </c>
      <c r="I5426" t="str">
        <f t="shared" si="84"/>
        <v>Sep</v>
      </c>
      <c r="J5426">
        <f>YEAR(datas[[#This Row],[Order Date]])</f>
        <v>2023</v>
      </c>
    </row>
    <row r="5427" spans="1:10" ht="14.25" customHeight="1" x14ac:dyDescent="0.3">
      <c r="A5427" s="1">
        <v>45171</v>
      </c>
      <c r="B5427" s="2" t="s">
        <v>628</v>
      </c>
      <c r="C5427" s="2" t="s">
        <v>13</v>
      </c>
      <c r="D5427" s="2" t="s">
        <v>10</v>
      </c>
      <c r="E5427" s="2" t="s">
        <v>15</v>
      </c>
      <c r="F5427" s="2">
        <v>35.17</v>
      </c>
      <c r="G5427" s="2">
        <v>2</v>
      </c>
      <c r="H5427" s="2">
        <v>-8.35</v>
      </c>
      <c r="I5427" t="str">
        <f t="shared" si="84"/>
        <v>Sep</v>
      </c>
      <c r="J5427">
        <f>YEAR(datas[[#This Row],[Order Date]])</f>
        <v>2023</v>
      </c>
    </row>
    <row r="5428" spans="1:10" ht="14.25" customHeight="1" x14ac:dyDescent="0.3">
      <c r="A5428" s="1">
        <v>45171</v>
      </c>
      <c r="B5428" s="2" t="s">
        <v>628</v>
      </c>
      <c r="C5428" s="2" t="s">
        <v>13</v>
      </c>
      <c r="D5428" s="2" t="s">
        <v>28</v>
      </c>
      <c r="E5428" s="2" t="s">
        <v>136</v>
      </c>
      <c r="F5428" s="2">
        <v>1362.9</v>
      </c>
      <c r="G5428" s="2">
        <v>3</v>
      </c>
      <c r="H5428" s="2">
        <v>-19.47</v>
      </c>
      <c r="I5428" t="str">
        <f t="shared" si="84"/>
        <v>Sep</v>
      </c>
      <c r="J5428">
        <f>YEAR(datas[[#This Row],[Order Date]])</f>
        <v>2023</v>
      </c>
    </row>
    <row r="5429" spans="1:10" ht="14.25" customHeight="1" x14ac:dyDescent="0.3">
      <c r="A5429" s="1">
        <v>45171</v>
      </c>
      <c r="B5429" s="2" t="s">
        <v>468</v>
      </c>
      <c r="C5429" s="2" t="s">
        <v>13</v>
      </c>
      <c r="D5429" s="2" t="s">
        <v>26</v>
      </c>
      <c r="E5429" s="2" t="s">
        <v>32</v>
      </c>
      <c r="F5429" s="2">
        <v>84.27</v>
      </c>
      <c r="G5429" s="2">
        <v>2</v>
      </c>
      <c r="H5429" s="2">
        <v>-75.84</v>
      </c>
      <c r="I5429" t="str">
        <f t="shared" si="84"/>
        <v>Sep</v>
      </c>
      <c r="J5429">
        <f>YEAR(datas[[#This Row],[Order Date]])</f>
        <v>2023</v>
      </c>
    </row>
    <row r="5430" spans="1:10" ht="14.25" customHeight="1" x14ac:dyDescent="0.3">
      <c r="A5430" s="1">
        <v>45171</v>
      </c>
      <c r="B5430" s="2" t="s">
        <v>434</v>
      </c>
      <c r="C5430" s="2" t="s">
        <v>115</v>
      </c>
      <c r="D5430" s="2" t="s">
        <v>10</v>
      </c>
      <c r="E5430" s="2" t="s">
        <v>16</v>
      </c>
      <c r="F5430" s="2">
        <v>22.91</v>
      </c>
      <c r="G5430" s="2">
        <v>7</v>
      </c>
      <c r="H5430" s="2">
        <v>-17.57</v>
      </c>
      <c r="I5430" t="str">
        <f t="shared" si="84"/>
        <v>Sep</v>
      </c>
      <c r="J5430">
        <f>YEAR(datas[[#This Row],[Order Date]])</f>
        <v>2023</v>
      </c>
    </row>
    <row r="5431" spans="1:10" ht="14.25" customHeight="1" x14ac:dyDescent="0.3">
      <c r="A5431" s="1">
        <v>45171</v>
      </c>
      <c r="B5431" s="2" t="s">
        <v>434</v>
      </c>
      <c r="C5431" s="2" t="s">
        <v>115</v>
      </c>
      <c r="D5431" s="2" t="s">
        <v>10</v>
      </c>
      <c r="E5431" s="2" t="s">
        <v>53</v>
      </c>
      <c r="F5431" s="2">
        <v>309.45999999999998</v>
      </c>
      <c r="G5431" s="2">
        <v>9</v>
      </c>
      <c r="H5431" s="2">
        <v>34.81</v>
      </c>
      <c r="I5431" t="str">
        <f t="shared" si="84"/>
        <v>Sep</v>
      </c>
      <c r="J5431">
        <f>YEAR(datas[[#This Row],[Order Date]])</f>
        <v>2023</v>
      </c>
    </row>
    <row r="5432" spans="1:10" ht="14.25" customHeight="1" x14ac:dyDescent="0.3">
      <c r="A5432" s="1">
        <v>45171</v>
      </c>
      <c r="B5432" s="2" t="s">
        <v>434</v>
      </c>
      <c r="C5432" s="2" t="s">
        <v>115</v>
      </c>
      <c r="D5432" s="2" t="s">
        <v>10</v>
      </c>
      <c r="E5432" s="2" t="s">
        <v>19</v>
      </c>
      <c r="F5432" s="2">
        <v>19.46</v>
      </c>
      <c r="G5432" s="2">
        <v>4</v>
      </c>
      <c r="H5432" s="2">
        <v>3.4</v>
      </c>
      <c r="I5432" t="str">
        <f t="shared" si="84"/>
        <v>Sep</v>
      </c>
      <c r="J5432">
        <f>YEAR(datas[[#This Row],[Order Date]])</f>
        <v>2023</v>
      </c>
    </row>
    <row r="5433" spans="1:10" ht="14.25" customHeight="1" x14ac:dyDescent="0.3">
      <c r="A5433" s="1">
        <v>45171</v>
      </c>
      <c r="B5433" s="2" t="s">
        <v>434</v>
      </c>
      <c r="C5433" s="2" t="s">
        <v>115</v>
      </c>
      <c r="D5433" s="2" t="s">
        <v>26</v>
      </c>
      <c r="E5433" s="2" t="s">
        <v>73</v>
      </c>
      <c r="F5433" s="2">
        <v>472.52</v>
      </c>
      <c r="G5433" s="2">
        <v>3</v>
      </c>
      <c r="H5433" s="2">
        <v>-149.63</v>
      </c>
      <c r="I5433" t="str">
        <f t="shared" si="84"/>
        <v>Sep</v>
      </c>
      <c r="J5433">
        <f>YEAR(datas[[#This Row],[Order Date]])</f>
        <v>2023</v>
      </c>
    </row>
    <row r="5434" spans="1:10" ht="14.25" customHeight="1" x14ac:dyDescent="0.3">
      <c r="A5434" s="1">
        <v>45171</v>
      </c>
      <c r="B5434" s="2" t="s">
        <v>434</v>
      </c>
      <c r="C5434" s="2" t="s">
        <v>115</v>
      </c>
      <c r="D5434" s="2" t="s">
        <v>28</v>
      </c>
      <c r="E5434" s="2" t="s">
        <v>34</v>
      </c>
      <c r="F5434" s="2">
        <v>1012.68</v>
      </c>
      <c r="G5434" s="2">
        <v>3</v>
      </c>
      <c r="H5434" s="2">
        <v>303.8</v>
      </c>
      <c r="I5434" t="str">
        <f t="shared" si="84"/>
        <v>Sep</v>
      </c>
      <c r="J5434">
        <f>YEAR(datas[[#This Row],[Order Date]])</f>
        <v>2023</v>
      </c>
    </row>
    <row r="5435" spans="1:10" ht="14.25" customHeight="1" x14ac:dyDescent="0.3">
      <c r="A5435" s="1">
        <v>45171</v>
      </c>
      <c r="B5435" s="2" t="s">
        <v>434</v>
      </c>
      <c r="C5435" s="2" t="s">
        <v>115</v>
      </c>
      <c r="D5435" s="2" t="s">
        <v>10</v>
      </c>
      <c r="E5435" s="2" t="s">
        <v>16</v>
      </c>
      <c r="F5435" s="2">
        <v>17.22</v>
      </c>
      <c r="G5435" s="2">
        <v>5</v>
      </c>
      <c r="H5435" s="2">
        <v>-12.63</v>
      </c>
      <c r="I5435" t="str">
        <f t="shared" si="84"/>
        <v>Sep</v>
      </c>
      <c r="J5435">
        <f>YEAR(datas[[#This Row],[Order Date]])</f>
        <v>2023</v>
      </c>
    </row>
    <row r="5436" spans="1:10" ht="14.25" customHeight="1" x14ac:dyDescent="0.3">
      <c r="A5436" s="1">
        <v>45171</v>
      </c>
      <c r="B5436" s="2" t="s">
        <v>686</v>
      </c>
      <c r="C5436" s="2" t="s">
        <v>82</v>
      </c>
      <c r="D5436" s="2" t="s">
        <v>28</v>
      </c>
      <c r="E5436" s="2" t="s">
        <v>243</v>
      </c>
      <c r="F5436" s="2">
        <v>999.98</v>
      </c>
      <c r="G5436" s="2">
        <v>2</v>
      </c>
      <c r="H5436" s="2">
        <v>449.99</v>
      </c>
      <c r="I5436" t="str">
        <f t="shared" si="84"/>
        <v>Sep</v>
      </c>
      <c r="J5436">
        <f>YEAR(datas[[#This Row],[Order Date]])</f>
        <v>2023</v>
      </c>
    </row>
    <row r="5437" spans="1:10" ht="14.25" customHeight="1" x14ac:dyDescent="0.3">
      <c r="A5437" s="1">
        <v>45171</v>
      </c>
      <c r="B5437" s="2" t="s">
        <v>547</v>
      </c>
      <c r="C5437" s="2" t="s">
        <v>9</v>
      </c>
      <c r="D5437" s="2" t="s">
        <v>10</v>
      </c>
      <c r="E5437" s="2" t="s">
        <v>16</v>
      </c>
      <c r="F5437" s="2">
        <v>8.61</v>
      </c>
      <c r="G5437" s="2">
        <v>8</v>
      </c>
      <c r="H5437" s="2">
        <v>-13.34</v>
      </c>
      <c r="I5437" t="str">
        <f t="shared" si="84"/>
        <v>Sep</v>
      </c>
      <c r="J5437">
        <f>YEAR(datas[[#This Row],[Order Date]])</f>
        <v>2023</v>
      </c>
    </row>
    <row r="5438" spans="1:10" ht="14.25" customHeight="1" x14ac:dyDescent="0.3">
      <c r="A5438" s="1">
        <v>45171</v>
      </c>
      <c r="B5438" s="2" t="s">
        <v>547</v>
      </c>
      <c r="C5438" s="2" t="s">
        <v>9</v>
      </c>
      <c r="D5438" s="2" t="s">
        <v>28</v>
      </c>
      <c r="E5438" s="2" t="s">
        <v>34</v>
      </c>
      <c r="F5438" s="2">
        <v>159.56</v>
      </c>
      <c r="G5438" s="2">
        <v>5</v>
      </c>
      <c r="H5438" s="2">
        <v>33.909999999999997</v>
      </c>
      <c r="I5438" t="str">
        <f t="shared" si="84"/>
        <v>Sep</v>
      </c>
      <c r="J5438">
        <f>YEAR(datas[[#This Row],[Order Date]])</f>
        <v>2023</v>
      </c>
    </row>
    <row r="5439" spans="1:10" ht="14.25" customHeight="1" x14ac:dyDescent="0.3">
      <c r="A5439" s="1">
        <v>45171</v>
      </c>
      <c r="B5439" s="2" t="s">
        <v>453</v>
      </c>
      <c r="C5439" s="2" t="s">
        <v>82</v>
      </c>
      <c r="D5439" s="2" t="s">
        <v>26</v>
      </c>
      <c r="E5439" s="2" t="s">
        <v>27</v>
      </c>
      <c r="F5439" s="2">
        <v>215.98</v>
      </c>
      <c r="G5439" s="2">
        <v>3</v>
      </c>
      <c r="H5439" s="2">
        <v>-2.7</v>
      </c>
      <c r="I5439" t="str">
        <f t="shared" si="84"/>
        <v>Sep</v>
      </c>
      <c r="J5439">
        <f>YEAR(datas[[#This Row],[Order Date]])</f>
        <v>2023</v>
      </c>
    </row>
    <row r="5440" spans="1:10" ht="14.25" customHeight="1" x14ac:dyDescent="0.3">
      <c r="A5440" s="1">
        <v>45171</v>
      </c>
      <c r="B5440" s="2" t="s">
        <v>453</v>
      </c>
      <c r="C5440" s="2" t="s">
        <v>82</v>
      </c>
      <c r="D5440" s="2" t="s">
        <v>10</v>
      </c>
      <c r="E5440" s="2" t="s">
        <v>41</v>
      </c>
      <c r="F5440" s="2">
        <v>65.94</v>
      </c>
      <c r="G5440" s="2">
        <v>3</v>
      </c>
      <c r="H5440" s="2">
        <v>30.99</v>
      </c>
      <c r="I5440" t="str">
        <f t="shared" si="84"/>
        <v>Sep</v>
      </c>
      <c r="J5440">
        <f>YEAR(datas[[#This Row],[Order Date]])</f>
        <v>2023</v>
      </c>
    </row>
    <row r="5441" spans="1:10" ht="14.25" customHeight="1" x14ac:dyDescent="0.3">
      <c r="A5441" s="1">
        <v>45171</v>
      </c>
      <c r="B5441" s="2" t="s">
        <v>406</v>
      </c>
      <c r="C5441" s="2" t="s">
        <v>21</v>
      </c>
      <c r="D5441" s="2" t="s">
        <v>26</v>
      </c>
      <c r="E5441" s="2" t="s">
        <v>32</v>
      </c>
      <c r="F5441" s="2">
        <v>94.68</v>
      </c>
      <c r="G5441" s="2">
        <v>9</v>
      </c>
      <c r="H5441" s="2">
        <v>31.24</v>
      </c>
      <c r="I5441" t="str">
        <f t="shared" si="84"/>
        <v>Sep</v>
      </c>
      <c r="J5441">
        <f>YEAR(datas[[#This Row],[Order Date]])</f>
        <v>2023</v>
      </c>
    </row>
    <row r="5442" spans="1:10" ht="14.25" customHeight="1" x14ac:dyDescent="0.3">
      <c r="A5442" s="1">
        <v>45171</v>
      </c>
      <c r="B5442" s="2" t="s">
        <v>406</v>
      </c>
      <c r="C5442" s="2" t="s">
        <v>21</v>
      </c>
      <c r="D5442" s="2" t="s">
        <v>10</v>
      </c>
      <c r="E5442" s="2" t="s">
        <v>15</v>
      </c>
      <c r="F5442" s="2">
        <v>23.67</v>
      </c>
      <c r="G5442" s="2">
        <v>3</v>
      </c>
      <c r="H5442" s="2">
        <v>0.95</v>
      </c>
      <c r="I5442" t="str">
        <f t="shared" si="84"/>
        <v>Sep</v>
      </c>
      <c r="J5442">
        <f>YEAR(datas[[#This Row],[Order Date]])</f>
        <v>2023</v>
      </c>
    </row>
    <row r="5443" spans="1:10" ht="14.25" customHeight="1" x14ac:dyDescent="0.3">
      <c r="A5443" s="1">
        <v>45171</v>
      </c>
      <c r="B5443" s="2" t="s">
        <v>406</v>
      </c>
      <c r="C5443" s="2" t="s">
        <v>21</v>
      </c>
      <c r="D5443" s="2" t="s">
        <v>28</v>
      </c>
      <c r="E5443" s="2" t="s">
        <v>29</v>
      </c>
      <c r="F5443" s="2">
        <v>1091.17</v>
      </c>
      <c r="G5443" s="2">
        <v>4</v>
      </c>
      <c r="H5443" s="2">
        <v>68.2</v>
      </c>
      <c r="I5443" t="str">
        <f t="shared" ref="I5443:I5506" si="85">TEXT(A5443,"mmm")</f>
        <v>Sep</v>
      </c>
      <c r="J5443">
        <f>YEAR(datas[[#This Row],[Order Date]])</f>
        <v>2023</v>
      </c>
    </row>
    <row r="5444" spans="1:10" ht="14.25" customHeight="1" x14ac:dyDescent="0.3">
      <c r="A5444" s="1">
        <v>45171</v>
      </c>
      <c r="B5444" s="2" t="s">
        <v>406</v>
      </c>
      <c r="C5444" s="2" t="s">
        <v>21</v>
      </c>
      <c r="D5444" s="2" t="s">
        <v>10</v>
      </c>
      <c r="E5444" s="2" t="s">
        <v>19</v>
      </c>
      <c r="F5444" s="2">
        <v>18.690000000000001</v>
      </c>
      <c r="G5444" s="2">
        <v>7</v>
      </c>
      <c r="H5444" s="2">
        <v>5.23</v>
      </c>
      <c r="I5444" t="str">
        <f t="shared" si="85"/>
        <v>Sep</v>
      </c>
      <c r="J5444">
        <f>YEAR(datas[[#This Row],[Order Date]])</f>
        <v>2023</v>
      </c>
    </row>
    <row r="5445" spans="1:10" ht="14.25" customHeight="1" x14ac:dyDescent="0.3">
      <c r="A5445" s="1">
        <v>45171</v>
      </c>
      <c r="B5445" s="2" t="s">
        <v>406</v>
      </c>
      <c r="C5445" s="2" t="s">
        <v>21</v>
      </c>
      <c r="D5445" s="2" t="s">
        <v>26</v>
      </c>
      <c r="E5445" s="2" t="s">
        <v>73</v>
      </c>
      <c r="F5445" s="2">
        <v>568.73</v>
      </c>
      <c r="G5445" s="2">
        <v>3</v>
      </c>
      <c r="H5445" s="2">
        <v>28.44</v>
      </c>
      <c r="I5445" t="str">
        <f t="shared" si="85"/>
        <v>Sep</v>
      </c>
      <c r="J5445">
        <f>YEAR(datas[[#This Row],[Order Date]])</f>
        <v>2023</v>
      </c>
    </row>
    <row r="5446" spans="1:10" ht="14.25" customHeight="1" x14ac:dyDescent="0.3">
      <c r="A5446" s="1">
        <v>45171</v>
      </c>
      <c r="B5446" s="2" t="s">
        <v>406</v>
      </c>
      <c r="C5446" s="2" t="s">
        <v>21</v>
      </c>
      <c r="D5446" s="2" t="s">
        <v>10</v>
      </c>
      <c r="E5446" s="2" t="s">
        <v>16</v>
      </c>
      <c r="F5446" s="2">
        <v>7.31</v>
      </c>
      <c r="G5446" s="2">
        <v>1</v>
      </c>
      <c r="H5446" s="2">
        <v>2.56</v>
      </c>
      <c r="I5446" t="str">
        <f t="shared" si="85"/>
        <v>Sep</v>
      </c>
      <c r="J5446">
        <f>YEAR(datas[[#This Row],[Order Date]])</f>
        <v>2023</v>
      </c>
    </row>
    <row r="5447" spans="1:10" ht="14.25" customHeight="1" x14ac:dyDescent="0.3">
      <c r="A5447" s="1">
        <v>45172</v>
      </c>
      <c r="B5447" s="2" t="s">
        <v>185</v>
      </c>
      <c r="C5447" s="2" t="s">
        <v>18</v>
      </c>
      <c r="D5447" s="2" t="s">
        <v>10</v>
      </c>
      <c r="E5447" s="2" t="s">
        <v>16</v>
      </c>
      <c r="F5447" s="2">
        <v>1141.47</v>
      </c>
      <c r="G5447" s="2">
        <v>5</v>
      </c>
      <c r="H5447" s="2">
        <v>-760.98</v>
      </c>
      <c r="I5447" t="str">
        <f t="shared" si="85"/>
        <v>Sep</v>
      </c>
      <c r="J5447">
        <f>YEAR(datas[[#This Row],[Order Date]])</f>
        <v>2023</v>
      </c>
    </row>
    <row r="5448" spans="1:10" ht="14.25" customHeight="1" x14ac:dyDescent="0.3">
      <c r="A5448" s="1">
        <v>45172</v>
      </c>
      <c r="B5448" s="2" t="s">
        <v>185</v>
      </c>
      <c r="C5448" s="2" t="s">
        <v>18</v>
      </c>
      <c r="D5448" s="2" t="s">
        <v>28</v>
      </c>
      <c r="E5448" s="2" t="s">
        <v>29</v>
      </c>
      <c r="F5448" s="2">
        <v>280.77999999999997</v>
      </c>
      <c r="G5448" s="2">
        <v>3</v>
      </c>
      <c r="H5448" s="2">
        <v>-46.8</v>
      </c>
      <c r="I5448" t="str">
        <f t="shared" si="85"/>
        <v>Sep</v>
      </c>
      <c r="J5448">
        <f>YEAR(datas[[#This Row],[Order Date]])</f>
        <v>2023</v>
      </c>
    </row>
    <row r="5449" spans="1:10" ht="14.25" customHeight="1" x14ac:dyDescent="0.3">
      <c r="A5449" s="1">
        <v>45172</v>
      </c>
      <c r="B5449" s="2" t="s">
        <v>560</v>
      </c>
      <c r="C5449" s="2" t="s">
        <v>13</v>
      </c>
      <c r="D5449" s="2" t="s">
        <v>26</v>
      </c>
      <c r="E5449" s="2" t="s">
        <v>32</v>
      </c>
      <c r="F5449" s="2">
        <v>83.95</v>
      </c>
      <c r="G5449" s="2">
        <v>3</v>
      </c>
      <c r="H5449" s="2">
        <v>-90.25</v>
      </c>
      <c r="I5449" t="str">
        <f t="shared" si="85"/>
        <v>Sep</v>
      </c>
      <c r="J5449">
        <f>YEAR(datas[[#This Row],[Order Date]])</f>
        <v>2023</v>
      </c>
    </row>
    <row r="5450" spans="1:10" ht="14.25" customHeight="1" x14ac:dyDescent="0.3">
      <c r="A5450" s="1">
        <v>45172</v>
      </c>
      <c r="B5450" s="2" t="s">
        <v>313</v>
      </c>
      <c r="C5450" s="2" t="s">
        <v>13</v>
      </c>
      <c r="D5450" s="2" t="s">
        <v>10</v>
      </c>
      <c r="E5450" s="2" t="s">
        <v>16</v>
      </c>
      <c r="F5450" s="2">
        <v>8.81</v>
      </c>
      <c r="G5450" s="2">
        <v>3</v>
      </c>
      <c r="H5450" s="2">
        <v>-14.97</v>
      </c>
      <c r="I5450" t="str">
        <f t="shared" si="85"/>
        <v>Sep</v>
      </c>
      <c r="J5450">
        <f>YEAR(datas[[#This Row],[Order Date]])</f>
        <v>2023</v>
      </c>
    </row>
    <row r="5451" spans="1:10" ht="14.25" customHeight="1" x14ac:dyDescent="0.3">
      <c r="A5451" s="1">
        <v>45172</v>
      </c>
      <c r="B5451" s="2" t="s">
        <v>129</v>
      </c>
      <c r="C5451" s="2" t="s">
        <v>248</v>
      </c>
      <c r="D5451" s="2" t="s">
        <v>10</v>
      </c>
      <c r="E5451" s="2" t="s">
        <v>11</v>
      </c>
      <c r="F5451" s="2">
        <v>48.16</v>
      </c>
      <c r="G5451" s="2">
        <v>7</v>
      </c>
      <c r="H5451" s="2">
        <v>22.15</v>
      </c>
      <c r="I5451" t="str">
        <f t="shared" si="85"/>
        <v>Sep</v>
      </c>
      <c r="J5451">
        <f>YEAR(datas[[#This Row],[Order Date]])</f>
        <v>2023</v>
      </c>
    </row>
    <row r="5452" spans="1:10" ht="14.25" customHeight="1" x14ac:dyDescent="0.3">
      <c r="A5452" s="1">
        <v>45172</v>
      </c>
      <c r="B5452" s="2" t="s">
        <v>684</v>
      </c>
      <c r="C5452" s="2" t="s">
        <v>79</v>
      </c>
      <c r="D5452" s="2" t="s">
        <v>10</v>
      </c>
      <c r="E5452" s="2" t="s">
        <v>15</v>
      </c>
      <c r="F5452" s="2">
        <v>54.5</v>
      </c>
      <c r="G5452" s="2">
        <v>5</v>
      </c>
      <c r="H5452" s="2">
        <v>14.17</v>
      </c>
      <c r="I5452" t="str">
        <f t="shared" si="85"/>
        <v>Sep</v>
      </c>
      <c r="J5452">
        <f>YEAR(datas[[#This Row],[Order Date]])</f>
        <v>2023</v>
      </c>
    </row>
    <row r="5453" spans="1:10" ht="14.25" customHeight="1" x14ac:dyDescent="0.3">
      <c r="A5453" s="1">
        <v>45172</v>
      </c>
      <c r="B5453" s="2" t="s">
        <v>635</v>
      </c>
      <c r="C5453" s="2" t="s">
        <v>40</v>
      </c>
      <c r="D5453" s="2" t="s">
        <v>10</v>
      </c>
      <c r="E5453" s="2" t="s">
        <v>16</v>
      </c>
      <c r="F5453" s="2">
        <v>87.28</v>
      </c>
      <c r="G5453" s="2">
        <v>8</v>
      </c>
      <c r="H5453" s="2">
        <v>41.02</v>
      </c>
      <c r="I5453" t="str">
        <f t="shared" si="85"/>
        <v>Sep</v>
      </c>
      <c r="J5453">
        <f>YEAR(datas[[#This Row],[Order Date]])</f>
        <v>2023</v>
      </c>
    </row>
    <row r="5454" spans="1:10" ht="14.25" customHeight="1" x14ac:dyDescent="0.3">
      <c r="A5454" s="1">
        <v>45172</v>
      </c>
      <c r="B5454" s="2" t="s">
        <v>288</v>
      </c>
      <c r="C5454" s="2" t="s">
        <v>215</v>
      </c>
      <c r="D5454" s="2" t="s">
        <v>26</v>
      </c>
      <c r="E5454" s="2" t="s">
        <v>45</v>
      </c>
      <c r="F5454" s="2">
        <v>344.94</v>
      </c>
      <c r="G5454" s="2">
        <v>3</v>
      </c>
      <c r="H5454" s="2">
        <v>31.04</v>
      </c>
      <c r="I5454" t="str">
        <f t="shared" si="85"/>
        <v>Sep</v>
      </c>
      <c r="J5454">
        <f>YEAR(datas[[#This Row],[Order Date]])</f>
        <v>2023</v>
      </c>
    </row>
    <row r="5455" spans="1:10" ht="14.25" customHeight="1" x14ac:dyDescent="0.3">
      <c r="A5455" s="1">
        <v>45172</v>
      </c>
      <c r="B5455" s="2" t="s">
        <v>288</v>
      </c>
      <c r="C5455" s="2" t="s">
        <v>215</v>
      </c>
      <c r="D5455" s="2" t="s">
        <v>26</v>
      </c>
      <c r="E5455" s="2" t="s">
        <v>32</v>
      </c>
      <c r="F5455" s="2">
        <v>14.76</v>
      </c>
      <c r="G5455" s="2">
        <v>2</v>
      </c>
      <c r="H5455" s="2">
        <v>4.28</v>
      </c>
      <c r="I5455" t="str">
        <f t="shared" si="85"/>
        <v>Sep</v>
      </c>
      <c r="J5455">
        <f>YEAR(datas[[#This Row],[Order Date]])</f>
        <v>2023</v>
      </c>
    </row>
    <row r="5456" spans="1:10" ht="14.25" customHeight="1" x14ac:dyDescent="0.3">
      <c r="A5456" s="1">
        <v>45172</v>
      </c>
      <c r="B5456" s="2" t="s">
        <v>288</v>
      </c>
      <c r="C5456" s="2" t="s">
        <v>215</v>
      </c>
      <c r="D5456" s="2" t="s">
        <v>10</v>
      </c>
      <c r="E5456" s="2" t="s">
        <v>16</v>
      </c>
      <c r="F5456" s="2">
        <v>12.76</v>
      </c>
      <c r="G5456" s="2">
        <v>2</v>
      </c>
      <c r="H5456" s="2">
        <v>5.87</v>
      </c>
      <c r="I5456" t="str">
        <f t="shared" si="85"/>
        <v>Sep</v>
      </c>
      <c r="J5456">
        <f>YEAR(datas[[#This Row],[Order Date]])</f>
        <v>2023</v>
      </c>
    </row>
    <row r="5457" spans="1:10" ht="14.25" customHeight="1" x14ac:dyDescent="0.3">
      <c r="A5457" s="1">
        <v>45172</v>
      </c>
      <c r="B5457" s="2" t="s">
        <v>288</v>
      </c>
      <c r="C5457" s="2" t="s">
        <v>215</v>
      </c>
      <c r="D5457" s="2" t="s">
        <v>10</v>
      </c>
      <c r="E5457" s="2" t="s">
        <v>14</v>
      </c>
      <c r="F5457" s="2">
        <v>58.48</v>
      </c>
      <c r="G5457" s="2">
        <v>8</v>
      </c>
      <c r="H5457" s="2">
        <v>27.49</v>
      </c>
      <c r="I5457" t="str">
        <f t="shared" si="85"/>
        <v>Sep</v>
      </c>
      <c r="J5457">
        <f>YEAR(datas[[#This Row],[Order Date]])</f>
        <v>2023</v>
      </c>
    </row>
    <row r="5458" spans="1:10" ht="14.25" customHeight="1" x14ac:dyDescent="0.3">
      <c r="A5458" s="1">
        <v>45172</v>
      </c>
      <c r="B5458" s="2" t="s">
        <v>825</v>
      </c>
      <c r="C5458" s="2" t="s">
        <v>13</v>
      </c>
      <c r="D5458" s="2" t="s">
        <v>26</v>
      </c>
      <c r="E5458" s="2" t="s">
        <v>45</v>
      </c>
      <c r="F5458" s="2">
        <v>198.74</v>
      </c>
      <c r="G5458" s="2">
        <v>4</v>
      </c>
      <c r="H5458" s="2">
        <v>0</v>
      </c>
      <c r="I5458" t="str">
        <f t="shared" si="85"/>
        <v>Sep</v>
      </c>
      <c r="J5458">
        <f>YEAR(datas[[#This Row],[Order Date]])</f>
        <v>2023</v>
      </c>
    </row>
    <row r="5459" spans="1:10" ht="14.25" customHeight="1" x14ac:dyDescent="0.3">
      <c r="A5459" s="1">
        <v>45172</v>
      </c>
      <c r="B5459" s="2" t="s">
        <v>793</v>
      </c>
      <c r="C5459" s="2" t="s">
        <v>47</v>
      </c>
      <c r="D5459" s="2" t="s">
        <v>10</v>
      </c>
      <c r="E5459" s="2" t="s">
        <v>11</v>
      </c>
      <c r="F5459" s="2">
        <v>30.96</v>
      </c>
      <c r="G5459" s="2">
        <v>6</v>
      </c>
      <c r="H5459" s="2">
        <v>11.22</v>
      </c>
      <c r="I5459" t="str">
        <f t="shared" si="85"/>
        <v>Sep</v>
      </c>
      <c r="J5459">
        <f>YEAR(datas[[#This Row],[Order Date]])</f>
        <v>2023</v>
      </c>
    </row>
    <row r="5460" spans="1:10" ht="14.25" customHeight="1" x14ac:dyDescent="0.3">
      <c r="A5460" s="1">
        <v>45173</v>
      </c>
      <c r="B5460" s="2" t="s">
        <v>394</v>
      </c>
      <c r="C5460" s="2" t="s">
        <v>9</v>
      </c>
      <c r="D5460" s="2" t="s">
        <v>10</v>
      </c>
      <c r="E5460" s="2" t="s">
        <v>19</v>
      </c>
      <c r="F5460" s="2">
        <v>3.91</v>
      </c>
      <c r="G5460" s="2">
        <v>1</v>
      </c>
      <c r="H5460" s="2">
        <v>1.03</v>
      </c>
      <c r="I5460" t="str">
        <f t="shared" si="85"/>
        <v>Sep</v>
      </c>
      <c r="J5460">
        <f>YEAR(datas[[#This Row],[Order Date]])</f>
        <v>2023</v>
      </c>
    </row>
    <row r="5461" spans="1:10" ht="14.25" customHeight="1" x14ac:dyDescent="0.3">
      <c r="A5461" s="1">
        <v>45173</v>
      </c>
      <c r="B5461" s="2" t="s">
        <v>394</v>
      </c>
      <c r="C5461" s="2" t="s">
        <v>9</v>
      </c>
      <c r="D5461" s="2" t="s">
        <v>10</v>
      </c>
      <c r="E5461" s="2" t="s">
        <v>19</v>
      </c>
      <c r="F5461" s="2">
        <v>62.38</v>
      </c>
      <c r="G5461" s="2">
        <v>3</v>
      </c>
      <c r="H5461" s="2">
        <v>7.02</v>
      </c>
      <c r="I5461" t="str">
        <f t="shared" si="85"/>
        <v>Sep</v>
      </c>
      <c r="J5461">
        <f>YEAR(datas[[#This Row],[Order Date]])</f>
        <v>2023</v>
      </c>
    </row>
    <row r="5462" spans="1:10" ht="14.25" customHeight="1" x14ac:dyDescent="0.3">
      <c r="A5462" s="1">
        <v>45173</v>
      </c>
      <c r="B5462" s="2" t="s">
        <v>164</v>
      </c>
      <c r="C5462" s="2" t="s">
        <v>75</v>
      </c>
      <c r="D5462" s="2" t="s">
        <v>26</v>
      </c>
      <c r="E5462" s="2" t="s">
        <v>32</v>
      </c>
      <c r="F5462" s="2">
        <v>63.94</v>
      </c>
      <c r="G5462" s="2">
        <v>1</v>
      </c>
      <c r="H5462" s="2">
        <v>24.94</v>
      </c>
      <c r="I5462" t="str">
        <f t="shared" si="85"/>
        <v>Sep</v>
      </c>
      <c r="J5462">
        <f>YEAR(datas[[#This Row],[Order Date]])</f>
        <v>2023</v>
      </c>
    </row>
    <row r="5463" spans="1:10" ht="14.25" customHeight="1" x14ac:dyDescent="0.3">
      <c r="A5463" s="1">
        <v>45173</v>
      </c>
      <c r="B5463" s="2" t="s">
        <v>164</v>
      </c>
      <c r="C5463" s="2" t="s">
        <v>75</v>
      </c>
      <c r="D5463" s="2" t="s">
        <v>10</v>
      </c>
      <c r="E5463" s="2" t="s">
        <v>16</v>
      </c>
      <c r="F5463" s="2">
        <v>60.6</v>
      </c>
      <c r="G5463" s="2">
        <v>5</v>
      </c>
      <c r="H5463" s="2">
        <v>20.45</v>
      </c>
      <c r="I5463" t="str">
        <f t="shared" si="85"/>
        <v>Sep</v>
      </c>
      <c r="J5463">
        <f>YEAR(datas[[#This Row],[Order Date]])</f>
        <v>2023</v>
      </c>
    </row>
    <row r="5464" spans="1:10" ht="14.25" customHeight="1" x14ac:dyDescent="0.3">
      <c r="A5464" s="1">
        <v>45173</v>
      </c>
      <c r="B5464" s="2" t="s">
        <v>164</v>
      </c>
      <c r="C5464" s="2" t="s">
        <v>75</v>
      </c>
      <c r="D5464" s="2" t="s">
        <v>10</v>
      </c>
      <c r="E5464" s="2" t="s">
        <v>95</v>
      </c>
      <c r="F5464" s="2">
        <v>22.72</v>
      </c>
      <c r="G5464" s="2">
        <v>4</v>
      </c>
      <c r="H5464" s="2">
        <v>6.59</v>
      </c>
      <c r="I5464" t="str">
        <f t="shared" si="85"/>
        <v>Sep</v>
      </c>
      <c r="J5464">
        <f>YEAR(datas[[#This Row],[Order Date]])</f>
        <v>2023</v>
      </c>
    </row>
    <row r="5465" spans="1:10" ht="14.25" customHeight="1" x14ac:dyDescent="0.3">
      <c r="A5465" s="1">
        <v>45173</v>
      </c>
      <c r="B5465" s="2" t="s">
        <v>50</v>
      </c>
      <c r="C5465" s="2" t="s">
        <v>62</v>
      </c>
      <c r="D5465" s="2" t="s">
        <v>10</v>
      </c>
      <c r="E5465" s="2" t="s">
        <v>11</v>
      </c>
      <c r="F5465" s="2">
        <v>12.19</v>
      </c>
      <c r="G5465" s="2">
        <v>3</v>
      </c>
      <c r="H5465" s="2">
        <v>4.1100000000000003</v>
      </c>
      <c r="I5465" t="str">
        <f t="shared" si="85"/>
        <v>Sep</v>
      </c>
      <c r="J5465">
        <f>YEAR(datas[[#This Row],[Order Date]])</f>
        <v>2023</v>
      </c>
    </row>
    <row r="5466" spans="1:10" ht="14.25" customHeight="1" x14ac:dyDescent="0.3">
      <c r="A5466" s="1">
        <v>45173</v>
      </c>
      <c r="B5466" s="2" t="s">
        <v>50</v>
      </c>
      <c r="C5466" s="2" t="s">
        <v>62</v>
      </c>
      <c r="D5466" s="2" t="s">
        <v>10</v>
      </c>
      <c r="E5466" s="2" t="s">
        <v>53</v>
      </c>
      <c r="F5466" s="2">
        <v>87.17</v>
      </c>
      <c r="G5466" s="2">
        <v>2</v>
      </c>
      <c r="H5466" s="2">
        <v>8.7200000000000006</v>
      </c>
      <c r="I5466" t="str">
        <f t="shared" si="85"/>
        <v>Sep</v>
      </c>
      <c r="J5466">
        <f>YEAR(datas[[#This Row],[Order Date]])</f>
        <v>2023</v>
      </c>
    </row>
    <row r="5467" spans="1:10" ht="14.25" customHeight="1" x14ac:dyDescent="0.3">
      <c r="A5467" s="1">
        <v>45173</v>
      </c>
      <c r="B5467" s="2" t="s">
        <v>50</v>
      </c>
      <c r="C5467" s="2" t="s">
        <v>62</v>
      </c>
      <c r="D5467" s="2" t="s">
        <v>10</v>
      </c>
      <c r="E5467" s="2" t="s">
        <v>19</v>
      </c>
      <c r="F5467" s="2">
        <v>31.74</v>
      </c>
      <c r="G5467" s="2">
        <v>2</v>
      </c>
      <c r="H5467" s="2">
        <v>8.33</v>
      </c>
      <c r="I5467" t="str">
        <f t="shared" si="85"/>
        <v>Sep</v>
      </c>
      <c r="J5467">
        <f>YEAR(datas[[#This Row],[Order Date]])</f>
        <v>2023</v>
      </c>
    </row>
    <row r="5468" spans="1:10" ht="14.25" customHeight="1" x14ac:dyDescent="0.3">
      <c r="A5468" s="1">
        <v>45173</v>
      </c>
      <c r="B5468" s="2" t="s">
        <v>334</v>
      </c>
      <c r="C5468" s="2" t="s">
        <v>25</v>
      </c>
      <c r="D5468" s="2" t="s">
        <v>26</v>
      </c>
      <c r="E5468" s="2" t="s">
        <v>32</v>
      </c>
      <c r="F5468" s="2">
        <v>42.6</v>
      </c>
      <c r="G5468" s="2">
        <v>3</v>
      </c>
      <c r="H5468" s="2">
        <v>16.61</v>
      </c>
      <c r="I5468" t="str">
        <f t="shared" si="85"/>
        <v>Sep</v>
      </c>
      <c r="J5468">
        <f>YEAR(datas[[#This Row],[Order Date]])</f>
        <v>2023</v>
      </c>
    </row>
    <row r="5469" spans="1:10" ht="14.25" customHeight="1" x14ac:dyDescent="0.3">
      <c r="A5469" s="1">
        <v>45173</v>
      </c>
      <c r="B5469" s="2" t="s">
        <v>334</v>
      </c>
      <c r="C5469" s="2" t="s">
        <v>25</v>
      </c>
      <c r="D5469" s="2" t="s">
        <v>10</v>
      </c>
      <c r="E5469" s="2" t="s">
        <v>16</v>
      </c>
      <c r="F5469" s="2">
        <v>113.94</v>
      </c>
      <c r="G5469" s="2">
        <v>6</v>
      </c>
      <c r="H5469" s="2">
        <v>54.69</v>
      </c>
      <c r="I5469" t="str">
        <f t="shared" si="85"/>
        <v>Sep</v>
      </c>
      <c r="J5469">
        <f>YEAR(datas[[#This Row],[Order Date]])</f>
        <v>2023</v>
      </c>
    </row>
    <row r="5470" spans="1:10" ht="14.25" customHeight="1" x14ac:dyDescent="0.3">
      <c r="A5470" s="1">
        <v>45173</v>
      </c>
      <c r="B5470" s="2" t="s">
        <v>334</v>
      </c>
      <c r="C5470" s="2" t="s">
        <v>25</v>
      </c>
      <c r="D5470" s="2" t="s">
        <v>10</v>
      </c>
      <c r="E5470" s="2" t="s">
        <v>15</v>
      </c>
      <c r="F5470" s="2">
        <v>129.91999999999999</v>
      </c>
      <c r="G5470" s="2">
        <v>4</v>
      </c>
      <c r="H5470" s="2">
        <v>5.2</v>
      </c>
      <c r="I5470" t="str">
        <f t="shared" si="85"/>
        <v>Sep</v>
      </c>
      <c r="J5470">
        <f>YEAR(datas[[#This Row],[Order Date]])</f>
        <v>2023</v>
      </c>
    </row>
    <row r="5471" spans="1:10" ht="14.25" customHeight="1" x14ac:dyDescent="0.3">
      <c r="A5471" s="1">
        <v>45173</v>
      </c>
      <c r="B5471" s="2" t="s">
        <v>334</v>
      </c>
      <c r="C5471" s="2" t="s">
        <v>25</v>
      </c>
      <c r="D5471" s="2" t="s">
        <v>10</v>
      </c>
      <c r="E5471" s="2" t="s">
        <v>19</v>
      </c>
      <c r="F5471" s="2">
        <v>5.28</v>
      </c>
      <c r="G5471" s="2">
        <v>3</v>
      </c>
      <c r="H5471" s="2">
        <v>2.5299999999999998</v>
      </c>
      <c r="I5471" t="str">
        <f t="shared" si="85"/>
        <v>Sep</v>
      </c>
      <c r="J5471">
        <f>YEAR(datas[[#This Row],[Order Date]])</f>
        <v>2023</v>
      </c>
    </row>
    <row r="5472" spans="1:10" ht="14.25" customHeight="1" x14ac:dyDescent="0.3">
      <c r="A5472" s="1">
        <v>45173</v>
      </c>
      <c r="B5472" s="2" t="s">
        <v>192</v>
      </c>
      <c r="C5472" s="2" t="s">
        <v>140</v>
      </c>
      <c r="D5472" s="2" t="s">
        <v>10</v>
      </c>
      <c r="E5472" s="2" t="s">
        <v>15</v>
      </c>
      <c r="F5472" s="2">
        <v>535.41</v>
      </c>
      <c r="G5472" s="2">
        <v>3</v>
      </c>
      <c r="H5472" s="2">
        <v>160.62</v>
      </c>
      <c r="I5472" t="str">
        <f t="shared" si="85"/>
        <v>Sep</v>
      </c>
      <c r="J5472">
        <f>YEAR(datas[[#This Row],[Order Date]])</f>
        <v>2023</v>
      </c>
    </row>
    <row r="5473" spans="1:10" ht="14.25" customHeight="1" x14ac:dyDescent="0.3">
      <c r="A5473" s="1">
        <v>45173</v>
      </c>
      <c r="B5473" s="2" t="s">
        <v>17</v>
      </c>
      <c r="C5473" s="2" t="s">
        <v>91</v>
      </c>
      <c r="D5473" s="2" t="s">
        <v>10</v>
      </c>
      <c r="E5473" s="2" t="s">
        <v>41</v>
      </c>
      <c r="F5473" s="2">
        <v>16.559999999999999</v>
      </c>
      <c r="G5473" s="2">
        <v>2</v>
      </c>
      <c r="H5473" s="2">
        <v>7.78</v>
      </c>
      <c r="I5473" t="str">
        <f t="shared" si="85"/>
        <v>Sep</v>
      </c>
      <c r="J5473">
        <f>YEAR(datas[[#This Row],[Order Date]])</f>
        <v>2023</v>
      </c>
    </row>
    <row r="5474" spans="1:10" ht="14.25" customHeight="1" x14ac:dyDescent="0.3">
      <c r="A5474" s="1">
        <v>45173</v>
      </c>
      <c r="B5474" s="2" t="s">
        <v>17</v>
      </c>
      <c r="C5474" s="2" t="s">
        <v>91</v>
      </c>
      <c r="D5474" s="2" t="s">
        <v>28</v>
      </c>
      <c r="E5474" s="2" t="s">
        <v>34</v>
      </c>
      <c r="F5474" s="2">
        <v>279.95</v>
      </c>
      <c r="G5474" s="2">
        <v>5</v>
      </c>
      <c r="H5474" s="2">
        <v>67.19</v>
      </c>
      <c r="I5474" t="str">
        <f t="shared" si="85"/>
        <v>Sep</v>
      </c>
      <c r="J5474">
        <f>YEAR(datas[[#This Row],[Order Date]])</f>
        <v>2023</v>
      </c>
    </row>
    <row r="5475" spans="1:10" ht="14.25" customHeight="1" x14ac:dyDescent="0.3">
      <c r="A5475" s="1">
        <v>45173</v>
      </c>
      <c r="B5475" s="2" t="s">
        <v>425</v>
      </c>
      <c r="C5475" s="2" t="s">
        <v>57</v>
      </c>
      <c r="D5475" s="2" t="s">
        <v>10</v>
      </c>
      <c r="E5475" s="2" t="s">
        <v>11</v>
      </c>
      <c r="F5475" s="2">
        <v>239.5</v>
      </c>
      <c r="G5475" s="2">
        <v>5</v>
      </c>
      <c r="H5475" s="2">
        <v>114.96</v>
      </c>
      <c r="I5475" t="str">
        <f t="shared" si="85"/>
        <v>Sep</v>
      </c>
      <c r="J5475">
        <f>YEAR(datas[[#This Row],[Order Date]])</f>
        <v>2023</v>
      </c>
    </row>
    <row r="5476" spans="1:10" ht="14.25" customHeight="1" x14ac:dyDescent="0.3">
      <c r="A5476" s="1">
        <v>45173</v>
      </c>
      <c r="B5476" s="2" t="s">
        <v>65</v>
      </c>
      <c r="C5476" s="2" t="s">
        <v>21</v>
      </c>
      <c r="D5476" s="2" t="s">
        <v>26</v>
      </c>
      <c r="E5476" s="2" t="s">
        <v>32</v>
      </c>
      <c r="F5476" s="2">
        <v>24.27</v>
      </c>
      <c r="G5476" s="2">
        <v>3</v>
      </c>
      <c r="H5476" s="2">
        <v>8.74</v>
      </c>
      <c r="I5476" t="str">
        <f t="shared" si="85"/>
        <v>Sep</v>
      </c>
      <c r="J5476">
        <f>YEAR(datas[[#This Row],[Order Date]])</f>
        <v>2023</v>
      </c>
    </row>
    <row r="5477" spans="1:10" ht="14.25" customHeight="1" x14ac:dyDescent="0.3">
      <c r="A5477" s="1">
        <v>45173</v>
      </c>
      <c r="B5477" s="2" t="s">
        <v>65</v>
      </c>
      <c r="C5477" s="2" t="s">
        <v>21</v>
      </c>
      <c r="D5477" s="2" t="s">
        <v>28</v>
      </c>
      <c r="E5477" s="2" t="s">
        <v>243</v>
      </c>
      <c r="F5477" s="2">
        <v>2799.96</v>
      </c>
      <c r="G5477" s="2">
        <v>5</v>
      </c>
      <c r="H5477" s="2">
        <v>944.99</v>
      </c>
      <c r="I5477" t="str">
        <f t="shared" si="85"/>
        <v>Sep</v>
      </c>
      <c r="J5477">
        <f>YEAR(datas[[#This Row],[Order Date]])</f>
        <v>2023</v>
      </c>
    </row>
    <row r="5478" spans="1:10" ht="14.25" customHeight="1" x14ac:dyDescent="0.3">
      <c r="A5478" s="1">
        <v>45174</v>
      </c>
      <c r="B5478" s="2" t="s">
        <v>161</v>
      </c>
      <c r="C5478" s="2" t="s">
        <v>18</v>
      </c>
      <c r="D5478" s="2" t="s">
        <v>26</v>
      </c>
      <c r="E5478" s="2" t="s">
        <v>32</v>
      </c>
      <c r="F5478" s="2">
        <v>82.8</v>
      </c>
      <c r="G5478" s="2">
        <v>2</v>
      </c>
      <c r="H5478" s="2">
        <v>10.35</v>
      </c>
      <c r="I5478" t="str">
        <f t="shared" si="85"/>
        <v>Sep</v>
      </c>
      <c r="J5478">
        <f>YEAR(datas[[#This Row],[Order Date]])</f>
        <v>2023</v>
      </c>
    </row>
    <row r="5479" spans="1:10" ht="14.25" customHeight="1" x14ac:dyDescent="0.3">
      <c r="A5479" s="1">
        <v>45174</v>
      </c>
      <c r="B5479" s="2" t="s">
        <v>572</v>
      </c>
      <c r="C5479" s="2" t="s">
        <v>60</v>
      </c>
      <c r="D5479" s="2" t="s">
        <v>26</v>
      </c>
      <c r="E5479" s="2" t="s">
        <v>32</v>
      </c>
      <c r="F5479" s="2">
        <v>12.22</v>
      </c>
      <c r="G5479" s="2">
        <v>1</v>
      </c>
      <c r="H5479" s="2">
        <v>3.67</v>
      </c>
      <c r="I5479" t="str">
        <f t="shared" si="85"/>
        <v>Sep</v>
      </c>
      <c r="J5479">
        <f>YEAR(datas[[#This Row],[Order Date]])</f>
        <v>2023</v>
      </c>
    </row>
    <row r="5480" spans="1:10" ht="14.25" customHeight="1" x14ac:dyDescent="0.3">
      <c r="A5480" s="1">
        <v>45174</v>
      </c>
      <c r="B5480" s="2" t="s">
        <v>572</v>
      </c>
      <c r="C5480" s="2" t="s">
        <v>60</v>
      </c>
      <c r="D5480" s="2" t="s">
        <v>10</v>
      </c>
      <c r="E5480" s="2" t="s">
        <v>15</v>
      </c>
      <c r="F5480" s="2">
        <v>194.94</v>
      </c>
      <c r="G5480" s="2">
        <v>3</v>
      </c>
      <c r="H5480" s="2">
        <v>23.39</v>
      </c>
      <c r="I5480" t="str">
        <f t="shared" si="85"/>
        <v>Sep</v>
      </c>
      <c r="J5480">
        <f>YEAR(datas[[#This Row],[Order Date]])</f>
        <v>2023</v>
      </c>
    </row>
    <row r="5481" spans="1:10" ht="14.25" customHeight="1" x14ac:dyDescent="0.3">
      <c r="A5481" s="1">
        <v>45174</v>
      </c>
      <c r="B5481" s="2" t="s">
        <v>572</v>
      </c>
      <c r="C5481" s="2" t="s">
        <v>60</v>
      </c>
      <c r="D5481" s="2" t="s">
        <v>10</v>
      </c>
      <c r="E5481" s="2" t="s">
        <v>15</v>
      </c>
      <c r="F5481" s="2">
        <v>70.95</v>
      </c>
      <c r="G5481" s="2">
        <v>3</v>
      </c>
      <c r="H5481" s="2">
        <v>20.58</v>
      </c>
      <c r="I5481" t="str">
        <f t="shared" si="85"/>
        <v>Sep</v>
      </c>
      <c r="J5481">
        <f>YEAR(datas[[#This Row],[Order Date]])</f>
        <v>2023</v>
      </c>
    </row>
    <row r="5482" spans="1:10" ht="14.25" customHeight="1" x14ac:dyDescent="0.3">
      <c r="A5482" s="1">
        <v>45174</v>
      </c>
      <c r="B5482" s="2" t="s">
        <v>572</v>
      </c>
      <c r="C5482" s="2" t="s">
        <v>60</v>
      </c>
      <c r="D5482" s="2" t="s">
        <v>10</v>
      </c>
      <c r="E5482" s="2" t="s">
        <v>11</v>
      </c>
      <c r="F5482" s="2">
        <v>91.36</v>
      </c>
      <c r="G5482" s="2">
        <v>4</v>
      </c>
      <c r="H5482" s="2">
        <v>42.03</v>
      </c>
      <c r="I5482" t="str">
        <f t="shared" si="85"/>
        <v>Sep</v>
      </c>
      <c r="J5482">
        <f>YEAR(datas[[#This Row],[Order Date]])</f>
        <v>2023</v>
      </c>
    </row>
    <row r="5483" spans="1:10" ht="14.25" customHeight="1" x14ac:dyDescent="0.3">
      <c r="A5483" s="1">
        <v>45174</v>
      </c>
      <c r="B5483" s="2" t="s">
        <v>572</v>
      </c>
      <c r="C5483" s="2" t="s">
        <v>60</v>
      </c>
      <c r="D5483" s="2" t="s">
        <v>26</v>
      </c>
      <c r="E5483" s="2" t="s">
        <v>27</v>
      </c>
      <c r="F5483" s="2">
        <v>242.94</v>
      </c>
      <c r="G5483" s="2">
        <v>3</v>
      </c>
      <c r="H5483" s="2">
        <v>29.15</v>
      </c>
      <c r="I5483" t="str">
        <f t="shared" si="85"/>
        <v>Sep</v>
      </c>
      <c r="J5483">
        <f>YEAR(datas[[#This Row],[Order Date]])</f>
        <v>2023</v>
      </c>
    </row>
    <row r="5484" spans="1:10" ht="14.25" customHeight="1" x14ac:dyDescent="0.3">
      <c r="A5484" s="1">
        <v>45174</v>
      </c>
      <c r="B5484" s="2" t="s">
        <v>572</v>
      </c>
      <c r="C5484" s="2" t="s">
        <v>60</v>
      </c>
      <c r="D5484" s="2" t="s">
        <v>10</v>
      </c>
      <c r="E5484" s="2" t="s">
        <v>14</v>
      </c>
      <c r="F5484" s="2">
        <v>22.05</v>
      </c>
      <c r="G5484" s="2">
        <v>7</v>
      </c>
      <c r="H5484" s="2">
        <v>10.58</v>
      </c>
      <c r="I5484" t="str">
        <f t="shared" si="85"/>
        <v>Sep</v>
      </c>
      <c r="J5484">
        <f>YEAR(datas[[#This Row],[Order Date]])</f>
        <v>2023</v>
      </c>
    </row>
    <row r="5485" spans="1:10" ht="14.25" customHeight="1" x14ac:dyDescent="0.3">
      <c r="A5485" s="1">
        <v>45174</v>
      </c>
      <c r="B5485" s="2" t="s">
        <v>618</v>
      </c>
      <c r="C5485" s="2" t="s">
        <v>165</v>
      </c>
      <c r="D5485" s="2" t="s">
        <v>28</v>
      </c>
      <c r="E5485" s="2" t="s">
        <v>29</v>
      </c>
      <c r="F5485" s="2">
        <v>278.39999999999998</v>
      </c>
      <c r="G5485" s="2">
        <v>3</v>
      </c>
      <c r="H5485" s="2">
        <v>80.739999999999995</v>
      </c>
      <c r="I5485" t="str">
        <f t="shared" si="85"/>
        <v>Sep</v>
      </c>
      <c r="J5485">
        <f>YEAR(datas[[#This Row],[Order Date]])</f>
        <v>2023</v>
      </c>
    </row>
    <row r="5486" spans="1:10" ht="14.25" customHeight="1" x14ac:dyDescent="0.3">
      <c r="A5486" s="1">
        <v>45174</v>
      </c>
      <c r="B5486" s="2" t="s">
        <v>744</v>
      </c>
      <c r="C5486" s="2" t="s">
        <v>469</v>
      </c>
      <c r="D5486" s="2" t="s">
        <v>10</v>
      </c>
      <c r="E5486" s="2" t="s">
        <v>19</v>
      </c>
      <c r="F5486" s="2">
        <v>107.94</v>
      </c>
      <c r="G5486" s="2">
        <v>3</v>
      </c>
      <c r="H5486" s="2">
        <v>26.99</v>
      </c>
      <c r="I5486" t="str">
        <f t="shared" si="85"/>
        <v>Sep</v>
      </c>
      <c r="J5486">
        <f>YEAR(datas[[#This Row],[Order Date]])</f>
        <v>2023</v>
      </c>
    </row>
    <row r="5487" spans="1:10" ht="14.25" customHeight="1" x14ac:dyDescent="0.3">
      <c r="A5487" s="1">
        <v>45174</v>
      </c>
      <c r="B5487" s="2" t="s">
        <v>346</v>
      </c>
      <c r="C5487" s="2" t="s">
        <v>9</v>
      </c>
      <c r="D5487" s="2" t="s">
        <v>26</v>
      </c>
      <c r="E5487" s="2" t="s">
        <v>27</v>
      </c>
      <c r="F5487" s="2">
        <v>347.8</v>
      </c>
      <c r="G5487" s="2">
        <v>7</v>
      </c>
      <c r="H5487" s="2">
        <v>-24.84</v>
      </c>
      <c r="I5487" t="str">
        <f t="shared" si="85"/>
        <v>Sep</v>
      </c>
      <c r="J5487">
        <f>YEAR(datas[[#This Row],[Order Date]])</f>
        <v>2023</v>
      </c>
    </row>
    <row r="5488" spans="1:10" ht="14.25" customHeight="1" x14ac:dyDescent="0.3">
      <c r="A5488" s="1">
        <v>45174</v>
      </c>
      <c r="B5488" s="2" t="s">
        <v>94</v>
      </c>
      <c r="C5488" s="2" t="s">
        <v>21</v>
      </c>
      <c r="D5488" s="2" t="s">
        <v>28</v>
      </c>
      <c r="E5488" s="2" t="s">
        <v>34</v>
      </c>
      <c r="F5488" s="2">
        <v>116</v>
      </c>
      <c r="G5488" s="2">
        <v>8</v>
      </c>
      <c r="H5488" s="2">
        <v>29</v>
      </c>
      <c r="I5488" t="str">
        <f t="shared" si="85"/>
        <v>Sep</v>
      </c>
      <c r="J5488">
        <f>YEAR(datas[[#This Row],[Order Date]])</f>
        <v>2023</v>
      </c>
    </row>
    <row r="5489" spans="1:10" ht="14.25" customHeight="1" x14ac:dyDescent="0.3">
      <c r="A5489" s="1">
        <v>45174</v>
      </c>
      <c r="B5489" s="2" t="s">
        <v>74</v>
      </c>
      <c r="C5489" s="2" t="s">
        <v>18</v>
      </c>
      <c r="D5489" s="2" t="s">
        <v>10</v>
      </c>
      <c r="E5489" s="2" t="s">
        <v>16</v>
      </c>
      <c r="F5489" s="2">
        <v>9.56</v>
      </c>
      <c r="G5489" s="2">
        <v>5</v>
      </c>
      <c r="H5489" s="2">
        <v>-7.33</v>
      </c>
      <c r="I5489" t="str">
        <f t="shared" si="85"/>
        <v>Sep</v>
      </c>
      <c r="J5489">
        <f>YEAR(datas[[#This Row],[Order Date]])</f>
        <v>2023</v>
      </c>
    </row>
    <row r="5490" spans="1:10" ht="14.25" customHeight="1" x14ac:dyDescent="0.3">
      <c r="A5490" s="1">
        <v>45174</v>
      </c>
      <c r="B5490" s="2" t="s">
        <v>477</v>
      </c>
      <c r="C5490" s="2" t="s">
        <v>62</v>
      </c>
      <c r="D5490" s="2" t="s">
        <v>10</v>
      </c>
      <c r="E5490" s="2" t="s">
        <v>41</v>
      </c>
      <c r="F5490" s="2">
        <v>23.47</v>
      </c>
      <c r="G5490" s="2">
        <v>3</v>
      </c>
      <c r="H5490" s="2">
        <v>7.63</v>
      </c>
      <c r="I5490" t="str">
        <f t="shared" si="85"/>
        <v>Sep</v>
      </c>
      <c r="J5490">
        <f>YEAR(datas[[#This Row],[Order Date]])</f>
        <v>2023</v>
      </c>
    </row>
    <row r="5491" spans="1:10" ht="14.25" customHeight="1" x14ac:dyDescent="0.3">
      <c r="A5491" s="1">
        <v>45174</v>
      </c>
      <c r="B5491" s="2" t="s">
        <v>477</v>
      </c>
      <c r="C5491" s="2" t="s">
        <v>62</v>
      </c>
      <c r="D5491" s="2" t="s">
        <v>10</v>
      </c>
      <c r="E5491" s="2" t="s">
        <v>16</v>
      </c>
      <c r="F5491" s="2">
        <v>86.06</v>
      </c>
      <c r="G5491" s="2">
        <v>7</v>
      </c>
      <c r="H5491" s="2">
        <v>-63.11</v>
      </c>
      <c r="I5491" t="str">
        <f t="shared" si="85"/>
        <v>Sep</v>
      </c>
      <c r="J5491">
        <f>YEAR(datas[[#This Row],[Order Date]])</f>
        <v>2023</v>
      </c>
    </row>
    <row r="5492" spans="1:10" ht="14.25" customHeight="1" x14ac:dyDescent="0.3">
      <c r="A5492" s="1">
        <v>45174</v>
      </c>
      <c r="B5492" s="2" t="s">
        <v>477</v>
      </c>
      <c r="C5492" s="2" t="s">
        <v>62</v>
      </c>
      <c r="D5492" s="2" t="s">
        <v>28</v>
      </c>
      <c r="E5492" s="2" t="s">
        <v>29</v>
      </c>
      <c r="F5492" s="2">
        <v>108.78</v>
      </c>
      <c r="G5492" s="2">
        <v>2</v>
      </c>
      <c r="H5492" s="2">
        <v>6.8</v>
      </c>
      <c r="I5492" t="str">
        <f t="shared" si="85"/>
        <v>Sep</v>
      </c>
      <c r="J5492">
        <f>YEAR(datas[[#This Row],[Order Date]])</f>
        <v>2023</v>
      </c>
    </row>
    <row r="5493" spans="1:10" ht="14.25" customHeight="1" x14ac:dyDescent="0.3">
      <c r="A5493" s="1">
        <v>45174</v>
      </c>
      <c r="B5493" s="2" t="s">
        <v>477</v>
      </c>
      <c r="C5493" s="2" t="s">
        <v>62</v>
      </c>
      <c r="D5493" s="2" t="s">
        <v>10</v>
      </c>
      <c r="E5493" s="2" t="s">
        <v>11</v>
      </c>
      <c r="F5493" s="2">
        <v>10.27</v>
      </c>
      <c r="G5493" s="2">
        <v>3</v>
      </c>
      <c r="H5493" s="2">
        <v>3.21</v>
      </c>
      <c r="I5493" t="str">
        <f t="shared" si="85"/>
        <v>Sep</v>
      </c>
      <c r="J5493">
        <f>YEAR(datas[[#This Row],[Order Date]])</f>
        <v>2023</v>
      </c>
    </row>
    <row r="5494" spans="1:10" ht="14.25" customHeight="1" x14ac:dyDescent="0.3">
      <c r="A5494" s="1">
        <v>45174</v>
      </c>
      <c r="B5494" s="2" t="s">
        <v>360</v>
      </c>
      <c r="C5494" s="2" t="s">
        <v>9</v>
      </c>
      <c r="D5494" s="2" t="s">
        <v>10</v>
      </c>
      <c r="E5494" s="2" t="s">
        <v>53</v>
      </c>
      <c r="F5494" s="2">
        <v>62.79</v>
      </c>
      <c r="G5494" s="2">
        <v>3</v>
      </c>
      <c r="H5494" s="2">
        <v>-166.39</v>
      </c>
      <c r="I5494" t="str">
        <f t="shared" si="85"/>
        <v>Sep</v>
      </c>
      <c r="J5494">
        <f>YEAR(datas[[#This Row],[Order Date]])</f>
        <v>2023</v>
      </c>
    </row>
    <row r="5495" spans="1:10" ht="14.25" customHeight="1" x14ac:dyDescent="0.3">
      <c r="A5495" s="1">
        <v>45174</v>
      </c>
      <c r="B5495" s="2" t="s">
        <v>360</v>
      </c>
      <c r="C5495" s="2" t="s">
        <v>9</v>
      </c>
      <c r="D5495" s="2" t="s">
        <v>10</v>
      </c>
      <c r="E5495" s="2" t="s">
        <v>30</v>
      </c>
      <c r="F5495" s="2">
        <v>28.44</v>
      </c>
      <c r="G5495" s="2">
        <v>9</v>
      </c>
      <c r="H5495" s="2">
        <v>4.2699999999999996</v>
      </c>
      <c r="I5495" t="str">
        <f t="shared" si="85"/>
        <v>Sep</v>
      </c>
      <c r="J5495">
        <f>YEAR(datas[[#This Row],[Order Date]])</f>
        <v>2023</v>
      </c>
    </row>
    <row r="5496" spans="1:10" ht="14.25" customHeight="1" x14ac:dyDescent="0.3">
      <c r="A5496" s="1">
        <v>45174</v>
      </c>
      <c r="B5496" s="2" t="s">
        <v>413</v>
      </c>
      <c r="C5496" s="2" t="s">
        <v>21</v>
      </c>
      <c r="D5496" s="2" t="s">
        <v>10</v>
      </c>
      <c r="E5496" s="2" t="s">
        <v>11</v>
      </c>
      <c r="F5496" s="2">
        <v>96.08</v>
      </c>
      <c r="G5496" s="2">
        <v>2</v>
      </c>
      <c r="H5496" s="2">
        <v>46.12</v>
      </c>
      <c r="I5496" t="str">
        <f t="shared" si="85"/>
        <v>Sep</v>
      </c>
      <c r="J5496">
        <f>YEAR(datas[[#This Row],[Order Date]])</f>
        <v>2023</v>
      </c>
    </row>
    <row r="5497" spans="1:10" ht="14.25" customHeight="1" x14ac:dyDescent="0.3">
      <c r="A5497" s="1">
        <v>45174</v>
      </c>
      <c r="B5497" s="2" t="s">
        <v>413</v>
      </c>
      <c r="C5497" s="2" t="s">
        <v>21</v>
      </c>
      <c r="D5497" s="2" t="s">
        <v>10</v>
      </c>
      <c r="E5497" s="2" t="s">
        <v>16</v>
      </c>
      <c r="F5497" s="2">
        <v>11.68</v>
      </c>
      <c r="G5497" s="2">
        <v>2</v>
      </c>
      <c r="H5497" s="2">
        <v>3.94</v>
      </c>
      <c r="I5497" t="str">
        <f t="shared" si="85"/>
        <v>Sep</v>
      </c>
      <c r="J5497">
        <f>YEAR(datas[[#This Row],[Order Date]])</f>
        <v>2023</v>
      </c>
    </row>
    <row r="5498" spans="1:10" ht="14.25" customHeight="1" x14ac:dyDescent="0.3">
      <c r="A5498" s="1">
        <v>45174</v>
      </c>
      <c r="B5498" s="2" t="s">
        <v>413</v>
      </c>
      <c r="C5498" s="2" t="s">
        <v>21</v>
      </c>
      <c r="D5498" s="2" t="s">
        <v>10</v>
      </c>
      <c r="E5498" s="2" t="s">
        <v>30</v>
      </c>
      <c r="F5498" s="2">
        <v>4.3600000000000003</v>
      </c>
      <c r="G5498" s="2">
        <v>2</v>
      </c>
      <c r="H5498" s="2">
        <v>1.79</v>
      </c>
      <c r="I5498" t="str">
        <f t="shared" si="85"/>
        <v>Sep</v>
      </c>
      <c r="J5498">
        <f>YEAR(datas[[#This Row],[Order Date]])</f>
        <v>2023</v>
      </c>
    </row>
    <row r="5499" spans="1:10" ht="14.25" customHeight="1" x14ac:dyDescent="0.3">
      <c r="A5499" s="1">
        <v>45174</v>
      </c>
      <c r="B5499" s="2" t="s">
        <v>354</v>
      </c>
      <c r="C5499" s="2" t="s">
        <v>9</v>
      </c>
      <c r="D5499" s="2" t="s">
        <v>10</v>
      </c>
      <c r="E5499" s="2" t="s">
        <v>11</v>
      </c>
      <c r="F5499" s="2">
        <v>25.92</v>
      </c>
      <c r="G5499" s="2">
        <v>5</v>
      </c>
      <c r="H5499" s="2">
        <v>9.07</v>
      </c>
      <c r="I5499" t="str">
        <f t="shared" si="85"/>
        <v>Sep</v>
      </c>
      <c r="J5499">
        <f>YEAR(datas[[#This Row],[Order Date]])</f>
        <v>2023</v>
      </c>
    </row>
    <row r="5500" spans="1:10" ht="14.25" customHeight="1" x14ac:dyDescent="0.3">
      <c r="A5500" s="1">
        <v>45174</v>
      </c>
      <c r="B5500" s="2" t="s">
        <v>354</v>
      </c>
      <c r="C5500" s="2" t="s">
        <v>9</v>
      </c>
      <c r="D5500" s="2" t="s">
        <v>10</v>
      </c>
      <c r="E5500" s="2" t="s">
        <v>30</v>
      </c>
      <c r="F5500" s="2">
        <v>15.81</v>
      </c>
      <c r="G5500" s="2">
        <v>8</v>
      </c>
      <c r="H5500" s="2">
        <v>5.34</v>
      </c>
      <c r="I5500" t="str">
        <f t="shared" si="85"/>
        <v>Sep</v>
      </c>
      <c r="J5500">
        <f>YEAR(datas[[#This Row],[Order Date]])</f>
        <v>2023</v>
      </c>
    </row>
    <row r="5501" spans="1:10" ht="14.25" customHeight="1" x14ac:dyDescent="0.3">
      <c r="A5501" s="1">
        <v>45174</v>
      </c>
      <c r="B5501" s="2" t="s">
        <v>354</v>
      </c>
      <c r="C5501" s="2" t="s">
        <v>9</v>
      </c>
      <c r="D5501" s="2" t="s">
        <v>10</v>
      </c>
      <c r="E5501" s="2" t="s">
        <v>11</v>
      </c>
      <c r="F5501" s="2">
        <v>10.37</v>
      </c>
      <c r="G5501" s="2">
        <v>2</v>
      </c>
      <c r="H5501" s="2">
        <v>3.76</v>
      </c>
      <c r="I5501" t="str">
        <f t="shared" si="85"/>
        <v>Sep</v>
      </c>
      <c r="J5501">
        <f>YEAR(datas[[#This Row],[Order Date]])</f>
        <v>2023</v>
      </c>
    </row>
    <row r="5502" spans="1:10" ht="14.25" customHeight="1" x14ac:dyDescent="0.3">
      <c r="A5502" s="1">
        <v>45174</v>
      </c>
      <c r="B5502" s="2" t="s">
        <v>58</v>
      </c>
      <c r="C5502" s="2" t="s">
        <v>75</v>
      </c>
      <c r="D5502" s="2" t="s">
        <v>10</v>
      </c>
      <c r="E5502" s="2" t="s">
        <v>11</v>
      </c>
      <c r="F5502" s="2">
        <v>192.16</v>
      </c>
      <c r="G5502" s="2">
        <v>4</v>
      </c>
      <c r="H5502" s="2">
        <v>92.24</v>
      </c>
      <c r="I5502" t="str">
        <f t="shared" si="85"/>
        <v>Sep</v>
      </c>
      <c r="J5502">
        <f>YEAR(datas[[#This Row],[Order Date]])</f>
        <v>2023</v>
      </c>
    </row>
    <row r="5503" spans="1:10" ht="14.25" customHeight="1" x14ac:dyDescent="0.3">
      <c r="A5503" s="1">
        <v>45174</v>
      </c>
      <c r="B5503" s="2" t="s">
        <v>467</v>
      </c>
      <c r="C5503" s="2" t="s">
        <v>9</v>
      </c>
      <c r="D5503" s="2" t="s">
        <v>10</v>
      </c>
      <c r="E5503" s="2" t="s">
        <v>15</v>
      </c>
      <c r="F5503" s="2">
        <v>93.46</v>
      </c>
      <c r="G5503" s="2">
        <v>3</v>
      </c>
      <c r="H5503" s="2">
        <v>-17.52</v>
      </c>
      <c r="I5503" t="str">
        <f t="shared" si="85"/>
        <v>Sep</v>
      </c>
      <c r="J5503">
        <f>YEAR(datas[[#This Row],[Order Date]])</f>
        <v>2023</v>
      </c>
    </row>
    <row r="5504" spans="1:10" ht="14.25" customHeight="1" x14ac:dyDescent="0.3">
      <c r="A5504" s="1">
        <v>45174</v>
      </c>
      <c r="B5504" s="2" t="s">
        <v>46</v>
      </c>
      <c r="C5504" s="2" t="s">
        <v>36</v>
      </c>
      <c r="D5504" s="2" t="s">
        <v>10</v>
      </c>
      <c r="E5504" s="2" t="s">
        <v>14</v>
      </c>
      <c r="F5504" s="2">
        <v>25.06</v>
      </c>
      <c r="G5504" s="2">
        <v>2</v>
      </c>
      <c r="H5504" s="2">
        <v>11.78</v>
      </c>
      <c r="I5504" t="str">
        <f t="shared" si="85"/>
        <v>Sep</v>
      </c>
      <c r="J5504">
        <f>YEAR(datas[[#This Row],[Order Date]])</f>
        <v>2023</v>
      </c>
    </row>
    <row r="5505" spans="1:10" ht="14.25" customHeight="1" x14ac:dyDescent="0.3">
      <c r="A5505" s="1">
        <v>45174</v>
      </c>
      <c r="B5505" s="2" t="s">
        <v>46</v>
      </c>
      <c r="C5505" s="2" t="s">
        <v>36</v>
      </c>
      <c r="D5505" s="2" t="s">
        <v>26</v>
      </c>
      <c r="E5505" s="2" t="s">
        <v>73</v>
      </c>
      <c r="F5505" s="2">
        <v>1652.94</v>
      </c>
      <c r="G5505" s="2">
        <v>3</v>
      </c>
      <c r="H5505" s="2">
        <v>314.06</v>
      </c>
      <c r="I5505" t="str">
        <f t="shared" si="85"/>
        <v>Sep</v>
      </c>
      <c r="J5505">
        <f>YEAR(datas[[#This Row],[Order Date]])</f>
        <v>2023</v>
      </c>
    </row>
    <row r="5506" spans="1:10" ht="14.25" customHeight="1" x14ac:dyDescent="0.3">
      <c r="A5506" s="1">
        <v>45174</v>
      </c>
      <c r="B5506" s="2" t="s">
        <v>794</v>
      </c>
      <c r="C5506" s="2" t="s">
        <v>13</v>
      </c>
      <c r="D5506" s="2" t="s">
        <v>10</v>
      </c>
      <c r="E5506" s="2" t="s">
        <v>11</v>
      </c>
      <c r="F5506" s="2">
        <v>9.25</v>
      </c>
      <c r="G5506" s="2">
        <v>2</v>
      </c>
      <c r="H5506" s="2">
        <v>3.35</v>
      </c>
      <c r="I5506" t="str">
        <f t="shared" si="85"/>
        <v>Sep</v>
      </c>
      <c r="J5506">
        <f>YEAR(datas[[#This Row],[Order Date]])</f>
        <v>2023</v>
      </c>
    </row>
    <row r="5507" spans="1:10" ht="14.25" customHeight="1" x14ac:dyDescent="0.3">
      <c r="A5507" s="1">
        <v>45174</v>
      </c>
      <c r="B5507" s="2" t="s">
        <v>568</v>
      </c>
      <c r="C5507" s="2" t="s">
        <v>47</v>
      </c>
      <c r="D5507" s="2" t="s">
        <v>10</v>
      </c>
      <c r="E5507" s="2" t="s">
        <v>16</v>
      </c>
      <c r="F5507" s="2">
        <v>8.9499999999999993</v>
      </c>
      <c r="G5507" s="2">
        <v>2</v>
      </c>
      <c r="H5507" s="2">
        <v>-7.46</v>
      </c>
      <c r="I5507" t="str">
        <f t="shared" ref="I5507:I5570" si="86">TEXT(A5507,"mmm")</f>
        <v>Sep</v>
      </c>
      <c r="J5507">
        <f>YEAR(datas[[#This Row],[Order Date]])</f>
        <v>2023</v>
      </c>
    </row>
    <row r="5508" spans="1:10" ht="14.25" customHeight="1" x14ac:dyDescent="0.3">
      <c r="A5508" s="1">
        <v>45174</v>
      </c>
      <c r="B5508" s="2" t="s">
        <v>568</v>
      </c>
      <c r="C5508" s="2" t="s">
        <v>47</v>
      </c>
      <c r="D5508" s="2" t="s">
        <v>10</v>
      </c>
      <c r="E5508" s="2" t="s">
        <v>16</v>
      </c>
      <c r="F5508" s="2">
        <v>8.86</v>
      </c>
      <c r="G5508" s="2">
        <v>6</v>
      </c>
      <c r="H5508" s="2">
        <v>-6.49</v>
      </c>
      <c r="I5508" t="str">
        <f t="shared" si="86"/>
        <v>Sep</v>
      </c>
      <c r="J5508">
        <f>YEAR(datas[[#This Row],[Order Date]])</f>
        <v>2023</v>
      </c>
    </row>
    <row r="5509" spans="1:10" ht="14.25" customHeight="1" x14ac:dyDescent="0.3">
      <c r="A5509" s="1">
        <v>45174</v>
      </c>
      <c r="B5509" s="2" t="s">
        <v>568</v>
      </c>
      <c r="C5509" s="2" t="s">
        <v>47</v>
      </c>
      <c r="D5509" s="2" t="s">
        <v>26</v>
      </c>
      <c r="E5509" s="2" t="s">
        <v>27</v>
      </c>
      <c r="F5509" s="2">
        <v>85.25</v>
      </c>
      <c r="G5509" s="2">
        <v>2</v>
      </c>
      <c r="H5509" s="2">
        <v>-1.22</v>
      </c>
      <c r="I5509" t="str">
        <f t="shared" si="86"/>
        <v>Sep</v>
      </c>
      <c r="J5509">
        <f>YEAR(datas[[#This Row],[Order Date]])</f>
        <v>2023</v>
      </c>
    </row>
    <row r="5510" spans="1:10" ht="14.25" customHeight="1" x14ac:dyDescent="0.3">
      <c r="A5510" s="1">
        <v>45174</v>
      </c>
      <c r="B5510" s="2" t="s">
        <v>623</v>
      </c>
      <c r="C5510" s="2" t="s">
        <v>9</v>
      </c>
      <c r="D5510" s="2" t="s">
        <v>26</v>
      </c>
      <c r="E5510" s="2" t="s">
        <v>32</v>
      </c>
      <c r="F5510" s="2">
        <v>21.2</v>
      </c>
      <c r="G5510" s="2">
        <v>3</v>
      </c>
      <c r="H5510" s="2">
        <v>-11.66</v>
      </c>
      <c r="I5510" t="str">
        <f t="shared" si="86"/>
        <v>Sep</v>
      </c>
      <c r="J5510">
        <f>YEAR(datas[[#This Row],[Order Date]])</f>
        <v>2023</v>
      </c>
    </row>
    <row r="5511" spans="1:10" ht="14.25" customHeight="1" x14ac:dyDescent="0.3">
      <c r="A5511" s="1">
        <v>45174</v>
      </c>
      <c r="B5511" s="2" t="s">
        <v>694</v>
      </c>
      <c r="C5511" s="2" t="s">
        <v>18</v>
      </c>
      <c r="D5511" s="2" t="s">
        <v>26</v>
      </c>
      <c r="E5511" s="2" t="s">
        <v>32</v>
      </c>
      <c r="F5511" s="2">
        <v>58.25</v>
      </c>
      <c r="G5511" s="2">
        <v>9</v>
      </c>
      <c r="H5511" s="2">
        <v>11.65</v>
      </c>
      <c r="I5511" t="str">
        <f t="shared" si="86"/>
        <v>Sep</v>
      </c>
      <c r="J5511">
        <f>YEAR(datas[[#This Row],[Order Date]])</f>
        <v>2023</v>
      </c>
    </row>
    <row r="5512" spans="1:10" ht="14.25" customHeight="1" x14ac:dyDescent="0.3">
      <c r="A5512" s="1">
        <v>45174</v>
      </c>
      <c r="B5512" s="2" t="s">
        <v>694</v>
      </c>
      <c r="C5512" s="2" t="s">
        <v>18</v>
      </c>
      <c r="D5512" s="2" t="s">
        <v>26</v>
      </c>
      <c r="E5512" s="2" t="s">
        <v>27</v>
      </c>
      <c r="F5512" s="2">
        <v>71.25</v>
      </c>
      <c r="G5512" s="2">
        <v>2</v>
      </c>
      <c r="H5512" s="2">
        <v>-19.34</v>
      </c>
      <c r="I5512" t="str">
        <f t="shared" si="86"/>
        <v>Sep</v>
      </c>
      <c r="J5512">
        <f>YEAR(datas[[#This Row],[Order Date]])</f>
        <v>2023</v>
      </c>
    </row>
    <row r="5513" spans="1:10" ht="14.25" customHeight="1" x14ac:dyDescent="0.3">
      <c r="A5513" s="1">
        <v>45174</v>
      </c>
      <c r="B5513" s="2" t="s">
        <v>694</v>
      </c>
      <c r="C5513" s="2" t="s">
        <v>18</v>
      </c>
      <c r="D5513" s="2" t="s">
        <v>10</v>
      </c>
      <c r="E5513" s="2" t="s">
        <v>19</v>
      </c>
      <c r="F5513" s="2">
        <v>7.87</v>
      </c>
      <c r="G5513" s="2">
        <v>3</v>
      </c>
      <c r="H5513" s="2">
        <v>0.59</v>
      </c>
      <c r="I5513" t="str">
        <f t="shared" si="86"/>
        <v>Sep</v>
      </c>
      <c r="J5513">
        <f>YEAR(datas[[#This Row],[Order Date]])</f>
        <v>2023</v>
      </c>
    </row>
    <row r="5514" spans="1:10" ht="14.25" customHeight="1" x14ac:dyDescent="0.3">
      <c r="A5514" s="1">
        <v>45174</v>
      </c>
      <c r="B5514" s="2" t="s">
        <v>694</v>
      </c>
      <c r="C5514" s="2" t="s">
        <v>18</v>
      </c>
      <c r="D5514" s="2" t="s">
        <v>26</v>
      </c>
      <c r="E5514" s="2" t="s">
        <v>27</v>
      </c>
      <c r="F5514" s="2">
        <v>887.27</v>
      </c>
      <c r="G5514" s="2">
        <v>3</v>
      </c>
      <c r="H5514" s="2">
        <v>-63.38</v>
      </c>
      <c r="I5514" t="str">
        <f t="shared" si="86"/>
        <v>Sep</v>
      </c>
      <c r="J5514">
        <f>YEAR(datas[[#This Row],[Order Date]])</f>
        <v>2023</v>
      </c>
    </row>
    <row r="5515" spans="1:10" ht="14.25" customHeight="1" x14ac:dyDescent="0.3">
      <c r="A5515" s="1">
        <v>45174</v>
      </c>
      <c r="B5515" s="2" t="s">
        <v>695</v>
      </c>
      <c r="C5515" s="2" t="s">
        <v>75</v>
      </c>
      <c r="D5515" s="2" t="s">
        <v>28</v>
      </c>
      <c r="E5515" s="2" t="s">
        <v>29</v>
      </c>
      <c r="F5515" s="2">
        <v>43.6</v>
      </c>
      <c r="G5515" s="2">
        <v>4</v>
      </c>
      <c r="H5515" s="2">
        <v>12.21</v>
      </c>
      <c r="I5515" t="str">
        <f t="shared" si="86"/>
        <v>Sep</v>
      </c>
      <c r="J5515">
        <f>YEAR(datas[[#This Row],[Order Date]])</f>
        <v>2023</v>
      </c>
    </row>
    <row r="5516" spans="1:10" ht="14.25" customHeight="1" x14ac:dyDescent="0.3">
      <c r="A5516" s="1">
        <v>45175</v>
      </c>
      <c r="B5516" s="2" t="s">
        <v>801</v>
      </c>
      <c r="C5516" s="2" t="s">
        <v>140</v>
      </c>
      <c r="D5516" s="2" t="s">
        <v>10</v>
      </c>
      <c r="E5516" s="2" t="s">
        <v>53</v>
      </c>
      <c r="F5516" s="2">
        <v>77.88</v>
      </c>
      <c r="G5516" s="2">
        <v>6</v>
      </c>
      <c r="H5516" s="2">
        <v>22.59</v>
      </c>
      <c r="I5516" t="str">
        <f t="shared" si="86"/>
        <v>Sep</v>
      </c>
      <c r="J5516">
        <f>YEAR(datas[[#This Row],[Order Date]])</f>
        <v>2023</v>
      </c>
    </row>
    <row r="5517" spans="1:10" ht="14.25" customHeight="1" x14ac:dyDescent="0.3">
      <c r="A5517" s="1">
        <v>45175</v>
      </c>
      <c r="B5517" s="2" t="s">
        <v>613</v>
      </c>
      <c r="C5517" s="2" t="s">
        <v>75</v>
      </c>
      <c r="D5517" s="2" t="s">
        <v>28</v>
      </c>
      <c r="E5517" s="2" t="s">
        <v>34</v>
      </c>
      <c r="F5517" s="2">
        <v>31.86</v>
      </c>
      <c r="G5517" s="2">
        <v>2</v>
      </c>
      <c r="H5517" s="2">
        <v>11.15</v>
      </c>
      <c r="I5517" t="str">
        <f t="shared" si="86"/>
        <v>Sep</v>
      </c>
      <c r="J5517">
        <f>YEAR(datas[[#This Row],[Order Date]])</f>
        <v>2023</v>
      </c>
    </row>
    <row r="5518" spans="1:10" ht="14.25" customHeight="1" x14ac:dyDescent="0.3">
      <c r="A5518" s="1">
        <v>45175</v>
      </c>
      <c r="B5518" s="2" t="s">
        <v>613</v>
      </c>
      <c r="C5518" s="2" t="s">
        <v>75</v>
      </c>
      <c r="D5518" s="2" t="s">
        <v>26</v>
      </c>
      <c r="E5518" s="2" t="s">
        <v>45</v>
      </c>
      <c r="F5518" s="2">
        <v>722.35</v>
      </c>
      <c r="G5518" s="2">
        <v>3</v>
      </c>
      <c r="H5518" s="2">
        <v>90.29</v>
      </c>
      <c r="I5518" t="str">
        <f t="shared" si="86"/>
        <v>Sep</v>
      </c>
      <c r="J5518">
        <f>YEAR(datas[[#This Row],[Order Date]])</f>
        <v>2023</v>
      </c>
    </row>
    <row r="5519" spans="1:10" ht="14.25" customHeight="1" x14ac:dyDescent="0.3">
      <c r="A5519" s="1">
        <v>45175</v>
      </c>
      <c r="B5519" s="2" t="s">
        <v>436</v>
      </c>
      <c r="C5519" s="2" t="s">
        <v>115</v>
      </c>
      <c r="D5519" s="2" t="s">
        <v>10</v>
      </c>
      <c r="E5519" s="2" t="s">
        <v>41</v>
      </c>
      <c r="F5519" s="2">
        <v>95.95</v>
      </c>
      <c r="G5519" s="2">
        <v>3</v>
      </c>
      <c r="H5519" s="2">
        <v>29.99</v>
      </c>
      <c r="I5519" t="str">
        <f t="shared" si="86"/>
        <v>Sep</v>
      </c>
      <c r="J5519">
        <f>YEAR(datas[[#This Row],[Order Date]])</f>
        <v>2023</v>
      </c>
    </row>
    <row r="5520" spans="1:10" ht="14.25" customHeight="1" x14ac:dyDescent="0.3">
      <c r="A5520" s="1">
        <v>45175</v>
      </c>
      <c r="B5520" s="2" t="s">
        <v>436</v>
      </c>
      <c r="C5520" s="2" t="s">
        <v>115</v>
      </c>
      <c r="D5520" s="2" t="s">
        <v>10</v>
      </c>
      <c r="E5520" s="2" t="s">
        <v>16</v>
      </c>
      <c r="F5520" s="2">
        <v>3.2</v>
      </c>
      <c r="G5520" s="2">
        <v>2</v>
      </c>
      <c r="H5520" s="2">
        <v>-2.46</v>
      </c>
      <c r="I5520" t="str">
        <f t="shared" si="86"/>
        <v>Sep</v>
      </c>
      <c r="J5520">
        <f>YEAR(datas[[#This Row],[Order Date]])</f>
        <v>2023</v>
      </c>
    </row>
    <row r="5521" spans="1:10" ht="14.25" customHeight="1" x14ac:dyDescent="0.3">
      <c r="A5521" s="1">
        <v>45175</v>
      </c>
      <c r="B5521" s="2" t="s">
        <v>157</v>
      </c>
      <c r="C5521" s="2" t="s">
        <v>9</v>
      </c>
      <c r="D5521" s="2" t="s">
        <v>10</v>
      </c>
      <c r="E5521" s="2" t="s">
        <v>15</v>
      </c>
      <c r="F5521" s="2">
        <v>10.78</v>
      </c>
      <c r="G5521" s="2">
        <v>1</v>
      </c>
      <c r="H5521" s="2">
        <v>0.81</v>
      </c>
      <c r="I5521" t="str">
        <f t="shared" si="86"/>
        <v>Sep</v>
      </c>
      <c r="J5521">
        <f>YEAR(datas[[#This Row],[Order Date]])</f>
        <v>2023</v>
      </c>
    </row>
    <row r="5522" spans="1:10" ht="14.25" customHeight="1" x14ac:dyDescent="0.3">
      <c r="A5522" s="1">
        <v>45175</v>
      </c>
      <c r="B5522" s="2" t="s">
        <v>587</v>
      </c>
      <c r="C5522" s="2" t="s">
        <v>9</v>
      </c>
      <c r="D5522" s="2" t="s">
        <v>10</v>
      </c>
      <c r="E5522" s="2" t="s">
        <v>11</v>
      </c>
      <c r="F5522" s="2">
        <v>41.92</v>
      </c>
      <c r="G5522" s="2">
        <v>4</v>
      </c>
      <c r="H5522" s="2">
        <v>15.2</v>
      </c>
      <c r="I5522" t="str">
        <f t="shared" si="86"/>
        <v>Sep</v>
      </c>
      <c r="J5522">
        <f>YEAR(datas[[#This Row],[Order Date]])</f>
        <v>2023</v>
      </c>
    </row>
    <row r="5523" spans="1:10" ht="14.25" customHeight="1" x14ac:dyDescent="0.3">
      <c r="A5523" s="1">
        <v>45175</v>
      </c>
      <c r="B5523" s="2" t="s">
        <v>587</v>
      </c>
      <c r="C5523" s="2" t="s">
        <v>9</v>
      </c>
      <c r="D5523" s="2" t="s">
        <v>28</v>
      </c>
      <c r="E5523" s="2" t="s">
        <v>29</v>
      </c>
      <c r="F5523" s="2">
        <v>329.58</v>
      </c>
      <c r="G5523" s="2">
        <v>2</v>
      </c>
      <c r="H5523" s="2">
        <v>37.08</v>
      </c>
      <c r="I5523" t="str">
        <f t="shared" si="86"/>
        <v>Sep</v>
      </c>
      <c r="J5523">
        <f>YEAR(datas[[#This Row],[Order Date]])</f>
        <v>2023</v>
      </c>
    </row>
    <row r="5524" spans="1:10" ht="14.25" customHeight="1" x14ac:dyDescent="0.3">
      <c r="A5524" s="1">
        <v>45177</v>
      </c>
      <c r="B5524" s="2" t="s">
        <v>716</v>
      </c>
      <c r="C5524" s="2" t="s">
        <v>9</v>
      </c>
      <c r="D5524" s="2" t="s">
        <v>10</v>
      </c>
      <c r="E5524" s="2" t="s">
        <v>15</v>
      </c>
      <c r="F5524" s="2">
        <v>35.950000000000003</v>
      </c>
      <c r="G5524" s="2">
        <v>3</v>
      </c>
      <c r="H5524" s="2">
        <v>3.6</v>
      </c>
      <c r="I5524" t="str">
        <f t="shared" si="86"/>
        <v>Sep</v>
      </c>
      <c r="J5524">
        <f>YEAR(datas[[#This Row],[Order Date]])</f>
        <v>2023</v>
      </c>
    </row>
    <row r="5525" spans="1:10" ht="14.25" customHeight="1" x14ac:dyDescent="0.3">
      <c r="A5525" s="1">
        <v>45177</v>
      </c>
      <c r="B5525" s="2" t="s">
        <v>716</v>
      </c>
      <c r="C5525" s="2" t="s">
        <v>9</v>
      </c>
      <c r="D5525" s="2" t="s">
        <v>26</v>
      </c>
      <c r="E5525" s="2" t="s">
        <v>45</v>
      </c>
      <c r="F5525" s="2">
        <v>2396.27</v>
      </c>
      <c r="G5525" s="2">
        <v>4</v>
      </c>
      <c r="H5525" s="2">
        <v>-317.14999999999998</v>
      </c>
      <c r="I5525" t="str">
        <f t="shared" si="86"/>
        <v>Sep</v>
      </c>
      <c r="J5525">
        <f>YEAR(datas[[#This Row],[Order Date]])</f>
        <v>2023</v>
      </c>
    </row>
    <row r="5526" spans="1:10" ht="14.25" customHeight="1" x14ac:dyDescent="0.3">
      <c r="A5526" s="1">
        <v>45177</v>
      </c>
      <c r="B5526" s="2" t="s">
        <v>716</v>
      </c>
      <c r="C5526" s="2" t="s">
        <v>9</v>
      </c>
      <c r="D5526" s="2" t="s">
        <v>10</v>
      </c>
      <c r="E5526" s="2" t="s">
        <v>15</v>
      </c>
      <c r="F5526" s="2">
        <v>131.13999999999999</v>
      </c>
      <c r="G5526" s="2">
        <v>4</v>
      </c>
      <c r="H5526" s="2">
        <v>-32.78</v>
      </c>
      <c r="I5526" t="str">
        <f t="shared" si="86"/>
        <v>Sep</v>
      </c>
      <c r="J5526">
        <f>YEAR(datas[[#This Row],[Order Date]])</f>
        <v>2023</v>
      </c>
    </row>
    <row r="5527" spans="1:10" ht="14.25" customHeight="1" x14ac:dyDescent="0.3">
      <c r="A5527" s="1">
        <v>45177</v>
      </c>
      <c r="B5527" s="2" t="s">
        <v>716</v>
      </c>
      <c r="C5527" s="2" t="s">
        <v>9</v>
      </c>
      <c r="D5527" s="2" t="s">
        <v>28</v>
      </c>
      <c r="E5527" s="2" t="s">
        <v>34</v>
      </c>
      <c r="F5527" s="2">
        <v>57.58</v>
      </c>
      <c r="G5527" s="2">
        <v>2</v>
      </c>
      <c r="H5527" s="2">
        <v>0.72</v>
      </c>
      <c r="I5527" t="str">
        <f t="shared" si="86"/>
        <v>Sep</v>
      </c>
      <c r="J5527">
        <f>YEAR(datas[[#This Row],[Order Date]])</f>
        <v>2023</v>
      </c>
    </row>
    <row r="5528" spans="1:10" ht="14.25" customHeight="1" x14ac:dyDescent="0.3">
      <c r="A5528" s="1">
        <v>45177</v>
      </c>
      <c r="B5528" s="2" t="s">
        <v>200</v>
      </c>
      <c r="C5528" s="2" t="s">
        <v>21</v>
      </c>
      <c r="D5528" s="2" t="s">
        <v>10</v>
      </c>
      <c r="E5528" s="2" t="s">
        <v>16</v>
      </c>
      <c r="F5528" s="2">
        <v>33.020000000000003</v>
      </c>
      <c r="G5528" s="2">
        <v>2</v>
      </c>
      <c r="H5528" s="2">
        <v>11.56</v>
      </c>
      <c r="I5528" t="str">
        <f t="shared" si="86"/>
        <v>Sep</v>
      </c>
      <c r="J5528">
        <f>YEAR(datas[[#This Row],[Order Date]])</f>
        <v>2023</v>
      </c>
    </row>
    <row r="5529" spans="1:10" ht="14.25" customHeight="1" x14ac:dyDescent="0.3">
      <c r="A5529" s="1">
        <v>45177</v>
      </c>
      <c r="B5529" s="2" t="s">
        <v>200</v>
      </c>
      <c r="C5529" s="2" t="s">
        <v>21</v>
      </c>
      <c r="D5529" s="2" t="s">
        <v>10</v>
      </c>
      <c r="E5529" s="2" t="s">
        <v>16</v>
      </c>
      <c r="F5529" s="2">
        <v>67.14</v>
      </c>
      <c r="G5529" s="2">
        <v>4</v>
      </c>
      <c r="H5529" s="2">
        <v>23.5</v>
      </c>
      <c r="I5529" t="str">
        <f t="shared" si="86"/>
        <v>Sep</v>
      </c>
      <c r="J5529">
        <f>YEAR(datas[[#This Row],[Order Date]])</f>
        <v>2023</v>
      </c>
    </row>
    <row r="5530" spans="1:10" ht="14.25" customHeight="1" x14ac:dyDescent="0.3">
      <c r="A5530" s="1">
        <v>45177</v>
      </c>
      <c r="B5530" s="2" t="s">
        <v>116</v>
      </c>
      <c r="C5530" s="2" t="s">
        <v>181</v>
      </c>
      <c r="D5530" s="2" t="s">
        <v>26</v>
      </c>
      <c r="E5530" s="2" t="s">
        <v>45</v>
      </c>
      <c r="F5530" s="2">
        <v>173.94</v>
      </c>
      <c r="G5530" s="2">
        <v>3</v>
      </c>
      <c r="H5530" s="2">
        <v>13.92</v>
      </c>
      <c r="I5530" t="str">
        <f t="shared" si="86"/>
        <v>Sep</v>
      </c>
      <c r="J5530">
        <f>YEAR(datas[[#This Row],[Order Date]])</f>
        <v>2023</v>
      </c>
    </row>
    <row r="5531" spans="1:10" ht="14.25" customHeight="1" x14ac:dyDescent="0.3">
      <c r="A5531" s="1">
        <v>45177</v>
      </c>
      <c r="B5531" s="2" t="s">
        <v>116</v>
      </c>
      <c r="C5531" s="2" t="s">
        <v>181</v>
      </c>
      <c r="D5531" s="2" t="s">
        <v>10</v>
      </c>
      <c r="E5531" s="2" t="s">
        <v>14</v>
      </c>
      <c r="F5531" s="2">
        <v>14.76</v>
      </c>
      <c r="G5531" s="2">
        <v>4</v>
      </c>
      <c r="H5531" s="2">
        <v>6.94</v>
      </c>
      <c r="I5531" t="str">
        <f t="shared" si="86"/>
        <v>Sep</v>
      </c>
      <c r="J5531">
        <f>YEAR(datas[[#This Row],[Order Date]])</f>
        <v>2023</v>
      </c>
    </row>
    <row r="5532" spans="1:10" ht="14.25" customHeight="1" x14ac:dyDescent="0.3">
      <c r="A5532" s="1">
        <v>45177</v>
      </c>
      <c r="B5532" s="2" t="s">
        <v>206</v>
      </c>
      <c r="C5532" s="2" t="s">
        <v>13</v>
      </c>
      <c r="D5532" s="2" t="s">
        <v>26</v>
      </c>
      <c r="E5532" s="2" t="s">
        <v>32</v>
      </c>
      <c r="F5532" s="2">
        <v>14.14</v>
      </c>
      <c r="G5532" s="2">
        <v>2</v>
      </c>
      <c r="H5532" s="2">
        <v>-7.77</v>
      </c>
      <c r="I5532" t="str">
        <f t="shared" si="86"/>
        <v>Sep</v>
      </c>
      <c r="J5532">
        <f>YEAR(datas[[#This Row],[Order Date]])</f>
        <v>2023</v>
      </c>
    </row>
    <row r="5533" spans="1:10" ht="14.25" customHeight="1" x14ac:dyDescent="0.3">
      <c r="A5533" s="1">
        <v>45177</v>
      </c>
      <c r="B5533" s="2" t="s">
        <v>206</v>
      </c>
      <c r="C5533" s="2" t="s">
        <v>13</v>
      </c>
      <c r="D5533" s="2" t="s">
        <v>26</v>
      </c>
      <c r="E5533" s="2" t="s">
        <v>73</v>
      </c>
      <c r="F5533" s="2">
        <v>601.47</v>
      </c>
      <c r="G5533" s="2">
        <v>3</v>
      </c>
      <c r="H5533" s="2">
        <v>-300.74</v>
      </c>
      <c r="I5533" t="str">
        <f t="shared" si="86"/>
        <v>Sep</v>
      </c>
      <c r="J5533">
        <f>YEAR(datas[[#This Row],[Order Date]])</f>
        <v>2023</v>
      </c>
    </row>
    <row r="5534" spans="1:10" ht="14.25" customHeight="1" x14ac:dyDescent="0.3">
      <c r="A5534" s="1">
        <v>45177</v>
      </c>
      <c r="B5534" s="2" t="s">
        <v>104</v>
      </c>
      <c r="C5534" s="2" t="s">
        <v>75</v>
      </c>
      <c r="D5534" s="2" t="s">
        <v>10</v>
      </c>
      <c r="E5534" s="2" t="s">
        <v>53</v>
      </c>
      <c r="F5534" s="2">
        <v>207.48</v>
      </c>
      <c r="G5534" s="2">
        <v>1</v>
      </c>
      <c r="H5534" s="2">
        <v>62.24</v>
      </c>
      <c r="I5534" t="str">
        <f t="shared" si="86"/>
        <v>Sep</v>
      </c>
      <c r="J5534">
        <f>YEAR(datas[[#This Row],[Order Date]])</f>
        <v>2023</v>
      </c>
    </row>
    <row r="5535" spans="1:10" ht="14.25" customHeight="1" x14ac:dyDescent="0.3">
      <c r="A5535" s="1">
        <v>45177</v>
      </c>
      <c r="B5535" s="2" t="s">
        <v>187</v>
      </c>
      <c r="C5535" s="2" t="s">
        <v>9</v>
      </c>
      <c r="D5535" s="2" t="s">
        <v>10</v>
      </c>
      <c r="E5535" s="2" t="s">
        <v>19</v>
      </c>
      <c r="F5535" s="2">
        <v>70.37</v>
      </c>
      <c r="G5535" s="2">
        <v>2</v>
      </c>
      <c r="H5535" s="2">
        <v>6.16</v>
      </c>
      <c r="I5535" t="str">
        <f t="shared" si="86"/>
        <v>Sep</v>
      </c>
      <c r="J5535">
        <f>YEAR(datas[[#This Row],[Order Date]])</f>
        <v>2023</v>
      </c>
    </row>
    <row r="5536" spans="1:10" ht="14.25" customHeight="1" x14ac:dyDescent="0.3">
      <c r="A5536" s="1">
        <v>45177</v>
      </c>
      <c r="B5536" s="2" t="s">
        <v>187</v>
      </c>
      <c r="C5536" s="2" t="s">
        <v>9</v>
      </c>
      <c r="D5536" s="2" t="s">
        <v>28</v>
      </c>
      <c r="E5536" s="2" t="s">
        <v>29</v>
      </c>
      <c r="F5536" s="2">
        <v>59.96</v>
      </c>
      <c r="G5536" s="2">
        <v>5</v>
      </c>
      <c r="H5536" s="2">
        <v>21.74</v>
      </c>
      <c r="I5536" t="str">
        <f t="shared" si="86"/>
        <v>Sep</v>
      </c>
      <c r="J5536">
        <f>YEAR(datas[[#This Row],[Order Date]])</f>
        <v>2023</v>
      </c>
    </row>
    <row r="5537" spans="1:10" ht="14.25" customHeight="1" x14ac:dyDescent="0.3">
      <c r="A5537" s="1">
        <v>45177</v>
      </c>
      <c r="B5537" s="2" t="s">
        <v>821</v>
      </c>
      <c r="C5537" s="2" t="s">
        <v>115</v>
      </c>
      <c r="D5537" s="2" t="s">
        <v>28</v>
      </c>
      <c r="E5537" s="2" t="s">
        <v>34</v>
      </c>
      <c r="F5537" s="2">
        <v>35.17</v>
      </c>
      <c r="G5537" s="2">
        <v>4</v>
      </c>
      <c r="H5537" s="2">
        <v>8.35</v>
      </c>
      <c r="I5537" t="str">
        <f t="shared" si="86"/>
        <v>Sep</v>
      </c>
      <c r="J5537">
        <f>YEAR(datas[[#This Row],[Order Date]])</f>
        <v>2023</v>
      </c>
    </row>
    <row r="5538" spans="1:10" ht="14.25" customHeight="1" x14ac:dyDescent="0.3">
      <c r="A5538" s="1">
        <v>45177</v>
      </c>
      <c r="B5538" s="2" t="s">
        <v>821</v>
      </c>
      <c r="C5538" s="2" t="s">
        <v>115</v>
      </c>
      <c r="D5538" s="2" t="s">
        <v>10</v>
      </c>
      <c r="E5538" s="2" t="s">
        <v>11</v>
      </c>
      <c r="F5538" s="2">
        <v>64.7</v>
      </c>
      <c r="G5538" s="2">
        <v>3</v>
      </c>
      <c r="H5538" s="2">
        <v>23.46</v>
      </c>
      <c r="I5538" t="str">
        <f t="shared" si="86"/>
        <v>Sep</v>
      </c>
      <c r="J5538">
        <f>YEAR(datas[[#This Row],[Order Date]])</f>
        <v>2023</v>
      </c>
    </row>
    <row r="5539" spans="1:10" ht="14.25" customHeight="1" x14ac:dyDescent="0.3">
      <c r="A5539" s="1">
        <v>45177</v>
      </c>
      <c r="B5539" s="2" t="s">
        <v>197</v>
      </c>
      <c r="C5539" s="2" t="s">
        <v>21</v>
      </c>
      <c r="D5539" s="2" t="s">
        <v>26</v>
      </c>
      <c r="E5539" s="2" t="s">
        <v>73</v>
      </c>
      <c r="F5539" s="2">
        <v>146.04</v>
      </c>
      <c r="G5539" s="2">
        <v>1</v>
      </c>
      <c r="H5539" s="2">
        <v>-12.78</v>
      </c>
      <c r="I5539" t="str">
        <f t="shared" si="86"/>
        <v>Sep</v>
      </c>
      <c r="J5539">
        <f>YEAR(datas[[#This Row],[Order Date]])</f>
        <v>2023</v>
      </c>
    </row>
    <row r="5540" spans="1:10" ht="14.25" customHeight="1" x14ac:dyDescent="0.3">
      <c r="A5540" s="1">
        <v>45177</v>
      </c>
      <c r="B5540" s="2" t="s">
        <v>618</v>
      </c>
      <c r="C5540" s="2" t="s">
        <v>82</v>
      </c>
      <c r="D5540" s="2" t="s">
        <v>26</v>
      </c>
      <c r="E5540" s="2" t="s">
        <v>32</v>
      </c>
      <c r="F5540" s="2">
        <v>43.13</v>
      </c>
      <c r="G5540" s="2">
        <v>1</v>
      </c>
      <c r="H5540" s="2">
        <v>14.66</v>
      </c>
      <c r="I5540" t="str">
        <f t="shared" si="86"/>
        <v>Sep</v>
      </c>
      <c r="J5540">
        <f>YEAR(datas[[#This Row],[Order Date]])</f>
        <v>2023</v>
      </c>
    </row>
    <row r="5541" spans="1:10" ht="14.25" customHeight="1" x14ac:dyDescent="0.3">
      <c r="A5541" s="1">
        <v>45177</v>
      </c>
      <c r="B5541" s="2" t="s">
        <v>618</v>
      </c>
      <c r="C5541" s="2" t="s">
        <v>82</v>
      </c>
      <c r="D5541" s="2" t="s">
        <v>10</v>
      </c>
      <c r="E5541" s="2" t="s">
        <v>11</v>
      </c>
      <c r="F5541" s="2">
        <v>30.87</v>
      </c>
      <c r="G5541" s="2">
        <v>7</v>
      </c>
      <c r="H5541" s="2">
        <v>14.2</v>
      </c>
      <c r="I5541" t="str">
        <f t="shared" si="86"/>
        <v>Sep</v>
      </c>
      <c r="J5541">
        <f>YEAR(datas[[#This Row],[Order Date]])</f>
        <v>2023</v>
      </c>
    </row>
    <row r="5542" spans="1:10" ht="14.25" customHeight="1" x14ac:dyDescent="0.3">
      <c r="A5542" s="1">
        <v>45177</v>
      </c>
      <c r="B5542" s="2" t="s">
        <v>834</v>
      </c>
      <c r="C5542" s="2" t="s">
        <v>21</v>
      </c>
      <c r="D5542" s="2" t="s">
        <v>10</v>
      </c>
      <c r="E5542" s="2" t="s">
        <v>19</v>
      </c>
      <c r="F5542" s="2">
        <v>14.88</v>
      </c>
      <c r="G5542" s="2">
        <v>2</v>
      </c>
      <c r="H5542" s="2">
        <v>3.72</v>
      </c>
      <c r="I5542" t="str">
        <f t="shared" si="86"/>
        <v>Sep</v>
      </c>
      <c r="J5542">
        <f>YEAR(datas[[#This Row],[Order Date]])</f>
        <v>2023</v>
      </c>
    </row>
    <row r="5543" spans="1:10" ht="14.25" customHeight="1" x14ac:dyDescent="0.3">
      <c r="A5543" s="1">
        <v>45177</v>
      </c>
      <c r="B5543" s="2" t="s">
        <v>834</v>
      </c>
      <c r="C5543" s="2" t="s">
        <v>21</v>
      </c>
      <c r="D5543" s="2" t="s">
        <v>10</v>
      </c>
      <c r="E5543" s="2" t="s">
        <v>11</v>
      </c>
      <c r="F5543" s="2">
        <v>34.24</v>
      </c>
      <c r="G5543" s="2">
        <v>8</v>
      </c>
      <c r="H5543" s="2">
        <v>15.41</v>
      </c>
      <c r="I5543" t="str">
        <f t="shared" si="86"/>
        <v>Sep</v>
      </c>
      <c r="J5543">
        <f>YEAR(datas[[#This Row],[Order Date]])</f>
        <v>2023</v>
      </c>
    </row>
    <row r="5544" spans="1:10" ht="14.25" customHeight="1" x14ac:dyDescent="0.3">
      <c r="A5544" s="1">
        <v>45177</v>
      </c>
      <c r="B5544" s="2" t="s">
        <v>834</v>
      </c>
      <c r="C5544" s="2" t="s">
        <v>21</v>
      </c>
      <c r="D5544" s="2" t="s">
        <v>10</v>
      </c>
      <c r="E5544" s="2" t="s">
        <v>15</v>
      </c>
      <c r="F5544" s="2">
        <v>261.74</v>
      </c>
      <c r="G5544" s="2">
        <v>2</v>
      </c>
      <c r="H5544" s="2">
        <v>65.44</v>
      </c>
      <c r="I5544" t="str">
        <f t="shared" si="86"/>
        <v>Sep</v>
      </c>
      <c r="J5544">
        <f>YEAR(datas[[#This Row],[Order Date]])</f>
        <v>2023</v>
      </c>
    </row>
    <row r="5545" spans="1:10" ht="14.25" customHeight="1" x14ac:dyDescent="0.3">
      <c r="A5545" s="1">
        <v>45178</v>
      </c>
      <c r="B5545" s="2" t="s">
        <v>420</v>
      </c>
      <c r="C5545" s="2" t="s">
        <v>75</v>
      </c>
      <c r="D5545" s="2" t="s">
        <v>10</v>
      </c>
      <c r="E5545" s="2" t="s">
        <v>16</v>
      </c>
      <c r="F5545" s="2">
        <v>14.62</v>
      </c>
      <c r="G5545" s="2">
        <v>2</v>
      </c>
      <c r="H5545" s="2">
        <v>5.48</v>
      </c>
      <c r="I5545" t="str">
        <f t="shared" si="86"/>
        <v>Sep</v>
      </c>
      <c r="J5545">
        <f>YEAR(datas[[#This Row],[Order Date]])</f>
        <v>2023</v>
      </c>
    </row>
    <row r="5546" spans="1:10" ht="14.25" customHeight="1" x14ac:dyDescent="0.3">
      <c r="A5546" s="1">
        <v>45178</v>
      </c>
      <c r="B5546" s="2" t="s">
        <v>442</v>
      </c>
      <c r="C5546" s="2" t="s">
        <v>21</v>
      </c>
      <c r="D5546" s="2" t="s">
        <v>10</v>
      </c>
      <c r="E5546" s="2" t="s">
        <v>16</v>
      </c>
      <c r="F5546" s="2">
        <v>55.36</v>
      </c>
      <c r="G5546" s="2">
        <v>4</v>
      </c>
      <c r="H5546" s="2">
        <v>18.68</v>
      </c>
      <c r="I5546" t="str">
        <f t="shared" si="86"/>
        <v>Sep</v>
      </c>
      <c r="J5546">
        <f>YEAR(datas[[#This Row],[Order Date]])</f>
        <v>2023</v>
      </c>
    </row>
    <row r="5547" spans="1:10" ht="14.25" customHeight="1" x14ac:dyDescent="0.3">
      <c r="A5547" s="1">
        <v>45178</v>
      </c>
      <c r="B5547" s="2" t="s">
        <v>545</v>
      </c>
      <c r="C5547" s="2" t="s">
        <v>9</v>
      </c>
      <c r="D5547" s="2" t="s">
        <v>26</v>
      </c>
      <c r="E5547" s="2" t="s">
        <v>32</v>
      </c>
      <c r="F5547" s="2">
        <v>15.01</v>
      </c>
      <c r="G5547" s="2">
        <v>4</v>
      </c>
      <c r="H5547" s="2">
        <v>-12.01</v>
      </c>
      <c r="I5547" t="str">
        <f t="shared" si="86"/>
        <v>Sep</v>
      </c>
      <c r="J5547">
        <f>YEAR(datas[[#This Row],[Order Date]])</f>
        <v>2023</v>
      </c>
    </row>
    <row r="5548" spans="1:10" ht="14.25" customHeight="1" x14ac:dyDescent="0.3">
      <c r="A5548" s="1">
        <v>45179</v>
      </c>
      <c r="B5548" s="2" t="s">
        <v>745</v>
      </c>
      <c r="C5548" s="2" t="s">
        <v>75</v>
      </c>
      <c r="D5548" s="2" t="s">
        <v>10</v>
      </c>
      <c r="E5548" s="2" t="s">
        <v>15</v>
      </c>
      <c r="F5548" s="2">
        <v>59.48</v>
      </c>
      <c r="G5548" s="2">
        <v>2</v>
      </c>
      <c r="H5548" s="2">
        <v>8.92</v>
      </c>
      <c r="I5548" t="str">
        <f t="shared" si="86"/>
        <v>Sep</v>
      </c>
      <c r="J5548">
        <f>YEAR(datas[[#This Row],[Order Date]])</f>
        <v>2023</v>
      </c>
    </row>
    <row r="5549" spans="1:10" ht="14.25" customHeight="1" x14ac:dyDescent="0.3">
      <c r="A5549" s="1">
        <v>45179</v>
      </c>
      <c r="B5549" s="2" t="s">
        <v>745</v>
      </c>
      <c r="C5549" s="2" t="s">
        <v>75</v>
      </c>
      <c r="D5549" s="2" t="s">
        <v>10</v>
      </c>
      <c r="E5549" s="2" t="s">
        <v>11</v>
      </c>
      <c r="F5549" s="2">
        <v>6.69</v>
      </c>
      <c r="G5549" s="2">
        <v>1</v>
      </c>
      <c r="H5549" s="2">
        <v>3.08</v>
      </c>
      <c r="I5549" t="str">
        <f t="shared" si="86"/>
        <v>Sep</v>
      </c>
      <c r="J5549">
        <f>YEAR(datas[[#This Row],[Order Date]])</f>
        <v>2023</v>
      </c>
    </row>
    <row r="5550" spans="1:10" ht="14.25" customHeight="1" x14ac:dyDescent="0.3">
      <c r="A5550" s="1">
        <v>45179</v>
      </c>
      <c r="B5550" s="2" t="s">
        <v>724</v>
      </c>
      <c r="C5550" s="2" t="s">
        <v>62</v>
      </c>
      <c r="D5550" s="2" t="s">
        <v>10</v>
      </c>
      <c r="E5550" s="2" t="s">
        <v>19</v>
      </c>
      <c r="F5550" s="2">
        <v>67.56</v>
      </c>
      <c r="G5550" s="2">
        <v>3</v>
      </c>
      <c r="H5550" s="2">
        <v>8.4499999999999993</v>
      </c>
      <c r="I5550" t="str">
        <f t="shared" si="86"/>
        <v>Sep</v>
      </c>
      <c r="J5550">
        <f>YEAR(datas[[#This Row],[Order Date]])</f>
        <v>2023</v>
      </c>
    </row>
    <row r="5551" spans="1:10" ht="14.25" customHeight="1" x14ac:dyDescent="0.3">
      <c r="A5551" s="1">
        <v>45179</v>
      </c>
      <c r="B5551" s="2" t="s">
        <v>125</v>
      </c>
      <c r="C5551" s="2" t="s">
        <v>9</v>
      </c>
      <c r="D5551" s="2" t="s">
        <v>26</v>
      </c>
      <c r="E5551" s="2" t="s">
        <v>73</v>
      </c>
      <c r="F5551" s="2">
        <v>300.93</v>
      </c>
      <c r="G5551" s="2">
        <v>5</v>
      </c>
      <c r="H5551" s="2">
        <v>-34.39</v>
      </c>
      <c r="I5551" t="str">
        <f t="shared" si="86"/>
        <v>Sep</v>
      </c>
      <c r="J5551">
        <f>YEAR(datas[[#This Row],[Order Date]])</f>
        <v>2023</v>
      </c>
    </row>
    <row r="5552" spans="1:10" ht="14.25" customHeight="1" x14ac:dyDescent="0.3">
      <c r="A5552" s="1">
        <v>45179</v>
      </c>
      <c r="B5552" s="2" t="s">
        <v>125</v>
      </c>
      <c r="C5552" s="2" t="s">
        <v>9</v>
      </c>
      <c r="D5552" s="2" t="s">
        <v>28</v>
      </c>
      <c r="E5552" s="2" t="s">
        <v>29</v>
      </c>
      <c r="F5552" s="2">
        <v>719.96</v>
      </c>
      <c r="G5552" s="2">
        <v>5</v>
      </c>
      <c r="H5552" s="2">
        <v>54</v>
      </c>
      <c r="I5552" t="str">
        <f t="shared" si="86"/>
        <v>Sep</v>
      </c>
      <c r="J5552">
        <f>YEAR(datas[[#This Row],[Order Date]])</f>
        <v>2023</v>
      </c>
    </row>
    <row r="5553" spans="1:10" ht="14.25" customHeight="1" x14ac:dyDescent="0.3">
      <c r="A5553" s="1">
        <v>45179</v>
      </c>
      <c r="B5553" s="2" t="s">
        <v>643</v>
      </c>
      <c r="C5553" s="2" t="s">
        <v>64</v>
      </c>
      <c r="D5553" s="2" t="s">
        <v>28</v>
      </c>
      <c r="E5553" s="2" t="s">
        <v>29</v>
      </c>
      <c r="F5553" s="2">
        <v>519.67999999999995</v>
      </c>
      <c r="G5553" s="2">
        <v>7</v>
      </c>
      <c r="H5553" s="2">
        <v>58.46</v>
      </c>
      <c r="I5553" t="str">
        <f t="shared" si="86"/>
        <v>Sep</v>
      </c>
      <c r="J5553">
        <f>YEAR(datas[[#This Row],[Order Date]])</f>
        <v>2023</v>
      </c>
    </row>
    <row r="5554" spans="1:10" ht="14.25" customHeight="1" x14ac:dyDescent="0.3">
      <c r="A5554" s="1">
        <v>45179</v>
      </c>
      <c r="B5554" s="2" t="s">
        <v>815</v>
      </c>
      <c r="C5554" s="2" t="s">
        <v>82</v>
      </c>
      <c r="D5554" s="2" t="s">
        <v>10</v>
      </c>
      <c r="E5554" s="2" t="s">
        <v>14</v>
      </c>
      <c r="F5554" s="2">
        <v>7.38</v>
      </c>
      <c r="G5554" s="2">
        <v>2</v>
      </c>
      <c r="H5554" s="2">
        <v>3.47</v>
      </c>
      <c r="I5554" t="str">
        <f t="shared" si="86"/>
        <v>Sep</v>
      </c>
      <c r="J5554">
        <f>YEAR(datas[[#This Row],[Order Date]])</f>
        <v>2023</v>
      </c>
    </row>
    <row r="5555" spans="1:10" ht="14.25" customHeight="1" x14ac:dyDescent="0.3">
      <c r="A5555" s="1">
        <v>45179</v>
      </c>
      <c r="B5555" s="2" t="s">
        <v>815</v>
      </c>
      <c r="C5555" s="2" t="s">
        <v>82</v>
      </c>
      <c r="D5555" s="2" t="s">
        <v>10</v>
      </c>
      <c r="E5555" s="2" t="s">
        <v>16</v>
      </c>
      <c r="F5555" s="2">
        <v>14.26</v>
      </c>
      <c r="G5555" s="2">
        <v>3</v>
      </c>
      <c r="H5555" s="2">
        <v>4.46</v>
      </c>
      <c r="I5555" t="str">
        <f t="shared" si="86"/>
        <v>Sep</v>
      </c>
      <c r="J5555">
        <f>YEAR(datas[[#This Row],[Order Date]])</f>
        <v>2023</v>
      </c>
    </row>
    <row r="5556" spans="1:10" ht="14.25" customHeight="1" x14ac:dyDescent="0.3">
      <c r="A5556" s="1">
        <v>45179</v>
      </c>
      <c r="B5556" s="2" t="s">
        <v>815</v>
      </c>
      <c r="C5556" s="2" t="s">
        <v>82</v>
      </c>
      <c r="D5556" s="2" t="s">
        <v>10</v>
      </c>
      <c r="E5556" s="2" t="s">
        <v>11</v>
      </c>
      <c r="F5556" s="2">
        <v>81.98</v>
      </c>
      <c r="G5556" s="2">
        <v>2</v>
      </c>
      <c r="H5556" s="2">
        <v>40.17</v>
      </c>
      <c r="I5556" t="str">
        <f t="shared" si="86"/>
        <v>Sep</v>
      </c>
      <c r="J5556">
        <f>YEAR(datas[[#This Row],[Order Date]])</f>
        <v>2023</v>
      </c>
    </row>
    <row r="5557" spans="1:10" ht="14.25" customHeight="1" x14ac:dyDescent="0.3">
      <c r="A5557" s="1">
        <v>45179</v>
      </c>
      <c r="B5557" s="2" t="s">
        <v>815</v>
      </c>
      <c r="C5557" s="2" t="s">
        <v>82</v>
      </c>
      <c r="D5557" s="2" t="s">
        <v>10</v>
      </c>
      <c r="E5557" s="2" t="s">
        <v>16</v>
      </c>
      <c r="F5557" s="2">
        <v>39.619999999999997</v>
      </c>
      <c r="G5557" s="2">
        <v>3</v>
      </c>
      <c r="H5557" s="2">
        <v>13.87</v>
      </c>
      <c r="I5557" t="str">
        <f t="shared" si="86"/>
        <v>Sep</v>
      </c>
      <c r="J5557">
        <f>YEAR(datas[[#This Row],[Order Date]])</f>
        <v>2023</v>
      </c>
    </row>
    <row r="5558" spans="1:10" ht="14.25" customHeight="1" x14ac:dyDescent="0.3">
      <c r="A5558" s="1">
        <v>45179</v>
      </c>
      <c r="B5558" s="2" t="s">
        <v>333</v>
      </c>
      <c r="C5558" s="2" t="s">
        <v>21</v>
      </c>
      <c r="D5558" s="2" t="s">
        <v>10</v>
      </c>
      <c r="E5558" s="2" t="s">
        <v>16</v>
      </c>
      <c r="F5558" s="2">
        <v>276.77999999999997</v>
      </c>
      <c r="G5558" s="2">
        <v>2</v>
      </c>
      <c r="H5558" s="2">
        <v>89.95</v>
      </c>
      <c r="I5558" t="str">
        <f t="shared" si="86"/>
        <v>Sep</v>
      </c>
      <c r="J5558">
        <f>YEAR(datas[[#This Row],[Order Date]])</f>
        <v>2023</v>
      </c>
    </row>
    <row r="5559" spans="1:10" ht="14.25" customHeight="1" x14ac:dyDescent="0.3">
      <c r="A5559" s="1">
        <v>45180</v>
      </c>
      <c r="B5559" s="2" t="s">
        <v>781</v>
      </c>
      <c r="C5559" s="2" t="s">
        <v>21</v>
      </c>
      <c r="D5559" s="2" t="s">
        <v>10</v>
      </c>
      <c r="E5559" s="2" t="s">
        <v>11</v>
      </c>
      <c r="F5559" s="2">
        <v>7.61</v>
      </c>
      <c r="G5559" s="2">
        <v>1</v>
      </c>
      <c r="H5559" s="2">
        <v>3.58</v>
      </c>
      <c r="I5559" t="str">
        <f t="shared" si="86"/>
        <v>Sep</v>
      </c>
      <c r="J5559">
        <f>YEAR(datas[[#This Row],[Order Date]])</f>
        <v>2023</v>
      </c>
    </row>
    <row r="5560" spans="1:10" ht="14.25" customHeight="1" x14ac:dyDescent="0.3">
      <c r="A5560" s="1">
        <v>45180</v>
      </c>
      <c r="B5560" s="2" t="s">
        <v>781</v>
      </c>
      <c r="C5560" s="2" t="s">
        <v>21</v>
      </c>
      <c r="D5560" s="2" t="s">
        <v>28</v>
      </c>
      <c r="E5560" s="2" t="s">
        <v>34</v>
      </c>
      <c r="F5560" s="2">
        <v>3347.37</v>
      </c>
      <c r="G5560" s="2">
        <v>13</v>
      </c>
      <c r="H5560" s="2">
        <v>636</v>
      </c>
      <c r="I5560" t="str">
        <f t="shared" si="86"/>
        <v>Sep</v>
      </c>
      <c r="J5560">
        <f>YEAR(datas[[#This Row],[Order Date]])</f>
        <v>2023</v>
      </c>
    </row>
    <row r="5561" spans="1:10" ht="14.25" customHeight="1" x14ac:dyDescent="0.3">
      <c r="A5561" s="1">
        <v>45180</v>
      </c>
      <c r="B5561" s="2" t="s">
        <v>252</v>
      </c>
      <c r="C5561" s="2" t="s">
        <v>18</v>
      </c>
      <c r="D5561" s="2" t="s">
        <v>10</v>
      </c>
      <c r="E5561" s="2" t="s">
        <v>11</v>
      </c>
      <c r="F5561" s="2">
        <v>8.4499999999999993</v>
      </c>
      <c r="G5561" s="2">
        <v>2</v>
      </c>
      <c r="H5561" s="2">
        <v>2.64</v>
      </c>
      <c r="I5561" t="str">
        <f t="shared" si="86"/>
        <v>Sep</v>
      </c>
      <c r="J5561">
        <f>YEAR(datas[[#This Row],[Order Date]])</f>
        <v>2023</v>
      </c>
    </row>
    <row r="5562" spans="1:10" ht="14.25" customHeight="1" x14ac:dyDescent="0.3">
      <c r="A5562" s="1">
        <v>45180</v>
      </c>
      <c r="B5562" s="2" t="s">
        <v>252</v>
      </c>
      <c r="C5562" s="2" t="s">
        <v>18</v>
      </c>
      <c r="D5562" s="2" t="s">
        <v>28</v>
      </c>
      <c r="E5562" s="2" t="s">
        <v>29</v>
      </c>
      <c r="F5562" s="2">
        <v>728.95</v>
      </c>
      <c r="G5562" s="2">
        <v>9</v>
      </c>
      <c r="H5562" s="2">
        <v>-157.94</v>
      </c>
      <c r="I5562" t="str">
        <f t="shared" si="86"/>
        <v>Sep</v>
      </c>
      <c r="J5562">
        <f>YEAR(datas[[#This Row],[Order Date]])</f>
        <v>2023</v>
      </c>
    </row>
    <row r="5563" spans="1:10" ht="14.25" customHeight="1" x14ac:dyDescent="0.3">
      <c r="A5563" s="1">
        <v>45180</v>
      </c>
      <c r="B5563" s="2" t="s">
        <v>396</v>
      </c>
      <c r="C5563" s="2" t="s">
        <v>47</v>
      </c>
      <c r="D5563" s="2" t="s">
        <v>10</v>
      </c>
      <c r="E5563" s="2" t="s">
        <v>16</v>
      </c>
      <c r="F5563" s="2">
        <v>22.43</v>
      </c>
      <c r="G5563" s="2">
        <v>3</v>
      </c>
      <c r="H5563" s="2">
        <v>-17.940000000000001</v>
      </c>
      <c r="I5563" t="str">
        <f t="shared" si="86"/>
        <v>Sep</v>
      </c>
      <c r="J5563">
        <f>YEAR(datas[[#This Row],[Order Date]])</f>
        <v>2023</v>
      </c>
    </row>
    <row r="5564" spans="1:10" ht="14.25" customHeight="1" x14ac:dyDescent="0.3">
      <c r="A5564" s="1">
        <v>45180</v>
      </c>
      <c r="B5564" s="2" t="s">
        <v>396</v>
      </c>
      <c r="C5564" s="2" t="s">
        <v>47</v>
      </c>
      <c r="D5564" s="2" t="s">
        <v>10</v>
      </c>
      <c r="E5564" s="2" t="s">
        <v>15</v>
      </c>
      <c r="F5564" s="2">
        <v>37.520000000000003</v>
      </c>
      <c r="G5564" s="2">
        <v>5</v>
      </c>
      <c r="H5564" s="2">
        <v>3.75</v>
      </c>
      <c r="I5564" t="str">
        <f t="shared" si="86"/>
        <v>Sep</v>
      </c>
      <c r="J5564">
        <f>YEAR(datas[[#This Row],[Order Date]])</f>
        <v>2023</v>
      </c>
    </row>
    <row r="5565" spans="1:10" ht="14.25" customHeight="1" x14ac:dyDescent="0.3">
      <c r="A5565" s="1">
        <v>45180</v>
      </c>
      <c r="B5565" s="2" t="s">
        <v>524</v>
      </c>
      <c r="C5565" s="2" t="s">
        <v>36</v>
      </c>
      <c r="D5565" s="2" t="s">
        <v>28</v>
      </c>
      <c r="E5565" s="2" t="s">
        <v>243</v>
      </c>
      <c r="F5565" s="2">
        <v>1599.92</v>
      </c>
      <c r="G5565" s="2">
        <v>8</v>
      </c>
      <c r="H5565" s="2">
        <v>751.96</v>
      </c>
      <c r="I5565" t="str">
        <f t="shared" si="86"/>
        <v>Sep</v>
      </c>
      <c r="J5565">
        <f>YEAR(datas[[#This Row],[Order Date]])</f>
        <v>2023</v>
      </c>
    </row>
    <row r="5566" spans="1:10" ht="14.25" customHeight="1" x14ac:dyDescent="0.3">
      <c r="A5566" s="1">
        <v>45180</v>
      </c>
      <c r="B5566" s="2" t="s">
        <v>524</v>
      </c>
      <c r="C5566" s="2" t="s">
        <v>36</v>
      </c>
      <c r="D5566" s="2" t="s">
        <v>10</v>
      </c>
      <c r="E5566" s="2" t="s">
        <v>41</v>
      </c>
      <c r="F5566" s="2">
        <v>11.09</v>
      </c>
      <c r="G5566" s="2">
        <v>1</v>
      </c>
      <c r="H5566" s="2">
        <v>5.43</v>
      </c>
      <c r="I5566" t="str">
        <f t="shared" si="86"/>
        <v>Sep</v>
      </c>
      <c r="J5566">
        <f>YEAR(datas[[#This Row],[Order Date]])</f>
        <v>2023</v>
      </c>
    </row>
    <row r="5567" spans="1:10" ht="14.25" customHeight="1" x14ac:dyDescent="0.3">
      <c r="A5567" s="1">
        <v>45180</v>
      </c>
      <c r="B5567" s="2" t="s">
        <v>704</v>
      </c>
      <c r="C5567" s="2" t="s">
        <v>21</v>
      </c>
      <c r="D5567" s="2" t="s">
        <v>10</v>
      </c>
      <c r="E5567" s="2" t="s">
        <v>15</v>
      </c>
      <c r="F5567" s="2">
        <v>332.94</v>
      </c>
      <c r="G5567" s="2">
        <v>3</v>
      </c>
      <c r="H5567" s="2">
        <v>6.66</v>
      </c>
      <c r="I5567" t="str">
        <f t="shared" si="86"/>
        <v>Sep</v>
      </c>
      <c r="J5567">
        <f>YEAR(datas[[#This Row],[Order Date]])</f>
        <v>2023</v>
      </c>
    </row>
    <row r="5568" spans="1:10" ht="14.25" customHeight="1" x14ac:dyDescent="0.3">
      <c r="A5568" s="1">
        <v>45180</v>
      </c>
      <c r="B5568" s="2" t="s">
        <v>704</v>
      </c>
      <c r="C5568" s="2" t="s">
        <v>21</v>
      </c>
      <c r="D5568" s="2" t="s">
        <v>10</v>
      </c>
      <c r="E5568" s="2" t="s">
        <v>16</v>
      </c>
      <c r="F5568" s="2">
        <v>39.869999999999997</v>
      </c>
      <c r="G5568" s="2">
        <v>2</v>
      </c>
      <c r="H5568" s="2">
        <v>12.96</v>
      </c>
      <c r="I5568" t="str">
        <f t="shared" si="86"/>
        <v>Sep</v>
      </c>
      <c r="J5568">
        <f>YEAR(datas[[#This Row],[Order Date]])</f>
        <v>2023</v>
      </c>
    </row>
    <row r="5569" spans="1:10" ht="14.25" customHeight="1" x14ac:dyDescent="0.3">
      <c r="A5569" s="1">
        <v>45180</v>
      </c>
      <c r="B5569" s="2" t="s">
        <v>405</v>
      </c>
      <c r="C5569" s="2" t="s">
        <v>469</v>
      </c>
      <c r="D5569" s="2" t="s">
        <v>28</v>
      </c>
      <c r="E5569" s="2" t="s">
        <v>29</v>
      </c>
      <c r="F5569" s="2">
        <v>224.75</v>
      </c>
      <c r="G5569" s="2">
        <v>5</v>
      </c>
      <c r="H5569" s="2">
        <v>62.93</v>
      </c>
      <c r="I5569" t="str">
        <f t="shared" si="86"/>
        <v>Sep</v>
      </c>
      <c r="J5569">
        <f>YEAR(datas[[#This Row],[Order Date]])</f>
        <v>2023</v>
      </c>
    </row>
    <row r="5570" spans="1:10" ht="14.25" customHeight="1" x14ac:dyDescent="0.3">
      <c r="A5570" s="1">
        <v>45180</v>
      </c>
      <c r="B5570" s="2" t="s">
        <v>494</v>
      </c>
      <c r="C5570" s="2" t="s">
        <v>13</v>
      </c>
      <c r="D5570" s="2" t="s">
        <v>10</v>
      </c>
      <c r="E5570" s="2" t="s">
        <v>14</v>
      </c>
      <c r="F5570" s="2">
        <v>6</v>
      </c>
      <c r="G5570" s="2">
        <v>2</v>
      </c>
      <c r="H5570" s="2">
        <v>2.1</v>
      </c>
      <c r="I5570" t="str">
        <f t="shared" si="86"/>
        <v>Sep</v>
      </c>
      <c r="J5570">
        <f>YEAR(datas[[#This Row],[Order Date]])</f>
        <v>2023</v>
      </c>
    </row>
    <row r="5571" spans="1:10" ht="14.25" customHeight="1" x14ac:dyDescent="0.3">
      <c r="A5571" s="1">
        <v>45180</v>
      </c>
      <c r="B5571" s="2" t="s">
        <v>494</v>
      </c>
      <c r="C5571" s="2" t="s">
        <v>13</v>
      </c>
      <c r="D5571" s="2" t="s">
        <v>10</v>
      </c>
      <c r="E5571" s="2" t="s">
        <v>16</v>
      </c>
      <c r="F5571" s="2">
        <v>1.91</v>
      </c>
      <c r="G5571" s="2">
        <v>3</v>
      </c>
      <c r="H5571" s="2">
        <v>-3.24</v>
      </c>
      <c r="I5571" t="str">
        <f t="shared" ref="I5571:I5634" si="87">TEXT(A5571,"mmm")</f>
        <v>Sep</v>
      </c>
      <c r="J5571">
        <f>YEAR(datas[[#This Row],[Order Date]])</f>
        <v>2023</v>
      </c>
    </row>
    <row r="5572" spans="1:10" ht="14.25" customHeight="1" x14ac:dyDescent="0.3">
      <c r="A5572" s="1">
        <v>45180</v>
      </c>
      <c r="B5572" s="2" t="s">
        <v>100</v>
      </c>
      <c r="C5572" s="2" t="s">
        <v>55</v>
      </c>
      <c r="D5572" s="2" t="s">
        <v>10</v>
      </c>
      <c r="E5572" s="2" t="s">
        <v>19</v>
      </c>
      <c r="F5572" s="2">
        <v>2.91</v>
      </c>
      <c r="G5572" s="2">
        <v>2</v>
      </c>
      <c r="H5572" s="2">
        <v>0.91</v>
      </c>
      <c r="I5572" t="str">
        <f t="shared" si="87"/>
        <v>Sep</v>
      </c>
      <c r="J5572">
        <f>YEAR(datas[[#This Row],[Order Date]])</f>
        <v>2023</v>
      </c>
    </row>
    <row r="5573" spans="1:10" ht="14.25" customHeight="1" x14ac:dyDescent="0.3">
      <c r="A5573" s="1">
        <v>45180</v>
      </c>
      <c r="B5573" s="2" t="s">
        <v>100</v>
      </c>
      <c r="C5573" s="2" t="s">
        <v>55</v>
      </c>
      <c r="D5573" s="2" t="s">
        <v>10</v>
      </c>
      <c r="E5573" s="2" t="s">
        <v>11</v>
      </c>
      <c r="F5573" s="2">
        <v>20.74</v>
      </c>
      <c r="G5573" s="2">
        <v>4</v>
      </c>
      <c r="H5573" s="2">
        <v>7.26</v>
      </c>
      <c r="I5573" t="str">
        <f t="shared" si="87"/>
        <v>Sep</v>
      </c>
      <c r="J5573">
        <f>YEAR(datas[[#This Row],[Order Date]])</f>
        <v>2023</v>
      </c>
    </row>
    <row r="5574" spans="1:10" ht="14.25" customHeight="1" x14ac:dyDescent="0.3">
      <c r="A5574" s="1">
        <v>45180</v>
      </c>
      <c r="B5574" s="2" t="s">
        <v>100</v>
      </c>
      <c r="C5574" s="2" t="s">
        <v>55</v>
      </c>
      <c r="D5574" s="2" t="s">
        <v>10</v>
      </c>
      <c r="E5574" s="2" t="s">
        <v>11</v>
      </c>
      <c r="F5574" s="2">
        <v>9.57</v>
      </c>
      <c r="G5574" s="2">
        <v>2</v>
      </c>
      <c r="H5574" s="2">
        <v>2.99</v>
      </c>
      <c r="I5574" t="str">
        <f t="shared" si="87"/>
        <v>Sep</v>
      </c>
      <c r="J5574">
        <f>YEAR(datas[[#This Row],[Order Date]])</f>
        <v>2023</v>
      </c>
    </row>
    <row r="5575" spans="1:10" ht="14.25" customHeight="1" x14ac:dyDescent="0.3">
      <c r="A5575" s="1">
        <v>45180</v>
      </c>
      <c r="B5575" s="2" t="s">
        <v>431</v>
      </c>
      <c r="C5575" s="2" t="s">
        <v>9</v>
      </c>
      <c r="D5575" s="2" t="s">
        <v>10</v>
      </c>
      <c r="E5575" s="2" t="s">
        <v>41</v>
      </c>
      <c r="F5575" s="2">
        <v>99.57</v>
      </c>
      <c r="G5575" s="2">
        <v>2</v>
      </c>
      <c r="H5575" s="2">
        <v>33.6</v>
      </c>
      <c r="I5575" t="str">
        <f t="shared" si="87"/>
        <v>Sep</v>
      </c>
      <c r="J5575">
        <f>YEAR(datas[[#This Row],[Order Date]])</f>
        <v>2023</v>
      </c>
    </row>
    <row r="5576" spans="1:10" ht="14.25" customHeight="1" x14ac:dyDescent="0.3">
      <c r="A5576" s="1">
        <v>45181</v>
      </c>
      <c r="B5576" s="2" t="s">
        <v>696</v>
      </c>
      <c r="C5576" s="2" t="s">
        <v>126</v>
      </c>
      <c r="D5576" s="2" t="s">
        <v>26</v>
      </c>
      <c r="E5576" s="2" t="s">
        <v>32</v>
      </c>
      <c r="F5576" s="2">
        <v>15.14</v>
      </c>
      <c r="G5576" s="2">
        <v>4</v>
      </c>
      <c r="H5576" s="2">
        <v>3.59</v>
      </c>
      <c r="I5576" t="str">
        <f t="shared" si="87"/>
        <v>Sep</v>
      </c>
      <c r="J5576">
        <f>YEAR(datas[[#This Row],[Order Date]])</f>
        <v>2023</v>
      </c>
    </row>
    <row r="5577" spans="1:10" ht="14.25" customHeight="1" x14ac:dyDescent="0.3">
      <c r="A5577" s="1">
        <v>45181</v>
      </c>
      <c r="B5577" s="2" t="s">
        <v>696</v>
      </c>
      <c r="C5577" s="2" t="s">
        <v>126</v>
      </c>
      <c r="D5577" s="2" t="s">
        <v>26</v>
      </c>
      <c r="E5577" s="2" t="s">
        <v>27</v>
      </c>
      <c r="F5577" s="2">
        <v>466.77</v>
      </c>
      <c r="G5577" s="2">
        <v>2</v>
      </c>
      <c r="H5577" s="2">
        <v>52.51</v>
      </c>
      <c r="I5577" t="str">
        <f t="shared" si="87"/>
        <v>Sep</v>
      </c>
      <c r="J5577">
        <f>YEAR(datas[[#This Row],[Order Date]])</f>
        <v>2023</v>
      </c>
    </row>
    <row r="5578" spans="1:10" ht="14.25" customHeight="1" x14ac:dyDescent="0.3">
      <c r="A5578" s="1">
        <v>45181</v>
      </c>
      <c r="B5578" s="2" t="s">
        <v>696</v>
      </c>
      <c r="C5578" s="2" t="s">
        <v>126</v>
      </c>
      <c r="D5578" s="2" t="s">
        <v>26</v>
      </c>
      <c r="E5578" s="2" t="s">
        <v>32</v>
      </c>
      <c r="F5578" s="2">
        <v>15.23</v>
      </c>
      <c r="G5578" s="2">
        <v>1</v>
      </c>
      <c r="H5578" s="2">
        <v>1.71</v>
      </c>
      <c r="I5578" t="str">
        <f t="shared" si="87"/>
        <v>Sep</v>
      </c>
      <c r="J5578">
        <f>YEAR(datas[[#This Row],[Order Date]])</f>
        <v>2023</v>
      </c>
    </row>
    <row r="5579" spans="1:10" ht="14.25" customHeight="1" x14ac:dyDescent="0.3">
      <c r="A5579" s="1">
        <v>45181</v>
      </c>
      <c r="B5579" s="2" t="s">
        <v>696</v>
      </c>
      <c r="C5579" s="2" t="s">
        <v>126</v>
      </c>
      <c r="D5579" s="2" t="s">
        <v>10</v>
      </c>
      <c r="E5579" s="2" t="s">
        <v>14</v>
      </c>
      <c r="F5579" s="2">
        <v>6.26</v>
      </c>
      <c r="G5579" s="2">
        <v>3</v>
      </c>
      <c r="H5579" s="2">
        <v>2.04</v>
      </c>
      <c r="I5579" t="str">
        <f t="shared" si="87"/>
        <v>Sep</v>
      </c>
      <c r="J5579">
        <f>YEAR(datas[[#This Row],[Order Date]])</f>
        <v>2023</v>
      </c>
    </row>
    <row r="5580" spans="1:10" ht="14.25" customHeight="1" x14ac:dyDescent="0.3">
      <c r="A5580" s="1">
        <v>45181</v>
      </c>
      <c r="B5580" s="2" t="s">
        <v>654</v>
      </c>
      <c r="C5580" s="2" t="s">
        <v>82</v>
      </c>
      <c r="D5580" s="2" t="s">
        <v>10</v>
      </c>
      <c r="E5580" s="2" t="s">
        <v>30</v>
      </c>
      <c r="F5580" s="2">
        <v>10.47</v>
      </c>
      <c r="G5580" s="2">
        <v>3</v>
      </c>
      <c r="H5580" s="2">
        <v>4.82</v>
      </c>
      <c r="I5580" t="str">
        <f t="shared" si="87"/>
        <v>Sep</v>
      </c>
      <c r="J5580">
        <f>YEAR(datas[[#This Row],[Order Date]])</f>
        <v>2023</v>
      </c>
    </row>
    <row r="5581" spans="1:10" ht="14.25" customHeight="1" x14ac:dyDescent="0.3">
      <c r="A5581" s="1">
        <v>45181</v>
      </c>
      <c r="B5581" s="2" t="s">
        <v>654</v>
      </c>
      <c r="C5581" s="2" t="s">
        <v>82</v>
      </c>
      <c r="D5581" s="2" t="s">
        <v>10</v>
      </c>
      <c r="E5581" s="2" t="s">
        <v>14</v>
      </c>
      <c r="F5581" s="2">
        <v>11.07</v>
      </c>
      <c r="G5581" s="2">
        <v>3</v>
      </c>
      <c r="H5581" s="2">
        <v>5.2</v>
      </c>
      <c r="I5581" t="str">
        <f t="shared" si="87"/>
        <v>Sep</v>
      </c>
      <c r="J5581">
        <f>YEAR(datas[[#This Row],[Order Date]])</f>
        <v>2023</v>
      </c>
    </row>
    <row r="5582" spans="1:10" ht="14.25" customHeight="1" x14ac:dyDescent="0.3">
      <c r="A5582" s="1">
        <v>45181</v>
      </c>
      <c r="B5582" s="2" t="s">
        <v>654</v>
      </c>
      <c r="C5582" s="2" t="s">
        <v>82</v>
      </c>
      <c r="D5582" s="2" t="s">
        <v>10</v>
      </c>
      <c r="E5582" s="2" t="s">
        <v>16</v>
      </c>
      <c r="F5582" s="2">
        <v>20.7</v>
      </c>
      <c r="G5582" s="2">
        <v>4</v>
      </c>
      <c r="H5582" s="2">
        <v>7.76</v>
      </c>
      <c r="I5582" t="str">
        <f t="shared" si="87"/>
        <v>Sep</v>
      </c>
      <c r="J5582">
        <f>YEAR(datas[[#This Row],[Order Date]])</f>
        <v>2023</v>
      </c>
    </row>
    <row r="5583" spans="1:10" ht="14.25" customHeight="1" x14ac:dyDescent="0.3">
      <c r="A5583" s="1">
        <v>45181</v>
      </c>
      <c r="B5583" s="2" t="s">
        <v>268</v>
      </c>
      <c r="C5583" s="2" t="s">
        <v>36</v>
      </c>
      <c r="D5583" s="2" t="s">
        <v>28</v>
      </c>
      <c r="E5583" s="2" t="s">
        <v>34</v>
      </c>
      <c r="F5583" s="2">
        <v>20.7</v>
      </c>
      <c r="G5583" s="2">
        <v>3</v>
      </c>
      <c r="H5583" s="2">
        <v>1.66</v>
      </c>
      <c r="I5583" t="str">
        <f t="shared" si="87"/>
        <v>Sep</v>
      </c>
      <c r="J5583">
        <f>YEAR(datas[[#This Row],[Order Date]])</f>
        <v>2023</v>
      </c>
    </row>
    <row r="5584" spans="1:10" ht="14.25" customHeight="1" x14ac:dyDescent="0.3">
      <c r="A5584" s="1">
        <v>45181</v>
      </c>
      <c r="B5584" s="2" t="s">
        <v>268</v>
      </c>
      <c r="C5584" s="2" t="s">
        <v>36</v>
      </c>
      <c r="D5584" s="2" t="s">
        <v>10</v>
      </c>
      <c r="E5584" s="2" t="s">
        <v>30</v>
      </c>
      <c r="F5584" s="2">
        <v>11.34</v>
      </c>
      <c r="G5584" s="2">
        <v>3</v>
      </c>
      <c r="H5584" s="2">
        <v>5.22</v>
      </c>
      <c r="I5584" t="str">
        <f t="shared" si="87"/>
        <v>Sep</v>
      </c>
      <c r="J5584">
        <f>YEAR(datas[[#This Row],[Order Date]])</f>
        <v>2023</v>
      </c>
    </row>
    <row r="5585" spans="1:10" ht="14.25" customHeight="1" x14ac:dyDescent="0.3">
      <c r="A5585" s="1">
        <v>45181</v>
      </c>
      <c r="B5585" s="2" t="s">
        <v>268</v>
      </c>
      <c r="C5585" s="2" t="s">
        <v>36</v>
      </c>
      <c r="D5585" s="2" t="s">
        <v>10</v>
      </c>
      <c r="E5585" s="2" t="s">
        <v>15</v>
      </c>
      <c r="F5585" s="2">
        <v>67.900000000000006</v>
      </c>
      <c r="G5585" s="2">
        <v>5</v>
      </c>
      <c r="H5585" s="2">
        <v>0.68</v>
      </c>
      <c r="I5585" t="str">
        <f t="shared" si="87"/>
        <v>Sep</v>
      </c>
      <c r="J5585">
        <f>YEAR(datas[[#This Row],[Order Date]])</f>
        <v>2023</v>
      </c>
    </row>
    <row r="5586" spans="1:10" ht="14.25" customHeight="1" x14ac:dyDescent="0.3">
      <c r="A5586" s="1">
        <v>45181</v>
      </c>
      <c r="B5586" s="2" t="s">
        <v>268</v>
      </c>
      <c r="C5586" s="2" t="s">
        <v>36</v>
      </c>
      <c r="D5586" s="2" t="s">
        <v>26</v>
      </c>
      <c r="E5586" s="2" t="s">
        <v>27</v>
      </c>
      <c r="F5586" s="2">
        <v>1059.1199999999999</v>
      </c>
      <c r="G5586" s="2">
        <v>4</v>
      </c>
      <c r="H5586" s="2">
        <v>307.14</v>
      </c>
      <c r="I5586" t="str">
        <f t="shared" si="87"/>
        <v>Sep</v>
      </c>
      <c r="J5586">
        <f>YEAR(datas[[#This Row],[Order Date]])</f>
        <v>2023</v>
      </c>
    </row>
    <row r="5587" spans="1:10" ht="14.25" customHeight="1" x14ac:dyDescent="0.3">
      <c r="A5587" s="1">
        <v>45181</v>
      </c>
      <c r="B5587" s="2" t="s">
        <v>643</v>
      </c>
      <c r="C5587" s="2" t="s">
        <v>60</v>
      </c>
      <c r="D5587" s="2" t="s">
        <v>10</v>
      </c>
      <c r="E5587" s="2" t="s">
        <v>11</v>
      </c>
      <c r="F5587" s="2">
        <v>68.52</v>
      </c>
      <c r="G5587" s="2">
        <v>3</v>
      </c>
      <c r="H5587" s="2">
        <v>31.52</v>
      </c>
      <c r="I5587" t="str">
        <f t="shared" si="87"/>
        <v>Sep</v>
      </c>
      <c r="J5587">
        <f>YEAR(datas[[#This Row],[Order Date]])</f>
        <v>2023</v>
      </c>
    </row>
    <row r="5588" spans="1:10" ht="14.25" customHeight="1" x14ac:dyDescent="0.3">
      <c r="A5588" s="1">
        <v>45181</v>
      </c>
      <c r="B5588" s="2" t="s">
        <v>748</v>
      </c>
      <c r="C5588" s="2" t="s">
        <v>126</v>
      </c>
      <c r="D5588" s="2" t="s">
        <v>28</v>
      </c>
      <c r="E5588" s="2" t="s">
        <v>29</v>
      </c>
      <c r="F5588" s="2">
        <v>146.94999999999999</v>
      </c>
      <c r="G5588" s="2">
        <v>3</v>
      </c>
      <c r="H5588" s="2">
        <v>9.18</v>
      </c>
      <c r="I5588" t="str">
        <f t="shared" si="87"/>
        <v>Sep</v>
      </c>
      <c r="J5588">
        <f>YEAR(datas[[#This Row],[Order Date]])</f>
        <v>2023</v>
      </c>
    </row>
    <row r="5589" spans="1:10" ht="14.25" customHeight="1" x14ac:dyDescent="0.3">
      <c r="A5589" s="1">
        <v>45181</v>
      </c>
      <c r="B5589" s="2" t="s">
        <v>748</v>
      </c>
      <c r="C5589" s="2" t="s">
        <v>126</v>
      </c>
      <c r="D5589" s="2" t="s">
        <v>26</v>
      </c>
      <c r="E5589" s="2" t="s">
        <v>27</v>
      </c>
      <c r="F5589" s="2">
        <v>83.14</v>
      </c>
      <c r="G5589" s="2">
        <v>4</v>
      </c>
      <c r="H5589" s="2">
        <v>5.2</v>
      </c>
      <c r="I5589" t="str">
        <f t="shared" si="87"/>
        <v>Sep</v>
      </c>
      <c r="J5589">
        <f>YEAR(datas[[#This Row],[Order Date]])</f>
        <v>2023</v>
      </c>
    </row>
    <row r="5590" spans="1:10" ht="14.25" customHeight="1" x14ac:dyDescent="0.3">
      <c r="A5590" s="1">
        <v>45181</v>
      </c>
      <c r="B5590" s="2" t="s">
        <v>279</v>
      </c>
      <c r="C5590" s="2" t="s">
        <v>75</v>
      </c>
      <c r="D5590" s="2" t="s">
        <v>26</v>
      </c>
      <c r="E5590" s="2" t="s">
        <v>32</v>
      </c>
      <c r="F5590" s="2">
        <v>40.479999999999997</v>
      </c>
      <c r="G5590" s="2">
        <v>2</v>
      </c>
      <c r="H5590" s="2">
        <v>14.57</v>
      </c>
      <c r="I5590" t="str">
        <f t="shared" si="87"/>
        <v>Sep</v>
      </c>
      <c r="J5590">
        <f>YEAR(datas[[#This Row],[Order Date]])</f>
        <v>2023</v>
      </c>
    </row>
    <row r="5591" spans="1:10" ht="14.25" customHeight="1" x14ac:dyDescent="0.3">
      <c r="A5591" s="1">
        <v>45182</v>
      </c>
      <c r="B5591" s="2" t="s">
        <v>265</v>
      </c>
      <c r="C5591" s="2" t="s">
        <v>381</v>
      </c>
      <c r="D5591" s="2" t="s">
        <v>10</v>
      </c>
      <c r="E5591" s="2" t="s">
        <v>15</v>
      </c>
      <c r="F5591" s="2">
        <v>40.74</v>
      </c>
      <c r="G5591" s="2">
        <v>3</v>
      </c>
      <c r="H5591" s="2">
        <v>0.41</v>
      </c>
      <c r="I5591" t="str">
        <f t="shared" si="87"/>
        <v>Sep</v>
      </c>
      <c r="J5591">
        <f>YEAR(datas[[#This Row],[Order Date]])</f>
        <v>2023</v>
      </c>
    </row>
    <row r="5592" spans="1:10" ht="14.25" customHeight="1" x14ac:dyDescent="0.3">
      <c r="A5592" s="1">
        <v>45182</v>
      </c>
      <c r="B5592" s="2" t="s">
        <v>265</v>
      </c>
      <c r="C5592" s="2" t="s">
        <v>381</v>
      </c>
      <c r="D5592" s="2" t="s">
        <v>10</v>
      </c>
      <c r="E5592" s="2" t="s">
        <v>14</v>
      </c>
      <c r="F5592" s="2">
        <v>14.4</v>
      </c>
      <c r="G5592" s="2">
        <v>5</v>
      </c>
      <c r="H5592" s="2">
        <v>7.06</v>
      </c>
      <c r="I5592" t="str">
        <f t="shared" si="87"/>
        <v>Sep</v>
      </c>
      <c r="J5592">
        <f>YEAR(datas[[#This Row],[Order Date]])</f>
        <v>2023</v>
      </c>
    </row>
    <row r="5593" spans="1:10" ht="14.25" customHeight="1" x14ac:dyDescent="0.3">
      <c r="A5593" s="1">
        <v>45182</v>
      </c>
      <c r="B5593" s="2" t="s">
        <v>265</v>
      </c>
      <c r="C5593" s="2" t="s">
        <v>381</v>
      </c>
      <c r="D5593" s="2" t="s">
        <v>28</v>
      </c>
      <c r="E5593" s="2" t="s">
        <v>29</v>
      </c>
      <c r="F5593" s="2">
        <v>149.94999999999999</v>
      </c>
      <c r="G5593" s="2">
        <v>5</v>
      </c>
      <c r="H5593" s="2">
        <v>41.99</v>
      </c>
      <c r="I5593" t="str">
        <f t="shared" si="87"/>
        <v>Sep</v>
      </c>
      <c r="J5593">
        <f>YEAR(datas[[#This Row],[Order Date]])</f>
        <v>2023</v>
      </c>
    </row>
    <row r="5594" spans="1:10" ht="14.25" customHeight="1" x14ac:dyDescent="0.3">
      <c r="A5594" s="1">
        <v>45182</v>
      </c>
      <c r="B5594" s="2" t="s">
        <v>265</v>
      </c>
      <c r="C5594" s="2" t="s">
        <v>381</v>
      </c>
      <c r="D5594" s="2" t="s">
        <v>10</v>
      </c>
      <c r="E5594" s="2" t="s">
        <v>95</v>
      </c>
      <c r="F5594" s="2">
        <v>16.899999999999999</v>
      </c>
      <c r="G5594" s="2">
        <v>2</v>
      </c>
      <c r="H5594" s="2">
        <v>5.07</v>
      </c>
      <c r="I5594" t="str">
        <f t="shared" si="87"/>
        <v>Sep</v>
      </c>
      <c r="J5594">
        <f>YEAR(datas[[#This Row],[Order Date]])</f>
        <v>2023</v>
      </c>
    </row>
    <row r="5595" spans="1:10" ht="14.25" customHeight="1" x14ac:dyDescent="0.3">
      <c r="A5595" s="1">
        <v>45182</v>
      </c>
      <c r="B5595" s="2" t="s">
        <v>265</v>
      </c>
      <c r="C5595" s="2" t="s">
        <v>381</v>
      </c>
      <c r="D5595" s="2" t="s">
        <v>10</v>
      </c>
      <c r="E5595" s="2" t="s">
        <v>11</v>
      </c>
      <c r="F5595" s="2">
        <v>17.61</v>
      </c>
      <c r="G5595" s="2">
        <v>3</v>
      </c>
      <c r="H5595" s="2">
        <v>8.4499999999999993</v>
      </c>
      <c r="I5595" t="str">
        <f t="shared" si="87"/>
        <v>Sep</v>
      </c>
      <c r="J5595">
        <f>YEAR(datas[[#This Row],[Order Date]])</f>
        <v>2023</v>
      </c>
    </row>
    <row r="5596" spans="1:10" ht="14.25" customHeight="1" x14ac:dyDescent="0.3">
      <c r="A5596" s="1">
        <v>45182</v>
      </c>
      <c r="B5596" s="2" t="s">
        <v>265</v>
      </c>
      <c r="C5596" s="2" t="s">
        <v>381</v>
      </c>
      <c r="D5596" s="2" t="s">
        <v>10</v>
      </c>
      <c r="E5596" s="2" t="s">
        <v>53</v>
      </c>
      <c r="F5596" s="2">
        <v>378</v>
      </c>
      <c r="G5596" s="2">
        <v>2</v>
      </c>
      <c r="H5596" s="2">
        <v>136.08000000000001</v>
      </c>
      <c r="I5596" t="str">
        <f t="shared" si="87"/>
        <v>Sep</v>
      </c>
      <c r="J5596">
        <f>YEAR(datas[[#This Row],[Order Date]])</f>
        <v>2023</v>
      </c>
    </row>
    <row r="5597" spans="1:10" ht="14.25" customHeight="1" x14ac:dyDescent="0.3">
      <c r="A5597" s="1">
        <v>45182</v>
      </c>
      <c r="B5597" s="2" t="s">
        <v>265</v>
      </c>
      <c r="C5597" s="2" t="s">
        <v>381</v>
      </c>
      <c r="D5597" s="2" t="s">
        <v>10</v>
      </c>
      <c r="E5597" s="2" t="s">
        <v>11</v>
      </c>
      <c r="F5597" s="2">
        <v>17.64</v>
      </c>
      <c r="G5597" s="2">
        <v>3</v>
      </c>
      <c r="H5597" s="2">
        <v>8.64</v>
      </c>
      <c r="I5597" t="str">
        <f t="shared" si="87"/>
        <v>Sep</v>
      </c>
      <c r="J5597">
        <f>YEAR(datas[[#This Row],[Order Date]])</f>
        <v>2023</v>
      </c>
    </row>
    <row r="5598" spans="1:10" ht="14.25" customHeight="1" x14ac:dyDescent="0.3">
      <c r="A5598" s="1">
        <v>45182</v>
      </c>
      <c r="B5598" s="2" t="s">
        <v>265</v>
      </c>
      <c r="C5598" s="2" t="s">
        <v>381</v>
      </c>
      <c r="D5598" s="2" t="s">
        <v>10</v>
      </c>
      <c r="E5598" s="2" t="s">
        <v>15</v>
      </c>
      <c r="F5598" s="2">
        <v>373.08</v>
      </c>
      <c r="G5598" s="2">
        <v>6</v>
      </c>
      <c r="H5598" s="2">
        <v>100.73</v>
      </c>
      <c r="I5598" t="str">
        <f t="shared" si="87"/>
        <v>Sep</v>
      </c>
      <c r="J5598">
        <f>YEAR(datas[[#This Row],[Order Date]])</f>
        <v>2023</v>
      </c>
    </row>
    <row r="5599" spans="1:10" ht="14.25" customHeight="1" x14ac:dyDescent="0.3">
      <c r="A5599" s="1">
        <v>45182</v>
      </c>
      <c r="B5599" s="2" t="s">
        <v>265</v>
      </c>
      <c r="C5599" s="2" t="s">
        <v>381</v>
      </c>
      <c r="D5599" s="2" t="s">
        <v>26</v>
      </c>
      <c r="E5599" s="2" t="s">
        <v>32</v>
      </c>
      <c r="F5599" s="2">
        <v>1336.44</v>
      </c>
      <c r="G5599" s="2">
        <v>14</v>
      </c>
      <c r="H5599" s="2">
        <v>387.57</v>
      </c>
      <c r="I5599" t="str">
        <f t="shared" si="87"/>
        <v>Sep</v>
      </c>
      <c r="J5599">
        <f>YEAR(datas[[#This Row],[Order Date]])</f>
        <v>2023</v>
      </c>
    </row>
    <row r="5600" spans="1:10" ht="14.25" customHeight="1" x14ac:dyDescent="0.3">
      <c r="A5600" s="1">
        <v>45182</v>
      </c>
      <c r="B5600" s="2" t="s">
        <v>265</v>
      </c>
      <c r="C5600" s="2" t="s">
        <v>381</v>
      </c>
      <c r="D5600" s="2" t="s">
        <v>28</v>
      </c>
      <c r="E5600" s="2" t="s">
        <v>29</v>
      </c>
      <c r="F5600" s="2">
        <v>29.97</v>
      </c>
      <c r="G5600" s="2">
        <v>3</v>
      </c>
      <c r="H5600" s="2">
        <v>0.3</v>
      </c>
      <c r="I5600" t="str">
        <f t="shared" si="87"/>
        <v>Sep</v>
      </c>
      <c r="J5600">
        <f>YEAR(datas[[#This Row],[Order Date]])</f>
        <v>2023</v>
      </c>
    </row>
    <row r="5601" spans="1:10" ht="14.25" customHeight="1" x14ac:dyDescent="0.3">
      <c r="A5601" s="1">
        <v>45183</v>
      </c>
      <c r="B5601" s="2" t="s">
        <v>745</v>
      </c>
      <c r="C5601" s="2" t="s">
        <v>43</v>
      </c>
      <c r="D5601" s="2" t="s">
        <v>10</v>
      </c>
      <c r="E5601" s="2" t="s">
        <v>11</v>
      </c>
      <c r="F5601" s="2">
        <v>25.92</v>
      </c>
      <c r="G5601" s="2">
        <v>4</v>
      </c>
      <c r="H5601" s="2">
        <v>12.44</v>
      </c>
      <c r="I5601" t="str">
        <f t="shared" si="87"/>
        <v>Sep</v>
      </c>
      <c r="J5601">
        <f>YEAR(datas[[#This Row],[Order Date]])</f>
        <v>2023</v>
      </c>
    </row>
    <row r="5602" spans="1:10" ht="14.25" customHeight="1" x14ac:dyDescent="0.3">
      <c r="A5602" s="1">
        <v>45183</v>
      </c>
      <c r="B5602" s="2" t="s">
        <v>120</v>
      </c>
      <c r="C5602" s="2" t="s">
        <v>75</v>
      </c>
      <c r="D5602" s="2" t="s">
        <v>28</v>
      </c>
      <c r="E5602" s="2" t="s">
        <v>29</v>
      </c>
      <c r="F5602" s="2">
        <v>437.85</v>
      </c>
      <c r="G5602" s="2">
        <v>3</v>
      </c>
      <c r="H5602" s="2">
        <v>131.36000000000001</v>
      </c>
      <c r="I5602" t="str">
        <f t="shared" si="87"/>
        <v>Sep</v>
      </c>
      <c r="J5602">
        <f>YEAR(datas[[#This Row],[Order Date]])</f>
        <v>2023</v>
      </c>
    </row>
    <row r="5603" spans="1:10" ht="14.25" customHeight="1" x14ac:dyDescent="0.3">
      <c r="A5603" s="1">
        <v>45183</v>
      </c>
      <c r="B5603" s="2" t="s">
        <v>120</v>
      </c>
      <c r="C5603" s="2" t="s">
        <v>75</v>
      </c>
      <c r="D5603" s="2" t="s">
        <v>10</v>
      </c>
      <c r="E5603" s="2" t="s">
        <v>16</v>
      </c>
      <c r="F5603" s="2">
        <v>673.57</v>
      </c>
      <c r="G5603" s="2">
        <v>2</v>
      </c>
      <c r="H5603" s="2">
        <v>252.59</v>
      </c>
      <c r="I5603" t="str">
        <f t="shared" si="87"/>
        <v>Sep</v>
      </c>
      <c r="J5603">
        <f>YEAR(datas[[#This Row],[Order Date]])</f>
        <v>2023</v>
      </c>
    </row>
    <row r="5604" spans="1:10" ht="14.25" customHeight="1" x14ac:dyDescent="0.3">
      <c r="A5604" s="1">
        <v>45184</v>
      </c>
      <c r="B5604" s="2" t="s">
        <v>694</v>
      </c>
      <c r="C5604" s="2" t="s">
        <v>18</v>
      </c>
      <c r="D5604" s="2" t="s">
        <v>10</v>
      </c>
      <c r="E5604" s="2" t="s">
        <v>11</v>
      </c>
      <c r="F5604" s="2">
        <v>5.34</v>
      </c>
      <c r="G5604" s="2">
        <v>1</v>
      </c>
      <c r="H5604" s="2">
        <v>1.87</v>
      </c>
      <c r="I5604" t="str">
        <f t="shared" si="87"/>
        <v>Sep</v>
      </c>
      <c r="J5604">
        <f>YEAR(datas[[#This Row],[Order Date]])</f>
        <v>2023</v>
      </c>
    </row>
    <row r="5605" spans="1:10" ht="14.25" customHeight="1" x14ac:dyDescent="0.3">
      <c r="A5605" s="1">
        <v>45184</v>
      </c>
      <c r="B5605" s="2" t="s">
        <v>584</v>
      </c>
      <c r="C5605" s="2" t="s">
        <v>75</v>
      </c>
      <c r="D5605" s="2" t="s">
        <v>10</v>
      </c>
      <c r="E5605" s="2" t="s">
        <v>16</v>
      </c>
      <c r="F5605" s="2">
        <v>841.57</v>
      </c>
      <c r="G5605" s="2">
        <v>2</v>
      </c>
      <c r="H5605" s="2">
        <v>294.55</v>
      </c>
      <c r="I5605" t="str">
        <f t="shared" si="87"/>
        <v>Sep</v>
      </c>
      <c r="J5605">
        <f>YEAR(datas[[#This Row],[Order Date]])</f>
        <v>2023</v>
      </c>
    </row>
    <row r="5606" spans="1:10" ht="14.25" customHeight="1" x14ac:dyDescent="0.3">
      <c r="A5606" s="1">
        <v>45184</v>
      </c>
      <c r="B5606" s="2" t="s">
        <v>825</v>
      </c>
      <c r="C5606" s="2" t="s">
        <v>82</v>
      </c>
      <c r="D5606" s="2" t="s">
        <v>10</v>
      </c>
      <c r="E5606" s="2" t="s">
        <v>11</v>
      </c>
      <c r="F5606" s="2">
        <v>21.4</v>
      </c>
      <c r="G5606" s="2">
        <v>5</v>
      </c>
      <c r="H5606" s="2">
        <v>10.06</v>
      </c>
      <c r="I5606" t="str">
        <f t="shared" si="87"/>
        <v>Sep</v>
      </c>
      <c r="J5606">
        <f>YEAR(datas[[#This Row],[Order Date]])</f>
        <v>2023</v>
      </c>
    </row>
    <row r="5607" spans="1:10" ht="14.25" customHeight="1" x14ac:dyDescent="0.3">
      <c r="A5607" s="1">
        <v>45184</v>
      </c>
      <c r="B5607" s="2" t="s">
        <v>825</v>
      </c>
      <c r="C5607" s="2" t="s">
        <v>82</v>
      </c>
      <c r="D5607" s="2" t="s">
        <v>10</v>
      </c>
      <c r="E5607" s="2" t="s">
        <v>16</v>
      </c>
      <c r="F5607" s="2">
        <v>48.66</v>
      </c>
      <c r="G5607" s="2">
        <v>7</v>
      </c>
      <c r="H5607" s="2">
        <v>15.82</v>
      </c>
      <c r="I5607" t="str">
        <f t="shared" si="87"/>
        <v>Sep</v>
      </c>
      <c r="J5607">
        <f>YEAR(datas[[#This Row],[Order Date]])</f>
        <v>2023</v>
      </c>
    </row>
    <row r="5608" spans="1:10" ht="14.25" customHeight="1" x14ac:dyDescent="0.3">
      <c r="A5608" s="1">
        <v>45184</v>
      </c>
      <c r="B5608" s="2" t="s">
        <v>586</v>
      </c>
      <c r="C5608" s="2" t="s">
        <v>207</v>
      </c>
      <c r="D5608" s="2" t="s">
        <v>10</v>
      </c>
      <c r="E5608" s="2" t="s">
        <v>16</v>
      </c>
      <c r="F5608" s="2">
        <v>20.420000000000002</v>
      </c>
      <c r="G5608" s="2">
        <v>4</v>
      </c>
      <c r="H5608" s="2">
        <v>6.64</v>
      </c>
      <c r="I5608" t="str">
        <f t="shared" si="87"/>
        <v>Sep</v>
      </c>
      <c r="J5608">
        <f>YEAR(datas[[#This Row],[Order Date]])</f>
        <v>2023</v>
      </c>
    </row>
    <row r="5609" spans="1:10" ht="14.25" customHeight="1" x14ac:dyDescent="0.3">
      <c r="A5609" s="1">
        <v>45184</v>
      </c>
      <c r="B5609" s="2" t="s">
        <v>586</v>
      </c>
      <c r="C5609" s="2" t="s">
        <v>207</v>
      </c>
      <c r="D5609" s="2" t="s">
        <v>26</v>
      </c>
      <c r="E5609" s="2" t="s">
        <v>73</v>
      </c>
      <c r="F5609" s="2">
        <v>1128.3900000000001</v>
      </c>
      <c r="G5609" s="2">
        <v>3</v>
      </c>
      <c r="H5609" s="2">
        <v>259.52999999999997</v>
      </c>
      <c r="I5609" t="str">
        <f t="shared" si="87"/>
        <v>Sep</v>
      </c>
      <c r="J5609">
        <f>YEAR(datas[[#This Row],[Order Date]])</f>
        <v>2023</v>
      </c>
    </row>
    <row r="5610" spans="1:10" ht="14.25" customHeight="1" x14ac:dyDescent="0.3">
      <c r="A5610" s="1">
        <v>45184</v>
      </c>
      <c r="B5610" s="2" t="s">
        <v>546</v>
      </c>
      <c r="C5610" s="2" t="s">
        <v>82</v>
      </c>
      <c r="D5610" s="2" t="s">
        <v>10</v>
      </c>
      <c r="E5610" s="2" t="s">
        <v>19</v>
      </c>
      <c r="F5610" s="2">
        <v>35.4</v>
      </c>
      <c r="G5610" s="2">
        <v>5</v>
      </c>
      <c r="H5610" s="2">
        <v>13.45</v>
      </c>
      <c r="I5610" t="str">
        <f t="shared" si="87"/>
        <v>Sep</v>
      </c>
      <c r="J5610">
        <f>YEAR(datas[[#This Row],[Order Date]])</f>
        <v>2023</v>
      </c>
    </row>
    <row r="5611" spans="1:10" ht="14.25" customHeight="1" x14ac:dyDescent="0.3">
      <c r="A5611" s="1">
        <v>45185</v>
      </c>
      <c r="B5611" s="2" t="s">
        <v>356</v>
      </c>
      <c r="C5611" s="2" t="s">
        <v>21</v>
      </c>
      <c r="D5611" s="2" t="s">
        <v>10</v>
      </c>
      <c r="E5611" s="2" t="s">
        <v>11</v>
      </c>
      <c r="F5611" s="2">
        <v>12.96</v>
      </c>
      <c r="G5611" s="2">
        <v>2</v>
      </c>
      <c r="H5611" s="2">
        <v>6.35</v>
      </c>
      <c r="I5611" t="str">
        <f t="shared" si="87"/>
        <v>Sep</v>
      </c>
      <c r="J5611">
        <f>YEAR(datas[[#This Row],[Order Date]])</f>
        <v>2023</v>
      </c>
    </row>
    <row r="5612" spans="1:10" ht="14.25" customHeight="1" x14ac:dyDescent="0.3">
      <c r="A5612" s="1">
        <v>45185</v>
      </c>
      <c r="B5612" s="2" t="s">
        <v>506</v>
      </c>
      <c r="C5612" s="2" t="s">
        <v>21</v>
      </c>
      <c r="D5612" s="2" t="s">
        <v>26</v>
      </c>
      <c r="E5612" s="2" t="s">
        <v>45</v>
      </c>
      <c r="F5612" s="2">
        <v>273.67</v>
      </c>
      <c r="G5612" s="2">
        <v>2</v>
      </c>
      <c r="H5612" s="2">
        <v>-12.88</v>
      </c>
      <c r="I5612" t="str">
        <f t="shared" si="87"/>
        <v>Sep</v>
      </c>
      <c r="J5612">
        <f>YEAR(datas[[#This Row],[Order Date]])</f>
        <v>2023</v>
      </c>
    </row>
    <row r="5613" spans="1:10" ht="14.25" customHeight="1" x14ac:dyDescent="0.3">
      <c r="A5613" s="1">
        <v>45185</v>
      </c>
      <c r="B5613" s="2" t="s">
        <v>506</v>
      </c>
      <c r="C5613" s="2" t="s">
        <v>21</v>
      </c>
      <c r="D5613" s="2" t="s">
        <v>10</v>
      </c>
      <c r="E5613" s="2" t="s">
        <v>53</v>
      </c>
      <c r="F5613" s="2">
        <v>17.48</v>
      </c>
      <c r="G5613" s="2">
        <v>4</v>
      </c>
      <c r="H5613" s="2">
        <v>4.54</v>
      </c>
      <c r="I5613" t="str">
        <f t="shared" si="87"/>
        <v>Sep</v>
      </c>
      <c r="J5613">
        <f>YEAR(datas[[#This Row],[Order Date]])</f>
        <v>2023</v>
      </c>
    </row>
    <row r="5614" spans="1:10" ht="14.25" customHeight="1" x14ac:dyDescent="0.3">
      <c r="A5614" s="1">
        <v>45185</v>
      </c>
      <c r="B5614" s="2" t="s">
        <v>301</v>
      </c>
      <c r="C5614" s="2" t="s">
        <v>23</v>
      </c>
      <c r="D5614" s="2" t="s">
        <v>26</v>
      </c>
      <c r="E5614" s="2" t="s">
        <v>27</v>
      </c>
      <c r="F5614" s="2">
        <v>121.78</v>
      </c>
      <c r="G5614" s="2">
        <v>2</v>
      </c>
      <c r="H5614" s="2">
        <v>30.45</v>
      </c>
      <c r="I5614" t="str">
        <f t="shared" si="87"/>
        <v>Sep</v>
      </c>
      <c r="J5614">
        <f>YEAR(datas[[#This Row],[Order Date]])</f>
        <v>2023</v>
      </c>
    </row>
    <row r="5615" spans="1:10" ht="14.25" customHeight="1" x14ac:dyDescent="0.3">
      <c r="A5615" s="1">
        <v>45186</v>
      </c>
      <c r="B5615" s="2" t="s">
        <v>837</v>
      </c>
      <c r="C5615" s="2" t="s">
        <v>21</v>
      </c>
      <c r="D5615" s="2" t="s">
        <v>10</v>
      </c>
      <c r="E5615" s="2" t="s">
        <v>19</v>
      </c>
      <c r="F5615" s="2">
        <v>20.100000000000001</v>
      </c>
      <c r="G5615" s="2">
        <v>3</v>
      </c>
      <c r="H5615" s="2">
        <v>6.63</v>
      </c>
      <c r="I5615" t="str">
        <f t="shared" si="87"/>
        <v>Sep</v>
      </c>
      <c r="J5615">
        <f>YEAR(datas[[#This Row],[Order Date]])</f>
        <v>2023</v>
      </c>
    </row>
    <row r="5616" spans="1:10" ht="14.25" customHeight="1" x14ac:dyDescent="0.3">
      <c r="A5616" s="1">
        <v>45186</v>
      </c>
      <c r="B5616" s="2" t="s">
        <v>837</v>
      </c>
      <c r="C5616" s="2" t="s">
        <v>21</v>
      </c>
      <c r="D5616" s="2" t="s">
        <v>28</v>
      </c>
      <c r="E5616" s="2" t="s">
        <v>29</v>
      </c>
      <c r="F5616" s="2">
        <v>73.58</v>
      </c>
      <c r="G5616" s="2">
        <v>2</v>
      </c>
      <c r="H5616" s="2">
        <v>8.2799999999999994</v>
      </c>
      <c r="I5616" t="str">
        <f t="shared" si="87"/>
        <v>Sep</v>
      </c>
      <c r="J5616">
        <f>YEAR(datas[[#This Row],[Order Date]])</f>
        <v>2023</v>
      </c>
    </row>
    <row r="5617" spans="1:10" ht="14.25" customHeight="1" x14ac:dyDescent="0.3">
      <c r="A5617" s="1">
        <v>45186</v>
      </c>
      <c r="B5617" s="2" t="s">
        <v>837</v>
      </c>
      <c r="C5617" s="2" t="s">
        <v>21</v>
      </c>
      <c r="D5617" s="2" t="s">
        <v>10</v>
      </c>
      <c r="E5617" s="2" t="s">
        <v>11</v>
      </c>
      <c r="F5617" s="2">
        <v>6.48</v>
      </c>
      <c r="G5617" s="2">
        <v>1</v>
      </c>
      <c r="H5617" s="2">
        <v>3.11</v>
      </c>
      <c r="I5617" t="str">
        <f t="shared" si="87"/>
        <v>Sep</v>
      </c>
      <c r="J5617">
        <f>YEAR(datas[[#This Row],[Order Date]])</f>
        <v>2023</v>
      </c>
    </row>
    <row r="5618" spans="1:10" ht="14.25" customHeight="1" x14ac:dyDescent="0.3">
      <c r="A5618" s="1">
        <v>45186</v>
      </c>
      <c r="B5618" s="2" t="s">
        <v>163</v>
      </c>
      <c r="C5618" s="2" t="s">
        <v>23</v>
      </c>
      <c r="D5618" s="2" t="s">
        <v>28</v>
      </c>
      <c r="E5618" s="2" t="s">
        <v>136</v>
      </c>
      <c r="F5618" s="2">
        <v>396</v>
      </c>
      <c r="G5618" s="2">
        <v>4</v>
      </c>
      <c r="H5618" s="2">
        <v>190.08</v>
      </c>
      <c r="I5618" t="str">
        <f t="shared" si="87"/>
        <v>Sep</v>
      </c>
      <c r="J5618">
        <f>YEAR(datas[[#This Row],[Order Date]])</f>
        <v>2023</v>
      </c>
    </row>
    <row r="5619" spans="1:10" ht="14.25" customHeight="1" x14ac:dyDescent="0.3">
      <c r="A5619" s="1">
        <v>45186</v>
      </c>
      <c r="B5619" s="2" t="s">
        <v>238</v>
      </c>
      <c r="C5619" s="2" t="s">
        <v>399</v>
      </c>
      <c r="D5619" s="2" t="s">
        <v>28</v>
      </c>
      <c r="E5619" s="2" t="s">
        <v>29</v>
      </c>
      <c r="F5619" s="2">
        <v>437.85</v>
      </c>
      <c r="G5619" s="2">
        <v>3</v>
      </c>
      <c r="H5619" s="2">
        <v>131.36000000000001</v>
      </c>
      <c r="I5619" t="str">
        <f t="shared" si="87"/>
        <v>Sep</v>
      </c>
      <c r="J5619">
        <f>YEAR(datas[[#This Row],[Order Date]])</f>
        <v>2023</v>
      </c>
    </row>
    <row r="5620" spans="1:10" ht="14.25" customHeight="1" x14ac:dyDescent="0.3">
      <c r="A5620" s="1">
        <v>45186</v>
      </c>
      <c r="B5620" s="2" t="s">
        <v>238</v>
      </c>
      <c r="C5620" s="2" t="s">
        <v>399</v>
      </c>
      <c r="D5620" s="2" t="s">
        <v>26</v>
      </c>
      <c r="E5620" s="2" t="s">
        <v>32</v>
      </c>
      <c r="F5620" s="2">
        <v>109.48</v>
      </c>
      <c r="G5620" s="2">
        <v>2</v>
      </c>
      <c r="H5620" s="2">
        <v>33.94</v>
      </c>
      <c r="I5620" t="str">
        <f t="shared" si="87"/>
        <v>Sep</v>
      </c>
      <c r="J5620">
        <f>YEAR(datas[[#This Row],[Order Date]])</f>
        <v>2023</v>
      </c>
    </row>
    <row r="5621" spans="1:10" ht="14.25" customHeight="1" x14ac:dyDescent="0.3">
      <c r="A5621" s="1">
        <v>45186</v>
      </c>
      <c r="B5621" s="2" t="s">
        <v>767</v>
      </c>
      <c r="C5621" s="2" t="s">
        <v>82</v>
      </c>
      <c r="D5621" s="2" t="s">
        <v>26</v>
      </c>
      <c r="E5621" s="2" t="s">
        <v>27</v>
      </c>
      <c r="F5621" s="2">
        <v>113.89</v>
      </c>
      <c r="G5621" s="2">
        <v>2</v>
      </c>
      <c r="H5621" s="2">
        <v>9.9700000000000006</v>
      </c>
      <c r="I5621" t="str">
        <f t="shared" si="87"/>
        <v>Sep</v>
      </c>
      <c r="J5621">
        <f>YEAR(datas[[#This Row],[Order Date]])</f>
        <v>2023</v>
      </c>
    </row>
    <row r="5622" spans="1:10" ht="14.25" customHeight="1" x14ac:dyDescent="0.3">
      <c r="A5622" s="1">
        <v>45186</v>
      </c>
      <c r="B5622" s="2" t="s">
        <v>767</v>
      </c>
      <c r="C5622" s="2" t="s">
        <v>82</v>
      </c>
      <c r="D5622" s="2" t="s">
        <v>28</v>
      </c>
      <c r="E5622" s="2" t="s">
        <v>29</v>
      </c>
      <c r="F5622" s="2">
        <v>105.58</v>
      </c>
      <c r="G5622" s="2">
        <v>2</v>
      </c>
      <c r="H5622" s="2">
        <v>7.92</v>
      </c>
      <c r="I5622" t="str">
        <f t="shared" si="87"/>
        <v>Sep</v>
      </c>
      <c r="J5622">
        <f>YEAR(datas[[#This Row],[Order Date]])</f>
        <v>2023</v>
      </c>
    </row>
    <row r="5623" spans="1:10" ht="14.25" customHeight="1" x14ac:dyDescent="0.3">
      <c r="A5623" s="1">
        <v>45186</v>
      </c>
      <c r="B5623" s="2" t="s">
        <v>470</v>
      </c>
      <c r="C5623" s="2" t="s">
        <v>75</v>
      </c>
      <c r="D5623" s="2" t="s">
        <v>10</v>
      </c>
      <c r="E5623" s="2" t="s">
        <v>16</v>
      </c>
      <c r="F5623" s="2">
        <v>232.4</v>
      </c>
      <c r="G5623" s="2">
        <v>5</v>
      </c>
      <c r="H5623" s="2">
        <v>78.44</v>
      </c>
      <c r="I5623" t="str">
        <f t="shared" si="87"/>
        <v>Sep</v>
      </c>
      <c r="J5623">
        <f>YEAR(datas[[#This Row],[Order Date]])</f>
        <v>2023</v>
      </c>
    </row>
    <row r="5624" spans="1:10" ht="14.25" customHeight="1" x14ac:dyDescent="0.3">
      <c r="A5624" s="1">
        <v>45186</v>
      </c>
      <c r="B5624" s="2" t="s">
        <v>48</v>
      </c>
      <c r="C5624" s="2" t="s">
        <v>68</v>
      </c>
      <c r="D5624" s="2" t="s">
        <v>10</v>
      </c>
      <c r="E5624" s="2" t="s">
        <v>19</v>
      </c>
      <c r="F5624" s="2">
        <v>33.4</v>
      </c>
      <c r="G5624" s="2">
        <v>5</v>
      </c>
      <c r="H5624" s="2">
        <v>12.36</v>
      </c>
      <c r="I5624" t="str">
        <f t="shared" si="87"/>
        <v>Sep</v>
      </c>
      <c r="J5624">
        <f>YEAR(datas[[#This Row],[Order Date]])</f>
        <v>2023</v>
      </c>
    </row>
    <row r="5625" spans="1:10" ht="14.25" customHeight="1" x14ac:dyDescent="0.3">
      <c r="A5625" s="1">
        <v>45186</v>
      </c>
      <c r="B5625" s="2" t="s">
        <v>156</v>
      </c>
      <c r="C5625" s="2" t="s">
        <v>181</v>
      </c>
      <c r="D5625" s="2" t="s">
        <v>26</v>
      </c>
      <c r="E5625" s="2" t="s">
        <v>32</v>
      </c>
      <c r="F5625" s="2">
        <v>14.82</v>
      </c>
      <c r="G5625" s="2">
        <v>3</v>
      </c>
      <c r="H5625" s="2">
        <v>6.22</v>
      </c>
      <c r="I5625" t="str">
        <f t="shared" si="87"/>
        <v>Sep</v>
      </c>
      <c r="J5625">
        <f>YEAR(datas[[#This Row],[Order Date]])</f>
        <v>2023</v>
      </c>
    </row>
    <row r="5626" spans="1:10" ht="14.25" customHeight="1" x14ac:dyDescent="0.3">
      <c r="A5626" s="1">
        <v>45186</v>
      </c>
      <c r="B5626" s="2" t="s">
        <v>156</v>
      </c>
      <c r="C5626" s="2" t="s">
        <v>181</v>
      </c>
      <c r="D5626" s="2" t="s">
        <v>26</v>
      </c>
      <c r="E5626" s="2" t="s">
        <v>32</v>
      </c>
      <c r="F5626" s="2">
        <v>191.82</v>
      </c>
      <c r="G5626" s="2">
        <v>3</v>
      </c>
      <c r="H5626" s="2">
        <v>61.38</v>
      </c>
      <c r="I5626" t="str">
        <f t="shared" si="87"/>
        <v>Sep</v>
      </c>
      <c r="J5626">
        <f>YEAR(datas[[#This Row],[Order Date]])</f>
        <v>2023</v>
      </c>
    </row>
    <row r="5627" spans="1:10" ht="14.25" customHeight="1" x14ac:dyDescent="0.3">
      <c r="A5627" s="1">
        <v>45186</v>
      </c>
      <c r="B5627" s="2" t="s">
        <v>420</v>
      </c>
      <c r="C5627" s="2" t="s">
        <v>47</v>
      </c>
      <c r="D5627" s="2" t="s">
        <v>10</v>
      </c>
      <c r="E5627" s="2" t="s">
        <v>15</v>
      </c>
      <c r="F5627" s="2">
        <v>295.39999999999998</v>
      </c>
      <c r="G5627" s="2">
        <v>5</v>
      </c>
      <c r="H5627" s="2">
        <v>-62.77</v>
      </c>
      <c r="I5627" t="str">
        <f t="shared" si="87"/>
        <v>Sep</v>
      </c>
      <c r="J5627">
        <f>YEAR(datas[[#This Row],[Order Date]])</f>
        <v>2023</v>
      </c>
    </row>
    <row r="5628" spans="1:10" ht="14.25" customHeight="1" x14ac:dyDescent="0.3">
      <c r="A5628" s="1">
        <v>45186</v>
      </c>
      <c r="B5628" s="2" t="s">
        <v>757</v>
      </c>
      <c r="C5628" s="2" t="s">
        <v>82</v>
      </c>
      <c r="D5628" s="2" t="s">
        <v>10</v>
      </c>
      <c r="E5628" s="2" t="s">
        <v>14</v>
      </c>
      <c r="F5628" s="2">
        <v>12.32</v>
      </c>
      <c r="G5628" s="2">
        <v>4</v>
      </c>
      <c r="H5628" s="2">
        <v>5.91</v>
      </c>
      <c r="I5628" t="str">
        <f t="shared" si="87"/>
        <v>Sep</v>
      </c>
      <c r="J5628">
        <f>YEAR(datas[[#This Row],[Order Date]])</f>
        <v>2023</v>
      </c>
    </row>
    <row r="5629" spans="1:10" ht="14.25" customHeight="1" x14ac:dyDescent="0.3">
      <c r="A5629" s="1">
        <v>45187</v>
      </c>
      <c r="B5629" s="2" t="s">
        <v>773</v>
      </c>
      <c r="C5629" s="2" t="s">
        <v>75</v>
      </c>
      <c r="D5629" s="2" t="s">
        <v>10</v>
      </c>
      <c r="E5629" s="2" t="s">
        <v>16</v>
      </c>
      <c r="F5629" s="2">
        <v>4.62</v>
      </c>
      <c r="G5629" s="2">
        <v>1</v>
      </c>
      <c r="H5629" s="2">
        <v>1.73</v>
      </c>
      <c r="I5629" t="str">
        <f t="shared" si="87"/>
        <v>Sep</v>
      </c>
      <c r="J5629">
        <f>YEAR(datas[[#This Row],[Order Date]])</f>
        <v>2023</v>
      </c>
    </row>
    <row r="5630" spans="1:10" ht="14.25" customHeight="1" x14ac:dyDescent="0.3">
      <c r="A5630" s="1">
        <v>45187</v>
      </c>
      <c r="B5630" s="2" t="s">
        <v>627</v>
      </c>
      <c r="C5630" s="2" t="s">
        <v>64</v>
      </c>
      <c r="D5630" s="2" t="s">
        <v>26</v>
      </c>
      <c r="E5630" s="2" t="s">
        <v>73</v>
      </c>
      <c r="F5630" s="2">
        <v>383.44</v>
      </c>
      <c r="G5630" s="2">
        <v>4</v>
      </c>
      <c r="H5630" s="2">
        <v>-167.32</v>
      </c>
      <c r="I5630" t="str">
        <f t="shared" si="87"/>
        <v>Sep</v>
      </c>
      <c r="J5630">
        <f>YEAR(datas[[#This Row],[Order Date]])</f>
        <v>2023</v>
      </c>
    </row>
    <row r="5631" spans="1:10" ht="14.25" customHeight="1" x14ac:dyDescent="0.3">
      <c r="A5631" s="1">
        <v>45187</v>
      </c>
      <c r="B5631" s="2" t="s">
        <v>552</v>
      </c>
      <c r="C5631" s="2" t="s">
        <v>198</v>
      </c>
      <c r="D5631" s="2" t="s">
        <v>26</v>
      </c>
      <c r="E5631" s="2" t="s">
        <v>27</v>
      </c>
      <c r="F5631" s="2">
        <v>350.98</v>
      </c>
      <c r="G5631" s="2">
        <v>1</v>
      </c>
      <c r="H5631" s="2">
        <v>84.24</v>
      </c>
      <c r="I5631" t="str">
        <f t="shared" si="87"/>
        <v>Sep</v>
      </c>
      <c r="J5631">
        <f>YEAR(datas[[#This Row],[Order Date]])</f>
        <v>2023</v>
      </c>
    </row>
    <row r="5632" spans="1:10" ht="14.25" customHeight="1" x14ac:dyDescent="0.3">
      <c r="A5632" s="1">
        <v>45187</v>
      </c>
      <c r="B5632" s="2" t="s">
        <v>552</v>
      </c>
      <c r="C5632" s="2" t="s">
        <v>198</v>
      </c>
      <c r="D5632" s="2" t="s">
        <v>10</v>
      </c>
      <c r="E5632" s="2" t="s">
        <v>11</v>
      </c>
      <c r="F5632" s="2">
        <v>13.08</v>
      </c>
      <c r="G5632" s="2">
        <v>2</v>
      </c>
      <c r="H5632" s="2">
        <v>6.02</v>
      </c>
      <c r="I5632" t="str">
        <f t="shared" si="87"/>
        <v>Sep</v>
      </c>
      <c r="J5632">
        <f>YEAR(datas[[#This Row],[Order Date]])</f>
        <v>2023</v>
      </c>
    </row>
    <row r="5633" spans="1:10" ht="14.25" customHeight="1" x14ac:dyDescent="0.3">
      <c r="A5633" s="1">
        <v>45187</v>
      </c>
      <c r="B5633" s="2" t="s">
        <v>552</v>
      </c>
      <c r="C5633" s="2" t="s">
        <v>198</v>
      </c>
      <c r="D5633" s="2" t="s">
        <v>10</v>
      </c>
      <c r="E5633" s="2" t="s">
        <v>15</v>
      </c>
      <c r="F5633" s="2">
        <v>900.08</v>
      </c>
      <c r="G5633" s="2">
        <v>4</v>
      </c>
      <c r="H5633" s="2">
        <v>117.01</v>
      </c>
      <c r="I5633" t="str">
        <f t="shared" si="87"/>
        <v>Sep</v>
      </c>
      <c r="J5633">
        <f>YEAR(datas[[#This Row],[Order Date]])</f>
        <v>2023</v>
      </c>
    </row>
    <row r="5634" spans="1:10" ht="14.25" customHeight="1" x14ac:dyDescent="0.3">
      <c r="A5634" s="1">
        <v>45187</v>
      </c>
      <c r="B5634" s="2" t="s">
        <v>37</v>
      </c>
      <c r="C5634" s="2" t="s">
        <v>47</v>
      </c>
      <c r="D5634" s="2" t="s">
        <v>26</v>
      </c>
      <c r="E5634" s="2" t="s">
        <v>32</v>
      </c>
      <c r="F5634" s="2">
        <v>5.35</v>
      </c>
      <c r="G5634" s="2">
        <v>3</v>
      </c>
      <c r="H5634" s="2">
        <v>1.61</v>
      </c>
      <c r="I5634" t="str">
        <f t="shared" si="87"/>
        <v>Sep</v>
      </c>
      <c r="J5634">
        <f>YEAR(datas[[#This Row],[Order Date]])</f>
        <v>2023</v>
      </c>
    </row>
    <row r="5635" spans="1:10" ht="14.25" customHeight="1" x14ac:dyDescent="0.3">
      <c r="A5635" s="1">
        <v>45187</v>
      </c>
      <c r="B5635" s="2" t="s">
        <v>37</v>
      </c>
      <c r="C5635" s="2" t="s">
        <v>47</v>
      </c>
      <c r="D5635" s="2" t="s">
        <v>26</v>
      </c>
      <c r="E5635" s="2" t="s">
        <v>27</v>
      </c>
      <c r="F5635" s="2">
        <v>99.37</v>
      </c>
      <c r="G5635" s="2">
        <v>2</v>
      </c>
      <c r="H5635" s="2">
        <v>-7.1</v>
      </c>
      <c r="I5635" t="str">
        <f t="shared" ref="I5635:I5698" si="88">TEXT(A5635,"mmm")</f>
        <v>Sep</v>
      </c>
      <c r="J5635">
        <f>YEAR(datas[[#This Row],[Order Date]])</f>
        <v>2023</v>
      </c>
    </row>
    <row r="5636" spans="1:10" ht="14.25" customHeight="1" x14ac:dyDescent="0.3">
      <c r="A5636" s="1">
        <v>45187</v>
      </c>
      <c r="B5636" s="2" t="s">
        <v>37</v>
      </c>
      <c r="C5636" s="2" t="s">
        <v>47</v>
      </c>
      <c r="D5636" s="2" t="s">
        <v>10</v>
      </c>
      <c r="E5636" s="2" t="s">
        <v>19</v>
      </c>
      <c r="F5636" s="2">
        <v>2.67</v>
      </c>
      <c r="G5636" s="2">
        <v>1</v>
      </c>
      <c r="H5636" s="2">
        <v>0.37</v>
      </c>
      <c r="I5636" t="str">
        <f t="shared" si="88"/>
        <v>Sep</v>
      </c>
      <c r="J5636">
        <f>YEAR(datas[[#This Row],[Order Date]])</f>
        <v>2023</v>
      </c>
    </row>
    <row r="5637" spans="1:10" ht="14.25" customHeight="1" x14ac:dyDescent="0.3">
      <c r="A5637" s="1">
        <v>45187</v>
      </c>
      <c r="B5637" s="2" t="s">
        <v>293</v>
      </c>
      <c r="C5637" s="2" t="s">
        <v>75</v>
      </c>
      <c r="D5637" s="2" t="s">
        <v>26</v>
      </c>
      <c r="E5637" s="2" t="s">
        <v>27</v>
      </c>
      <c r="F5637" s="2">
        <v>631.78</v>
      </c>
      <c r="G5637" s="2">
        <v>2</v>
      </c>
      <c r="H5637" s="2">
        <v>140.4</v>
      </c>
      <c r="I5637" t="str">
        <f t="shared" si="88"/>
        <v>Sep</v>
      </c>
      <c r="J5637">
        <f>YEAR(datas[[#This Row],[Order Date]])</f>
        <v>2023</v>
      </c>
    </row>
    <row r="5638" spans="1:10" ht="14.25" customHeight="1" x14ac:dyDescent="0.3">
      <c r="A5638" s="1">
        <v>45187</v>
      </c>
      <c r="B5638" s="2" t="s">
        <v>293</v>
      </c>
      <c r="C5638" s="2" t="s">
        <v>75</v>
      </c>
      <c r="D5638" s="2" t="s">
        <v>26</v>
      </c>
      <c r="E5638" s="2" t="s">
        <v>32</v>
      </c>
      <c r="F5638" s="2">
        <v>60.72</v>
      </c>
      <c r="G5638" s="2">
        <v>3</v>
      </c>
      <c r="H5638" s="2">
        <v>26.11</v>
      </c>
      <c r="I5638" t="str">
        <f t="shared" si="88"/>
        <v>Sep</v>
      </c>
      <c r="J5638">
        <f>YEAR(datas[[#This Row],[Order Date]])</f>
        <v>2023</v>
      </c>
    </row>
    <row r="5639" spans="1:10" ht="14.25" customHeight="1" x14ac:dyDescent="0.3">
      <c r="A5639" s="1">
        <v>45187</v>
      </c>
      <c r="B5639" s="2" t="s">
        <v>559</v>
      </c>
      <c r="C5639" s="2" t="s">
        <v>64</v>
      </c>
      <c r="D5639" s="2" t="s">
        <v>10</v>
      </c>
      <c r="E5639" s="2" t="s">
        <v>14</v>
      </c>
      <c r="F5639" s="2">
        <v>3</v>
      </c>
      <c r="G5639" s="2">
        <v>1</v>
      </c>
      <c r="H5639" s="2">
        <v>1.05</v>
      </c>
      <c r="I5639" t="str">
        <f t="shared" si="88"/>
        <v>Sep</v>
      </c>
      <c r="J5639">
        <f>YEAR(datas[[#This Row],[Order Date]])</f>
        <v>2023</v>
      </c>
    </row>
    <row r="5640" spans="1:10" ht="14.25" customHeight="1" x14ac:dyDescent="0.3">
      <c r="A5640" s="1">
        <v>45187</v>
      </c>
      <c r="B5640" s="2" t="s">
        <v>711</v>
      </c>
      <c r="C5640" s="2" t="s">
        <v>21</v>
      </c>
      <c r="D5640" s="2" t="s">
        <v>26</v>
      </c>
      <c r="E5640" s="2" t="s">
        <v>27</v>
      </c>
      <c r="F5640" s="2">
        <v>801.57</v>
      </c>
      <c r="G5640" s="2">
        <v>2</v>
      </c>
      <c r="H5640" s="2">
        <v>50.1</v>
      </c>
      <c r="I5640" t="str">
        <f t="shared" si="88"/>
        <v>Sep</v>
      </c>
      <c r="J5640">
        <f>YEAR(datas[[#This Row],[Order Date]])</f>
        <v>2023</v>
      </c>
    </row>
    <row r="5641" spans="1:10" ht="14.25" customHeight="1" x14ac:dyDescent="0.3">
      <c r="A5641" s="1">
        <v>45187</v>
      </c>
      <c r="B5641" s="2" t="s">
        <v>711</v>
      </c>
      <c r="C5641" s="2" t="s">
        <v>21</v>
      </c>
      <c r="D5641" s="2" t="s">
        <v>10</v>
      </c>
      <c r="E5641" s="2" t="s">
        <v>11</v>
      </c>
      <c r="F5641" s="2">
        <v>368.91</v>
      </c>
      <c r="G5641" s="2">
        <v>9</v>
      </c>
      <c r="H5641" s="2">
        <v>180.77</v>
      </c>
      <c r="I5641" t="str">
        <f t="shared" si="88"/>
        <v>Sep</v>
      </c>
      <c r="J5641">
        <f>YEAR(datas[[#This Row],[Order Date]])</f>
        <v>2023</v>
      </c>
    </row>
    <row r="5642" spans="1:10" ht="14.25" customHeight="1" x14ac:dyDescent="0.3">
      <c r="A5642" s="1">
        <v>45187</v>
      </c>
      <c r="B5642" s="2" t="s">
        <v>711</v>
      </c>
      <c r="C5642" s="2" t="s">
        <v>21</v>
      </c>
      <c r="D5642" s="2" t="s">
        <v>26</v>
      </c>
      <c r="E5642" s="2" t="s">
        <v>27</v>
      </c>
      <c r="F5642" s="2">
        <v>885.53</v>
      </c>
      <c r="G5642" s="2">
        <v>9</v>
      </c>
      <c r="H5642" s="2">
        <v>-99.62</v>
      </c>
      <c r="I5642" t="str">
        <f t="shared" si="88"/>
        <v>Sep</v>
      </c>
      <c r="J5642">
        <f>YEAR(datas[[#This Row],[Order Date]])</f>
        <v>2023</v>
      </c>
    </row>
    <row r="5643" spans="1:10" ht="14.25" customHeight="1" x14ac:dyDescent="0.3">
      <c r="A5643" s="1">
        <v>45187</v>
      </c>
      <c r="B5643" s="2" t="s">
        <v>722</v>
      </c>
      <c r="C5643" s="2" t="s">
        <v>21</v>
      </c>
      <c r="D5643" s="2" t="s">
        <v>28</v>
      </c>
      <c r="E5643" s="2" t="s">
        <v>29</v>
      </c>
      <c r="F5643" s="2">
        <v>239.98</v>
      </c>
      <c r="G5643" s="2">
        <v>2</v>
      </c>
      <c r="H5643" s="2">
        <v>24</v>
      </c>
      <c r="I5643" t="str">
        <f t="shared" si="88"/>
        <v>Sep</v>
      </c>
      <c r="J5643">
        <f>YEAR(datas[[#This Row],[Order Date]])</f>
        <v>2023</v>
      </c>
    </row>
    <row r="5644" spans="1:10" ht="14.25" customHeight="1" x14ac:dyDescent="0.3">
      <c r="A5644" s="1">
        <v>45188</v>
      </c>
      <c r="B5644" s="2" t="s">
        <v>540</v>
      </c>
      <c r="C5644" s="2" t="s">
        <v>13</v>
      </c>
      <c r="D5644" s="2" t="s">
        <v>26</v>
      </c>
      <c r="E5644" s="2" t="s">
        <v>27</v>
      </c>
      <c r="F5644" s="2">
        <v>701.37</v>
      </c>
      <c r="G5644" s="2">
        <v>2</v>
      </c>
      <c r="H5644" s="2">
        <v>-50.1</v>
      </c>
      <c r="I5644" t="str">
        <f t="shared" si="88"/>
        <v>Sep</v>
      </c>
      <c r="J5644">
        <f>YEAR(datas[[#This Row],[Order Date]])</f>
        <v>2023</v>
      </c>
    </row>
    <row r="5645" spans="1:10" ht="14.25" customHeight="1" x14ac:dyDescent="0.3">
      <c r="A5645" s="1">
        <v>45188</v>
      </c>
      <c r="B5645" s="2" t="s">
        <v>540</v>
      </c>
      <c r="C5645" s="2" t="s">
        <v>13</v>
      </c>
      <c r="D5645" s="2" t="s">
        <v>10</v>
      </c>
      <c r="E5645" s="2" t="s">
        <v>16</v>
      </c>
      <c r="F5645" s="2">
        <v>2.31</v>
      </c>
      <c r="G5645" s="2">
        <v>2</v>
      </c>
      <c r="H5645" s="2">
        <v>-3.46</v>
      </c>
      <c r="I5645" t="str">
        <f t="shared" si="88"/>
        <v>Sep</v>
      </c>
      <c r="J5645">
        <f>YEAR(datas[[#This Row],[Order Date]])</f>
        <v>2023</v>
      </c>
    </row>
    <row r="5646" spans="1:10" ht="14.25" customHeight="1" x14ac:dyDescent="0.3">
      <c r="A5646" s="1">
        <v>45188</v>
      </c>
      <c r="B5646" s="2" t="s">
        <v>583</v>
      </c>
      <c r="C5646" s="2" t="s">
        <v>553</v>
      </c>
      <c r="D5646" s="2" t="s">
        <v>10</v>
      </c>
      <c r="E5646" s="2" t="s">
        <v>15</v>
      </c>
      <c r="F5646" s="2">
        <v>1606.23</v>
      </c>
      <c r="G5646" s="2">
        <v>9</v>
      </c>
      <c r="H5646" s="2">
        <v>481.87</v>
      </c>
      <c r="I5646" t="str">
        <f t="shared" si="88"/>
        <v>Sep</v>
      </c>
      <c r="J5646">
        <f>YEAR(datas[[#This Row],[Order Date]])</f>
        <v>2023</v>
      </c>
    </row>
    <row r="5647" spans="1:10" ht="14.25" customHeight="1" x14ac:dyDescent="0.3">
      <c r="A5647" s="1">
        <v>45188</v>
      </c>
      <c r="B5647" s="2" t="s">
        <v>583</v>
      </c>
      <c r="C5647" s="2" t="s">
        <v>553</v>
      </c>
      <c r="D5647" s="2" t="s">
        <v>10</v>
      </c>
      <c r="E5647" s="2" t="s">
        <v>11</v>
      </c>
      <c r="F5647" s="2">
        <v>17.04</v>
      </c>
      <c r="G5647" s="2">
        <v>3</v>
      </c>
      <c r="H5647" s="2">
        <v>7.67</v>
      </c>
      <c r="I5647" t="str">
        <f t="shared" si="88"/>
        <v>Sep</v>
      </c>
      <c r="J5647">
        <f>YEAR(datas[[#This Row],[Order Date]])</f>
        <v>2023</v>
      </c>
    </row>
    <row r="5648" spans="1:10" ht="14.25" customHeight="1" x14ac:dyDescent="0.3">
      <c r="A5648" s="1">
        <v>45188</v>
      </c>
      <c r="B5648" s="2" t="s">
        <v>583</v>
      </c>
      <c r="C5648" s="2" t="s">
        <v>553</v>
      </c>
      <c r="D5648" s="2" t="s">
        <v>10</v>
      </c>
      <c r="E5648" s="2" t="s">
        <v>16</v>
      </c>
      <c r="F5648" s="2">
        <v>49.53</v>
      </c>
      <c r="G5648" s="2">
        <v>3</v>
      </c>
      <c r="H5648" s="2">
        <v>23.77</v>
      </c>
      <c r="I5648" t="str">
        <f t="shared" si="88"/>
        <v>Sep</v>
      </c>
      <c r="J5648">
        <f>YEAR(datas[[#This Row],[Order Date]])</f>
        <v>2023</v>
      </c>
    </row>
    <row r="5649" spans="1:10" ht="14.25" customHeight="1" x14ac:dyDescent="0.3">
      <c r="A5649" s="1">
        <v>45188</v>
      </c>
      <c r="B5649" s="2" t="s">
        <v>583</v>
      </c>
      <c r="C5649" s="2" t="s">
        <v>553</v>
      </c>
      <c r="D5649" s="2" t="s">
        <v>26</v>
      </c>
      <c r="E5649" s="2" t="s">
        <v>27</v>
      </c>
      <c r="F5649" s="2">
        <v>872.32</v>
      </c>
      <c r="G5649" s="2">
        <v>4</v>
      </c>
      <c r="H5649" s="2">
        <v>244.25</v>
      </c>
      <c r="I5649" t="str">
        <f t="shared" si="88"/>
        <v>Sep</v>
      </c>
      <c r="J5649">
        <f>YEAR(datas[[#This Row],[Order Date]])</f>
        <v>2023</v>
      </c>
    </row>
    <row r="5650" spans="1:10" ht="14.25" customHeight="1" x14ac:dyDescent="0.3">
      <c r="A5650" s="1">
        <v>45188</v>
      </c>
      <c r="B5650" s="2" t="s">
        <v>376</v>
      </c>
      <c r="C5650" s="2" t="s">
        <v>21</v>
      </c>
      <c r="D5650" s="2" t="s">
        <v>10</v>
      </c>
      <c r="E5650" s="2" t="s">
        <v>11</v>
      </c>
      <c r="F5650" s="2">
        <v>159.88</v>
      </c>
      <c r="G5650" s="2">
        <v>7</v>
      </c>
      <c r="H5650" s="2">
        <v>73.540000000000006</v>
      </c>
      <c r="I5650" t="str">
        <f t="shared" si="88"/>
        <v>Sep</v>
      </c>
      <c r="J5650">
        <f>YEAR(datas[[#This Row],[Order Date]])</f>
        <v>2023</v>
      </c>
    </row>
    <row r="5651" spans="1:10" ht="14.25" customHeight="1" x14ac:dyDescent="0.3">
      <c r="A5651" s="1">
        <v>45188</v>
      </c>
      <c r="B5651" s="2" t="s">
        <v>69</v>
      </c>
      <c r="C5651" s="2" t="s">
        <v>87</v>
      </c>
      <c r="D5651" s="2" t="s">
        <v>10</v>
      </c>
      <c r="E5651" s="2" t="s">
        <v>16</v>
      </c>
      <c r="F5651" s="2">
        <v>25.44</v>
      </c>
      <c r="G5651" s="2">
        <v>6</v>
      </c>
      <c r="H5651" s="2">
        <v>12.72</v>
      </c>
      <c r="I5651" t="str">
        <f t="shared" si="88"/>
        <v>Sep</v>
      </c>
      <c r="J5651">
        <f>YEAR(datas[[#This Row],[Order Date]])</f>
        <v>2023</v>
      </c>
    </row>
    <row r="5652" spans="1:10" ht="14.25" customHeight="1" x14ac:dyDescent="0.3">
      <c r="A5652" s="1">
        <v>45188</v>
      </c>
      <c r="B5652" s="2" t="s">
        <v>69</v>
      </c>
      <c r="C5652" s="2" t="s">
        <v>87</v>
      </c>
      <c r="D5652" s="2" t="s">
        <v>10</v>
      </c>
      <c r="E5652" s="2" t="s">
        <v>95</v>
      </c>
      <c r="F5652" s="2">
        <v>27.93</v>
      </c>
      <c r="G5652" s="2">
        <v>3</v>
      </c>
      <c r="H5652" s="2">
        <v>8.1</v>
      </c>
      <c r="I5652" t="str">
        <f t="shared" si="88"/>
        <v>Sep</v>
      </c>
      <c r="J5652">
        <f>YEAR(datas[[#This Row],[Order Date]])</f>
        <v>2023</v>
      </c>
    </row>
    <row r="5653" spans="1:10" ht="14.25" customHeight="1" x14ac:dyDescent="0.3">
      <c r="A5653" s="1">
        <v>45188</v>
      </c>
      <c r="B5653" s="2" t="s">
        <v>705</v>
      </c>
      <c r="C5653" s="2" t="s">
        <v>23</v>
      </c>
      <c r="D5653" s="2" t="s">
        <v>10</v>
      </c>
      <c r="E5653" s="2" t="s">
        <v>95</v>
      </c>
      <c r="F5653" s="2">
        <v>5.04</v>
      </c>
      <c r="G5653" s="2">
        <v>2</v>
      </c>
      <c r="H5653" s="2">
        <v>0.15</v>
      </c>
      <c r="I5653" t="str">
        <f t="shared" si="88"/>
        <v>Sep</v>
      </c>
      <c r="J5653">
        <f>YEAR(datas[[#This Row],[Order Date]])</f>
        <v>2023</v>
      </c>
    </row>
    <row r="5654" spans="1:10" ht="14.25" customHeight="1" x14ac:dyDescent="0.3">
      <c r="A5654" s="1">
        <v>45188</v>
      </c>
      <c r="B5654" s="2" t="s">
        <v>705</v>
      </c>
      <c r="C5654" s="2" t="s">
        <v>23</v>
      </c>
      <c r="D5654" s="2" t="s">
        <v>28</v>
      </c>
      <c r="E5654" s="2" t="s">
        <v>34</v>
      </c>
      <c r="F5654" s="2">
        <v>249.95</v>
      </c>
      <c r="G5654" s="2">
        <v>5</v>
      </c>
      <c r="H5654" s="2">
        <v>107.48</v>
      </c>
      <c r="I5654" t="str">
        <f t="shared" si="88"/>
        <v>Sep</v>
      </c>
      <c r="J5654">
        <f>YEAR(datas[[#This Row],[Order Date]])</f>
        <v>2023</v>
      </c>
    </row>
    <row r="5655" spans="1:10" ht="14.25" customHeight="1" x14ac:dyDescent="0.3">
      <c r="A5655" s="1">
        <v>45188</v>
      </c>
      <c r="B5655" s="2" t="s">
        <v>116</v>
      </c>
      <c r="C5655" s="2" t="s">
        <v>18</v>
      </c>
      <c r="D5655" s="2" t="s">
        <v>26</v>
      </c>
      <c r="E5655" s="2" t="s">
        <v>32</v>
      </c>
      <c r="F5655" s="2">
        <v>25.63</v>
      </c>
      <c r="G5655" s="2">
        <v>3</v>
      </c>
      <c r="H5655" s="2">
        <v>3.84</v>
      </c>
      <c r="I5655" t="str">
        <f t="shared" si="88"/>
        <v>Sep</v>
      </c>
      <c r="J5655">
        <f>YEAR(datas[[#This Row],[Order Date]])</f>
        <v>2023</v>
      </c>
    </row>
    <row r="5656" spans="1:10" ht="14.25" customHeight="1" x14ac:dyDescent="0.3">
      <c r="A5656" s="1">
        <v>45188</v>
      </c>
      <c r="B5656" s="2" t="s">
        <v>757</v>
      </c>
      <c r="C5656" s="2" t="s">
        <v>21</v>
      </c>
      <c r="D5656" s="2" t="s">
        <v>10</v>
      </c>
      <c r="E5656" s="2" t="s">
        <v>16</v>
      </c>
      <c r="F5656" s="2">
        <v>11.95</v>
      </c>
      <c r="G5656" s="2">
        <v>3</v>
      </c>
      <c r="H5656" s="2">
        <v>4.18</v>
      </c>
      <c r="I5656" t="str">
        <f t="shared" si="88"/>
        <v>Sep</v>
      </c>
      <c r="J5656">
        <f>YEAR(datas[[#This Row],[Order Date]])</f>
        <v>2023</v>
      </c>
    </row>
    <row r="5657" spans="1:10" ht="14.25" customHeight="1" x14ac:dyDescent="0.3">
      <c r="A5657" s="1">
        <v>45188</v>
      </c>
      <c r="B5657" s="2" t="s">
        <v>757</v>
      </c>
      <c r="C5657" s="2" t="s">
        <v>21</v>
      </c>
      <c r="D5657" s="2" t="s">
        <v>10</v>
      </c>
      <c r="E5657" s="2" t="s">
        <v>95</v>
      </c>
      <c r="F5657" s="2">
        <v>6.24</v>
      </c>
      <c r="G5657" s="2">
        <v>3</v>
      </c>
      <c r="H5657" s="2">
        <v>1.87</v>
      </c>
      <c r="I5657" t="str">
        <f t="shared" si="88"/>
        <v>Sep</v>
      </c>
      <c r="J5657">
        <f>YEAR(datas[[#This Row],[Order Date]])</f>
        <v>2023</v>
      </c>
    </row>
    <row r="5658" spans="1:10" ht="14.25" customHeight="1" x14ac:dyDescent="0.3">
      <c r="A5658" s="1">
        <v>45188</v>
      </c>
      <c r="B5658" s="2" t="s">
        <v>656</v>
      </c>
      <c r="C5658" s="2" t="s">
        <v>553</v>
      </c>
      <c r="D5658" s="2" t="s">
        <v>10</v>
      </c>
      <c r="E5658" s="2" t="s">
        <v>15</v>
      </c>
      <c r="F5658" s="2">
        <v>69.52</v>
      </c>
      <c r="G5658" s="2">
        <v>2</v>
      </c>
      <c r="H5658" s="2">
        <v>17.38</v>
      </c>
      <c r="I5658" t="str">
        <f t="shared" si="88"/>
        <v>Sep</v>
      </c>
      <c r="J5658">
        <f>YEAR(datas[[#This Row],[Order Date]])</f>
        <v>2023</v>
      </c>
    </row>
    <row r="5659" spans="1:10" ht="14.25" customHeight="1" x14ac:dyDescent="0.3">
      <c r="A5659" s="1">
        <v>45188</v>
      </c>
      <c r="B5659" s="2" t="s">
        <v>196</v>
      </c>
      <c r="C5659" s="2" t="s">
        <v>21</v>
      </c>
      <c r="D5659" s="2" t="s">
        <v>10</v>
      </c>
      <c r="E5659" s="2" t="s">
        <v>16</v>
      </c>
      <c r="F5659" s="2">
        <v>8.93</v>
      </c>
      <c r="G5659" s="2">
        <v>2</v>
      </c>
      <c r="H5659" s="2">
        <v>3.12</v>
      </c>
      <c r="I5659" t="str">
        <f t="shared" si="88"/>
        <v>Sep</v>
      </c>
      <c r="J5659">
        <f>YEAR(datas[[#This Row],[Order Date]])</f>
        <v>2023</v>
      </c>
    </row>
    <row r="5660" spans="1:10" ht="14.25" customHeight="1" x14ac:dyDescent="0.3">
      <c r="A5660" s="1">
        <v>45189</v>
      </c>
      <c r="B5660" s="2" t="s">
        <v>189</v>
      </c>
      <c r="C5660" s="2" t="s">
        <v>21</v>
      </c>
      <c r="D5660" s="2" t="s">
        <v>10</v>
      </c>
      <c r="E5660" s="2" t="s">
        <v>11</v>
      </c>
      <c r="F5660" s="2">
        <v>65.790000000000006</v>
      </c>
      <c r="G5660" s="2">
        <v>9</v>
      </c>
      <c r="H5660" s="2">
        <v>30.26</v>
      </c>
      <c r="I5660" t="str">
        <f t="shared" si="88"/>
        <v>Sep</v>
      </c>
      <c r="J5660">
        <f>YEAR(datas[[#This Row],[Order Date]])</f>
        <v>2023</v>
      </c>
    </row>
    <row r="5661" spans="1:10" ht="14.25" customHeight="1" x14ac:dyDescent="0.3">
      <c r="A5661" s="1">
        <v>45189</v>
      </c>
      <c r="B5661" s="2" t="s">
        <v>189</v>
      </c>
      <c r="C5661" s="2" t="s">
        <v>21</v>
      </c>
      <c r="D5661" s="2" t="s">
        <v>10</v>
      </c>
      <c r="E5661" s="2" t="s">
        <v>16</v>
      </c>
      <c r="F5661" s="2">
        <v>271.98</v>
      </c>
      <c r="G5661" s="2">
        <v>2</v>
      </c>
      <c r="H5661" s="2">
        <v>88.39</v>
      </c>
      <c r="I5661" t="str">
        <f t="shared" si="88"/>
        <v>Sep</v>
      </c>
      <c r="J5661">
        <f>YEAR(datas[[#This Row],[Order Date]])</f>
        <v>2023</v>
      </c>
    </row>
    <row r="5662" spans="1:10" ht="14.25" customHeight="1" x14ac:dyDescent="0.3">
      <c r="A5662" s="1">
        <v>45189</v>
      </c>
      <c r="B5662" s="2" t="s">
        <v>189</v>
      </c>
      <c r="C5662" s="2" t="s">
        <v>21</v>
      </c>
      <c r="D5662" s="2" t="s">
        <v>10</v>
      </c>
      <c r="E5662" s="2" t="s">
        <v>19</v>
      </c>
      <c r="F5662" s="2">
        <v>11.76</v>
      </c>
      <c r="G5662" s="2">
        <v>4</v>
      </c>
      <c r="H5662" s="2">
        <v>3.18</v>
      </c>
      <c r="I5662" t="str">
        <f t="shared" si="88"/>
        <v>Sep</v>
      </c>
      <c r="J5662">
        <f>YEAR(datas[[#This Row],[Order Date]])</f>
        <v>2023</v>
      </c>
    </row>
    <row r="5663" spans="1:10" ht="14.25" customHeight="1" x14ac:dyDescent="0.3">
      <c r="A5663" s="1">
        <v>45189</v>
      </c>
      <c r="B5663" s="2" t="s">
        <v>189</v>
      </c>
      <c r="C5663" s="2" t="s">
        <v>21</v>
      </c>
      <c r="D5663" s="2" t="s">
        <v>10</v>
      </c>
      <c r="E5663" s="2" t="s">
        <v>11</v>
      </c>
      <c r="F5663" s="2">
        <v>77.52</v>
      </c>
      <c r="G5663" s="2">
        <v>2</v>
      </c>
      <c r="H5663" s="2">
        <v>37.979999999999997</v>
      </c>
      <c r="I5663" t="str">
        <f t="shared" si="88"/>
        <v>Sep</v>
      </c>
      <c r="J5663">
        <f>YEAR(datas[[#This Row],[Order Date]])</f>
        <v>2023</v>
      </c>
    </row>
    <row r="5664" spans="1:10" ht="14.25" customHeight="1" x14ac:dyDescent="0.3">
      <c r="A5664" s="1">
        <v>45189</v>
      </c>
      <c r="B5664" s="2" t="s">
        <v>189</v>
      </c>
      <c r="C5664" s="2" t="s">
        <v>21</v>
      </c>
      <c r="D5664" s="2" t="s">
        <v>10</v>
      </c>
      <c r="E5664" s="2" t="s">
        <v>16</v>
      </c>
      <c r="F5664" s="2">
        <v>48.64</v>
      </c>
      <c r="G5664" s="2">
        <v>2</v>
      </c>
      <c r="H5664" s="2">
        <v>15.81</v>
      </c>
      <c r="I5664" t="str">
        <f t="shared" si="88"/>
        <v>Sep</v>
      </c>
      <c r="J5664">
        <f>YEAR(datas[[#This Row],[Order Date]])</f>
        <v>2023</v>
      </c>
    </row>
    <row r="5665" spans="1:10" ht="14.25" customHeight="1" x14ac:dyDescent="0.3">
      <c r="A5665" s="1">
        <v>45189</v>
      </c>
      <c r="B5665" s="2" t="s">
        <v>129</v>
      </c>
      <c r="C5665" s="2" t="s">
        <v>115</v>
      </c>
      <c r="D5665" s="2" t="s">
        <v>26</v>
      </c>
      <c r="E5665" s="2" t="s">
        <v>32</v>
      </c>
      <c r="F5665" s="2">
        <v>17.09</v>
      </c>
      <c r="G5665" s="2">
        <v>2</v>
      </c>
      <c r="H5665" s="2">
        <v>1.07</v>
      </c>
      <c r="I5665" t="str">
        <f t="shared" si="88"/>
        <v>Sep</v>
      </c>
      <c r="J5665">
        <f>YEAR(datas[[#This Row],[Order Date]])</f>
        <v>2023</v>
      </c>
    </row>
    <row r="5666" spans="1:10" ht="14.25" customHeight="1" x14ac:dyDescent="0.3">
      <c r="A5666" s="1">
        <v>45189</v>
      </c>
      <c r="B5666" s="2" t="s">
        <v>129</v>
      </c>
      <c r="C5666" s="2" t="s">
        <v>115</v>
      </c>
      <c r="D5666" s="2" t="s">
        <v>26</v>
      </c>
      <c r="E5666" s="2" t="s">
        <v>27</v>
      </c>
      <c r="F5666" s="2">
        <v>98.39</v>
      </c>
      <c r="G5666" s="2">
        <v>1</v>
      </c>
      <c r="H5666" s="2">
        <v>-11.07</v>
      </c>
      <c r="I5666" t="str">
        <f t="shared" si="88"/>
        <v>Sep</v>
      </c>
      <c r="J5666">
        <f>YEAR(datas[[#This Row],[Order Date]])</f>
        <v>2023</v>
      </c>
    </row>
    <row r="5667" spans="1:10" ht="14.25" customHeight="1" x14ac:dyDescent="0.3">
      <c r="A5667" s="1">
        <v>45189</v>
      </c>
      <c r="B5667" s="2" t="s">
        <v>344</v>
      </c>
      <c r="C5667" s="2" t="s">
        <v>75</v>
      </c>
      <c r="D5667" s="2" t="s">
        <v>10</v>
      </c>
      <c r="E5667" s="2" t="s">
        <v>53</v>
      </c>
      <c r="F5667" s="2">
        <v>393.25</v>
      </c>
      <c r="G5667" s="2">
        <v>5</v>
      </c>
      <c r="H5667" s="2">
        <v>129.77000000000001</v>
      </c>
      <c r="I5667" t="str">
        <f t="shared" si="88"/>
        <v>Sep</v>
      </c>
      <c r="J5667">
        <f>YEAR(datas[[#This Row],[Order Date]])</f>
        <v>2023</v>
      </c>
    </row>
    <row r="5668" spans="1:10" ht="14.25" customHeight="1" x14ac:dyDescent="0.3">
      <c r="A5668" s="1">
        <v>45189</v>
      </c>
      <c r="B5668" s="2" t="s">
        <v>720</v>
      </c>
      <c r="C5668" s="2" t="s">
        <v>60</v>
      </c>
      <c r="D5668" s="2" t="s">
        <v>10</v>
      </c>
      <c r="E5668" s="2" t="s">
        <v>16</v>
      </c>
      <c r="F5668" s="2">
        <v>83.7</v>
      </c>
      <c r="G5668" s="2">
        <v>5</v>
      </c>
      <c r="H5668" s="2">
        <v>41.01</v>
      </c>
      <c r="I5668" t="str">
        <f t="shared" si="88"/>
        <v>Sep</v>
      </c>
      <c r="J5668">
        <f>YEAR(datas[[#This Row],[Order Date]])</f>
        <v>2023</v>
      </c>
    </row>
    <row r="5669" spans="1:10" ht="14.25" customHeight="1" x14ac:dyDescent="0.3">
      <c r="A5669" s="1">
        <v>45189</v>
      </c>
      <c r="B5669" s="2" t="s">
        <v>703</v>
      </c>
      <c r="C5669" s="2" t="s">
        <v>82</v>
      </c>
      <c r="D5669" s="2" t="s">
        <v>26</v>
      </c>
      <c r="E5669" s="2" t="s">
        <v>45</v>
      </c>
      <c r="F5669" s="2">
        <v>163.88</v>
      </c>
      <c r="G5669" s="2">
        <v>2</v>
      </c>
      <c r="H5669" s="2">
        <v>40.97</v>
      </c>
      <c r="I5669" t="str">
        <f t="shared" si="88"/>
        <v>Sep</v>
      </c>
      <c r="J5669">
        <f>YEAR(datas[[#This Row],[Order Date]])</f>
        <v>2023</v>
      </c>
    </row>
    <row r="5670" spans="1:10" ht="14.25" customHeight="1" x14ac:dyDescent="0.3">
      <c r="A5670" s="1">
        <v>45191</v>
      </c>
      <c r="B5670" s="2" t="s">
        <v>634</v>
      </c>
      <c r="C5670" s="2" t="s">
        <v>62</v>
      </c>
      <c r="D5670" s="2" t="s">
        <v>10</v>
      </c>
      <c r="E5670" s="2" t="s">
        <v>19</v>
      </c>
      <c r="F5670" s="2">
        <v>40.78</v>
      </c>
      <c r="G5670" s="2">
        <v>3</v>
      </c>
      <c r="H5670" s="2">
        <v>4.59</v>
      </c>
      <c r="I5670" t="str">
        <f t="shared" si="88"/>
        <v>Sep</v>
      </c>
      <c r="J5670">
        <f>YEAR(datas[[#This Row],[Order Date]])</f>
        <v>2023</v>
      </c>
    </row>
    <row r="5671" spans="1:10" ht="14.25" customHeight="1" x14ac:dyDescent="0.3">
      <c r="A5671" s="1">
        <v>45191</v>
      </c>
      <c r="B5671" s="2" t="s">
        <v>634</v>
      </c>
      <c r="C5671" s="2" t="s">
        <v>62</v>
      </c>
      <c r="D5671" s="2" t="s">
        <v>28</v>
      </c>
      <c r="E5671" s="2" t="s">
        <v>29</v>
      </c>
      <c r="F5671" s="2">
        <v>63.94</v>
      </c>
      <c r="G5671" s="2">
        <v>8</v>
      </c>
      <c r="H5671" s="2">
        <v>5.59</v>
      </c>
      <c r="I5671" t="str">
        <f t="shared" si="88"/>
        <v>Sep</v>
      </c>
      <c r="J5671">
        <f>YEAR(datas[[#This Row],[Order Date]])</f>
        <v>2023</v>
      </c>
    </row>
    <row r="5672" spans="1:10" ht="14.25" customHeight="1" x14ac:dyDescent="0.3">
      <c r="A5672" s="1">
        <v>45191</v>
      </c>
      <c r="B5672" s="2" t="s">
        <v>589</v>
      </c>
      <c r="C5672" s="2" t="s">
        <v>18</v>
      </c>
      <c r="D5672" s="2" t="s">
        <v>10</v>
      </c>
      <c r="E5672" s="2" t="s">
        <v>19</v>
      </c>
      <c r="F5672" s="2">
        <v>7.87</v>
      </c>
      <c r="G5672" s="2">
        <v>3</v>
      </c>
      <c r="H5672" s="2">
        <v>0.89</v>
      </c>
      <c r="I5672" t="str">
        <f t="shared" si="88"/>
        <v>Sep</v>
      </c>
      <c r="J5672">
        <f>YEAR(datas[[#This Row],[Order Date]])</f>
        <v>2023</v>
      </c>
    </row>
    <row r="5673" spans="1:10" ht="14.25" customHeight="1" x14ac:dyDescent="0.3">
      <c r="A5673" s="1">
        <v>45191</v>
      </c>
      <c r="B5673" s="2" t="s">
        <v>554</v>
      </c>
      <c r="C5673" s="2" t="s">
        <v>64</v>
      </c>
      <c r="D5673" s="2" t="s">
        <v>10</v>
      </c>
      <c r="E5673" s="2" t="s">
        <v>16</v>
      </c>
      <c r="F5673" s="2">
        <v>7.51</v>
      </c>
      <c r="G5673" s="2">
        <v>9</v>
      </c>
      <c r="H5673" s="2">
        <v>-6</v>
      </c>
      <c r="I5673" t="str">
        <f t="shared" si="88"/>
        <v>Sep</v>
      </c>
      <c r="J5673">
        <f>YEAR(datas[[#This Row],[Order Date]])</f>
        <v>2023</v>
      </c>
    </row>
    <row r="5674" spans="1:10" ht="14.25" customHeight="1" x14ac:dyDescent="0.3">
      <c r="A5674" s="1">
        <v>45191</v>
      </c>
      <c r="B5674" s="2" t="s">
        <v>554</v>
      </c>
      <c r="C5674" s="2" t="s">
        <v>64</v>
      </c>
      <c r="D5674" s="2" t="s">
        <v>10</v>
      </c>
      <c r="E5674" s="2" t="s">
        <v>14</v>
      </c>
      <c r="F5674" s="2">
        <v>16.559999999999999</v>
      </c>
      <c r="G5674" s="2">
        <v>2</v>
      </c>
      <c r="H5674" s="2">
        <v>5.8</v>
      </c>
      <c r="I5674" t="str">
        <f t="shared" si="88"/>
        <v>Sep</v>
      </c>
      <c r="J5674">
        <f>YEAR(datas[[#This Row],[Order Date]])</f>
        <v>2023</v>
      </c>
    </row>
    <row r="5675" spans="1:10" ht="14.25" customHeight="1" x14ac:dyDescent="0.3">
      <c r="A5675" s="1">
        <v>45191</v>
      </c>
      <c r="B5675" s="2" t="s">
        <v>395</v>
      </c>
      <c r="C5675" s="2" t="s">
        <v>25</v>
      </c>
      <c r="D5675" s="2" t="s">
        <v>26</v>
      </c>
      <c r="E5675" s="2" t="s">
        <v>32</v>
      </c>
      <c r="F5675" s="2">
        <v>13.28</v>
      </c>
      <c r="G5675" s="2">
        <v>2</v>
      </c>
      <c r="H5675" s="2">
        <v>6.37</v>
      </c>
      <c r="I5675" t="str">
        <f t="shared" si="88"/>
        <v>Sep</v>
      </c>
      <c r="J5675">
        <f>YEAR(datas[[#This Row],[Order Date]])</f>
        <v>2023</v>
      </c>
    </row>
    <row r="5676" spans="1:10" ht="14.25" customHeight="1" x14ac:dyDescent="0.3">
      <c r="A5676" s="1">
        <v>45191</v>
      </c>
      <c r="B5676" s="2" t="s">
        <v>701</v>
      </c>
      <c r="C5676" s="2" t="s">
        <v>18</v>
      </c>
      <c r="D5676" s="2" t="s">
        <v>10</v>
      </c>
      <c r="E5676" s="2" t="s">
        <v>14</v>
      </c>
      <c r="F5676" s="2">
        <v>16.52</v>
      </c>
      <c r="G5676" s="2">
        <v>5</v>
      </c>
      <c r="H5676" s="2">
        <v>5.37</v>
      </c>
      <c r="I5676" t="str">
        <f t="shared" si="88"/>
        <v>Sep</v>
      </c>
      <c r="J5676">
        <f>YEAR(datas[[#This Row],[Order Date]])</f>
        <v>2023</v>
      </c>
    </row>
    <row r="5677" spans="1:10" ht="14.25" customHeight="1" x14ac:dyDescent="0.3">
      <c r="A5677" s="1">
        <v>45191</v>
      </c>
      <c r="B5677" s="2" t="s">
        <v>451</v>
      </c>
      <c r="C5677" s="2" t="s">
        <v>75</v>
      </c>
      <c r="D5677" s="2" t="s">
        <v>10</v>
      </c>
      <c r="E5677" s="2" t="s">
        <v>15</v>
      </c>
      <c r="F5677" s="2">
        <v>128.34</v>
      </c>
      <c r="G5677" s="2">
        <v>6</v>
      </c>
      <c r="H5677" s="2">
        <v>37.22</v>
      </c>
      <c r="I5677" t="str">
        <f t="shared" si="88"/>
        <v>Sep</v>
      </c>
      <c r="J5677">
        <f>YEAR(datas[[#This Row],[Order Date]])</f>
        <v>2023</v>
      </c>
    </row>
    <row r="5678" spans="1:10" ht="14.25" customHeight="1" x14ac:dyDescent="0.3">
      <c r="A5678" s="1">
        <v>45191</v>
      </c>
      <c r="B5678" s="2" t="s">
        <v>532</v>
      </c>
      <c r="C5678" s="2" t="s">
        <v>68</v>
      </c>
      <c r="D5678" s="2" t="s">
        <v>10</v>
      </c>
      <c r="E5678" s="2" t="s">
        <v>11</v>
      </c>
      <c r="F5678" s="2">
        <v>35.880000000000003</v>
      </c>
      <c r="G5678" s="2">
        <v>6</v>
      </c>
      <c r="H5678" s="2">
        <v>16.149999999999999</v>
      </c>
      <c r="I5678" t="str">
        <f t="shared" si="88"/>
        <v>Sep</v>
      </c>
      <c r="J5678">
        <f>YEAR(datas[[#This Row],[Order Date]])</f>
        <v>2023</v>
      </c>
    </row>
    <row r="5679" spans="1:10" ht="14.25" customHeight="1" x14ac:dyDescent="0.3">
      <c r="A5679" s="1">
        <v>45191</v>
      </c>
      <c r="B5679" s="2" t="s">
        <v>507</v>
      </c>
      <c r="C5679" s="2" t="s">
        <v>126</v>
      </c>
      <c r="D5679" s="2" t="s">
        <v>26</v>
      </c>
      <c r="E5679" s="2" t="s">
        <v>32</v>
      </c>
      <c r="F5679" s="2">
        <v>68.430000000000007</v>
      </c>
      <c r="G5679" s="2">
        <v>7</v>
      </c>
      <c r="H5679" s="2">
        <v>8.5500000000000007</v>
      </c>
      <c r="I5679" t="str">
        <f t="shared" si="88"/>
        <v>Sep</v>
      </c>
      <c r="J5679">
        <f>YEAR(datas[[#This Row],[Order Date]])</f>
        <v>2023</v>
      </c>
    </row>
    <row r="5680" spans="1:10" ht="14.25" customHeight="1" x14ac:dyDescent="0.3">
      <c r="A5680" s="1">
        <v>45191</v>
      </c>
      <c r="B5680" s="2" t="s">
        <v>39</v>
      </c>
      <c r="C5680" s="2" t="s">
        <v>79</v>
      </c>
      <c r="D5680" s="2" t="s">
        <v>26</v>
      </c>
      <c r="E5680" s="2" t="s">
        <v>32</v>
      </c>
      <c r="F5680" s="2">
        <v>18.96</v>
      </c>
      <c r="G5680" s="2">
        <v>2</v>
      </c>
      <c r="H5680" s="2">
        <v>7.58</v>
      </c>
      <c r="I5680" t="str">
        <f t="shared" si="88"/>
        <v>Sep</v>
      </c>
      <c r="J5680">
        <f>YEAR(datas[[#This Row],[Order Date]])</f>
        <v>2023</v>
      </c>
    </row>
    <row r="5681" spans="1:10" ht="14.25" customHeight="1" x14ac:dyDescent="0.3">
      <c r="A5681" s="1">
        <v>45191</v>
      </c>
      <c r="B5681" s="2" t="s">
        <v>122</v>
      </c>
      <c r="C5681" s="2" t="s">
        <v>47</v>
      </c>
      <c r="D5681" s="2" t="s">
        <v>10</v>
      </c>
      <c r="E5681" s="2" t="s">
        <v>41</v>
      </c>
      <c r="F5681" s="2">
        <v>63.97</v>
      </c>
      <c r="G5681" s="2">
        <v>2</v>
      </c>
      <c r="H5681" s="2">
        <v>19.989999999999998</v>
      </c>
      <c r="I5681" t="str">
        <f t="shared" si="88"/>
        <v>Sep</v>
      </c>
      <c r="J5681">
        <f>YEAR(datas[[#This Row],[Order Date]])</f>
        <v>2023</v>
      </c>
    </row>
    <row r="5682" spans="1:10" ht="14.25" customHeight="1" x14ac:dyDescent="0.3">
      <c r="A5682" s="1">
        <v>45191</v>
      </c>
      <c r="B5682" s="2" t="s">
        <v>431</v>
      </c>
      <c r="C5682" s="2" t="s">
        <v>60</v>
      </c>
      <c r="D5682" s="2" t="s">
        <v>10</v>
      </c>
      <c r="E5682" s="2" t="s">
        <v>11</v>
      </c>
      <c r="F5682" s="2">
        <v>35.56</v>
      </c>
      <c r="G5682" s="2">
        <v>7</v>
      </c>
      <c r="H5682" s="2">
        <v>16.71</v>
      </c>
      <c r="I5682" t="str">
        <f t="shared" si="88"/>
        <v>Sep</v>
      </c>
      <c r="J5682">
        <f>YEAR(datas[[#This Row],[Order Date]])</f>
        <v>2023</v>
      </c>
    </row>
    <row r="5683" spans="1:10" ht="14.25" customHeight="1" x14ac:dyDescent="0.3">
      <c r="A5683" s="1">
        <v>45191</v>
      </c>
      <c r="B5683" s="2" t="s">
        <v>431</v>
      </c>
      <c r="C5683" s="2" t="s">
        <v>60</v>
      </c>
      <c r="D5683" s="2" t="s">
        <v>28</v>
      </c>
      <c r="E5683" s="2" t="s">
        <v>29</v>
      </c>
      <c r="F5683" s="2">
        <v>97.98</v>
      </c>
      <c r="G5683" s="2">
        <v>2</v>
      </c>
      <c r="H5683" s="2">
        <v>27.43</v>
      </c>
      <c r="I5683" t="str">
        <f t="shared" si="88"/>
        <v>Sep</v>
      </c>
      <c r="J5683">
        <f>YEAR(datas[[#This Row],[Order Date]])</f>
        <v>2023</v>
      </c>
    </row>
    <row r="5684" spans="1:10" ht="14.25" customHeight="1" x14ac:dyDescent="0.3">
      <c r="A5684" s="1">
        <v>45192</v>
      </c>
      <c r="B5684" s="2" t="s">
        <v>321</v>
      </c>
      <c r="C5684" s="2" t="s">
        <v>47</v>
      </c>
      <c r="D5684" s="2" t="s">
        <v>26</v>
      </c>
      <c r="E5684" s="2" t="s">
        <v>32</v>
      </c>
      <c r="F5684" s="2">
        <v>532.70000000000005</v>
      </c>
      <c r="G5684" s="2">
        <v>6</v>
      </c>
      <c r="H5684" s="2">
        <v>-26.64</v>
      </c>
      <c r="I5684" t="str">
        <f t="shared" si="88"/>
        <v>Sep</v>
      </c>
      <c r="J5684">
        <f>YEAR(datas[[#This Row],[Order Date]])</f>
        <v>2023</v>
      </c>
    </row>
    <row r="5685" spans="1:10" ht="14.25" customHeight="1" x14ac:dyDescent="0.3">
      <c r="A5685" s="1">
        <v>45192</v>
      </c>
      <c r="B5685" s="2" t="s">
        <v>321</v>
      </c>
      <c r="C5685" s="2" t="s">
        <v>47</v>
      </c>
      <c r="D5685" s="2" t="s">
        <v>10</v>
      </c>
      <c r="E5685" s="2" t="s">
        <v>19</v>
      </c>
      <c r="F5685" s="2">
        <v>4.91</v>
      </c>
      <c r="G5685" s="2">
        <v>2</v>
      </c>
      <c r="H5685" s="2">
        <v>0.31</v>
      </c>
      <c r="I5685" t="str">
        <f t="shared" si="88"/>
        <v>Sep</v>
      </c>
      <c r="J5685">
        <f>YEAR(datas[[#This Row],[Order Date]])</f>
        <v>2023</v>
      </c>
    </row>
    <row r="5686" spans="1:10" ht="14.25" customHeight="1" x14ac:dyDescent="0.3">
      <c r="A5686" s="1">
        <v>45192</v>
      </c>
      <c r="B5686" s="2" t="s">
        <v>345</v>
      </c>
      <c r="C5686" s="2" t="s">
        <v>23</v>
      </c>
      <c r="D5686" s="2" t="s">
        <v>10</v>
      </c>
      <c r="E5686" s="2" t="s">
        <v>15</v>
      </c>
      <c r="F5686" s="2">
        <v>118.25</v>
      </c>
      <c r="G5686" s="2">
        <v>5</v>
      </c>
      <c r="H5686" s="2">
        <v>34.29</v>
      </c>
      <c r="I5686" t="str">
        <f t="shared" si="88"/>
        <v>Sep</v>
      </c>
      <c r="J5686">
        <f>YEAR(datas[[#This Row],[Order Date]])</f>
        <v>2023</v>
      </c>
    </row>
    <row r="5687" spans="1:10" ht="14.25" customHeight="1" x14ac:dyDescent="0.3">
      <c r="A5687" s="1">
        <v>45192</v>
      </c>
      <c r="B5687" s="2" t="s">
        <v>345</v>
      </c>
      <c r="C5687" s="2" t="s">
        <v>23</v>
      </c>
      <c r="D5687" s="2" t="s">
        <v>26</v>
      </c>
      <c r="E5687" s="2" t="s">
        <v>27</v>
      </c>
      <c r="F5687" s="2">
        <v>368.97</v>
      </c>
      <c r="G5687" s="2">
        <v>3</v>
      </c>
      <c r="H5687" s="2">
        <v>81.17</v>
      </c>
      <c r="I5687" t="str">
        <f t="shared" si="88"/>
        <v>Sep</v>
      </c>
      <c r="J5687">
        <f>YEAR(datas[[#This Row],[Order Date]])</f>
        <v>2023</v>
      </c>
    </row>
    <row r="5688" spans="1:10" ht="14.25" customHeight="1" x14ac:dyDescent="0.3">
      <c r="A5688" s="1">
        <v>45192</v>
      </c>
      <c r="B5688" s="2" t="s">
        <v>579</v>
      </c>
      <c r="C5688" s="2" t="s">
        <v>82</v>
      </c>
      <c r="D5688" s="2" t="s">
        <v>10</v>
      </c>
      <c r="E5688" s="2" t="s">
        <v>95</v>
      </c>
      <c r="F5688" s="2">
        <v>13.68</v>
      </c>
      <c r="G5688" s="2">
        <v>2</v>
      </c>
      <c r="H5688" s="2">
        <v>3.69</v>
      </c>
      <c r="I5688" t="str">
        <f t="shared" si="88"/>
        <v>Sep</v>
      </c>
      <c r="J5688">
        <f>YEAR(datas[[#This Row],[Order Date]])</f>
        <v>2023</v>
      </c>
    </row>
    <row r="5689" spans="1:10" ht="14.25" customHeight="1" x14ac:dyDescent="0.3">
      <c r="A5689" s="1">
        <v>45192</v>
      </c>
      <c r="B5689" s="2" t="s">
        <v>836</v>
      </c>
      <c r="C5689" s="2" t="s">
        <v>21</v>
      </c>
      <c r="D5689" s="2" t="s">
        <v>10</v>
      </c>
      <c r="E5689" s="2" t="s">
        <v>41</v>
      </c>
      <c r="F5689" s="2">
        <v>4.08</v>
      </c>
      <c r="G5689" s="2">
        <v>2</v>
      </c>
      <c r="H5689" s="2">
        <v>1.92</v>
      </c>
      <c r="I5689" t="str">
        <f t="shared" si="88"/>
        <v>Sep</v>
      </c>
      <c r="J5689">
        <f>YEAR(datas[[#This Row],[Order Date]])</f>
        <v>2023</v>
      </c>
    </row>
    <row r="5690" spans="1:10" ht="14.25" customHeight="1" x14ac:dyDescent="0.3">
      <c r="A5690" s="1">
        <v>45192</v>
      </c>
      <c r="B5690" s="2" t="s">
        <v>836</v>
      </c>
      <c r="C5690" s="2" t="s">
        <v>21</v>
      </c>
      <c r="D5690" s="2" t="s">
        <v>10</v>
      </c>
      <c r="E5690" s="2" t="s">
        <v>14</v>
      </c>
      <c r="F5690" s="2">
        <v>18.899999999999999</v>
      </c>
      <c r="G5690" s="2">
        <v>3</v>
      </c>
      <c r="H5690" s="2">
        <v>8.69</v>
      </c>
      <c r="I5690" t="str">
        <f t="shared" si="88"/>
        <v>Sep</v>
      </c>
      <c r="J5690">
        <f>YEAR(datas[[#This Row],[Order Date]])</f>
        <v>2023</v>
      </c>
    </row>
    <row r="5691" spans="1:10" ht="14.25" customHeight="1" x14ac:dyDescent="0.3">
      <c r="A5691" s="1">
        <v>45192</v>
      </c>
      <c r="B5691" s="2" t="s">
        <v>822</v>
      </c>
      <c r="C5691" s="2" t="s">
        <v>75</v>
      </c>
      <c r="D5691" s="2" t="s">
        <v>10</v>
      </c>
      <c r="E5691" s="2" t="s">
        <v>16</v>
      </c>
      <c r="F5691" s="2">
        <v>10.53</v>
      </c>
      <c r="G5691" s="2">
        <v>7</v>
      </c>
      <c r="H5691" s="2">
        <v>3.68</v>
      </c>
      <c r="I5691" t="str">
        <f t="shared" si="88"/>
        <v>Sep</v>
      </c>
      <c r="J5691">
        <f>YEAR(datas[[#This Row],[Order Date]])</f>
        <v>2023</v>
      </c>
    </row>
    <row r="5692" spans="1:10" ht="14.25" customHeight="1" x14ac:dyDescent="0.3">
      <c r="A5692" s="1">
        <v>45192</v>
      </c>
      <c r="B5692" s="2" t="s">
        <v>244</v>
      </c>
      <c r="C5692" s="2" t="s">
        <v>47</v>
      </c>
      <c r="D5692" s="2" t="s">
        <v>10</v>
      </c>
      <c r="E5692" s="2" t="s">
        <v>11</v>
      </c>
      <c r="F5692" s="2">
        <v>11.95</v>
      </c>
      <c r="G5692" s="2">
        <v>3</v>
      </c>
      <c r="H5692" s="2">
        <v>4.03</v>
      </c>
      <c r="I5692" t="str">
        <f t="shared" si="88"/>
        <v>Sep</v>
      </c>
      <c r="J5692">
        <f>YEAR(datas[[#This Row],[Order Date]])</f>
        <v>2023</v>
      </c>
    </row>
    <row r="5693" spans="1:10" ht="14.25" customHeight="1" x14ac:dyDescent="0.3">
      <c r="A5693" s="1">
        <v>45192</v>
      </c>
      <c r="B5693" s="2" t="s">
        <v>244</v>
      </c>
      <c r="C5693" s="2" t="s">
        <v>47</v>
      </c>
      <c r="D5693" s="2" t="s">
        <v>26</v>
      </c>
      <c r="E5693" s="2" t="s">
        <v>32</v>
      </c>
      <c r="F5693" s="2">
        <v>28</v>
      </c>
      <c r="G5693" s="2">
        <v>4</v>
      </c>
      <c r="H5693" s="2">
        <v>7.7</v>
      </c>
      <c r="I5693" t="str">
        <f t="shared" si="88"/>
        <v>Sep</v>
      </c>
      <c r="J5693">
        <f>YEAR(datas[[#This Row],[Order Date]])</f>
        <v>2023</v>
      </c>
    </row>
    <row r="5694" spans="1:10" ht="14.25" customHeight="1" x14ac:dyDescent="0.3">
      <c r="A5694" s="1">
        <v>45192</v>
      </c>
      <c r="B5694" s="2" t="s">
        <v>244</v>
      </c>
      <c r="C5694" s="2" t="s">
        <v>47</v>
      </c>
      <c r="D5694" s="2" t="s">
        <v>10</v>
      </c>
      <c r="E5694" s="2" t="s">
        <v>16</v>
      </c>
      <c r="F5694" s="2">
        <v>12.2</v>
      </c>
      <c r="G5694" s="2">
        <v>7</v>
      </c>
      <c r="H5694" s="2">
        <v>-9.76</v>
      </c>
      <c r="I5694" t="str">
        <f t="shared" si="88"/>
        <v>Sep</v>
      </c>
      <c r="J5694">
        <f>YEAR(datas[[#This Row],[Order Date]])</f>
        <v>2023</v>
      </c>
    </row>
    <row r="5695" spans="1:10" ht="14.25" customHeight="1" x14ac:dyDescent="0.3">
      <c r="A5695" s="1">
        <v>45192</v>
      </c>
      <c r="B5695" s="2" t="s">
        <v>752</v>
      </c>
      <c r="C5695" s="2" t="s">
        <v>82</v>
      </c>
      <c r="D5695" s="2" t="s">
        <v>10</v>
      </c>
      <c r="E5695" s="2" t="s">
        <v>16</v>
      </c>
      <c r="F5695" s="2">
        <v>13.22</v>
      </c>
      <c r="G5695" s="2">
        <v>4</v>
      </c>
      <c r="H5695" s="2">
        <v>4.46</v>
      </c>
      <c r="I5695" t="str">
        <f t="shared" si="88"/>
        <v>Sep</v>
      </c>
      <c r="J5695">
        <f>YEAR(datas[[#This Row],[Order Date]])</f>
        <v>2023</v>
      </c>
    </row>
    <row r="5696" spans="1:10" ht="14.25" customHeight="1" x14ac:dyDescent="0.3">
      <c r="A5696" s="1">
        <v>45192</v>
      </c>
      <c r="B5696" s="2" t="s">
        <v>752</v>
      </c>
      <c r="C5696" s="2" t="s">
        <v>82</v>
      </c>
      <c r="D5696" s="2" t="s">
        <v>26</v>
      </c>
      <c r="E5696" s="2" t="s">
        <v>27</v>
      </c>
      <c r="F5696" s="2">
        <v>184.75</v>
      </c>
      <c r="G5696" s="2">
        <v>3</v>
      </c>
      <c r="H5696" s="2">
        <v>-20.78</v>
      </c>
      <c r="I5696" t="str">
        <f t="shared" si="88"/>
        <v>Sep</v>
      </c>
      <c r="J5696">
        <f>YEAR(datas[[#This Row],[Order Date]])</f>
        <v>2023</v>
      </c>
    </row>
    <row r="5697" spans="1:10" ht="14.25" customHeight="1" x14ac:dyDescent="0.3">
      <c r="A5697" s="1">
        <v>45193</v>
      </c>
      <c r="B5697" s="2" t="s">
        <v>572</v>
      </c>
      <c r="C5697" s="2" t="s">
        <v>47</v>
      </c>
      <c r="D5697" s="2" t="s">
        <v>26</v>
      </c>
      <c r="E5697" s="2" t="s">
        <v>27</v>
      </c>
      <c r="F5697" s="2">
        <v>155.37</v>
      </c>
      <c r="G5697" s="2">
        <v>2</v>
      </c>
      <c r="H5697" s="2">
        <v>-13.32</v>
      </c>
      <c r="I5697" t="str">
        <f t="shared" si="88"/>
        <v>Sep</v>
      </c>
      <c r="J5697">
        <f>YEAR(datas[[#This Row],[Order Date]])</f>
        <v>2023</v>
      </c>
    </row>
    <row r="5698" spans="1:10" ht="14.25" customHeight="1" x14ac:dyDescent="0.3">
      <c r="A5698" s="1">
        <v>45193</v>
      </c>
      <c r="B5698" s="2" t="s">
        <v>238</v>
      </c>
      <c r="C5698" s="2" t="s">
        <v>21</v>
      </c>
      <c r="D5698" s="2" t="s">
        <v>10</v>
      </c>
      <c r="E5698" s="2" t="s">
        <v>15</v>
      </c>
      <c r="F5698" s="2">
        <v>41.96</v>
      </c>
      <c r="G5698" s="2">
        <v>2</v>
      </c>
      <c r="H5698" s="2">
        <v>2.94</v>
      </c>
      <c r="I5698" t="str">
        <f t="shared" si="88"/>
        <v>Sep</v>
      </c>
      <c r="J5698">
        <f>YEAR(datas[[#This Row],[Order Date]])</f>
        <v>2023</v>
      </c>
    </row>
    <row r="5699" spans="1:10" ht="14.25" customHeight="1" x14ac:dyDescent="0.3">
      <c r="A5699" s="1">
        <v>45193</v>
      </c>
      <c r="B5699" s="2" t="s">
        <v>238</v>
      </c>
      <c r="C5699" s="2" t="s">
        <v>21</v>
      </c>
      <c r="D5699" s="2" t="s">
        <v>10</v>
      </c>
      <c r="E5699" s="2" t="s">
        <v>11</v>
      </c>
      <c r="F5699" s="2">
        <v>41.7</v>
      </c>
      <c r="G5699" s="2">
        <v>5</v>
      </c>
      <c r="H5699" s="2">
        <v>20.85</v>
      </c>
      <c r="I5699" t="str">
        <f t="shared" ref="I5699:I5762" si="89">TEXT(A5699,"mmm")</f>
        <v>Sep</v>
      </c>
      <c r="J5699">
        <f>YEAR(datas[[#This Row],[Order Date]])</f>
        <v>2023</v>
      </c>
    </row>
    <row r="5700" spans="1:10" ht="14.25" customHeight="1" x14ac:dyDescent="0.3">
      <c r="A5700" s="1">
        <v>45193</v>
      </c>
      <c r="B5700" s="2" t="s">
        <v>687</v>
      </c>
      <c r="C5700" s="2" t="s">
        <v>21</v>
      </c>
      <c r="D5700" s="2" t="s">
        <v>26</v>
      </c>
      <c r="E5700" s="2" t="s">
        <v>32</v>
      </c>
      <c r="F5700" s="2">
        <v>63.2</v>
      </c>
      <c r="G5700" s="2">
        <v>5</v>
      </c>
      <c r="H5700" s="2">
        <v>23.38</v>
      </c>
      <c r="I5700" t="str">
        <f t="shared" si="89"/>
        <v>Sep</v>
      </c>
      <c r="J5700">
        <f>YEAR(datas[[#This Row],[Order Date]])</f>
        <v>2023</v>
      </c>
    </row>
    <row r="5701" spans="1:10" ht="14.25" customHeight="1" x14ac:dyDescent="0.3">
      <c r="A5701" s="1">
        <v>45193</v>
      </c>
      <c r="B5701" s="2" t="s">
        <v>824</v>
      </c>
      <c r="C5701" s="2" t="s">
        <v>126</v>
      </c>
      <c r="D5701" s="2" t="s">
        <v>26</v>
      </c>
      <c r="E5701" s="2" t="s">
        <v>32</v>
      </c>
      <c r="F5701" s="2">
        <v>21.44</v>
      </c>
      <c r="G5701" s="2">
        <v>2</v>
      </c>
      <c r="H5701" s="2">
        <v>7.5</v>
      </c>
      <c r="I5701" t="str">
        <f t="shared" si="89"/>
        <v>Sep</v>
      </c>
      <c r="J5701">
        <f>YEAR(datas[[#This Row],[Order Date]])</f>
        <v>2023</v>
      </c>
    </row>
    <row r="5702" spans="1:10" ht="14.25" customHeight="1" x14ac:dyDescent="0.3">
      <c r="A5702" s="1">
        <v>45193</v>
      </c>
      <c r="B5702" s="2" t="s">
        <v>824</v>
      </c>
      <c r="C5702" s="2" t="s">
        <v>126</v>
      </c>
      <c r="D5702" s="2" t="s">
        <v>10</v>
      </c>
      <c r="E5702" s="2" t="s">
        <v>15</v>
      </c>
      <c r="F5702" s="2">
        <v>511.06</v>
      </c>
      <c r="G5702" s="2">
        <v>9</v>
      </c>
      <c r="H5702" s="2">
        <v>-95.82</v>
      </c>
      <c r="I5702" t="str">
        <f t="shared" si="89"/>
        <v>Sep</v>
      </c>
      <c r="J5702">
        <f>YEAR(datas[[#This Row],[Order Date]])</f>
        <v>2023</v>
      </c>
    </row>
    <row r="5703" spans="1:10" ht="14.25" customHeight="1" x14ac:dyDescent="0.3">
      <c r="A5703" s="1">
        <v>45193</v>
      </c>
      <c r="B5703" s="2" t="s">
        <v>221</v>
      </c>
      <c r="C5703" s="2" t="s">
        <v>329</v>
      </c>
      <c r="D5703" s="2" t="s">
        <v>10</v>
      </c>
      <c r="E5703" s="2" t="s">
        <v>16</v>
      </c>
      <c r="F5703" s="2">
        <v>6.38</v>
      </c>
      <c r="G5703" s="2">
        <v>1</v>
      </c>
      <c r="H5703" s="2">
        <v>2.93</v>
      </c>
      <c r="I5703" t="str">
        <f t="shared" si="89"/>
        <v>Sep</v>
      </c>
      <c r="J5703">
        <f>YEAR(datas[[#This Row],[Order Date]])</f>
        <v>2023</v>
      </c>
    </row>
    <row r="5704" spans="1:10" ht="14.25" customHeight="1" x14ac:dyDescent="0.3">
      <c r="A5704" s="1">
        <v>45193</v>
      </c>
      <c r="B5704" s="2" t="s">
        <v>221</v>
      </c>
      <c r="C5704" s="2" t="s">
        <v>329</v>
      </c>
      <c r="D5704" s="2" t="s">
        <v>10</v>
      </c>
      <c r="E5704" s="2" t="s">
        <v>11</v>
      </c>
      <c r="F5704" s="2">
        <v>6.48</v>
      </c>
      <c r="G5704" s="2">
        <v>1</v>
      </c>
      <c r="H5704" s="2">
        <v>3.11</v>
      </c>
      <c r="I5704" t="str">
        <f t="shared" si="89"/>
        <v>Sep</v>
      </c>
      <c r="J5704">
        <f>YEAR(datas[[#This Row],[Order Date]])</f>
        <v>2023</v>
      </c>
    </row>
    <row r="5705" spans="1:10" ht="14.25" customHeight="1" x14ac:dyDescent="0.3">
      <c r="A5705" s="1">
        <v>45193</v>
      </c>
      <c r="B5705" s="2" t="s">
        <v>191</v>
      </c>
      <c r="C5705" s="2" t="s">
        <v>68</v>
      </c>
      <c r="D5705" s="2" t="s">
        <v>26</v>
      </c>
      <c r="E5705" s="2" t="s">
        <v>32</v>
      </c>
      <c r="F5705" s="2">
        <v>127.95</v>
      </c>
      <c r="G5705" s="2">
        <v>3</v>
      </c>
      <c r="H5705" s="2">
        <v>21.75</v>
      </c>
      <c r="I5705" t="str">
        <f t="shared" si="89"/>
        <v>Sep</v>
      </c>
      <c r="J5705">
        <f>YEAR(datas[[#This Row],[Order Date]])</f>
        <v>2023</v>
      </c>
    </row>
    <row r="5706" spans="1:10" ht="14.25" customHeight="1" x14ac:dyDescent="0.3">
      <c r="A5706" s="1">
        <v>45193</v>
      </c>
      <c r="B5706" s="2" t="s">
        <v>593</v>
      </c>
      <c r="C5706" s="2" t="s">
        <v>13</v>
      </c>
      <c r="D5706" s="2" t="s">
        <v>10</v>
      </c>
      <c r="E5706" s="2" t="s">
        <v>16</v>
      </c>
      <c r="F5706" s="2">
        <v>442.37</v>
      </c>
      <c r="G5706" s="2">
        <v>7</v>
      </c>
      <c r="H5706" s="2">
        <v>-729.91</v>
      </c>
      <c r="I5706" t="str">
        <f t="shared" si="89"/>
        <v>Sep</v>
      </c>
      <c r="J5706">
        <f>YEAR(datas[[#This Row],[Order Date]])</f>
        <v>2023</v>
      </c>
    </row>
    <row r="5707" spans="1:10" ht="14.25" customHeight="1" x14ac:dyDescent="0.3">
      <c r="A5707" s="1">
        <v>45193</v>
      </c>
      <c r="B5707" s="2" t="s">
        <v>213</v>
      </c>
      <c r="C5707" s="2" t="s">
        <v>21</v>
      </c>
      <c r="D5707" s="2" t="s">
        <v>10</v>
      </c>
      <c r="E5707" s="2" t="s">
        <v>41</v>
      </c>
      <c r="F5707" s="2">
        <v>304.89999999999998</v>
      </c>
      <c r="G5707" s="2">
        <v>5</v>
      </c>
      <c r="H5707" s="2">
        <v>143.30000000000001</v>
      </c>
      <c r="I5707" t="str">
        <f t="shared" si="89"/>
        <v>Sep</v>
      </c>
      <c r="J5707">
        <f>YEAR(datas[[#This Row],[Order Date]])</f>
        <v>2023</v>
      </c>
    </row>
    <row r="5708" spans="1:10" ht="14.25" customHeight="1" x14ac:dyDescent="0.3">
      <c r="A5708" s="1">
        <v>45193</v>
      </c>
      <c r="B5708" s="2" t="s">
        <v>213</v>
      </c>
      <c r="C5708" s="2" t="s">
        <v>21</v>
      </c>
      <c r="D5708" s="2" t="s">
        <v>26</v>
      </c>
      <c r="E5708" s="2" t="s">
        <v>27</v>
      </c>
      <c r="F5708" s="2">
        <v>563.24</v>
      </c>
      <c r="G5708" s="2">
        <v>5</v>
      </c>
      <c r="H5708" s="2">
        <v>56.32</v>
      </c>
      <c r="I5708" t="str">
        <f t="shared" si="89"/>
        <v>Sep</v>
      </c>
      <c r="J5708">
        <f>YEAR(datas[[#This Row],[Order Date]])</f>
        <v>2023</v>
      </c>
    </row>
    <row r="5709" spans="1:10" ht="14.25" customHeight="1" x14ac:dyDescent="0.3">
      <c r="A5709" s="1">
        <v>45194</v>
      </c>
      <c r="B5709" s="2" t="s">
        <v>651</v>
      </c>
      <c r="C5709" s="2" t="s">
        <v>55</v>
      </c>
      <c r="D5709" s="2" t="s">
        <v>26</v>
      </c>
      <c r="E5709" s="2" t="s">
        <v>73</v>
      </c>
      <c r="F5709" s="2">
        <v>393.17</v>
      </c>
      <c r="G5709" s="2">
        <v>3</v>
      </c>
      <c r="H5709" s="2">
        <v>-204.45</v>
      </c>
      <c r="I5709" t="str">
        <f t="shared" si="89"/>
        <v>Sep</v>
      </c>
      <c r="J5709">
        <f>YEAR(datas[[#This Row],[Order Date]])</f>
        <v>2023</v>
      </c>
    </row>
    <row r="5710" spans="1:10" ht="14.25" customHeight="1" x14ac:dyDescent="0.3">
      <c r="A5710" s="1">
        <v>45194</v>
      </c>
      <c r="B5710" s="2" t="s">
        <v>113</v>
      </c>
      <c r="C5710" s="2" t="s">
        <v>9</v>
      </c>
      <c r="D5710" s="2" t="s">
        <v>10</v>
      </c>
      <c r="E5710" s="2" t="s">
        <v>14</v>
      </c>
      <c r="F5710" s="2">
        <v>15.94</v>
      </c>
      <c r="G5710" s="2">
        <v>4</v>
      </c>
      <c r="H5710" s="2">
        <v>5.18</v>
      </c>
      <c r="I5710" t="str">
        <f t="shared" si="89"/>
        <v>Sep</v>
      </c>
      <c r="J5710">
        <f>YEAR(datas[[#This Row],[Order Date]])</f>
        <v>2023</v>
      </c>
    </row>
    <row r="5711" spans="1:10" ht="14.25" customHeight="1" x14ac:dyDescent="0.3">
      <c r="A5711" s="1">
        <v>45194</v>
      </c>
      <c r="B5711" s="2" t="s">
        <v>184</v>
      </c>
      <c r="C5711" s="2" t="s">
        <v>52</v>
      </c>
      <c r="D5711" s="2" t="s">
        <v>10</v>
      </c>
      <c r="E5711" s="2" t="s">
        <v>11</v>
      </c>
      <c r="F5711" s="2">
        <v>60.05</v>
      </c>
      <c r="G5711" s="2">
        <v>9</v>
      </c>
      <c r="H5711" s="2">
        <v>22.52</v>
      </c>
      <c r="I5711" t="str">
        <f t="shared" si="89"/>
        <v>Sep</v>
      </c>
      <c r="J5711">
        <f>YEAR(datas[[#This Row],[Order Date]])</f>
        <v>2023</v>
      </c>
    </row>
    <row r="5712" spans="1:10" ht="14.25" customHeight="1" x14ac:dyDescent="0.3">
      <c r="A5712" s="1">
        <v>45194</v>
      </c>
      <c r="B5712" s="2" t="s">
        <v>184</v>
      </c>
      <c r="C5712" s="2" t="s">
        <v>52</v>
      </c>
      <c r="D5712" s="2" t="s">
        <v>10</v>
      </c>
      <c r="E5712" s="2" t="s">
        <v>16</v>
      </c>
      <c r="F5712" s="2">
        <v>5.0199999999999996</v>
      </c>
      <c r="G5712" s="2">
        <v>1</v>
      </c>
      <c r="H5712" s="2">
        <v>-3.52</v>
      </c>
      <c r="I5712" t="str">
        <f t="shared" si="89"/>
        <v>Sep</v>
      </c>
      <c r="J5712">
        <f>YEAR(datas[[#This Row],[Order Date]])</f>
        <v>2023</v>
      </c>
    </row>
    <row r="5713" spans="1:10" ht="14.25" customHeight="1" x14ac:dyDescent="0.3">
      <c r="A5713" s="1">
        <v>45194</v>
      </c>
      <c r="B5713" s="2" t="s">
        <v>693</v>
      </c>
      <c r="C5713" s="2" t="s">
        <v>21</v>
      </c>
      <c r="D5713" s="2" t="s">
        <v>10</v>
      </c>
      <c r="E5713" s="2" t="s">
        <v>19</v>
      </c>
      <c r="F5713" s="2">
        <v>16.559999999999999</v>
      </c>
      <c r="G5713" s="2">
        <v>4</v>
      </c>
      <c r="H5713" s="2">
        <v>6.96</v>
      </c>
      <c r="I5713" t="str">
        <f t="shared" si="89"/>
        <v>Sep</v>
      </c>
      <c r="J5713">
        <f>YEAR(datas[[#This Row],[Order Date]])</f>
        <v>2023</v>
      </c>
    </row>
    <row r="5714" spans="1:10" ht="14.25" customHeight="1" x14ac:dyDescent="0.3">
      <c r="A5714" s="1">
        <v>45194</v>
      </c>
      <c r="B5714" s="2" t="s">
        <v>643</v>
      </c>
      <c r="C5714" s="2" t="s">
        <v>79</v>
      </c>
      <c r="D5714" s="2" t="s">
        <v>28</v>
      </c>
      <c r="E5714" s="2" t="s">
        <v>34</v>
      </c>
      <c r="F5714" s="2">
        <v>499.95</v>
      </c>
      <c r="G5714" s="2">
        <v>5</v>
      </c>
      <c r="H5714" s="2">
        <v>174.98</v>
      </c>
      <c r="I5714" t="str">
        <f t="shared" si="89"/>
        <v>Sep</v>
      </c>
      <c r="J5714">
        <f>YEAR(datas[[#This Row],[Order Date]])</f>
        <v>2023</v>
      </c>
    </row>
    <row r="5715" spans="1:10" ht="14.25" customHeight="1" x14ac:dyDescent="0.3">
      <c r="A5715" s="1">
        <v>45194</v>
      </c>
      <c r="B5715" s="2" t="s">
        <v>643</v>
      </c>
      <c r="C5715" s="2" t="s">
        <v>79</v>
      </c>
      <c r="D5715" s="2" t="s">
        <v>10</v>
      </c>
      <c r="E5715" s="2" t="s">
        <v>19</v>
      </c>
      <c r="F5715" s="2">
        <v>3.04</v>
      </c>
      <c r="G5715" s="2">
        <v>1</v>
      </c>
      <c r="H5715" s="2">
        <v>1.03</v>
      </c>
      <c r="I5715" t="str">
        <f t="shared" si="89"/>
        <v>Sep</v>
      </c>
      <c r="J5715">
        <f>YEAR(datas[[#This Row],[Order Date]])</f>
        <v>2023</v>
      </c>
    </row>
    <row r="5716" spans="1:10" ht="14.25" customHeight="1" x14ac:dyDescent="0.3">
      <c r="A5716" s="1">
        <v>45194</v>
      </c>
      <c r="B5716" s="2" t="s">
        <v>643</v>
      </c>
      <c r="C5716" s="2" t="s">
        <v>79</v>
      </c>
      <c r="D5716" s="2" t="s">
        <v>26</v>
      </c>
      <c r="E5716" s="2" t="s">
        <v>27</v>
      </c>
      <c r="F5716" s="2">
        <v>201.96</v>
      </c>
      <c r="G5716" s="2">
        <v>2</v>
      </c>
      <c r="H5716" s="2">
        <v>50.49</v>
      </c>
      <c r="I5716" t="str">
        <f t="shared" si="89"/>
        <v>Sep</v>
      </c>
      <c r="J5716">
        <f>YEAR(datas[[#This Row],[Order Date]])</f>
        <v>2023</v>
      </c>
    </row>
    <row r="5717" spans="1:10" ht="14.25" customHeight="1" x14ac:dyDescent="0.3">
      <c r="A5717" s="1">
        <v>45194</v>
      </c>
      <c r="B5717" s="2" t="s">
        <v>643</v>
      </c>
      <c r="C5717" s="2" t="s">
        <v>79</v>
      </c>
      <c r="D5717" s="2" t="s">
        <v>26</v>
      </c>
      <c r="E5717" s="2" t="s">
        <v>32</v>
      </c>
      <c r="F5717" s="2">
        <v>68.64</v>
      </c>
      <c r="G5717" s="2">
        <v>11</v>
      </c>
      <c r="H5717" s="2">
        <v>17.16</v>
      </c>
      <c r="I5717" t="str">
        <f t="shared" si="89"/>
        <v>Sep</v>
      </c>
      <c r="J5717">
        <f>YEAR(datas[[#This Row],[Order Date]])</f>
        <v>2023</v>
      </c>
    </row>
    <row r="5718" spans="1:10" ht="14.25" customHeight="1" x14ac:dyDescent="0.3">
      <c r="A5718" s="1">
        <v>45194</v>
      </c>
      <c r="B5718" s="2" t="s">
        <v>650</v>
      </c>
      <c r="C5718" s="2" t="s">
        <v>47</v>
      </c>
      <c r="D5718" s="2" t="s">
        <v>10</v>
      </c>
      <c r="E5718" s="2" t="s">
        <v>53</v>
      </c>
      <c r="F5718" s="2">
        <v>286.26</v>
      </c>
      <c r="G5718" s="2">
        <v>1</v>
      </c>
      <c r="H5718" s="2">
        <v>17.89</v>
      </c>
      <c r="I5718" t="str">
        <f t="shared" si="89"/>
        <v>Sep</v>
      </c>
      <c r="J5718">
        <f>YEAR(datas[[#This Row],[Order Date]])</f>
        <v>2023</v>
      </c>
    </row>
    <row r="5719" spans="1:10" ht="14.25" customHeight="1" x14ac:dyDescent="0.3">
      <c r="A5719" s="1">
        <v>45194</v>
      </c>
      <c r="B5719" s="2" t="s">
        <v>650</v>
      </c>
      <c r="C5719" s="2" t="s">
        <v>47</v>
      </c>
      <c r="D5719" s="2" t="s">
        <v>10</v>
      </c>
      <c r="E5719" s="2" t="s">
        <v>15</v>
      </c>
      <c r="F5719" s="2">
        <v>24.22</v>
      </c>
      <c r="G5719" s="2">
        <v>2</v>
      </c>
      <c r="H5719" s="2">
        <v>-4.84</v>
      </c>
      <c r="I5719" t="str">
        <f t="shared" si="89"/>
        <v>Sep</v>
      </c>
      <c r="J5719">
        <f>YEAR(datas[[#This Row],[Order Date]])</f>
        <v>2023</v>
      </c>
    </row>
    <row r="5720" spans="1:10" ht="14.25" customHeight="1" x14ac:dyDescent="0.3">
      <c r="A5720" s="1">
        <v>45194</v>
      </c>
      <c r="B5720" s="2" t="s">
        <v>650</v>
      </c>
      <c r="C5720" s="2" t="s">
        <v>47</v>
      </c>
      <c r="D5720" s="2" t="s">
        <v>10</v>
      </c>
      <c r="E5720" s="2" t="s">
        <v>15</v>
      </c>
      <c r="F5720" s="2">
        <v>331.54</v>
      </c>
      <c r="G5720" s="2">
        <v>3</v>
      </c>
      <c r="H5720" s="2">
        <v>-82.88</v>
      </c>
      <c r="I5720" t="str">
        <f t="shared" si="89"/>
        <v>Sep</v>
      </c>
      <c r="J5720">
        <f>YEAR(datas[[#This Row],[Order Date]])</f>
        <v>2023</v>
      </c>
    </row>
    <row r="5721" spans="1:10" ht="14.25" customHeight="1" x14ac:dyDescent="0.3">
      <c r="A5721" s="1">
        <v>45194</v>
      </c>
      <c r="B5721" s="2" t="s">
        <v>391</v>
      </c>
      <c r="C5721" s="2" t="s">
        <v>21</v>
      </c>
      <c r="D5721" s="2" t="s">
        <v>26</v>
      </c>
      <c r="E5721" s="2" t="s">
        <v>45</v>
      </c>
      <c r="F5721" s="2">
        <v>477.67</v>
      </c>
      <c r="G5721" s="2">
        <v>2</v>
      </c>
      <c r="H5721" s="2">
        <v>84.29</v>
      </c>
      <c r="I5721" t="str">
        <f t="shared" si="89"/>
        <v>Sep</v>
      </c>
      <c r="J5721">
        <f>YEAR(datas[[#This Row],[Order Date]])</f>
        <v>2023</v>
      </c>
    </row>
    <row r="5722" spans="1:10" ht="14.25" customHeight="1" x14ac:dyDescent="0.3">
      <c r="A5722" s="1">
        <v>45194</v>
      </c>
      <c r="B5722" s="2" t="s">
        <v>343</v>
      </c>
      <c r="C5722" s="2" t="s">
        <v>21</v>
      </c>
      <c r="D5722" s="2" t="s">
        <v>10</v>
      </c>
      <c r="E5722" s="2" t="s">
        <v>11</v>
      </c>
      <c r="F5722" s="2">
        <v>10.9</v>
      </c>
      <c r="G5722" s="2">
        <v>5</v>
      </c>
      <c r="H5722" s="2">
        <v>5.12</v>
      </c>
      <c r="I5722" t="str">
        <f t="shared" si="89"/>
        <v>Sep</v>
      </c>
      <c r="J5722">
        <f>YEAR(datas[[#This Row],[Order Date]])</f>
        <v>2023</v>
      </c>
    </row>
    <row r="5723" spans="1:10" ht="14.25" customHeight="1" x14ac:dyDescent="0.3">
      <c r="A5723" s="1">
        <v>45194</v>
      </c>
      <c r="B5723" s="2" t="s">
        <v>343</v>
      </c>
      <c r="C5723" s="2" t="s">
        <v>21</v>
      </c>
      <c r="D5723" s="2" t="s">
        <v>10</v>
      </c>
      <c r="E5723" s="2" t="s">
        <v>14</v>
      </c>
      <c r="F5723" s="2">
        <v>29.6</v>
      </c>
      <c r="G5723" s="2">
        <v>2</v>
      </c>
      <c r="H5723" s="2">
        <v>14.8</v>
      </c>
      <c r="I5723" t="str">
        <f t="shared" si="89"/>
        <v>Sep</v>
      </c>
      <c r="J5723">
        <f>YEAR(datas[[#This Row],[Order Date]])</f>
        <v>2023</v>
      </c>
    </row>
    <row r="5724" spans="1:10" ht="14.25" customHeight="1" x14ac:dyDescent="0.3">
      <c r="A5724" s="1">
        <v>45194</v>
      </c>
      <c r="B5724" s="2" t="s">
        <v>343</v>
      </c>
      <c r="C5724" s="2" t="s">
        <v>21</v>
      </c>
      <c r="D5724" s="2" t="s">
        <v>10</v>
      </c>
      <c r="E5724" s="2" t="s">
        <v>14</v>
      </c>
      <c r="F5724" s="2">
        <v>4.9800000000000004</v>
      </c>
      <c r="G5724" s="2">
        <v>1</v>
      </c>
      <c r="H5724" s="2">
        <v>2.29</v>
      </c>
      <c r="I5724" t="str">
        <f t="shared" si="89"/>
        <v>Sep</v>
      </c>
      <c r="J5724">
        <f>YEAR(datas[[#This Row],[Order Date]])</f>
        <v>2023</v>
      </c>
    </row>
    <row r="5725" spans="1:10" ht="14.25" customHeight="1" x14ac:dyDescent="0.3">
      <c r="A5725" s="1">
        <v>45194</v>
      </c>
      <c r="B5725" s="2" t="s">
        <v>343</v>
      </c>
      <c r="C5725" s="2" t="s">
        <v>21</v>
      </c>
      <c r="D5725" s="2" t="s">
        <v>28</v>
      </c>
      <c r="E5725" s="2" t="s">
        <v>243</v>
      </c>
      <c r="F5725" s="2">
        <v>479.98</v>
      </c>
      <c r="G5725" s="2">
        <v>3</v>
      </c>
      <c r="H5725" s="2">
        <v>161.99</v>
      </c>
      <c r="I5725" t="str">
        <f t="shared" si="89"/>
        <v>Sep</v>
      </c>
      <c r="J5725">
        <f>YEAR(datas[[#This Row],[Order Date]])</f>
        <v>2023</v>
      </c>
    </row>
    <row r="5726" spans="1:10" ht="14.25" customHeight="1" x14ac:dyDescent="0.3">
      <c r="A5726" s="1">
        <v>45194</v>
      </c>
      <c r="B5726" s="2" t="s">
        <v>343</v>
      </c>
      <c r="C5726" s="2" t="s">
        <v>21</v>
      </c>
      <c r="D5726" s="2" t="s">
        <v>28</v>
      </c>
      <c r="E5726" s="2" t="s">
        <v>29</v>
      </c>
      <c r="F5726" s="2">
        <v>44.74</v>
      </c>
      <c r="G5726" s="2">
        <v>8</v>
      </c>
      <c r="H5726" s="2">
        <v>4.47</v>
      </c>
      <c r="I5726" t="str">
        <f t="shared" si="89"/>
        <v>Sep</v>
      </c>
      <c r="J5726">
        <f>YEAR(datas[[#This Row],[Order Date]])</f>
        <v>2023</v>
      </c>
    </row>
    <row r="5727" spans="1:10" ht="14.25" customHeight="1" x14ac:dyDescent="0.3">
      <c r="A5727" s="1">
        <v>45194</v>
      </c>
      <c r="B5727" s="2" t="s">
        <v>343</v>
      </c>
      <c r="C5727" s="2" t="s">
        <v>21</v>
      </c>
      <c r="D5727" s="2" t="s">
        <v>10</v>
      </c>
      <c r="E5727" s="2" t="s">
        <v>19</v>
      </c>
      <c r="F5727" s="2">
        <v>5.76</v>
      </c>
      <c r="G5727" s="2">
        <v>2</v>
      </c>
      <c r="H5727" s="2">
        <v>1.67</v>
      </c>
      <c r="I5727" t="str">
        <f t="shared" si="89"/>
        <v>Sep</v>
      </c>
      <c r="J5727">
        <f>YEAR(datas[[#This Row],[Order Date]])</f>
        <v>2023</v>
      </c>
    </row>
    <row r="5728" spans="1:10" ht="14.25" customHeight="1" x14ac:dyDescent="0.3">
      <c r="A5728" s="1">
        <v>45194</v>
      </c>
      <c r="B5728" s="2" t="s">
        <v>343</v>
      </c>
      <c r="C5728" s="2" t="s">
        <v>21</v>
      </c>
      <c r="D5728" s="2" t="s">
        <v>26</v>
      </c>
      <c r="E5728" s="2" t="s">
        <v>27</v>
      </c>
      <c r="F5728" s="2">
        <v>483.14</v>
      </c>
      <c r="G5728" s="2">
        <v>4</v>
      </c>
      <c r="H5728" s="2">
        <v>60.39</v>
      </c>
      <c r="I5728" t="str">
        <f t="shared" si="89"/>
        <v>Sep</v>
      </c>
      <c r="J5728">
        <f>YEAR(datas[[#This Row],[Order Date]])</f>
        <v>2023</v>
      </c>
    </row>
    <row r="5729" spans="1:10" ht="14.25" customHeight="1" x14ac:dyDescent="0.3">
      <c r="A5729" s="1">
        <v>45195</v>
      </c>
      <c r="B5729" s="2" t="s">
        <v>89</v>
      </c>
      <c r="C5729" s="2" t="s">
        <v>13</v>
      </c>
      <c r="D5729" s="2" t="s">
        <v>26</v>
      </c>
      <c r="E5729" s="2" t="s">
        <v>27</v>
      </c>
      <c r="F5729" s="2">
        <v>747.56</v>
      </c>
      <c r="G5729" s="2">
        <v>3</v>
      </c>
      <c r="H5729" s="2">
        <v>-96.11</v>
      </c>
      <c r="I5729" t="str">
        <f t="shared" si="89"/>
        <v>Sep</v>
      </c>
      <c r="J5729">
        <f>YEAR(datas[[#This Row],[Order Date]])</f>
        <v>2023</v>
      </c>
    </row>
    <row r="5730" spans="1:10" ht="14.25" customHeight="1" x14ac:dyDescent="0.3">
      <c r="A5730" s="1">
        <v>45195</v>
      </c>
      <c r="B5730" s="2" t="s">
        <v>89</v>
      </c>
      <c r="C5730" s="2" t="s">
        <v>13</v>
      </c>
      <c r="D5730" s="2" t="s">
        <v>10</v>
      </c>
      <c r="E5730" s="2" t="s">
        <v>41</v>
      </c>
      <c r="F5730" s="2">
        <v>8.93</v>
      </c>
      <c r="G5730" s="2">
        <v>2</v>
      </c>
      <c r="H5730" s="2">
        <v>3.35</v>
      </c>
      <c r="I5730" t="str">
        <f t="shared" si="89"/>
        <v>Sep</v>
      </c>
      <c r="J5730">
        <f>YEAR(datas[[#This Row],[Order Date]])</f>
        <v>2023</v>
      </c>
    </row>
    <row r="5731" spans="1:10" ht="14.25" customHeight="1" x14ac:dyDescent="0.3">
      <c r="A5731" s="1">
        <v>45195</v>
      </c>
      <c r="B5731" s="2" t="s">
        <v>634</v>
      </c>
      <c r="C5731" s="2" t="s">
        <v>21</v>
      </c>
      <c r="D5731" s="2" t="s">
        <v>26</v>
      </c>
      <c r="E5731" s="2" t="s">
        <v>45</v>
      </c>
      <c r="F5731" s="2">
        <v>424.96</v>
      </c>
      <c r="G5731" s="2">
        <v>5</v>
      </c>
      <c r="H5731" s="2">
        <v>20</v>
      </c>
      <c r="I5731" t="str">
        <f t="shared" si="89"/>
        <v>Sep</v>
      </c>
      <c r="J5731">
        <f>YEAR(datas[[#This Row],[Order Date]])</f>
        <v>2023</v>
      </c>
    </row>
    <row r="5732" spans="1:10" ht="14.25" customHeight="1" x14ac:dyDescent="0.3">
      <c r="A5732" s="1">
        <v>45195</v>
      </c>
      <c r="B5732" s="2" t="s">
        <v>254</v>
      </c>
      <c r="C5732" s="2" t="s">
        <v>82</v>
      </c>
      <c r="D5732" s="2" t="s">
        <v>10</v>
      </c>
      <c r="E5732" s="2" t="s">
        <v>53</v>
      </c>
      <c r="F5732" s="2">
        <v>236.88</v>
      </c>
      <c r="G5732" s="2">
        <v>6</v>
      </c>
      <c r="H5732" s="2">
        <v>66.33</v>
      </c>
      <c r="I5732" t="str">
        <f t="shared" si="89"/>
        <v>Sep</v>
      </c>
      <c r="J5732">
        <f>YEAR(datas[[#This Row],[Order Date]])</f>
        <v>2023</v>
      </c>
    </row>
    <row r="5733" spans="1:10" ht="14.25" customHeight="1" x14ac:dyDescent="0.3">
      <c r="A5733" s="1">
        <v>45195</v>
      </c>
      <c r="B5733" s="2" t="s">
        <v>254</v>
      </c>
      <c r="C5733" s="2" t="s">
        <v>82</v>
      </c>
      <c r="D5733" s="2" t="s">
        <v>10</v>
      </c>
      <c r="E5733" s="2" t="s">
        <v>11</v>
      </c>
      <c r="F5733" s="2">
        <v>29.9</v>
      </c>
      <c r="G5733" s="2">
        <v>5</v>
      </c>
      <c r="H5733" s="2">
        <v>14.65</v>
      </c>
      <c r="I5733" t="str">
        <f t="shared" si="89"/>
        <v>Sep</v>
      </c>
      <c r="J5733">
        <f>YEAR(datas[[#This Row],[Order Date]])</f>
        <v>2023</v>
      </c>
    </row>
    <row r="5734" spans="1:10" ht="14.25" customHeight="1" x14ac:dyDescent="0.3">
      <c r="A5734" s="1">
        <v>45195</v>
      </c>
      <c r="B5734" s="2" t="s">
        <v>254</v>
      </c>
      <c r="C5734" s="2" t="s">
        <v>82</v>
      </c>
      <c r="D5734" s="2" t="s">
        <v>28</v>
      </c>
      <c r="E5734" s="2" t="s">
        <v>34</v>
      </c>
      <c r="F5734" s="2">
        <v>100</v>
      </c>
      <c r="G5734" s="2">
        <v>4</v>
      </c>
      <c r="H5734" s="2">
        <v>21</v>
      </c>
      <c r="I5734" t="str">
        <f t="shared" si="89"/>
        <v>Sep</v>
      </c>
      <c r="J5734">
        <f>YEAR(datas[[#This Row],[Order Date]])</f>
        <v>2023</v>
      </c>
    </row>
    <row r="5735" spans="1:10" ht="14.25" customHeight="1" x14ac:dyDescent="0.3">
      <c r="A5735" s="1">
        <v>45195</v>
      </c>
      <c r="B5735" s="2" t="s">
        <v>415</v>
      </c>
      <c r="C5735" s="2" t="s">
        <v>165</v>
      </c>
      <c r="D5735" s="2" t="s">
        <v>10</v>
      </c>
      <c r="E5735" s="2" t="s">
        <v>11</v>
      </c>
      <c r="F5735" s="2">
        <v>9.99</v>
      </c>
      <c r="G5735" s="2">
        <v>1</v>
      </c>
      <c r="H5735" s="2">
        <v>4.5</v>
      </c>
      <c r="I5735" t="str">
        <f t="shared" si="89"/>
        <v>Sep</v>
      </c>
      <c r="J5735">
        <f>YEAR(datas[[#This Row],[Order Date]])</f>
        <v>2023</v>
      </c>
    </row>
    <row r="5736" spans="1:10" ht="14.25" customHeight="1" x14ac:dyDescent="0.3">
      <c r="A5736" s="1">
        <v>45195</v>
      </c>
      <c r="B5736" s="2" t="s">
        <v>317</v>
      </c>
      <c r="C5736" s="2" t="s">
        <v>21</v>
      </c>
      <c r="D5736" s="2" t="s">
        <v>10</v>
      </c>
      <c r="E5736" s="2" t="s">
        <v>15</v>
      </c>
      <c r="F5736" s="2">
        <v>51.45</v>
      </c>
      <c r="G5736" s="2">
        <v>3</v>
      </c>
      <c r="H5736" s="2">
        <v>13.89</v>
      </c>
      <c r="I5736" t="str">
        <f t="shared" si="89"/>
        <v>Sep</v>
      </c>
      <c r="J5736">
        <f>YEAR(datas[[#This Row],[Order Date]])</f>
        <v>2023</v>
      </c>
    </row>
    <row r="5737" spans="1:10" ht="14.25" customHeight="1" x14ac:dyDescent="0.3">
      <c r="A5737" s="1">
        <v>45195</v>
      </c>
      <c r="B5737" s="2" t="s">
        <v>317</v>
      </c>
      <c r="C5737" s="2" t="s">
        <v>21</v>
      </c>
      <c r="D5737" s="2" t="s">
        <v>10</v>
      </c>
      <c r="E5737" s="2" t="s">
        <v>14</v>
      </c>
      <c r="F5737" s="2">
        <v>7.83</v>
      </c>
      <c r="G5737" s="2">
        <v>3</v>
      </c>
      <c r="H5737" s="2">
        <v>3.6</v>
      </c>
      <c r="I5737" t="str">
        <f t="shared" si="89"/>
        <v>Sep</v>
      </c>
      <c r="J5737">
        <f>YEAR(datas[[#This Row],[Order Date]])</f>
        <v>2023</v>
      </c>
    </row>
    <row r="5738" spans="1:10" ht="14.25" customHeight="1" x14ac:dyDescent="0.3">
      <c r="A5738" s="1">
        <v>45195</v>
      </c>
      <c r="B5738" s="2" t="s">
        <v>317</v>
      </c>
      <c r="C5738" s="2" t="s">
        <v>21</v>
      </c>
      <c r="D5738" s="2" t="s">
        <v>10</v>
      </c>
      <c r="E5738" s="2" t="s">
        <v>19</v>
      </c>
      <c r="F5738" s="2">
        <v>35.4</v>
      </c>
      <c r="G5738" s="2">
        <v>5</v>
      </c>
      <c r="H5738" s="2">
        <v>13.45</v>
      </c>
      <c r="I5738" t="str">
        <f t="shared" si="89"/>
        <v>Sep</v>
      </c>
      <c r="J5738">
        <f>YEAR(datas[[#This Row],[Order Date]])</f>
        <v>2023</v>
      </c>
    </row>
    <row r="5739" spans="1:10" ht="14.25" customHeight="1" x14ac:dyDescent="0.3">
      <c r="A5739" s="1">
        <v>45195</v>
      </c>
      <c r="B5739" s="2" t="s">
        <v>317</v>
      </c>
      <c r="C5739" s="2" t="s">
        <v>21</v>
      </c>
      <c r="D5739" s="2" t="s">
        <v>10</v>
      </c>
      <c r="E5739" s="2" t="s">
        <v>11</v>
      </c>
      <c r="F5739" s="2">
        <v>29.9</v>
      </c>
      <c r="G5739" s="2">
        <v>5</v>
      </c>
      <c r="H5739" s="2">
        <v>13.46</v>
      </c>
      <c r="I5739" t="str">
        <f t="shared" si="89"/>
        <v>Sep</v>
      </c>
      <c r="J5739">
        <f>YEAR(datas[[#This Row],[Order Date]])</f>
        <v>2023</v>
      </c>
    </row>
    <row r="5740" spans="1:10" ht="14.25" customHeight="1" x14ac:dyDescent="0.3">
      <c r="A5740" s="1">
        <v>45195</v>
      </c>
      <c r="B5740" s="2" t="s">
        <v>430</v>
      </c>
      <c r="C5740" s="2" t="s">
        <v>21</v>
      </c>
      <c r="D5740" s="2" t="s">
        <v>10</v>
      </c>
      <c r="E5740" s="2" t="s">
        <v>11</v>
      </c>
      <c r="F5740" s="2">
        <v>12.96</v>
      </c>
      <c r="G5740" s="2">
        <v>2</v>
      </c>
      <c r="H5740" s="2">
        <v>6.22</v>
      </c>
      <c r="I5740" t="str">
        <f t="shared" si="89"/>
        <v>Sep</v>
      </c>
      <c r="J5740">
        <f>YEAR(datas[[#This Row],[Order Date]])</f>
        <v>2023</v>
      </c>
    </row>
    <row r="5741" spans="1:10" ht="14.25" customHeight="1" x14ac:dyDescent="0.3">
      <c r="A5741" s="1">
        <v>45195</v>
      </c>
      <c r="B5741" s="2" t="s">
        <v>522</v>
      </c>
      <c r="C5741" s="2" t="s">
        <v>64</v>
      </c>
      <c r="D5741" s="2" t="s">
        <v>28</v>
      </c>
      <c r="E5741" s="2" t="s">
        <v>34</v>
      </c>
      <c r="F5741" s="2">
        <v>431.98</v>
      </c>
      <c r="G5741" s="2">
        <v>3</v>
      </c>
      <c r="H5741" s="2">
        <v>-75.599999999999994</v>
      </c>
      <c r="I5741" t="str">
        <f t="shared" si="89"/>
        <v>Sep</v>
      </c>
      <c r="J5741">
        <f>YEAR(datas[[#This Row],[Order Date]])</f>
        <v>2023</v>
      </c>
    </row>
    <row r="5742" spans="1:10" ht="14.25" customHeight="1" x14ac:dyDescent="0.3">
      <c r="A5742" s="1">
        <v>45195</v>
      </c>
      <c r="B5742" s="2" t="s">
        <v>110</v>
      </c>
      <c r="C5742" s="2" t="s">
        <v>9</v>
      </c>
      <c r="D5742" s="2" t="s">
        <v>10</v>
      </c>
      <c r="E5742" s="2" t="s">
        <v>16</v>
      </c>
      <c r="F5742" s="2">
        <v>15.62</v>
      </c>
      <c r="G5742" s="2">
        <v>2</v>
      </c>
      <c r="H5742" s="2">
        <v>-25</v>
      </c>
      <c r="I5742" t="str">
        <f t="shared" si="89"/>
        <v>Sep</v>
      </c>
      <c r="J5742">
        <f>YEAR(datas[[#This Row],[Order Date]])</f>
        <v>2023</v>
      </c>
    </row>
    <row r="5743" spans="1:10" ht="14.25" customHeight="1" x14ac:dyDescent="0.3">
      <c r="A5743" s="1">
        <v>45195</v>
      </c>
      <c r="B5743" s="2" t="s">
        <v>452</v>
      </c>
      <c r="C5743" s="2" t="s">
        <v>9</v>
      </c>
      <c r="D5743" s="2" t="s">
        <v>10</v>
      </c>
      <c r="E5743" s="2" t="s">
        <v>53</v>
      </c>
      <c r="F5743" s="2">
        <v>93.03</v>
      </c>
      <c r="G5743" s="2">
        <v>2</v>
      </c>
      <c r="H5743" s="2">
        <v>-251.19</v>
      </c>
      <c r="I5743" t="str">
        <f t="shared" si="89"/>
        <v>Sep</v>
      </c>
      <c r="J5743">
        <f>YEAR(datas[[#This Row],[Order Date]])</f>
        <v>2023</v>
      </c>
    </row>
    <row r="5744" spans="1:10" ht="14.25" customHeight="1" x14ac:dyDescent="0.3">
      <c r="A5744" s="1">
        <v>45195</v>
      </c>
      <c r="B5744" s="2" t="s">
        <v>452</v>
      </c>
      <c r="C5744" s="2" t="s">
        <v>9</v>
      </c>
      <c r="D5744" s="2" t="s">
        <v>26</v>
      </c>
      <c r="E5744" s="2" t="s">
        <v>27</v>
      </c>
      <c r="F5744" s="2">
        <v>454.97</v>
      </c>
      <c r="G5744" s="2">
        <v>5</v>
      </c>
      <c r="H5744" s="2">
        <v>-136.49</v>
      </c>
      <c r="I5744" t="str">
        <f t="shared" si="89"/>
        <v>Sep</v>
      </c>
      <c r="J5744">
        <f>YEAR(datas[[#This Row],[Order Date]])</f>
        <v>2023</v>
      </c>
    </row>
    <row r="5745" spans="1:10" ht="14.25" customHeight="1" x14ac:dyDescent="0.3">
      <c r="A5745" s="1">
        <v>45195</v>
      </c>
      <c r="B5745" s="2" t="s">
        <v>793</v>
      </c>
      <c r="C5745" s="2" t="s">
        <v>9</v>
      </c>
      <c r="D5745" s="2" t="s">
        <v>10</v>
      </c>
      <c r="E5745" s="2" t="s">
        <v>16</v>
      </c>
      <c r="F5745" s="2">
        <v>6.82</v>
      </c>
      <c r="G5745" s="2">
        <v>2</v>
      </c>
      <c r="H5745" s="2">
        <v>-11.59</v>
      </c>
      <c r="I5745" t="str">
        <f t="shared" si="89"/>
        <v>Sep</v>
      </c>
      <c r="J5745">
        <f>YEAR(datas[[#This Row],[Order Date]])</f>
        <v>2023</v>
      </c>
    </row>
    <row r="5746" spans="1:10" ht="14.25" customHeight="1" x14ac:dyDescent="0.3">
      <c r="A5746" s="1">
        <v>45196</v>
      </c>
      <c r="B5746" s="2" t="s">
        <v>380</v>
      </c>
      <c r="C5746" s="2" t="s">
        <v>9</v>
      </c>
      <c r="D5746" s="2" t="s">
        <v>26</v>
      </c>
      <c r="E5746" s="2" t="s">
        <v>45</v>
      </c>
      <c r="F5746" s="2">
        <v>956.66</v>
      </c>
      <c r="G5746" s="2">
        <v>7</v>
      </c>
      <c r="H5746" s="2">
        <v>-225.1</v>
      </c>
      <c r="I5746" t="str">
        <f t="shared" si="89"/>
        <v>Sep</v>
      </c>
      <c r="J5746">
        <f>YEAR(datas[[#This Row],[Order Date]])</f>
        <v>2023</v>
      </c>
    </row>
    <row r="5747" spans="1:10" ht="14.25" customHeight="1" x14ac:dyDescent="0.3">
      <c r="A5747" s="1">
        <v>45196</v>
      </c>
      <c r="B5747" s="2" t="s">
        <v>359</v>
      </c>
      <c r="C5747" s="2" t="s">
        <v>47</v>
      </c>
      <c r="D5747" s="2" t="s">
        <v>10</v>
      </c>
      <c r="E5747" s="2" t="s">
        <v>16</v>
      </c>
      <c r="F5747" s="2">
        <v>2.91</v>
      </c>
      <c r="G5747" s="2">
        <v>3</v>
      </c>
      <c r="H5747" s="2">
        <v>-2.0299999999999998</v>
      </c>
      <c r="I5747" t="str">
        <f t="shared" si="89"/>
        <v>Sep</v>
      </c>
      <c r="J5747">
        <f>YEAR(datas[[#This Row],[Order Date]])</f>
        <v>2023</v>
      </c>
    </row>
    <row r="5748" spans="1:10" ht="14.25" customHeight="1" x14ac:dyDescent="0.3">
      <c r="A5748" s="1">
        <v>45196</v>
      </c>
      <c r="B5748" s="2" t="s">
        <v>734</v>
      </c>
      <c r="C5748" s="2" t="s">
        <v>82</v>
      </c>
      <c r="D5748" s="2" t="s">
        <v>28</v>
      </c>
      <c r="E5748" s="2" t="s">
        <v>29</v>
      </c>
      <c r="F5748" s="2">
        <v>1001.58</v>
      </c>
      <c r="G5748" s="2">
        <v>2</v>
      </c>
      <c r="H5748" s="2">
        <v>125.2</v>
      </c>
      <c r="I5748" t="str">
        <f t="shared" si="89"/>
        <v>Sep</v>
      </c>
      <c r="J5748">
        <f>YEAR(datas[[#This Row],[Order Date]])</f>
        <v>2023</v>
      </c>
    </row>
    <row r="5749" spans="1:10" ht="14.25" customHeight="1" x14ac:dyDescent="0.3">
      <c r="A5749" s="1">
        <v>45196</v>
      </c>
      <c r="B5749" s="2" t="s">
        <v>296</v>
      </c>
      <c r="C5749" s="2" t="s">
        <v>23</v>
      </c>
      <c r="D5749" s="2" t="s">
        <v>10</v>
      </c>
      <c r="E5749" s="2" t="s">
        <v>11</v>
      </c>
      <c r="F5749" s="2">
        <v>17.940000000000001</v>
      </c>
      <c r="G5749" s="2">
        <v>3</v>
      </c>
      <c r="H5749" s="2">
        <v>8.7899999999999991</v>
      </c>
      <c r="I5749" t="str">
        <f t="shared" si="89"/>
        <v>Sep</v>
      </c>
      <c r="J5749">
        <f>YEAR(datas[[#This Row],[Order Date]])</f>
        <v>2023</v>
      </c>
    </row>
    <row r="5750" spans="1:10" ht="14.25" customHeight="1" x14ac:dyDescent="0.3">
      <c r="A5750" s="1">
        <v>45196</v>
      </c>
      <c r="B5750" s="2" t="s">
        <v>296</v>
      </c>
      <c r="C5750" s="2" t="s">
        <v>23</v>
      </c>
      <c r="D5750" s="2" t="s">
        <v>10</v>
      </c>
      <c r="E5750" s="2" t="s">
        <v>19</v>
      </c>
      <c r="F5750" s="2">
        <v>13.89</v>
      </c>
      <c r="G5750" s="2">
        <v>3</v>
      </c>
      <c r="H5750" s="2">
        <v>4.58</v>
      </c>
      <c r="I5750" t="str">
        <f t="shared" si="89"/>
        <v>Sep</v>
      </c>
      <c r="J5750">
        <f>YEAR(datas[[#This Row],[Order Date]])</f>
        <v>2023</v>
      </c>
    </row>
    <row r="5751" spans="1:10" ht="14.25" customHeight="1" x14ac:dyDescent="0.3">
      <c r="A5751" s="1">
        <v>45197</v>
      </c>
      <c r="B5751" s="2" t="s">
        <v>61</v>
      </c>
      <c r="C5751" s="2" t="s">
        <v>13</v>
      </c>
      <c r="D5751" s="2" t="s">
        <v>10</v>
      </c>
      <c r="E5751" s="2" t="s">
        <v>11</v>
      </c>
      <c r="F5751" s="2">
        <v>99.14</v>
      </c>
      <c r="G5751" s="2">
        <v>4</v>
      </c>
      <c r="H5751" s="2">
        <v>30.98</v>
      </c>
      <c r="I5751" t="str">
        <f t="shared" si="89"/>
        <v>Sep</v>
      </c>
      <c r="J5751">
        <f>YEAR(datas[[#This Row],[Order Date]])</f>
        <v>2023</v>
      </c>
    </row>
    <row r="5752" spans="1:10" ht="14.25" customHeight="1" x14ac:dyDescent="0.3">
      <c r="A5752" s="1">
        <v>45198</v>
      </c>
      <c r="B5752" s="2" t="s">
        <v>709</v>
      </c>
      <c r="C5752" s="2" t="s">
        <v>18</v>
      </c>
      <c r="D5752" s="2" t="s">
        <v>10</v>
      </c>
      <c r="E5752" s="2" t="s">
        <v>14</v>
      </c>
      <c r="F5752" s="2">
        <v>15.94</v>
      </c>
      <c r="G5752" s="2">
        <v>4</v>
      </c>
      <c r="H5752" s="2">
        <v>5.18</v>
      </c>
      <c r="I5752" t="str">
        <f t="shared" si="89"/>
        <v>Sep</v>
      </c>
      <c r="J5752">
        <f>YEAR(datas[[#This Row],[Order Date]])</f>
        <v>2023</v>
      </c>
    </row>
    <row r="5753" spans="1:10" ht="14.25" customHeight="1" x14ac:dyDescent="0.3">
      <c r="A5753" s="1">
        <v>45198</v>
      </c>
      <c r="B5753" s="2" t="s">
        <v>642</v>
      </c>
      <c r="C5753" s="2" t="s">
        <v>68</v>
      </c>
      <c r="D5753" s="2" t="s">
        <v>10</v>
      </c>
      <c r="E5753" s="2" t="s">
        <v>19</v>
      </c>
      <c r="F5753" s="2">
        <v>40.880000000000003</v>
      </c>
      <c r="G5753" s="2">
        <v>7</v>
      </c>
      <c r="H5753" s="2">
        <v>10.63</v>
      </c>
      <c r="I5753" t="str">
        <f t="shared" si="89"/>
        <v>Sep</v>
      </c>
      <c r="J5753">
        <f>YEAR(datas[[#This Row],[Order Date]])</f>
        <v>2023</v>
      </c>
    </row>
    <row r="5754" spans="1:10" ht="14.25" customHeight="1" x14ac:dyDescent="0.3">
      <c r="A5754" s="1">
        <v>45198</v>
      </c>
      <c r="B5754" s="2" t="s">
        <v>322</v>
      </c>
      <c r="C5754" s="2" t="s">
        <v>21</v>
      </c>
      <c r="D5754" s="2" t="s">
        <v>10</v>
      </c>
      <c r="E5754" s="2" t="s">
        <v>11</v>
      </c>
      <c r="F5754" s="2">
        <v>18.97</v>
      </c>
      <c r="G5754" s="2">
        <v>1</v>
      </c>
      <c r="H5754" s="2">
        <v>9.11</v>
      </c>
      <c r="I5754" t="str">
        <f t="shared" si="89"/>
        <v>Sep</v>
      </c>
      <c r="J5754">
        <f>YEAR(datas[[#This Row],[Order Date]])</f>
        <v>2023</v>
      </c>
    </row>
    <row r="5755" spans="1:10" ht="14.25" customHeight="1" x14ac:dyDescent="0.3">
      <c r="A5755" s="1">
        <v>45198</v>
      </c>
      <c r="B5755" s="2" t="s">
        <v>591</v>
      </c>
      <c r="C5755" s="2" t="s">
        <v>198</v>
      </c>
      <c r="D5755" s="2" t="s">
        <v>28</v>
      </c>
      <c r="E5755" s="2" t="s">
        <v>34</v>
      </c>
      <c r="F5755" s="2">
        <v>209.97</v>
      </c>
      <c r="G5755" s="2">
        <v>3</v>
      </c>
      <c r="H5755" s="2">
        <v>71.39</v>
      </c>
      <c r="I5755" t="str">
        <f t="shared" si="89"/>
        <v>Sep</v>
      </c>
      <c r="J5755">
        <f>YEAR(datas[[#This Row],[Order Date]])</f>
        <v>2023</v>
      </c>
    </row>
    <row r="5756" spans="1:10" ht="14.25" customHeight="1" x14ac:dyDescent="0.3">
      <c r="A5756" s="1">
        <v>45198</v>
      </c>
      <c r="B5756" s="2" t="s">
        <v>591</v>
      </c>
      <c r="C5756" s="2" t="s">
        <v>198</v>
      </c>
      <c r="D5756" s="2" t="s">
        <v>10</v>
      </c>
      <c r="E5756" s="2" t="s">
        <v>16</v>
      </c>
      <c r="F5756" s="2">
        <v>62.94</v>
      </c>
      <c r="G5756" s="2">
        <v>3</v>
      </c>
      <c r="H5756" s="2">
        <v>30.21</v>
      </c>
      <c r="I5756" t="str">
        <f t="shared" si="89"/>
        <v>Sep</v>
      </c>
      <c r="J5756">
        <f>YEAR(datas[[#This Row],[Order Date]])</f>
        <v>2023</v>
      </c>
    </row>
    <row r="5757" spans="1:10" ht="14.25" customHeight="1" x14ac:dyDescent="0.3">
      <c r="A5757" s="1">
        <v>45198</v>
      </c>
      <c r="B5757" s="2" t="s">
        <v>591</v>
      </c>
      <c r="C5757" s="2" t="s">
        <v>198</v>
      </c>
      <c r="D5757" s="2" t="s">
        <v>10</v>
      </c>
      <c r="E5757" s="2" t="s">
        <v>19</v>
      </c>
      <c r="F5757" s="2">
        <v>25.92</v>
      </c>
      <c r="G5757" s="2">
        <v>9</v>
      </c>
      <c r="H5757" s="2">
        <v>7.78</v>
      </c>
      <c r="I5757" t="str">
        <f t="shared" si="89"/>
        <v>Sep</v>
      </c>
      <c r="J5757">
        <f>YEAR(datas[[#This Row],[Order Date]])</f>
        <v>2023</v>
      </c>
    </row>
    <row r="5758" spans="1:10" ht="14.25" customHeight="1" x14ac:dyDescent="0.3">
      <c r="A5758" s="1">
        <v>45198</v>
      </c>
      <c r="B5758" s="2" t="s">
        <v>611</v>
      </c>
      <c r="C5758" s="2" t="s">
        <v>21</v>
      </c>
      <c r="D5758" s="2" t="s">
        <v>10</v>
      </c>
      <c r="E5758" s="2" t="s">
        <v>16</v>
      </c>
      <c r="F5758" s="2">
        <v>27.24</v>
      </c>
      <c r="G5758" s="2">
        <v>5</v>
      </c>
      <c r="H5758" s="2">
        <v>9.5299999999999994</v>
      </c>
      <c r="I5758" t="str">
        <f t="shared" si="89"/>
        <v>Sep</v>
      </c>
      <c r="J5758">
        <f>YEAR(datas[[#This Row],[Order Date]])</f>
        <v>2023</v>
      </c>
    </row>
    <row r="5759" spans="1:10" ht="14.25" customHeight="1" x14ac:dyDescent="0.3">
      <c r="A5759" s="1">
        <v>45198</v>
      </c>
      <c r="B5759" s="2" t="s">
        <v>512</v>
      </c>
      <c r="C5759" s="2" t="s">
        <v>55</v>
      </c>
      <c r="D5759" s="2" t="s">
        <v>10</v>
      </c>
      <c r="E5759" s="2" t="s">
        <v>19</v>
      </c>
      <c r="F5759" s="2">
        <v>10.5</v>
      </c>
      <c r="G5759" s="2">
        <v>4</v>
      </c>
      <c r="H5759" s="2">
        <v>1.18</v>
      </c>
      <c r="I5759" t="str">
        <f t="shared" si="89"/>
        <v>Sep</v>
      </c>
      <c r="J5759">
        <f>YEAR(datas[[#This Row],[Order Date]])</f>
        <v>2023</v>
      </c>
    </row>
    <row r="5760" spans="1:10" ht="14.25" customHeight="1" x14ac:dyDescent="0.3">
      <c r="A5760" s="1">
        <v>45198</v>
      </c>
      <c r="B5760" s="2" t="s">
        <v>513</v>
      </c>
      <c r="C5760" s="2" t="s">
        <v>52</v>
      </c>
      <c r="D5760" s="2" t="s">
        <v>28</v>
      </c>
      <c r="E5760" s="2" t="s">
        <v>29</v>
      </c>
      <c r="F5760" s="2">
        <v>859.2</v>
      </c>
      <c r="G5760" s="2">
        <v>3</v>
      </c>
      <c r="H5760" s="2">
        <v>75.180000000000007</v>
      </c>
      <c r="I5760" t="str">
        <f t="shared" si="89"/>
        <v>Sep</v>
      </c>
      <c r="J5760">
        <f>YEAR(datas[[#This Row],[Order Date]])</f>
        <v>2023</v>
      </c>
    </row>
    <row r="5761" spans="1:10" ht="14.25" customHeight="1" x14ac:dyDescent="0.3">
      <c r="A5761" s="1">
        <v>45198</v>
      </c>
      <c r="B5761" s="2" t="s">
        <v>577</v>
      </c>
      <c r="C5761" s="2" t="s">
        <v>21</v>
      </c>
      <c r="D5761" s="2" t="s">
        <v>28</v>
      </c>
      <c r="E5761" s="2" t="s">
        <v>34</v>
      </c>
      <c r="F5761" s="2">
        <v>36.24</v>
      </c>
      <c r="G5761" s="2">
        <v>1</v>
      </c>
      <c r="H5761" s="2">
        <v>15.22</v>
      </c>
      <c r="I5761" t="str">
        <f t="shared" si="89"/>
        <v>Sep</v>
      </c>
      <c r="J5761">
        <f>YEAR(datas[[#This Row],[Order Date]])</f>
        <v>2023</v>
      </c>
    </row>
    <row r="5762" spans="1:10" ht="14.25" customHeight="1" x14ac:dyDescent="0.3">
      <c r="A5762" s="1">
        <v>45199</v>
      </c>
      <c r="B5762" s="2" t="s">
        <v>677</v>
      </c>
      <c r="C5762" s="2" t="s">
        <v>13</v>
      </c>
      <c r="D5762" s="2" t="s">
        <v>10</v>
      </c>
      <c r="E5762" s="2" t="s">
        <v>16</v>
      </c>
      <c r="F5762" s="2">
        <v>1.96</v>
      </c>
      <c r="G5762" s="2">
        <v>2</v>
      </c>
      <c r="H5762" s="2">
        <v>-3.24</v>
      </c>
      <c r="I5762" t="str">
        <f t="shared" si="89"/>
        <v>Sep</v>
      </c>
      <c r="J5762">
        <f>YEAR(datas[[#This Row],[Order Date]])</f>
        <v>2023</v>
      </c>
    </row>
    <row r="5763" spans="1:10" ht="14.25" customHeight="1" x14ac:dyDescent="0.3">
      <c r="A5763" s="1">
        <v>45199</v>
      </c>
      <c r="B5763" s="2" t="s">
        <v>259</v>
      </c>
      <c r="C5763" s="2" t="s">
        <v>75</v>
      </c>
      <c r="D5763" s="2" t="s">
        <v>26</v>
      </c>
      <c r="E5763" s="2" t="s">
        <v>45</v>
      </c>
      <c r="F5763" s="2">
        <v>523.91999999999996</v>
      </c>
      <c r="G5763" s="2">
        <v>5</v>
      </c>
      <c r="H5763" s="2">
        <v>-26.2</v>
      </c>
      <c r="I5763" t="str">
        <f t="shared" ref="I5763:I5826" si="90">TEXT(A5763,"mmm")</f>
        <v>Sep</v>
      </c>
      <c r="J5763">
        <f>YEAR(datas[[#This Row],[Order Date]])</f>
        <v>2023</v>
      </c>
    </row>
    <row r="5764" spans="1:10" ht="14.25" customHeight="1" x14ac:dyDescent="0.3">
      <c r="A5764" s="1">
        <v>45200</v>
      </c>
      <c r="B5764" s="2" t="s">
        <v>348</v>
      </c>
      <c r="C5764" s="2" t="s">
        <v>21</v>
      </c>
      <c r="D5764" s="2" t="s">
        <v>26</v>
      </c>
      <c r="E5764" s="2" t="s">
        <v>27</v>
      </c>
      <c r="F5764" s="2">
        <v>194.85</v>
      </c>
      <c r="G5764" s="2">
        <v>4</v>
      </c>
      <c r="H5764" s="2">
        <v>12.18</v>
      </c>
      <c r="I5764" t="str">
        <f t="shared" si="90"/>
        <v>Oct</v>
      </c>
      <c r="J5764">
        <f>YEAR(datas[[#This Row],[Order Date]])</f>
        <v>2023</v>
      </c>
    </row>
    <row r="5765" spans="1:10" ht="14.25" customHeight="1" x14ac:dyDescent="0.3">
      <c r="A5765" s="1">
        <v>45200</v>
      </c>
      <c r="B5765" s="2" t="s">
        <v>463</v>
      </c>
      <c r="C5765" s="2" t="s">
        <v>68</v>
      </c>
      <c r="D5765" s="2" t="s">
        <v>28</v>
      </c>
      <c r="E5765" s="2" t="s">
        <v>29</v>
      </c>
      <c r="F5765" s="2">
        <v>69.900000000000006</v>
      </c>
      <c r="G5765" s="2">
        <v>2</v>
      </c>
      <c r="H5765" s="2">
        <v>18.87</v>
      </c>
      <c r="I5765" t="str">
        <f t="shared" si="90"/>
        <v>Oct</v>
      </c>
      <c r="J5765">
        <f>YEAR(datas[[#This Row],[Order Date]])</f>
        <v>2023</v>
      </c>
    </row>
    <row r="5766" spans="1:10" ht="14.25" customHeight="1" x14ac:dyDescent="0.3">
      <c r="A5766" s="1">
        <v>45200</v>
      </c>
      <c r="B5766" s="2" t="s">
        <v>463</v>
      </c>
      <c r="C5766" s="2" t="s">
        <v>68</v>
      </c>
      <c r="D5766" s="2" t="s">
        <v>26</v>
      </c>
      <c r="E5766" s="2" t="s">
        <v>32</v>
      </c>
      <c r="F5766" s="2">
        <v>41.85</v>
      </c>
      <c r="G5766" s="2">
        <v>5</v>
      </c>
      <c r="H5766" s="2">
        <v>10.88</v>
      </c>
      <c r="I5766" t="str">
        <f t="shared" si="90"/>
        <v>Oct</v>
      </c>
      <c r="J5766">
        <f>YEAR(datas[[#This Row],[Order Date]])</f>
        <v>2023</v>
      </c>
    </row>
    <row r="5767" spans="1:10" ht="14.25" customHeight="1" x14ac:dyDescent="0.3">
      <c r="A5767" s="1">
        <v>45200</v>
      </c>
      <c r="B5767" s="2" t="s">
        <v>259</v>
      </c>
      <c r="C5767" s="2" t="s">
        <v>75</v>
      </c>
      <c r="D5767" s="2" t="s">
        <v>26</v>
      </c>
      <c r="E5767" s="2" t="s">
        <v>73</v>
      </c>
      <c r="F5767" s="2">
        <v>330.59</v>
      </c>
      <c r="G5767" s="2">
        <v>1</v>
      </c>
      <c r="H5767" s="2">
        <v>-115.71</v>
      </c>
      <c r="I5767" t="str">
        <f t="shared" si="90"/>
        <v>Oct</v>
      </c>
      <c r="J5767">
        <f>YEAR(datas[[#This Row],[Order Date]])</f>
        <v>2023</v>
      </c>
    </row>
    <row r="5768" spans="1:10" ht="14.25" customHeight="1" x14ac:dyDescent="0.3">
      <c r="A5768" s="1">
        <v>45200</v>
      </c>
      <c r="B5768" s="2" t="s">
        <v>530</v>
      </c>
      <c r="C5768" s="2" t="s">
        <v>9</v>
      </c>
      <c r="D5768" s="2" t="s">
        <v>28</v>
      </c>
      <c r="E5768" s="2" t="s">
        <v>34</v>
      </c>
      <c r="F5768" s="2">
        <v>79.510000000000005</v>
      </c>
      <c r="G5768" s="2">
        <v>3</v>
      </c>
      <c r="H5768" s="2">
        <v>20.87</v>
      </c>
      <c r="I5768" t="str">
        <f t="shared" si="90"/>
        <v>Oct</v>
      </c>
      <c r="J5768">
        <f>YEAR(datas[[#This Row],[Order Date]])</f>
        <v>2023</v>
      </c>
    </row>
    <row r="5769" spans="1:10" ht="14.25" customHeight="1" x14ac:dyDescent="0.3">
      <c r="A5769" s="1">
        <v>45200</v>
      </c>
      <c r="B5769" s="2" t="s">
        <v>530</v>
      </c>
      <c r="C5769" s="2" t="s">
        <v>9</v>
      </c>
      <c r="D5769" s="2" t="s">
        <v>10</v>
      </c>
      <c r="E5769" s="2" t="s">
        <v>11</v>
      </c>
      <c r="F5769" s="2">
        <v>28.35</v>
      </c>
      <c r="G5769" s="2">
        <v>1</v>
      </c>
      <c r="H5769" s="2">
        <v>9.57</v>
      </c>
      <c r="I5769" t="str">
        <f t="shared" si="90"/>
        <v>Oct</v>
      </c>
      <c r="J5769">
        <f>YEAR(datas[[#This Row],[Order Date]])</f>
        <v>2023</v>
      </c>
    </row>
    <row r="5770" spans="1:10" ht="14.25" customHeight="1" x14ac:dyDescent="0.3">
      <c r="A5770" s="1">
        <v>45200</v>
      </c>
      <c r="B5770" s="2" t="s">
        <v>363</v>
      </c>
      <c r="C5770" s="2" t="s">
        <v>64</v>
      </c>
      <c r="D5770" s="2" t="s">
        <v>10</v>
      </c>
      <c r="E5770" s="2" t="s">
        <v>16</v>
      </c>
      <c r="F5770" s="2">
        <v>5.39</v>
      </c>
      <c r="G5770" s="2">
        <v>4</v>
      </c>
      <c r="H5770" s="2">
        <v>-4.49</v>
      </c>
      <c r="I5770" t="str">
        <f t="shared" si="90"/>
        <v>Oct</v>
      </c>
      <c r="J5770">
        <f>YEAR(datas[[#This Row],[Order Date]])</f>
        <v>2023</v>
      </c>
    </row>
    <row r="5771" spans="1:10" ht="14.25" customHeight="1" x14ac:dyDescent="0.3">
      <c r="A5771" s="1">
        <v>45200</v>
      </c>
      <c r="B5771" s="2" t="s">
        <v>363</v>
      </c>
      <c r="C5771" s="2" t="s">
        <v>64</v>
      </c>
      <c r="D5771" s="2" t="s">
        <v>10</v>
      </c>
      <c r="E5771" s="2" t="s">
        <v>19</v>
      </c>
      <c r="F5771" s="2">
        <v>30.98</v>
      </c>
      <c r="G5771" s="2">
        <v>8</v>
      </c>
      <c r="H5771" s="2">
        <v>5.03</v>
      </c>
      <c r="I5771" t="str">
        <f t="shared" si="90"/>
        <v>Oct</v>
      </c>
      <c r="J5771">
        <f>YEAR(datas[[#This Row],[Order Date]])</f>
        <v>2023</v>
      </c>
    </row>
    <row r="5772" spans="1:10" ht="14.25" customHeight="1" x14ac:dyDescent="0.3">
      <c r="A5772" s="1">
        <v>45201</v>
      </c>
      <c r="B5772" s="2" t="s">
        <v>749</v>
      </c>
      <c r="C5772" s="2" t="s">
        <v>75</v>
      </c>
      <c r="D5772" s="2" t="s">
        <v>10</v>
      </c>
      <c r="E5772" s="2" t="s">
        <v>53</v>
      </c>
      <c r="F5772" s="2">
        <v>61.44</v>
      </c>
      <c r="G5772" s="2">
        <v>3</v>
      </c>
      <c r="H5772" s="2">
        <v>16.59</v>
      </c>
      <c r="I5772" t="str">
        <f t="shared" si="90"/>
        <v>Oct</v>
      </c>
      <c r="J5772">
        <f>YEAR(datas[[#This Row],[Order Date]])</f>
        <v>2023</v>
      </c>
    </row>
    <row r="5773" spans="1:10" ht="14.25" customHeight="1" x14ac:dyDescent="0.3">
      <c r="A5773" s="1">
        <v>45201</v>
      </c>
      <c r="B5773" s="2" t="s">
        <v>834</v>
      </c>
      <c r="C5773" s="2" t="s">
        <v>55</v>
      </c>
      <c r="D5773" s="2" t="s">
        <v>10</v>
      </c>
      <c r="E5773" s="2" t="s">
        <v>16</v>
      </c>
      <c r="F5773" s="2">
        <v>54.79</v>
      </c>
      <c r="G5773" s="2">
        <v>6</v>
      </c>
      <c r="H5773" s="2">
        <v>-40.18</v>
      </c>
      <c r="I5773" t="str">
        <f t="shared" si="90"/>
        <v>Oct</v>
      </c>
      <c r="J5773">
        <f>YEAR(datas[[#This Row],[Order Date]])</f>
        <v>2023</v>
      </c>
    </row>
    <row r="5774" spans="1:10" ht="14.25" customHeight="1" x14ac:dyDescent="0.3">
      <c r="A5774" s="1">
        <v>45201</v>
      </c>
      <c r="B5774" s="2" t="s">
        <v>570</v>
      </c>
      <c r="C5774" s="2" t="s">
        <v>68</v>
      </c>
      <c r="D5774" s="2" t="s">
        <v>10</v>
      </c>
      <c r="E5774" s="2" t="s">
        <v>15</v>
      </c>
      <c r="F5774" s="2">
        <v>32.479999999999997</v>
      </c>
      <c r="G5774" s="2">
        <v>2</v>
      </c>
      <c r="H5774" s="2">
        <v>4.87</v>
      </c>
      <c r="I5774" t="str">
        <f t="shared" si="90"/>
        <v>Oct</v>
      </c>
      <c r="J5774">
        <f>YEAR(datas[[#This Row],[Order Date]])</f>
        <v>2023</v>
      </c>
    </row>
    <row r="5775" spans="1:10" ht="14.25" customHeight="1" x14ac:dyDescent="0.3">
      <c r="A5775" s="1">
        <v>45201</v>
      </c>
      <c r="B5775" s="2" t="s">
        <v>570</v>
      </c>
      <c r="C5775" s="2" t="s">
        <v>68</v>
      </c>
      <c r="D5775" s="2" t="s">
        <v>28</v>
      </c>
      <c r="E5775" s="2" t="s">
        <v>243</v>
      </c>
      <c r="F5775" s="2">
        <v>17499.95</v>
      </c>
      <c r="G5775" s="2">
        <v>5</v>
      </c>
      <c r="H5775" s="2">
        <v>8399.98</v>
      </c>
      <c r="I5775" t="str">
        <f t="shared" si="90"/>
        <v>Oct</v>
      </c>
      <c r="J5775">
        <f>YEAR(datas[[#This Row],[Order Date]])</f>
        <v>2023</v>
      </c>
    </row>
    <row r="5776" spans="1:10" ht="14.25" customHeight="1" x14ac:dyDescent="0.3">
      <c r="A5776" s="1">
        <v>45201</v>
      </c>
      <c r="B5776" s="2" t="s">
        <v>570</v>
      </c>
      <c r="C5776" s="2" t="s">
        <v>68</v>
      </c>
      <c r="D5776" s="2" t="s">
        <v>10</v>
      </c>
      <c r="E5776" s="2" t="s">
        <v>16</v>
      </c>
      <c r="F5776" s="2">
        <v>735.98</v>
      </c>
      <c r="G5776" s="2">
        <v>2</v>
      </c>
      <c r="H5776" s="2">
        <v>331.19</v>
      </c>
      <c r="I5776" t="str">
        <f t="shared" si="90"/>
        <v>Oct</v>
      </c>
      <c r="J5776">
        <f>YEAR(datas[[#This Row],[Order Date]])</f>
        <v>2023</v>
      </c>
    </row>
    <row r="5777" spans="1:10" ht="14.25" customHeight="1" x14ac:dyDescent="0.3">
      <c r="A5777" s="1">
        <v>45201</v>
      </c>
      <c r="B5777" s="2" t="s">
        <v>570</v>
      </c>
      <c r="C5777" s="2" t="s">
        <v>68</v>
      </c>
      <c r="D5777" s="2" t="s">
        <v>10</v>
      </c>
      <c r="E5777" s="2" t="s">
        <v>16</v>
      </c>
      <c r="F5777" s="2">
        <v>34.369999999999997</v>
      </c>
      <c r="G5777" s="2">
        <v>7</v>
      </c>
      <c r="H5777" s="2">
        <v>16.84</v>
      </c>
      <c r="I5777" t="str">
        <f t="shared" si="90"/>
        <v>Oct</v>
      </c>
      <c r="J5777">
        <f>YEAR(datas[[#This Row],[Order Date]])</f>
        <v>2023</v>
      </c>
    </row>
    <row r="5778" spans="1:10" ht="14.25" customHeight="1" x14ac:dyDescent="0.3">
      <c r="A5778" s="1">
        <v>45201</v>
      </c>
      <c r="B5778" s="2" t="s">
        <v>570</v>
      </c>
      <c r="C5778" s="2" t="s">
        <v>68</v>
      </c>
      <c r="D5778" s="2" t="s">
        <v>10</v>
      </c>
      <c r="E5778" s="2" t="s">
        <v>19</v>
      </c>
      <c r="F5778" s="2">
        <v>33.96</v>
      </c>
      <c r="G5778" s="2">
        <v>2</v>
      </c>
      <c r="H5778" s="2">
        <v>9.51</v>
      </c>
      <c r="I5778" t="str">
        <f t="shared" si="90"/>
        <v>Oct</v>
      </c>
      <c r="J5778">
        <f>YEAR(datas[[#This Row],[Order Date]])</f>
        <v>2023</v>
      </c>
    </row>
    <row r="5779" spans="1:10" ht="14.25" customHeight="1" x14ac:dyDescent="0.3">
      <c r="A5779" s="1">
        <v>45202</v>
      </c>
      <c r="B5779" s="2" t="s">
        <v>56</v>
      </c>
      <c r="C5779" s="2" t="s">
        <v>9</v>
      </c>
      <c r="D5779" s="2" t="s">
        <v>10</v>
      </c>
      <c r="E5779" s="2" t="s">
        <v>41</v>
      </c>
      <c r="F5779" s="2">
        <v>15.65</v>
      </c>
      <c r="G5779" s="2">
        <v>2</v>
      </c>
      <c r="H5779" s="2">
        <v>5.09</v>
      </c>
      <c r="I5779" t="str">
        <f t="shared" si="90"/>
        <v>Oct</v>
      </c>
      <c r="J5779">
        <f>YEAR(datas[[#This Row],[Order Date]])</f>
        <v>2023</v>
      </c>
    </row>
    <row r="5780" spans="1:10" ht="14.25" customHeight="1" x14ac:dyDescent="0.3">
      <c r="A5780" s="1">
        <v>45202</v>
      </c>
      <c r="B5780" s="2" t="s">
        <v>251</v>
      </c>
      <c r="C5780" s="2" t="s">
        <v>75</v>
      </c>
      <c r="D5780" s="2" t="s">
        <v>26</v>
      </c>
      <c r="E5780" s="2" t="s">
        <v>27</v>
      </c>
      <c r="F5780" s="2">
        <v>599.29</v>
      </c>
      <c r="G5780" s="2">
        <v>6</v>
      </c>
      <c r="H5780" s="2">
        <v>93.22</v>
      </c>
      <c r="I5780" t="str">
        <f t="shared" si="90"/>
        <v>Oct</v>
      </c>
      <c r="J5780">
        <f>YEAR(datas[[#This Row],[Order Date]])</f>
        <v>2023</v>
      </c>
    </row>
    <row r="5781" spans="1:10" ht="14.25" customHeight="1" x14ac:dyDescent="0.3">
      <c r="A5781" s="1">
        <v>45202</v>
      </c>
      <c r="B5781" s="2" t="s">
        <v>681</v>
      </c>
      <c r="C5781" s="2" t="s">
        <v>9</v>
      </c>
      <c r="D5781" s="2" t="s">
        <v>26</v>
      </c>
      <c r="E5781" s="2" t="s">
        <v>32</v>
      </c>
      <c r="F5781" s="2">
        <v>38.08</v>
      </c>
      <c r="G5781" s="2">
        <v>5</v>
      </c>
      <c r="H5781" s="2">
        <v>-29.51</v>
      </c>
      <c r="I5781" t="str">
        <f t="shared" si="90"/>
        <v>Oct</v>
      </c>
      <c r="J5781">
        <f>YEAR(datas[[#This Row],[Order Date]])</f>
        <v>2023</v>
      </c>
    </row>
    <row r="5782" spans="1:10" ht="14.25" customHeight="1" x14ac:dyDescent="0.3">
      <c r="A5782" s="1">
        <v>45202</v>
      </c>
      <c r="B5782" s="2" t="s">
        <v>545</v>
      </c>
      <c r="C5782" s="2" t="s">
        <v>21</v>
      </c>
      <c r="D5782" s="2" t="s">
        <v>10</v>
      </c>
      <c r="E5782" s="2" t="s">
        <v>14</v>
      </c>
      <c r="F5782" s="2">
        <v>6.16</v>
      </c>
      <c r="G5782" s="2">
        <v>2</v>
      </c>
      <c r="H5782" s="2">
        <v>2.96</v>
      </c>
      <c r="I5782" t="str">
        <f t="shared" si="90"/>
        <v>Oct</v>
      </c>
      <c r="J5782">
        <f>YEAR(datas[[#This Row],[Order Date]])</f>
        <v>2023</v>
      </c>
    </row>
    <row r="5783" spans="1:10" ht="14.25" customHeight="1" x14ac:dyDescent="0.3">
      <c r="A5783" s="1">
        <v>45202</v>
      </c>
      <c r="B5783" s="2" t="s">
        <v>545</v>
      </c>
      <c r="C5783" s="2" t="s">
        <v>21</v>
      </c>
      <c r="D5783" s="2" t="s">
        <v>26</v>
      </c>
      <c r="E5783" s="2" t="s">
        <v>27</v>
      </c>
      <c r="F5783" s="2">
        <v>915.14</v>
      </c>
      <c r="G5783" s="2">
        <v>4</v>
      </c>
      <c r="H5783" s="2">
        <v>102.95</v>
      </c>
      <c r="I5783" t="str">
        <f t="shared" si="90"/>
        <v>Oct</v>
      </c>
      <c r="J5783">
        <f>YEAR(datas[[#This Row],[Order Date]])</f>
        <v>2023</v>
      </c>
    </row>
    <row r="5784" spans="1:10" ht="14.25" customHeight="1" x14ac:dyDescent="0.3">
      <c r="A5784" s="1">
        <v>45202</v>
      </c>
      <c r="B5784" s="2" t="s">
        <v>545</v>
      </c>
      <c r="C5784" s="2" t="s">
        <v>21</v>
      </c>
      <c r="D5784" s="2" t="s">
        <v>10</v>
      </c>
      <c r="E5784" s="2" t="s">
        <v>11</v>
      </c>
      <c r="F5784" s="2">
        <v>8.56</v>
      </c>
      <c r="G5784" s="2">
        <v>2</v>
      </c>
      <c r="H5784" s="2">
        <v>3.85</v>
      </c>
      <c r="I5784" t="str">
        <f t="shared" si="90"/>
        <v>Oct</v>
      </c>
      <c r="J5784">
        <f>YEAR(datas[[#This Row],[Order Date]])</f>
        <v>2023</v>
      </c>
    </row>
    <row r="5785" spans="1:10" ht="14.25" customHeight="1" x14ac:dyDescent="0.3">
      <c r="A5785" s="1">
        <v>45202</v>
      </c>
      <c r="B5785" s="2" t="s">
        <v>545</v>
      </c>
      <c r="C5785" s="2" t="s">
        <v>21</v>
      </c>
      <c r="D5785" s="2" t="s">
        <v>10</v>
      </c>
      <c r="E5785" s="2" t="s">
        <v>11</v>
      </c>
      <c r="F5785" s="2">
        <v>97.82</v>
      </c>
      <c r="G5785" s="2">
        <v>2</v>
      </c>
      <c r="H5785" s="2">
        <v>45.98</v>
      </c>
      <c r="I5785" t="str">
        <f t="shared" si="90"/>
        <v>Oct</v>
      </c>
      <c r="J5785">
        <f>YEAR(datas[[#This Row],[Order Date]])</f>
        <v>2023</v>
      </c>
    </row>
    <row r="5786" spans="1:10" ht="14.25" customHeight="1" x14ac:dyDescent="0.3">
      <c r="A5786" s="1">
        <v>45203</v>
      </c>
      <c r="B5786" s="2" t="s">
        <v>613</v>
      </c>
      <c r="C5786" s="2" t="s">
        <v>9</v>
      </c>
      <c r="D5786" s="2" t="s">
        <v>10</v>
      </c>
      <c r="E5786" s="2" t="s">
        <v>41</v>
      </c>
      <c r="F5786" s="2">
        <v>59.75</v>
      </c>
      <c r="G5786" s="2">
        <v>7</v>
      </c>
      <c r="H5786" s="2">
        <v>19.420000000000002</v>
      </c>
      <c r="I5786" t="str">
        <f t="shared" si="90"/>
        <v>Oct</v>
      </c>
      <c r="J5786">
        <f>YEAR(datas[[#This Row],[Order Date]])</f>
        <v>2023</v>
      </c>
    </row>
    <row r="5787" spans="1:10" ht="14.25" customHeight="1" x14ac:dyDescent="0.3">
      <c r="A5787" s="1">
        <v>45203</v>
      </c>
      <c r="B5787" s="2" t="s">
        <v>166</v>
      </c>
      <c r="C5787" s="2" t="s">
        <v>553</v>
      </c>
      <c r="D5787" s="2" t="s">
        <v>10</v>
      </c>
      <c r="E5787" s="2" t="s">
        <v>16</v>
      </c>
      <c r="F5787" s="2">
        <v>30.4</v>
      </c>
      <c r="G5787" s="2">
        <v>1</v>
      </c>
      <c r="H5787" s="2">
        <v>13.98</v>
      </c>
      <c r="I5787" t="str">
        <f t="shared" si="90"/>
        <v>Oct</v>
      </c>
      <c r="J5787">
        <f>YEAR(datas[[#This Row],[Order Date]])</f>
        <v>2023</v>
      </c>
    </row>
    <row r="5788" spans="1:10" ht="14.25" customHeight="1" x14ac:dyDescent="0.3">
      <c r="A5788" s="1">
        <v>45203</v>
      </c>
      <c r="B5788" s="2" t="s">
        <v>166</v>
      </c>
      <c r="C5788" s="2" t="s">
        <v>553</v>
      </c>
      <c r="D5788" s="2" t="s">
        <v>28</v>
      </c>
      <c r="E5788" s="2" t="s">
        <v>243</v>
      </c>
      <c r="F5788" s="2">
        <v>5399.91</v>
      </c>
      <c r="G5788" s="2">
        <v>9</v>
      </c>
      <c r="H5788" s="2">
        <v>2591.96</v>
      </c>
      <c r="I5788" t="str">
        <f t="shared" si="90"/>
        <v>Oct</v>
      </c>
      <c r="J5788">
        <f>YEAR(datas[[#This Row],[Order Date]])</f>
        <v>2023</v>
      </c>
    </row>
    <row r="5789" spans="1:10" ht="14.25" customHeight="1" x14ac:dyDescent="0.3">
      <c r="A5789" s="1">
        <v>45203</v>
      </c>
      <c r="B5789" s="2" t="s">
        <v>166</v>
      </c>
      <c r="C5789" s="2" t="s">
        <v>553</v>
      </c>
      <c r="D5789" s="2" t="s">
        <v>10</v>
      </c>
      <c r="E5789" s="2" t="s">
        <v>15</v>
      </c>
      <c r="F5789" s="2">
        <v>119.1</v>
      </c>
      <c r="G5789" s="2">
        <v>3</v>
      </c>
      <c r="H5789" s="2">
        <v>34.54</v>
      </c>
      <c r="I5789" t="str">
        <f t="shared" si="90"/>
        <v>Oct</v>
      </c>
      <c r="J5789">
        <f>YEAR(datas[[#This Row],[Order Date]])</f>
        <v>2023</v>
      </c>
    </row>
    <row r="5790" spans="1:10" ht="14.25" customHeight="1" x14ac:dyDescent="0.3">
      <c r="A5790" s="1">
        <v>45203</v>
      </c>
      <c r="B5790" s="2" t="s">
        <v>33</v>
      </c>
      <c r="C5790" s="2" t="s">
        <v>215</v>
      </c>
      <c r="D5790" s="2" t="s">
        <v>26</v>
      </c>
      <c r="E5790" s="2" t="s">
        <v>73</v>
      </c>
      <c r="F5790" s="2">
        <v>239.37</v>
      </c>
      <c r="G5790" s="2">
        <v>2</v>
      </c>
      <c r="H5790" s="2">
        <v>-23.94</v>
      </c>
      <c r="I5790" t="str">
        <f t="shared" si="90"/>
        <v>Oct</v>
      </c>
      <c r="J5790">
        <f>YEAR(datas[[#This Row],[Order Date]])</f>
        <v>2023</v>
      </c>
    </row>
    <row r="5791" spans="1:10" ht="14.25" customHeight="1" x14ac:dyDescent="0.3">
      <c r="A5791" s="1">
        <v>45203</v>
      </c>
      <c r="B5791" s="2" t="s">
        <v>183</v>
      </c>
      <c r="C5791" s="2" t="s">
        <v>64</v>
      </c>
      <c r="D5791" s="2" t="s">
        <v>28</v>
      </c>
      <c r="E5791" s="2" t="s">
        <v>29</v>
      </c>
      <c r="F5791" s="2">
        <v>52.68</v>
      </c>
      <c r="G5791" s="2">
        <v>3</v>
      </c>
      <c r="H5791" s="2">
        <v>19.760000000000002</v>
      </c>
      <c r="I5791" t="str">
        <f t="shared" si="90"/>
        <v>Oct</v>
      </c>
      <c r="J5791">
        <f>YEAR(datas[[#This Row],[Order Date]])</f>
        <v>2023</v>
      </c>
    </row>
    <row r="5792" spans="1:10" ht="14.25" customHeight="1" x14ac:dyDescent="0.3">
      <c r="A5792" s="1">
        <v>45203</v>
      </c>
      <c r="B5792" s="2" t="s">
        <v>183</v>
      </c>
      <c r="C5792" s="2" t="s">
        <v>64</v>
      </c>
      <c r="D5792" s="2" t="s">
        <v>26</v>
      </c>
      <c r="E5792" s="2" t="s">
        <v>32</v>
      </c>
      <c r="F5792" s="2">
        <v>11.57</v>
      </c>
      <c r="G5792" s="2">
        <v>3</v>
      </c>
      <c r="H5792" s="2">
        <v>2.6</v>
      </c>
      <c r="I5792" t="str">
        <f t="shared" si="90"/>
        <v>Oct</v>
      </c>
      <c r="J5792">
        <f>YEAR(datas[[#This Row],[Order Date]])</f>
        <v>2023</v>
      </c>
    </row>
    <row r="5793" spans="1:10" ht="14.25" customHeight="1" x14ac:dyDescent="0.3">
      <c r="A5793" s="1">
        <v>45205</v>
      </c>
      <c r="B5793" s="2" t="s">
        <v>730</v>
      </c>
      <c r="C5793" s="2" t="s">
        <v>329</v>
      </c>
      <c r="D5793" s="2" t="s">
        <v>10</v>
      </c>
      <c r="E5793" s="2" t="s">
        <v>16</v>
      </c>
      <c r="F5793" s="2">
        <v>28.85</v>
      </c>
      <c r="G5793" s="2">
        <v>5</v>
      </c>
      <c r="H5793" s="2">
        <v>14.43</v>
      </c>
      <c r="I5793" t="str">
        <f t="shared" si="90"/>
        <v>Oct</v>
      </c>
      <c r="J5793">
        <f>YEAR(datas[[#This Row],[Order Date]])</f>
        <v>2023</v>
      </c>
    </row>
    <row r="5794" spans="1:10" ht="14.25" customHeight="1" x14ac:dyDescent="0.3">
      <c r="A5794" s="1">
        <v>45205</v>
      </c>
      <c r="B5794" s="2" t="s">
        <v>226</v>
      </c>
      <c r="C5794" s="2" t="s">
        <v>126</v>
      </c>
      <c r="D5794" s="2" t="s">
        <v>28</v>
      </c>
      <c r="E5794" s="2" t="s">
        <v>136</v>
      </c>
      <c r="F5794" s="2">
        <v>703.71</v>
      </c>
      <c r="G5794" s="2">
        <v>6</v>
      </c>
      <c r="H5794" s="2">
        <v>-938.28</v>
      </c>
      <c r="I5794" t="str">
        <f t="shared" si="90"/>
        <v>Oct</v>
      </c>
      <c r="J5794">
        <f>YEAR(datas[[#This Row],[Order Date]])</f>
        <v>2023</v>
      </c>
    </row>
    <row r="5795" spans="1:10" ht="14.25" customHeight="1" x14ac:dyDescent="0.3">
      <c r="A5795" s="1">
        <v>45205</v>
      </c>
      <c r="B5795" s="2" t="s">
        <v>226</v>
      </c>
      <c r="C5795" s="2" t="s">
        <v>126</v>
      </c>
      <c r="D5795" s="2" t="s">
        <v>10</v>
      </c>
      <c r="E5795" s="2" t="s">
        <v>16</v>
      </c>
      <c r="F5795" s="2">
        <v>17.899999999999999</v>
      </c>
      <c r="G5795" s="2">
        <v>4</v>
      </c>
      <c r="H5795" s="2">
        <v>-14.92</v>
      </c>
      <c r="I5795" t="str">
        <f t="shared" si="90"/>
        <v>Oct</v>
      </c>
      <c r="J5795">
        <f>YEAR(datas[[#This Row],[Order Date]])</f>
        <v>2023</v>
      </c>
    </row>
    <row r="5796" spans="1:10" ht="14.25" customHeight="1" x14ac:dyDescent="0.3">
      <c r="A5796" s="1">
        <v>45205</v>
      </c>
      <c r="B5796" s="2" t="s">
        <v>226</v>
      </c>
      <c r="C5796" s="2" t="s">
        <v>126</v>
      </c>
      <c r="D5796" s="2" t="s">
        <v>10</v>
      </c>
      <c r="E5796" s="2" t="s">
        <v>16</v>
      </c>
      <c r="F5796" s="2">
        <v>11.98</v>
      </c>
      <c r="G5796" s="2">
        <v>4</v>
      </c>
      <c r="H5796" s="2">
        <v>-9.18</v>
      </c>
      <c r="I5796" t="str">
        <f t="shared" si="90"/>
        <v>Oct</v>
      </c>
      <c r="J5796">
        <f>YEAR(datas[[#This Row],[Order Date]])</f>
        <v>2023</v>
      </c>
    </row>
    <row r="5797" spans="1:10" ht="14.25" customHeight="1" x14ac:dyDescent="0.3">
      <c r="A5797" s="1">
        <v>45205</v>
      </c>
      <c r="B5797" s="2" t="s">
        <v>226</v>
      </c>
      <c r="C5797" s="2" t="s">
        <v>126</v>
      </c>
      <c r="D5797" s="2" t="s">
        <v>28</v>
      </c>
      <c r="E5797" s="2" t="s">
        <v>34</v>
      </c>
      <c r="F5797" s="2">
        <v>67.959999999999994</v>
      </c>
      <c r="G5797" s="2">
        <v>5</v>
      </c>
      <c r="H5797" s="2">
        <v>0.85</v>
      </c>
      <c r="I5797" t="str">
        <f t="shared" si="90"/>
        <v>Oct</v>
      </c>
      <c r="J5797">
        <f>YEAR(datas[[#This Row],[Order Date]])</f>
        <v>2023</v>
      </c>
    </row>
    <row r="5798" spans="1:10" ht="14.25" customHeight="1" x14ac:dyDescent="0.3">
      <c r="A5798" s="1">
        <v>45206</v>
      </c>
      <c r="B5798" s="2" t="s">
        <v>632</v>
      </c>
      <c r="C5798" s="2" t="s">
        <v>21</v>
      </c>
      <c r="D5798" s="2" t="s">
        <v>10</v>
      </c>
      <c r="E5798" s="2" t="s">
        <v>16</v>
      </c>
      <c r="F5798" s="2">
        <v>27.26</v>
      </c>
      <c r="G5798" s="2">
        <v>2</v>
      </c>
      <c r="H5798" s="2">
        <v>8.86</v>
      </c>
      <c r="I5798" t="str">
        <f t="shared" si="90"/>
        <v>Oct</v>
      </c>
      <c r="J5798">
        <f>YEAR(datas[[#This Row],[Order Date]])</f>
        <v>2023</v>
      </c>
    </row>
    <row r="5799" spans="1:10" ht="14.25" customHeight="1" x14ac:dyDescent="0.3">
      <c r="A5799" s="1">
        <v>45206</v>
      </c>
      <c r="B5799" s="2" t="s">
        <v>803</v>
      </c>
      <c r="C5799" s="2" t="s">
        <v>82</v>
      </c>
      <c r="D5799" s="2" t="s">
        <v>28</v>
      </c>
      <c r="E5799" s="2" t="s">
        <v>136</v>
      </c>
      <c r="F5799" s="2">
        <v>837.6</v>
      </c>
      <c r="G5799" s="2">
        <v>3</v>
      </c>
      <c r="H5799" s="2">
        <v>62.82</v>
      </c>
      <c r="I5799" t="str">
        <f t="shared" si="90"/>
        <v>Oct</v>
      </c>
      <c r="J5799">
        <f>YEAR(datas[[#This Row],[Order Date]])</f>
        <v>2023</v>
      </c>
    </row>
    <row r="5800" spans="1:10" ht="14.25" customHeight="1" x14ac:dyDescent="0.3">
      <c r="A5800" s="1">
        <v>45206</v>
      </c>
      <c r="B5800" s="2" t="s">
        <v>270</v>
      </c>
      <c r="C5800" s="2" t="s">
        <v>21</v>
      </c>
      <c r="D5800" s="2" t="s">
        <v>10</v>
      </c>
      <c r="E5800" s="2" t="s">
        <v>11</v>
      </c>
      <c r="F5800" s="2">
        <v>10.56</v>
      </c>
      <c r="G5800" s="2">
        <v>2</v>
      </c>
      <c r="H5800" s="2">
        <v>5.07</v>
      </c>
      <c r="I5800" t="str">
        <f t="shared" si="90"/>
        <v>Oct</v>
      </c>
      <c r="J5800">
        <f>YEAR(datas[[#This Row],[Order Date]])</f>
        <v>2023</v>
      </c>
    </row>
    <row r="5801" spans="1:10" ht="14.25" customHeight="1" x14ac:dyDescent="0.3">
      <c r="A5801" s="1">
        <v>45206</v>
      </c>
      <c r="B5801" s="2" t="s">
        <v>367</v>
      </c>
      <c r="C5801" s="2" t="s">
        <v>18</v>
      </c>
      <c r="D5801" s="2" t="s">
        <v>10</v>
      </c>
      <c r="E5801" s="2" t="s">
        <v>14</v>
      </c>
      <c r="F5801" s="2">
        <v>4.93</v>
      </c>
      <c r="G5801" s="2">
        <v>2</v>
      </c>
      <c r="H5801" s="2">
        <v>1.72</v>
      </c>
      <c r="I5801" t="str">
        <f t="shared" si="90"/>
        <v>Oct</v>
      </c>
      <c r="J5801">
        <f>YEAR(datas[[#This Row],[Order Date]])</f>
        <v>2023</v>
      </c>
    </row>
    <row r="5802" spans="1:10" ht="14.25" customHeight="1" x14ac:dyDescent="0.3">
      <c r="A5802" s="1">
        <v>45206</v>
      </c>
      <c r="B5802" s="2" t="s">
        <v>327</v>
      </c>
      <c r="C5802" s="2" t="s">
        <v>82</v>
      </c>
      <c r="D5802" s="2" t="s">
        <v>10</v>
      </c>
      <c r="E5802" s="2" t="s">
        <v>30</v>
      </c>
      <c r="F5802" s="2">
        <v>93.36</v>
      </c>
      <c r="G5802" s="2">
        <v>12</v>
      </c>
      <c r="H5802" s="2">
        <v>0.93</v>
      </c>
      <c r="I5802" t="str">
        <f t="shared" si="90"/>
        <v>Oct</v>
      </c>
      <c r="J5802">
        <f>YEAR(datas[[#This Row],[Order Date]])</f>
        <v>2023</v>
      </c>
    </row>
    <row r="5803" spans="1:10" ht="14.25" customHeight="1" x14ac:dyDescent="0.3">
      <c r="A5803" s="1">
        <v>45207</v>
      </c>
      <c r="B5803" s="2" t="s">
        <v>692</v>
      </c>
      <c r="C5803" s="2" t="s">
        <v>9</v>
      </c>
      <c r="D5803" s="2" t="s">
        <v>26</v>
      </c>
      <c r="E5803" s="2" t="s">
        <v>32</v>
      </c>
      <c r="F5803" s="2">
        <v>51.71</v>
      </c>
      <c r="G5803" s="2">
        <v>8</v>
      </c>
      <c r="H5803" s="2">
        <v>-32.32</v>
      </c>
      <c r="I5803" t="str">
        <f t="shared" si="90"/>
        <v>Oct</v>
      </c>
      <c r="J5803">
        <f>YEAR(datas[[#This Row],[Order Date]])</f>
        <v>2023</v>
      </c>
    </row>
    <row r="5804" spans="1:10" ht="14.25" customHeight="1" x14ac:dyDescent="0.3">
      <c r="A5804" s="1">
        <v>45207</v>
      </c>
      <c r="B5804" s="2" t="s">
        <v>332</v>
      </c>
      <c r="C5804" s="2" t="s">
        <v>21</v>
      </c>
      <c r="D5804" s="2" t="s">
        <v>10</v>
      </c>
      <c r="E5804" s="2" t="s">
        <v>11</v>
      </c>
      <c r="F5804" s="2">
        <v>61.96</v>
      </c>
      <c r="G5804" s="2">
        <v>2</v>
      </c>
      <c r="H5804" s="2">
        <v>27.88</v>
      </c>
      <c r="I5804" t="str">
        <f t="shared" si="90"/>
        <v>Oct</v>
      </c>
      <c r="J5804">
        <f>YEAR(datas[[#This Row],[Order Date]])</f>
        <v>2023</v>
      </c>
    </row>
    <row r="5805" spans="1:10" ht="14.25" customHeight="1" x14ac:dyDescent="0.3">
      <c r="A5805" s="1">
        <v>45207</v>
      </c>
      <c r="B5805" s="2" t="s">
        <v>799</v>
      </c>
      <c r="C5805" s="2" t="s">
        <v>9</v>
      </c>
      <c r="D5805" s="2" t="s">
        <v>10</v>
      </c>
      <c r="E5805" s="2" t="s">
        <v>14</v>
      </c>
      <c r="F5805" s="2">
        <v>60.14</v>
      </c>
      <c r="G5805" s="2">
        <v>6</v>
      </c>
      <c r="H5805" s="2">
        <v>20.3</v>
      </c>
      <c r="I5805" t="str">
        <f t="shared" si="90"/>
        <v>Oct</v>
      </c>
      <c r="J5805">
        <f>YEAR(datas[[#This Row],[Order Date]])</f>
        <v>2023</v>
      </c>
    </row>
    <row r="5806" spans="1:10" ht="14.25" customHeight="1" x14ac:dyDescent="0.3">
      <c r="A5806" s="1">
        <v>45207</v>
      </c>
      <c r="B5806" s="2" t="s">
        <v>511</v>
      </c>
      <c r="C5806" s="2" t="s">
        <v>115</v>
      </c>
      <c r="D5806" s="2" t="s">
        <v>10</v>
      </c>
      <c r="E5806" s="2" t="s">
        <v>15</v>
      </c>
      <c r="F5806" s="2">
        <v>387.72</v>
      </c>
      <c r="G5806" s="2">
        <v>5</v>
      </c>
      <c r="H5806" s="2">
        <v>-67.849999999999994</v>
      </c>
      <c r="I5806" t="str">
        <f t="shared" si="90"/>
        <v>Oct</v>
      </c>
      <c r="J5806">
        <f>YEAR(datas[[#This Row],[Order Date]])</f>
        <v>2023</v>
      </c>
    </row>
    <row r="5807" spans="1:10" ht="14.25" customHeight="1" x14ac:dyDescent="0.3">
      <c r="A5807" s="1">
        <v>45208</v>
      </c>
      <c r="B5807" s="2" t="s">
        <v>706</v>
      </c>
      <c r="C5807" s="2" t="s">
        <v>47</v>
      </c>
      <c r="D5807" s="2" t="s">
        <v>28</v>
      </c>
      <c r="E5807" s="2" t="s">
        <v>29</v>
      </c>
      <c r="F5807" s="2">
        <v>23.98</v>
      </c>
      <c r="G5807" s="2">
        <v>4</v>
      </c>
      <c r="H5807" s="2">
        <v>-15.58</v>
      </c>
      <c r="I5807" t="str">
        <f t="shared" si="90"/>
        <v>Oct</v>
      </c>
      <c r="J5807">
        <f>YEAR(datas[[#This Row],[Order Date]])</f>
        <v>2023</v>
      </c>
    </row>
    <row r="5808" spans="1:10" ht="14.25" customHeight="1" x14ac:dyDescent="0.3">
      <c r="A5808" s="1">
        <v>45208</v>
      </c>
      <c r="B5808" s="2" t="s">
        <v>528</v>
      </c>
      <c r="C5808" s="2" t="s">
        <v>18</v>
      </c>
      <c r="D5808" s="2" t="s">
        <v>10</v>
      </c>
      <c r="E5808" s="2" t="s">
        <v>11</v>
      </c>
      <c r="F5808" s="2">
        <v>19.14</v>
      </c>
      <c r="G5808" s="2">
        <v>4</v>
      </c>
      <c r="H5808" s="2">
        <v>5.98</v>
      </c>
      <c r="I5808" t="str">
        <f t="shared" si="90"/>
        <v>Oct</v>
      </c>
      <c r="J5808">
        <f>YEAR(datas[[#This Row],[Order Date]])</f>
        <v>2023</v>
      </c>
    </row>
    <row r="5809" spans="1:10" ht="14.25" customHeight="1" x14ac:dyDescent="0.3">
      <c r="A5809" s="1">
        <v>45208</v>
      </c>
      <c r="B5809" s="2" t="s">
        <v>528</v>
      </c>
      <c r="C5809" s="2" t="s">
        <v>18</v>
      </c>
      <c r="D5809" s="2" t="s">
        <v>26</v>
      </c>
      <c r="E5809" s="2" t="s">
        <v>32</v>
      </c>
      <c r="F5809" s="2">
        <v>332.83</v>
      </c>
      <c r="G5809" s="2">
        <v>4</v>
      </c>
      <c r="H5809" s="2">
        <v>-24.96</v>
      </c>
      <c r="I5809" t="str">
        <f t="shared" si="90"/>
        <v>Oct</v>
      </c>
      <c r="J5809">
        <f>YEAR(datas[[#This Row],[Order Date]])</f>
        <v>2023</v>
      </c>
    </row>
    <row r="5810" spans="1:10" ht="14.25" customHeight="1" x14ac:dyDescent="0.3">
      <c r="A5810" s="1">
        <v>45208</v>
      </c>
      <c r="B5810" s="2" t="s">
        <v>787</v>
      </c>
      <c r="C5810" s="2" t="s">
        <v>55</v>
      </c>
      <c r="D5810" s="2" t="s">
        <v>10</v>
      </c>
      <c r="E5810" s="2" t="s">
        <v>19</v>
      </c>
      <c r="F5810" s="2">
        <v>1.41</v>
      </c>
      <c r="G5810" s="2">
        <v>1</v>
      </c>
      <c r="H5810" s="2">
        <v>0.16</v>
      </c>
      <c r="I5810" t="str">
        <f t="shared" si="90"/>
        <v>Oct</v>
      </c>
      <c r="J5810">
        <f>YEAR(datas[[#This Row],[Order Date]])</f>
        <v>2023</v>
      </c>
    </row>
    <row r="5811" spans="1:10" ht="14.25" customHeight="1" x14ac:dyDescent="0.3">
      <c r="A5811" s="1">
        <v>45208</v>
      </c>
      <c r="B5811" s="2" t="s">
        <v>787</v>
      </c>
      <c r="C5811" s="2" t="s">
        <v>55</v>
      </c>
      <c r="D5811" s="2" t="s">
        <v>26</v>
      </c>
      <c r="E5811" s="2" t="s">
        <v>32</v>
      </c>
      <c r="F5811" s="2">
        <v>169.57</v>
      </c>
      <c r="G5811" s="2">
        <v>2</v>
      </c>
      <c r="H5811" s="2">
        <v>0</v>
      </c>
      <c r="I5811" t="str">
        <f t="shared" si="90"/>
        <v>Oct</v>
      </c>
      <c r="J5811">
        <f>YEAR(datas[[#This Row],[Order Date]])</f>
        <v>2023</v>
      </c>
    </row>
    <row r="5812" spans="1:10" ht="14.25" customHeight="1" x14ac:dyDescent="0.3">
      <c r="A5812" s="1">
        <v>45209</v>
      </c>
      <c r="B5812" s="2" t="s">
        <v>806</v>
      </c>
      <c r="C5812" s="2" t="s">
        <v>115</v>
      </c>
      <c r="D5812" s="2" t="s">
        <v>10</v>
      </c>
      <c r="E5812" s="2" t="s">
        <v>95</v>
      </c>
      <c r="F5812" s="2">
        <v>20.61</v>
      </c>
      <c r="G5812" s="2">
        <v>2</v>
      </c>
      <c r="H5812" s="2">
        <v>-4.38</v>
      </c>
      <c r="I5812" t="str">
        <f t="shared" si="90"/>
        <v>Oct</v>
      </c>
      <c r="J5812">
        <f>YEAR(datas[[#This Row],[Order Date]])</f>
        <v>2023</v>
      </c>
    </row>
    <row r="5813" spans="1:10" ht="14.25" customHeight="1" x14ac:dyDescent="0.3">
      <c r="A5813" s="1">
        <v>45209</v>
      </c>
      <c r="B5813" s="2" t="s">
        <v>806</v>
      </c>
      <c r="C5813" s="2" t="s">
        <v>115</v>
      </c>
      <c r="D5813" s="2" t="s">
        <v>10</v>
      </c>
      <c r="E5813" s="2" t="s">
        <v>16</v>
      </c>
      <c r="F5813" s="2">
        <v>4.0999999999999996</v>
      </c>
      <c r="G5813" s="2">
        <v>3</v>
      </c>
      <c r="H5813" s="2">
        <v>-2.73</v>
      </c>
      <c r="I5813" t="str">
        <f t="shared" si="90"/>
        <v>Oct</v>
      </c>
      <c r="J5813">
        <f>YEAR(datas[[#This Row],[Order Date]])</f>
        <v>2023</v>
      </c>
    </row>
    <row r="5814" spans="1:10" ht="14.25" customHeight="1" x14ac:dyDescent="0.3">
      <c r="A5814" s="1">
        <v>45209</v>
      </c>
      <c r="B5814" s="2" t="s">
        <v>439</v>
      </c>
      <c r="C5814" s="2" t="s">
        <v>126</v>
      </c>
      <c r="D5814" s="2" t="s">
        <v>26</v>
      </c>
      <c r="E5814" s="2" t="s">
        <v>45</v>
      </c>
      <c r="F5814" s="2">
        <v>90.88</v>
      </c>
      <c r="G5814" s="2">
        <v>3</v>
      </c>
      <c r="H5814" s="2">
        <v>-190.85</v>
      </c>
      <c r="I5814" t="str">
        <f t="shared" si="90"/>
        <v>Oct</v>
      </c>
      <c r="J5814">
        <f>YEAR(datas[[#This Row],[Order Date]])</f>
        <v>2023</v>
      </c>
    </row>
    <row r="5815" spans="1:10" ht="14.25" customHeight="1" x14ac:dyDescent="0.3">
      <c r="A5815" s="1">
        <v>45209</v>
      </c>
      <c r="B5815" s="2" t="s">
        <v>439</v>
      </c>
      <c r="C5815" s="2" t="s">
        <v>126</v>
      </c>
      <c r="D5815" s="2" t="s">
        <v>28</v>
      </c>
      <c r="E5815" s="2" t="s">
        <v>29</v>
      </c>
      <c r="F5815" s="2">
        <v>15.99</v>
      </c>
      <c r="G5815" s="2">
        <v>1</v>
      </c>
      <c r="H5815" s="2">
        <v>-3</v>
      </c>
      <c r="I5815" t="str">
        <f t="shared" si="90"/>
        <v>Oct</v>
      </c>
      <c r="J5815">
        <f>YEAR(datas[[#This Row],[Order Date]])</f>
        <v>2023</v>
      </c>
    </row>
    <row r="5816" spans="1:10" ht="14.25" customHeight="1" x14ac:dyDescent="0.3">
      <c r="A5816" s="1">
        <v>45209</v>
      </c>
      <c r="B5816" s="2" t="s">
        <v>439</v>
      </c>
      <c r="C5816" s="2" t="s">
        <v>126</v>
      </c>
      <c r="D5816" s="2" t="s">
        <v>26</v>
      </c>
      <c r="E5816" s="2" t="s">
        <v>27</v>
      </c>
      <c r="F5816" s="2">
        <v>120.78</v>
      </c>
      <c r="G5816" s="2">
        <v>1</v>
      </c>
      <c r="H5816" s="2">
        <v>13.59</v>
      </c>
      <c r="I5816" t="str">
        <f t="shared" si="90"/>
        <v>Oct</v>
      </c>
      <c r="J5816">
        <f>YEAR(datas[[#This Row],[Order Date]])</f>
        <v>2023</v>
      </c>
    </row>
    <row r="5817" spans="1:10" ht="14.25" customHeight="1" x14ac:dyDescent="0.3">
      <c r="A5817" s="1">
        <v>45209</v>
      </c>
      <c r="B5817" s="2" t="s">
        <v>566</v>
      </c>
      <c r="C5817" s="2" t="s">
        <v>9</v>
      </c>
      <c r="D5817" s="2" t="s">
        <v>26</v>
      </c>
      <c r="E5817" s="2" t="s">
        <v>32</v>
      </c>
      <c r="F5817" s="2">
        <v>14</v>
      </c>
      <c r="G5817" s="2">
        <v>4</v>
      </c>
      <c r="H5817" s="2">
        <v>-6.3</v>
      </c>
      <c r="I5817" t="str">
        <f t="shared" si="90"/>
        <v>Oct</v>
      </c>
      <c r="J5817">
        <f>YEAR(datas[[#This Row],[Order Date]])</f>
        <v>2023</v>
      </c>
    </row>
    <row r="5818" spans="1:10" ht="14.25" customHeight="1" x14ac:dyDescent="0.3">
      <c r="A5818" s="1">
        <v>45209</v>
      </c>
      <c r="B5818" s="2" t="s">
        <v>566</v>
      </c>
      <c r="C5818" s="2" t="s">
        <v>9</v>
      </c>
      <c r="D5818" s="2" t="s">
        <v>10</v>
      </c>
      <c r="E5818" s="2" t="s">
        <v>16</v>
      </c>
      <c r="F5818" s="2">
        <v>16.39</v>
      </c>
      <c r="G5818" s="2">
        <v>2</v>
      </c>
      <c r="H5818" s="2">
        <v>-26.23</v>
      </c>
      <c r="I5818" t="str">
        <f t="shared" si="90"/>
        <v>Oct</v>
      </c>
      <c r="J5818">
        <f>YEAR(datas[[#This Row],[Order Date]])</f>
        <v>2023</v>
      </c>
    </row>
    <row r="5819" spans="1:10" ht="14.25" customHeight="1" x14ac:dyDescent="0.3">
      <c r="A5819" s="1">
        <v>45210</v>
      </c>
      <c r="B5819" s="2" t="s">
        <v>355</v>
      </c>
      <c r="C5819" s="2" t="s">
        <v>13</v>
      </c>
      <c r="D5819" s="2" t="s">
        <v>10</v>
      </c>
      <c r="E5819" s="2" t="s">
        <v>19</v>
      </c>
      <c r="F5819" s="2">
        <v>5.34</v>
      </c>
      <c r="G5819" s="2">
        <v>2</v>
      </c>
      <c r="H5819" s="2">
        <v>0.67</v>
      </c>
      <c r="I5819" t="str">
        <f t="shared" si="90"/>
        <v>Oct</v>
      </c>
      <c r="J5819">
        <f>YEAR(datas[[#This Row],[Order Date]])</f>
        <v>2023</v>
      </c>
    </row>
    <row r="5820" spans="1:10" ht="14.25" customHeight="1" x14ac:dyDescent="0.3">
      <c r="A5820" s="1">
        <v>45210</v>
      </c>
      <c r="B5820" s="2" t="s">
        <v>355</v>
      </c>
      <c r="C5820" s="2" t="s">
        <v>13</v>
      </c>
      <c r="D5820" s="2" t="s">
        <v>10</v>
      </c>
      <c r="E5820" s="2" t="s">
        <v>19</v>
      </c>
      <c r="F5820" s="2">
        <v>27.72</v>
      </c>
      <c r="G5820" s="2">
        <v>3</v>
      </c>
      <c r="H5820" s="2">
        <v>3.47</v>
      </c>
      <c r="I5820" t="str">
        <f t="shared" si="90"/>
        <v>Oct</v>
      </c>
      <c r="J5820">
        <f>YEAR(datas[[#This Row],[Order Date]])</f>
        <v>2023</v>
      </c>
    </row>
    <row r="5821" spans="1:10" ht="14.25" customHeight="1" x14ac:dyDescent="0.3">
      <c r="A5821" s="1">
        <v>45212</v>
      </c>
      <c r="B5821" s="2" t="s">
        <v>228</v>
      </c>
      <c r="C5821" s="2" t="s">
        <v>21</v>
      </c>
      <c r="D5821" s="2" t="s">
        <v>10</v>
      </c>
      <c r="E5821" s="2" t="s">
        <v>11</v>
      </c>
      <c r="F5821" s="2">
        <v>20.04</v>
      </c>
      <c r="G5821" s="2">
        <v>3</v>
      </c>
      <c r="H5821" s="2">
        <v>9.6199999999999992</v>
      </c>
      <c r="I5821" t="str">
        <f t="shared" si="90"/>
        <v>Oct</v>
      </c>
      <c r="J5821">
        <f>YEAR(datas[[#This Row],[Order Date]])</f>
        <v>2023</v>
      </c>
    </row>
    <row r="5822" spans="1:10" ht="14.25" customHeight="1" x14ac:dyDescent="0.3">
      <c r="A5822" s="1">
        <v>45212</v>
      </c>
      <c r="B5822" s="2" t="s">
        <v>228</v>
      </c>
      <c r="C5822" s="2" t="s">
        <v>21</v>
      </c>
      <c r="D5822" s="2" t="s">
        <v>10</v>
      </c>
      <c r="E5822" s="2" t="s">
        <v>11</v>
      </c>
      <c r="F5822" s="2">
        <v>35.44</v>
      </c>
      <c r="G5822" s="2">
        <v>1</v>
      </c>
      <c r="H5822" s="2">
        <v>16.66</v>
      </c>
      <c r="I5822" t="str">
        <f t="shared" si="90"/>
        <v>Oct</v>
      </c>
      <c r="J5822">
        <f>YEAR(datas[[#This Row],[Order Date]])</f>
        <v>2023</v>
      </c>
    </row>
    <row r="5823" spans="1:10" ht="14.25" customHeight="1" x14ac:dyDescent="0.3">
      <c r="A5823" s="1">
        <v>45212</v>
      </c>
      <c r="B5823" s="2" t="s">
        <v>228</v>
      </c>
      <c r="C5823" s="2" t="s">
        <v>21</v>
      </c>
      <c r="D5823" s="2" t="s">
        <v>10</v>
      </c>
      <c r="E5823" s="2" t="s">
        <v>19</v>
      </c>
      <c r="F5823" s="2">
        <v>11.52</v>
      </c>
      <c r="G5823" s="2">
        <v>4</v>
      </c>
      <c r="H5823" s="2">
        <v>3.46</v>
      </c>
      <c r="I5823" t="str">
        <f t="shared" si="90"/>
        <v>Oct</v>
      </c>
      <c r="J5823">
        <f>YEAR(datas[[#This Row],[Order Date]])</f>
        <v>2023</v>
      </c>
    </row>
    <row r="5824" spans="1:10" ht="14.25" customHeight="1" x14ac:dyDescent="0.3">
      <c r="A5824" s="1">
        <v>45212</v>
      </c>
      <c r="B5824" s="2" t="s">
        <v>228</v>
      </c>
      <c r="C5824" s="2" t="s">
        <v>21</v>
      </c>
      <c r="D5824" s="2" t="s">
        <v>10</v>
      </c>
      <c r="E5824" s="2" t="s">
        <v>30</v>
      </c>
      <c r="F5824" s="2">
        <v>4.0199999999999996</v>
      </c>
      <c r="G5824" s="2">
        <v>2</v>
      </c>
      <c r="H5824" s="2">
        <v>1.97</v>
      </c>
      <c r="I5824" t="str">
        <f t="shared" si="90"/>
        <v>Oct</v>
      </c>
      <c r="J5824">
        <f>YEAR(datas[[#This Row],[Order Date]])</f>
        <v>2023</v>
      </c>
    </row>
    <row r="5825" spans="1:10" ht="14.25" customHeight="1" x14ac:dyDescent="0.3">
      <c r="A5825" s="1">
        <v>45212</v>
      </c>
      <c r="B5825" s="2" t="s">
        <v>228</v>
      </c>
      <c r="C5825" s="2" t="s">
        <v>21</v>
      </c>
      <c r="D5825" s="2" t="s">
        <v>10</v>
      </c>
      <c r="E5825" s="2" t="s">
        <v>16</v>
      </c>
      <c r="F5825" s="2">
        <v>76.180000000000007</v>
      </c>
      <c r="G5825" s="2">
        <v>3</v>
      </c>
      <c r="H5825" s="2">
        <v>26.66</v>
      </c>
      <c r="I5825" t="str">
        <f t="shared" si="90"/>
        <v>Oct</v>
      </c>
      <c r="J5825">
        <f>YEAR(datas[[#This Row],[Order Date]])</f>
        <v>2023</v>
      </c>
    </row>
    <row r="5826" spans="1:10" ht="14.25" customHeight="1" x14ac:dyDescent="0.3">
      <c r="A5826" s="1">
        <v>45212</v>
      </c>
      <c r="B5826" s="2" t="s">
        <v>228</v>
      </c>
      <c r="C5826" s="2" t="s">
        <v>21</v>
      </c>
      <c r="D5826" s="2" t="s">
        <v>10</v>
      </c>
      <c r="E5826" s="2" t="s">
        <v>95</v>
      </c>
      <c r="F5826" s="2">
        <v>65.88</v>
      </c>
      <c r="G5826" s="2">
        <v>6</v>
      </c>
      <c r="H5826" s="2">
        <v>18.45</v>
      </c>
      <c r="I5826" t="str">
        <f t="shared" si="90"/>
        <v>Oct</v>
      </c>
      <c r="J5826">
        <f>YEAR(datas[[#This Row],[Order Date]])</f>
        <v>2023</v>
      </c>
    </row>
    <row r="5827" spans="1:10" ht="14.25" customHeight="1" x14ac:dyDescent="0.3">
      <c r="A5827" s="1">
        <v>45212</v>
      </c>
      <c r="B5827" s="2" t="s">
        <v>228</v>
      </c>
      <c r="C5827" s="2" t="s">
        <v>21</v>
      </c>
      <c r="D5827" s="2" t="s">
        <v>26</v>
      </c>
      <c r="E5827" s="2" t="s">
        <v>32</v>
      </c>
      <c r="F5827" s="2">
        <v>43.12</v>
      </c>
      <c r="G5827" s="2">
        <v>14</v>
      </c>
      <c r="H5827" s="2">
        <v>20.7</v>
      </c>
      <c r="I5827" t="str">
        <f t="shared" ref="I5827:I5890" si="91">TEXT(A5827,"mmm")</f>
        <v>Oct</v>
      </c>
      <c r="J5827">
        <f>YEAR(datas[[#This Row],[Order Date]])</f>
        <v>2023</v>
      </c>
    </row>
    <row r="5828" spans="1:10" ht="14.25" customHeight="1" x14ac:dyDescent="0.3">
      <c r="A5828" s="1">
        <v>45212</v>
      </c>
      <c r="B5828" s="2" t="s">
        <v>550</v>
      </c>
      <c r="C5828" s="2" t="s">
        <v>126</v>
      </c>
      <c r="D5828" s="2" t="s">
        <v>26</v>
      </c>
      <c r="E5828" s="2" t="s">
        <v>73</v>
      </c>
      <c r="F5828" s="2">
        <v>727.45</v>
      </c>
      <c r="G5828" s="2">
        <v>5</v>
      </c>
      <c r="H5828" s="2">
        <v>-465.57</v>
      </c>
      <c r="I5828" t="str">
        <f t="shared" si="91"/>
        <v>Oct</v>
      </c>
      <c r="J5828">
        <f>YEAR(datas[[#This Row],[Order Date]])</f>
        <v>2023</v>
      </c>
    </row>
    <row r="5829" spans="1:10" ht="14.25" customHeight="1" x14ac:dyDescent="0.3">
      <c r="A5829" s="1">
        <v>45212</v>
      </c>
      <c r="B5829" s="2" t="s">
        <v>550</v>
      </c>
      <c r="C5829" s="2" t="s">
        <v>126</v>
      </c>
      <c r="D5829" s="2" t="s">
        <v>26</v>
      </c>
      <c r="E5829" s="2" t="s">
        <v>32</v>
      </c>
      <c r="F5829" s="2">
        <v>24.96</v>
      </c>
      <c r="G5829" s="2">
        <v>3</v>
      </c>
      <c r="H5829" s="2">
        <v>4.37</v>
      </c>
      <c r="I5829" t="str">
        <f t="shared" si="91"/>
        <v>Oct</v>
      </c>
      <c r="J5829">
        <f>YEAR(datas[[#This Row],[Order Date]])</f>
        <v>2023</v>
      </c>
    </row>
    <row r="5830" spans="1:10" ht="14.25" customHeight="1" x14ac:dyDescent="0.3">
      <c r="A5830" s="1">
        <v>45212</v>
      </c>
      <c r="B5830" s="2" t="s">
        <v>525</v>
      </c>
      <c r="C5830" s="2" t="s">
        <v>9</v>
      </c>
      <c r="D5830" s="2" t="s">
        <v>28</v>
      </c>
      <c r="E5830" s="2" t="s">
        <v>34</v>
      </c>
      <c r="F5830" s="2">
        <v>191.98</v>
      </c>
      <c r="G5830" s="2">
        <v>3</v>
      </c>
      <c r="H5830" s="2">
        <v>24</v>
      </c>
      <c r="I5830" t="str">
        <f t="shared" si="91"/>
        <v>Oct</v>
      </c>
      <c r="J5830">
        <f>YEAR(datas[[#This Row],[Order Date]])</f>
        <v>2023</v>
      </c>
    </row>
    <row r="5831" spans="1:10" ht="14.25" customHeight="1" x14ac:dyDescent="0.3">
      <c r="A5831" s="1">
        <v>45212</v>
      </c>
      <c r="B5831" s="2" t="s">
        <v>525</v>
      </c>
      <c r="C5831" s="2" t="s">
        <v>9</v>
      </c>
      <c r="D5831" s="2" t="s">
        <v>10</v>
      </c>
      <c r="E5831" s="2" t="s">
        <v>11</v>
      </c>
      <c r="F5831" s="2">
        <v>8.2899999999999991</v>
      </c>
      <c r="G5831" s="2">
        <v>2</v>
      </c>
      <c r="H5831" s="2">
        <v>3</v>
      </c>
      <c r="I5831" t="str">
        <f t="shared" si="91"/>
        <v>Oct</v>
      </c>
      <c r="J5831">
        <f>YEAR(datas[[#This Row],[Order Date]])</f>
        <v>2023</v>
      </c>
    </row>
    <row r="5832" spans="1:10" ht="14.25" customHeight="1" x14ac:dyDescent="0.3">
      <c r="A5832" s="1">
        <v>45212</v>
      </c>
      <c r="B5832" s="2" t="s">
        <v>525</v>
      </c>
      <c r="C5832" s="2" t="s">
        <v>9</v>
      </c>
      <c r="D5832" s="2" t="s">
        <v>26</v>
      </c>
      <c r="E5832" s="2" t="s">
        <v>32</v>
      </c>
      <c r="F5832" s="2">
        <v>139.91999999999999</v>
      </c>
      <c r="G5832" s="2">
        <v>5</v>
      </c>
      <c r="H5832" s="2">
        <v>-150.41</v>
      </c>
      <c r="I5832" t="str">
        <f t="shared" si="91"/>
        <v>Oct</v>
      </c>
      <c r="J5832">
        <f>YEAR(datas[[#This Row],[Order Date]])</f>
        <v>2023</v>
      </c>
    </row>
    <row r="5833" spans="1:10" ht="14.25" customHeight="1" x14ac:dyDescent="0.3">
      <c r="A5833" s="1">
        <v>45212</v>
      </c>
      <c r="B5833" s="2" t="s">
        <v>525</v>
      </c>
      <c r="C5833" s="2" t="s">
        <v>9</v>
      </c>
      <c r="D5833" s="2" t="s">
        <v>10</v>
      </c>
      <c r="E5833" s="2" t="s">
        <v>19</v>
      </c>
      <c r="F5833" s="2">
        <v>15.87</v>
      </c>
      <c r="G5833" s="2">
        <v>1</v>
      </c>
      <c r="H5833" s="2">
        <v>1.19</v>
      </c>
      <c r="I5833" t="str">
        <f t="shared" si="91"/>
        <v>Oct</v>
      </c>
      <c r="J5833">
        <f>YEAR(datas[[#This Row],[Order Date]])</f>
        <v>2023</v>
      </c>
    </row>
    <row r="5834" spans="1:10" ht="14.25" customHeight="1" x14ac:dyDescent="0.3">
      <c r="A5834" s="1">
        <v>45212</v>
      </c>
      <c r="B5834" s="2" t="s">
        <v>525</v>
      </c>
      <c r="C5834" s="2" t="s">
        <v>9</v>
      </c>
      <c r="D5834" s="2" t="s">
        <v>10</v>
      </c>
      <c r="E5834" s="2" t="s">
        <v>16</v>
      </c>
      <c r="F5834" s="2">
        <v>6.29</v>
      </c>
      <c r="G5834" s="2">
        <v>7</v>
      </c>
      <c r="H5834" s="2">
        <v>-11</v>
      </c>
      <c r="I5834" t="str">
        <f t="shared" si="91"/>
        <v>Oct</v>
      </c>
      <c r="J5834">
        <f>YEAR(datas[[#This Row],[Order Date]])</f>
        <v>2023</v>
      </c>
    </row>
    <row r="5835" spans="1:10" ht="14.25" customHeight="1" x14ac:dyDescent="0.3">
      <c r="A5835" s="1">
        <v>45212</v>
      </c>
      <c r="B5835" s="2" t="s">
        <v>692</v>
      </c>
      <c r="C5835" s="2" t="s">
        <v>75</v>
      </c>
      <c r="D5835" s="2" t="s">
        <v>10</v>
      </c>
      <c r="E5835" s="2" t="s">
        <v>19</v>
      </c>
      <c r="F5835" s="2">
        <v>34.700000000000003</v>
      </c>
      <c r="G5835" s="2">
        <v>5</v>
      </c>
      <c r="H5835" s="2">
        <v>12.49</v>
      </c>
      <c r="I5835" t="str">
        <f t="shared" si="91"/>
        <v>Oct</v>
      </c>
      <c r="J5835">
        <f>YEAR(datas[[#This Row],[Order Date]])</f>
        <v>2023</v>
      </c>
    </row>
    <row r="5836" spans="1:10" ht="14.25" customHeight="1" x14ac:dyDescent="0.3">
      <c r="A5836" s="1">
        <v>45212</v>
      </c>
      <c r="B5836" s="2" t="s">
        <v>692</v>
      </c>
      <c r="C5836" s="2" t="s">
        <v>75</v>
      </c>
      <c r="D5836" s="2" t="s">
        <v>10</v>
      </c>
      <c r="E5836" s="2" t="s">
        <v>15</v>
      </c>
      <c r="F5836" s="2">
        <v>99.87</v>
      </c>
      <c r="G5836" s="2">
        <v>3</v>
      </c>
      <c r="H5836" s="2">
        <v>23.97</v>
      </c>
      <c r="I5836" t="str">
        <f t="shared" si="91"/>
        <v>Oct</v>
      </c>
      <c r="J5836">
        <f>YEAR(datas[[#This Row],[Order Date]])</f>
        <v>2023</v>
      </c>
    </row>
    <row r="5837" spans="1:10" ht="14.25" customHeight="1" x14ac:dyDescent="0.3">
      <c r="A5837" s="1">
        <v>45212</v>
      </c>
      <c r="B5837" s="2" t="s">
        <v>692</v>
      </c>
      <c r="C5837" s="2" t="s">
        <v>75</v>
      </c>
      <c r="D5837" s="2" t="s">
        <v>10</v>
      </c>
      <c r="E5837" s="2" t="s">
        <v>11</v>
      </c>
      <c r="F5837" s="2">
        <v>37.94</v>
      </c>
      <c r="G5837" s="2">
        <v>2</v>
      </c>
      <c r="H5837" s="2">
        <v>18.21</v>
      </c>
      <c r="I5837" t="str">
        <f t="shared" si="91"/>
        <v>Oct</v>
      </c>
      <c r="J5837">
        <f>YEAR(datas[[#This Row],[Order Date]])</f>
        <v>2023</v>
      </c>
    </row>
    <row r="5838" spans="1:10" ht="14.25" customHeight="1" x14ac:dyDescent="0.3">
      <c r="A5838" s="1">
        <v>45212</v>
      </c>
      <c r="B5838" s="2" t="s">
        <v>692</v>
      </c>
      <c r="C5838" s="2" t="s">
        <v>75</v>
      </c>
      <c r="D5838" s="2" t="s">
        <v>10</v>
      </c>
      <c r="E5838" s="2" t="s">
        <v>14</v>
      </c>
      <c r="F5838" s="2">
        <v>24.9</v>
      </c>
      <c r="G5838" s="2">
        <v>5</v>
      </c>
      <c r="H5838" s="2">
        <v>11.45</v>
      </c>
      <c r="I5838" t="str">
        <f t="shared" si="91"/>
        <v>Oct</v>
      </c>
      <c r="J5838">
        <f>YEAR(datas[[#This Row],[Order Date]])</f>
        <v>2023</v>
      </c>
    </row>
    <row r="5839" spans="1:10" ht="14.25" customHeight="1" x14ac:dyDescent="0.3">
      <c r="A5839" s="1">
        <v>45212</v>
      </c>
      <c r="B5839" s="2" t="s">
        <v>692</v>
      </c>
      <c r="C5839" s="2" t="s">
        <v>75</v>
      </c>
      <c r="D5839" s="2" t="s">
        <v>26</v>
      </c>
      <c r="E5839" s="2" t="s">
        <v>32</v>
      </c>
      <c r="F5839" s="2">
        <v>82.26</v>
      </c>
      <c r="G5839" s="2">
        <v>3</v>
      </c>
      <c r="H5839" s="2">
        <v>33.729999999999997</v>
      </c>
      <c r="I5839" t="str">
        <f t="shared" si="91"/>
        <v>Oct</v>
      </c>
      <c r="J5839">
        <f>YEAR(datas[[#This Row],[Order Date]])</f>
        <v>2023</v>
      </c>
    </row>
    <row r="5840" spans="1:10" ht="14.25" customHeight="1" x14ac:dyDescent="0.3">
      <c r="A5840" s="1">
        <v>45213</v>
      </c>
      <c r="B5840" s="2" t="s">
        <v>141</v>
      </c>
      <c r="C5840" s="2" t="s">
        <v>82</v>
      </c>
      <c r="D5840" s="2" t="s">
        <v>28</v>
      </c>
      <c r="E5840" s="2" t="s">
        <v>34</v>
      </c>
      <c r="F5840" s="2">
        <v>177</v>
      </c>
      <c r="G5840" s="2">
        <v>3</v>
      </c>
      <c r="H5840" s="2">
        <v>30.09</v>
      </c>
      <c r="I5840" t="str">
        <f t="shared" si="91"/>
        <v>Oct</v>
      </c>
      <c r="J5840">
        <f>YEAR(datas[[#This Row],[Order Date]])</f>
        <v>2023</v>
      </c>
    </row>
    <row r="5841" spans="1:10" ht="14.25" customHeight="1" x14ac:dyDescent="0.3">
      <c r="A5841" s="1">
        <v>45213</v>
      </c>
      <c r="B5841" s="2" t="s">
        <v>245</v>
      </c>
      <c r="C5841" s="2" t="s">
        <v>115</v>
      </c>
      <c r="D5841" s="2" t="s">
        <v>26</v>
      </c>
      <c r="E5841" s="2" t="s">
        <v>27</v>
      </c>
      <c r="F5841" s="2">
        <v>102.59</v>
      </c>
      <c r="G5841" s="2">
        <v>1</v>
      </c>
      <c r="H5841" s="2">
        <v>10.26</v>
      </c>
      <c r="I5841" t="str">
        <f t="shared" si="91"/>
        <v>Oct</v>
      </c>
      <c r="J5841">
        <f>YEAR(datas[[#This Row],[Order Date]])</f>
        <v>2023</v>
      </c>
    </row>
    <row r="5842" spans="1:10" ht="14.25" customHeight="1" x14ac:dyDescent="0.3">
      <c r="A5842" s="1">
        <v>45213</v>
      </c>
      <c r="B5842" s="2" t="s">
        <v>245</v>
      </c>
      <c r="C5842" s="2" t="s">
        <v>115</v>
      </c>
      <c r="D5842" s="2" t="s">
        <v>28</v>
      </c>
      <c r="E5842" s="2" t="s">
        <v>34</v>
      </c>
      <c r="F5842" s="2">
        <v>22.7</v>
      </c>
      <c r="G5842" s="2">
        <v>1</v>
      </c>
      <c r="H5842" s="2">
        <v>5.96</v>
      </c>
      <c r="I5842" t="str">
        <f t="shared" si="91"/>
        <v>Oct</v>
      </c>
      <c r="J5842">
        <f>YEAR(datas[[#This Row],[Order Date]])</f>
        <v>2023</v>
      </c>
    </row>
    <row r="5843" spans="1:10" ht="14.25" customHeight="1" x14ac:dyDescent="0.3">
      <c r="A5843" s="1">
        <v>45213</v>
      </c>
      <c r="B5843" s="2" t="s">
        <v>245</v>
      </c>
      <c r="C5843" s="2" t="s">
        <v>115</v>
      </c>
      <c r="D5843" s="2" t="s">
        <v>10</v>
      </c>
      <c r="E5843" s="2" t="s">
        <v>11</v>
      </c>
      <c r="F5843" s="2">
        <v>93.02</v>
      </c>
      <c r="G5843" s="2">
        <v>3</v>
      </c>
      <c r="H5843" s="2">
        <v>33.72</v>
      </c>
      <c r="I5843" t="str">
        <f t="shared" si="91"/>
        <v>Oct</v>
      </c>
      <c r="J5843">
        <f>YEAR(datas[[#This Row],[Order Date]])</f>
        <v>2023</v>
      </c>
    </row>
    <row r="5844" spans="1:10" ht="14.25" customHeight="1" x14ac:dyDescent="0.3">
      <c r="A5844" s="1">
        <v>45213</v>
      </c>
      <c r="B5844" s="2" t="s">
        <v>245</v>
      </c>
      <c r="C5844" s="2" t="s">
        <v>115</v>
      </c>
      <c r="D5844" s="2" t="s">
        <v>10</v>
      </c>
      <c r="E5844" s="2" t="s">
        <v>95</v>
      </c>
      <c r="F5844" s="2">
        <v>12.77</v>
      </c>
      <c r="G5844" s="2">
        <v>2</v>
      </c>
      <c r="H5844" s="2">
        <v>1.44</v>
      </c>
      <c r="I5844" t="str">
        <f t="shared" si="91"/>
        <v>Oct</v>
      </c>
      <c r="J5844">
        <f>YEAR(datas[[#This Row],[Order Date]])</f>
        <v>2023</v>
      </c>
    </row>
    <row r="5845" spans="1:10" ht="14.25" customHeight="1" x14ac:dyDescent="0.3">
      <c r="A5845" s="1">
        <v>45213</v>
      </c>
      <c r="B5845" s="2" t="s">
        <v>245</v>
      </c>
      <c r="C5845" s="2" t="s">
        <v>115</v>
      </c>
      <c r="D5845" s="2" t="s">
        <v>10</v>
      </c>
      <c r="E5845" s="2" t="s">
        <v>41</v>
      </c>
      <c r="F5845" s="2">
        <v>35.01</v>
      </c>
      <c r="G5845" s="2">
        <v>4</v>
      </c>
      <c r="H5845" s="2">
        <v>13.13</v>
      </c>
      <c r="I5845" t="str">
        <f t="shared" si="91"/>
        <v>Oct</v>
      </c>
      <c r="J5845">
        <f>YEAR(datas[[#This Row],[Order Date]])</f>
        <v>2023</v>
      </c>
    </row>
    <row r="5846" spans="1:10" ht="14.25" customHeight="1" x14ac:dyDescent="0.3">
      <c r="A5846" s="1">
        <v>45213</v>
      </c>
      <c r="B5846" s="2" t="s">
        <v>245</v>
      </c>
      <c r="C5846" s="2" t="s">
        <v>115</v>
      </c>
      <c r="D5846" s="2" t="s">
        <v>10</v>
      </c>
      <c r="E5846" s="2" t="s">
        <v>11</v>
      </c>
      <c r="F5846" s="2">
        <v>39.15</v>
      </c>
      <c r="G5846" s="2">
        <v>1</v>
      </c>
      <c r="H5846" s="2">
        <v>14.68</v>
      </c>
      <c r="I5846" t="str">
        <f t="shared" si="91"/>
        <v>Oct</v>
      </c>
      <c r="J5846">
        <f>YEAR(datas[[#This Row],[Order Date]])</f>
        <v>2023</v>
      </c>
    </row>
    <row r="5847" spans="1:10" ht="14.25" customHeight="1" x14ac:dyDescent="0.3">
      <c r="A5847" s="1">
        <v>45213</v>
      </c>
      <c r="B5847" s="2" t="s">
        <v>269</v>
      </c>
      <c r="C5847" s="2" t="s">
        <v>75</v>
      </c>
      <c r="D5847" s="2" t="s">
        <v>28</v>
      </c>
      <c r="E5847" s="2" t="s">
        <v>29</v>
      </c>
      <c r="F5847" s="2">
        <v>1091.93</v>
      </c>
      <c r="G5847" s="2">
        <v>7</v>
      </c>
      <c r="H5847" s="2">
        <v>272.98</v>
      </c>
      <c r="I5847" t="str">
        <f t="shared" si="91"/>
        <v>Oct</v>
      </c>
      <c r="J5847">
        <f>YEAR(datas[[#This Row],[Order Date]])</f>
        <v>2023</v>
      </c>
    </row>
    <row r="5848" spans="1:10" ht="14.25" customHeight="1" x14ac:dyDescent="0.3">
      <c r="A5848" s="1">
        <v>45213</v>
      </c>
      <c r="B5848" s="2" t="s">
        <v>269</v>
      </c>
      <c r="C5848" s="2" t="s">
        <v>75</v>
      </c>
      <c r="D5848" s="2" t="s">
        <v>10</v>
      </c>
      <c r="E5848" s="2" t="s">
        <v>11</v>
      </c>
      <c r="F5848" s="2">
        <v>111.96</v>
      </c>
      <c r="G5848" s="2">
        <v>2</v>
      </c>
      <c r="H5848" s="2">
        <v>54.86</v>
      </c>
      <c r="I5848" t="str">
        <f t="shared" si="91"/>
        <v>Oct</v>
      </c>
      <c r="J5848">
        <f>YEAR(datas[[#This Row],[Order Date]])</f>
        <v>2023</v>
      </c>
    </row>
    <row r="5849" spans="1:10" ht="14.25" customHeight="1" x14ac:dyDescent="0.3">
      <c r="A5849" s="1">
        <v>45213</v>
      </c>
      <c r="B5849" s="2" t="s">
        <v>811</v>
      </c>
      <c r="C5849" s="2" t="s">
        <v>79</v>
      </c>
      <c r="D5849" s="2" t="s">
        <v>28</v>
      </c>
      <c r="E5849" s="2" t="s">
        <v>34</v>
      </c>
      <c r="F5849" s="2">
        <v>1649.75</v>
      </c>
      <c r="G5849" s="2">
        <v>5</v>
      </c>
      <c r="H5849" s="2">
        <v>544.41999999999996</v>
      </c>
      <c r="I5849" t="str">
        <f t="shared" si="91"/>
        <v>Oct</v>
      </c>
      <c r="J5849">
        <f>YEAR(datas[[#This Row],[Order Date]])</f>
        <v>2023</v>
      </c>
    </row>
    <row r="5850" spans="1:10" ht="14.25" customHeight="1" x14ac:dyDescent="0.3">
      <c r="A5850" s="1">
        <v>45214</v>
      </c>
      <c r="B5850" s="2" t="s">
        <v>789</v>
      </c>
      <c r="C5850" s="2" t="s">
        <v>134</v>
      </c>
      <c r="D5850" s="2" t="s">
        <v>10</v>
      </c>
      <c r="E5850" s="2" t="s">
        <v>11</v>
      </c>
      <c r="F5850" s="2">
        <v>45.68</v>
      </c>
      <c r="G5850" s="2">
        <v>2</v>
      </c>
      <c r="H5850" s="2">
        <v>21.01</v>
      </c>
      <c r="I5850" t="str">
        <f t="shared" si="91"/>
        <v>Oct</v>
      </c>
      <c r="J5850">
        <f>YEAR(datas[[#This Row],[Order Date]])</f>
        <v>2023</v>
      </c>
    </row>
    <row r="5851" spans="1:10" ht="14.25" customHeight="1" x14ac:dyDescent="0.3">
      <c r="A5851" s="1">
        <v>45214</v>
      </c>
      <c r="B5851" s="2" t="s">
        <v>789</v>
      </c>
      <c r="C5851" s="2" t="s">
        <v>134</v>
      </c>
      <c r="D5851" s="2" t="s">
        <v>10</v>
      </c>
      <c r="E5851" s="2" t="s">
        <v>11</v>
      </c>
      <c r="F5851" s="2">
        <v>60.12</v>
      </c>
      <c r="G5851" s="2">
        <v>9</v>
      </c>
      <c r="H5851" s="2">
        <v>28.86</v>
      </c>
      <c r="I5851" t="str">
        <f t="shared" si="91"/>
        <v>Oct</v>
      </c>
      <c r="J5851">
        <f>YEAR(datas[[#This Row],[Order Date]])</f>
        <v>2023</v>
      </c>
    </row>
    <row r="5852" spans="1:10" ht="14.25" customHeight="1" x14ac:dyDescent="0.3">
      <c r="A5852" s="1">
        <v>45214</v>
      </c>
      <c r="B5852" s="2" t="s">
        <v>789</v>
      </c>
      <c r="C5852" s="2" t="s">
        <v>134</v>
      </c>
      <c r="D5852" s="2" t="s">
        <v>10</v>
      </c>
      <c r="E5852" s="2" t="s">
        <v>16</v>
      </c>
      <c r="F5852" s="2">
        <v>41.72</v>
      </c>
      <c r="G5852" s="2">
        <v>5</v>
      </c>
      <c r="H5852" s="2">
        <v>13.04</v>
      </c>
      <c r="I5852" t="str">
        <f t="shared" si="91"/>
        <v>Oct</v>
      </c>
      <c r="J5852">
        <f>YEAR(datas[[#This Row],[Order Date]])</f>
        <v>2023</v>
      </c>
    </row>
    <row r="5853" spans="1:10" ht="14.25" customHeight="1" x14ac:dyDescent="0.3">
      <c r="A5853" s="1">
        <v>45214</v>
      </c>
      <c r="B5853" s="2" t="s">
        <v>789</v>
      </c>
      <c r="C5853" s="2" t="s">
        <v>134</v>
      </c>
      <c r="D5853" s="2" t="s">
        <v>10</v>
      </c>
      <c r="E5853" s="2" t="s">
        <v>11</v>
      </c>
      <c r="F5853" s="2">
        <v>71.599999999999994</v>
      </c>
      <c r="G5853" s="2">
        <v>8</v>
      </c>
      <c r="H5853" s="2">
        <v>32.94</v>
      </c>
      <c r="I5853" t="str">
        <f t="shared" si="91"/>
        <v>Oct</v>
      </c>
      <c r="J5853">
        <f>YEAR(datas[[#This Row],[Order Date]])</f>
        <v>2023</v>
      </c>
    </row>
    <row r="5854" spans="1:10" ht="14.25" customHeight="1" x14ac:dyDescent="0.3">
      <c r="A5854" s="1">
        <v>45214</v>
      </c>
      <c r="B5854" s="2" t="s">
        <v>80</v>
      </c>
      <c r="C5854" s="2" t="s">
        <v>329</v>
      </c>
      <c r="D5854" s="2" t="s">
        <v>10</v>
      </c>
      <c r="E5854" s="2" t="s">
        <v>14</v>
      </c>
      <c r="F5854" s="2">
        <v>20.16</v>
      </c>
      <c r="G5854" s="2">
        <v>7</v>
      </c>
      <c r="H5854" s="2">
        <v>9.8800000000000008</v>
      </c>
      <c r="I5854" t="str">
        <f t="shared" si="91"/>
        <v>Oct</v>
      </c>
      <c r="J5854">
        <f>YEAR(datas[[#This Row],[Order Date]])</f>
        <v>2023</v>
      </c>
    </row>
    <row r="5855" spans="1:10" ht="14.25" customHeight="1" x14ac:dyDescent="0.3">
      <c r="A5855" s="1">
        <v>45214</v>
      </c>
      <c r="B5855" s="2" t="s">
        <v>80</v>
      </c>
      <c r="C5855" s="2" t="s">
        <v>329</v>
      </c>
      <c r="D5855" s="2" t="s">
        <v>10</v>
      </c>
      <c r="E5855" s="2" t="s">
        <v>14</v>
      </c>
      <c r="F5855" s="2">
        <v>29.46</v>
      </c>
      <c r="G5855" s="2">
        <v>6</v>
      </c>
      <c r="H5855" s="2">
        <v>14.44</v>
      </c>
      <c r="I5855" t="str">
        <f t="shared" si="91"/>
        <v>Oct</v>
      </c>
      <c r="J5855">
        <f>YEAR(datas[[#This Row],[Order Date]])</f>
        <v>2023</v>
      </c>
    </row>
    <row r="5856" spans="1:10" ht="14.25" customHeight="1" x14ac:dyDescent="0.3">
      <c r="A5856" s="1">
        <v>45214</v>
      </c>
      <c r="B5856" s="2" t="s">
        <v>80</v>
      </c>
      <c r="C5856" s="2" t="s">
        <v>329</v>
      </c>
      <c r="D5856" s="2" t="s">
        <v>10</v>
      </c>
      <c r="E5856" s="2" t="s">
        <v>53</v>
      </c>
      <c r="F5856" s="2">
        <v>868.59</v>
      </c>
      <c r="G5856" s="2">
        <v>3</v>
      </c>
      <c r="H5856" s="2">
        <v>251.89</v>
      </c>
      <c r="I5856" t="str">
        <f t="shared" si="91"/>
        <v>Oct</v>
      </c>
      <c r="J5856">
        <f>YEAR(datas[[#This Row],[Order Date]])</f>
        <v>2023</v>
      </c>
    </row>
    <row r="5857" spans="1:10" ht="14.25" customHeight="1" x14ac:dyDescent="0.3">
      <c r="A5857" s="1">
        <v>45214</v>
      </c>
      <c r="B5857" s="2" t="s">
        <v>80</v>
      </c>
      <c r="C5857" s="2" t="s">
        <v>329</v>
      </c>
      <c r="D5857" s="2" t="s">
        <v>10</v>
      </c>
      <c r="E5857" s="2" t="s">
        <v>11</v>
      </c>
      <c r="F5857" s="2">
        <v>12.96</v>
      </c>
      <c r="G5857" s="2">
        <v>2</v>
      </c>
      <c r="H5857" s="2">
        <v>6.22</v>
      </c>
      <c r="I5857" t="str">
        <f t="shared" si="91"/>
        <v>Oct</v>
      </c>
      <c r="J5857">
        <f>YEAR(datas[[#This Row],[Order Date]])</f>
        <v>2023</v>
      </c>
    </row>
    <row r="5858" spans="1:10" ht="14.25" customHeight="1" x14ac:dyDescent="0.3">
      <c r="A5858" s="1">
        <v>45214</v>
      </c>
      <c r="B5858" s="2" t="s">
        <v>80</v>
      </c>
      <c r="C5858" s="2" t="s">
        <v>329</v>
      </c>
      <c r="D5858" s="2" t="s">
        <v>28</v>
      </c>
      <c r="E5858" s="2" t="s">
        <v>29</v>
      </c>
      <c r="F5858" s="2">
        <v>5.5</v>
      </c>
      <c r="G5858" s="2">
        <v>1</v>
      </c>
      <c r="H5858" s="2">
        <v>1.38</v>
      </c>
      <c r="I5858" t="str">
        <f t="shared" si="91"/>
        <v>Oct</v>
      </c>
      <c r="J5858">
        <f>YEAR(datas[[#This Row],[Order Date]])</f>
        <v>2023</v>
      </c>
    </row>
    <row r="5859" spans="1:10" ht="14.25" customHeight="1" x14ac:dyDescent="0.3">
      <c r="A5859" s="1">
        <v>45214</v>
      </c>
      <c r="B5859" s="2" t="s">
        <v>80</v>
      </c>
      <c r="C5859" s="2" t="s">
        <v>329</v>
      </c>
      <c r="D5859" s="2" t="s">
        <v>10</v>
      </c>
      <c r="E5859" s="2" t="s">
        <v>16</v>
      </c>
      <c r="F5859" s="2">
        <v>121.6</v>
      </c>
      <c r="G5859" s="2">
        <v>4</v>
      </c>
      <c r="H5859" s="2">
        <v>55.94</v>
      </c>
      <c r="I5859" t="str">
        <f t="shared" si="91"/>
        <v>Oct</v>
      </c>
      <c r="J5859">
        <f>YEAR(datas[[#This Row],[Order Date]])</f>
        <v>2023</v>
      </c>
    </row>
    <row r="5860" spans="1:10" ht="14.25" customHeight="1" x14ac:dyDescent="0.3">
      <c r="A5860" s="1">
        <v>45214</v>
      </c>
      <c r="B5860" s="2" t="s">
        <v>144</v>
      </c>
      <c r="C5860" s="2" t="s">
        <v>36</v>
      </c>
      <c r="D5860" s="2" t="s">
        <v>10</v>
      </c>
      <c r="E5860" s="2" t="s">
        <v>16</v>
      </c>
      <c r="F5860" s="2">
        <v>232.96</v>
      </c>
      <c r="G5860" s="2">
        <v>7</v>
      </c>
      <c r="H5860" s="2">
        <v>116.48</v>
      </c>
      <c r="I5860" t="str">
        <f t="shared" si="91"/>
        <v>Oct</v>
      </c>
      <c r="J5860">
        <f>YEAR(datas[[#This Row],[Order Date]])</f>
        <v>2023</v>
      </c>
    </row>
    <row r="5861" spans="1:10" ht="14.25" customHeight="1" x14ac:dyDescent="0.3">
      <c r="A5861" s="1">
        <v>45214</v>
      </c>
      <c r="B5861" s="2" t="s">
        <v>144</v>
      </c>
      <c r="C5861" s="2" t="s">
        <v>36</v>
      </c>
      <c r="D5861" s="2" t="s">
        <v>10</v>
      </c>
      <c r="E5861" s="2" t="s">
        <v>41</v>
      </c>
      <c r="F5861" s="2">
        <v>66.540000000000006</v>
      </c>
      <c r="G5861" s="2">
        <v>6</v>
      </c>
      <c r="H5861" s="2">
        <v>32.6</v>
      </c>
      <c r="I5861" t="str">
        <f t="shared" si="91"/>
        <v>Oct</v>
      </c>
      <c r="J5861">
        <f>YEAR(datas[[#This Row],[Order Date]])</f>
        <v>2023</v>
      </c>
    </row>
    <row r="5862" spans="1:10" ht="14.25" customHeight="1" x14ac:dyDescent="0.3">
      <c r="A5862" s="1">
        <v>45214</v>
      </c>
      <c r="B5862" s="2" t="s">
        <v>144</v>
      </c>
      <c r="C5862" s="2" t="s">
        <v>36</v>
      </c>
      <c r="D5862" s="2" t="s">
        <v>10</v>
      </c>
      <c r="E5862" s="2" t="s">
        <v>53</v>
      </c>
      <c r="F5862" s="2">
        <v>43.26</v>
      </c>
      <c r="G5862" s="2">
        <v>3</v>
      </c>
      <c r="H5862" s="2">
        <v>14.28</v>
      </c>
      <c r="I5862" t="str">
        <f t="shared" si="91"/>
        <v>Oct</v>
      </c>
      <c r="J5862">
        <f>YEAR(datas[[#This Row],[Order Date]])</f>
        <v>2023</v>
      </c>
    </row>
    <row r="5863" spans="1:10" ht="14.25" customHeight="1" x14ac:dyDescent="0.3">
      <c r="A5863" s="1">
        <v>45215</v>
      </c>
      <c r="B5863" s="2" t="s">
        <v>627</v>
      </c>
      <c r="C5863" s="2" t="s">
        <v>75</v>
      </c>
      <c r="D5863" s="2" t="s">
        <v>26</v>
      </c>
      <c r="E5863" s="2" t="s">
        <v>73</v>
      </c>
      <c r="F5863" s="2">
        <v>142.18</v>
      </c>
      <c r="G5863" s="2">
        <v>1</v>
      </c>
      <c r="H5863" s="2">
        <v>-37.92</v>
      </c>
      <c r="I5863" t="str">
        <f t="shared" si="91"/>
        <v>Oct</v>
      </c>
      <c r="J5863">
        <f>YEAR(datas[[#This Row],[Order Date]])</f>
        <v>2023</v>
      </c>
    </row>
    <row r="5864" spans="1:10" ht="14.25" customHeight="1" x14ac:dyDescent="0.3">
      <c r="A5864" s="1">
        <v>45216</v>
      </c>
      <c r="B5864" s="2" t="s">
        <v>719</v>
      </c>
      <c r="C5864" s="2" t="s">
        <v>21</v>
      </c>
      <c r="D5864" s="2" t="s">
        <v>10</v>
      </c>
      <c r="E5864" s="2" t="s">
        <v>16</v>
      </c>
      <c r="F5864" s="2">
        <v>18.16</v>
      </c>
      <c r="G5864" s="2">
        <v>5</v>
      </c>
      <c r="H5864" s="2">
        <v>6.58</v>
      </c>
      <c r="I5864" t="str">
        <f t="shared" si="91"/>
        <v>Oct</v>
      </c>
      <c r="J5864">
        <f>YEAR(datas[[#This Row],[Order Date]])</f>
        <v>2023</v>
      </c>
    </row>
    <row r="5865" spans="1:10" ht="14.25" customHeight="1" x14ac:dyDescent="0.3">
      <c r="A5865" s="1">
        <v>45216</v>
      </c>
      <c r="B5865" s="2" t="s">
        <v>660</v>
      </c>
      <c r="C5865" s="2" t="s">
        <v>21</v>
      </c>
      <c r="D5865" s="2" t="s">
        <v>26</v>
      </c>
      <c r="E5865" s="2" t="s">
        <v>45</v>
      </c>
      <c r="F5865" s="2">
        <v>120.67</v>
      </c>
      <c r="G5865" s="2">
        <v>2</v>
      </c>
      <c r="H5865" s="2">
        <v>21.29</v>
      </c>
      <c r="I5865" t="str">
        <f t="shared" si="91"/>
        <v>Oct</v>
      </c>
      <c r="J5865">
        <f>YEAR(datas[[#This Row],[Order Date]])</f>
        <v>2023</v>
      </c>
    </row>
    <row r="5866" spans="1:10" ht="14.25" customHeight="1" x14ac:dyDescent="0.3">
      <c r="A5866" s="1">
        <v>45216</v>
      </c>
      <c r="B5866" s="2" t="s">
        <v>731</v>
      </c>
      <c r="C5866" s="2" t="s">
        <v>91</v>
      </c>
      <c r="D5866" s="2" t="s">
        <v>28</v>
      </c>
      <c r="E5866" s="2" t="s">
        <v>29</v>
      </c>
      <c r="F5866" s="2">
        <v>449.97</v>
      </c>
      <c r="G5866" s="2">
        <v>3</v>
      </c>
      <c r="H5866" s="2">
        <v>220.49</v>
      </c>
      <c r="I5866" t="str">
        <f t="shared" si="91"/>
        <v>Oct</v>
      </c>
      <c r="J5866">
        <f>YEAR(datas[[#This Row],[Order Date]])</f>
        <v>2023</v>
      </c>
    </row>
    <row r="5867" spans="1:10" ht="14.25" customHeight="1" x14ac:dyDescent="0.3">
      <c r="A5867" s="1">
        <v>45216</v>
      </c>
      <c r="B5867" s="2" t="s">
        <v>731</v>
      </c>
      <c r="C5867" s="2" t="s">
        <v>91</v>
      </c>
      <c r="D5867" s="2" t="s">
        <v>10</v>
      </c>
      <c r="E5867" s="2" t="s">
        <v>53</v>
      </c>
      <c r="F5867" s="2">
        <v>1927.59</v>
      </c>
      <c r="G5867" s="2">
        <v>7</v>
      </c>
      <c r="H5867" s="2">
        <v>751.76</v>
      </c>
      <c r="I5867" t="str">
        <f t="shared" si="91"/>
        <v>Oct</v>
      </c>
      <c r="J5867">
        <f>YEAR(datas[[#This Row],[Order Date]])</f>
        <v>2023</v>
      </c>
    </row>
    <row r="5868" spans="1:10" ht="14.25" customHeight="1" x14ac:dyDescent="0.3">
      <c r="A5868" s="1">
        <v>45216</v>
      </c>
      <c r="B5868" s="2" t="s">
        <v>312</v>
      </c>
      <c r="C5868" s="2" t="s">
        <v>87</v>
      </c>
      <c r="D5868" s="2" t="s">
        <v>26</v>
      </c>
      <c r="E5868" s="2" t="s">
        <v>45</v>
      </c>
      <c r="F5868" s="2">
        <v>120.98</v>
      </c>
      <c r="G5868" s="2">
        <v>1</v>
      </c>
      <c r="H5868" s="2">
        <v>12.1</v>
      </c>
      <c r="I5868" t="str">
        <f t="shared" si="91"/>
        <v>Oct</v>
      </c>
      <c r="J5868">
        <f>YEAR(datas[[#This Row],[Order Date]])</f>
        <v>2023</v>
      </c>
    </row>
    <row r="5869" spans="1:10" ht="14.25" customHeight="1" x14ac:dyDescent="0.3">
      <c r="A5869" s="1">
        <v>45216</v>
      </c>
      <c r="B5869" s="2" t="s">
        <v>312</v>
      </c>
      <c r="C5869" s="2" t="s">
        <v>87</v>
      </c>
      <c r="D5869" s="2" t="s">
        <v>10</v>
      </c>
      <c r="E5869" s="2" t="s">
        <v>16</v>
      </c>
      <c r="F5869" s="2">
        <v>315.98</v>
      </c>
      <c r="G5869" s="2">
        <v>1</v>
      </c>
      <c r="H5869" s="2">
        <v>148.51</v>
      </c>
      <c r="I5869" t="str">
        <f t="shared" si="91"/>
        <v>Oct</v>
      </c>
      <c r="J5869">
        <f>YEAR(datas[[#This Row],[Order Date]])</f>
        <v>2023</v>
      </c>
    </row>
    <row r="5870" spans="1:10" ht="14.25" customHeight="1" x14ac:dyDescent="0.3">
      <c r="A5870" s="1">
        <v>45217</v>
      </c>
      <c r="B5870" s="2" t="s">
        <v>355</v>
      </c>
      <c r="C5870" s="2" t="s">
        <v>55</v>
      </c>
      <c r="D5870" s="2" t="s">
        <v>26</v>
      </c>
      <c r="E5870" s="2" t="s">
        <v>27</v>
      </c>
      <c r="F5870" s="2">
        <v>307.92</v>
      </c>
      <c r="G5870" s="2">
        <v>5</v>
      </c>
      <c r="H5870" s="2">
        <v>-34.64</v>
      </c>
      <c r="I5870" t="str">
        <f t="shared" si="91"/>
        <v>Oct</v>
      </c>
      <c r="J5870">
        <f>YEAR(datas[[#This Row],[Order Date]])</f>
        <v>2023</v>
      </c>
    </row>
    <row r="5871" spans="1:10" ht="14.25" customHeight="1" x14ac:dyDescent="0.3">
      <c r="A5871" s="1">
        <v>45219</v>
      </c>
      <c r="B5871" s="2" t="s">
        <v>390</v>
      </c>
      <c r="C5871" s="2" t="s">
        <v>47</v>
      </c>
      <c r="D5871" s="2" t="s">
        <v>10</v>
      </c>
      <c r="E5871" s="2" t="s">
        <v>19</v>
      </c>
      <c r="F5871" s="2">
        <v>7.15</v>
      </c>
      <c r="G5871" s="2">
        <v>3</v>
      </c>
      <c r="H5871" s="2">
        <v>0.72</v>
      </c>
      <c r="I5871" t="str">
        <f t="shared" si="91"/>
        <v>Oct</v>
      </c>
      <c r="J5871">
        <f>YEAR(datas[[#This Row],[Order Date]])</f>
        <v>2023</v>
      </c>
    </row>
    <row r="5872" spans="1:10" ht="14.25" customHeight="1" x14ac:dyDescent="0.3">
      <c r="A5872" s="1">
        <v>45219</v>
      </c>
      <c r="B5872" s="2" t="s">
        <v>317</v>
      </c>
      <c r="C5872" s="2" t="s">
        <v>9</v>
      </c>
      <c r="D5872" s="2" t="s">
        <v>10</v>
      </c>
      <c r="E5872" s="2" t="s">
        <v>11</v>
      </c>
      <c r="F5872" s="2">
        <v>51.02</v>
      </c>
      <c r="G5872" s="2">
        <v>7</v>
      </c>
      <c r="H5872" s="2">
        <v>15.94</v>
      </c>
      <c r="I5872" t="str">
        <f t="shared" si="91"/>
        <v>Oct</v>
      </c>
      <c r="J5872">
        <f>YEAR(datas[[#This Row],[Order Date]])</f>
        <v>2023</v>
      </c>
    </row>
    <row r="5873" spans="1:10" ht="14.25" customHeight="1" x14ac:dyDescent="0.3">
      <c r="A5873" s="1">
        <v>45219</v>
      </c>
      <c r="B5873" s="2" t="s">
        <v>317</v>
      </c>
      <c r="C5873" s="2" t="s">
        <v>9</v>
      </c>
      <c r="D5873" s="2" t="s">
        <v>10</v>
      </c>
      <c r="E5873" s="2" t="s">
        <v>30</v>
      </c>
      <c r="F5873" s="2">
        <v>25.25</v>
      </c>
      <c r="G5873" s="2">
        <v>4</v>
      </c>
      <c r="H5873" s="2">
        <v>7.89</v>
      </c>
      <c r="I5873" t="str">
        <f t="shared" si="91"/>
        <v>Oct</v>
      </c>
      <c r="J5873">
        <f>YEAR(datas[[#This Row],[Order Date]])</f>
        <v>2023</v>
      </c>
    </row>
    <row r="5874" spans="1:10" ht="14.25" customHeight="1" x14ac:dyDescent="0.3">
      <c r="A5874" s="1">
        <v>45219</v>
      </c>
      <c r="B5874" s="2" t="s">
        <v>317</v>
      </c>
      <c r="C5874" s="2" t="s">
        <v>9</v>
      </c>
      <c r="D5874" s="2" t="s">
        <v>26</v>
      </c>
      <c r="E5874" s="2" t="s">
        <v>27</v>
      </c>
      <c r="F5874" s="2">
        <v>56.69</v>
      </c>
      <c r="G5874" s="2">
        <v>1</v>
      </c>
      <c r="H5874" s="2">
        <v>-14.58</v>
      </c>
      <c r="I5874" t="str">
        <f t="shared" si="91"/>
        <v>Oct</v>
      </c>
      <c r="J5874">
        <f>YEAR(datas[[#This Row],[Order Date]])</f>
        <v>2023</v>
      </c>
    </row>
    <row r="5875" spans="1:10" ht="14.25" customHeight="1" x14ac:dyDescent="0.3">
      <c r="A5875" s="1">
        <v>45219</v>
      </c>
      <c r="B5875" s="2" t="s">
        <v>106</v>
      </c>
      <c r="C5875" s="2" t="s">
        <v>60</v>
      </c>
      <c r="D5875" s="2" t="s">
        <v>28</v>
      </c>
      <c r="E5875" s="2" t="s">
        <v>29</v>
      </c>
      <c r="F5875" s="2">
        <v>125.7</v>
      </c>
      <c r="G5875" s="2">
        <v>6</v>
      </c>
      <c r="H5875" s="2">
        <v>35.200000000000003</v>
      </c>
      <c r="I5875" t="str">
        <f t="shared" si="91"/>
        <v>Oct</v>
      </c>
      <c r="J5875">
        <f>YEAR(datas[[#This Row],[Order Date]])</f>
        <v>2023</v>
      </c>
    </row>
    <row r="5876" spans="1:10" ht="14.25" customHeight="1" x14ac:dyDescent="0.3">
      <c r="A5876" s="1">
        <v>45219</v>
      </c>
      <c r="B5876" s="2" t="s">
        <v>106</v>
      </c>
      <c r="C5876" s="2" t="s">
        <v>60</v>
      </c>
      <c r="D5876" s="2" t="s">
        <v>28</v>
      </c>
      <c r="E5876" s="2" t="s">
        <v>29</v>
      </c>
      <c r="F5876" s="2">
        <v>191.98</v>
      </c>
      <c r="G5876" s="2">
        <v>2</v>
      </c>
      <c r="H5876" s="2">
        <v>51.83</v>
      </c>
      <c r="I5876" t="str">
        <f t="shared" si="91"/>
        <v>Oct</v>
      </c>
      <c r="J5876">
        <f>YEAR(datas[[#This Row],[Order Date]])</f>
        <v>2023</v>
      </c>
    </row>
    <row r="5877" spans="1:10" ht="14.25" customHeight="1" x14ac:dyDescent="0.3">
      <c r="A5877" s="1">
        <v>45219</v>
      </c>
      <c r="B5877" s="2" t="s">
        <v>106</v>
      </c>
      <c r="C5877" s="2" t="s">
        <v>60</v>
      </c>
      <c r="D5877" s="2" t="s">
        <v>10</v>
      </c>
      <c r="E5877" s="2" t="s">
        <v>15</v>
      </c>
      <c r="F5877" s="2">
        <v>20.86</v>
      </c>
      <c r="G5877" s="2">
        <v>7</v>
      </c>
      <c r="H5877" s="2">
        <v>1.46</v>
      </c>
      <c r="I5877" t="str">
        <f t="shared" si="91"/>
        <v>Oct</v>
      </c>
      <c r="J5877">
        <f>YEAR(datas[[#This Row],[Order Date]])</f>
        <v>2023</v>
      </c>
    </row>
    <row r="5878" spans="1:10" ht="14.25" customHeight="1" x14ac:dyDescent="0.3">
      <c r="A5878" s="1">
        <v>45219</v>
      </c>
      <c r="B5878" s="2" t="s">
        <v>669</v>
      </c>
      <c r="C5878" s="2" t="s">
        <v>21</v>
      </c>
      <c r="D5878" s="2" t="s">
        <v>10</v>
      </c>
      <c r="E5878" s="2" t="s">
        <v>16</v>
      </c>
      <c r="F5878" s="2">
        <v>19.3</v>
      </c>
      <c r="G5878" s="2">
        <v>3</v>
      </c>
      <c r="H5878" s="2">
        <v>6.03</v>
      </c>
      <c r="I5878" t="str">
        <f t="shared" si="91"/>
        <v>Oct</v>
      </c>
      <c r="J5878">
        <f>YEAR(datas[[#This Row],[Order Date]])</f>
        <v>2023</v>
      </c>
    </row>
    <row r="5879" spans="1:10" ht="14.25" customHeight="1" x14ac:dyDescent="0.3">
      <c r="A5879" s="1">
        <v>45219</v>
      </c>
      <c r="B5879" s="2" t="s">
        <v>679</v>
      </c>
      <c r="C5879" s="2" t="s">
        <v>36</v>
      </c>
      <c r="D5879" s="2" t="s">
        <v>26</v>
      </c>
      <c r="E5879" s="2" t="s">
        <v>32</v>
      </c>
      <c r="F5879" s="2">
        <v>61.1</v>
      </c>
      <c r="G5879" s="2">
        <v>5</v>
      </c>
      <c r="H5879" s="2">
        <v>18.329999999999998</v>
      </c>
      <c r="I5879" t="str">
        <f t="shared" si="91"/>
        <v>Oct</v>
      </c>
      <c r="J5879">
        <f>YEAR(datas[[#This Row],[Order Date]])</f>
        <v>2023</v>
      </c>
    </row>
    <row r="5880" spans="1:10" ht="14.25" customHeight="1" x14ac:dyDescent="0.3">
      <c r="A5880" s="1">
        <v>45219</v>
      </c>
      <c r="B5880" s="2" t="s">
        <v>232</v>
      </c>
      <c r="C5880" s="2" t="s">
        <v>21</v>
      </c>
      <c r="D5880" s="2" t="s">
        <v>26</v>
      </c>
      <c r="E5880" s="2" t="s">
        <v>27</v>
      </c>
      <c r="F5880" s="2">
        <v>387.14</v>
      </c>
      <c r="G5880" s="2">
        <v>4</v>
      </c>
      <c r="H5880" s="2">
        <v>4.84</v>
      </c>
      <c r="I5880" t="str">
        <f t="shared" si="91"/>
        <v>Oct</v>
      </c>
      <c r="J5880">
        <f>YEAR(datas[[#This Row],[Order Date]])</f>
        <v>2023</v>
      </c>
    </row>
    <row r="5881" spans="1:10" ht="14.25" customHeight="1" x14ac:dyDescent="0.3">
      <c r="A5881" s="1">
        <v>45220</v>
      </c>
      <c r="B5881" s="2" t="s">
        <v>593</v>
      </c>
      <c r="C5881" s="2" t="s">
        <v>248</v>
      </c>
      <c r="D5881" s="2" t="s">
        <v>10</v>
      </c>
      <c r="E5881" s="2" t="s">
        <v>16</v>
      </c>
      <c r="F5881" s="2">
        <v>23.2</v>
      </c>
      <c r="G5881" s="2">
        <v>4</v>
      </c>
      <c r="H5881" s="2">
        <v>10.44</v>
      </c>
      <c r="I5881" t="str">
        <f t="shared" si="91"/>
        <v>Oct</v>
      </c>
      <c r="J5881">
        <f>YEAR(datas[[#This Row],[Order Date]])</f>
        <v>2023</v>
      </c>
    </row>
    <row r="5882" spans="1:10" ht="14.25" customHeight="1" x14ac:dyDescent="0.3">
      <c r="A5882" s="1">
        <v>45220</v>
      </c>
      <c r="B5882" s="2" t="s">
        <v>593</v>
      </c>
      <c r="C5882" s="2" t="s">
        <v>248</v>
      </c>
      <c r="D5882" s="2" t="s">
        <v>10</v>
      </c>
      <c r="E5882" s="2" t="s">
        <v>95</v>
      </c>
      <c r="F5882" s="2">
        <v>7.36</v>
      </c>
      <c r="G5882" s="2">
        <v>2</v>
      </c>
      <c r="H5882" s="2">
        <v>0.15</v>
      </c>
      <c r="I5882" t="str">
        <f t="shared" si="91"/>
        <v>Oct</v>
      </c>
      <c r="J5882">
        <f>YEAR(datas[[#This Row],[Order Date]])</f>
        <v>2023</v>
      </c>
    </row>
    <row r="5883" spans="1:10" ht="14.25" customHeight="1" x14ac:dyDescent="0.3">
      <c r="A5883" s="1">
        <v>45220</v>
      </c>
      <c r="B5883" s="2" t="s">
        <v>593</v>
      </c>
      <c r="C5883" s="2" t="s">
        <v>248</v>
      </c>
      <c r="D5883" s="2" t="s">
        <v>10</v>
      </c>
      <c r="E5883" s="2" t="s">
        <v>15</v>
      </c>
      <c r="F5883" s="2">
        <v>104.79</v>
      </c>
      <c r="G5883" s="2">
        <v>7</v>
      </c>
      <c r="H5883" s="2">
        <v>29.34</v>
      </c>
      <c r="I5883" t="str">
        <f t="shared" si="91"/>
        <v>Oct</v>
      </c>
      <c r="J5883">
        <f>YEAR(datas[[#This Row],[Order Date]])</f>
        <v>2023</v>
      </c>
    </row>
    <row r="5884" spans="1:10" ht="14.25" customHeight="1" x14ac:dyDescent="0.3">
      <c r="A5884" s="1">
        <v>45220</v>
      </c>
      <c r="B5884" s="2" t="s">
        <v>593</v>
      </c>
      <c r="C5884" s="2" t="s">
        <v>248</v>
      </c>
      <c r="D5884" s="2" t="s">
        <v>26</v>
      </c>
      <c r="E5884" s="2" t="s">
        <v>45</v>
      </c>
      <c r="F5884" s="2">
        <v>1043.92</v>
      </c>
      <c r="G5884" s="2">
        <v>4</v>
      </c>
      <c r="H5884" s="2">
        <v>271.42</v>
      </c>
      <c r="I5884" t="str">
        <f t="shared" si="91"/>
        <v>Oct</v>
      </c>
      <c r="J5884">
        <f>YEAR(datas[[#This Row],[Order Date]])</f>
        <v>2023</v>
      </c>
    </row>
    <row r="5885" spans="1:10" ht="14.25" customHeight="1" x14ac:dyDescent="0.3">
      <c r="A5885" s="1">
        <v>45220</v>
      </c>
      <c r="B5885" s="2" t="s">
        <v>758</v>
      </c>
      <c r="C5885" s="2" t="s">
        <v>21</v>
      </c>
      <c r="D5885" s="2" t="s">
        <v>10</v>
      </c>
      <c r="E5885" s="2" t="s">
        <v>11</v>
      </c>
      <c r="F5885" s="2">
        <v>22.92</v>
      </c>
      <c r="G5885" s="2">
        <v>3</v>
      </c>
      <c r="H5885" s="2">
        <v>11.23</v>
      </c>
      <c r="I5885" t="str">
        <f t="shared" si="91"/>
        <v>Oct</v>
      </c>
      <c r="J5885">
        <f>YEAR(datas[[#This Row],[Order Date]])</f>
        <v>2023</v>
      </c>
    </row>
    <row r="5886" spans="1:10" ht="14.25" customHeight="1" x14ac:dyDescent="0.3">
      <c r="A5886" s="1">
        <v>45220</v>
      </c>
      <c r="B5886" s="2" t="s">
        <v>332</v>
      </c>
      <c r="C5886" s="2" t="s">
        <v>21</v>
      </c>
      <c r="D5886" s="2" t="s">
        <v>10</v>
      </c>
      <c r="E5886" s="2" t="s">
        <v>15</v>
      </c>
      <c r="F5886" s="2">
        <v>154.44</v>
      </c>
      <c r="G5886" s="2">
        <v>3</v>
      </c>
      <c r="H5886" s="2">
        <v>1.54</v>
      </c>
      <c r="I5886" t="str">
        <f t="shared" si="91"/>
        <v>Oct</v>
      </c>
      <c r="J5886">
        <f>YEAR(datas[[#This Row],[Order Date]])</f>
        <v>2023</v>
      </c>
    </row>
    <row r="5887" spans="1:10" ht="14.25" customHeight="1" x14ac:dyDescent="0.3">
      <c r="A5887" s="1">
        <v>45220</v>
      </c>
      <c r="B5887" s="2" t="s">
        <v>232</v>
      </c>
      <c r="C5887" s="2" t="s">
        <v>38</v>
      </c>
      <c r="D5887" s="2" t="s">
        <v>10</v>
      </c>
      <c r="E5887" s="2" t="s">
        <v>16</v>
      </c>
      <c r="F5887" s="2">
        <v>7.92</v>
      </c>
      <c r="G5887" s="2">
        <v>4</v>
      </c>
      <c r="H5887" s="2">
        <v>3.56</v>
      </c>
      <c r="I5887" t="str">
        <f t="shared" si="91"/>
        <v>Oct</v>
      </c>
      <c r="J5887">
        <f>YEAR(datas[[#This Row],[Order Date]])</f>
        <v>2023</v>
      </c>
    </row>
    <row r="5888" spans="1:10" ht="14.25" customHeight="1" x14ac:dyDescent="0.3">
      <c r="A5888" s="1">
        <v>45220</v>
      </c>
      <c r="B5888" s="2" t="s">
        <v>847</v>
      </c>
      <c r="C5888" s="2" t="s">
        <v>215</v>
      </c>
      <c r="D5888" s="2" t="s">
        <v>28</v>
      </c>
      <c r="E5888" s="2" t="s">
        <v>34</v>
      </c>
      <c r="F5888" s="2">
        <v>98.16</v>
      </c>
      <c r="G5888" s="2">
        <v>6</v>
      </c>
      <c r="H5888" s="2">
        <v>9.82</v>
      </c>
      <c r="I5888" t="str">
        <f t="shared" si="91"/>
        <v>Oct</v>
      </c>
      <c r="J5888">
        <f>YEAR(datas[[#This Row],[Order Date]])</f>
        <v>2023</v>
      </c>
    </row>
    <row r="5889" spans="1:10" ht="14.25" customHeight="1" x14ac:dyDescent="0.3">
      <c r="A5889" s="1">
        <v>45220</v>
      </c>
      <c r="B5889" s="2" t="s">
        <v>817</v>
      </c>
      <c r="C5889" s="2" t="s">
        <v>47</v>
      </c>
      <c r="D5889" s="2" t="s">
        <v>28</v>
      </c>
      <c r="E5889" s="2" t="s">
        <v>29</v>
      </c>
      <c r="F5889" s="2">
        <v>235.15</v>
      </c>
      <c r="G5889" s="2">
        <v>8</v>
      </c>
      <c r="H5889" s="2">
        <v>-47.03</v>
      </c>
      <c r="I5889" t="str">
        <f t="shared" si="91"/>
        <v>Oct</v>
      </c>
      <c r="J5889">
        <f>YEAR(datas[[#This Row],[Order Date]])</f>
        <v>2023</v>
      </c>
    </row>
    <row r="5890" spans="1:10" ht="14.25" customHeight="1" x14ac:dyDescent="0.3">
      <c r="A5890" s="1">
        <v>45220</v>
      </c>
      <c r="B5890" s="2" t="s">
        <v>263</v>
      </c>
      <c r="C5890" s="2" t="s">
        <v>47</v>
      </c>
      <c r="D5890" s="2" t="s">
        <v>26</v>
      </c>
      <c r="E5890" s="2" t="s">
        <v>73</v>
      </c>
      <c r="F5890" s="2">
        <v>661.18</v>
      </c>
      <c r="G5890" s="2">
        <v>2</v>
      </c>
      <c r="H5890" s="2">
        <v>-231.41</v>
      </c>
      <c r="I5890" t="str">
        <f t="shared" si="91"/>
        <v>Oct</v>
      </c>
      <c r="J5890">
        <f>YEAR(datas[[#This Row],[Order Date]])</f>
        <v>2023</v>
      </c>
    </row>
    <row r="5891" spans="1:10" ht="14.25" customHeight="1" x14ac:dyDescent="0.3">
      <c r="A5891" s="1">
        <v>45220</v>
      </c>
      <c r="B5891" s="2" t="s">
        <v>353</v>
      </c>
      <c r="C5891" s="2" t="s">
        <v>66</v>
      </c>
      <c r="D5891" s="2" t="s">
        <v>10</v>
      </c>
      <c r="E5891" s="2" t="s">
        <v>19</v>
      </c>
      <c r="F5891" s="2">
        <v>113.22</v>
      </c>
      <c r="G5891" s="2">
        <v>3</v>
      </c>
      <c r="H5891" s="2">
        <v>29.44</v>
      </c>
      <c r="I5891" t="str">
        <f t="shared" ref="I5891:I5954" si="92">TEXT(A5891,"mmm")</f>
        <v>Oct</v>
      </c>
      <c r="J5891">
        <f>YEAR(datas[[#This Row],[Order Date]])</f>
        <v>2023</v>
      </c>
    </row>
    <row r="5892" spans="1:10" ht="14.25" customHeight="1" x14ac:dyDescent="0.3">
      <c r="A5892" s="1">
        <v>45220</v>
      </c>
      <c r="B5892" s="2" t="s">
        <v>353</v>
      </c>
      <c r="C5892" s="2" t="s">
        <v>66</v>
      </c>
      <c r="D5892" s="2" t="s">
        <v>10</v>
      </c>
      <c r="E5892" s="2" t="s">
        <v>11</v>
      </c>
      <c r="F5892" s="2">
        <v>35.880000000000003</v>
      </c>
      <c r="G5892" s="2">
        <v>6</v>
      </c>
      <c r="H5892" s="2">
        <v>17.579999999999998</v>
      </c>
      <c r="I5892" t="str">
        <f t="shared" si="92"/>
        <v>Oct</v>
      </c>
      <c r="J5892">
        <f>YEAR(datas[[#This Row],[Order Date]])</f>
        <v>2023</v>
      </c>
    </row>
    <row r="5893" spans="1:10" ht="14.25" customHeight="1" x14ac:dyDescent="0.3">
      <c r="A5893" s="1">
        <v>45220</v>
      </c>
      <c r="B5893" s="2" t="s">
        <v>353</v>
      </c>
      <c r="C5893" s="2" t="s">
        <v>66</v>
      </c>
      <c r="D5893" s="2" t="s">
        <v>10</v>
      </c>
      <c r="E5893" s="2" t="s">
        <v>16</v>
      </c>
      <c r="F5893" s="2">
        <v>4535.9799999999996</v>
      </c>
      <c r="G5893" s="2">
        <v>3</v>
      </c>
      <c r="H5893" s="2">
        <v>1644.29</v>
      </c>
      <c r="I5893" t="str">
        <f t="shared" si="92"/>
        <v>Oct</v>
      </c>
      <c r="J5893">
        <f>YEAR(datas[[#This Row],[Order Date]])</f>
        <v>2023</v>
      </c>
    </row>
    <row r="5894" spans="1:10" ht="14.25" customHeight="1" x14ac:dyDescent="0.3">
      <c r="A5894" s="1">
        <v>45220</v>
      </c>
      <c r="B5894" s="2" t="s">
        <v>111</v>
      </c>
      <c r="C5894" s="2" t="s">
        <v>62</v>
      </c>
      <c r="D5894" s="2" t="s">
        <v>10</v>
      </c>
      <c r="E5894" s="2" t="s">
        <v>15</v>
      </c>
      <c r="F5894" s="2">
        <v>111.67</v>
      </c>
      <c r="G5894" s="2">
        <v>9</v>
      </c>
      <c r="H5894" s="2">
        <v>6.98</v>
      </c>
      <c r="I5894" t="str">
        <f t="shared" si="92"/>
        <v>Oct</v>
      </c>
      <c r="J5894">
        <f>YEAR(datas[[#This Row],[Order Date]])</f>
        <v>2023</v>
      </c>
    </row>
    <row r="5895" spans="1:10" ht="14.25" customHeight="1" x14ac:dyDescent="0.3">
      <c r="A5895" s="1">
        <v>45220</v>
      </c>
      <c r="B5895" s="2" t="s">
        <v>524</v>
      </c>
      <c r="C5895" s="2" t="s">
        <v>9</v>
      </c>
      <c r="D5895" s="2" t="s">
        <v>28</v>
      </c>
      <c r="E5895" s="2" t="s">
        <v>34</v>
      </c>
      <c r="F5895" s="2">
        <v>106.08</v>
      </c>
      <c r="G5895" s="2">
        <v>6</v>
      </c>
      <c r="H5895" s="2">
        <v>-9.2799999999999994</v>
      </c>
      <c r="I5895" t="str">
        <f t="shared" si="92"/>
        <v>Oct</v>
      </c>
      <c r="J5895">
        <f>YEAR(datas[[#This Row],[Order Date]])</f>
        <v>2023</v>
      </c>
    </row>
    <row r="5896" spans="1:10" ht="14.25" customHeight="1" x14ac:dyDescent="0.3">
      <c r="A5896" s="1">
        <v>45220</v>
      </c>
      <c r="B5896" s="2" t="s">
        <v>313</v>
      </c>
      <c r="C5896" s="2" t="s">
        <v>21</v>
      </c>
      <c r="D5896" s="2" t="s">
        <v>26</v>
      </c>
      <c r="E5896" s="2" t="s">
        <v>27</v>
      </c>
      <c r="F5896" s="2">
        <v>242.14</v>
      </c>
      <c r="G5896" s="2">
        <v>3</v>
      </c>
      <c r="H5896" s="2">
        <v>12.11</v>
      </c>
      <c r="I5896" t="str">
        <f t="shared" si="92"/>
        <v>Oct</v>
      </c>
      <c r="J5896">
        <f>YEAR(datas[[#This Row],[Order Date]])</f>
        <v>2023</v>
      </c>
    </row>
    <row r="5897" spans="1:10" ht="14.25" customHeight="1" x14ac:dyDescent="0.3">
      <c r="A5897" s="1">
        <v>45220</v>
      </c>
      <c r="B5897" s="2" t="s">
        <v>313</v>
      </c>
      <c r="C5897" s="2" t="s">
        <v>21</v>
      </c>
      <c r="D5897" s="2" t="s">
        <v>10</v>
      </c>
      <c r="E5897" s="2" t="s">
        <v>19</v>
      </c>
      <c r="F5897" s="2">
        <v>12.39</v>
      </c>
      <c r="G5897" s="2">
        <v>3</v>
      </c>
      <c r="H5897" s="2">
        <v>5.7</v>
      </c>
      <c r="I5897" t="str">
        <f t="shared" si="92"/>
        <v>Oct</v>
      </c>
      <c r="J5897">
        <f>YEAR(datas[[#This Row],[Order Date]])</f>
        <v>2023</v>
      </c>
    </row>
    <row r="5898" spans="1:10" ht="14.25" customHeight="1" x14ac:dyDescent="0.3">
      <c r="A5898" s="1">
        <v>45220</v>
      </c>
      <c r="B5898" s="2" t="s">
        <v>313</v>
      </c>
      <c r="C5898" s="2" t="s">
        <v>21</v>
      </c>
      <c r="D5898" s="2" t="s">
        <v>26</v>
      </c>
      <c r="E5898" s="2" t="s">
        <v>32</v>
      </c>
      <c r="F5898" s="2">
        <v>19.96</v>
      </c>
      <c r="G5898" s="2">
        <v>2</v>
      </c>
      <c r="H5898" s="2">
        <v>5.59</v>
      </c>
      <c r="I5898" t="str">
        <f t="shared" si="92"/>
        <v>Oct</v>
      </c>
      <c r="J5898">
        <f>YEAR(datas[[#This Row],[Order Date]])</f>
        <v>2023</v>
      </c>
    </row>
    <row r="5899" spans="1:10" ht="14.25" customHeight="1" x14ac:dyDescent="0.3">
      <c r="A5899" s="1">
        <v>45220</v>
      </c>
      <c r="B5899" s="2" t="s">
        <v>313</v>
      </c>
      <c r="C5899" s="2" t="s">
        <v>21</v>
      </c>
      <c r="D5899" s="2" t="s">
        <v>10</v>
      </c>
      <c r="E5899" s="2" t="s">
        <v>15</v>
      </c>
      <c r="F5899" s="2">
        <v>340.92</v>
      </c>
      <c r="G5899" s="2">
        <v>3</v>
      </c>
      <c r="H5899" s="2">
        <v>3.41</v>
      </c>
      <c r="I5899" t="str">
        <f t="shared" si="92"/>
        <v>Oct</v>
      </c>
      <c r="J5899">
        <f>YEAR(datas[[#This Row],[Order Date]])</f>
        <v>2023</v>
      </c>
    </row>
    <row r="5900" spans="1:10" ht="14.25" customHeight="1" x14ac:dyDescent="0.3">
      <c r="A5900" s="1">
        <v>45220</v>
      </c>
      <c r="B5900" s="2" t="s">
        <v>116</v>
      </c>
      <c r="C5900" s="2" t="s">
        <v>64</v>
      </c>
      <c r="D5900" s="2" t="s">
        <v>26</v>
      </c>
      <c r="E5900" s="2" t="s">
        <v>32</v>
      </c>
      <c r="F5900" s="2">
        <v>45.57</v>
      </c>
      <c r="G5900" s="2">
        <v>2</v>
      </c>
      <c r="H5900" s="2">
        <v>9.68</v>
      </c>
      <c r="I5900" t="str">
        <f t="shared" si="92"/>
        <v>Oct</v>
      </c>
      <c r="J5900">
        <f>YEAR(datas[[#This Row],[Order Date]])</f>
        <v>2023</v>
      </c>
    </row>
    <row r="5901" spans="1:10" ht="14.25" customHeight="1" x14ac:dyDescent="0.3">
      <c r="A5901" s="1">
        <v>45220</v>
      </c>
      <c r="B5901" s="2" t="s">
        <v>116</v>
      </c>
      <c r="C5901" s="2" t="s">
        <v>64</v>
      </c>
      <c r="D5901" s="2" t="s">
        <v>10</v>
      </c>
      <c r="E5901" s="2" t="s">
        <v>16</v>
      </c>
      <c r="F5901" s="2">
        <v>28.75</v>
      </c>
      <c r="G5901" s="2">
        <v>8</v>
      </c>
      <c r="H5901" s="2">
        <v>-21.08</v>
      </c>
      <c r="I5901" t="str">
        <f t="shared" si="92"/>
        <v>Oct</v>
      </c>
      <c r="J5901">
        <f>YEAR(datas[[#This Row],[Order Date]])</f>
        <v>2023</v>
      </c>
    </row>
    <row r="5902" spans="1:10" ht="14.25" customHeight="1" x14ac:dyDescent="0.3">
      <c r="A5902" s="1">
        <v>45221</v>
      </c>
      <c r="B5902" s="2" t="s">
        <v>799</v>
      </c>
      <c r="C5902" s="2" t="s">
        <v>60</v>
      </c>
      <c r="D5902" s="2" t="s">
        <v>26</v>
      </c>
      <c r="E5902" s="2" t="s">
        <v>32</v>
      </c>
      <c r="F5902" s="2">
        <v>31.4</v>
      </c>
      <c r="G5902" s="2">
        <v>5</v>
      </c>
      <c r="H5902" s="2">
        <v>10.050000000000001</v>
      </c>
      <c r="I5902" t="str">
        <f t="shared" si="92"/>
        <v>Oct</v>
      </c>
      <c r="J5902">
        <f>YEAR(datas[[#This Row],[Order Date]])</f>
        <v>2023</v>
      </c>
    </row>
    <row r="5903" spans="1:10" ht="14.25" customHeight="1" x14ac:dyDescent="0.3">
      <c r="A5903" s="1">
        <v>45221</v>
      </c>
      <c r="B5903" s="2" t="s">
        <v>81</v>
      </c>
      <c r="C5903" s="2" t="s">
        <v>36</v>
      </c>
      <c r="D5903" s="2" t="s">
        <v>26</v>
      </c>
      <c r="E5903" s="2" t="s">
        <v>32</v>
      </c>
      <c r="F5903" s="2">
        <v>39.92</v>
      </c>
      <c r="G5903" s="2">
        <v>4</v>
      </c>
      <c r="H5903" s="2">
        <v>11.18</v>
      </c>
      <c r="I5903" t="str">
        <f t="shared" si="92"/>
        <v>Oct</v>
      </c>
      <c r="J5903">
        <f>YEAR(datas[[#This Row],[Order Date]])</f>
        <v>2023</v>
      </c>
    </row>
    <row r="5904" spans="1:10" ht="14.25" customHeight="1" x14ac:dyDescent="0.3">
      <c r="A5904" s="1">
        <v>45221</v>
      </c>
      <c r="B5904" s="2" t="s">
        <v>565</v>
      </c>
      <c r="C5904" s="2" t="s">
        <v>82</v>
      </c>
      <c r="D5904" s="2" t="s">
        <v>10</v>
      </c>
      <c r="E5904" s="2" t="s">
        <v>11</v>
      </c>
      <c r="F5904" s="2">
        <v>6.68</v>
      </c>
      <c r="G5904" s="2">
        <v>1</v>
      </c>
      <c r="H5904" s="2">
        <v>3.21</v>
      </c>
      <c r="I5904" t="str">
        <f t="shared" si="92"/>
        <v>Oct</v>
      </c>
      <c r="J5904">
        <f>YEAR(datas[[#This Row],[Order Date]])</f>
        <v>2023</v>
      </c>
    </row>
    <row r="5905" spans="1:10" ht="14.25" customHeight="1" x14ac:dyDescent="0.3">
      <c r="A5905" s="1">
        <v>45221</v>
      </c>
      <c r="B5905" s="2" t="s">
        <v>565</v>
      </c>
      <c r="C5905" s="2" t="s">
        <v>82</v>
      </c>
      <c r="D5905" s="2" t="s">
        <v>10</v>
      </c>
      <c r="E5905" s="2" t="s">
        <v>19</v>
      </c>
      <c r="F5905" s="2">
        <v>8.34</v>
      </c>
      <c r="G5905" s="2">
        <v>3</v>
      </c>
      <c r="H5905" s="2">
        <v>2.25</v>
      </c>
      <c r="I5905" t="str">
        <f t="shared" si="92"/>
        <v>Oct</v>
      </c>
      <c r="J5905">
        <f>YEAR(datas[[#This Row],[Order Date]])</f>
        <v>2023</v>
      </c>
    </row>
    <row r="5906" spans="1:10" ht="14.25" customHeight="1" x14ac:dyDescent="0.3">
      <c r="A5906" s="1">
        <v>45221</v>
      </c>
      <c r="B5906" s="2" t="s">
        <v>565</v>
      </c>
      <c r="C5906" s="2" t="s">
        <v>82</v>
      </c>
      <c r="D5906" s="2" t="s">
        <v>26</v>
      </c>
      <c r="E5906" s="2" t="s">
        <v>32</v>
      </c>
      <c r="F5906" s="2">
        <v>101.94</v>
      </c>
      <c r="G5906" s="2">
        <v>3</v>
      </c>
      <c r="H5906" s="2">
        <v>30.58</v>
      </c>
      <c r="I5906" t="str">
        <f t="shared" si="92"/>
        <v>Oct</v>
      </c>
      <c r="J5906">
        <f>YEAR(datas[[#This Row],[Order Date]])</f>
        <v>2023</v>
      </c>
    </row>
    <row r="5907" spans="1:10" ht="14.25" customHeight="1" x14ac:dyDescent="0.3">
      <c r="A5907" s="1">
        <v>45222</v>
      </c>
      <c r="B5907" s="2" t="s">
        <v>101</v>
      </c>
      <c r="C5907" s="2" t="s">
        <v>75</v>
      </c>
      <c r="D5907" s="2" t="s">
        <v>10</v>
      </c>
      <c r="E5907" s="2" t="s">
        <v>11</v>
      </c>
      <c r="F5907" s="2">
        <v>379.4</v>
      </c>
      <c r="G5907" s="2">
        <v>10</v>
      </c>
      <c r="H5907" s="2">
        <v>178.32</v>
      </c>
      <c r="I5907" t="str">
        <f t="shared" si="92"/>
        <v>Oct</v>
      </c>
      <c r="J5907">
        <f>YEAR(datas[[#This Row],[Order Date]])</f>
        <v>2023</v>
      </c>
    </row>
    <row r="5908" spans="1:10" ht="14.25" customHeight="1" x14ac:dyDescent="0.3">
      <c r="A5908" s="1">
        <v>45222</v>
      </c>
      <c r="B5908" s="2" t="s">
        <v>319</v>
      </c>
      <c r="C5908" s="2" t="s">
        <v>13</v>
      </c>
      <c r="D5908" s="2" t="s">
        <v>26</v>
      </c>
      <c r="E5908" s="2" t="s">
        <v>32</v>
      </c>
      <c r="F5908" s="2">
        <v>16.16</v>
      </c>
      <c r="G5908" s="2">
        <v>7</v>
      </c>
      <c r="H5908" s="2">
        <v>-12.12</v>
      </c>
      <c r="I5908" t="str">
        <f t="shared" si="92"/>
        <v>Oct</v>
      </c>
      <c r="J5908">
        <f>YEAR(datas[[#This Row],[Order Date]])</f>
        <v>2023</v>
      </c>
    </row>
    <row r="5909" spans="1:10" ht="14.25" customHeight="1" x14ac:dyDescent="0.3">
      <c r="A5909" s="1">
        <v>45222</v>
      </c>
      <c r="B5909" s="2" t="s">
        <v>319</v>
      </c>
      <c r="C5909" s="2" t="s">
        <v>13</v>
      </c>
      <c r="D5909" s="2" t="s">
        <v>10</v>
      </c>
      <c r="E5909" s="2" t="s">
        <v>11</v>
      </c>
      <c r="F5909" s="2">
        <v>54.82</v>
      </c>
      <c r="G5909" s="2">
        <v>3</v>
      </c>
      <c r="H5909" s="2">
        <v>17.82</v>
      </c>
      <c r="I5909" t="str">
        <f t="shared" si="92"/>
        <v>Oct</v>
      </c>
      <c r="J5909">
        <f>YEAR(datas[[#This Row],[Order Date]])</f>
        <v>2023</v>
      </c>
    </row>
    <row r="5910" spans="1:10" ht="14.25" customHeight="1" x14ac:dyDescent="0.3">
      <c r="A5910" s="1">
        <v>45222</v>
      </c>
      <c r="B5910" s="2" t="s">
        <v>383</v>
      </c>
      <c r="C5910" s="2" t="s">
        <v>82</v>
      </c>
      <c r="D5910" s="2" t="s">
        <v>10</v>
      </c>
      <c r="E5910" s="2" t="s">
        <v>30</v>
      </c>
      <c r="F5910" s="2">
        <v>17.05</v>
      </c>
      <c r="G5910" s="2">
        <v>5</v>
      </c>
      <c r="H5910" s="2">
        <v>8.18</v>
      </c>
      <c r="I5910" t="str">
        <f t="shared" si="92"/>
        <v>Oct</v>
      </c>
      <c r="J5910">
        <f>YEAR(datas[[#This Row],[Order Date]])</f>
        <v>2023</v>
      </c>
    </row>
    <row r="5911" spans="1:10" ht="14.25" customHeight="1" x14ac:dyDescent="0.3">
      <c r="A5911" s="1">
        <v>45223</v>
      </c>
      <c r="B5911" s="2" t="s">
        <v>263</v>
      </c>
      <c r="C5911" s="2" t="s">
        <v>21</v>
      </c>
      <c r="D5911" s="2" t="s">
        <v>28</v>
      </c>
      <c r="E5911" s="2" t="s">
        <v>34</v>
      </c>
      <c r="F5911" s="2">
        <v>100</v>
      </c>
      <c r="G5911" s="2">
        <v>4</v>
      </c>
      <c r="H5911" s="2">
        <v>21</v>
      </c>
      <c r="I5911" t="str">
        <f t="shared" si="92"/>
        <v>Oct</v>
      </c>
      <c r="J5911">
        <f>YEAR(datas[[#This Row],[Order Date]])</f>
        <v>2023</v>
      </c>
    </row>
    <row r="5912" spans="1:10" ht="14.25" customHeight="1" x14ac:dyDescent="0.3">
      <c r="A5912" s="1">
        <v>45223</v>
      </c>
      <c r="B5912" s="2" t="s">
        <v>263</v>
      </c>
      <c r="C5912" s="2" t="s">
        <v>21</v>
      </c>
      <c r="D5912" s="2" t="s">
        <v>28</v>
      </c>
      <c r="E5912" s="2" t="s">
        <v>34</v>
      </c>
      <c r="F5912" s="2">
        <v>359.98</v>
      </c>
      <c r="G5912" s="2">
        <v>2</v>
      </c>
      <c r="H5912" s="2">
        <v>21.6</v>
      </c>
      <c r="I5912" t="str">
        <f t="shared" si="92"/>
        <v>Oct</v>
      </c>
      <c r="J5912">
        <f>YEAR(datas[[#This Row],[Order Date]])</f>
        <v>2023</v>
      </c>
    </row>
    <row r="5913" spans="1:10" ht="14.25" customHeight="1" x14ac:dyDescent="0.3">
      <c r="A5913" s="1">
        <v>45223</v>
      </c>
      <c r="B5913" s="2" t="s">
        <v>724</v>
      </c>
      <c r="C5913" s="2" t="s">
        <v>62</v>
      </c>
      <c r="D5913" s="2" t="s">
        <v>28</v>
      </c>
      <c r="E5913" s="2" t="s">
        <v>29</v>
      </c>
      <c r="F5913" s="2">
        <v>239.98</v>
      </c>
      <c r="G5913" s="2">
        <v>3</v>
      </c>
      <c r="H5913" s="2">
        <v>18</v>
      </c>
      <c r="I5913" t="str">
        <f t="shared" si="92"/>
        <v>Oct</v>
      </c>
      <c r="J5913">
        <f>YEAR(datas[[#This Row],[Order Date]])</f>
        <v>2023</v>
      </c>
    </row>
    <row r="5914" spans="1:10" ht="14.25" customHeight="1" x14ac:dyDescent="0.3">
      <c r="A5914" s="1">
        <v>45223</v>
      </c>
      <c r="B5914" s="2" t="s">
        <v>401</v>
      </c>
      <c r="C5914" s="2" t="s">
        <v>21</v>
      </c>
      <c r="D5914" s="2" t="s">
        <v>28</v>
      </c>
      <c r="E5914" s="2" t="s">
        <v>34</v>
      </c>
      <c r="F5914" s="2">
        <v>199.99</v>
      </c>
      <c r="G5914" s="2">
        <v>1</v>
      </c>
      <c r="H5914" s="2">
        <v>86</v>
      </c>
      <c r="I5914" t="str">
        <f t="shared" si="92"/>
        <v>Oct</v>
      </c>
      <c r="J5914">
        <f>YEAR(datas[[#This Row],[Order Date]])</f>
        <v>2023</v>
      </c>
    </row>
    <row r="5915" spans="1:10" ht="14.25" customHeight="1" x14ac:dyDescent="0.3">
      <c r="A5915" s="1">
        <v>45223</v>
      </c>
      <c r="B5915" s="2" t="s">
        <v>429</v>
      </c>
      <c r="C5915" s="2" t="s">
        <v>9</v>
      </c>
      <c r="D5915" s="2" t="s">
        <v>10</v>
      </c>
      <c r="E5915" s="2" t="s">
        <v>11</v>
      </c>
      <c r="F5915" s="2">
        <v>15.55</v>
      </c>
      <c r="G5915" s="2">
        <v>3</v>
      </c>
      <c r="H5915" s="2">
        <v>5.44</v>
      </c>
      <c r="I5915" t="str">
        <f t="shared" si="92"/>
        <v>Oct</v>
      </c>
      <c r="J5915">
        <f>YEAR(datas[[#This Row],[Order Date]])</f>
        <v>2023</v>
      </c>
    </row>
    <row r="5916" spans="1:10" ht="14.25" customHeight="1" x14ac:dyDescent="0.3">
      <c r="A5916" s="1">
        <v>45223</v>
      </c>
      <c r="B5916" s="2" t="s">
        <v>411</v>
      </c>
      <c r="C5916" s="2" t="s">
        <v>21</v>
      </c>
      <c r="D5916" s="2" t="s">
        <v>28</v>
      </c>
      <c r="E5916" s="2" t="s">
        <v>34</v>
      </c>
      <c r="F5916" s="2">
        <v>450</v>
      </c>
      <c r="G5916" s="2">
        <v>5</v>
      </c>
      <c r="H5916" s="2">
        <v>162</v>
      </c>
      <c r="I5916" t="str">
        <f t="shared" si="92"/>
        <v>Oct</v>
      </c>
      <c r="J5916">
        <f>YEAR(datas[[#This Row],[Order Date]])</f>
        <v>2023</v>
      </c>
    </row>
    <row r="5917" spans="1:10" ht="14.25" customHeight="1" x14ac:dyDescent="0.3">
      <c r="A5917" s="1">
        <v>45224</v>
      </c>
      <c r="B5917" s="2" t="s">
        <v>117</v>
      </c>
      <c r="C5917" s="2" t="s">
        <v>64</v>
      </c>
      <c r="D5917" s="2" t="s">
        <v>28</v>
      </c>
      <c r="E5917" s="2" t="s">
        <v>29</v>
      </c>
      <c r="F5917" s="2">
        <v>783.96</v>
      </c>
      <c r="G5917" s="2">
        <v>5</v>
      </c>
      <c r="H5917" s="2">
        <v>78.400000000000006</v>
      </c>
      <c r="I5917" t="str">
        <f t="shared" si="92"/>
        <v>Oct</v>
      </c>
      <c r="J5917">
        <f>YEAR(datas[[#This Row],[Order Date]])</f>
        <v>2023</v>
      </c>
    </row>
    <row r="5918" spans="1:10" ht="14.25" customHeight="1" x14ac:dyDescent="0.3">
      <c r="A5918" s="1">
        <v>45226</v>
      </c>
      <c r="B5918" s="2" t="s">
        <v>689</v>
      </c>
      <c r="C5918" s="2" t="s">
        <v>75</v>
      </c>
      <c r="D5918" s="2" t="s">
        <v>26</v>
      </c>
      <c r="E5918" s="2" t="s">
        <v>32</v>
      </c>
      <c r="F5918" s="2">
        <v>40.200000000000003</v>
      </c>
      <c r="G5918" s="2">
        <v>3</v>
      </c>
      <c r="H5918" s="2">
        <v>19.3</v>
      </c>
      <c r="I5918" t="str">
        <f t="shared" si="92"/>
        <v>Oct</v>
      </c>
      <c r="J5918">
        <f>YEAR(datas[[#This Row],[Order Date]])</f>
        <v>2023</v>
      </c>
    </row>
    <row r="5919" spans="1:10" ht="14.25" customHeight="1" x14ac:dyDescent="0.3">
      <c r="A5919" s="1">
        <v>45226</v>
      </c>
      <c r="B5919" s="2" t="s">
        <v>311</v>
      </c>
      <c r="C5919" s="2" t="s">
        <v>21</v>
      </c>
      <c r="D5919" s="2" t="s">
        <v>10</v>
      </c>
      <c r="E5919" s="2" t="s">
        <v>53</v>
      </c>
      <c r="F5919" s="2">
        <v>43.92</v>
      </c>
      <c r="G5919" s="2">
        <v>4</v>
      </c>
      <c r="H5919" s="2">
        <v>11.86</v>
      </c>
      <c r="I5919" t="str">
        <f t="shared" si="92"/>
        <v>Oct</v>
      </c>
      <c r="J5919">
        <f>YEAR(datas[[#This Row],[Order Date]])</f>
        <v>2023</v>
      </c>
    </row>
    <row r="5920" spans="1:10" ht="14.25" customHeight="1" x14ac:dyDescent="0.3">
      <c r="A5920" s="1">
        <v>45226</v>
      </c>
      <c r="B5920" s="2" t="s">
        <v>311</v>
      </c>
      <c r="C5920" s="2" t="s">
        <v>21</v>
      </c>
      <c r="D5920" s="2" t="s">
        <v>10</v>
      </c>
      <c r="E5920" s="2" t="s">
        <v>16</v>
      </c>
      <c r="F5920" s="2">
        <v>25.03</v>
      </c>
      <c r="G5920" s="2">
        <v>3</v>
      </c>
      <c r="H5920" s="2">
        <v>7.82</v>
      </c>
      <c r="I5920" t="str">
        <f t="shared" si="92"/>
        <v>Oct</v>
      </c>
      <c r="J5920">
        <f>YEAR(datas[[#This Row],[Order Date]])</f>
        <v>2023</v>
      </c>
    </row>
    <row r="5921" spans="1:10" ht="14.25" customHeight="1" x14ac:dyDescent="0.3">
      <c r="A5921" s="1">
        <v>45226</v>
      </c>
      <c r="B5921" s="2" t="s">
        <v>416</v>
      </c>
      <c r="C5921" s="2" t="s">
        <v>36</v>
      </c>
      <c r="D5921" s="2" t="s">
        <v>26</v>
      </c>
      <c r="E5921" s="2" t="s">
        <v>27</v>
      </c>
      <c r="F5921" s="2">
        <v>290.98</v>
      </c>
      <c r="G5921" s="2">
        <v>1</v>
      </c>
      <c r="H5921" s="2">
        <v>75.650000000000006</v>
      </c>
      <c r="I5921" t="str">
        <f t="shared" si="92"/>
        <v>Oct</v>
      </c>
      <c r="J5921">
        <f>YEAR(datas[[#This Row],[Order Date]])</f>
        <v>2023</v>
      </c>
    </row>
    <row r="5922" spans="1:10" ht="14.25" customHeight="1" x14ac:dyDescent="0.3">
      <c r="A5922" s="1">
        <v>45226</v>
      </c>
      <c r="B5922" s="2" t="s">
        <v>271</v>
      </c>
      <c r="C5922" s="2" t="s">
        <v>21</v>
      </c>
      <c r="D5922" s="2" t="s">
        <v>10</v>
      </c>
      <c r="E5922" s="2" t="s">
        <v>16</v>
      </c>
      <c r="F5922" s="2">
        <v>67.14</v>
      </c>
      <c r="G5922" s="2">
        <v>4</v>
      </c>
      <c r="H5922" s="2">
        <v>25.18</v>
      </c>
      <c r="I5922" t="str">
        <f t="shared" si="92"/>
        <v>Oct</v>
      </c>
      <c r="J5922">
        <f>YEAR(datas[[#This Row],[Order Date]])</f>
        <v>2023</v>
      </c>
    </row>
    <row r="5923" spans="1:10" ht="14.25" customHeight="1" x14ac:dyDescent="0.3">
      <c r="A5923" s="1">
        <v>45226</v>
      </c>
      <c r="B5923" s="2" t="s">
        <v>416</v>
      </c>
      <c r="C5923" s="2" t="s">
        <v>75</v>
      </c>
      <c r="D5923" s="2" t="s">
        <v>26</v>
      </c>
      <c r="E5923" s="2" t="s">
        <v>27</v>
      </c>
      <c r="F5923" s="2">
        <v>427.64</v>
      </c>
      <c r="G5923" s="2">
        <v>14</v>
      </c>
      <c r="H5923" s="2">
        <v>80.78</v>
      </c>
      <c r="I5923" t="str">
        <f t="shared" si="92"/>
        <v>Oct</v>
      </c>
      <c r="J5923">
        <f>YEAR(datas[[#This Row],[Order Date]])</f>
        <v>2023</v>
      </c>
    </row>
    <row r="5924" spans="1:10" ht="14.25" customHeight="1" x14ac:dyDescent="0.3">
      <c r="A5924" s="1">
        <v>45226</v>
      </c>
      <c r="B5924" s="2" t="s">
        <v>416</v>
      </c>
      <c r="C5924" s="2" t="s">
        <v>75</v>
      </c>
      <c r="D5924" s="2" t="s">
        <v>10</v>
      </c>
      <c r="E5924" s="2" t="s">
        <v>30</v>
      </c>
      <c r="F5924" s="2">
        <v>40.67</v>
      </c>
      <c r="G5924" s="2">
        <v>7</v>
      </c>
      <c r="H5924" s="2">
        <v>12.61</v>
      </c>
      <c r="I5924" t="str">
        <f t="shared" si="92"/>
        <v>Oct</v>
      </c>
      <c r="J5924">
        <f>YEAR(datas[[#This Row],[Order Date]])</f>
        <v>2023</v>
      </c>
    </row>
    <row r="5925" spans="1:10" ht="14.25" customHeight="1" x14ac:dyDescent="0.3">
      <c r="A5925" s="1">
        <v>45226</v>
      </c>
      <c r="B5925" s="2" t="s">
        <v>416</v>
      </c>
      <c r="C5925" s="2" t="s">
        <v>75</v>
      </c>
      <c r="D5925" s="2" t="s">
        <v>10</v>
      </c>
      <c r="E5925" s="2" t="s">
        <v>15</v>
      </c>
      <c r="F5925" s="2">
        <v>33.479999999999997</v>
      </c>
      <c r="G5925" s="2">
        <v>2</v>
      </c>
      <c r="H5925" s="2">
        <v>1.34</v>
      </c>
      <c r="I5925" t="str">
        <f t="shared" si="92"/>
        <v>Oct</v>
      </c>
      <c r="J5925">
        <f>YEAR(datas[[#This Row],[Order Date]])</f>
        <v>2023</v>
      </c>
    </row>
    <row r="5926" spans="1:10" ht="14.25" customHeight="1" x14ac:dyDescent="0.3">
      <c r="A5926" s="1">
        <v>45226</v>
      </c>
      <c r="B5926" s="2" t="s">
        <v>416</v>
      </c>
      <c r="C5926" s="2" t="s">
        <v>75</v>
      </c>
      <c r="D5926" s="2" t="s">
        <v>10</v>
      </c>
      <c r="E5926" s="2" t="s">
        <v>16</v>
      </c>
      <c r="F5926" s="2">
        <v>9.73</v>
      </c>
      <c r="G5926" s="2">
        <v>2</v>
      </c>
      <c r="H5926" s="2">
        <v>3.28</v>
      </c>
      <c r="I5926" t="str">
        <f t="shared" si="92"/>
        <v>Oct</v>
      </c>
      <c r="J5926">
        <f>YEAR(datas[[#This Row],[Order Date]])</f>
        <v>2023</v>
      </c>
    </row>
    <row r="5927" spans="1:10" ht="14.25" customHeight="1" x14ac:dyDescent="0.3">
      <c r="A5927" s="1">
        <v>45227</v>
      </c>
      <c r="B5927" s="2" t="s">
        <v>730</v>
      </c>
      <c r="C5927" s="2" t="s">
        <v>21</v>
      </c>
      <c r="D5927" s="2" t="s">
        <v>10</v>
      </c>
      <c r="E5927" s="2" t="s">
        <v>15</v>
      </c>
      <c r="F5927" s="2">
        <v>93.06</v>
      </c>
      <c r="G5927" s="2">
        <v>6</v>
      </c>
      <c r="H5927" s="2">
        <v>26.06</v>
      </c>
      <c r="I5927" t="str">
        <f t="shared" si="92"/>
        <v>Oct</v>
      </c>
      <c r="J5927">
        <f>YEAR(datas[[#This Row],[Order Date]])</f>
        <v>2023</v>
      </c>
    </row>
    <row r="5928" spans="1:10" ht="14.25" customHeight="1" x14ac:dyDescent="0.3">
      <c r="A5928" s="1">
        <v>45227</v>
      </c>
      <c r="B5928" s="2" t="s">
        <v>730</v>
      </c>
      <c r="C5928" s="2" t="s">
        <v>21</v>
      </c>
      <c r="D5928" s="2" t="s">
        <v>28</v>
      </c>
      <c r="E5928" s="2" t="s">
        <v>29</v>
      </c>
      <c r="F5928" s="2">
        <v>302.38</v>
      </c>
      <c r="G5928" s="2">
        <v>3</v>
      </c>
      <c r="H5928" s="2">
        <v>22.68</v>
      </c>
      <c r="I5928" t="str">
        <f t="shared" si="92"/>
        <v>Oct</v>
      </c>
      <c r="J5928">
        <f>YEAR(datas[[#This Row],[Order Date]])</f>
        <v>2023</v>
      </c>
    </row>
    <row r="5929" spans="1:10" ht="14.25" customHeight="1" x14ac:dyDescent="0.3">
      <c r="A5929" s="1">
        <v>45227</v>
      </c>
      <c r="B5929" s="2" t="s">
        <v>161</v>
      </c>
      <c r="C5929" s="2" t="s">
        <v>87</v>
      </c>
      <c r="D5929" s="2" t="s">
        <v>10</v>
      </c>
      <c r="E5929" s="2" t="s">
        <v>11</v>
      </c>
      <c r="F5929" s="2">
        <v>32.4</v>
      </c>
      <c r="G5929" s="2">
        <v>5</v>
      </c>
      <c r="H5929" s="2">
        <v>15.55</v>
      </c>
      <c r="I5929" t="str">
        <f t="shared" si="92"/>
        <v>Oct</v>
      </c>
      <c r="J5929">
        <f>YEAR(datas[[#This Row],[Order Date]])</f>
        <v>2023</v>
      </c>
    </row>
    <row r="5930" spans="1:10" ht="14.25" customHeight="1" x14ac:dyDescent="0.3">
      <c r="A5930" s="1">
        <v>45227</v>
      </c>
      <c r="B5930" s="2" t="s">
        <v>161</v>
      </c>
      <c r="C5930" s="2" t="s">
        <v>87</v>
      </c>
      <c r="D5930" s="2" t="s">
        <v>10</v>
      </c>
      <c r="E5930" s="2" t="s">
        <v>15</v>
      </c>
      <c r="F5930" s="2">
        <v>1082.48</v>
      </c>
      <c r="G5930" s="2">
        <v>8</v>
      </c>
      <c r="H5930" s="2">
        <v>10.82</v>
      </c>
      <c r="I5930" t="str">
        <f t="shared" si="92"/>
        <v>Oct</v>
      </c>
      <c r="J5930">
        <f>YEAR(datas[[#This Row],[Order Date]])</f>
        <v>2023</v>
      </c>
    </row>
    <row r="5931" spans="1:10" ht="14.25" customHeight="1" x14ac:dyDescent="0.3">
      <c r="A5931" s="1">
        <v>45227</v>
      </c>
      <c r="B5931" s="2" t="s">
        <v>161</v>
      </c>
      <c r="C5931" s="2" t="s">
        <v>87</v>
      </c>
      <c r="D5931" s="2" t="s">
        <v>10</v>
      </c>
      <c r="E5931" s="2" t="s">
        <v>11</v>
      </c>
      <c r="F5931" s="2">
        <v>56.91</v>
      </c>
      <c r="G5931" s="2">
        <v>3</v>
      </c>
      <c r="H5931" s="2">
        <v>27.32</v>
      </c>
      <c r="I5931" t="str">
        <f t="shared" si="92"/>
        <v>Oct</v>
      </c>
      <c r="J5931">
        <f>YEAR(datas[[#This Row],[Order Date]])</f>
        <v>2023</v>
      </c>
    </row>
    <row r="5932" spans="1:10" ht="14.25" customHeight="1" x14ac:dyDescent="0.3">
      <c r="A5932" s="1">
        <v>45227</v>
      </c>
      <c r="B5932" s="2" t="s">
        <v>161</v>
      </c>
      <c r="C5932" s="2" t="s">
        <v>87</v>
      </c>
      <c r="D5932" s="2" t="s">
        <v>26</v>
      </c>
      <c r="E5932" s="2" t="s">
        <v>32</v>
      </c>
      <c r="F5932" s="2">
        <v>77.599999999999994</v>
      </c>
      <c r="G5932" s="2">
        <v>4</v>
      </c>
      <c r="H5932" s="2">
        <v>38.020000000000003</v>
      </c>
      <c r="I5932" t="str">
        <f t="shared" si="92"/>
        <v>Oct</v>
      </c>
      <c r="J5932">
        <f>YEAR(datas[[#This Row],[Order Date]])</f>
        <v>2023</v>
      </c>
    </row>
    <row r="5933" spans="1:10" ht="14.25" customHeight="1" x14ac:dyDescent="0.3">
      <c r="A5933" s="1">
        <v>45227</v>
      </c>
      <c r="B5933" s="2" t="s">
        <v>161</v>
      </c>
      <c r="C5933" s="2" t="s">
        <v>87</v>
      </c>
      <c r="D5933" s="2" t="s">
        <v>10</v>
      </c>
      <c r="E5933" s="2" t="s">
        <v>16</v>
      </c>
      <c r="F5933" s="2">
        <v>14.28</v>
      </c>
      <c r="G5933" s="2">
        <v>1</v>
      </c>
      <c r="H5933" s="2">
        <v>6.57</v>
      </c>
      <c r="I5933" t="str">
        <f t="shared" si="92"/>
        <v>Oct</v>
      </c>
      <c r="J5933">
        <f>YEAR(datas[[#This Row],[Order Date]])</f>
        <v>2023</v>
      </c>
    </row>
    <row r="5934" spans="1:10" ht="14.25" customHeight="1" x14ac:dyDescent="0.3">
      <c r="A5934" s="1">
        <v>45227</v>
      </c>
      <c r="B5934" s="2" t="s">
        <v>830</v>
      </c>
      <c r="C5934" s="2" t="s">
        <v>21</v>
      </c>
      <c r="D5934" s="2" t="s">
        <v>10</v>
      </c>
      <c r="E5934" s="2" t="s">
        <v>11</v>
      </c>
      <c r="F5934" s="2">
        <v>50.96</v>
      </c>
      <c r="G5934" s="2">
        <v>7</v>
      </c>
      <c r="H5934" s="2">
        <v>25.48</v>
      </c>
      <c r="I5934" t="str">
        <f t="shared" si="92"/>
        <v>Oct</v>
      </c>
      <c r="J5934">
        <f>YEAR(datas[[#This Row],[Order Date]])</f>
        <v>2023</v>
      </c>
    </row>
    <row r="5935" spans="1:10" ht="14.25" customHeight="1" x14ac:dyDescent="0.3">
      <c r="A5935" s="1">
        <v>45227</v>
      </c>
      <c r="B5935" s="2" t="s">
        <v>830</v>
      </c>
      <c r="C5935" s="2" t="s">
        <v>21</v>
      </c>
      <c r="D5935" s="2" t="s">
        <v>10</v>
      </c>
      <c r="E5935" s="2" t="s">
        <v>16</v>
      </c>
      <c r="F5935" s="2">
        <v>49.54</v>
      </c>
      <c r="G5935" s="2">
        <v>3</v>
      </c>
      <c r="H5935" s="2">
        <v>17.34</v>
      </c>
      <c r="I5935" t="str">
        <f t="shared" si="92"/>
        <v>Oct</v>
      </c>
      <c r="J5935">
        <f>YEAR(datas[[#This Row],[Order Date]])</f>
        <v>2023</v>
      </c>
    </row>
    <row r="5936" spans="1:10" ht="14.25" customHeight="1" x14ac:dyDescent="0.3">
      <c r="A5936" s="1">
        <v>45227</v>
      </c>
      <c r="B5936" s="2" t="s">
        <v>256</v>
      </c>
      <c r="C5936" s="2" t="s">
        <v>64</v>
      </c>
      <c r="D5936" s="2" t="s">
        <v>26</v>
      </c>
      <c r="E5936" s="2" t="s">
        <v>32</v>
      </c>
      <c r="F5936" s="2">
        <v>47.95</v>
      </c>
      <c r="G5936" s="2">
        <v>3</v>
      </c>
      <c r="H5936" s="2">
        <v>13.79</v>
      </c>
      <c r="I5936" t="str">
        <f t="shared" si="92"/>
        <v>Oct</v>
      </c>
      <c r="J5936">
        <f>YEAR(datas[[#This Row],[Order Date]])</f>
        <v>2023</v>
      </c>
    </row>
    <row r="5937" spans="1:10" ht="14.25" customHeight="1" x14ac:dyDescent="0.3">
      <c r="A5937" s="1">
        <v>45227</v>
      </c>
      <c r="B5937" s="2" t="s">
        <v>256</v>
      </c>
      <c r="C5937" s="2" t="s">
        <v>64</v>
      </c>
      <c r="D5937" s="2" t="s">
        <v>10</v>
      </c>
      <c r="E5937" s="2" t="s">
        <v>16</v>
      </c>
      <c r="F5937" s="2">
        <v>37.43</v>
      </c>
      <c r="G5937" s="2">
        <v>5</v>
      </c>
      <c r="H5937" s="2">
        <v>-29.94</v>
      </c>
      <c r="I5937" t="str">
        <f t="shared" si="92"/>
        <v>Oct</v>
      </c>
      <c r="J5937">
        <f>YEAR(datas[[#This Row],[Order Date]])</f>
        <v>2023</v>
      </c>
    </row>
    <row r="5938" spans="1:10" ht="14.25" customHeight="1" x14ac:dyDescent="0.3">
      <c r="A5938" s="1">
        <v>45227</v>
      </c>
      <c r="B5938" s="2" t="s">
        <v>256</v>
      </c>
      <c r="C5938" s="2" t="s">
        <v>64</v>
      </c>
      <c r="D5938" s="2" t="s">
        <v>26</v>
      </c>
      <c r="E5938" s="2" t="s">
        <v>32</v>
      </c>
      <c r="F5938" s="2">
        <v>63.97</v>
      </c>
      <c r="G5938" s="2">
        <v>2</v>
      </c>
      <c r="H5938" s="2">
        <v>0</v>
      </c>
      <c r="I5938" t="str">
        <f t="shared" si="92"/>
        <v>Oct</v>
      </c>
      <c r="J5938">
        <f>YEAR(datas[[#This Row],[Order Date]])</f>
        <v>2023</v>
      </c>
    </row>
    <row r="5939" spans="1:10" ht="14.25" customHeight="1" x14ac:dyDescent="0.3">
      <c r="A5939" s="1">
        <v>45227</v>
      </c>
      <c r="B5939" s="2" t="s">
        <v>256</v>
      </c>
      <c r="C5939" s="2" t="s">
        <v>64</v>
      </c>
      <c r="D5939" s="2" t="s">
        <v>26</v>
      </c>
      <c r="E5939" s="2" t="s">
        <v>32</v>
      </c>
      <c r="F5939" s="2">
        <v>165.05</v>
      </c>
      <c r="G5939" s="2">
        <v>3</v>
      </c>
      <c r="H5939" s="2">
        <v>41.26</v>
      </c>
      <c r="I5939" t="str">
        <f t="shared" si="92"/>
        <v>Oct</v>
      </c>
      <c r="J5939">
        <f>YEAR(datas[[#This Row],[Order Date]])</f>
        <v>2023</v>
      </c>
    </row>
    <row r="5940" spans="1:10" ht="14.25" customHeight="1" x14ac:dyDescent="0.3">
      <c r="A5940" s="1">
        <v>45227</v>
      </c>
      <c r="B5940" s="2" t="s">
        <v>507</v>
      </c>
      <c r="C5940" s="2" t="s">
        <v>115</v>
      </c>
      <c r="D5940" s="2" t="s">
        <v>10</v>
      </c>
      <c r="E5940" s="2" t="s">
        <v>16</v>
      </c>
      <c r="F5940" s="2">
        <v>17.62</v>
      </c>
      <c r="G5940" s="2">
        <v>4</v>
      </c>
      <c r="H5940" s="2">
        <v>-14.09</v>
      </c>
      <c r="I5940" t="str">
        <f t="shared" si="92"/>
        <v>Oct</v>
      </c>
      <c r="J5940">
        <f>YEAR(datas[[#This Row],[Order Date]])</f>
        <v>2023</v>
      </c>
    </row>
    <row r="5941" spans="1:10" ht="14.25" customHeight="1" x14ac:dyDescent="0.3">
      <c r="A5941" s="1">
        <v>45227</v>
      </c>
      <c r="B5941" s="2" t="s">
        <v>355</v>
      </c>
      <c r="C5941" s="2" t="s">
        <v>64</v>
      </c>
      <c r="D5941" s="2" t="s">
        <v>10</v>
      </c>
      <c r="E5941" s="2" t="s">
        <v>16</v>
      </c>
      <c r="F5941" s="2">
        <v>38.19</v>
      </c>
      <c r="G5941" s="2">
        <v>5</v>
      </c>
      <c r="H5941" s="2">
        <v>-26.73</v>
      </c>
      <c r="I5941" t="str">
        <f t="shared" si="92"/>
        <v>Oct</v>
      </c>
      <c r="J5941">
        <f>YEAR(datas[[#This Row],[Order Date]])</f>
        <v>2023</v>
      </c>
    </row>
    <row r="5942" spans="1:10" ht="14.25" customHeight="1" x14ac:dyDescent="0.3">
      <c r="A5942" s="1">
        <v>45227</v>
      </c>
      <c r="B5942" s="2" t="s">
        <v>336</v>
      </c>
      <c r="C5942" s="2" t="s">
        <v>75</v>
      </c>
      <c r="D5942" s="2" t="s">
        <v>10</v>
      </c>
      <c r="E5942" s="2" t="s">
        <v>19</v>
      </c>
      <c r="F5942" s="2">
        <v>12.42</v>
      </c>
      <c r="G5942" s="2">
        <v>3</v>
      </c>
      <c r="H5942" s="2">
        <v>5.22</v>
      </c>
      <c r="I5942" t="str">
        <f t="shared" si="92"/>
        <v>Oct</v>
      </c>
      <c r="J5942">
        <f>YEAR(datas[[#This Row],[Order Date]])</f>
        <v>2023</v>
      </c>
    </row>
    <row r="5943" spans="1:10" ht="14.25" customHeight="1" x14ac:dyDescent="0.3">
      <c r="A5943" s="1">
        <v>45227</v>
      </c>
      <c r="B5943" s="2" t="s">
        <v>741</v>
      </c>
      <c r="C5943" s="2" t="s">
        <v>75</v>
      </c>
      <c r="D5943" s="2" t="s">
        <v>26</v>
      </c>
      <c r="E5943" s="2" t="s">
        <v>32</v>
      </c>
      <c r="F5943" s="2">
        <v>756.8</v>
      </c>
      <c r="G5943" s="2">
        <v>5</v>
      </c>
      <c r="H5943" s="2">
        <v>75.680000000000007</v>
      </c>
      <c r="I5943" t="str">
        <f t="shared" si="92"/>
        <v>Oct</v>
      </c>
      <c r="J5943">
        <f>YEAR(datas[[#This Row],[Order Date]])</f>
        <v>2023</v>
      </c>
    </row>
    <row r="5944" spans="1:10" ht="14.25" customHeight="1" x14ac:dyDescent="0.3">
      <c r="A5944" s="1">
        <v>45228</v>
      </c>
      <c r="B5944" s="2" t="s">
        <v>201</v>
      </c>
      <c r="C5944" s="2" t="s">
        <v>87</v>
      </c>
      <c r="D5944" s="2" t="s">
        <v>10</v>
      </c>
      <c r="E5944" s="2" t="s">
        <v>15</v>
      </c>
      <c r="F5944" s="2">
        <v>40.74</v>
      </c>
      <c r="G5944" s="2">
        <v>3</v>
      </c>
      <c r="H5944" s="2">
        <v>0.41</v>
      </c>
      <c r="I5944" t="str">
        <f t="shared" si="92"/>
        <v>Oct</v>
      </c>
      <c r="J5944">
        <f>YEAR(datas[[#This Row],[Order Date]])</f>
        <v>2023</v>
      </c>
    </row>
    <row r="5945" spans="1:10" ht="14.25" customHeight="1" x14ac:dyDescent="0.3">
      <c r="A5945" s="1">
        <v>45228</v>
      </c>
      <c r="B5945" s="2" t="s">
        <v>201</v>
      </c>
      <c r="C5945" s="2" t="s">
        <v>87</v>
      </c>
      <c r="D5945" s="2" t="s">
        <v>10</v>
      </c>
      <c r="E5945" s="2" t="s">
        <v>53</v>
      </c>
      <c r="F5945" s="2">
        <v>11.67</v>
      </c>
      <c r="G5945" s="2">
        <v>3</v>
      </c>
      <c r="H5945" s="2">
        <v>3.03</v>
      </c>
      <c r="I5945" t="str">
        <f t="shared" si="92"/>
        <v>Oct</v>
      </c>
      <c r="J5945">
        <f>YEAR(datas[[#This Row],[Order Date]])</f>
        <v>2023</v>
      </c>
    </row>
    <row r="5946" spans="1:10" ht="14.25" customHeight="1" x14ac:dyDescent="0.3">
      <c r="A5946" s="1">
        <v>45228</v>
      </c>
      <c r="B5946" s="2" t="s">
        <v>755</v>
      </c>
      <c r="C5946" s="2" t="s">
        <v>60</v>
      </c>
      <c r="D5946" s="2" t="s">
        <v>26</v>
      </c>
      <c r="E5946" s="2" t="s">
        <v>32</v>
      </c>
      <c r="F5946" s="2">
        <v>67</v>
      </c>
      <c r="G5946" s="2">
        <v>5</v>
      </c>
      <c r="H5946" s="2">
        <v>32.159999999999997</v>
      </c>
      <c r="I5946" t="str">
        <f t="shared" si="92"/>
        <v>Oct</v>
      </c>
      <c r="J5946">
        <f>YEAR(datas[[#This Row],[Order Date]])</f>
        <v>2023</v>
      </c>
    </row>
    <row r="5947" spans="1:10" ht="14.25" customHeight="1" x14ac:dyDescent="0.3">
      <c r="A5947" s="1">
        <v>45228</v>
      </c>
      <c r="B5947" s="2" t="s">
        <v>636</v>
      </c>
      <c r="C5947" s="2" t="s">
        <v>21</v>
      </c>
      <c r="D5947" s="2" t="s">
        <v>10</v>
      </c>
      <c r="E5947" s="2" t="s">
        <v>16</v>
      </c>
      <c r="F5947" s="2">
        <v>11.74</v>
      </c>
      <c r="G5947" s="2">
        <v>1</v>
      </c>
      <c r="H5947" s="2">
        <v>3.82</v>
      </c>
      <c r="I5947" t="str">
        <f t="shared" si="92"/>
        <v>Oct</v>
      </c>
      <c r="J5947">
        <f>YEAR(datas[[#This Row],[Order Date]])</f>
        <v>2023</v>
      </c>
    </row>
    <row r="5948" spans="1:10" ht="14.25" customHeight="1" x14ac:dyDescent="0.3">
      <c r="A5948" s="1">
        <v>45229</v>
      </c>
      <c r="B5948" s="2" t="s">
        <v>133</v>
      </c>
      <c r="C5948" s="2" t="s">
        <v>60</v>
      </c>
      <c r="D5948" s="2" t="s">
        <v>10</v>
      </c>
      <c r="E5948" s="2" t="s">
        <v>19</v>
      </c>
      <c r="F5948" s="2">
        <v>11.68</v>
      </c>
      <c r="G5948" s="2">
        <v>2</v>
      </c>
      <c r="H5948" s="2">
        <v>3.5</v>
      </c>
      <c r="I5948" t="str">
        <f t="shared" si="92"/>
        <v>Oct</v>
      </c>
      <c r="J5948">
        <f>YEAR(datas[[#This Row],[Order Date]])</f>
        <v>2023</v>
      </c>
    </row>
    <row r="5949" spans="1:10" ht="14.25" customHeight="1" x14ac:dyDescent="0.3">
      <c r="A5949" s="1">
        <v>45229</v>
      </c>
      <c r="B5949" s="2" t="s">
        <v>213</v>
      </c>
      <c r="C5949" s="2" t="s">
        <v>75</v>
      </c>
      <c r="D5949" s="2" t="s">
        <v>10</v>
      </c>
      <c r="E5949" s="2" t="s">
        <v>16</v>
      </c>
      <c r="F5949" s="2">
        <v>28.75</v>
      </c>
      <c r="G5949" s="2">
        <v>3</v>
      </c>
      <c r="H5949" s="2">
        <v>10.06</v>
      </c>
      <c r="I5949" t="str">
        <f t="shared" si="92"/>
        <v>Oct</v>
      </c>
      <c r="J5949">
        <f>YEAR(datas[[#This Row],[Order Date]])</f>
        <v>2023</v>
      </c>
    </row>
    <row r="5950" spans="1:10" ht="14.25" customHeight="1" x14ac:dyDescent="0.3">
      <c r="A5950" s="1">
        <v>45229</v>
      </c>
      <c r="B5950" s="2" t="s">
        <v>213</v>
      </c>
      <c r="C5950" s="2" t="s">
        <v>75</v>
      </c>
      <c r="D5950" s="2" t="s">
        <v>10</v>
      </c>
      <c r="E5950" s="2" t="s">
        <v>19</v>
      </c>
      <c r="F5950" s="2">
        <v>114.95</v>
      </c>
      <c r="G5950" s="2">
        <v>5</v>
      </c>
      <c r="H5950" s="2">
        <v>32.19</v>
      </c>
      <c r="I5950" t="str">
        <f t="shared" si="92"/>
        <v>Oct</v>
      </c>
      <c r="J5950">
        <f>YEAR(datas[[#This Row],[Order Date]])</f>
        <v>2023</v>
      </c>
    </row>
    <row r="5951" spans="1:10" ht="14.25" customHeight="1" x14ac:dyDescent="0.3">
      <c r="A5951" s="1">
        <v>45229</v>
      </c>
      <c r="B5951" s="2" t="s">
        <v>602</v>
      </c>
      <c r="C5951" s="2" t="s">
        <v>21</v>
      </c>
      <c r="D5951" s="2" t="s">
        <v>10</v>
      </c>
      <c r="E5951" s="2" t="s">
        <v>30</v>
      </c>
      <c r="F5951" s="2">
        <v>3.62</v>
      </c>
      <c r="G5951" s="2">
        <v>2</v>
      </c>
      <c r="H5951" s="2">
        <v>1.19</v>
      </c>
      <c r="I5951" t="str">
        <f t="shared" si="92"/>
        <v>Oct</v>
      </c>
      <c r="J5951">
        <f>YEAR(datas[[#This Row],[Order Date]])</f>
        <v>2023</v>
      </c>
    </row>
    <row r="5952" spans="1:10" ht="14.25" customHeight="1" x14ac:dyDescent="0.3">
      <c r="A5952" s="1">
        <v>45230</v>
      </c>
      <c r="B5952" s="2" t="s">
        <v>722</v>
      </c>
      <c r="C5952" s="2" t="s">
        <v>18</v>
      </c>
      <c r="D5952" s="2" t="s">
        <v>26</v>
      </c>
      <c r="E5952" s="2" t="s">
        <v>27</v>
      </c>
      <c r="F5952" s="2">
        <v>492.84</v>
      </c>
      <c r="G5952" s="2">
        <v>5</v>
      </c>
      <c r="H5952" s="2">
        <v>-14.08</v>
      </c>
      <c r="I5952" t="str">
        <f t="shared" si="92"/>
        <v>Oct</v>
      </c>
      <c r="J5952">
        <f>YEAR(datas[[#This Row],[Order Date]])</f>
        <v>2023</v>
      </c>
    </row>
    <row r="5953" spans="1:10" ht="14.25" customHeight="1" x14ac:dyDescent="0.3">
      <c r="A5953" s="1">
        <v>45230</v>
      </c>
      <c r="B5953" s="2" t="s">
        <v>161</v>
      </c>
      <c r="C5953" s="2" t="s">
        <v>21</v>
      </c>
      <c r="D5953" s="2" t="s">
        <v>10</v>
      </c>
      <c r="E5953" s="2" t="s">
        <v>15</v>
      </c>
      <c r="F5953" s="2">
        <v>1085.42</v>
      </c>
      <c r="G5953" s="2">
        <v>7</v>
      </c>
      <c r="H5953" s="2">
        <v>282.20999999999998</v>
      </c>
      <c r="I5953" t="str">
        <f t="shared" si="92"/>
        <v>Oct</v>
      </c>
      <c r="J5953">
        <f>YEAR(datas[[#This Row],[Order Date]])</f>
        <v>2023</v>
      </c>
    </row>
    <row r="5954" spans="1:10" ht="14.25" customHeight="1" x14ac:dyDescent="0.3">
      <c r="A5954" s="1">
        <v>45230</v>
      </c>
      <c r="B5954" s="2" t="s">
        <v>318</v>
      </c>
      <c r="C5954" s="2" t="s">
        <v>64</v>
      </c>
      <c r="D5954" s="2" t="s">
        <v>10</v>
      </c>
      <c r="E5954" s="2" t="s">
        <v>11</v>
      </c>
      <c r="F5954" s="2">
        <v>32.06</v>
      </c>
      <c r="G5954" s="2">
        <v>6</v>
      </c>
      <c r="H5954" s="2">
        <v>11.22</v>
      </c>
      <c r="I5954" t="str">
        <f t="shared" si="92"/>
        <v>Oct</v>
      </c>
      <c r="J5954">
        <f>YEAR(datas[[#This Row],[Order Date]])</f>
        <v>2023</v>
      </c>
    </row>
    <row r="5955" spans="1:10" ht="14.25" customHeight="1" x14ac:dyDescent="0.3">
      <c r="A5955" s="1">
        <v>45230</v>
      </c>
      <c r="B5955" s="2" t="s">
        <v>771</v>
      </c>
      <c r="C5955" s="2" t="s">
        <v>329</v>
      </c>
      <c r="D5955" s="2" t="s">
        <v>10</v>
      </c>
      <c r="E5955" s="2" t="s">
        <v>95</v>
      </c>
      <c r="F5955" s="2">
        <v>21.96</v>
      </c>
      <c r="G5955" s="2">
        <v>2</v>
      </c>
      <c r="H5955" s="2">
        <v>6.15</v>
      </c>
      <c r="I5955" t="str">
        <f t="shared" ref="I5955:I6018" si="93">TEXT(A5955,"mmm")</f>
        <v>Oct</v>
      </c>
      <c r="J5955">
        <f>YEAR(datas[[#This Row],[Order Date]])</f>
        <v>2023</v>
      </c>
    </row>
    <row r="5956" spans="1:10" ht="14.25" customHeight="1" x14ac:dyDescent="0.3">
      <c r="A5956" s="1">
        <v>45230</v>
      </c>
      <c r="B5956" s="2" t="s">
        <v>771</v>
      </c>
      <c r="C5956" s="2" t="s">
        <v>329</v>
      </c>
      <c r="D5956" s="2" t="s">
        <v>26</v>
      </c>
      <c r="E5956" s="2" t="s">
        <v>27</v>
      </c>
      <c r="F5956" s="2">
        <v>368.97</v>
      </c>
      <c r="G5956" s="2">
        <v>3</v>
      </c>
      <c r="H5956" s="2">
        <v>81.17</v>
      </c>
      <c r="I5956" t="str">
        <f t="shared" si="93"/>
        <v>Oct</v>
      </c>
      <c r="J5956">
        <f>YEAR(datas[[#This Row],[Order Date]])</f>
        <v>2023</v>
      </c>
    </row>
    <row r="5957" spans="1:10" ht="14.25" customHeight="1" x14ac:dyDescent="0.3">
      <c r="A5957" s="1">
        <v>45230</v>
      </c>
      <c r="B5957" s="2" t="s">
        <v>771</v>
      </c>
      <c r="C5957" s="2" t="s">
        <v>329</v>
      </c>
      <c r="D5957" s="2" t="s">
        <v>10</v>
      </c>
      <c r="E5957" s="2" t="s">
        <v>19</v>
      </c>
      <c r="F5957" s="2">
        <v>12.39</v>
      </c>
      <c r="G5957" s="2">
        <v>3</v>
      </c>
      <c r="H5957" s="2">
        <v>3.47</v>
      </c>
      <c r="I5957" t="str">
        <f t="shared" si="93"/>
        <v>Oct</v>
      </c>
      <c r="J5957">
        <f>YEAR(datas[[#This Row],[Order Date]])</f>
        <v>2023</v>
      </c>
    </row>
    <row r="5958" spans="1:10" ht="14.25" customHeight="1" x14ac:dyDescent="0.3">
      <c r="A5958" s="1">
        <v>45230</v>
      </c>
      <c r="B5958" s="2" t="s">
        <v>771</v>
      </c>
      <c r="C5958" s="2" t="s">
        <v>329</v>
      </c>
      <c r="D5958" s="2" t="s">
        <v>10</v>
      </c>
      <c r="E5958" s="2" t="s">
        <v>15</v>
      </c>
      <c r="F5958" s="2">
        <v>332.94</v>
      </c>
      <c r="G5958" s="2">
        <v>3</v>
      </c>
      <c r="H5958" s="2">
        <v>9.99</v>
      </c>
      <c r="I5958" t="str">
        <f t="shared" si="93"/>
        <v>Oct</v>
      </c>
      <c r="J5958">
        <f>YEAR(datas[[#This Row],[Order Date]])</f>
        <v>2023</v>
      </c>
    </row>
    <row r="5959" spans="1:10" ht="14.25" customHeight="1" x14ac:dyDescent="0.3">
      <c r="A5959" s="1">
        <v>45230</v>
      </c>
      <c r="B5959" s="2" t="s">
        <v>543</v>
      </c>
      <c r="C5959" s="2" t="s">
        <v>21</v>
      </c>
      <c r="D5959" s="2" t="s">
        <v>26</v>
      </c>
      <c r="E5959" s="2" t="s">
        <v>27</v>
      </c>
      <c r="F5959" s="2">
        <v>1403.92</v>
      </c>
      <c r="G5959" s="2">
        <v>5</v>
      </c>
      <c r="H5959" s="2">
        <v>70.2</v>
      </c>
      <c r="I5959" t="str">
        <f t="shared" si="93"/>
        <v>Oct</v>
      </c>
      <c r="J5959">
        <f>YEAR(datas[[#This Row],[Order Date]])</f>
        <v>2023</v>
      </c>
    </row>
    <row r="5960" spans="1:10" ht="14.25" customHeight="1" x14ac:dyDescent="0.3">
      <c r="A5960" s="1">
        <v>45231</v>
      </c>
      <c r="B5960" s="2" t="s">
        <v>375</v>
      </c>
      <c r="C5960" s="2" t="s">
        <v>36</v>
      </c>
      <c r="D5960" s="2" t="s">
        <v>28</v>
      </c>
      <c r="E5960" s="2" t="s">
        <v>29</v>
      </c>
      <c r="F5960" s="2">
        <v>21.8</v>
      </c>
      <c r="G5960" s="2">
        <v>2</v>
      </c>
      <c r="H5960" s="2">
        <v>6.1</v>
      </c>
      <c r="I5960" t="str">
        <f t="shared" si="93"/>
        <v>Nov</v>
      </c>
      <c r="J5960">
        <f>YEAR(datas[[#This Row],[Order Date]])</f>
        <v>2023</v>
      </c>
    </row>
    <row r="5961" spans="1:10" ht="14.25" customHeight="1" x14ac:dyDescent="0.3">
      <c r="A5961" s="1">
        <v>45231</v>
      </c>
      <c r="B5961" s="2" t="s">
        <v>375</v>
      </c>
      <c r="C5961" s="2" t="s">
        <v>36</v>
      </c>
      <c r="D5961" s="2" t="s">
        <v>10</v>
      </c>
      <c r="E5961" s="2" t="s">
        <v>41</v>
      </c>
      <c r="F5961" s="2">
        <v>251.79</v>
      </c>
      <c r="G5961" s="2">
        <v>3</v>
      </c>
      <c r="H5961" s="2">
        <v>118.34</v>
      </c>
      <c r="I5961" t="str">
        <f t="shared" si="93"/>
        <v>Nov</v>
      </c>
      <c r="J5961">
        <f>YEAR(datas[[#This Row],[Order Date]])</f>
        <v>2023</v>
      </c>
    </row>
    <row r="5962" spans="1:10" ht="14.25" customHeight="1" x14ac:dyDescent="0.3">
      <c r="A5962" s="1">
        <v>45231</v>
      </c>
      <c r="B5962" s="2" t="s">
        <v>671</v>
      </c>
      <c r="C5962" s="2" t="s">
        <v>9</v>
      </c>
      <c r="D5962" s="2" t="s">
        <v>10</v>
      </c>
      <c r="E5962" s="2" t="s">
        <v>15</v>
      </c>
      <c r="F5962" s="2">
        <v>111.67</v>
      </c>
      <c r="G5962" s="2">
        <v>9</v>
      </c>
      <c r="H5962" s="2">
        <v>6.98</v>
      </c>
      <c r="I5962" t="str">
        <f t="shared" si="93"/>
        <v>Nov</v>
      </c>
      <c r="J5962">
        <f>YEAR(datas[[#This Row],[Order Date]])</f>
        <v>2023</v>
      </c>
    </row>
    <row r="5963" spans="1:10" ht="14.25" customHeight="1" x14ac:dyDescent="0.3">
      <c r="A5963" s="1">
        <v>45231</v>
      </c>
      <c r="B5963" s="2" t="s">
        <v>59</v>
      </c>
      <c r="C5963" s="2" t="s">
        <v>13</v>
      </c>
      <c r="D5963" s="2" t="s">
        <v>28</v>
      </c>
      <c r="E5963" s="2" t="s">
        <v>34</v>
      </c>
      <c r="F5963" s="2">
        <v>68.11</v>
      </c>
      <c r="G5963" s="2">
        <v>3</v>
      </c>
      <c r="H5963" s="2">
        <v>17.88</v>
      </c>
      <c r="I5963" t="str">
        <f t="shared" si="93"/>
        <v>Nov</v>
      </c>
      <c r="J5963">
        <f>YEAR(datas[[#This Row],[Order Date]])</f>
        <v>2023</v>
      </c>
    </row>
    <row r="5964" spans="1:10" ht="14.25" customHeight="1" x14ac:dyDescent="0.3">
      <c r="A5964" s="1">
        <v>45233</v>
      </c>
      <c r="B5964" s="2" t="s">
        <v>120</v>
      </c>
      <c r="C5964" s="2" t="s">
        <v>165</v>
      </c>
      <c r="D5964" s="2" t="s">
        <v>10</v>
      </c>
      <c r="E5964" s="2" t="s">
        <v>19</v>
      </c>
      <c r="F5964" s="2">
        <v>75.959999999999994</v>
      </c>
      <c r="G5964" s="2">
        <v>2</v>
      </c>
      <c r="H5964" s="2">
        <v>22.79</v>
      </c>
      <c r="I5964" t="str">
        <f t="shared" si="93"/>
        <v>Nov</v>
      </c>
      <c r="J5964">
        <f>YEAR(datas[[#This Row],[Order Date]])</f>
        <v>2023</v>
      </c>
    </row>
    <row r="5965" spans="1:10" ht="14.25" customHeight="1" x14ac:dyDescent="0.3">
      <c r="A5965" s="1">
        <v>45233</v>
      </c>
      <c r="B5965" s="2" t="s">
        <v>120</v>
      </c>
      <c r="C5965" s="2" t="s">
        <v>165</v>
      </c>
      <c r="D5965" s="2" t="s">
        <v>10</v>
      </c>
      <c r="E5965" s="2" t="s">
        <v>16</v>
      </c>
      <c r="F5965" s="2">
        <v>27.24</v>
      </c>
      <c r="G5965" s="2">
        <v>6</v>
      </c>
      <c r="H5965" s="2">
        <v>13.35</v>
      </c>
      <c r="I5965" t="str">
        <f t="shared" si="93"/>
        <v>Nov</v>
      </c>
      <c r="J5965">
        <f>YEAR(datas[[#This Row],[Order Date]])</f>
        <v>2023</v>
      </c>
    </row>
    <row r="5966" spans="1:10" ht="14.25" customHeight="1" x14ac:dyDescent="0.3">
      <c r="A5966" s="1">
        <v>45233</v>
      </c>
      <c r="B5966" s="2" t="s">
        <v>654</v>
      </c>
      <c r="C5966" s="2" t="s">
        <v>82</v>
      </c>
      <c r="D5966" s="2" t="s">
        <v>10</v>
      </c>
      <c r="E5966" s="2" t="s">
        <v>19</v>
      </c>
      <c r="F5966" s="2">
        <v>8.82</v>
      </c>
      <c r="G5966" s="2">
        <v>3</v>
      </c>
      <c r="H5966" s="2">
        <v>2.38</v>
      </c>
      <c r="I5966" t="str">
        <f t="shared" si="93"/>
        <v>Nov</v>
      </c>
      <c r="J5966">
        <f>YEAR(datas[[#This Row],[Order Date]])</f>
        <v>2023</v>
      </c>
    </row>
    <row r="5967" spans="1:10" ht="14.25" customHeight="1" x14ac:dyDescent="0.3">
      <c r="A5967" s="1">
        <v>45233</v>
      </c>
      <c r="B5967" s="2" t="s">
        <v>840</v>
      </c>
      <c r="C5967" s="2" t="s">
        <v>21</v>
      </c>
      <c r="D5967" s="2" t="s">
        <v>26</v>
      </c>
      <c r="E5967" s="2" t="s">
        <v>27</v>
      </c>
      <c r="F5967" s="2">
        <v>217.58</v>
      </c>
      <c r="G5967" s="2">
        <v>2</v>
      </c>
      <c r="H5967" s="2">
        <v>-29.92</v>
      </c>
      <c r="I5967" t="str">
        <f t="shared" si="93"/>
        <v>Nov</v>
      </c>
      <c r="J5967">
        <f>YEAR(datas[[#This Row],[Order Date]])</f>
        <v>2023</v>
      </c>
    </row>
    <row r="5968" spans="1:10" ht="14.25" customHeight="1" x14ac:dyDescent="0.3">
      <c r="A5968" s="1">
        <v>45233</v>
      </c>
      <c r="B5968" s="2" t="s">
        <v>840</v>
      </c>
      <c r="C5968" s="2" t="s">
        <v>21</v>
      </c>
      <c r="D5968" s="2" t="s">
        <v>28</v>
      </c>
      <c r="E5968" s="2" t="s">
        <v>34</v>
      </c>
      <c r="F5968" s="2">
        <v>82.95</v>
      </c>
      <c r="G5968" s="2">
        <v>5</v>
      </c>
      <c r="H5968" s="2">
        <v>29.03</v>
      </c>
      <c r="I5968" t="str">
        <f t="shared" si="93"/>
        <v>Nov</v>
      </c>
      <c r="J5968">
        <f>YEAR(datas[[#This Row],[Order Date]])</f>
        <v>2023</v>
      </c>
    </row>
    <row r="5969" spans="1:10" ht="14.25" customHeight="1" x14ac:dyDescent="0.3">
      <c r="A5969" s="1">
        <v>45233</v>
      </c>
      <c r="B5969" s="2" t="s">
        <v>840</v>
      </c>
      <c r="C5969" s="2" t="s">
        <v>21</v>
      </c>
      <c r="D5969" s="2" t="s">
        <v>10</v>
      </c>
      <c r="E5969" s="2" t="s">
        <v>14</v>
      </c>
      <c r="F5969" s="2">
        <v>87.71</v>
      </c>
      <c r="G5969" s="2">
        <v>7</v>
      </c>
      <c r="H5969" s="2">
        <v>41.22</v>
      </c>
      <c r="I5969" t="str">
        <f t="shared" si="93"/>
        <v>Nov</v>
      </c>
      <c r="J5969">
        <f>YEAR(datas[[#This Row],[Order Date]])</f>
        <v>2023</v>
      </c>
    </row>
    <row r="5970" spans="1:10" ht="14.25" customHeight="1" x14ac:dyDescent="0.3">
      <c r="A5970" s="1">
        <v>45233</v>
      </c>
      <c r="B5970" s="2" t="s">
        <v>840</v>
      </c>
      <c r="C5970" s="2" t="s">
        <v>21</v>
      </c>
      <c r="D5970" s="2" t="s">
        <v>10</v>
      </c>
      <c r="E5970" s="2" t="s">
        <v>53</v>
      </c>
      <c r="F5970" s="2">
        <v>1101.48</v>
      </c>
      <c r="G5970" s="2">
        <v>4</v>
      </c>
      <c r="H5970" s="2">
        <v>429.58</v>
      </c>
      <c r="I5970" t="str">
        <f t="shared" si="93"/>
        <v>Nov</v>
      </c>
      <c r="J5970">
        <f>YEAR(datas[[#This Row],[Order Date]])</f>
        <v>2023</v>
      </c>
    </row>
    <row r="5971" spans="1:10" ht="14.25" customHeight="1" x14ac:dyDescent="0.3">
      <c r="A5971" s="1">
        <v>45233</v>
      </c>
      <c r="B5971" s="2" t="s">
        <v>428</v>
      </c>
      <c r="C5971" s="2" t="s">
        <v>25</v>
      </c>
      <c r="D5971" s="2" t="s">
        <v>10</v>
      </c>
      <c r="E5971" s="2" t="s">
        <v>30</v>
      </c>
      <c r="F5971" s="2">
        <v>20</v>
      </c>
      <c r="G5971" s="2">
        <v>4</v>
      </c>
      <c r="H5971" s="2">
        <v>9.6</v>
      </c>
      <c r="I5971" t="str">
        <f t="shared" si="93"/>
        <v>Nov</v>
      </c>
      <c r="J5971">
        <f>YEAR(datas[[#This Row],[Order Date]])</f>
        <v>2023</v>
      </c>
    </row>
    <row r="5972" spans="1:10" ht="14.25" customHeight="1" x14ac:dyDescent="0.3">
      <c r="A5972" s="1">
        <v>45233</v>
      </c>
      <c r="B5972" s="2" t="s">
        <v>428</v>
      </c>
      <c r="C5972" s="2" t="s">
        <v>25</v>
      </c>
      <c r="D5972" s="2" t="s">
        <v>10</v>
      </c>
      <c r="E5972" s="2" t="s">
        <v>19</v>
      </c>
      <c r="F5972" s="2">
        <v>7.98</v>
      </c>
      <c r="G5972" s="2">
        <v>3</v>
      </c>
      <c r="H5972" s="2">
        <v>2.0699999999999998</v>
      </c>
      <c r="I5972" t="str">
        <f t="shared" si="93"/>
        <v>Nov</v>
      </c>
      <c r="J5972">
        <f>YEAR(datas[[#This Row],[Order Date]])</f>
        <v>2023</v>
      </c>
    </row>
    <row r="5973" spans="1:10" ht="14.25" customHeight="1" x14ac:dyDescent="0.3">
      <c r="A5973" s="1">
        <v>45233</v>
      </c>
      <c r="B5973" s="2" t="s">
        <v>428</v>
      </c>
      <c r="C5973" s="2" t="s">
        <v>25</v>
      </c>
      <c r="D5973" s="2" t="s">
        <v>26</v>
      </c>
      <c r="E5973" s="2" t="s">
        <v>32</v>
      </c>
      <c r="F5973" s="2">
        <v>24.1</v>
      </c>
      <c r="G5973" s="2">
        <v>5</v>
      </c>
      <c r="H5973" s="2">
        <v>9.16</v>
      </c>
      <c r="I5973" t="str">
        <f t="shared" si="93"/>
        <v>Nov</v>
      </c>
      <c r="J5973">
        <f>YEAR(datas[[#This Row],[Order Date]])</f>
        <v>2023</v>
      </c>
    </row>
    <row r="5974" spans="1:10" ht="14.25" customHeight="1" x14ac:dyDescent="0.3">
      <c r="A5974" s="1">
        <v>45233</v>
      </c>
      <c r="B5974" s="2" t="s">
        <v>428</v>
      </c>
      <c r="C5974" s="2" t="s">
        <v>25</v>
      </c>
      <c r="D5974" s="2" t="s">
        <v>10</v>
      </c>
      <c r="E5974" s="2" t="s">
        <v>19</v>
      </c>
      <c r="F5974" s="2">
        <v>8.75</v>
      </c>
      <c r="G5974" s="2">
        <v>1</v>
      </c>
      <c r="H5974" s="2">
        <v>2.63</v>
      </c>
      <c r="I5974" t="str">
        <f t="shared" si="93"/>
        <v>Nov</v>
      </c>
      <c r="J5974">
        <f>YEAR(datas[[#This Row],[Order Date]])</f>
        <v>2023</v>
      </c>
    </row>
    <row r="5975" spans="1:10" ht="14.25" customHeight="1" x14ac:dyDescent="0.3">
      <c r="A5975" s="1">
        <v>45233</v>
      </c>
      <c r="B5975" s="2" t="s">
        <v>428</v>
      </c>
      <c r="C5975" s="2" t="s">
        <v>25</v>
      </c>
      <c r="D5975" s="2" t="s">
        <v>26</v>
      </c>
      <c r="E5975" s="2" t="s">
        <v>73</v>
      </c>
      <c r="F5975" s="2">
        <v>842.94</v>
      </c>
      <c r="G5975" s="2">
        <v>3</v>
      </c>
      <c r="H5975" s="2">
        <v>160.16</v>
      </c>
      <c r="I5975" t="str">
        <f t="shared" si="93"/>
        <v>Nov</v>
      </c>
      <c r="J5975">
        <f>YEAR(datas[[#This Row],[Order Date]])</f>
        <v>2023</v>
      </c>
    </row>
    <row r="5976" spans="1:10" ht="14.25" customHeight="1" x14ac:dyDescent="0.3">
      <c r="A5976" s="1">
        <v>45233</v>
      </c>
      <c r="B5976" s="2" t="s">
        <v>59</v>
      </c>
      <c r="C5976" s="2" t="s">
        <v>21</v>
      </c>
      <c r="D5976" s="2" t="s">
        <v>10</v>
      </c>
      <c r="E5976" s="2" t="s">
        <v>30</v>
      </c>
      <c r="F5976" s="2">
        <v>15.26</v>
      </c>
      <c r="G5976" s="2">
        <v>7</v>
      </c>
      <c r="H5976" s="2">
        <v>5.04</v>
      </c>
      <c r="I5976" t="str">
        <f t="shared" si="93"/>
        <v>Nov</v>
      </c>
      <c r="J5976">
        <f>YEAR(datas[[#This Row],[Order Date]])</f>
        <v>2023</v>
      </c>
    </row>
    <row r="5977" spans="1:10" ht="14.25" customHeight="1" x14ac:dyDescent="0.3">
      <c r="A5977" s="1">
        <v>45233</v>
      </c>
      <c r="B5977" s="2" t="s">
        <v>59</v>
      </c>
      <c r="C5977" s="2" t="s">
        <v>21</v>
      </c>
      <c r="D5977" s="2" t="s">
        <v>10</v>
      </c>
      <c r="E5977" s="2" t="s">
        <v>53</v>
      </c>
      <c r="F5977" s="2">
        <v>43.32</v>
      </c>
      <c r="G5977" s="2">
        <v>2</v>
      </c>
      <c r="H5977" s="2">
        <v>14.3</v>
      </c>
      <c r="I5977" t="str">
        <f t="shared" si="93"/>
        <v>Nov</v>
      </c>
      <c r="J5977">
        <f>YEAR(datas[[#This Row],[Order Date]])</f>
        <v>2023</v>
      </c>
    </row>
    <row r="5978" spans="1:10" ht="14.25" customHeight="1" x14ac:dyDescent="0.3">
      <c r="A5978" s="1">
        <v>45233</v>
      </c>
      <c r="B5978" s="2" t="s">
        <v>59</v>
      </c>
      <c r="C5978" s="2" t="s">
        <v>21</v>
      </c>
      <c r="D5978" s="2" t="s">
        <v>10</v>
      </c>
      <c r="E5978" s="2" t="s">
        <v>16</v>
      </c>
      <c r="F5978" s="2">
        <v>43.58</v>
      </c>
      <c r="G5978" s="2">
        <v>12</v>
      </c>
      <c r="H5978" s="2">
        <v>15.8</v>
      </c>
      <c r="I5978" t="str">
        <f t="shared" si="93"/>
        <v>Nov</v>
      </c>
      <c r="J5978">
        <f>YEAR(datas[[#This Row],[Order Date]])</f>
        <v>2023</v>
      </c>
    </row>
    <row r="5979" spans="1:10" ht="14.25" customHeight="1" x14ac:dyDescent="0.3">
      <c r="A5979" s="1">
        <v>45233</v>
      </c>
      <c r="B5979" s="2" t="s">
        <v>59</v>
      </c>
      <c r="C5979" s="2" t="s">
        <v>21</v>
      </c>
      <c r="D5979" s="2" t="s">
        <v>10</v>
      </c>
      <c r="E5979" s="2" t="s">
        <v>11</v>
      </c>
      <c r="F5979" s="2">
        <v>116.28</v>
      </c>
      <c r="G5979" s="2">
        <v>3</v>
      </c>
      <c r="H5979" s="2">
        <v>56.98</v>
      </c>
      <c r="I5979" t="str">
        <f t="shared" si="93"/>
        <v>Nov</v>
      </c>
      <c r="J5979">
        <f>YEAR(datas[[#This Row],[Order Date]])</f>
        <v>2023</v>
      </c>
    </row>
    <row r="5980" spans="1:10" ht="14.25" customHeight="1" x14ac:dyDescent="0.3">
      <c r="A5980" s="1">
        <v>45233</v>
      </c>
      <c r="B5980" s="2" t="s">
        <v>59</v>
      </c>
      <c r="C5980" s="2" t="s">
        <v>21</v>
      </c>
      <c r="D5980" s="2" t="s">
        <v>10</v>
      </c>
      <c r="E5980" s="2" t="s">
        <v>16</v>
      </c>
      <c r="F5980" s="2">
        <v>9.3000000000000007</v>
      </c>
      <c r="G5980" s="2">
        <v>2</v>
      </c>
      <c r="H5980" s="2">
        <v>3.02</v>
      </c>
      <c r="I5980" t="str">
        <f t="shared" si="93"/>
        <v>Nov</v>
      </c>
      <c r="J5980">
        <f>YEAR(datas[[#This Row],[Order Date]])</f>
        <v>2023</v>
      </c>
    </row>
    <row r="5981" spans="1:10" ht="14.25" customHeight="1" x14ac:dyDescent="0.3">
      <c r="A5981" s="1">
        <v>45233</v>
      </c>
      <c r="B5981" s="2" t="s">
        <v>59</v>
      </c>
      <c r="C5981" s="2" t="s">
        <v>21</v>
      </c>
      <c r="D5981" s="2" t="s">
        <v>10</v>
      </c>
      <c r="E5981" s="2" t="s">
        <v>11</v>
      </c>
      <c r="F5981" s="2">
        <v>19.440000000000001</v>
      </c>
      <c r="G5981" s="2">
        <v>3</v>
      </c>
      <c r="H5981" s="2">
        <v>9.33</v>
      </c>
      <c r="I5981" t="str">
        <f t="shared" si="93"/>
        <v>Nov</v>
      </c>
      <c r="J5981">
        <f>YEAR(datas[[#This Row],[Order Date]])</f>
        <v>2023</v>
      </c>
    </row>
    <row r="5982" spans="1:10" ht="14.25" customHeight="1" x14ac:dyDescent="0.3">
      <c r="A5982" s="1">
        <v>45233</v>
      </c>
      <c r="B5982" s="2" t="s">
        <v>59</v>
      </c>
      <c r="C5982" s="2" t="s">
        <v>21</v>
      </c>
      <c r="D5982" s="2" t="s">
        <v>10</v>
      </c>
      <c r="E5982" s="2" t="s">
        <v>11</v>
      </c>
      <c r="F5982" s="2">
        <v>314.55</v>
      </c>
      <c r="G5982" s="2">
        <v>3</v>
      </c>
      <c r="H5982" s="2">
        <v>150.97999999999999</v>
      </c>
      <c r="I5982" t="str">
        <f t="shared" si="93"/>
        <v>Nov</v>
      </c>
      <c r="J5982">
        <f>YEAR(datas[[#This Row],[Order Date]])</f>
        <v>2023</v>
      </c>
    </row>
    <row r="5983" spans="1:10" ht="14.25" customHeight="1" x14ac:dyDescent="0.3">
      <c r="A5983" s="1">
        <v>45233</v>
      </c>
      <c r="B5983" s="2" t="s">
        <v>292</v>
      </c>
      <c r="C5983" s="2" t="s">
        <v>9</v>
      </c>
      <c r="D5983" s="2" t="s">
        <v>10</v>
      </c>
      <c r="E5983" s="2" t="s">
        <v>11</v>
      </c>
      <c r="F5983" s="2">
        <v>9.25</v>
      </c>
      <c r="G5983" s="2">
        <v>2</v>
      </c>
      <c r="H5983" s="2">
        <v>3.35</v>
      </c>
      <c r="I5983" t="str">
        <f t="shared" si="93"/>
        <v>Nov</v>
      </c>
      <c r="J5983">
        <f>YEAR(datas[[#This Row],[Order Date]])</f>
        <v>2023</v>
      </c>
    </row>
    <row r="5984" spans="1:10" ht="14.25" customHeight="1" x14ac:dyDescent="0.3">
      <c r="A5984" s="1">
        <v>45233</v>
      </c>
      <c r="B5984" s="2" t="s">
        <v>330</v>
      </c>
      <c r="C5984" s="2" t="s">
        <v>52</v>
      </c>
      <c r="D5984" s="2" t="s">
        <v>10</v>
      </c>
      <c r="E5984" s="2" t="s">
        <v>16</v>
      </c>
      <c r="F5984" s="2">
        <v>4.16</v>
      </c>
      <c r="G5984" s="2">
        <v>7</v>
      </c>
      <c r="H5984" s="2">
        <v>-3.47</v>
      </c>
      <c r="I5984" t="str">
        <f t="shared" si="93"/>
        <v>Nov</v>
      </c>
      <c r="J5984">
        <f>YEAR(datas[[#This Row],[Order Date]])</f>
        <v>2023</v>
      </c>
    </row>
    <row r="5985" spans="1:10" ht="14.25" customHeight="1" x14ac:dyDescent="0.3">
      <c r="A5985" s="1">
        <v>45233</v>
      </c>
      <c r="B5985" s="2" t="s">
        <v>330</v>
      </c>
      <c r="C5985" s="2" t="s">
        <v>52</v>
      </c>
      <c r="D5985" s="2" t="s">
        <v>28</v>
      </c>
      <c r="E5985" s="2" t="s">
        <v>136</v>
      </c>
      <c r="F5985" s="2">
        <v>179.99</v>
      </c>
      <c r="G5985" s="2">
        <v>3</v>
      </c>
      <c r="H5985" s="2">
        <v>-251.99</v>
      </c>
      <c r="I5985" t="str">
        <f t="shared" si="93"/>
        <v>Nov</v>
      </c>
      <c r="J5985">
        <f>YEAR(datas[[#This Row],[Order Date]])</f>
        <v>2023</v>
      </c>
    </row>
    <row r="5986" spans="1:10" ht="14.25" customHeight="1" x14ac:dyDescent="0.3">
      <c r="A5986" s="1">
        <v>45233</v>
      </c>
      <c r="B5986" s="2" t="s">
        <v>496</v>
      </c>
      <c r="C5986" s="2" t="s">
        <v>18</v>
      </c>
      <c r="D5986" s="2" t="s">
        <v>28</v>
      </c>
      <c r="E5986" s="2" t="s">
        <v>34</v>
      </c>
      <c r="F5986" s="2">
        <v>72</v>
      </c>
      <c r="G5986" s="2">
        <v>1</v>
      </c>
      <c r="H5986" s="2">
        <v>14.4</v>
      </c>
      <c r="I5986" t="str">
        <f t="shared" si="93"/>
        <v>Nov</v>
      </c>
      <c r="J5986">
        <f>YEAR(datas[[#This Row],[Order Date]])</f>
        <v>2023</v>
      </c>
    </row>
    <row r="5987" spans="1:10" ht="14.25" customHeight="1" x14ac:dyDescent="0.3">
      <c r="A5987" s="1">
        <v>45233</v>
      </c>
      <c r="B5987" s="2" t="s">
        <v>496</v>
      </c>
      <c r="C5987" s="2" t="s">
        <v>18</v>
      </c>
      <c r="D5987" s="2" t="s">
        <v>26</v>
      </c>
      <c r="E5987" s="2" t="s">
        <v>27</v>
      </c>
      <c r="F5987" s="2">
        <v>470.16</v>
      </c>
      <c r="G5987" s="2">
        <v>7</v>
      </c>
      <c r="H5987" s="2">
        <v>-13.43</v>
      </c>
      <c r="I5987" t="str">
        <f t="shared" si="93"/>
        <v>Nov</v>
      </c>
      <c r="J5987">
        <f>YEAR(datas[[#This Row],[Order Date]])</f>
        <v>2023</v>
      </c>
    </row>
    <row r="5988" spans="1:10" ht="14.25" customHeight="1" x14ac:dyDescent="0.3">
      <c r="A5988" s="1">
        <v>45234</v>
      </c>
      <c r="B5988" s="2" t="s">
        <v>626</v>
      </c>
      <c r="C5988" s="2" t="s">
        <v>25</v>
      </c>
      <c r="D5988" s="2" t="s">
        <v>10</v>
      </c>
      <c r="E5988" s="2" t="s">
        <v>30</v>
      </c>
      <c r="F5988" s="2">
        <v>10.74</v>
      </c>
      <c r="G5988" s="2">
        <v>3</v>
      </c>
      <c r="H5988" s="2">
        <v>5.26</v>
      </c>
      <c r="I5988" t="str">
        <f t="shared" si="93"/>
        <v>Nov</v>
      </c>
      <c r="J5988">
        <f>YEAR(datas[[#This Row],[Order Date]])</f>
        <v>2023</v>
      </c>
    </row>
    <row r="5989" spans="1:10" ht="14.25" customHeight="1" x14ac:dyDescent="0.3">
      <c r="A5989" s="1">
        <v>45234</v>
      </c>
      <c r="B5989" s="2" t="s">
        <v>830</v>
      </c>
      <c r="C5989" s="2" t="s">
        <v>82</v>
      </c>
      <c r="D5989" s="2" t="s">
        <v>26</v>
      </c>
      <c r="E5989" s="2" t="s">
        <v>32</v>
      </c>
      <c r="F5989" s="2">
        <v>209.88</v>
      </c>
      <c r="G5989" s="2">
        <v>3</v>
      </c>
      <c r="H5989" s="2">
        <v>35.68</v>
      </c>
      <c r="I5989" t="str">
        <f t="shared" si="93"/>
        <v>Nov</v>
      </c>
      <c r="J5989">
        <f>YEAR(datas[[#This Row],[Order Date]])</f>
        <v>2023</v>
      </c>
    </row>
    <row r="5990" spans="1:10" ht="14.25" customHeight="1" x14ac:dyDescent="0.3">
      <c r="A5990" s="1">
        <v>45234</v>
      </c>
      <c r="B5990" s="2" t="s">
        <v>454</v>
      </c>
      <c r="C5990" s="2" t="s">
        <v>21</v>
      </c>
      <c r="D5990" s="2" t="s">
        <v>26</v>
      </c>
      <c r="E5990" s="2" t="s">
        <v>32</v>
      </c>
      <c r="F5990" s="2">
        <v>38.29</v>
      </c>
      <c r="G5990" s="2">
        <v>7</v>
      </c>
      <c r="H5990" s="2">
        <v>16.46</v>
      </c>
      <c r="I5990" t="str">
        <f t="shared" si="93"/>
        <v>Nov</v>
      </c>
      <c r="J5990">
        <f>YEAR(datas[[#This Row],[Order Date]])</f>
        <v>2023</v>
      </c>
    </row>
    <row r="5991" spans="1:10" ht="14.25" customHeight="1" x14ac:dyDescent="0.3">
      <c r="A5991" s="1">
        <v>45234</v>
      </c>
      <c r="B5991" s="2" t="s">
        <v>497</v>
      </c>
      <c r="C5991" s="2" t="s">
        <v>21</v>
      </c>
      <c r="D5991" s="2" t="s">
        <v>10</v>
      </c>
      <c r="E5991" s="2" t="s">
        <v>19</v>
      </c>
      <c r="F5991" s="2">
        <v>192.8</v>
      </c>
      <c r="G5991" s="2">
        <v>4</v>
      </c>
      <c r="H5991" s="2">
        <v>55.91</v>
      </c>
      <c r="I5991" t="str">
        <f t="shared" si="93"/>
        <v>Nov</v>
      </c>
      <c r="J5991">
        <f>YEAR(datas[[#This Row],[Order Date]])</f>
        <v>2023</v>
      </c>
    </row>
    <row r="5992" spans="1:10" ht="14.25" customHeight="1" x14ac:dyDescent="0.3">
      <c r="A5992" s="1">
        <v>45234</v>
      </c>
      <c r="B5992" s="2" t="s">
        <v>681</v>
      </c>
      <c r="C5992" s="2" t="s">
        <v>52</v>
      </c>
      <c r="D5992" s="2" t="s">
        <v>10</v>
      </c>
      <c r="E5992" s="2" t="s">
        <v>95</v>
      </c>
      <c r="F5992" s="2">
        <v>17.579999999999998</v>
      </c>
      <c r="G5992" s="2">
        <v>7</v>
      </c>
      <c r="H5992" s="2">
        <v>-4.18</v>
      </c>
      <c r="I5992" t="str">
        <f t="shared" si="93"/>
        <v>Nov</v>
      </c>
      <c r="J5992">
        <f>YEAR(datas[[#This Row],[Order Date]])</f>
        <v>2023</v>
      </c>
    </row>
    <row r="5993" spans="1:10" ht="14.25" customHeight="1" x14ac:dyDescent="0.3">
      <c r="A5993" s="1">
        <v>45234</v>
      </c>
      <c r="B5993" s="2" t="s">
        <v>681</v>
      </c>
      <c r="C5993" s="2" t="s">
        <v>52</v>
      </c>
      <c r="D5993" s="2" t="s">
        <v>26</v>
      </c>
      <c r="E5993" s="2" t="s">
        <v>27</v>
      </c>
      <c r="F5993" s="2">
        <v>104.78</v>
      </c>
      <c r="G5993" s="2">
        <v>1</v>
      </c>
      <c r="H5993" s="2">
        <v>-14.41</v>
      </c>
      <c r="I5993" t="str">
        <f t="shared" si="93"/>
        <v>Nov</v>
      </c>
      <c r="J5993">
        <f>YEAR(datas[[#This Row],[Order Date]])</f>
        <v>2023</v>
      </c>
    </row>
    <row r="5994" spans="1:10" ht="14.25" customHeight="1" x14ac:dyDescent="0.3">
      <c r="A5994" s="1">
        <v>45234</v>
      </c>
      <c r="B5994" s="2" t="s">
        <v>681</v>
      </c>
      <c r="C5994" s="2" t="s">
        <v>52</v>
      </c>
      <c r="D5994" s="2" t="s">
        <v>10</v>
      </c>
      <c r="E5994" s="2" t="s">
        <v>11</v>
      </c>
      <c r="F5994" s="2">
        <v>47.95</v>
      </c>
      <c r="G5994" s="2">
        <v>3</v>
      </c>
      <c r="H5994" s="2">
        <v>16.78</v>
      </c>
      <c r="I5994" t="str">
        <f t="shared" si="93"/>
        <v>Nov</v>
      </c>
      <c r="J5994">
        <f>YEAR(datas[[#This Row],[Order Date]])</f>
        <v>2023</v>
      </c>
    </row>
    <row r="5995" spans="1:10" ht="14.25" customHeight="1" x14ac:dyDescent="0.3">
      <c r="A5995" s="1">
        <v>45234</v>
      </c>
      <c r="B5995" s="2" t="s">
        <v>681</v>
      </c>
      <c r="C5995" s="2" t="s">
        <v>52</v>
      </c>
      <c r="D5995" s="2" t="s">
        <v>26</v>
      </c>
      <c r="E5995" s="2" t="s">
        <v>27</v>
      </c>
      <c r="F5995" s="2">
        <v>650.35</v>
      </c>
      <c r="G5995" s="2">
        <v>3</v>
      </c>
      <c r="H5995" s="2">
        <v>-97.55</v>
      </c>
      <c r="I5995" t="str">
        <f t="shared" si="93"/>
        <v>Nov</v>
      </c>
      <c r="J5995">
        <f>YEAR(datas[[#This Row],[Order Date]])</f>
        <v>2023</v>
      </c>
    </row>
    <row r="5996" spans="1:10" ht="14.25" customHeight="1" x14ac:dyDescent="0.3">
      <c r="A5996" s="1">
        <v>45234</v>
      </c>
      <c r="B5996" s="2" t="s">
        <v>681</v>
      </c>
      <c r="C5996" s="2" t="s">
        <v>52</v>
      </c>
      <c r="D5996" s="2" t="s">
        <v>10</v>
      </c>
      <c r="E5996" s="2" t="s">
        <v>14</v>
      </c>
      <c r="F5996" s="2">
        <v>629.17999999999995</v>
      </c>
      <c r="G5996" s="2">
        <v>8</v>
      </c>
      <c r="H5996" s="2">
        <v>228.08</v>
      </c>
      <c r="I5996" t="str">
        <f t="shared" si="93"/>
        <v>Nov</v>
      </c>
      <c r="J5996">
        <f>YEAR(datas[[#This Row],[Order Date]])</f>
        <v>2023</v>
      </c>
    </row>
    <row r="5997" spans="1:10" ht="14.25" customHeight="1" x14ac:dyDescent="0.3">
      <c r="A5997" s="1">
        <v>45234</v>
      </c>
      <c r="B5997" s="2" t="s">
        <v>681</v>
      </c>
      <c r="C5997" s="2" t="s">
        <v>52</v>
      </c>
      <c r="D5997" s="2" t="s">
        <v>10</v>
      </c>
      <c r="E5997" s="2" t="s">
        <v>11</v>
      </c>
      <c r="F5997" s="2">
        <v>15.18</v>
      </c>
      <c r="G5997" s="2">
        <v>1</v>
      </c>
      <c r="H5997" s="2">
        <v>5.31</v>
      </c>
      <c r="I5997" t="str">
        <f t="shared" si="93"/>
        <v>Nov</v>
      </c>
      <c r="J5997">
        <f>YEAR(datas[[#This Row],[Order Date]])</f>
        <v>2023</v>
      </c>
    </row>
    <row r="5998" spans="1:10" ht="14.25" customHeight="1" x14ac:dyDescent="0.3">
      <c r="A5998" s="1">
        <v>45234</v>
      </c>
      <c r="B5998" s="2" t="s">
        <v>663</v>
      </c>
      <c r="C5998" s="2" t="s">
        <v>64</v>
      </c>
      <c r="D5998" s="2" t="s">
        <v>26</v>
      </c>
      <c r="E5998" s="2" t="s">
        <v>32</v>
      </c>
      <c r="F5998" s="2">
        <v>50.5</v>
      </c>
      <c r="G5998" s="2">
        <v>6</v>
      </c>
      <c r="H5998" s="2">
        <v>8.2100000000000009</v>
      </c>
      <c r="I5998" t="str">
        <f t="shared" si="93"/>
        <v>Nov</v>
      </c>
      <c r="J5998">
        <f>YEAR(datas[[#This Row],[Order Date]])</f>
        <v>2023</v>
      </c>
    </row>
    <row r="5999" spans="1:10" ht="14.25" customHeight="1" x14ac:dyDescent="0.3">
      <c r="A5999" s="1">
        <v>45234</v>
      </c>
      <c r="B5999" s="2" t="s">
        <v>316</v>
      </c>
      <c r="C5999" s="2" t="s">
        <v>21</v>
      </c>
      <c r="D5999" s="2" t="s">
        <v>10</v>
      </c>
      <c r="E5999" s="2" t="s">
        <v>16</v>
      </c>
      <c r="F5999" s="2">
        <v>7.71</v>
      </c>
      <c r="G5999" s="2">
        <v>2</v>
      </c>
      <c r="H5999" s="2">
        <v>2.8</v>
      </c>
      <c r="I5999" t="str">
        <f t="shared" si="93"/>
        <v>Nov</v>
      </c>
      <c r="J5999">
        <f>YEAR(datas[[#This Row],[Order Date]])</f>
        <v>2023</v>
      </c>
    </row>
    <row r="6000" spans="1:10" ht="14.25" customHeight="1" x14ac:dyDescent="0.3">
      <c r="A6000" s="1">
        <v>45234</v>
      </c>
      <c r="B6000" s="2" t="s">
        <v>316</v>
      </c>
      <c r="C6000" s="2" t="s">
        <v>21</v>
      </c>
      <c r="D6000" s="2" t="s">
        <v>10</v>
      </c>
      <c r="E6000" s="2" t="s">
        <v>16</v>
      </c>
      <c r="F6000" s="2">
        <v>4.18</v>
      </c>
      <c r="G6000" s="2">
        <v>1</v>
      </c>
      <c r="H6000" s="2">
        <v>1.31</v>
      </c>
      <c r="I6000" t="str">
        <f t="shared" si="93"/>
        <v>Nov</v>
      </c>
      <c r="J6000">
        <f>YEAR(datas[[#This Row],[Order Date]])</f>
        <v>2023</v>
      </c>
    </row>
    <row r="6001" spans="1:10" ht="14.25" customHeight="1" x14ac:dyDescent="0.3">
      <c r="A6001" s="1">
        <v>45234</v>
      </c>
      <c r="B6001" s="2" t="s">
        <v>316</v>
      </c>
      <c r="C6001" s="2" t="s">
        <v>21</v>
      </c>
      <c r="D6001" s="2" t="s">
        <v>10</v>
      </c>
      <c r="E6001" s="2" t="s">
        <v>11</v>
      </c>
      <c r="F6001" s="2">
        <v>38.880000000000003</v>
      </c>
      <c r="G6001" s="2">
        <v>6</v>
      </c>
      <c r="H6001" s="2">
        <v>18.66</v>
      </c>
      <c r="I6001" t="str">
        <f t="shared" si="93"/>
        <v>Nov</v>
      </c>
      <c r="J6001">
        <f>YEAR(datas[[#This Row],[Order Date]])</f>
        <v>2023</v>
      </c>
    </row>
    <row r="6002" spans="1:10" ht="14.25" customHeight="1" x14ac:dyDescent="0.3">
      <c r="A6002" s="1">
        <v>45234</v>
      </c>
      <c r="B6002" s="2" t="s">
        <v>801</v>
      </c>
      <c r="C6002" s="2" t="s">
        <v>115</v>
      </c>
      <c r="D6002" s="2" t="s">
        <v>10</v>
      </c>
      <c r="E6002" s="2" t="s">
        <v>15</v>
      </c>
      <c r="F6002" s="2">
        <v>45.25</v>
      </c>
      <c r="G6002" s="2">
        <v>2</v>
      </c>
      <c r="H6002" s="2">
        <v>3.96</v>
      </c>
      <c r="I6002" t="str">
        <f t="shared" si="93"/>
        <v>Nov</v>
      </c>
      <c r="J6002">
        <f>YEAR(datas[[#This Row],[Order Date]])</f>
        <v>2023</v>
      </c>
    </row>
    <row r="6003" spans="1:10" ht="14.25" customHeight="1" x14ac:dyDescent="0.3">
      <c r="A6003" s="1">
        <v>45234</v>
      </c>
      <c r="B6003" s="2" t="s">
        <v>801</v>
      </c>
      <c r="C6003" s="2" t="s">
        <v>115</v>
      </c>
      <c r="D6003" s="2" t="s">
        <v>26</v>
      </c>
      <c r="E6003" s="2" t="s">
        <v>73</v>
      </c>
      <c r="F6003" s="2">
        <v>876.3</v>
      </c>
      <c r="G6003" s="2">
        <v>10</v>
      </c>
      <c r="H6003" s="2">
        <v>-292.10000000000002</v>
      </c>
      <c r="I6003" t="str">
        <f t="shared" si="93"/>
        <v>Nov</v>
      </c>
      <c r="J6003">
        <f>YEAR(datas[[#This Row],[Order Date]])</f>
        <v>2023</v>
      </c>
    </row>
    <row r="6004" spans="1:10" ht="14.25" customHeight="1" x14ac:dyDescent="0.3">
      <c r="A6004" s="1">
        <v>45234</v>
      </c>
      <c r="B6004" s="2" t="s">
        <v>801</v>
      </c>
      <c r="C6004" s="2" t="s">
        <v>115</v>
      </c>
      <c r="D6004" s="2" t="s">
        <v>10</v>
      </c>
      <c r="E6004" s="2" t="s">
        <v>95</v>
      </c>
      <c r="F6004" s="2">
        <v>185.38</v>
      </c>
      <c r="G6004" s="2">
        <v>2</v>
      </c>
      <c r="H6004" s="2">
        <v>-34.76</v>
      </c>
      <c r="I6004" t="str">
        <f t="shared" si="93"/>
        <v>Nov</v>
      </c>
      <c r="J6004">
        <f>YEAR(datas[[#This Row],[Order Date]])</f>
        <v>2023</v>
      </c>
    </row>
    <row r="6005" spans="1:10" ht="14.25" customHeight="1" x14ac:dyDescent="0.3">
      <c r="A6005" s="1">
        <v>45234</v>
      </c>
      <c r="B6005" s="2" t="s">
        <v>270</v>
      </c>
      <c r="C6005" s="2" t="s">
        <v>21</v>
      </c>
      <c r="D6005" s="2" t="s">
        <v>28</v>
      </c>
      <c r="E6005" s="2" t="s">
        <v>136</v>
      </c>
      <c r="F6005" s="2">
        <v>686.4</v>
      </c>
      <c r="G6005" s="2">
        <v>2</v>
      </c>
      <c r="H6005" s="2">
        <v>77.22</v>
      </c>
      <c r="I6005" t="str">
        <f t="shared" si="93"/>
        <v>Nov</v>
      </c>
      <c r="J6005">
        <f>YEAR(datas[[#This Row],[Order Date]])</f>
        <v>2023</v>
      </c>
    </row>
    <row r="6006" spans="1:10" ht="14.25" customHeight="1" x14ac:dyDescent="0.3">
      <c r="A6006" s="1">
        <v>45234</v>
      </c>
      <c r="B6006" s="2" t="s">
        <v>605</v>
      </c>
      <c r="C6006" s="2" t="s">
        <v>9</v>
      </c>
      <c r="D6006" s="2" t="s">
        <v>26</v>
      </c>
      <c r="E6006" s="2" t="s">
        <v>32</v>
      </c>
      <c r="F6006" s="2">
        <v>11.38</v>
      </c>
      <c r="G6006" s="2">
        <v>3</v>
      </c>
      <c r="H6006" s="2">
        <v>-5.69</v>
      </c>
      <c r="I6006" t="str">
        <f t="shared" si="93"/>
        <v>Nov</v>
      </c>
      <c r="J6006">
        <f>YEAR(datas[[#This Row],[Order Date]])</f>
        <v>2023</v>
      </c>
    </row>
    <row r="6007" spans="1:10" ht="14.25" customHeight="1" x14ac:dyDescent="0.3">
      <c r="A6007" s="1">
        <v>45234</v>
      </c>
      <c r="B6007" s="2" t="s">
        <v>605</v>
      </c>
      <c r="C6007" s="2" t="s">
        <v>9</v>
      </c>
      <c r="D6007" s="2" t="s">
        <v>26</v>
      </c>
      <c r="E6007" s="2" t="s">
        <v>32</v>
      </c>
      <c r="F6007" s="2">
        <v>66.11</v>
      </c>
      <c r="G6007" s="2">
        <v>4</v>
      </c>
      <c r="H6007" s="2">
        <v>-84.29</v>
      </c>
      <c r="I6007" t="str">
        <f t="shared" si="93"/>
        <v>Nov</v>
      </c>
      <c r="J6007">
        <f>YEAR(datas[[#This Row],[Order Date]])</f>
        <v>2023</v>
      </c>
    </row>
    <row r="6008" spans="1:10" ht="14.25" customHeight="1" x14ac:dyDescent="0.3">
      <c r="A6008" s="1">
        <v>45235</v>
      </c>
      <c r="B6008" s="2" t="s">
        <v>502</v>
      </c>
      <c r="C6008" s="2" t="s">
        <v>21</v>
      </c>
      <c r="D6008" s="2" t="s">
        <v>10</v>
      </c>
      <c r="E6008" s="2" t="s">
        <v>16</v>
      </c>
      <c r="F6008" s="2">
        <v>29.12</v>
      </c>
      <c r="G6008" s="2">
        <v>5</v>
      </c>
      <c r="H6008" s="2">
        <v>9.83</v>
      </c>
      <c r="I6008" t="str">
        <f t="shared" si="93"/>
        <v>Nov</v>
      </c>
      <c r="J6008">
        <f>YEAR(datas[[#This Row],[Order Date]])</f>
        <v>2023</v>
      </c>
    </row>
    <row r="6009" spans="1:10" ht="14.25" customHeight="1" x14ac:dyDescent="0.3">
      <c r="A6009" s="1">
        <v>45235</v>
      </c>
      <c r="B6009" s="2" t="s">
        <v>830</v>
      </c>
      <c r="C6009" s="2" t="s">
        <v>18</v>
      </c>
      <c r="D6009" s="2" t="s">
        <v>28</v>
      </c>
      <c r="E6009" s="2" t="s">
        <v>29</v>
      </c>
      <c r="F6009" s="2">
        <v>23.99</v>
      </c>
      <c r="G6009" s="2">
        <v>2</v>
      </c>
      <c r="H6009" s="2">
        <v>-15.99</v>
      </c>
      <c r="I6009" t="str">
        <f t="shared" si="93"/>
        <v>Nov</v>
      </c>
      <c r="J6009">
        <f>YEAR(datas[[#This Row],[Order Date]])</f>
        <v>2023</v>
      </c>
    </row>
    <row r="6010" spans="1:10" ht="14.25" customHeight="1" x14ac:dyDescent="0.3">
      <c r="A6010" s="1">
        <v>45235</v>
      </c>
      <c r="B6010" s="2" t="s">
        <v>355</v>
      </c>
      <c r="C6010" s="2" t="s">
        <v>9</v>
      </c>
      <c r="D6010" s="2" t="s">
        <v>26</v>
      </c>
      <c r="E6010" s="2" t="s">
        <v>73</v>
      </c>
      <c r="F6010" s="2">
        <v>863.13</v>
      </c>
      <c r="G6010" s="2">
        <v>8</v>
      </c>
      <c r="H6010" s="2">
        <v>-160.30000000000001</v>
      </c>
      <c r="I6010" t="str">
        <f t="shared" si="93"/>
        <v>Nov</v>
      </c>
      <c r="J6010">
        <f>YEAR(datas[[#This Row],[Order Date]])</f>
        <v>2023</v>
      </c>
    </row>
    <row r="6011" spans="1:10" ht="14.25" customHeight="1" x14ac:dyDescent="0.3">
      <c r="A6011" s="1">
        <v>45235</v>
      </c>
      <c r="B6011" s="2" t="s">
        <v>355</v>
      </c>
      <c r="C6011" s="2" t="s">
        <v>9</v>
      </c>
      <c r="D6011" s="2" t="s">
        <v>10</v>
      </c>
      <c r="E6011" s="2" t="s">
        <v>16</v>
      </c>
      <c r="F6011" s="2">
        <v>3.56</v>
      </c>
      <c r="G6011" s="2">
        <v>3</v>
      </c>
      <c r="H6011" s="2">
        <v>-6.24</v>
      </c>
      <c r="I6011" t="str">
        <f t="shared" si="93"/>
        <v>Nov</v>
      </c>
      <c r="J6011">
        <f>YEAR(datas[[#This Row],[Order Date]])</f>
        <v>2023</v>
      </c>
    </row>
    <row r="6012" spans="1:10" ht="14.25" customHeight="1" x14ac:dyDescent="0.3">
      <c r="A6012" s="1">
        <v>45235</v>
      </c>
      <c r="B6012" s="2" t="s">
        <v>355</v>
      </c>
      <c r="C6012" s="2" t="s">
        <v>9</v>
      </c>
      <c r="D6012" s="2" t="s">
        <v>26</v>
      </c>
      <c r="E6012" s="2" t="s">
        <v>45</v>
      </c>
      <c r="F6012" s="2">
        <v>956.66</v>
      </c>
      <c r="G6012" s="2">
        <v>7</v>
      </c>
      <c r="H6012" s="2">
        <v>-225.1</v>
      </c>
      <c r="I6012" t="str">
        <f t="shared" si="93"/>
        <v>Nov</v>
      </c>
      <c r="J6012">
        <f>YEAR(datas[[#This Row],[Order Date]])</f>
        <v>2023</v>
      </c>
    </row>
    <row r="6013" spans="1:10" ht="14.25" customHeight="1" x14ac:dyDescent="0.3">
      <c r="A6013" s="1">
        <v>45235</v>
      </c>
      <c r="B6013" s="2" t="s">
        <v>355</v>
      </c>
      <c r="C6013" s="2" t="s">
        <v>9</v>
      </c>
      <c r="D6013" s="2" t="s">
        <v>10</v>
      </c>
      <c r="E6013" s="2" t="s">
        <v>16</v>
      </c>
      <c r="F6013" s="2">
        <v>12.59</v>
      </c>
      <c r="G6013" s="2">
        <v>3</v>
      </c>
      <c r="H6013" s="2">
        <v>-20.14</v>
      </c>
      <c r="I6013" t="str">
        <f t="shared" si="93"/>
        <v>Nov</v>
      </c>
      <c r="J6013">
        <f>YEAR(datas[[#This Row],[Order Date]])</f>
        <v>2023</v>
      </c>
    </row>
    <row r="6014" spans="1:10" ht="14.25" customHeight="1" x14ac:dyDescent="0.3">
      <c r="A6014" s="1">
        <v>45235</v>
      </c>
      <c r="B6014" s="2" t="s">
        <v>355</v>
      </c>
      <c r="C6014" s="2" t="s">
        <v>9</v>
      </c>
      <c r="D6014" s="2" t="s">
        <v>28</v>
      </c>
      <c r="E6014" s="2" t="s">
        <v>34</v>
      </c>
      <c r="F6014" s="2">
        <v>171.96</v>
      </c>
      <c r="G6014" s="2">
        <v>5</v>
      </c>
      <c r="H6014" s="2">
        <v>45.14</v>
      </c>
      <c r="I6014" t="str">
        <f t="shared" si="93"/>
        <v>Nov</v>
      </c>
      <c r="J6014">
        <f>YEAR(datas[[#This Row],[Order Date]])</f>
        <v>2023</v>
      </c>
    </row>
    <row r="6015" spans="1:10" ht="14.25" customHeight="1" x14ac:dyDescent="0.3">
      <c r="A6015" s="1">
        <v>45235</v>
      </c>
      <c r="B6015" s="2" t="s">
        <v>486</v>
      </c>
      <c r="C6015" s="2" t="s">
        <v>68</v>
      </c>
      <c r="D6015" s="2" t="s">
        <v>10</v>
      </c>
      <c r="E6015" s="2" t="s">
        <v>16</v>
      </c>
      <c r="F6015" s="2">
        <v>104.9</v>
      </c>
      <c r="G6015" s="2">
        <v>5</v>
      </c>
      <c r="H6015" s="2">
        <v>50.35</v>
      </c>
      <c r="I6015" t="str">
        <f t="shared" si="93"/>
        <v>Nov</v>
      </c>
      <c r="J6015">
        <f>YEAR(datas[[#This Row],[Order Date]])</f>
        <v>2023</v>
      </c>
    </row>
    <row r="6016" spans="1:10" ht="14.25" customHeight="1" x14ac:dyDescent="0.3">
      <c r="A6016" s="1">
        <v>45235</v>
      </c>
      <c r="B6016" s="2" t="s">
        <v>486</v>
      </c>
      <c r="C6016" s="2" t="s">
        <v>68</v>
      </c>
      <c r="D6016" s="2" t="s">
        <v>10</v>
      </c>
      <c r="E6016" s="2" t="s">
        <v>19</v>
      </c>
      <c r="F6016" s="2">
        <v>39.68</v>
      </c>
      <c r="G6016" s="2">
        <v>2</v>
      </c>
      <c r="H6016" s="2">
        <v>16.27</v>
      </c>
      <c r="I6016" t="str">
        <f t="shared" si="93"/>
        <v>Nov</v>
      </c>
      <c r="J6016">
        <f>YEAR(datas[[#This Row],[Order Date]])</f>
        <v>2023</v>
      </c>
    </row>
    <row r="6017" spans="1:10" ht="14.25" customHeight="1" x14ac:dyDescent="0.3">
      <c r="A6017" s="1">
        <v>45235</v>
      </c>
      <c r="B6017" s="2" t="s">
        <v>486</v>
      </c>
      <c r="C6017" s="2" t="s">
        <v>68</v>
      </c>
      <c r="D6017" s="2" t="s">
        <v>10</v>
      </c>
      <c r="E6017" s="2" t="s">
        <v>14</v>
      </c>
      <c r="F6017" s="2">
        <v>51.75</v>
      </c>
      <c r="G6017" s="2">
        <v>5</v>
      </c>
      <c r="H6017" s="2">
        <v>24.84</v>
      </c>
      <c r="I6017" t="str">
        <f t="shared" si="93"/>
        <v>Nov</v>
      </c>
      <c r="J6017">
        <f>YEAR(datas[[#This Row],[Order Date]])</f>
        <v>2023</v>
      </c>
    </row>
    <row r="6018" spans="1:10" ht="14.25" customHeight="1" x14ac:dyDescent="0.3">
      <c r="A6018" s="1">
        <v>45235</v>
      </c>
      <c r="B6018" s="2" t="s">
        <v>413</v>
      </c>
      <c r="C6018" s="2" t="s">
        <v>21</v>
      </c>
      <c r="D6018" s="2" t="s">
        <v>10</v>
      </c>
      <c r="E6018" s="2" t="s">
        <v>16</v>
      </c>
      <c r="F6018" s="2">
        <v>53.25</v>
      </c>
      <c r="G6018" s="2">
        <v>2</v>
      </c>
      <c r="H6018" s="2">
        <v>19.97</v>
      </c>
      <c r="I6018" t="str">
        <f t="shared" si="93"/>
        <v>Nov</v>
      </c>
      <c r="J6018">
        <f>YEAR(datas[[#This Row],[Order Date]])</f>
        <v>2023</v>
      </c>
    </row>
    <row r="6019" spans="1:10" ht="14.25" customHeight="1" x14ac:dyDescent="0.3">
      <c r="A6019" s="1">
        <v>45235</v>
      </c>
      <c r="B6019" s="2" t="s">
        <v>509</v>
      </c>
      <c r="C6019" s="2" t="s">
        <v>9</v>
      </c>
      <c r="D6019" s="2" t="s">
        <v>10</v>
      </c>
      <c r="E6019" s="2" t="s">
        <v>14</v>
      </c>
      <c r="F6019" s="2">
        <v>11.84</v>
      </c>
      <c r="G6019" s="2">
        <v>1</v>
      </c>
      <c r="H6019" s="2">
        <v>4.4400000000000004</v>
      </c>
      <c r="I6019" t="str">
        <f t="shared" ref="I6019:I6082" si="94">TEXT(A6019,"mmm")</f>
        <v>Nov</v>
      </c>
      <c r="J6019">
        <f>YEAR(datas[[#This Row],[Order Date]])</f>
        <v>2023</v>
      </c>
    </row>
    <row r="6020" spans="1:10" ht="14.25" customHeight="1" x14ac:dyDescent="0.3">
      <c r="A6020" s="1">
        <v>45235</v>
      </c>
      <c r="B6020" s="2" t="s">
        <v>447</v>
      </c>
      <c r="C6020" s="2" t="s">
        <v>82</v>
      </c>
      <c r="D6020" s="2" t="s">
        <v>28</v>
      </c>
      <c r="E6020" s="2" t="s">
        <v>34</v>
      </c>
      <c r="F6020" s="2">
        <v>479.72</v>
      </c>
      <c r="G6020" s="2">
        <v>4</v>
      </c>
      <c r="H6020" s="2">
        <v>52.77</v>
      </c>
      <c r="I6020" t="str">
        <f t="shared" si="94"/>
        <v>Nov</v>
      </c>
      <c r="J6020">
        <f>YEAR(datas[[#This Row],[Order Date]])</f>
        <v>2023</v>
      </c>
    </row>
    <row r="6021" spans="1:10" ht="14.25" customHeight="1" x14ac:dyDescent="0.3">
      <c r="A6021" s="1">
        <v>45235</v>
      </c>
      <c r="B6021" s="2" t="s">
        <v>636</v>
      </c>
      <c r="C6021" s="2" t="s">
        <v>21</v>
      </c>
      <c r="D6021" s="2" t="s">
        <v>28</v>
      </c>
      <c r="E6021" s="2" t="s">
        <v>34</v>
      </c>
      <c r="F6021" s="2">
        <v>72</v>
      </c>
      <c r="G6021" s="2">
        <v>4</v>
      </c>
      <c r="H6021" s="2">
        <v>12.96</v>
      </c>
      <c r="I6021" t="str">
        <f t="shared" si="94"/>
        <v>Nov</v>
      </c>
      <c r="J6021">
        <f>YEAR(datas[[#This Row],[Order Date]])</f>
        <v>2023</v>
      </c>
    </row>
    <row r="6022" spans="1:10" ht="14.25" customHeight="1" x14ac:dyDescent="0.3">
      <c r="A6022" s="1">
        <v>45235</v>
      </c>
      <c r="B6022" s="2" t="s">
        <v>636</v>
      </c>
      <c r="C6022" s="2" t="s">
        <v>21</v>
      </c>
      <c r="D6022" s="2" t="s">
        <v>26</v>
      </c>
      <c r="E6022" s="2" t="s">
        <v>27</v>
      </c>
      <c r="F6022" s="2">
        <v>113.89</v>
      </c>
      <c r="G6022" s="2">
        <v>2</v>
      </c>
      <c r="H6022" s="2">
        <v>9.9700000000000006</v>
      </c>
      <c r="I6022" t="str">
        <f t="shared" si="94"/>
        <v>Nov</v>
      </c>
      <c r="J6022">
        <f>YEAR(datas[[#This Row],[Order Date]])</f>
        <v>2023</v>
      </c>
    </row>
    <row r="6023" spans="1:10" ht="14.25" customHeight="1" x14ac:dyDescent="0.3">
      <c r="A6023" s="1">
        <v>45235</v>
      </c>
      <c r="B6023" s="2" t="s">
        <v>636</v>
      </c>
      <c r="C6023" s="2" t="s">
        <v>21</v>
      </c>
      <c r="D6023" s="2" t="s">
        <v>10</v>
      </c>
      <c r="E6023" s="2" t="s">
        <v>41</v>
      </c>
      <c r="F6023" s="2">
        <v>158.13</v>
      </c>
      <c r="G6023" s="2">
        <v>3</v>
      </c>
      <c r="H6023" s="2">
        <v>77.48</v>
      </c>
      <c r="I6023" t="str">
        <f t="shared" si="94"/>
        <v>Nov</v>
      </c>
      <c r="J6023">
        <f>YEAR(datas[[#This Row],[Order Date]])</f>
        <v>2023</v>
      </c>
    </row>
    <row r="6024" spans="1:10" ht="14.25" customHeight="1" x14ac:dyDescent="0.3">
      <c r="A6024" s="1">
        <v>45235</v>
      </c>
      <c r="B6024" s="2" t="s">
        <v>465</v>
      </c>
      <c r="C6024" s="2" t="s">
        <v>36</v>
      </c>
      <c r="D6024" s="2" t="s">
        <v>26</v>
      </c>
      <c r="E6024" s="2" t="s">
        <v>32</v>
      </c>
      <c r="F6024" s="2">
        <v>273.95999999999998</v>
      </c>
      <c r="G6024" s="2">
        <v>2</v>
      </c>
      <c r="H6024" s="2">
        <v>71.23</v>
      </c>
      <c r="I6024" t="str">
        <f t="shared" si="94"/>
        <v>Nov</v>
      </c>
      <c r="J6024">
        <f>YEAR(datas[[#This Row],[Order Date]])</f>
        <v>2023</v>
      </c>
    </row>
    <row r="6025" spans="1:10" ht="14.25" customHeight="1" x14ac:dyDescent="0.3">
      <c r="A6025" s="1">
        <v>45235</v>
      </c>
      <c r="B6025" s="2" t="s">
        <v>465</v>
      </c>
      <c r="C6025" s="2" t="s">
        <v>36</v>
      </c>
      <c r="D6025" s="2" t="s">
        <v>28</v>
      </c>
      <c r="E6025" s="2" t="s">
        <v>34</v>
      </c>
      <c r="F6025" s="2">
        <v>89.97</v>
      </c>
      <c r="G6025" s="2">
        <v>3</v>
      </c>
      <c r="H6025" s="2">
        <v>18.89</v>
      </c>
      <c r="I6025" t="str">
        <f t="shared" si="94"/>
        <v>Nov</v>
      </c>
      <c r="J6025">
        <f>YEAR(datas[[#This Row],[Order Date]])</f>
        <v>2023</v>
      </c>
    </row>
    <row r="6026" spans="1:10" ht="14.25" customHeight="1" x14ac:dyDescent="0.3">
      <c r="A6026" s="1">
        <v>45235</v>
      </c>
      <c r="B6026" s="2" t="s">
        <v>465</v>
      </c>
      <c r="C6026" s="2" t="s">
        <v>36</v>
      </c>
      <c r="D6026" s="2" t="s">
        <v>26</v>
      </c>
      <c r="E6026" s="2" t="s">
        <v>32</v>
      </c>
      <c r="F6026" s="2">
        <v>756.8</v>
      </c>
      <c r="G6026" s="2">
        <v>5</v>
      </c>
      <c r="H6026" s="2">
        <v>75.680000000000007</v>
      </c>
      <c r="I6026" t="str">
        <f t="shared" si="94"/>
        <v>Nov</v>
      </c>
      <c r="J6026">
        <f>YEAR(datas[[#This Row],[Order Date]])</f>
        <v>2023</v>
      </c>
    </row>
    <row r="6027" spans="1:10" ht="14.25" customHeight="1" x14ac:dyDescent="0.3">
      <c r="A6027" s="1">
        <v>45236</v>
      </c>
      <c r="B6027" s="2" t="s">
        <v>542</v>
      </c>
      <c r="C6027" s="2" t="s">
        <v>21</v>
      </c>
      <c r="D6027" s="2" t="s">
        <v>26</v>
      </c>
      <c r="E6027" s="2" t="s">
        <v>27</v>
      </c>
      <c r="F6027" s="2">
        <v>81.42</v>
      </c>
      <c r="G6027" s="2">
        <v>2</v>
      </c>
      <c r="H6027" s="2">
        <v>-9.16</v>
      </c>
      <c r="I6027" t="str">
        <f t="shared" si="94"/>
        <v>Nov</v>
      </c>
      <c r="J6027">
        <f>YEAR(datas[[#This Row],[Order Date]])</f>
        <v>2023</v>
      </c>
    </row>
    <row r="6028" spans="1:10" ht="14.25" customHeight="1" x14ac:dyDescent="0.3">
      <c r="A6028" s="1">
        <v>45236</v>
      </c>
      <c r="B6028" s="2" t="s">
        <v>542</v>
      </c>
      <c r="C6028" s="2" t="s">
        <v>21</v>
      </c>
      <c r="D6028" s="2" t="s">
        <v>26</v>
      </c>
      <c r="E6028" s="2" t="s">
        <v>32</v>
      </c>
      <c r="F6028" s="2">
        <v>238.56</v>
      </c>
      <c r="G6028" s="2">
        <v>3</v>
      </c>
      <c r="H6028" s="2">
        <v>26.24</v>
      </c>
      <c r="I6028" t="str">
        <f t="shared" si="94"/>
        <v>Nov</v>
      </c>
      <c r="J6028">
        <f>YEAR(datas[[#This Row],[Order Date]])</f>
        <v>2023</v>
      </c>
    </row>
    <row r="6029" spans="1:10" ht="14.25" customHeight="1" x14ac:dyDescent="0.3">
      <c r="A6029" s="1">
        <v>45236</v>
      </c>
      <c r="B6029" s="2" t="s">
        <v>321</v>
      </c>
      <c r="C6029" s="2" t="s">
        <v>64</v>
      </c>
      <c r="D6029" s="2" t="s">
        <v>26</v>
      </c>
      <c r="E6029" s="2" t="s">
        <v>27</v>
      </c>
      <c r="F6029" s="2">
        <v>207.98</v>
      </c>
      <c r="G6029" s="2">
        <v>2</v>
      </c>
      <c r="H6029" s="2">
        <v>-28.6</v>
      </c>
      <c r="I6029" t="str">
        <f t="shared" si="94"/>
        <v>Nov</v>
      </c>
      <c r="J6029">
        <f>YEAR(datas[[#This Row],[Order Date]])</f>
        <v>2023</v>
      </c>
    </row>
    <row r="6030" spans="1:10" ht="14.25" customHeight="1" x14ac:dyDescent="0.3">
      <c r="A6030" s="1">
        <v>45236</v>
      </c>
      <c r="B6030" s="2" t="s">
        <v>321</v>
      </c>
      <c r="C6030" s="2" t="s">
        <v>64</v>
      </c>
      <c r="D6030" s="2" t="s">
        <v>10</v>
      </c>
      <c r="E6030" s="2" t="s">
        <v>11</v>
      </c>
      <c r="F6030" s="2">
        <v>36.11</v>
      </c>
      <c r="G6030" s="2">
        <v>2</v>
      </c>
      <c r="H6030" s="2">
        <v>12.64</v>
      </c>
      <c r="I6030" t="str">
        <f t="shared" si="94"/>
        <v>Nov</v>
      </c>
      <c r="J6030">
        <f>YEAR(datas[[#This Row],[Order Date]])</f>
        <v>2023</v>
      </c>
    </row>
    <row r="6031" spans="1:10" ht="14.25" customHeight="1" x14ac:dyDescent="0.3">
      <c r="A6031" s="1">
        <v>45236</v>
      </c>
      <c r="B6031" s="2" t="s">
        <v>321</v>
      </c>
      <c r="C6031" s="2" t="s">
        <v>64</v>
      </c>
      <c r="D6031" s="2" t="s">
        <v>26</v>
      </c>
      <c r="E6031" s="2" t="s">
        <v>32</v>
      </c>
      <c r="F6031" s="2">
        <v>35.57</v>
      </c>
      <c r="G6031" s="2">
        <v>2</v>
      </c>
      <c r="H6031" s="2">
        <v>5.78</v>
      </c>
      <c r="I6031" t="str">
        <f t="shared" si="94"/>
        <v>Nov</v>
      </c>
      <c r="J6031">
        <f>YEAR(datas[[#This Row],[Order Date]])</f>
        <v>2023</v>
      </c>
    </row>
    <row r="6032" spans="1:10" ht="14.25" customHeight="1" x14ac:dyDescent="0.3">
      <c r="A6032" s="1">
        <v>45236</v>
      </c>
      <c r="B6032" s="2" t="s">
        <v>321</v>
      </c>
      <c r="C6032" s="2" t="s">
        <v>64</v>
      </c>
      <c r="D6032" s="2" t="s">
        <v>10</v>
      </c>
      <c r="E6032" s="2" t="s">
        <v>11</v>
      </c>
      <c r="F6032" s="2">
        <v>88.77</v>
      </c>
      <c r="G6032" s="2">
        <v>2</v>
      </c>
      <c r="H6032" s="2">
        <v>31.07</v>
      </c>
      <c r="I6032" t="str">
        <f t="shared" si="94"/>
        <v>Nov</v>
      </c>
      <c r="J6032">
        <f>YEAR(datas[[#This Row],[Order Date]])</f>
        <v>2023</v>
      </c>
    </row>
    <row r="6033" spans="1:10" ht="14.25" customHeight="1" x14ac:dyDescent="0.3">
      <c r="A6033" s="1">
        <v>45236</v>
      </c>
      <c r="B6033" s="2" t="s">
        <v>648</v>
      </c>
      <c r="C6033" s="2" t="s">
        <v>21</v>
      </c>
      <c r="D6033" s="2" t="s">
        <v>10</v>
      </c>
      <c r="E6033" s="2" t="s">
        <v>15</v>
      </c>
      <c r="F6033" s="2">
        <v>84.84</v>
      </c>
      <c r="G6033" s="2">
        <v>3</v>
      </c>
      <c r="H6033" s="2">
        <v>22.91</v>
      </c>
      <c r="I6033" t="str">
        <f t="shared" si="94"/>
        <v>Nov</v>
      </c>
      <c r="J6033">
        <f>YEAR(datas[[#This Row],[Order Date]])</f>
        <v>2023</v>
      </c>
    </row>
    <row r="6034" spans="1:10" ht="14.25" customHeight="1" x14ac:dyDescent="0.3">
      <c r="A6034" s="1">
        <v>45237</v>
      </c>
      <c r="B6034" s="2" t="s">
        <v>728</v>
      </c>
      <c r="C6034" s="2" t="s">
        <v>82</v>
      </c>
      <c r="D6034" s="2" t="s">
        <v>10</v>
      </c>
      <c r="E6034" s="2" t="s">
        <v>16</v>
      </c>
      <c r="F6034" s="2">
        <v>27.68</v>
      </c>
      <c r="G6034" s="2">
        <v>2</v>
      </c>
      <c r="H6034" s="2">
        <v>9.69</v>
      </c>
      <c r="I6034" t="str">
        <f t="shared" si="94"/>
        <v>Nov</v>
      </c>
      <c r="J6034">
        <f>YEAR(datas[[#This Row],[Order Date]])</f>
        <v>2023</v>
      </c>
    </row>
    <row r="6035" spans="1:10" ht="14.25" customHeight="1" x14ac:dyDescent="0.3">
      <c r="A6035" s="1">
        <v>45237</v>
      </c>
      <c r="B6035" s="2" t="s">
        <v>746</v>
      </c>
      <c r="C6035" s="2" t="s">
        <v>21</v>
      </c>
      <c r="D6035" s="2" t="s">
        <v>10</v>
      </c>
      <c r="E6035" s="2" t="s">
        <v>16</v>
      </c>
      <c r="F6035" s="2">
        <v>37.44</v>
      </c>
      <c r="G6035" s="2">
        <v>4</v>
      </c>
      <c r="H6035" s="2">
        <v>11.7</v>
      </c>
      <c r="I6035" t="str">
        <f t="shared" si="94"/>
        <v>Nov</v>
      </c>
      <c r="J6035">
        <f>YEAR(datas[[#This Row],[Order Date]])</f>
        <v>2023</v>
      </c>
    </row>
    <row r="6036" spans="1:10" ht="14.25" customHeight="1" x14ac:dyDescent="0.3">
      <c r="A6036" s="1">
        <v>45237</v>
      </c>
      <c r="B6036" s="2" t="s">
        <v>746</v>
      </c>
      <c r="C6036" s="2" t="s">
        <v>21</v>
      </c>
      <c r="D6036" s="2" t="s">
        <v>10</v>
      </c>
      <c r="E6036" s="2" t="s">
        <v>16</v>
      </c>
      <c r="F6036" s="2">
        <v>26.98</v>
      </c>
      <c r="G6036" s="2">
        <v>4</v>
      </c>
      <c r="H6036" s="2">
        <v>8.77</v>
      </c>
      <c r="I6036" t="str">
        <f t="shared" si="94"/>
        <v>Nov</v>
      </c>
      <c r="J6036">
        <f>YEAR(datas[[#This Row],[Order Date]])</f>
        <v>2023</v>
      </c>
    </row>
    <row r="6037" spans="1:10" ht="14.25" customHeight="1" x14ac:dyDescent="0.3">
      <c r="A6037" s="1">
        <v>45237</v>
      </c>
      <c r="B6037" s="2" t="s">
        <v>746</v>
      </c>
      <c r="C6037" s="2" t="s">
        <v>21</v>
      </c>
      <c r="D6037" s="2" t="s">
        <v>10</v>
      </c>
      <c r="E6037" s="2" t="s">
        <v>95</v>
      </c>
      <c r="F6037" s="2">
        <v>11.36</v>
      </c>
      <c r="G6037" s="2">
        <v>2</v>
      </c>
      <c r="H6037" s="2">
        <v>3.29</v>
      </c>
      <c r="I6037" t="str">
        <f t="shared" si="94"/>
        <v>Nov</v>
      </c>
      <c r="J6037">
        <f>YEAR(datas[[#This Row],[Order Date]])</f>
        <v>2023</v>
      </c>
    </row>
    <row r="6038" spans="1:10" ht="14.25" customHeight="1" x14ac:dyDescent="0.3">
      <c r="A6038" s="1">
        <v>45237</v>
      </c>
      <c r="B6038" s="2" t="s">
        <v>746</v>
      </c>
      <c r="C6038" s="2" t="s">
        <v>21</v>
      </c>
      <c r="D6038" s="2" t="s">
        <v>10</v>
      </c>
      <c r="E6038" s="2" t="s">
        <v>14</v>
      </c>
      <c r="F6038" s="2">
        <v>14.62</v>
      </c>
      <c r="G6038" s="2">
        <v>2</v>
      </c>
      <c r="H6038" s="2">
        <v>6.87</v>
      </c>
      <c r="I6038" t="str">
        <f t="shared" si="94"/>
        <v>Nov</v>
      </c>
      <c r="J6038">
        <f>YEAR(datas[[#This Row],[Order Date]])</f>
        <v>2023</v>
      </c>
    </row>
    <row r="6039" spans="1:10" ht="14.25" customHeight="1" x14ac:dyDescent="0.3">
      <c r="A6039" s="1">
        <v>45237</v>
      </c>
      <c r="B6039" s="2" t="s">
        <v>667</v>
      </c>
      <c r="C6039" s="2" t="s">
        <v>21</v>
      </c>
      <c r="D6039" s="2" t="s">
        <v>26</v>
      </c>
      <c r="E6039" s="2" t="s">
        <v>32</v>
      </c>
      <c r="F6039" s="2">
        <v>14.82</v>
      </c>
      <c r="G6039" s="2">
        <v>3</v>
      </c>
      <c r="H6039" s="2">
        <v>6.22</v>
      </c>
      <c r="I6039" t="str">
        <f t="shared" si="94"/>
        <v>Nov</v>
      </c>
      <c r="J6039">
        <f>YEAR(datas[[#This Row],[Order Date]])</f>
        <v>2023</v>
      </c>
    </row>
    <row r="6040" spans="1:10" ht="14.25" customHeight="1" x14ac:dyDescent="0.3">
      <c r="A6040" s="1">
        <v>45237</v>
      </c>
      <c r="B6040" s="2" t="s">
        <v>563</v>
      </c>
      <c r="C6040" s="2" t="s">
        <v>47</v>
      </c>
      <c r="D6040" s="2" t="s">
        <v>28</v>
      </c>
      <c r="E6040" s="2" t="s">
        <v>34</v>
      </c>
      <c r="F6040" s="2">
        <v>119.98</v>
      </c>
      <c r="G6040" s="2">
        <v>3</v>
      </c>
      <c r="H6040" s="2">
        <v>22.5</v>
      </c>
      <c r="I6040" t="str">
        <f t="shared" si="94"/>
        <v>Nov</v>
      </c>
      <c r="J6040">
        <f>YEAR(datas[[#This Row],[Order Date]])</f>
        <v>2023</v>
      </c>
    </row>
    <row r="6041" spans="1:10" ht="14.25" customHeight="1" x14ac:dyDescent="0.3">
      <c r="A6041" s="1">
        <v>45237</v>
      </c>
      <c r="B6041" s="2" t="s">
        <v>270</v>
      </c>
      <c r="C6041" s="2" t="s">
        <v>87</v>
      </c>
      <c r="D6041" s="2" t="s">
        <v>10</v>
      </c>
      <c r="E6041" s="2" t="s">
        <v>30</v>
      </c>
      <c r="F6041" s="2">
        <v>14.96</v>
      </c>
      <c r="G6041" s="2">
        <v>4</v>
      </c>
      <c r="H6041" s="2">
        <v>0.3</v>
      </c>
      <c r="I6041" t="str">
        <f t="shared" si="94"/>
        <v>Nov</v>
      </c>
      <c r="J6041">
        <f>YEAR(datas[[#This Row],[Order Date]])</f>
        <v>2023</v>
      </c>
    </row>
    <row r="6042" spans="1:10" ht="14.25" customHeight="1" x14ac:dyDescent="0.3">
      <c r="A6042" s="1">
        <v>45237</v>
      </c>
      <c r="B6042" s="2" t="s">
        <v>649</v>
      </c>
      <c r="C6042" s="2" t="s">
        <v>21</v>
      </c>
      <c r="D6042" s="2" t="s">
        <v>10</v>
      </c>
      <c r="E6042" s="2" t="s">
        <v>11</v>
      </c>
      <c r="F6042" s="2">
        <v>12.9</v>
      </c>
      <c r="G6042" s="2">
        <v>2</v>
      </c>
      <c r="H6042" s="2">
        <v>6.32</v>
      </c>
      <c r="I6042" t="str">
        <f t="shared" si="94"/>
        <v>Nov</v>
      </c>
      <c r="J6042">
        <f>YEAR(datas[[#This Row],[Order Date]])</f>
        <v>2023</v>
      </c>
    </row>
    <row r="6043" spans="1:10" ht="14.25" customHeight="1" x14ac:dyDescent="0.3">
      <c r="A6043" s="1">
        <v>45237</v>
      </c>
      <c r="B6043" s="2" t="s">
        <v>486</v>
      </c>
      <c r="C6043" s="2" t="s">
        <v>848</v>
      </c>
      <c r="D6043" s="2" t="s">
        <v>26</v>
      </c>
      <c r="E6043" s="2" t="s">
        <v>27</v>
      </c>
      <c r="F6043" s="2">
        <v>1603.14</v>
      </c>
      <c r="G6043" s="2">
        <v>4</v>
      </c>
      <c r="H6043" s="2">
        <v>100.2</v>
      </c>
      <c r="I6043" t="str">
        <f t="shared" si="94"/>
        <v>Nov</v>
      </c>
      <c r="J6043">
        <f>YEAR(datas[[#This Row],[Order Date]])</f>
        <v>2023</v>
      </c>
    </row>
    <row r="6044" spans="1:10" ht="14.25" customHeight="1" x14ac:dyDescent="0.3">
      <c r="A6044" s="1">
        <v>45237</v>
      </c>
      <c r="B6044" s="2" t="s">
        <v>470</v>
      </c>
      <c r="C6044" s="2" t="s">
        <v>75</v>
      </c>
      <c r="D6044" s="2" t="s">
        <v>28</v>
      </c>
      <c r="E6044" s="2" t="s">
        <v>29</v>
      </c>
      <c r="F6044" s="2">
        <v>263.95999999999998</v>
      </c>
      <c r="G6044" s="2">
        <v>4</v>
      </c>
      <c r="H6044" s="2">
        <v>71.27</v>
      </c>
      <c r="I6044" t="str">
        <f t="shared" si="94"/>
        <v>Nov</v>
      </c>
      <c r="J6044">
        <f>YEAR(datas[[#This Row],[Order Date]])</f>
        <v>2023</v>
      </c>
    </row>
    <row r="6045" spans="1:10" ht="14.25" customHeight="1" x14ac:dyDescent="0.3">
      <c r="A6045" s="1">
        <v>45237</v>
      </c>
      <c r="B6045" s="2" t="s">
        <v>470</v>
      </c>
      <c r="C6045" s="2" t="s">
        <v>75</v>
      </c>
      <c r="D6045" s="2" t="s">
        <v>28</v>
      </c>
      <c r="E6045" s="2" t="s">
        <v>29</v>
      </c>
      <c r="F6045" s="2">
        <v>359.97</v>
      </c>
      <c r="G6045" s="2">
        <v>3</v>
      </c>
      <c r="H6045" s="2">
        <v>100.79</v>
      </c>
      <c r="I6045" t="str">
        <f t="shared" si="94"/>
        <v>Nov</v>
      </c>
      <c r="J6045">
        <f>YEAR(datas[[#This Row],[Order Date]])</f>
        <v>2023</v>
      </c>
    </row>
    <row r="6046" spans="1:10" ht="14.25" customHeight="1" x14ac:dyDescent="0.3">
      <c r="A6046" s="1">
        <v>45237</v>
      </c>
      <c r="B6046" s="2" t="s">
        <v>470</v>
      </c>
      <c r="C6046" s="2" t="s">
        <v>75</v>
      </c>
      <c r="D6046" s="2" t="s">
        <v>10</v>
      </c>
      <c r="E6046" s="2" t="s">
        <v>11</v>
      </c>
      <c r="F6046" s="2">
        <v>12.96</v>
      </c>
      <c r="G6046" s="2">
        <v>2</v>
      </c>
      <c r="H6046" s="2">
        <v>6.22</v>
      </c>
      <c r="I6046" t="str">
        <f t="shared" si="94"/>
        <v>Nov</v>
      </c>
      <c r="J6046">
        <f>YEAR(datas[[#This Row],[Order Date]])</f>
        <v>2023</v>
      </c>
    </row>
    <row r="6047" spans="1:10" ht="14.25" customHeight="1" x14ac:dyDescent="0.3">
      <c r="A6047" s="1">
        <v>45237</v>
      </c>
      <c r="B6047" s="2" t="s">
        <v>470</v>
      </c>
      <c r="C6047" s="2" t="s">
        <v>75</v>
      </c>
      <c r="D6047" s="2" t="s">
        <v>10</v>
      </c>
      <c r="E6047" s="2" t="s">
        <v>15</v>
      </c>
      <c r="F6047" s="2">
        <v>116.82</v>
      </c>
      <c r="G6047" s="2">
        <v>3</v>
      </c>
      <c r="H6047" s="2">
        <v>5.84</v>
      </c>
      <c r="I6047" t="str">
        <f t="shared" si="94"/>
        <v>Nov</v>
      </c>
      <c r="J6047">
        <f>YEAR(datas[[#This Row],[Order Date]])</f>
        <v>2023</v>
      </c>
    </row>
    <row r="6048" spans="1:10" ht="14.25" customHeight="1" x14ac:dyDescent="0.3">
      <c r="A6048" s="1">
        <v>45237</v>
      </c>
      <c r="B6048" s="2" t="s">
        <v>470</v>
      </c>
      <c r="C6048" s="2" t="s">
        <v>75</v>
      </c>
      <c r="D6048" s="2" t="s">
        <v>10</v>
      </c>
      <c r="E6048" s="2" t="s">
        <v>16</v>
      </c>
      <c r="F6048" s="2">
        <v>276.77999999999997</v>
      </c>
      <c r="G6048" s="2">
        <v>2</v>
      </c>
      <c r="H6048" s="2">
        <v>89.95</v>
      </c>
      <c r="I6048" t="str">
        <f t="shared" si="94"/>
        <v>Nov</v>
      </c>
      <c r="J6048">
        <f>YEAR(datas[[#This Row],[Order Date]])</f>
        <v>2023</v>
      </c>
    </row>
    <row r="6049" spans="1:10" ht="14.25" customHeight="1" x14ac:dyDescent="0.3">
      <c r="A6049" s="1">
        <v>45237</v>
      </c>
      <c r="B6049" s="2" t="s">
        <v>351</v>
      </c>
      <c r="C6049" s="2" t="s">
        <v>9</v>
      </c>
      <c r="D6049" s="2" t="s">
        <v>26</v>
      </c>
      <c r="E6049" s="2" t="s">
        <v>32</v>
      </c>
      <c r="F6049" s="2">
        <v>44.46</v>
      </c>
      <c r="G6049" s="2">
        <v>5</v>
      </c>
      <c r="H6049" s="2">
        <v>-17.78</v>
      </c>
      <c r="I6049" t="str">
        <f t="shared" si="94"/>
        <v>Nov</v>
      </c>
      <c r="J6049">
        <f>YEAR(datas[[#This Row],[Order Date]])</f>
        <v>2023</v>
      </c>
    </row>
    <row r="6050" spans="1:10" ht="14.25" customHeight="1" x14ac:dyDescent="0.3">
      <c r="A6050" s="1">
        <v>45237</v>
      </c>
      <c r="B6050" s="2" t="s">
        <v>351</v>
      </c>
      <c r="C6050" s="2" t="s">
        <v>9</v>
      </c>
      <c r="D6050" s="2" t="s">
        <v>10</v>
      </c>
      <c r="E6050" s="2" t="s">
        <v>15</v>
      </c>
      <c r="F6050" s="2">
        <v>314.08999999999997</v>
      </c>
      <c r="G6050" s="2">
        <v>3</v>
      </c>
      <c r="H6050" s="2">
        <v>19.63</v>
      </c>
      <c r="I6050" t="str">
        <f t="shared" si="94"/>
        <v>Nov</v>
      </c>
      <c r="J6050">
        <f>YEAR(datas[[#This Row],[Order Date]])</f>
        <v>2023</v>
      </c>
    </row>
    <row r="6051" spans="1:10" ht="14.25" customHeight="1" x14ac:dyDescent="0.3">
      <c r="A6051" s="1">
        <v>45237</v>
      </c>
      <c r="B6051" s="2" t="s">
        <v>94</v>
      </c>
      <c r="C6051" s="2" t="s">
        <v>21</v>
      </c>
      <c r="D6051" s="2" t="s">
        <v>28</v>
      </c>
      <c r="E6051" s="2" t="s">
        <v>34</v>
      </c>
      <c r="F6051" s="2">
        <v>479.97</v>
      </c>
      <c r="G6051" s="2">
        <v>3</v>
      </c>
      <c r="H6051" s="2">
        <v>163.19</v>
      </c>
      <c r="I6051" t="str">
        <f t="shared" si="94"/>
        <v>Nov</v>
      </c>
      <c r="J6051">
        <f>YEAR(datas[[#This Row],[Order Date]])</f>
        <v>2023</v>
      </c>
    </row>
    <row r="6052" spans="1:10" ht="14.25" customHeight="1" x14ac:dyDescent="0.3">
      <c r="A6052" s="1">
        <v>45237</v>
      </c>
      <c r="B6052" s="2" t="s">
        <v>508</v>
      </c>
      <c r="C6052" s="2" t="s">
        <v>21</v>
      </c>
      <c r="D6052" s="2" t="s">
        <v>10</v>
      </c>
      <c r="E6052" s="2" t="s">
        <v>16</v>
      </c>
      <c r="F6052" s="2">
        <v>57.58</v>
      </c>
      <c r="G6052" s="2">
        <v>2</v>
      </c>
      <c r="H6052" s="2">
        <v>20.149999999999999</v>
      </c>
      <c r="I6052" t="str">
        <f t="shared" si="94"/>
        <v>Nov</v>
      </c>
      <c r="J6052">
        <f>YEAR(datas[[#This Row],[Order Date]])</f>
        <v>2023</v>
      </c>
    </row>
    <row r="6053" spans="1:10" ht="14.25" customHeight="1" x14ac:dyDescent="0.3">
      <c r="A6053" s="1">
        <v>45238</v>
      </c>
      <c r="B6053" s="2" t="s">
        <v>777</v>
      </c>
      <c r="C6053" s="2" t="s">
        <v>25</v>
      </c>
      <c r="D6053" s="2" t="s">
        <v>26</v>
      </c>
      <c r="E6053" s="2" t="s">
        <v>45</v>
      </c>
      <c r="F6053" s="2">
        <v>261.95999999999998</v>
      </c>
      <c r="G6053" s="2">
        <v>2</v>
      </c>
      <c r="H6053" s="2">
        <v>41.91</v>
      </c>
      <c r="I6053" t="str">
        <f t="shared" si="94"/>
        <v>Nov</v>
      </c>
      <c r="J6053">
        <f>YEAR(datas[[#This Row],[Order Date]])</f>
        <v>2023</v>
      </c>
    </row>
    <row r="6054" spans="1:10" ht="14.25" customHeight="1" x14ac:dyDescent="0.3">
      <c r="A6054" s="1">
        <v>45238</v>
      </c>
      <c r="B6054" s="2" t="s">
        <v>777</v>
      </c>
      <c r="C6054" s="2" t="s">
        <v>25</v>
      </c>
      <c r="D6054" s="2" t="s">
        <v>26</v>
      </c>
      <c r="E6054" s="2" t="s">
        <v>27</v>
      </c>
      <c r="F6054" s="2">
        <v>731.94</v>
      </c>
      <c r="G6054" s="2">
        <v>3</v>
      </c>
      <c r="H6054" s="2">
        <v>219.58</v>
      </c>
      <c r="I6054" t="str">
        <f t="shared" si="94"/>
        <v>Nov</v>
      </c>
      <c r="J6054">
        <f>YEAR(datas[[#This Row],[Order Date]])</f>
        <v>2023</v>
      </c>
    </row>
    <row r="6055" spans="1:10" ht="14.25" customHeight="1" x14ac:dyDescent="0.3">
      <c r="A6055" s="1">
        <v>45239</v>
      </c>
      <c r="B6055" s="2" t="s">
        <v>484</v>
      </c>
      <c r="C6055" s="2" t="s">
        <v>21</v>
      </c>
      <c r="D6055" s="2" t="s">
        <v>28</v>
      </c>
      <c r="E6055" s="2" t="s">
        <v>34</v>
      </c>
      <c r="F6055" s="2">
        <v>479.97</v>
      </c>
      <c r="G6055" s="2">
        <v>3</v>
      </c>
      <c r="H6055" s="2">
        <v>177.59</v>
      </c>
      <c r="I6055" t="str">
        <f t="shared" si="94"/>
        <v>Nov</v>
      </c>
      <c r="J6055">
        <f>YEAR(datas[[#This Row],[Order Date]])</f>
        <v>2023</v>
      </c>
    </row>
    <row r="6056" spans="1:10" ht="14.25" customHeight="1" x14ac:dyDescent="0.3">
      <c r="A6056" s="1">
        <v>45240</v>
      </c>
      <c r="B6056" s="2" t="s">
        <v>665</v>
      </c>
      <c r="C6056" s="2" t="s">
        <v>21</v>
      </c>
      <c r="D6056" s="2" t="s">
        <v>10</v>
      </c>
      <c r="E6056" s="2" t="s">
        <v>15</v>
      </c>
      <c r="F6056" s="2">
        <v>155.82</v>
      </c>
      <c r="G6056" s="2">
        <v>7</v>
      </c>
      <c r="H6056" s="2">
        <v>42.07</v>
      </c>
      <c r="I6056" t="str">
        <f t="shared" si="94"/>
        <v>Nov</v>
      </c>
      <c r="J6056">
        <f>YEAR(datas[[#This Row],[Order Date]])</f>
        <v>2023</v>
      </c>
    </row>
    <row r="6057" spans="1:10" ht="14.25" customHeight="1" x14ac:dyDescent="0.3">
      <c r="A6057" s="1">
        <v>45240</v>
      </c>
      <c r="B6057" s="2" t="s">
        <v>665</v>
      </c>
      <c r="C6057" s="2" t="s">
        <v>21</v>
      </c>
      <c r="D6057" s="2" t="s">
        <v>10</v>
      </c>
      <c r="E6057" s="2" t="s">
        <v>16</v>
      </c>
      <c r="F6057" s="2">
        <v>70.010000000000005</v>
      </c>
      <c r="G6057" s="2">
        <v>3</v>
      </c>
      <c r="H6057" s="2">
        <v>24.5</v>
      </c>
      <c r="I6057" t="str">
        <f t="shared" si="94"/>
        <v>Nov</v>
      </c>
      <c r="J6057">
        <f>YEAR(datas[[#This Row],[Order Date]])</f>
        <v>2023</v>
      </c>
    </row>
    <row r="6058" spans="1:10" ht="14.25" customHeight="1" x14ac:dyDescent="0.3">
      <c r="A6058" s="1">
        <v>45240</v>
      </c>
      <c r="B6058" s="2" t="s">
        <v>757</v>
      </c>
      <c r="C6058" s="2" t="s">
        <v>21</v>
      </c>
      <c r="D6058" s="2" t="s">
        <v>10</v>
      </c>
      <c r="E6058" s="2" t="s">
        <v>16</v>
      </c>
      <c r="F6058" s="2">
        <v>13.22</v>
      </c>
      <c r="G6058" s="2">
        <v>4</v>
      </c>
      <c r="H6058" s="2">
        <v>4.46</v>
      </c>
      <c r="I6058" t="str">
        <f t="shared" si="94"/>
        <v>Nov</v>
      </c>
      <c r="J6058">
        <f>YEAR(datas[[#This Row],[Order Date]])</f>
        <v>2023</v>
      </c>
    </row>
    <row r="6059" spans="1:10" ht="14.25" customHeight="1" x14ac:dyDescent="0.3">
      <c r="A6059" s="1">
        <v>45240</v>
      </c>
      <c r="B6059" s="2" t="s">
        <v>757</v>
      </c>
      <c r="C6059" s="2" t="s">
        <v>21</v>
      </c>
      <c r="D6059" s="2" t="s">
        <v>10</v>
      </c>
      <c r="E6059" s="2" t="s">
        <v>11</v>
      </c>
      <c r="F6059" s="2">
        <v>32.4</v>
      </c>
      <c r="G6059" s="2">
        <v>5</v>
      </c>
      <c r="H6059" s="2">
        <v>15.55</v>
      </c>
      <c r="I6059" t="str">
        <f t="shared" si="94"/>
        <v>Nov</v>
      </c>
      <c r="J6059">
        <f>YEAR(datas[[#This Row],[Order Date]])</f>
        <v>2023</v>
      </c>
    </row>
    <row r="6060" spans="1:10" ht="14.25" customHeight="1" x14ac:dyDescent="0.3">
      <c r="A6060" s="1">
        <v>45240</v>
      </c>
      <c r="B6060" s="2" t="s">
        <v>659</v>
      </c>
      <c r="C6060" s="2" t="s">
        <v>23</v>
      </c>
      <c r="D6060" s="2" t="s">
        <v>10</v>
      </c>
      <c r="E6060" s="2" t="s">
        <v>19</v>
      </c>
      <c r="F6060" s="2">
        <v>41.86</v>
      </c>
      <c r="G6060" s="2">
        <v>7</v>
      </c>
      <c r="H6060" s="2">
        <v>10.47</v>
      </c>
      <c r="I6060" t="str">
        <f t="shared" si="94"/>
        <v>Nov</v>
      </c>
      <c r="J6060">
        <f>YEAR(datas[[#This Row],[Order Date]])</f>
        <v>2023</v>
      </c>
    </row>
    <row r="6061" spans="1:10" ht="14.25" customHeight="1" x14ac:dyDescent="0.3">
      <c r="A6061" s="1">
        <v>45240</v>
      </c>
      <c r="B6061" s="2" t="s">
        <v>258</v>
      </c>
      <c r="C6061" s="2" t="s">
        <v>47</v>
      </c>
      <c r="D6061" s="2" t="s">
        <v>10</v>
      </c>
      <c r="E6061" s="2" t="s">
        <v>95</v>
      </c>
      <c r="F6061" s="2">
        <v>14.72</v>
      </c>
      <c r="G6061" s="2">
        <v>5</v>
      </c>
      <c r="H6061" s="2">
        <v>-3.31</v>
      </c>
      <c r="I6061" t="str">
        <f t="shared" si="94"/>
        <v>Nov</v>
      </c>
      <c r="J6061">
        <f>YEAR(datas[[#This Row],[Order Date]])</f>
        <v>2023</v>
      </c>
    </row>
    <row r="6062" spans="1:10" ht="14.25" customHeight="1" x14ac:dyDescent="0.3">
      <c r="A6062" s="1">
        <v>45240</v>
      </c>
      <c r="B6062" s="2" t="s">
        <v>258</v>
      </c>
      <c r="C6062" s="2" t="s">
        <v>47</v>
      </c>
      <c r="D6062" s="2" t="s">
        <v>10</v>
      </c>
      <c r="E6062" s="2" t="s">
        <v>15</v>
      </c>
      <c r="F6062" s="2">
        <v>38.979999999999997</v>
      </c>
      <c r="G6062" s="2">
        <v>3</v>
      </c>
      <c r="H6062" s="2">
        <v>-2.44</v>
      </c>
      <c r="I6062" t="str">
        <f t="shared" si="94"/>
        <v>Nov</v>
      </c>
      <c r="J6062">
        <f>YEAR(datas[[#This Row],[Order Date]])</f>
        <v>2023</v>
      </c>
    </row>
    <row r="6063" spans="1:10" ht="14.25" customHeight="1" x14ac:dyDescent="0.3">
      <c r="A6063" s="1">
        <v>45240</v>
      </c>
      <c r="B6063" s="2" t="s">
        <v>437</v>
      </c>
      <c r="C6063" s="2" t="s">
        <v>47</v>
      </c>
      <c r="D6063" s="2" t="s">
        <v>10</v>
      </c>
      <c r="E6063" s="2" t="s">
        <v>14</v>
      </c>
      <c r="F6063" s="2">
        <v>9.2200000000000006</v>
      </c>
      <c r="G6063" s="2">
        <v>4</v>
      </c>
      <c r="H6063" s="2">
        <v>3.34</v>
      </c>
      <c r="I6063" t="str">
        <f t="shared" si="94"/>
        <v>Nov</v>
      </c>
      <c r="J6063">
        <f>YEAR(datas[[#This Row],[Order Date]])</f>
        <v>2023</v>
      </c>
    </row>
    <row r="6064" spans="1:10" ht="14.25" customHeight="1" x14ac:dyDescent="0.3">
      <c r="A6064" s="1">
        <v>45240</v>
      </c>
      <c r="B6064" s="2" t="s">
        <v>437</v>
      </c>
      <c r="C6064" s="2" t="s">
        <v>47</v>
      </c>
      <c r="D6064" s="2" t="s">
        <v>28</v>
      </c>
      <c r="E6064" s="2" t="s">
        <v>29</v>
      </c>
      <c r="F6064" s="2">
        <v>41.96</v>
      </c>
      <c r="G6064" s="2">
        <v>7</v>
      </c>
      <c r="H6064" s="2">
        <v>-9.7899999999999991</v>
      </c>
      <c r="I6064" t="str">
        <f t="shared" si="94"/>
        <v>Nov</v>
      </c>
      <c r="J6064">
        <f>YEAR(datas[[#This Row],[Order Date]])</f>
        <v>2023</v>
      </c>
    </row>
    <row r="6065" spans="1:10" ht="14.25" customHeight="1" x14ac:dyDescent="0.3">
      <c r="A6065" s="1">
        <v>45240</v>
      </c>
      <c r="B6065" s="2" t="s">
        <v>437</v>
      </c>
      <c r="C6065" s="2" t="s">
        <v>47</v>
      </c>
      <c r="D6065" s="2" t="s">
        <v>10</v>
      </c>
      <c r="E6065" s="2" t="s">
        <v>11</v>
      </c>
      <c r="F6065" s="2">
        <v>89.57</v>
      </c>
      <c r="G6065" s="2">
        <v>2</v>
      </c>
      <c r="H6065" s="2">
        <v>32.47</v>
      </c>
      <c r="I6065" t="str">
        <f t="shared" si="94"/>
        <v>Nov</v>
      </c>
      <c r="J6065">
        <f>YEAR(datas[[#This Row],[Order Date]])</f>
        <v>2023</v>
      </c>
    </row>
    <row r="6066" spans="1:10" ht="14.25" customHeight="1" x14ac:dyDescent="0.3">
      <c r="A6066" s="1">
        <v>45240</v>
      </c>
      <c r="B6066" s="2" t="s">
        <v>437</v>
      </c>
      <c r="C6066" s="2" t="s">
        <v>47</v>
      </c>
      <c r="D6066" s="2" t="s">
        <v>10</v>
      </c>
      <c r="E6066" s="2" t="s">
        <v>11</v>
      </c>
      <c r="F6066" s="2">
        <v>22.25</v>
      </c>
      <c r="G6066" s="2">
        <v>3</v>
      </c>
      <c r="H6066" s="2">
        <v>7.51</v>
      </c>
      <c r="I6066" t="str">
        <f t="shared" si="94"/>
        <v>Nov</v>
      </c>
      <c r="J6066">
        <f>YEAR(datas[[#This Row],[Order Date]])</f>
        <v>2023</v>
      </c>
    </row>
    <row r="6067" spans="1:10" ht="14.25" customHeight="1" x14ac:dyDescent="0.3">
      <c r="A6067" s="1">
        <v>45240</v>
      </c>
      <c r="B6067" s="2" t="s">
        <v>437</v>
      </c>
      <c r="C6067" s="2" t="s">
        <v>47</v>
      </c>
      <c r="D6067" s="2" t="s">
        <v>10</v>
      </c>
      <c r="E6067" s="2" t="s">
        <v>53</v>
      </c>
      <c r="F6067" s="2">
        <v>334.88</v>
      </c>
      <c r="G6067" s="2">
        <v>4</v>
      </c>
      <c r="H6067" s="2">
        <v>29.3</v>
      </c>
      <c r="I6067" t="str">
        <f t="shared" si="94"/>
        <v>Nov</v>
      </c>
      <c r="J6067">
        <f>YEAR(datas[[#This Row],[Order Date]])</f>
        <v>2023</v>
      </c>
    </row>
    <row r="6068" spans="1:10" ht="14.25" customHeight="1" x14ac:dyDescent="0.3">
      <c r="A6068" s="1">
        <v>45240</v>
      </c>
      <c r="B6068" s="2" t="s">
        <v>437</v>
      </c>
      <c r="C6068" s="2" t="s">
        <v>47</v>
      </c>
      <c r="D6068" s="2" t="s">
        <v>26</v>
      </c>
      <c r="E6068" s="2" t="s">
        <v>32</v>
      </c>
      <c r="F6068" s="2">
        <v>148.29</v>
      </c>
      <c r="G6068" s="2">
        <v>7</v>
      </c>
      <c r="H6068" s="2">
        <v>29.66</v>
      </c>
      <c r="I6068" t="str">
        <f t="shared" si="94"/>
        <v>Nov</v>
      </c>
      <c r="J6068">
        <f>YEAR(datas[[#This Row],[Order Date]])</f>
        <v>2023</v>
      </c>
    </row>
    <row r="6069" spans="1:10" ht="14.25" customHeight="1" x14ac:dyDescent="0.3">
      <c r="A6069" s="1">
        <v>45240</v>
      </c>
      <c r="B6069" s="2" t="s">
        <v>437</v>
      </c>
      <c r="C6069" s="2" t="s">
        <v>47</v>
      </c>
      <c r="D6069" s="2" t="s">
        <v>10</v>
      </c>
      <c r="E6069" s="2" t="s">
        <v>11</v>
      </c>
      <c r="F6069" s="2">
        <v>4.62</v>
      </c>
      <c r="G6069" s="2">
        <v>1</v>
      </c>
      <c r="H6069" s="2">
        <v>1.68</v>
      </c>
      <c r="I6069" t="str">
        <f t="shared" si="94"/>
        <v>Nov</v>
      </c>
      <c r="J6069">
        <f>YEAR(datas[[#This Row],[Order Date]])</f>
        <v>2023</v>
      </c>
    </row>
    <row r="6070" spans="1:10" ht="14.25" customHeight="1" x14ac:dyDescent="0.3">
      <c r="A6070" s="1">
        <v>45240</v>
      </c>
      <c r="B6070" s="2" t="s">
        <v>437</v>
      </c>
      <c r="C6070" s="2" t="s">
        <v>47</v>
      </c>
      <c r="D6070" s="2" t="s">
        <v>28</v>
      </c>
      <c r="E6070" s="2" t="s">
        <v>34</v>
      </c>
      <c r="F6070" s="2">
        <v>178.92</v>
      </c>
      <c r="G6070" s="2">
        <v>7</v>
      </c>
      <c r="H6070" s="2">
        <v>-29.07</v>
      </c>
      <c r="I6070" t="str">
        <f t="shared" si="94"/>
        <v>Nov</v>
      </c>
      <c r="J6070">
        <f>YEAR(datas[[#This Row],[Order Date]])</f>
        <v>2023</v>
      </c>
    </row>
    <row r="6071" spans="1:10" ht="14.25" customHeight="1" x14ac:dyDescent="0.3">
      <c r="A6071" s="1">
        <v>45240</v>
      </c>
      <c r="B6071" s="2" t="s">
        <v>437</v>
      </c>
      <c r="C6071" s="2" t="s">
        <v>47</v>
      </c>
      <c r="D6071" s="2" t="s">
        <v>10</v>
      </c>
      <c r="E6071" s="2" t="s">
        <v>16</v>
      </c>
      <c r="F6071" s="2">
        <v>69.89</v>
      </c>
      <c r="G6071" s="2">
        <v>7</v>
      </c>
      <c r="H6071" s="2">
        <v>-46.59</v>
      </c>
      <c r="I6071" t="str">
        <f t="shared" si="94"/>
        <v>Nov</v>
      </c>
      <c r="J6071">
        <f>YEAR(datas[[#This Row],[Order Date]])</f>
        <v>2023</v>
      </c>
    </row>
    <row r="6072" spans="1:10" ht="14.25" customHeight="1" x14ac:dyDescent="0.3">
      <c r="A6072" s="1">
        <v>45240</v>
      </c>
      <c r="B6072" s="2" t="s">
        <v>350</v>
      </c>
      <c r="C6072" s="2" t="s">
        <v>9</v>
      </c>
      <c r="D6072" s="2" t="s">
        <v>28</v>
      </c>
      <c r="E6072" s="2" t="s">
        <v>34</v>
      </c>
      <c r="F6072" s="2">
        <v>279.94</v>
      </c>
      <c r="G6072" s="2">
        <v>7</v>
      </c>
      <c r="H6072" s="2">
        <v>48.99</v>
      </c>
      <c r="I6072" t="str">
        <f t="shared" si="94"/>
        <v>Nov</v>
      </c>
      <c r="J6072">
        <f>YEAR(datas[[#This Row],[Order Date]])</f>
        <v>2023</v>
      </c>
    </row>
    <row r="6073" spans="1:10" ht="14.25" customHeight="1" x14ac:dyDescent="0.3">
      <c r="A6073" s="1">
        <v>45240</v>
      </c>
      <c r="B6073" s="2" t="s">
        <v>739</v>
      </c>
      <c r="C6073" s="2" t="s">
        <v>91</v>
      </c>
      <c r="D6073" s="2" t="s">
        <v>26</v>
      </c>
      <c r="E6073" s="2" t="s">
        <v>32</v>
      </c>
      <c r="F6073" s="2">
        <v>37.299999999999997</v>
      </c>
      <c r="G6073" s="2">
        <v>2</v>
      </c>
      <c r="H6073" s="2">
        <v>17.16</v>
      </c>
      <c r="I6073" t="str">
        <f t="shared" si="94"/>
        <v>Nov</v>
      </c>
      <c r="J6073">
        <f>YEAR(datas[[#This Row],[Order Date]])</f>
        <v>2023</v>
      </c>
    </row>
    <row r="6074" spans="1:10" ht="14.25" customHeight="1" x14ac:dyDescent="0.3">
      <c r="A6074" s="1">
        <v>45240</v>
      </c>
      <c r="B6074" s="2" t="s">
        <v>739</v>
      </c>
      <c r="C6074" s="2" t="s">
        <v>91</v>
      </c>
      <c r="D6074" s="2" t="s">
        <v>10</v>
      </c>
      <c r="E6074" s="2" t="s">
        <v>16</v>
      </c>
      <c r="F6074" s="2">
        <v>81.96</v>
      </c>
      <c r="G6074" s="2">
        <v>2</v>
      </c>
      <c r="H6074" s="2">
        <v>39.340000000000003</v>
      </c>
      <c r="I6074" t="str">
        <f t="shared" si="94"/>
        <v>Nov</v>
      </c>
      <c r="J6074">
        <f>YEAR(datas[[#This Row],[Order Date]])</f>
        <v>2023</v>
      </c>
    </row>
    <row r="6075" spans="1:10" ht="14.25" customHeight="1" x14ac:dyDescent="0.3">
      <c r="A6075" s="1">
        <v>45240</v>
      </c>
      <c r="B6075" s="2" t="s">
        <v>634</v>
      </c>
      <c r="C6075" s="2" t="s">
        <v>75</v>
      </c>
      <c r="D6075" s="2" t="s">
        <v>10</v>
      </c>
      <c r="E6075" s="2" t="s">
        <v>16</v>
      </c>
      <c r="F6075" s="2">
        <v>20.37</v>
      </c>
      <c r="G6075" s="2">
        <v>1</v>
      </c>
      <c r="H6075" s="2">
        <v>7.38</v>
      </c>
      <c r="I6075" t="str">
        <f t="shared" si="94"/>
        <v>Nov</v>
      </c>
      <c r="J6075">
        <f>YEAR(datas[[#This Row],[Order Date]])</f>
        <v>2023</v>
      </c>
    </row>
    <row r="6076" spans="1:10" ht="14.25" customHeight="1" x14ac:dyDescent="0.3">
      <c r="A6076" s="1">
        <v>45240</v>
      </c>
      <c r="B6076" s="2" t="s">
        <v>634</v>
      </c>
      <c r="C6076" s="2" t="s">
        <v>75</v>
      </c>
      <c r="D6076" s="2" t="s">
        <v>10</v>
      </c>
      <c r="E6076" s="2" t="s">
        <v>16</v>
      </c>
      <c r="F6076" s="2">
        <v>49.85</v>
      </c>
      <c r="G6076" s="2">
        <v>3</v>
      </c>
      <c r="H6076" s="2">
        <v>16.82</v>
      </c>
      <c r="I6076" t="str">
        <f t="shared" si="94"/>
        <v>Nov</v>
      </c>
      <c r="J6076">
        <f>YEAR(datas[[#This Row],[Order Date]])</f>
        <v>2023</v>
      </c>
    </row>
    <row r="6077" spans="1:10" ht="14.25" customHeight="1" x14ac:dyDescent="0.3">
      <c r="A6077" s="1">
        <v>45240</v>
      </c>
      <c r="B6077" s="2" t="s">
        <v>234</v>
      </c>
      <c r="C6077" s="2" t="s">
        <v>21</v>
      </c>
      <c r="D6077" s="2" t="s">
        <v>10</v>
      </c>
      <c r="E6077" s="2" t="s">
        <v>11</v>
      </c>
      <c r="F6077" s="2">
        <v>67.709999999999994</v>
      </c>
      <c r="G6077" s="2">
        <v>3</v>
      </c>
      <c r="H6077" s="2">
        <v>32.5</v>
      </c>
      <c r="I6077" t="str">
        <f t="shared" si="94"/>
        <v>Nov</v>
      </c>
      <c r="J6077">
        <f>YEAR(datas[[#This Row],[Order Date]])</f>
        <v>2023</v>
      </c>
    </row>
    <row r="6078" spans="1:10" ht="14.25" customHeight="1" x14ac:dyDescent="0.3">
      <c r="A6078" s="1">
        <v>45240</v>
      </c>
      <c r="B6078" s="2" t="s">
        <v>234</v>
      </c>
      <c r="C6078" s="2" t="s">
        <v>21</v>
      </c>
      <c r="D6078" s="2" t="s">
        <v>10</v>
      </c>
      <c r="E6078" s="2" t="s">
        <v>53</v>
      </c>
      <c r="F6078" s="2">
        <v>129.91999999999999</v>
      </c>
      <c r="G6078" s="2">
        <v>4</v>
      </c>
      <c r="H6078" s="2">
        <v>38.979999999999997</v>
      </c>
      <c r="I6078" t="str">
        <f t="shared" si="94"/>
        <v>Nov</v>
      </c>
      <c r="J6078">
        <f>YEAR(datas[[#This Row],[Order Date]])</f>
        <v>2023</v>
      </c>
    </row>
    <row r="6079" spans="1:10" ht="14.25" customHeight="1" x14ac:dyDescent="0.3">
      <c r="A6079" s="1">
        <v>45240</v>
      </c>
      <c r="B6079" s="2" t="s">
        <v>234</v>
      </c>
      <c r="C6079" s="2" t="s">
        <v>21</v>
      </c>
      <c r="D6079" s="2" t="s">
        <v>26</v>
      </c>
      <c r="E6079" s="2" t="s">
        <v>32</v>
      </c>
      <c r="F6079" s="2">
        <v>467.46</v>
      </c>
      <c r="G6079" s="2">
        <v>9</v>
      </c>
      <c r="H6079" s="2">
        <v>191.66</v>
      </c>
      <c r="I6079" t="str">
        <f t="shared" si="94"/>
        <v>Nov</v>
      </c>
      <c r="J6079">
        <f>YEAR(datas[[#This Row],[Order Date]])</f>
        <v>2023</v>
      </c>
    </row>
    <row r="6080" spans="1:10" ht="14.25" customHeight="1" x14ac:dyDescent="0.3">
      <c r="A6080" s="1">
        <v>45240</v>
      </c>
      <c r="B6080" s="2" t="s">
        <v>234</v>
      </c>
      <c r="C6080" s="2" t="s">
        <v>21</v>
      </c>
      <c r="D6080" s="2" t="s">
        <v>10</v>
      </c>
      <c r="E6080" s="2" t="s">
        <v>11</v>
      </c>
      <c r="F6080" s="2">
        <v>61.4</v>
      </c>
      <c r="G6080" s="2">
        <v>5</v>
      </c>
      <c r="H6080" s="2">
        <v>28.86</v>
      </c>
      <c r="I6080" t="str">
        <f t="shared" si="94"/>
        <v>Nov</v>
      </c>
      <c r="J6080">
        <f>YEAR(datas[[#This Row],[Order Date]])</f>
        <v>2023</v>
      </c>
    </row>
    <row r="6081" spans="1:10" ht="14.25" customHeight="1" x14ac:dyDescent="0.3">
      <c r="A6081" s="1">
        <v>45240</v>
      </c>
      <c r="B6081" s="2" t="s">
        <v>234</v>
      </c>
      <c r="C6081" s="2" t="s">
        <v>21</v>
      </c>
      <c r="D6081" s="2" t="s">
        <v>10</v>
      </c>
      <c r="E6081" s="2" t="s">
        <v>15</v>
      </c>
      <c r="F6081" s="2">
        <v>720.76</v>
      </c>
      <c r="G6081" s="2">
        <v>4</v>
      </c>
      <c r="H6081" s="2">
        <v>187.4</v>
      </c>
      <c r="I6081" t="str">
        <f t="shared" si="94"/>
        <v>Nov</v>
      </c>
      <c r="J6081">
        <f>YEAR(datas[[#This Row],[Order Date]])</f>
        <v>2023</v>
      </c>
    </row>
    <row r="6082" spans="1:10" ht="14.25" customHeight="1" x14ac:dyDescent="0.3">
      <c r="A6082" s="1">
        <v>45240</v>
      </c>
      <c r="B6082" s="2" t="s">
        <v>234</v>
      </c>
      <c r="C6082" s="2" t="s">
        <v>21</v>
      </c>
      <c r="D6082" s="2" t="s">
        <v>10</v>
      </c>
      <c r="E6082" s="2" t="s">
        <v>16</v>
      </c>
      <c r="F6082" s="2">
        <v>5.18</v>
      </c>
      <c r="G6082" s="2">
        <v>3</v>
      </c>
      <c r="H6082" s="2">
        <v>1.81</v>
      </c>
      <c r="I6082" t="str">
        <f t="shared" si="94"/>
        <v>Nov</v>
      </c>
      <c r="J6082">
        <f>YEAR(datas[[#This Row],[Order Date]])</f>
        <v>2023</v>
      </c>
    </row>
    <row r="6083" spans="1:10" ht="14.25" customHeight="1" x14ac:dyDescent="0.3">
      <c r="A6083" s="1">
        <v>45240</v>
      </c>
      <c r="B6083" s="2" t="s">
        <v>234</v>
      </c>
      <c r="C6083" s="2" t="s">
        <v>21</v>
      </c>
      <c r="D6083" s="2" t="s">
        <v>10</v>
      </c>
      <c r="E6083" s="2" t="s">
        <v>19</v>
      </c>
      <c r="F6083" s="2">
        <v>14.7</v>
      </c>
      <c r="G6083" s="2">
        <v>5</v>
      </c>
      <c r="H6083" s="2">
        <v>3.97</v>
      </c>
      <c r="I6083" t="str">
        <f t="shared" ref="I6083:I6146" si="95">TEXT(A6083,"mmm")</f>
        <v>Nov</v>
      </c>
      <c r="J6083">
        <f>YEAR(datas[[#This Row],[Order Date]])</f>
        <v>2023</v>
      </c>
    </row>
    <row r="6084" spans="1:10" ht="14.25" customHeight="1" x14ac:dyDescent="0.3">
      <c r="A6084" s="1">
        <v>45240</v>
      </c>
      <c r="B6084" s="2" t="s">
        <v>214</v>
      </c>
      <c r="C6084" s="2" t="s">
        <v>21</v>
      </c>
      <c r="D6084" s="2" t="s">
        <v>26</v>
      </c>
      <c r="E6084" s="2" t="s">
        <v>32</v>
      </c>
      <c r="F6084" s="2">
        <v>9.98</v>
      </c>
      <c r="G6084" s="2">
        <v>1</v>
      </c>
      <c r="H6084" s="2">
        <v>2.79</v>
      </c>
      <c r="I6084" t="str">
        <f t="shared" si="95"/>
        <v>Nov</v>
      </c>
      <c r="J6084">
        <f>YEAR(datas[[#This Row],[Order Date]])</f>
        <v>2023</v>
      </c>
    </row>
    <row r="6085" spans="1:10" ht="14.25" customHeight="1" x14ac:dyDescent="0.3">
      <c r="A6085" s="1">
        <v>45240</v>
      </c>
      <c r="B6085" s="2" t="s">
        <v>717</v>
      </c>
      <c r="C6085" s="2" t="s">
        <v>21</v>
      </c>
      <c r="D6085" s="2" t="s">
        <v>10</v>
      </c>
      <c r="E6085" s="2" t="s">
        <v>15</v>
      </c>
      <c r="F6085" s="2">
        <v>29.74</v>
      </c>
      <c r="G6085" s="2">
        <v>1</v>
      </c>
      <c r="H6085" s="2">
        <v>4.46</v>
      </c>
      <c r="I6085" t="str">
        <f t="shared" si="95"/>
        <v>Nov</v>
      </c>
      <c r="J6085">
        <f>YEAR(datas[[#This Row],[Order Date]])</f>
        <v>2023</v>
      </c>
    </row>
    <row r="6086" spans="1:10" ht="14.25" customHeight="1" x14ac:dyDescent="0.3">
      <c r="A6086" s="1">
        <v>45240</v>
      </c>
      <c r="B6086" s="2" t="s">
        <v>37</v>
      </c>
      <c r="C6086" s="2" t="s">
        <v>47</v>
      </c>
      <c r="D6086" s="2" t="s">
        <v>10</v>
      </c>
      <c r="E6086" s="2" t="s">
        <v>11</v>
      </c>
      <c r="F6086" s="2">
        <v>31.1</v>
      </c>
      <c r="G6086" s="2">
        <v>6</v>
      </c>
      <c r="H6086" s="2">
        <v>10.89</v>
      </c>
      <c r="I6086" t="str">
        <f t="shared" si="95"/>
        <v>Nov</v>
      </c>
      <c r="J6086">
        <f>YEAR(datas[[#This Row],[Order Date]])</f>
        <v>2023</v>
      </c>
    </row>
    <row r="6087" spans="1:10" ht="14.25" customHeight="1" x14ac:dyDescent="0.3">
      <c r="A6087" s="1">
        <v>45240</v>
      </c>
      <c r="B6087" s="2" t="s">
        <v>99</v>
      </c>
      <c r="C6087" s="2" t="s">
        <v>329</v>
      </c>
      <c r="D6087" s="2" t="s">
        <v>28</v>
      </c>
      <c r="E6087" s="2" t="s">
        <v>29</v>
      </c>
      <c r="F6087" s="2">
        <v>221.98</v>
      </c>
      <c r="G6087" s="2">
        <v>2</v>
      </c>
      <c r="H6087" s="2">
        <v>62.15</v>
      </c>
      <c r="I6087" t="str">
        <f t="shared" si="95"/>
        <v>Nov</v>
      </c>
      <c r="J6087">
        <f>YEAR(datas[[#This Row],[Order Date]])</f>
        <v>2023</v>
      </c>
    </row>
    <row r="6088" spans="1:10" ht="14.25" customHeight="1" x14ac:dyDescent="0.3">
      <c r="A6088" s="1">
        <v>45240</v>
      </c>
      <c r="B6088" s="2" t="s">
        <v>99</v>
      </c>
      <c r="C6088" s="2" t="s">
        <v>329</v>
      </c>
      <c r="D6088" s="2" t="s">
        <v>26</v>
      </c>
      <c r="E6088" s="2" t="s">
        <v>45</v>
      </c>
      <c r="F6088" s="2">
        <v>341.96</v>
      </c>
      <c r="G6088" s="2">
        <v>2</v>
      </c>
      <c r="H6088" s="2">
        <v>54.71</v>
      </c>
      <c r="I6088" t="str">
        <f t="shared" si="95"/>
        <v>Nov</v>
      </c>
      <c r="J6088">
        <f>YEAR(datas[[#This Row],[Order Date]])</f>
        <v>2023</v>
      </c>
    </row>
    <row r="6089" spans="1:10" ht="14.25" customHeight="1" x14ac:dyDescent="0.3">
      <c r="A6089" s="1">
        <v>45240</v>
      </c>
      <c r="B6089" s="2" t="s">
        <v>124</v>
      </c>
      <c r="C6089" s="2" t="s">
        <v>75</v>
      </c>
      <c r="D6089" s="2" t="s">
        <v>10</v>
      </c>
      <c r="E6089" s="2" t="s">
        <v>16</v>
      </c>
      <c r="F6089" s="2">
        <v>3.64</v>
      </c>
      <c r="G6089" s="2">
        <v>1</v>
      </c>
      <c r="H6089" s="2">
        <v>1.37</v>
      </c>
      <c r="I6089" t="str">
        <f t="shared" si="95"/>
        <v>Nov</v>
      </c>
      <c r="J6089">
        <f>YEAR(datas[[#This Row],[Order Date]])</f>
        <v>2023</v>
      </c>
    </row>
    <row r="6090" spans="1:10" ht="14.25" customHeight="1" x14ac:dyDescent="0.3">
      <c r="A6090" s="1">
        <v>45240</v>
      </c>
      <c r="B6090" s="2" t="s">
        <v>124</v>
      </c>
      <c r="C6090" s="2" t="s">
        <v>75</v>
      </c>
      <c r="D6090" s="2" t="s">
        <v>28</v>
      </c>
      <c r="E6090" s="2" t="s">
        <v>29</v>
      </c>
      <c r="F6090" s="2">
        <v>881.93</v>
      </c>
      <c r="G6090" s="2">
        <v>7</v>
      </c>
      <c r="H6090" s="2">
        <v>220.48</v>
      </c>
      <c r="I6090" t="str">
        <f t="shared" si="95"/>
        <v>Nov</v>
      </c>
      <c r="J6090">
        <f>YEAR(datas[[#This Row],[Order Date]])</f>
        <v>2023</v>
      </c>
    </row>
    <row r="6091" spans="1:10" ht="14.25" customHeight="1" x14ac:dyDescent="0.3">
      <c r="A6091" s="1">
        <v>45241</v>
      </c>
      <c r="B6091" s="2" t="s">
        <v>815</v>
      </c>
      <c r="C6091" s="2" t="s">
        <v>75</v>
      </c>
      <c r="D6091" s="2" t="s">
        <v>28</v>
      </c>
      <c r="E6091" s="2" t="s">
        <v>34</v>
      </c>
      <c r="F6091" s="2">
        <v>59.97</v>
      </c>
      <c r="G6091" s="2">
        <v>3</v>
      </c>
      <c r="H6091" s="2">
        <v>14.99</v>
      </c>
      <c r="I6091" t="str">
        <f t="shared" si="95"/>
        <v>Nov</v>
      </c>
      <c r="J6091">
        <f>YEAR(datas[[#This Row],[Order Date]])</f>
        <v>2023</v>
      </c>
    </row>
    <row r="6092" spans="1:10" ht="14.25" customHeight="1" x14ac:dyDescent="0.3">
      <c r="A6092" s="1">
        <v>45241</v>
      </c>
      <c r="B6092" s="2" t="s">
        <v>815</v>
      </c>
      <c r="C6092" s="2" t="s">
        <v>75</v>
      </c>
      <c r="D6092" s="2" t="s">
        <v>10</v>
      </c>
      <c r="E6092" s="2" t="s">
        <v>15</v>
      </c>
      <c r="F6092" s="2">
        <v>83.36</v>
      </c>
      <c r="G6092" s="2">
        <v>1</v>
      </c>
      <c r="H6092" s="2">
        <v>20.84</v>
      </c>
      <c r="I6092" t="str">
        <f t="shared" si="95"/>
        <v>Nov</v>
      </c>
      <c r="J6092">
        <f>YEAR(datas[[#This Row],[Order Date]])</f>
        <v>2023</v>
      </c>
    </row>
    <row r="6093" spans="1:10" ht="14.25" customHeight="1" x14ac:dyDescent="0.3">
      <c r="A6093" s="1">
        <v>45241</v>
      </c>
      <c r="B6093" s="2" t="s">
        <v>726</v>
      </c>
      <c r="C6093" s="2" t="s">
        <v>13</v>
      </c>
      <c r="D6093" s="2" t="s">
        <v>28</v>
      </c>
      <c r="E6093" s="2" t="s">
        <v>34</v>
      </c>
      <c r="F6093" s="2">
        <v>95.97</v>
      </c>
      <c r="G6093" s="2">
        <v>4</v>
      </c>
      <c r="H6093" s="2">
        <v>1.2</v>
      </c>
      <c r="I6093" t="str">
        <f t="shared" si="95"/>
        <v>Nov</v>
      </c>
      <c r="J6093">
        <f>YEAR(datas[[#This Row],[Order Date]])</f>
        <v>2023</v>
      </c>
    </row>
    <row r="6094" spans="1:10" ht="14.25" customHeight="1" x14ac:dyDescent="0.3">
      <c r="A6094" s="1">
        <v>45241</v>
      </c>
      <c r="B6094" s="2" t="s">
        <v>726</v>
      </c>
      <c r="C6094" s="2" t="s">
        <v>13</v>
      </c>
      <c r="D6094" s="2" t="s">
        <v>26</v>
      </c>
      <c r="E6094" s="2" t="s">
        <v>27</v>
      </c>
      <c r="F6094" s="2">
        <v>47.99</v>
      </c>
      <c r="G6094" s="2">
        <v>2</v>
      </c>
      <c r="H6094" s="2">
        <v>-2.06</v>
      </c>
      <c r="I6094" t="str">
        <f t="shared" si="95"/>
        <v>Nov</v>
      </c>
      <c r="J6094">
        <f>YEAR(datas[[#This Row],[Order Date]])</f>
        <v>2023</v>
      </c>
    </row>
    <row r="6095" spans="1:10" ht="14.25" customHeight="1" x14ac:dyDescent="0.3">
      <c r="A6095" s="1">
        <v>45241</v>
      </c>
      <c r="B6095" s="2" t="s">
        <v>508</v>
      </c>
      <c r="C6095" s="2" t="s">
        <v>60</v>
      </c>
      <c r="D6095" s="2" t="s">
        <v>28</v>
      </c>
      <c r="E6095" s="2" t="s">
        <v>29</v>
      </c>
      <c r="F6095" s="2">
        <v>257.98</v>
      </c>
      <c r="G6095" s="2">
        <v>2</v>
      </c>
      <c r="H6095" s="2">
        <v>74.81</v>
      </c>
      <c r="I6095" t="str">
        <f t="shared" si="95"/>
        <v>Nov</v>
      </c>
      <c r="J6095">
        <f>YEAR(datas[[#This Row],[Order Date]])</f>
        <v>2023</v>
      </c>
    </row>
    <row r="6096" spans="1:10" ht="14.25" customHeight="1" x14ac:dyDescent="0.3">
      <c r="A6096" s="1">
        <v>45241</v>
      </c>
      <c r="B6096" s="2" t="s">
        <v>397</v>
      </c>
      <c r="C6096" s="2" t="s">
        <v>21</v>
      </c>
      <c r="D6096" s="2" t="s">
        <v>26</v>
      </c>
      <c r="E6096" s="2" t="s">
        <v>32</v>
      </c>
      <c r="F6096" s="2">
        <v>6.96</v>
      </c>
      <c r="G6096" s="2">
        <v>4</v>
      </c>
      <c r="H6096" s="2">
        <v>2.23</v>
      </c>
      <c r="I6096" t="str">
        <f t="shared" si="95"/>
        <v>Nov</v>
      </c>
      <c r="J6096">
        <f>YEAR(datas[[#This Row],[Order Date]])</f>
        <v>2023</v>
      </c>
    </row>
    <row r="6097" spans="1:10" ht="14.25" customHeight="1" x14ac:dyDescent="0.3">
      <c r="A6097" s="1">
        <v>45241</v>
      </c>
      <c r="B6097" s="2" t="s">
        <v>226</v>
      </c>
      <c r="C6097" s="2" t="s">
        <v>64</v>
      </c>
      <c r="D6097" s="2" t="s">
        <v>10</v>
      </c>
      <c r="E6097" s="2" t="s">
        <v>16</v>
      </c>
      <c r="F6097" s="2">
        <v>9.89</v>
      </c>
      <c r="G6097" s="2">
        <v>2</v>
      </c>
      <c r="H6097" s="2">
        <v>-6.92</v>
      </c>
      <c r="I6097" t="str">
        <f t="shared" si="95"/>
        <v>Nov</v>
      </c>
      <c r="J6097">
        <f>YEAR(datas[[#This Row],[Order Date]])</f>
        <v>2023</v>
      </c>
    </row>
    <row r="6098" spans="1:10" ht="14.25" customHeight="1" x14ac:dyDescent="0.3">
      <c r="A6098" s="1">
        <v>45241</v>
      </c>
      <c r="B6098" s="2" t="s">
        <v>226</v>
      </c>
      <c r="C6098" s="2" t="s">
        <v>64</v>
      </c>
      <c r="D6098" s="2" t="s">
        <v>10</v>
      </c>
      <c r="E6098" s="2" t="s">
        <v>53</v>
      </c>
      <c r="F6098" s="2">
        <v>671.54</v>
      </c>
      <c r="G6098" s="2">
        <v>3</v>
      </c>
      <c r="H6098" s="2">
        <v>50.37</v>
      </c>
      <c r="I6098" t="str">
        <f t="shared" si="95"/>
        <v>Nov</v>
      </c>
      <c r="J6098">
        <f>YEAR(datas[[#This Row],[Order Date]])</f>
        <v>2023</v>
      </c>
    </row>
    <row r="6099" spans="1:10" ht="14.25" customHeight="1" x14ac:dyDescent="0.3">
      <c r="A6099" s="1">
        <v>45241</v>
      </c>
      <c r="B6099" s="2" t="s">
        <v>687</v>
      </c>
      <c r="C6099" s="2" t="s">
        <v>75</v>
      </c>
      <c r="D6099" s="2" t="s">
        <v>10</v>
      </c>
      <c r="E6099" s="2" t="s">
        <v>15</v>
      </c>
      <c r="F6099" s="2">
        <v>28.14</v>
      </c>
      <c r="G6099" s="2">
        <v>3</v>
      </c>
      <c r="H6099" s="2">
        <v>7.88</v>
      </c>
      <c r="I6099" t="str">
        <f t="shared" si="95"/>
        <v>Nov</v>
      </c>
      <c r="J6099">
        <f>YEAR(datas[[#This Row],[Order Date]])</f>
        <v>2023</v>
      </c>
    </row>
    <row r="6100" spans="1:10" ht="14.25" customHeight="1" x14ac:dyDescent="0.3">
      <c r="A6100" s="1">
        <v>45241</v>
      </c>
      <c r="B6100" s="2" t="s">
        <v>687</v>
      </c>
      <c r="C6100" s="2" t="s">
        <v>75</v>
      </c>
      <c r="D6100" s="2" t="s">
        <v>28</v>
      </c>
      <c r="E6100" s="2" t="s">
        <v>34</v>
      </c>
      <c r="F6100" s="2">
        <v>36</v>
      </c>
      <c r="G6100" s="2">
        <v>2</v>
      </c>
      <c r="H6100" s="2">
        <v>6.48</v>
      </c>
      <c r="I6100" t="str">
        <f t="shared" si="95"/>
        <v>Nov</v>
      </c>
      <c r="J6100">
        <f>YEAR(datas[[#This Row],[Order Date]])</f>
        <v>2023</v>
      </c>
    </row>
    <row r="6101" spans="1:10" ht="14.25" customHeight="1" x14ac:dyDescent="0.3">
      <c r="A6101" s="1">
        <v>45241</v>
      </c>
      <c r="B6101" s="2" t="s">
        <v>687</v>
      </c>
      <c r="C6101" s="2" t="s">
        <v>75</v>
      </c>
      <c r="D6101" s="2" t="s">
        <v>10</v>
      </c>
      <c r="E6101" s="2" t="s">
        <v>19</v>
      </c>
      <c r="F6101" s="2">
        <v>92.94</v>
      </c>
      <c r="G6101" s="2">
        <v>3</v>
      </c>
      <c r="H6101" s="2">
        <v>25.09</v>
      </c>
      <c r="I6101" t="str">
        <f t="shared" si="95"/>
        <v>Nov</v>
      </c>
      <c r="J6101">
        <f>YEAR(datas[[#This Row],[Order Date]])</f>
        <v>2023</v>
      </c>
    </row>
    <row r="6102" spans="1:10" ht="14.25" customHeight="1" x14ac:dyDescent="0.3">
      <c r="A6102" s="1">
        <v>45241</v>
      </c>
      <c r="B6102" s="2" t="s">
        <v>687</v>
      </c>
      <c r="C6102" s="2" t="s">
        <v>75</v>
      </c>
      <c r="D6102" s="2" t="s">
        <v>26</v>
      </c>
      <c r="E6102" s="2" t="s">
        <v>27</v>
      </c>
      <c r="F6102" s="2">
        <v>245.65</v>
      </c>
      <c r="G6102" s="2">
        <v>3</v>
      </c>
      <c r="H6102" s="2">
        <v>8.19</v>
      </c>
      <c r="I6102" t="str">
        <f t="shared" si="95"/>
        <v>Nov</v>
      </c>
      <c r="J6102">
        <f>YEAR(datas[[#This Row],[Order Date]])</f>
        <v>2023</v>
      </c>
    </row>
    <row r="6103" spans="1:10" ht="14.25" customHeight="1" x14ac:dyDescent="0.3">
      <c r="A6103" s="1">
        <v>45241</v>
      </c>
      <c r="B6103" s="2" t="s">
        <v>687</v>
      </c>
      <c r="C6103" s="2" t="s">
        <v>75</v>
      </c>
      <c r="D6103" s="2" t="s">
        <v>10</v>
      </c>
      <c r="E6103" s="2" t="s">
        <v>16</v>
      </c>
      <c r="F6103" s="2">
        <v>55.01</v>
      </c>
      <c r="G6103" s="2">
        <v>3</v>
      </c>
      <c r="H6103" s="2">
        <v>17.190000000000001</v>
      </c>
      <c r="I6103" t="str">
        <f t="shared" si="95"/>
        <v>Nov</v>
      </c>
      <c r="J6103">
        <f>YEAR(datas[[#This Row],[Order Date]])</f>
        <v>2023</v>
      </c>
    </row>
    <row r="6104" spans="1:10" ht="14.25" customHeight="1" x14ac:dyDescent="0.3">
      <c r="A6104" s="1">
        <v>45241</v>
      </c>
      <c r="B6104" s="2" t="s">
        <v>687</v>
      </c>
      <c r="C6104" s="2" t="s">
        <v>75</v>
      </c>
      <c r="D6104" s="2" t="s">
        <v>10</v>
      </c>
      <c r="E6104" s="2" t="s">
        <v>16</v>
      </c>
      <c r="F6104" s="2">
        <v>35.229999999999997</v>
      </c>
      <c r="G6104" s="2">
        <v>3</v>
      </c>
      <c r="H6104" s="2">
        <v>11.45</v>
      </c>
      <c r="I6104" t="str">
        <f t="shared" si="95"/>
        <v>Nov</v>
      </c>
      <c r="J6104">
        <f>YEAR(datas[[#This Row],[Order Date]])</f>
        <v>2023</v>
      </c>
    </row>
    <row r="6105" spans="1:10" ht="14.25" customHeight="1" x14ac:dyDescent="0.3">
      <c r="A6105" s="1">
        <v>45241</v>
      </c>
      <c r="B6105" s="2" t="s">
        <v>337</v>
      </c>
      <c r="C6105" s="2" t="s">
        <v>21</v>
      </c>
      <c r="D6105" s="2" t="s">
        <v>26</v>
      </c>
      <c r="E6105" s="2" t="s">
        <v>32</v>
      </c>
      <c r="F6105" s="2">
        <v>41.96</v>
      </c>
      <c r="G6105" s="2">
        <v>2</v>
      </c>
      <c r="H6105" s="2">
        <v>10.91</v>
      </c>
      <c r="I6105" t="str">
        <f t="shared" si="95"/>
        <v>Nov</v>
      </c>
      <c r="J6105">
        <f>YEAR(datas[[#This Row],[Order Date]])</f>
        <v>2023</v>
      </c>
    </row>
    <row r="6106" spans="1:10" ht="14.25" customHeight="1" x14ac:dyDescent="0.3">
      <c r="A6106" s="1">
        <v>45241</v>
      </c>
      <c r="B6106" s="2" t="s">
        <v>337</v>
      </c>
      <c r="C6106" s="2" t="s">
        <v>21</v>
      </c>
      <c r="D6106" s="2" t="s">
        <v>26</v>
      </c>
      <c r="E6106" s="2" t="s">
        <v>27</v>
      </c>
      <c r="F6106" s="2">
        <v>451.15</v>
      </c>
      <c r="G6106" s="2">
        <v>3</v>
      </c>
      <c r="H6106" s="2">
        <v>0</v>
      </c>
      <c r="I6106" t="str">
        <f t="shared" si="95"/>
        <v>Nov</v>
      </c>
      <c r="J6106">
        <f>YEAR(datas[[#This Row],[Order Date]])</f>
        <v>2023</v>
      </c>
    </row>
    <row r="6107" spans="1:10" ht="14.25" customHeight="1" x14ac:dyDescent="0.3">
      <c r="A6107" s="1">
        <v>45241</v>
      </c>
      <c r="B6107" s="2" t="s">
        <v>337</v>
      </c>
      <c r="C6107" s="2" t="s">
        <v>21</v>
      </c>
      <c r="D6107" s="2" t="s">
        <v>10</v>
      </c>
      <c r="E6107" s="2" t="s">
        <v>16</v>
      </c>
      <c r="F6107" s="2">
        <v>31.5</v>
      </c>
      <c r="G6107" s="2">
        <v>11</v>
      </c>
      <c r="H6107" s="2">
        <v>11.03</v>
      </c>
      <c r="I6107" t="str">
        <f t="shared" si="95"/>
        <v>Nov</v>
      </c>
      <c r="J6107">
        <f>YEAR(datas[[#This Row],[Order Date]])</f>
        <v>2023</v>
      </c>
    </row>
    <row r="6108" spans="1:10" ht="14.25" customHeight="1" x14ac:dyDescent="0.3">
      <c r="A6108" s="1">
        <v>45241</v>
      </c>
      <c r="B6108" s="2" t="s">
        <v>830</v>
      </c>
      <c r="C6108" s="2" t="s">
        <v>68</v>
      </c>
      <c r="D6108" s="2" t="s">
        <v>26</v>
      </c>
      <c r="E6108" s="2" t="s">
        <v>73</v>
      </c>
      <c r="F6108" s="2">
        <v>2678.94</v>
      </c>
      <c r="G6108" s="2">
        <v>6</v>
      </c>
      <c r="H6108" s="2">
        <v>241.1</v>
      </c>
      <c r="I6108" t="str">
        <f t="shared" si="95"/>
        <v>Nov</v>
      </c>
      <c r="J6108">
        <f>YEAR(datas[[#This Row],[Order Date]])</f>
        <v>2023</v>
      </c>
    </row>
    <row r="6109" spans="1:10" ht="14.25" customHeight="1" x14ac:dyDescent="0.3">
      <c r="A6109" s="1">
        <v>45241</v>
      </c>
      <c r="B6109" s="2" t="s">
        <v>849</v>
      </c>
      <c r="C6109" s="2" t="s">
        <v>13</v>
      </c>
      <c r="D6109" s="2" t="s">
        <v>10</v>
      </c>
      <c r="E6109" s="2" t="s">
        <v>19</v>
      </c>
      <c r="F6109" s="2">
        <v>14.11</v>
      </c>
      <c r="G6109" s="2">
        <v>6</v>
      </c>
      <c r="H6109" s="2">
        <v>1.23</v>
      </c>
      <c r="I6109" t="str">
        <f t="shared" si="95"/>
        <v>Nov</v>
      </c>
      <c r="J6109">
        <f>YEAR(datas[[#This Row],[Order Date]])</f>
        <v>2023</v>
      </c>
    </row>
    <row r="6110" spans="1:10" ht="14.25" customHeight="1" x14ac:dyDescent="0.3">
      <c r="A6110" s="1">
        <v>45242</v>
      </c>
      <c r="B6110" s="2" t="s">
        <v>159</v>
      </c>
      <c r="C6110" s="2" t="s">
        <v>55</v>
      </c>
      <c r="D6110" s="2" t="s">
        <v>10</v>
      </c>
      <c r="E6110" s="2" t="s">
        <v>16</v>
      </c>
      <c r="F6110" s="2">
        <v>6.27</v>
      </c>
      <c r="G6110" s="2">
        <v>5</v>
      </c>
      <c r="H6110" s="2">
        <v>-4.5999999999999996</v>
      </c>
      <c r="I6110" t="str">
        <f t="shared" si="95"/>
        <v>Nov</v>
      </c>
      <c r="J6110">
        <f>YEAR(datas[[#This Row],[Order Date]])</f>
        <v>2023</v>
      </c>
    </row>
    <row r="6111" spans="1:10" ht="14.25" customHeight="1" x14ac:dyDescent="0.3">
      <c r="A6111" s="1">
        <v>45242</v>
      </c>
      <c r="B6111" s="2" t="s">
        <v>159</v>
      </c>
      <c r="C6111" s="2" t="s">
        <v>55</v>
      </c>
      <c r="D6111" s="2" t="s">
        <v>10</v>
      </c>
      <c r="E6111" s="2" t="s">
        <v>16</v>
      </c>
      <c r="F6111" s="2">
        <v>4.37</v>
      </c>
      <c r="G6111" s="2">
        <v>7</v>
      </c>
      <c r="H6111" s="2">
        <v>-3.35</v>
      </c>
      <c r="I6111" t="str">
        <f t="shared" si="95"/>
        <v>Nov</v>
      </c>
      <c r="J6111">
        <f>YEAR(datas[[#This Row],[Order Date]])</f>
        <v>2023</v>
      </c>
    </row>
    <row r="6112" spans="1:10" ht="14.25" customHeight="1" x14ac:dyDescent="0.3">
      <c r="A6112" s="1">
        <v>45242</v>
      </c>
      <c r="B6112" s="2" t="s">
        <v>159</v>
      </c>
      <c r="C6112" s="2" t="s">
        <v>55</v>
      </c>
      <c r="D6112" s="2" t="s">
        <v>28</v>
      </c>
      <c r="E6112" s="2" t="s">
        <v>34</v>
      </c>
      <c r="F6112" s="2">
        <v>31.98</v>
      </c>
      <c r="G6112" s="2">
        <v>2</v>
      </c>
      <c r="H6112" s="2">
        <v>2</v>
      </c>
      <c r="I6112" t="str">
        <f t="shared" si="95"/>
        <v>Nov</v>
      </c>
      <c r="J6112">
        <f>YEAR(datas[[#This Row],[Order Date]])</f>
        <v>2023</v>
      </c>
    </row>
    <row r="6113" spans="1:10" ht="14.25" customHeight="1" x14ac:dyDescent="0.3">
      <c r="A6113" s="1">
        <v>45242</v>
      </c>
      <c r="B6113" s="2" t="s">
        <v>196</v>
      </c>
      <c r="C6113" s="2" t="s">
        <v>68</v>
      </c>
      <c r="D6113" s="2" t="s">
        <v>10</v>
      </c>
      <c r="E6113" s="2" t="s">
        <v>41</v>
      </c>
      <c r="F6113" s="2">
        <v>287.52</v>
      </c>
      <c r="G6113" s="2">
        <v>8</v>
      </c>
      <c r="H6113" s="2">
        <v>129.38</v>
      </c>
      <c r="I6113" t="str">
        <f t="shared" si="95"/>
        <v>Nov</v>
      </c>
      <c r="J6113">
        <f>YEAR(datas[[#This Row],[Order Date]])</f>
        <v>2023</v>
      </c>
    </row>
    <row r="6114" spans="1:10" ht="14.25" customHeight="1" x14ac:dyDescent="0.3">
      <c r="A6114" s="1">
        <v>45242</v>
      </c>
      <c r="B6114" s="2" t="s">
        <v>196</v>
      </c>
      <c r="C6114" s="2" t="s">
        <v>68</v>
      </c>
      <c r="D6114" s="2" t="s">
        <v>10</v>
      </c>
      <c r="E6114" s="2" t="s">
        <v>53</v>
      </c>
      <c r="F6114" s="2">
        <v>37.68</v>
      </c>
      <c r="G6114" s="2">
        <v>2</v>
      </c>
      <c r="H6114" s="2">
        <v>10.55</v>
      </c>
      <c r="I6114" t="str">
        <f t="shared" si="95"/>
        <v>Nov</v>
      </c>
      <c r="J6114">
        <f>YEAR(datas[[#This Row],[Order Date]])</f>
        <v>2023</v>
      </c>
    </row>
    <row r="6115" spans="1:10" ht="14.25" customHeight="1" x14ac:dyDescent="0.3">
      <c r="A6115" s="1">
        <v>45242</v>
      </c>
      <c r="B6115" s="2" t="s">
        <v>196</v>
      </c>
      <c r="C6115" s="2" t="s">
        <v>68</v>
      </c>
      <c r="D6115" s="2" t="s">
        <v>10</v>
      </c>
      <c r="E6115" s="2" t="s">
        <v>11</v>
      </c>
      <c r="F6115" s="2">
        <v>19.98</v>
      </c>
      <c r="G6115" s="2">
        <v>2</v>
      </c>
      <c r="H6115" s="2">
        <v>8.99</v>
      </c>
      <c r="I6115" t="str">
        <f t="shared" si="95"/>
        <v>Nov</v>
      </c>
      <c r="J6115">
        <f>YEAR(datas[[#This Row],[Order Date]])</f>
        <v>2023</v>
      </c>
    </row>
    <row r="6116" spans="1:10" ht="14.25" customHeight="1" x14ac:dyDescent="0.3">
      <c r="A6116" s="1">
        <v>45242</v>
      </c>
      <c r="B6116" s="2" t="s">
        <v>196</v>
      </c>
      <c r="C6116" s="2" t="s">
        <v>68</v>
      </c>
      <c r="D6116" s="2" t="s">
        <v>10</v>
      </c>
      <c r="E6116" s="2" t="s">
        <v>19</v>
      </c>
      <c r="F6116" s="2">
        <v>20.58</v>
      </c>
      <c r="G6116" s="2">
        <v>7</v>
      </c>
      <c r="H6116" s="2">
        <v>5.56</v>
      </c>
      <c r="I6116" t="str">
        <f t="shared" si="95"/>
        <v>Nov</v>
      </c>
      <c r="J6116">
        <f>YEAR(datas[[#This Row],[Order Date]])</f>
        <v>2023</v>
      </c>
    </row>
    <row r="6117" spans="1:10" ht="14.25" customHeight="1" x14ac:dyDescent="0.3">
      <c r="A6117" s="1">
        <v>45242</v>
      </c>
      <c r="B6117" s="2" t="s">
        <v>196</v>
      </c>
      <c r="C6117" s="2" t="s">
        <v>68</v>
      </c>
      <c r="D6117" s="2" t="s">
        <v>10</v>
      </c>
      <c r="E6117" s="2" t="s">
        <v>16</v>
      </c>
      <c r="F6117" s="2">
        <v>17.38</v>
      </c>
      <c r="G6117" s="2">
        <v>2</v>
      </c>
      <c r="H6117" s="2">
        <v>8.69</v>
      </c>
      <c r="I6117" t="str">
        <f t="shared" si="95"/>
        <v>Nov</v>
      </c>
      <c r="J6117">
        <f>YEAR(datas[[#This Row],[Order Date]])</f>
        <v>2023</v>
      </c>
    </row>
    <row r="6118" spans="1:10" ht="14.25" customHeight="1" x14ac:dyDescent="0.3">
      <c r="A6118" s="1">
        <v>45242</v>
      </c>
      <c r="B6118" s="2" t="s">
        <v>602</v>
      </c>
      <c r="C6118" s="2" t="s">
        <v>47</v>
      </c>
      <c r="D6118" s="2" t="s">
        <v>26</v>
      </c>
      <c r="E6118" s="2" t="s">
        <v>27</v>
      </c>
      <c r="F6118" s="2">
        <v>1474.8</v>
      </c>
      <c r="G6118" s="2">
        <v>7</v>
      </c>
      <c r="H6118" s="2">
        <v>-21.07</v>
      </c>
      <c r="I6118" t="str">
        <f t="shared" si="95"/>
        <v>Nov</v>
      </c>
      <c r="J6118">
        <f>YEAR(datas[[#This Row],[Order Date]])</f>
        <v>2023</v>
      </c>
    </row>
    <row r="6119" spans="1:10" ht="14.25" customHeight="1" x14ac:dyDescent="0.3">
      <c r="A6119" s="1">
        <v>45242</v>
      </c>
      <c r="B6119" s="2" t="s">
        <v>602</v>
      </c>
      <c r="C6119" s="2" t="s">
        <v>47</v>
      </c>
      <c r="D6119" s="2" t="s">
        <v>10</v>
      </c>
      <c r="E6119" s="2" t="s">
        <v>53</v>
      </c>
      <c r="F6119" s="2">
        <v>110.1</v>
      </c>
      <c r="G6119" s="2">
        <v>2</v>
      </c>
      <c r="H6119" s="2">
        <v>33.03</v>
      </c>
      <c r="I6119" t="str">
        <f t="shared" si="95"/>
        <v>Nov</v>
      </c>
      <c r="J6119">
        <f>YEAR(datas[[#This Row],[Order Date]])</f>
        <v>2023</v>
      </c>
    </row>
    <row r="6120" spans="1:10" ht="14.25" customHeight="1" x14ac:dyDescent="0.3">
      <c r="A6120" s="1">
        <v>45242</v>
      </c>
      <c r="B6120" s="2" t="s">
        <v>602</v>
      </c>
      <c r="C6120" s="2" t="s">
        <v>47</v>
      </c>
      <c r="D6120" s="2" t="s">
        <v>10</v>
      </c>
      <c r="E6120" s="2" t="s">
        <v>30</v>
      </c>
      <c r="F6120" s="2">
        <v>16.75</v>
      </c>
      <c r="G6120" s="2">
        <v>6</v>
      </c>
      <c r="H6120" s="2">
        <v>5.44</v>
      </c>
      <c r="I6120" t="str">
        <f t="shared" si="95"/>
        <v>Nov</v>
      </c>
      <c r="J6120">
        <f>YEAR(datas[[#This Row],[Order Date]])</f>
        <v>2023</v>
      </c>
    </row>
    <row r="6121" spans="1:10" ht="14.25" customHeight="1" x14ac:dyDescent="0.3">
      <c r="A6121" s="1">
        <v>45242</v>
      </c>
      <c r="B6121" s="2" t="s">
        <v>602</v>
      </c>
      <c r="C6121" s="2" t="s">
        <v>47</v>
      </c>
      <c r="D6121" s="2" t="s">
        <v>26</v>
      </c>
      <c r="E6121" s="2" t="s">
        <v>27</v>
      </c>
      <c r="F6121" s="2">
        <v>1537.07</v>
      </c>
      <c r="G6121" s="2">
        <v>9</v>
      </c>
      <c r="H6121" s="2">
        <v>0</v>
      </c>
      <c r="I6121" t="str">
        <f t="shared" si="95"/>
        <v>Nov</v>
      </c>
      <c r="J6121">
        <f>YEAR(datas[[#This Row],[Order Date]])</f>
        <v>2023</v>
      </c>
    </row>
    <row r="6122" spans="1:10" ht="14.25" customHeight="1" x14ac:dyDescent="0.3">
      <c r="A6122" s="1">
        <v>45242</v>
      </c>
      <c r="B6122" s="2" t="s">
        <v>602</v>
      </c>
      <c r="C6122" s="2" t="s">
        <v>47</v>
      </c>
      <c r="D6122" s="2" t="s">
        <v>26</v>
      </c>
      <c r="E6122" s="2" t="s">
        <v>27</v>
      </c>
      <c r="F6122" s="2">
        <v>449.37</v>
      </c>
      <c r="G6122" s="2">
        <v>2</v>
      </c>
      <c r="H6122" s="2">
        <v>-12.84</v>
      </c>
      <c r="I6122" t="str">
        <f t="shared" si="95"/>
        <v>Nov</v>
      </c>
      <c r="J6122">
        <f>YEAR(datas[[#This Row],[Order Date]])</f>
        <v>2023</v>
      </c>
    </row>
    <row r="6123" spans="1:10" ht="14.25" customHeight="1" x14ac:dyDescent="0.3">
      <c r="A6123" s="1">
        <v>45242</v>
      </c>
      <c r="B6123" s="2" t="s">
        <v>300</v>
      </c>
      <c r="C6123" s="2" t="s">
        <v>21</v>
      </c>
      <c r="D6123" s="2" t="s">
        <v>28</v>
      </c>
      <c r="E6123" s="2" t="s">
        <v>29</v>
      </c>
      <c r="F6123" s="2">
        <v>203.98</v>
      </c>
      <c r="G6123" s="2">
        <v>3</v>
      </c>
      <c r="H6123" s="2">
        <v>25.5</v>
      </c>
      <c r="I6123" t="str">
        <f t="shared" si="95"/>
        <v>Nov</v>
      </c>
      <c r="J6123">
        <f>YEAR(datas[[#This Row],[Order Date]])</f>
        <v>2023</v>
      </c>
    </row>
    <row r="6124" spans="1:10" ht="14.25" customHeight="1" x14ac:dyDescent="0.3">
      <c r="A6124" s="1">
        <v>45242</v>
      </c>
      <c r="B6124" s="2" t="s">
        <v>300</v>
      </c>
      <c r="C6124" s="2" t="s">
        <v>21</v>
      </c>
      <c r="D6124" s="2" t="s">
        <v>26</v>
      </c>
      <c r="E6124" s="2" t="s">
        <v>73</v>
      </c>
      <c r="F6124" s="2">
        <v>674.35</v>
      </c>
      <c r="G6124" s="2">
        <v>3</v>
      </c>
      <c r="H6124" s="2">
        <v>-8.43</v>
      </c>
      <c r="I6124" t="str">
        <f t="shared" si="95"/>
        <v>Nov</v>
      </c>
      <c r="J6124">
        <f>YEAR(datas[[#This Row],[Order Date]])</f>
        <v>2023</v>
      </c>
    </row>
    <row r="6125" spans="1:10" ht="14.25" customHeight="1" x14ac:dyDescent="0.3">
      <c r="A6125" s="1">
        <v>45242</v>
      </c>
      <c r="B6125" s="2" t="s">
        <v>217</v>
      </c>
      <c r="C6125" s="2" t="s">
        <v>13</v>
      </c>
      <c r="D6125" s="2" t="s">
        <v>26</v>
      </c>
      <c r="E6125" s="2" t="s">
        <v>32</v>
      </c>
      <c r="F6125" s="2">
        <v>22.75</v>
      </c>
      <c r="G6125" s="2">
        <v>6</v>
      </c>
      <c r="H6125" s="2">
        <v>-8.5299999999999994</v>
      </c>
      <c r="I6125" t="str">
        <f t="shared" si="95"/>
        <v>Nov</v>
      </c>
      <c r="J6125">
        <f>YEAR(datas[[#This Row],[Order Date]])</f>
        <v>2023</v>
      </c>
    </row>
    <row r="6126" spans="1:10" ht="14.25" customHeight="1" x14ac:dyDescent="0.3">
      <c r="A6126" s="1">
        <v>45243</v>
      </c>
      <c r="B6126" s="2" t="s">
        <v>435</v>
      </c>
      <c r="C6126" s="2" t="s">
        <v>82</v>
      </c>
      <c r="D6126" s="2" t="s">
        <v>10</v>
      </c>
      <c r="E6126" s="2" t="s">
        <v>19</v>
      </c>
      <c r="F6126" s="2">
        <v>44.02</v>
      </c>
      <c r="G6126" s="2">
        <v>2</v>
      </c>
      <c r="H6126" s="2">
        <v>11.45</v>
      </c>
      <c r="I6126" t="str">
        <f t="shared" si="95"/>
        <v>Nov</v>
      </c>
      <c r="J6126">
        <f>YEAR(datas[[#This Row],[Order Date]])</f>
        <v>2023</v>
      </c>
    </row>
    <row r="6127" spans="1:10" ht="14.25" customHeight="1" x14ac:dyDescent="0.3">
      <c r="A6127" s="1">
        <v>45243</v>
      </c>
      <c r="B6127" s="2" t="s">
        <v>163</v>
      </c>
      <c r="C6127" s="2" t="s">
        <v>115</v>
      </c>
      <c r="D6127" s="2" t="s">
        <v>10</v>
      </c>
      <c r="E6127" s="2" t="s">
        <v>95</v>
      </c>
      <c r="F6127" s="2">
        <v>52.14</v>
      </c>
      <c r="G6127" s="2">
        <v>7</v>
      </c>
      <c r="H6127" s="2">
        <v>5.87</v>
      </c>
      <c r="I6127" t="str">
        <f t="shared" si="95"/>
        <v>Nov</v>
      </c>
      <c r="J6127">
        <f>YEAR(datas[[#This Row],[Order Date]])</f>
        <v>2023</v>
      </c>
    </row>
    <row r="6128" spans="1:10" ht="14.25" customHeight="1" x14ac:dyDescent="0.3">
      <c r="A6128" s="1">
        <v>45243</v>
      </c>
      <c r="B6128" s="2" t="s">
        <v>850</v>
      </c>
      <c r="C6128" s="2" t="s">
        <v>82</v>
      </c>
      <c r="D6128" s="2" t="s">
        <v>26</v>
      </c>
      <c r="E6128" s="2" t="s">
        <v>32</v>
      </c>
      <c r="F6128" s="2">
        <v>4.18</v>
      </c>
      <c r="G6128" s="2">
        <v>1</v>
      </c>
      <c r="H6128" s="2">
        <v>1.5</v>
      </c>
      <c r="I6128" t="str">
        <f t="shared" si="95"/>
        <v>Nov</v>
      </c>
      <c r="J6128">
        <f>YEAR(datas[[#This Row],[Order Date]])</f>
        <v>2023</v>
      </c>
    </row>
    <row r="6129" spans="1:10" ht="14.25" customHeight="1" x14ac:dyDescent="0.3">
      <c r="A6129" s="1">
        <v>45243</v>
      </c>
      <c r="B6129" s="2" t="s">
        <v>757</v>
      </c>
      <c r="C6129" s="2" t="s">
        <v>18</v>
      </c>
      <c r="D6129" s="2" t="s">
        <v>10</v>
      </c>
      <c r="E6129" s="2" t="s">
        <v>11</v>
      </c>
      <c r="F6129" s="2">
        <v>217.06</v>
      </c>
      <c r="G6129" s="2">
        <v>7</v>
      </c>
      <c r="H6129" s="2">
        <v>78.680000000000007</v>
      </c>
      <c r="I6129" t="str">
        <f t="shared" si="95"/>
        <v>Nov</v>
      </c>
      <c r="J6129">
        <f>YEAR(datas[[#This Row],[Order Date]])</f>
        <v>2023</v>
      </c>
    </row>
    <row r="6130" spans="1:10" ht="14.25" customHeight="1" x14ac:dyDescent="0.3">
      <c r="A6130" s="1">
        <v>45243</v>
      </c>
      <c r="B6130" s="2" t="s">
        <v>226</v>
      </c>
      <c r="C6130" s="2" t="s">
        <v>13</v>
      </c>
      <c r="D6130" s="2" t="s">
        <v>10</v>
      </c>
      <c r="E6130" s="2" t="s">
        <v>16</v>
      </c>
      <c r="F6130" s="2">
        <v>3.14</v>
      </c>
      <c r="G6130" s="2">
        <v>2</v>
      </c>
      <c r="H6130" s="2">
        <v>-4.7</v>
      </c>
      <c r="I6130" t="str">
        <f t="shared" si="95"/>
        <v>Nov</v>
      </c>
      <c r="J6130">
        <f>YEAR(datas[[#This Row],[Order Date]])</f>
        <v>2023</v>
      </c>
    </row>
    <row r="6131" spans="1:10" ht="14.25" customHeight="1" x14ac:dyDescent="0.3">
      <c r="A6131" s="1">
        <v>45243</v>
      </c>
      <c r="B6131" s="2" t="s">
        <v>86</v>
      </c>
      <c r="C6131" s="2" t="s">
        <v>75</v>
      </c>
      <c r="D6131" s="2" t="s">
        <v>10</v>
      </c>
      <c r="E6131" s="2" t="s">
        <v>15</v>
      </c>
      <c r="F6131" s="2">
        <v>77.55</v>
      </c>
      <c r="G6131" s="2">
        <v>5</v>
      </c>
      <c r="H6131" s="2">
        <v>20.16</v>
      </c>
      <c r="I6131" t="str">
        <f t="shared" si="95"/>
        <v>Nov</v>
      </c>
      <c r="J6131">
        <f>YEAR(datas[[#This Row],[Order Date]])</f>
        <v>2023</v>
      </c>
    </row>
    <row r="6132" spans="1:10" ht="14.25" customHeight="1" x14ac:dyDescent="0.3">
      <c r="A6132" s="1">
        <v>45243</v>
      </c>
      <c r="B6132" s="2" t="s">
        <v>86</v>
      </c>
      <c r="C6132" s="2" t="s">
        <v>75</v>
      </c>
      <c r="D6132" s="2" t="s">
        <v>10</v>
      </c>
      <c r="E6132" s="2" t="s">
        <v>15</v>
      </c>
      <c r="F6132" s="2">
        <v>24.88</v>
      </c>
      <c r="G6132" s="2">
        <v>2</v>
      </c>
      <c r="H6132" s="2">
        <v>6.97</v>
      </c>
      <c r="I6132" t="str">
        <f t="shared" si="95"/>
        <v>Nov</v>
      </c>
      <c r="J6132">
        <f>YEAR(datas[[#This Row],[Order Date]])</f>
        <v>2023</v>
      </c>
    </row>
    <row r="6133" spans="1:10" ht="14.25" customHeight="1" x14ac:dyDescent="0.3">
      <c r="A6133" s="1">
        <v>45243</v>
      </c>
      <c r="B6133" s="2" t="s">
        <v>86</v>
      </c>
      <c r="C6133" s="2" t="s">
        <v>75</v>
      </c>
      <c r="D6133" s="2" t="s">
        <v>10</v>
      </c>
      <c r="E6133" s="2" t="s">
        <v>19</v>
      </c>
      <c r="F6133" s="2">
        <v>140.75</v>
      </c>
      <c r="G6133" s="2">
        <v>5</v>
      </c>
      <c r="H6133" s="2">
        <v>39.409999999999997</v>
      </c>
      <c r="I6133" t="str">
        <f t="shared" si="95"/>
        <v>Nov</v>
      </c>
      <c r="J6133">
        <f>YEAR(datas[[#This Row],[Order Date]])</f>
        <v>2023</v>
      </c>
    </row>
    <row r="6134" spans="1:10" ht="14.25" customHeight="1" x14ac:dyDescent="0.3">
      <c r="A6134" s="1">
        <v>45243</v>
      </c>
      <c r="B6134" s="2" t="s">
        <v>86</v>
      </c>
      <c r="C6134" s="2" t="s">
        <v>75</v>
      </c>
      <c r="D6134" s="2" t="s">
        <v>10</v>
      </c>
      <c r="E6134" s="2" t="s">
        <v>15</v>
      </c>
      <c r="F6134" s="2">
        <v>36.630000000000003</v>
      </c>
      <c r="G6134" s="2">
        <v>3</v>
      </c>
      <c r="H6134" s="2">
        <v>9.89</v>
      </c>
      <c r="I6134" t="str">
        <f t="shared" si="95"/>
        <v>Nov</v>
      </c>
      <c r="J6134">
        <f>YEAR(datas[[#This Row],[Order Date]])</f>
        <v>2023</v>
      </c>
    </row>
    <row r="6135" spans="1:10" ht="14.25" customHeight="1" x14ac:dyDescent="0.3">
      <c r="A6135" s="1">
        <v>45243</v>
      </c>
      <c r="B6135" s="2" t="s">
        <v>393</v>
      </c>
      <c r="C6135" s="2" t="s">
        <v>329</v>
      </c>
      <c r="D6135" s="2" t="s">
        <v>26</v>
      </c>
      <c r="E6135" s="2" t="s">
        <v>32</v>
      </c>
      <c r="F6135" s="2">
        <v>30.36</v>
      </c>
      <c r="G6135" s="2">
        <v>4</v>
      </c>
      <c r="H6135" s="2">
        <v>13.05</v>
      </c>
      <c r="I6135" t="str">
        <f t="shared" si="95"/>
        <v>Nov</v>
      </c>
      <c r="J6135">
        <f>YEAR(datas[[#This Row],[Order Date]])</f>
        <v>2023</v>
      </c>
    </row>
    <row r="6136" spans="1:10" ht="14.25" customHeight="1" x14ac:dyDescent="0.3">
      <c r="A6136" s="1">
        <v>45243</v>
      </c>
      <c r="B6136" s="2" t="s">
        <v>691</v>
      </c>
      <c r="C6136" s="2" t="s">
        <v>75</v>
      </c>
      <c r="D6136" s="2" t="s">
        <v>28</v>
      </c>
      <c r="E6136" s="2" t="s">
        <v>29</v>
      </c>
      <c r="F6136" s="2">
        <v>2279.96</v>
      </c>
      <c r="G6136" s="2">
        <v>4</v>
      </c>
      <c r="H6136" s="2">
        <v>592.79</v>
      </c>
      <c r="I6136" t="str">
        <f t="shared" si="95"/>
        <v>Nov</v>
      </c>
      <c r="J6136">
        <f>YEAR(datas[[#This Row],[Order Date]])</f>
        <v>2023</v>
      </c>
    </row>
    <row r="6137" spans="1:10" ht="14.25" customHeight="1" x14ac:dyDescent="0.3">
      <c r="A6137" s="1">
        <v>45243</v>
      </c>
      <c r="B6137" s="2" t="s">
        <v>691</v>
      </c>
      <c r="C6137" s="2" t="s">
        <v>75</v>
      </c>
      <c r="D6137" s="2" t="s">
        <v>10</v>
      </c>
      <c r="E6137" s="2" t="s">
        <v>14</v>
      </c>
      <c r="F6137" s="2">
        <v>14.94</v>
      </c>
      <c r="G6137" s="2">
        <v>3</v>
      </c>
      <c r="H6137" s="2">
        <v>6.87</v>
      </c>
      <c r="I6137" t="str">
        <f t="shared" si="95"/>
        <v>Nov</v>
      </c>
      <c r="J6137">
        <f>YEAR(datas[[#This Row],[Order Date]])</f>
        <v>2023</v>
      </c>
    </row>
    <row r="6138" spans="1:10" ht="14.25" customHeight="1" x14ac:dyDescent="0.3">
      <c r="A6138" s="1">
        <v>45243</v>
      </c>
      <c r="B6138" s="2" t="s">
        <v>748</v>
      </c>
      <c r="C6138" s="2" t="s">
        <v>82</v>
      </c>
      <c r="D6138" s="2" t="s">
        <v>26</v>
      </c>
      <c r="E6138" s="2" t="s">
        <v>32</v>
      </c>
      <c r="F6138" s="2">
        <v>19.54</v>
      </c>
      <c r="G6138" s="2">
        <v>2</v>
      </c>
      <c r="H6138" s="2">
        <v>7.23</v>
      </c>
      <c r="I6138" t="str">
        <f t="shared" si="95"/>
        <v>Nov</v>
      </c>
      <c r="J6138">
        <f>YEAR(datas[[#This Row],[Order Date]])</f>
        <v>2023</v>
      </c>
    </row>
    <row r="6139" spans="1:10" ht="14.25" customHeight="1" x14ac:dyDescent="0.3">
      <c r="A6139" s="1">
        <v>45244</v>
      </c>
      <c r="B6139" s="2" t="s">
        <v>222</v>
      </c>
      <c r="C6139" s="2" t="s">
        <v>23</v>
      </c>
      <c r="D6139" s="2" t="s">
        <v>28</v>
      </c>
      <c r="E6139" s="2" t="s">
        <v>34</v>
      </c>
      <c r="F6139" s="2">
        <v>499.98</v>
      </c>
      <c r="G6139" s="2">
        <v>2</v>
      </c>
      <c r="H6139" s="2">
        <v>115</v>
      </c>
      <c r="I6139" t="str">
        <f t="shared" si="95"/>
        <v>Nov</v>
      </c>
      <c r="J6139">
        <f>YEAR(datas[[#This Row],[Order Date]])</f>
        <v>2023</v>
      </c>
    </row>
    <row r="6140" spans="1:10" ht="14.25" customHeight="1" x14ac:dyDescent="0.3">
      <c r="A6140" s="1">
        <v>45244</v>
      </c>
      <c r="B6140" s="2" t="s">
        <v>222</v>
      </c>
      <c r="C6140" s="2" t="s">
        <v>23</v>
      </c>
      <c r="D6140" s="2" t="s">
        <v>10</v>
      </c>
      <c r="E6140" s="2" t="s">
        <v>11</v>
      </c>
      <c r="F6140" s="2">
        <v>5.28</v>
      </c>
      <c r="G6140" s="2">
        <v>1</v>
      </c>
      <c r="H6140" s="2">
        <v>2.38</v>
      </c>
      <c r="I6140" t="str">
        <f t="shared" si="95"/>
        <v>Nov</v>
      </c>
      <c r="J6140">
        <f>YEAR(datas[[#This Row],[Order Date]])</f>
        <v>2023</v>
      </c>
    </row>
    <row r="6141" spans="1:10" ht="14.25" customHeight="1" x14ac:dyDescent="0.3">
      <c r="A6141" s="1">
        <v>45244</v>
      </c>
      <c r="B6141" s="2" t="s">
        <v>222</v>
      </c>
      <c r="C6141" s="2" t="s">
        <v>23</v>
      </c>
      <c r="D6141" s="2" t="s">
        <v>10</v>
      </c>
      <c r="E6141" s="2" t="s">
        <v>16</v>
      </c>
      <c r="F6141" s="2">
        <v>8.26</v>
      </c>
      <c r="G6141" s="2">
        <v>2</v>
      </c>
      <c r="H6141" s="2">
        <v>3.88</v>
      </c>
      <c r="I6141" t="str">
        <f t="shared" si="95"/>
        <v>Nov</v>
      </c>
      <c r="J6141">
        <f>YEAR(datas[[#This Row],[Order Date]])</f>
        <v>2023</v>
      </c>
    </row>
    <row r="6142" spans="1:10" ht="14.25" customHeight="1" x14ac:dyDescent="0.3">
      <c r="A6142" s="1">
        <v>45244</v>
      </c>
      <c r="B6142" s="2" t="s">
        <v>851</v>
      </c>
      <c r="C6142" s="2" t="s">
        <v>21</v>
      </c>
      <c r="D6142" s="2" t="s">
        <v>10</v>
      </c>
      <c r="E6142" s="2" t="s">
        <v>14</v>
      </c>
      <c r="F6142" s="2">
        <v>7.38</v>
      </c>
      <c r="G6142" s="2">
        <v>2</v>
      </c>
      <c r="H6142" s="2">
        <v>3.47</v>
      </c>
      <c r="I6142" t="str">
        <f t="shared" si="95"/>
        <v>Nov</v>
      </c>
      <c r="J6142">
        <f>YEAR(datas[[#This Row],[Order Date]])</f>
        <v>2023</v>
      </c>
    </row>
    <row r="6143" spans="1:10" ht="14.25" customHeight="1" x14ac:dyDescent="0.3">
      <c r="A6143" s="1">
        <v>45244</v>
      </c>
      <c r="B6143" s="2" t="s">
        <v>781</v>
      </c>
      <c r="C6143" s="2" t="s">
        <v>9</v>
      </c>
      <c r="D6143" s="2" t="s">
        <v>10</v>
      </c>
      <c r="E6143" s="2" t="s">
        <v>16</v>
      </c>
      <c r="F6143" s="2">
        <v>2.2999999999999998</v>
      </c>
      <c r="G6143" s="2">
        <v>2</v>
      </c>
      <c r="H6143" s="2">
        <v>-3.9</v>
      </c>
      <c r="I6143" t="str">
        <f t="shared" si="95"/>
        <v>Nov</v>
      </c>
      <c r="J6143">
        <f>YEAR(datas[[#This Row],[Order Date]])</f>
        <v>2023</v>
      </c>
    </row>
    <row r="6144" spans="1:10" ht="14.25" customHeight="1" x14ac:dyDescent="0.3">
      <c r="A6144" s="1">
        <v>45244</v>
      </c>
      <c r="B6144" s="2" t="s">
        <v>407</v>
      </c>
      <c r="C6144" s="2" t="s">
        <v>75</v>
      </c>
      <c r="D6144" s="2" t="s">
        <v>26</v>
      </c>
      <c r="E6144" s="2" t="s">
        <v>27</v>
      </c>
      <c r="F6144" s="2">
        <v>408.01</v>
      </c>
      <c r="G6144" s="2">
        <v>2</v>
      </c>
      <c r="H6144" s="2">
        <v>72.53</v>
      </c>
      <c r="I6144" t="str">
        <f t="shared" si="95"/>
        <v>Nov</v>
      </c>
      <c r="J6144">
        <f>YEAR(datas[[#This Row],[Order Date]])</f>
        <v>2023</v>
      </c>
    </row>
    <row r="6145" spans="1:10" ht="14.25" customHeight="1" x14ac:dyDescent="0.3">
      <c r="A6145" s="1">
        <v>45244</v>
      </c>
      <c r="B6145" s="2" t="s">
        <v>407</v>
      </c>
      <c r="C6145" s="2" t="s">
        <v>75</v>
      </c>
      <c r="D6145" s="2" t="s">
        <v>10</v>
      </c>
      <c r="E6145" s="2" t="s">
        <v>15</v>
      </c>
      <c r="F6145" s="2">
        <v>40.44</v>
      </c>
      <c r="G6145" s="2">
        <v>3</v>
      </c>
      <c r="H6145" s="2">
        <v>10.51</v>
      </c>
      <c r="I6145" t="str">
        <f t="shared" si="95"/>
        <v>Nov</v>
      </c>
      <c r="J6145">
        <f>YEAR(datas[[#This Row],[Order Date]])</f>
        <v>2023</v>
      </c>
    </row>
    <row r="6146" spans="1:10" ht="14.25" customHeight="1" x14ac:dyDescent="0.3">
      <c r="A6146" s="1">
        <v>45244</v>
      </c>
      <c r="B6146" s="2" t="s">
        <v>704</v>
      </c>
      <c r="C6146" s="2" t="s">
        <v>18</v>
      </c>
      <c r="D6146" s="2" t="s">
        <v>26</v>
      </c>
      <c r="E6146" s="2" t="s">
        <v>27</v>
      </c>
      <c r="F6146" s="2">
        <v>380.06</v>
      </c>
      <c r="G6146" s="2">
        <v>3</v>
      </c>
      <c r="H6146" s="2">
        <v>-21.72</v>
      </c>
      <c r="I6146" t="str">
        <f t="shared" si="95"/>
        <v>Nov</v>
      </c>
      <c r="J6146">
        <f>YEAR(datas[[#This Row],[Order Date]])</f>
        <v>2023</v>
      </c>
    </row>
    <row r="6147" spans="1:10" ht="14.25" customHeight="1" x14ac:dyDescent="0.3">
      <c r="A6147" s="1">
        <v>45244</v>
      </c>
      <c r="B6147" s="2" t="s">
        <v>704</v>
      </c>
      <c r="C6147" s="2" t="s">
        <v>18</v>
      </c>
      <c r="D6147" s="2" t="s">
        <v>28</v>
      </c>
      <c r="E6147" s="2" t="s">
        <v>243</v>
      </c>
      <c r="F6147" s="2">
        <v>1199.98</v>
      </c>
      <c r="G6147" s="2">
        <v>4</v>
      </c>
      <c r="H6147" s="2">
        <v>180</v>
      </c>
      <c r="I6147" t="str">
        <f t="shared" ref="I6147:I6210" si="96">TEXT(A6147,"mmm")</f>
        <v>Nov</v>
      </c>
      <c r="J6147">
        <f>YEAR(datas[[#This Row],[Order Date]])</f>
        <v>2023</v>
      </c>
    </row>
    <row r="6148" spans="1:10" ht="14.25" customHeight="1" x14ac:dyDescent="0.3">
      <c r="A6148" s="1">
        <v>45244</v>
      </c>
      <c r="B6148" s="2" t="s">
        <v>704</v>
      </c>
      <c r="C6148" s="2" t="s">
        <v>18</v>
      </c>
      <c r="D6148" s="2" t="s">
        <v>26</v>
      </c>
      <c r="E6148" s="2" t="s">
        <v>32</v>
      </c>
      <c r="F6148" s="2">
        <v>48.58</v>
      </c>
      <c r="G6148" s="2">
        <v>3</v>
      </c>
      <c r="H6148" s="2">
        <v>9.7200000000000006</v>
      </c>
      <c r="I6148" t="str">
        <f t="shared" si="96"/>
        <v>Nov</v>
      </c>
      <c r="J6148">
        <f>YEAR(datas[[#This Row],[Order Date]])</f>
        <v>2023</v>
      </c>
    </row>
    <row r="6149" spans="1:10" ht="14.25" customHeight="1" x14ac:dyDescent="0.3">
      <c r="A6149" s="1">
        <v>45244</v>
      </c>
      <c r="B6149" s="2" t="s">
        <v>632</v>
      </c>
      <c r="C6149" s="2" t="s">
        <v>21</v>
      </c>
      <c r="D6149" s="2" t="s">
        <v>10</v>
      </c>
      <c r="E6149" s="2" t="s">
        <v>19</v>
      </c>
      <c r="F6149" s="2">
        <v>9.84</v>
      </c>
      <c r="G6149" s="2">
        <v>3</v>
      </c>
      <c r="H6149" s="2">
        <v>2.85</v>
      </c>
      <c r="I6149" t="str">
        <f t="shared" si="96"/>
        <v>Nov</v>
      </c>
      <c r="J6149">
        <f>YEAR(datas[[#This Row],[Order Date]])</f>
        <v>2023</v>
      </c>
    </row>
    <row r="6150" spans="1:10" ht="14.25" customHeight="1" x14ac:dyDescent="0.3">
      <c r="A6150" s="1">
        <v>45244</v>
      </c>
      <c r="B6150" s="2" t="s">
        <v>240</v>
      </c>
      <c r="C6150" s="2" t="s">
        <v>38</v>
      </c>
      <c r="D6150" s="2" t="s">
        <v>10</v>
      </c>
      <c r="E6150" s="2" t="s">
        <v>11</v>
      </c>
      <c r="F6150" s="2">
        <v>16.45</v>
      </c>
      <c r="G6150" s="2">
        <v>5</v>
      </c>
      <c r="H6150" s="2">
        <v>7.57</v>
      </c>
      <c r="I6150" t="str">
        <f t="shared" si="96"/>
        <v>Nov</v>
      </c>
      <c r="J6150">
        <f>YEAR(datas[[#This Row],[Order Date]])</f>
        <v>2023</v>
      </c>
    </row>
    <row r="6151" spans="1:10" ht="14.25" customHeight="1" x14ac:dyDescent="0.3">
      <c r="A6151" s="1">
        <v>45244</v>
      </c>
      <c r="B6151" s="2" t="s">
        <v>240</v>
      </c>
      <c r="C6151" s="2" t="s">
        <v>38</v>
      </c>
      <c r="D6151" s="2" t="s">
        <v>26</v>
      </c>
      <c r="E6151" s="2" t="s">
        <v>32</v>
      </c>
      <c r="F6151" s="2">
        <v>19.920000000000002</v>
      </c>
      <c r="G6151" s="2">
        <v>4</v>
      </c>
      <c r="H6151" s="2">
        <v>6.57</v>
      </c>
      <c r="I6151" t="str">
        <f t="shared" si="96"/>
        <v>Nov</v>
      </c>
      <c r="J6151">
        <f>YEAR(datas[[#This Row],[Order Date]])</f>
        <v>2023</v>
      </c>
    </row>
    <row r="6152" spans="1:10" ht="14.25" customHeight="1" x14ac:dyDescent="0.3">
      <c r="A6152" s="1">
        <v>45244</v>
      </c>
      <c r="B6152" s="2" t="s">
        <v>431</v>
      </c>
      <c r="C6152" s="2" t="s">
        <v>215</v>
      </c>
      <c r="D6152" s="2" t="s">
        <v>28</v>
      </c>
      <c r="E6152" s="2" t="s">
        <v>29</v>
      </c>
      <c r="F6152" s="2">
        <v>89.97</v>
      </c>
      <c r="G6152" s="2">
        <v>3</v>
      </c>
      <c r="H6152" s="2">
        <v>25.19</v>
      </c>
      <c r="I6152" t="str">
        <f t="shared" si="96"/>
        <v>Nov</v>
      </c>
      <c r="J6152">
        <f>YEAR(datas[[#This Row],[Order Date]])</f>
        <v>2023</v>
      </c>
    </row>
    <row r="6153" spans="1:10" ht="14.25" customHeight="1" x14ac:dyDescent="0.3">
      <c r="A6153" s="1">
        <v>45244</v>
      </c>
      <c r="B6153" s="2" t="s">
        <v>8</v>
      </c>
      <c r="C6153" s="2" t="s">
        <v>75</v>
      </c>
      <c r="D6153" s="2" t="s">
        <v>28</v>
      </c>
      <c r="E6153" s="2" t="s">
        <v>29</v>
      </c>
      <c r="F6153" s="2">
        <v>13.98</v>
      </c>
      <c r="G6153" s="2">
        <v>2</v>
      </c>
      <c r="H6153" s="2">
        <v>3.91</v>
      </c>
      <c r="I6153" t="str">
        <f t="shared" si="96"/>
        <v>Nov</v>
      </c>
      <c r="J6153">
        <f>YEAR(datas[[#This Row],[Order Date]])</f>
        <v>2023</v>
      </c>
    </row>
    <row r="6154" spans="1:10" ht="14.25" customHeight="1" x14ac:dyDescent="0.3">
      <c r="A6154" s="1">
        <v>45244</v>
      </c>
      <c r="B6154" s="2" t="s">
        <v>8</v>
      </c>
      <c r="C6154" s="2" t="s">
        <v>75</v>
      </c>
      <c r="D6154" s="2" t="s">
        <v>10</v>
      </c>
      <c r="E6154" s="2" t="s">
        <v>19</v>
      </c>
      <c r="F6154" s="2">
        <v>23.65</v>
      </c>
      <c r="G6154" s="2">
        <v>1</v>
      </c>
      <c r="H6154" s="2">
        <v>6.15</v>
      </c>
      <c r="I6154" t="str">
        <f t="shared" si="96"/>
        <v>Nov</v>
      </c>
      <c r="J6154">
        <f>YEAR(datas[[#This Row],[Order Date]])</f>
        <v>2023</v>
      </c>
    </row>
    <row r="6155" spans="1:10" ht="14.25" customHeight="1" x14ac:dyDescent="0.3">
      <c r="A6155" s="1">
        <v>45245</v>
      </c>
      <c r="B6155" s="2" t="s">
        <v>733</v>
      </c>
      <c r="C6155" s="2" t="s">
        <v>21</v>
      </c>
      <c r="D6155" s="2" t="s">
        <v>28</v>
      </c>
      <c r="E6155" s="2" t="s">
        <v>34</v>
      </c>
      <c r="F6155" s="2">
        <v>99.39</v>
      </c>
      <c r="G6155" s="2">
        <v>3</v>
      </c>
      <c r="H6155" s="2">
        <v>40.75</v>
      </c>
      <c r="I6155" t="str">
        <f t="shared" si="96"/>
        <v>Nov</v>
      </c>
      <c r="J6155">
        <f>YEAR(datas[[#This Row],[Order Date]])</f>
        <v>2023</v>
      </c>
    </row>
    <row r="6156" spans="1:10" ht="14.25" customHeight="1" x14ac:dyDescent="0.3">
      <c r="A6156" s="1">
        <v>45245</v>
      </c>
      <c r="B6156" s="2" t="s">
        <v>686</v>
      </c>
      <c r="C6156" s="2" t="s">
        <v>21</v>
      </c>
      <c r="D6156" s="2" t="s">
        <v>10</v>
      </c>
      <c r="E6156" s="2" t="s">
        <v>16</v>
      </c>
      <c r="F6156" s="2">
        <v>1016.79</v>
      </c>
      <c r="G6156" s="2">
        <v>1</v>
      </c>
      <c r="H6156" s="2">
        <v>381.3</v>
      </c>
      <c r="I6156" t="str">
        <f t="shared" si="96"/>
        <v>Nov</v>
      </c>
      <c r="J6156">
        <f>YEAR(datas[[#This Row],[Order Date]])</f>
        <v>2023</v>
      </c>
    </row>
    <row r="6157" spans="1:10" ht="14.25" customHeight="1" x14ac:dyDescent="0.3">
      <c r="A6157" s="1">
        <v>45245</v>
      </c>
      <c r="B6157" s="2" t="s">
        <v>686</v>
      </c>
      <c r="C6157" s="2" t="s">
        <v>21</v>
      </c>
      <c r="D6157" s="2" t="s">
        <v>10</v>
      </c>
      <c r="E6157" s="2" t="s">
        <v>16</v>
      </c>
      <c r="F6157" s="2">
        <v>38.14</v>
      </c>
      <c r="G6157" s="2">
        <v>7</v>
      </c>
      <c r="H6157" s="2">
        <v>13.35</v>
      </c>
      <c r="I6157" t="str">
        <f t="shared" si="96"/>
        <v>Nov</v>
      </c>
      <c r="J6157">
        <f>YEAR(datas[[#This Row],[Order Date]])</f>
        <v>2023</v>
      </c>
    </row>
    <row r="6158" spans="1:10" ht="14.25" customHeight="1" x14ac:dyDescent="0.3">
      <c r="A6158" s="1">
        <v>45245</v>
      </c>
      <c r="B6158" s="2" t="s">
        <v>183</v>
      </c>
      <c r="C6158" s="2" t="s">
        <v>21</v>
      </c>
      <c r="D6158" s="2" t="s">
        <v>28</v>
      </c>
      <c r="E6158" s="2" t="s">
        <v>29</v>
      </c>
      <c r="F6158" s="2">
        <v>361.38</v>
      </c>
      <c r="G6158" s="2">
        <v>2</v>
      </c>
      <c r="H6158" s="2">
        <v>27.1</v>
      </c>
      <c r="I6158" t="str">
        <f t="shared" si="96"/>
        <v>Nov</v>
      </c>
      <c r="J6158">
        <f>YEAR(datas[[#This Row],[Order Date]])</f>
        <v>2023</v>
      </c>
    </row>
    <row r="6159" spans="1:10" ht="14.25" customHeight="1" x14ac:dyDescent="0.3">
      <c r="A6159" s="1">
        <v>45245</v>
      </c>
      <c r="B6159" s="2" t="s">
        <v>473</v>
      </c>
      <c r="C6159" s="2" t="s">
        <v>115</v>
      </c>
      <c r="D6159" s="2" t="s">
        <v>26</v>
      </c>
      <c r="E6159" s="2" t="s">
        <v>73</v>
      </c>
      <c r="F6159" s="2">
        <v>630.02</v>
      </c>
      <c r="G6159" s="2">
        <v>4</v>
      </c>
      <c r="H6159" s="2">
        <v>-199.51</v>
      </c>
      <c r="I6159" t="str">
        <f t="shared" si="96"/>
        <v>Nov</v>
      </c>
      <c r="J6159">
        <f>YEAR(datas[[#This Row],[Order Date]])</f>
        <v>2023</v>
      </c>
    </row>
    <row r="6160" spans="1:10" ht="14.25" customHeight="1" x14ac:dyDescent="0.3">
      <c r="A6160" s="1">
        <v>45246</v>
      </c>
      <c r="B6160" s="2" t="s">
        <v>191</v>
      </c>
      <c r="C6160" s="2" t="s">
        <v>167</v>
      </c>
      <c r="D6160" s="2" t="s">
        <v>10</v>
      </c>
      <c r="E6160" s="2" t="s">
        <v>41</v>
      </c>
      <c r="F6160" s="2">
        <v>28.4</v>
      </c>
      <c r="G6160" s="2">
        <v>5</v>
      </c>
      <c r="H6160" s="2">
        <v>13.35</v>
      </c>
      <c r="I6160" t="str">
        <f t="shared" si="96"/>
        <v>Nov</v>
      </c>
      <c r="J6160">
        <f>YEAR(datas[[#This Row],[Order Date]])</f>
        <v>2023</v>
      </c>
    </row>
    <row r="6161" spans="1:10" ht="14.25" customHeight="1" x14ac:dyDescent="0.3">
      <c r="A6161" s="1">
        <v>45246</v>
      </c>
      <c r="B6161" s="2" t="s">
        <v>65</v>
      </c>
      <c r="C6161" s="2" t="s">
        <v>21</v>
      </c>
      <c r="D6161" s="2" t="s">
        <v>10</v>
      </c>
      <c r="E6161" s="2" t="s">
        <v>16</v>
      </c>
      <c r="F6161" s="2">
        <v>8.32</v>
      </c>
      <c r="G6161" s="2">
        <v>5</v>
      </c>
      <c r="H6161" s="2">
        <v>2.81</v>
      </c>
      <c r="I6161" t="str">
        <f t="shared" si="96"/>
        <v>Nov</v>
      </c>
      <c r="J6161">
        <f>YEAR(datas[[#This Row],[Order Date]])</f>
        <v>2023</v>
      </c>
    </row>
    <row r="6162" spans="1:10" ht="14.25" customHeight="1" x14ac:dyDescent="0.3">
      <c r="A6162" s="1">
        <v>45247</v>
      </c>
      <c r="B6162" s="2" t="s">
        <v>459</v>
      </c>
      <c r="C6162" s="2" t="s">
        <v>167</v>
      </c>
      <c r="D6162" s="2" t="s">
        <v>10</v>
      </c>
      <c r="E6162" s="2" t="s">
        <v>16</v>
      </c>
      <c r="F6162" s="2">
        <v>10.78</v>
      </c>
      <c r="G6162" s="2">
        <v>3</v>
      </c>
      <c r="H6162" s="2">
        <v>3.37</v>
      </c>
      <c r="I6162" t="str">
        <f t="shared" si="96"/>
        <v>Nov</v>
      </c>
      <c r="J6162">
        <f>YEAR(datas[[#This Row],[Order Date]])</f>
        <v>2023</v>
      </c>
    </row>
    <row r="6163" spans="1:10" ht="14.25" customHeight="1" x14ac:dyDescent="0.3">
      <c r="A6163" s="1">
        <v>45247</v>
      </c>
      <c r="B6163" s="2" t="s">
        <v>569</v>
      </c>
      <c r="C6163" s="2" t="s">
        <v>9</v>
      </c>
      <c r="D6163" s="2" t="s">
        <v>28</v>
      </c>
      <c r="E6163" s="2" t="s">
        <v>29</v>
      </c>
      <c r="F6163" s="2">
        <v>67.180000000000007</v>
      </c>
      <c r="G6163" s="2">
        <v>3</v>
      </c>
      <c r="H6163" s="2">
        <v>6.72</v>
      </c>
      <c r="I6163" t="str">
        <f t="shared" si="96"/>
        <v>Nov</v>
      </c>
      <c r="J6163">
        <f>YEAR(datas[[#This Row],[Order Date]])</f>
        <v>2023</v>
      </c>
    </row>
    <row r="6164" spans="1:10" ht="14.25" customHeight="1" x14ac:dyDescent="0.3">
      <c r="A6164" s="1">
        <v>45247</v>
      </c>
      <c r="B6164" s="2" t="s">
        <v>569</v>
      </c>
      <c r="C6164" s="2" t="s">
        <v>9</v>
      </c>
      <c r="D6164" s="2" t="s">
        <v>10</v>
      </c>
      <c r="E6164" s="2" t="s">
        <v>11</v>
      </c>
      <c r="F6164" s="2">
        <v>15.23</v>
      </c>
      <c r="G6164" s="2">
        <v>4</v>
      </c>
      <c r="H6164" s="2">
        <v>5.52</v>
      </c>
      <c r="I6164" t="str">
        <f t="shared" si="96"/>
        <v>Nov</v>
      </c>
      <c r="J6164">
        <f>YEAR(datas[[#This Row],[Order Date]])</f>
        <v>2023</v>
      </c>
    </row>
    <row r="6165" spans="1:10" ht="14.25" customHeight="1" x14ac:dyDescent="0.3">
      <c r="A6165" s="1">
        <v>45247</v>
      </c>
      <c r="B6165" s="2" t="s">
        <v>703</v>
      </c>
      <c r="C6165" s="2" t="s">
        <v>21</v>
      </c>
      <c r="D6165" s="2" t="s">
        <v>10</v>
      </c>
      <c r="E6165" s="2" t="s">
        <v>95</v>
      </c>
      <c r="F6165" s="2">
        <v>49.5</v>
      </c>
      <c r="G6165" s="2">
        <v>5</v>
      </c>
      <c r="H6165" s="2">
        <v>13.37</v>
      </c>
      <c r="I6165" t="str">
        <f t="shared" si="96"/>
        <v>Nov</v>
      </c>
      <c r="J6165">
        <f>YEAR(datas[[#This Row],[Order Date]])</f>
        <v>2023</v>
      </c>
    </row>
    <row r="6166" spans="1:10" ht="14.25" customHeight="1" x14ac:dyDescent="0.3">
      <c r="A6166" s="1">
        <v>45248</v>
      </c>
      <c r="B6166" s="2" t="s">
        <v>367</v>
      </c>
      <c r="C6166" s="2" t="s">
        <v>329</v>
      </c>
      <c r="D6166" s="2" t="s">
        <v>10</v>
      </c>
      <c r="E6166" s="2" t="s">
        <v>15</v>
      </c>
      <c r="F6166" s="2">
        <v>1117.92</v>
      </c>
      <c r="G6166" s="2">
        <v>4</v>
      </c>
      <c r="H6166" s="2">
        <v>55.9</v>
      </c>
      <c r="I6166" t="str">
        <f t="shared" si="96"/>
        <v>Nov</v>
      </c>
      <c r="J6166">
        <f>YEAR(datas[[#This Row],[Order Date]])</f>
        <v>2023</v>
      </c>
    </row>
    <row r="6167" spans="1:10" ht="14.25" customHeight="1" x14ac:dyDescent="0.3">
      <c r="A6167" s="1">
        <v>45248</v>
      </c>
      <c r="B6167" s="2" t="s">
        <v>254</v>
      </c>
      <c r="C6167" s="2" t="s">
        <v>9</v>
      </c>
      <c r="D6167" s="2" t="s">
        <v>10</v>
      </c>
      <c r="E6167" s="2" t="s">
        <v>19</v>
      </c>
      <c r="F6167" s="2">
        <v>6.37</v>
      </c>
      <c r="G6167" s="2">
        <v>2</v>
      </c>
      <c r="H6167" s="2">
        <v>1.03</v>
      </c>
      <c r="I6167" t="str">
        <f t="shared" si="96"/>
        <v>Nov</v>
      </c>
      <c r="J6167">
        <f>YEAR(datas[[#This Row],[Order Date]])</f>
        <v>2023</v>
      </c>
    </row>
    <row r="6168" spans="1:10" ht="14.25" customHeight="1" x14ac:dyDescent="0.3">
      <c r="A6168" s="1">
        <v>45248</v>
      </c>
      <c r="B6168" s="2" t="s">
        <v>254</v>
      </c>
      <c r="C6168" s="2" t="s">
        <v>9</v>
      </c>
      <c r="D6168" s="2" t="s">
        <v>10</v>
      </c>
      <c r="E6168" s="2" t="s">
        <v>14</v>
      </c>
      <c r="F6168" s="2">
        <v>48.85</v>
      </c>
      <c r="G6168" s="2">
        <v>2</v>
      </c>
      <c r="H6168" s="2">
        <v>15.88</v>
      </c>
      <c r="I6168" t="str">
        <f t="shared" si="96"/>
        <v>Nov</v>
      </c>
      <c r="J6168">
        <f>YEAR(datas[[#This Row],[Order Date]])</f>
        <v>2023</v>
      </c>
    </row>
    <row r="6169" spans="1:10" ht="14.25" customHeight="1" x14ac:dyDescent="0.3">
      <c r="A6169" s="1">
        <v>45248</v>
      </c>
      <c r="B6169" s="2" t="s">
        <v>254</v>
      </c>
      <c r="C6169" s="2" t="s">
        <v>9</v>
      </c>
      <c r="D6169" s="2" t="s">
        <v>10</v>
      </c>
      <c r="E6169" s="2" t="s">
        <v>11</v>
      </c>
      <c r="F6169" s="2">
        <v>19.649999999999999</v>
      </c>
      <c r="G6169" s="2">
        <v>2</v>
      </c>
      <c r="H6169" s="2">
        <v>6.63</v>
      </c>
      <c r="I6169" t="str">
        <f t="shared" si="96"/>
        <v>Nov</v>
      </c>
      <c r="J6169">
        <f>YEAR(datas[[#This Row],[Order Date]])</f>
        <v>2023</v>
      </c>
    </row>
    <row r="6170" spans="1:10" ht="14.25" customHeight="1" x14ac:dyDescent="0.3">
      <c r="A6170" s="1">
        <v>45248</v>
      </c>
      <c r="B6170" s="2" t="s">
        <v>254</v>
      </c>
      <c r="C6170" s="2" t="s">
        <v>9</v>
      </c>
      <c r="D6170" s="2" t="s">
        <v>26</v>
      </c>
      <c r="E6170" s="2" t="s">
        <v>27</v>
      </c>
      <c r="F6170" s="2">
        <v>255.11</v>
      </c>
      <c r="G6170" s="2">
        <v>6</v>
      </c>
      <c r="H6170" s="2">
        <v>-18.22</v>
      </c>
      <c r="I6170" t="str">
        <f t="shared" si="96"/>
        <v>Nov</v>
      </c>
      <c r="J6170">
        <f>YEAR(datas[[#This Row],[Order Date]])</f>
        <v>2023</v>
      </c>
    </row>
    <row r="6171" spans="1:10" ht="14.25" customHeight="1" x14ac:dyDescent="0.3">
      <c r="A6171" s="1">
        <v>45248</v>
      </c>
      <c r="B6171" s="2" t="s">
        <v>257</v>
      </c>
      <c r="C6171" s="2" t="s">
        <v>47</v>
      </c>
      <c r="D6171" s="2" t="s">
        <v>10</v>
      </c>
      <c r="E6171" s="2" t="s">
        <v>53</v>
      </c>
      <c r="F6171" s="2">
        <v>103.97</v>
      </c>
      <c r="G6171" s="2">
        <v>6</v>
      </c>
      <c r="H6171" s="2">
        <v>16.89</v>
      </c>
      <c r="I6171" t="str">
        <f t="shared" si="96"/>
        <v>Nov</v>
      </c>
      <c r="J6171">
        <f>YEAR(datas[[#This Row],[Order Date]])</f>
        <v>2023</v>
      </c>
    </row>
    <row r="6172" spans="1:10" ht="14.25" customHeight="1" x14ac:dyDescent="0.3">
      <c r="A6172" s="1">
        <v>45248</v>
      </c>
      <c r="B6172" s="2" t="s">
        <v>564</v>
      </c>
      <c r="C6172" s="2" t="s">
        <v>21</v>
      </c>
      <c r="D6172" s="2" t="s">
        <v>28</v>
      </c>
      <c r="E6172" s="2" t="s">
        <v>29</v>
      </c>
      <c r="F6172" s="2">
        <v>61.19</v>
      </c>
      <c r="G6172" s="2">
        <v>1</v>
      </c>
      <c r="H6172" s="2">
        <v>6.12</v>
      </c>
      <c r="I6172" t="str">
        <f t="shared" si="96"/>
        <v>Nov</v>
      </c>
      <c r="J6172">
        <f>YEAR(datas[[#This Row],[Order Date]])</f>
        <v>2023</v>
      </c>
    </row>
    <row r="6173" spans="1:10" ht="14.25" customHeight="1" x14ac:dyDescent="0.3">
      <c r="A6173" s="1">
        <v>45248</v>
      </c>
      <c r="B6173" s="2" t="s">
        <v>564</v>
      </c>
      <c r="C6173" s="2" t="s">
        <v>21</v>
      </c>
      <c r="D6173" s="2" t="s">
        <v>10</v>
      </c>
      <c r="E6173" s="2" t="s">
        <v>53</v>
      </c>
      <c r="F6173" s="2">
        <v>67.84</v>
      </c>
      <c r="G6173" s="2">
        <v>1</v>
      </c>
      <c r="H6173" s="2">
        <v>18.32</v>
      </c>
      <c r="I6173" t="str">
        <f t="shared" si="96"/>
        <v>Nov</v>
      </c>
      <c r="J6173">
        <f>YEAR(datas[[#This Row],[Order Date]])</f>
        <v>2023</v>
      </c>
    </row>
    <row r="6174" spans="1:10" ht="14.25" customHeight="1" x14ac:dyDescent="0.3">
      <c r="A6174" s="1">
        <v>45248</v>
      </c>
      <c r="B6174" s="2" t="s">
        <v>114</v>
      </c>
      <c r="C6174" s="2" t="s">
        <v>60</v>
      </c>
      <c r="D6174" s="2" t="s">
        <v>26</v>
      </c>
      <c r="E6174" s="2" t="s">
        <v>27</v>
      </c>
      <c r="F6174" s="2">
        <v>301.95999999999998</v>
      </c>
      <c r="G6174" s="2">
        <v>2</v>
      </c>
      <c r="H6174" s="2">
        <v>33.22</v>
      </c>
      <c r="I6174" t="str">
        <f t="shared" si="96"/>
        <v>Nov</v>
      </c>
      <c r="J6174">
        <f>YEAR(datas[[#This Row],[Order Date]])</f>
        <v>2023</v>
      </c>
    </row>
    <row r="6175" spans="1:10" ht="14.25" customHeight="1" x14ac:dyDescent="0.3">
      <c r="A6175" s="1">
        <v>45248</v>
      </c>
      <c r="B6175" s="2" t="s">
        <v>455</v>
      </c>
      <c r="C6175" s="2" t="s">
        <v>198</v>
      </c>
      <c r="D6175" s="2" t="s">
        <v>28</v>
      </c>
      <c r="E6175" s="2" t="s">
        <v>34</v>
      </c>
      <c r="F6175" s="2">
        <v>1319.96</v>
      </c>
      <c r="G6175" s="2">
        <v>4</v>
      </c>
      <c r="H6175" s="2">
        <v>527.98</v>
      </c>
      <c r="I6175" t="str">
        <f t="shared" si="96"/>
        <v>Nov</v>
      </c>
      <c r="J6175">
        <f>YEAR(datas[[#This Row],[Order Date]])</f>
        <v>2023</v>
      </c>
    </row>
    <row r="6176" spans="1:10" ht="14.25" customHeight="1" x14ac:dyDescent="0.3">
      <c r="A6176" s="1">
        <v>45248</v>
      </c>
      <c r="B6176" s="2" t="s">
        <v>256</v>
      </c>
      <c r="C6176" s="2" t="s">
        <v>21</v>
      </c>
      <c r="D6176" s="2" t="s">
        <v>28</v>
      </c>
      <c r="E6176" s="2" t="s">
        <v>34</v>
      </c>
      <c r="F6176" s="2">
        <v>595</v>
      </c>
      <c r="G6176" s="2">
        <v>5</v>
      </c>
      <c r="H6176" s="2">
        <v>95.2</v>
      </c>
      <c r="I6176" t="str">
        <f t="shared" si="96"/>
        <v>Nov</v>
      </c>
      <c r="J6176">
        <f>YEAR(datas[[#This Row],[Order Date]])</f>
        <v>2023</v>
      </c>
    </row>
    <row r="6177" spans="1:10" ht="14.25" customHeight="1" x14ac:dyDescent="0.3">
      <c r="A6177" s="1">
        <v>45248</v>
      </c>
      <c r="B6177" s="2" t="s">
        <v>811</v>
      </c>
      <c r="C6177" s="2" t="s">
        <v>21</v>
      </c>
      <c r="D6177" s="2" t="s">
        <v>10</v>
      </c>
      <c r="E6177" s="2" t="s">
        <v>16</v>
      </c>
      <c r="F6177" s="2">
        <v>61.12</v>
      </c>
      <c r="G6177" s="2">
        <v>5</v>
      </c>
      <c r="H6177" s="2">
        <v>22.16</v>
      </c>
      <c r="I6177" t="str">
        <f t="shared" si="96"/>
        <v>Nov</v>
      </c>
      <c r="J6177">
        <f>YEAR(datas[[#This Row],[Order Date]])</f>
        <v>2023</v>
      </c>
    </row>
    <row r="6178" spans="1:10" ht="14.25" customHeight="1" x14ac:dyDescent="0.3">
      <c r="A6178" s="1">
        <v>45249</v>
      </c>
      <c r="B6178" s="2" t="s">
        <v>798</v>
      </c>
      <c r="C6178" s="2" t="s">
        <v>75</v>
      </c>
      <c r="D6178" s="2" t="s">
        <v>10</v>
      </c>
      <c r="E6178" s="2" t="s">
        <v>16</v>
      </c>
      <c r="F6178" s="2">
        <v>14.35</v>
      </c>
      <c r="G6178" s="2">
        <v>3</v>
      </c>
      <c r="H6178" s="2">
        <v>4.66</v>
      </c>
      <c r="I6178" t="str">
        <f t="shared" si="96"/>
        <v>Nov</v>
      </c>
      <c r="J6178">
        <f>YEAR(datas[[#This Row],[Order Date]])</f>
        <v>2023</v>
      </c>
    </row>
    <row r="6179" spans="1:10" ht="14.25" customHeight="1" x14ac:dyDescent="0.3">
      <c r="A6179" s="1">
        <v>45249</v>
      </c>
      <c r="B6179" s="2" t="s">
        <v>798</v>
      </c>
      <c r="C6179" s="2" t="s">
        <v>75</v>
      </c>
      <c r="D6179" s="2" t="s">
        <v>10</v>
      </c>
      <c r="E6179" s="2" t="s">
        <v>15</v>
      </c>
      <c r="F6179" s="2">
        <v>64.959999999999994</v>
      </c>
      <c r="G6179" s="2">
        <v>2</v>
      </c>
      <c r="H6179" s="2">
        <v>2.6</v>
      </c>
      <c r="I6179" t="str">
        <f t="shared" si="96"/>
        <v>Nov</v>
      </c>
      <c r="J6179">
        <f>YEAR(datas[[#This Row],[Order Date]])</f>
        <v>2023</v>
      </c>
    </row>
    <row r="6180" spans="1:10" ht="14.25" customHeight="1" x14ac:dyDescent="0.3">
      <c r="A6180" s="1">
        <v>45249</v>
      </c>
      <c r="B6180" s="2" t="s">
        <v>798</v>
      </c>
      <c r="C6180" s="2" t="s">
        <v>75</v>
      </c>
      <c r="D6180" s="2" t="s">
        <v>10</v>
      </c>
      <c r="E6180" s="2" t="s">
        <v>15</v>
      </c>
      <c r="F6180" s="2">
        <v>68.599999999999994</v>
      </c>
      <c r="G6180" s="2">
        <v>4</v>
      </c>
      <c r="H6180" s="2">
        <v>18.52</v>
      </c>
      <c r="I6180" t="str">
        <f t="shared" si="96"/>
        <v>Nov</v>
      </c>
      <c r="J6180">
        <f>YEAR(datas[[#This Row],[Order Date]])</f>
        <v>2023</v>
      </c>
    </row>
    <row r="6181" spans="1:10" ht="14.25" customHeight="1" x14ac:dyDescent="0.3">
      <c r="A6181" s="1">
        <v>45249</v>
      </c>
      <c r="B6181" s="2" t="s">
        <v>349</v>
      </c>
      <c r="C6181" s="2" t="s">
        <v>9</v>
      </c>
      <c r="D6181" s="2" t="s">
        <v>10</v>
      </c>
      <c r="E6181" s="2" t="s">
        <v>15</v>
      </c>
      <c r="F6181" s="2">
        <v>100.7</v>
      </c>
      <c r="G6181" s="2">
        <v>6</v>
      </c>
      <c r="H6181" s="2">
        <v>-16.36</v>
      </c>
      <c r="I6181" t="str">
        <f t="shared" si="96"/>
        <v>Nov</v>
      </c>
      <c r="J6181">
        <f>YEAR(datas[[#This Row],[Order Date]])</f>
        <v>2023</v>
      </c>
    </row>
    <row r="6182" spans="1:10" ht="14.25" customHeight="1" x14ac:dyDescent="0.3">
      <c r="A6182" s="1">
        <v>45249</v>
      </c>
      <c r="B6182" s="2" t="s">
        <v>349</v>
      </c>
      <c r="C6182" s="2" t="s">
        <v>9</v>
      </c>
      <c r="D6182" s="2" t="s">
        <v>26</v>
      </c>
      <c r="E6182" s="2" t="s">
        <v>32</v>
      </c>
      <c r="F6182" s="2">
        <v>2.33</v>
      </c>
      <c r="G6182" s="2">
        <v>2</v>
      </c>
      <c r="H6182" s="2">
        <v>-0.76</v>
      </c>
      <c r="I6182" t="str">
        <f t="shared" si="96"/>
        <v>Nov</v>
      </c>
      <c r="J6182">
        <f>YEAR(datas[[#This Row],[Order Date]])</f>
        <v>2023</v>
      </c>
    </row>
    <row r="6183" spans="1:10" ht="14.25" customHeight="1" x14ac:dyDescent="0.3">
      <c r="A6183" s="1">
        <v>45249</v>
      </c>
      <c r="B6183" s="2" t="s">
        <v>349</v>
      </c>
      <c r="C6183" s="2" t="s">
        <v>9</v>
      </c>
      <c r="D6183" s="2" t="s">
        <v>10</v>
      </c>
      <c r="E6183" s="2" t="s">
        <v>16</v>
      </c>
      <c r="F6183" s="2">
        <v>10.78</v>
      </c>
      <c r="G6183" s="2">
        <v>5</v>
      </c>
      <c r="H6183" s="2">
        <v>-17.25</v>
      </c>
      <c r="I6183" t="str">
        <f t="shared" si="96"/>
        <v>Nov</v>
      </c>
      <c r="J6183">
        <f>YEAR(datas[[#This Row],[Order Date]])</f>
        <v>2023</v>
      </c>
    </row>
    <row r="6184" spans="1:10" ht="14.25" customHeight="1" x14ac:dyDescent="0.3">
      <c r="A6184" s="1">
        <v>45249</v>
      </c>
      <c r="B6184" s="2" t="s">
        <v>349</v>
      </c>
      <c r="C6184" s="2" t="s">
        <v>9</v>
      </c>
      <c r="D6184" s="2" t="s">
        <v>10</v>
      </c>
      <c r="E6184" s="2" t="s">
        <v>30</v>
      </c>
      <c r="F6184" s="2">
        <v>58.37</v>
      </c>
      <c r="G6184" s="2">
        <v>12</v>
      </c>
      <c r="H6184" s="2">
        <v>21.89</v>
      </c>
      <c r="I6184" t="str">
        <f t="shared" si="96"/>
        <v>Nov</v>
      </c>
      <c r="J6184">
        <f>YEAR(datas[[#This Row],[Order Date]])</f>
        <v>2023</v>
      </c>
    </row>
    <row r="6185" spans="1:10" ht="14.25" customHeight="1" x14ac:dyDescent="0.3">
      <c r="A6185" s="1">
        <v>45249</v>
      </c>
      <c r="B6185" s="2" t="s">
        <v>349</v>
      </c>
      <c r="C6185" s="2" t="s">
        <v>9</v>
      </c>
      <c r="D6185" s="2" t="s">
        <v>10</v>
      </c>
      <c r="E6185" s="2" t="s">
        <v>41</v>
      </c>
      <c r="F6185" s="2">
        <v>40.97</v>
      </c>
      <c r="G6185" s="2">
        <v>3</v>
      </c>
      <c r="H6185" s="2">
        <v>13.83</v>
      </c>
      <c r="I6185" t="str">
        <f t="shared" si="96"/>
        <v>Nov</v>
      </c>
      <c r="J6185">
        <f>YEAR(datas[[#This Row],[Order Date]])</f>
        <v>2023</v>
      </c>
    </row>
    <row r="6186" spans="1:10" ht="14.25" customHeight="1" x14ac:dyDescent="0.3">
      <c r="A6186" s="1">
        <v>45249</v>
      </c>
      <c r="B6186" s="2" t="s">
        <v>349</v>
      </c>
      <c r="C6186" s="2" t="s">
        <v>9</v>
      </c>
      <c r="D6186" s="2" t="s">
        <v>28</v>
      </c>
      <c r="E6186" s="2" t="s">
        <v>29</v>
      </c>
      <c r="F6186" s="2">
        <v>71.959999999999994</v>
      </c>
      <c r="G6186" s="2">
        <v>5</v>
      </c>
      <c r="H6186" s="2">
        <v>25.19</v>
      </c>
      <c r="I6186" t="str">
        <f t="shared" si="96"/>
        <v>Nov</v>
      </c>
      <c r="J6186">
        <f>YEAR(datas[[#This Row],[Order Date]])</f>
        <v>2023</v>
      </c>
    </row>
    <row r="6187" spans="1:10" ht="14.25" customHeight="1" x14ac:dyDescent="0.3">
      <c r="A6187" s="1">
        <v>45249</v>
      </c>
      <c r="B6187" s="2" t="s">
        <v>349</v>
      </c>
      <c r="C6187" s="2" t="s">
        <v>9</v>
      </c>
      <c r="D6187" s="2" t="s">
        <v>10</v>
      </c>
      <c r="E6187" s="2" t="s">
        <v>11</v>
      </c>
      <c r="F6187" s="2">
        <v>10.37</v>
      </c>
      <c r="G6187" s="2">
        <v>2</v>
      </c>
      <c r="H6187" s="2">
        <v>3.63</v>
      </c>
      <c r="I6187" t="str">
        <f t="shared" si="96"/>
        <v>Nov</v>
      </c>
      <c r="J6187">
        <f>YEAR(datas[[#This Row],[Order Date]])</f>
        <v>2023</v>
      </c>
    </row>
    <row r="6188" spans="1:10" ht="14.25" customHeight="1" x14ac:dyDescent="0.3">
      <c r="A6188" s="1">
        <v>45249</v>
      </c>
      <c r="B6188" s="2" t="s">
        <v>349</v>
      </c>
      <c r="C6188" s="2" t="s">
        <v>9</v>
      </c>
      <c r="D6188" s="2" t="s">
        <v>10</v>
      </c>
      <c r="E6188" s="2" t="s">
        <v>16</v>
      </c>
      <c r="F6188" s="2">
        <v>1.19</v>
      </c>
      <c r="G6188" s="2">
        <v>2</v>
      </c>
      <c r="H6188" s="2">
        <v>-2.0299999999999998</v>
      </c>
      <c r="I6188" t="str">
        <f t="shared" si="96"/>
        <v>Nov</v>
      </c>
      <c r="J6188">
        <f>YEAR(datas[[#This Row],[Order Date]])</f>
        <v>2023</v>
      </c>
    </row>
    <row r="6189" spans="1:10" ht="14.25" customHeight="1" x14ac:dyDescent="0.3">
      <c r="A6189" s="1">
        <v>45249</v>
      </c>
      <c r="B6189" s="2" t="s">
        <v>122</v>
      </c>
      <c r="C6189" s="2" t="s">
        <v>75</v>
      </c>
      <c r="D6189" s="2" t="s">
        <v>10</v>
      </c>
      <c r="E6189" s="2" t="s">
        <v>19</v>
      </c>
      <c r="F6189" s="2">
        <v>17.28</v>
      </c>
      <c r="G6189" s="2">
        <v>6</v>
      </c>
      <c r="H6189" s="2">
        <v>5.01</v>
      </c>
      <c r="I6189" t="str">
        <f t="shared" si="96"/>
        <v>Nov</v>
      </c>
      <c r="J6189">
        <f>YEAR(datas[[#This Row],[Order Date]])</f>
        <v>2023</v>
      </c>
    </row>
    <row r="6190" spans="1:10" ht="14.25" customHeight="1" x14ac:dyDescent="0.3">
      <c r="A6190" s="1">
        <v>45249</v>
      </c>
      <c r="B6190" s="2" t="s">
        <v>122</v>
      </c>
      <c r="C6190" s="2" t="s">
        <v>75</v>
      </c>
      <c r="D6190" s="2" t="s">
        <v>10</v>
      </c>
      <c r="E6190" s="2" t="s">
        <v>16</v>
      </c>
      <c r="F6190" s="2">
        <v>17.71</v>
      </c>
      <c r="G6190" s="2">
        <v>3</v>
      </c>
      <c r="H6190" s="2">
        <v>6.42</v>
      </c>
      <c r="I6190" t="str">
        <f t="shared" si="96"/>
        <v>Nov</v>
      </c>
      <c r="J6190">
        <f>YEAR(datas[[#This Row],[Order Date]])</f>
        <v>2023</v>
      </c>
    </row>
    <row r="6191" spans="1:10" ht="14.25" customHeight="1" x14ac:dyDescent="0.3">
      <c r="A6191" s="1">
        <v>45249</v>
      </c>
      <c r="B6191" s="2" t="s">
        <v>749</v>
      </c>
      <c r="C6191" s="2" t="s">
        <v>68</v>
      </c>
      <c r="D6191" s="2" t="s">
        <v>10</v>
      </c>
      <c r="E6191" s="2" t="s">
        <v>53</v>
      </c>
      <c r="F6191" s="2">
        <v>54.96</v>
      </c>
      <c r="G6191" s="2">
        <v>3</v>
      </c>
      <c r="H6191" s="2">
        <v>15.94</v>
      </c>
      <c r="I6191" t="str">
        <f t="shared" si="96"/>
        <v>Nov</v>
      </c>
      <c r="J6191">
        <f>YEAR(datas[[#This Row],[Order Date]])</f>
        <v>2023</v>
      </c>
    </row>
    <row r="6192" spans="1:10" ht="14.25" customHeight="1" x14ac:dyDescent="0.3">
      <c r="A6192" s="1">
        <v>45249</v>
      </c>
      <c r="B6192" s="2" t="s">
        <v>302</v>
      </c>
      <c r="C6192" s="2" t="s">
        <v>115</v>
      </c>
      <c r="D6192" s="2" t="s">
        <v>10</v>
      </c>
      <c r="E6192" s="2" t="s">
        <v>19</v>
      </c>
      <c r="F6192" s="2">
        <v>18.48</v>
      </c>
      <c r="G6192" s="2">
        <v>2</v>
      </c>
      <c r="H6192" s="2">
        <v>6.01</v>
      </c>
      <c r="I6192" t="str">
        <f t="shared" si="96"/>
        <v>Nov</v>
      </c>
      <c r="J6192">
        <f>YEAR(datas[[#This Row],[Order Date]])</f>
        <v>2023</v>
      </c>
    </row>
    <row r="6193" spans="1:10" ht="14.25" customHeight="1" x14ac:dyDescent="0.3">
      <c r="A6193" s="1">
        <v>45249</v>
      </c>
      <c r="B6193" s="2" t="s">
        <v>42</v>
      </c>
      <c r="C6193" s="2" t="s">
        <v>75</v>
      </c>
      <c r="D6193" s="2" t="s">
        <v>10</v>
      </c>
      <c r="E6193" s="2" t="s">
        <v>53</v>
      </c>
      <c r="F6193" s="2">
        <v>8.74</v>
      </c>
      <c r="G6193" s="2">
        <v>2</v>
      </c>
      <c r="H6193" s="2">
        <v>2.27</v>
      </c>
      <c r="I6193" t="str">
        <f t="shared" si="96"/>
        <v>Nov</v>
      </c>
      <c r="J6193">
        <f>YEAR(datas[[#This Row],[Order Date]])</f>
        <v>2023</v>
      </c>
    </row>
    <row r="6194" spans="1:10" ht="14.25" customHeight="1" x14ac:dyDescent="0.3">
      <c r="A6194" s="1">
        <v>45249</v>
      </c>
      <c r="B6194" s="2" t="s">
        <v>42</v>
      </c>
      <c r="C6194" s="2" t="s">
        <v>75</v>
      </c>
      <c r="D6194" s="2" t="s">
        <v>10</v>
      </c>
      <c r="E6194" s="2" t="s">
        <v>11</v>
      </c>
      <c r="F6194" s="2">
        <v>44.75</v>
      </c>
      <c r="G6194" s="2">
        <v>5</v>
      </c>
      <c r="H6194" s="2">
        <v>20.59</v>
      </c>
      <c r="I6194" t="str">
        <f t="shared" si="96"/>
        <v>Nov</v>
      </c>
      <c r="J6194">
        <f>YEAR(datas[[#This Row],[Order Date]])</f>
        <v>2023</v>
      </c>
    </row>
    <row r="6195" spans="1:10" ht="14.25" customHeight="1" x14ac:dyDescent="0.3">
      <c r="A6195" s="1">
        <v>45249</v>
      </c>
      <c r="B6195" s="2" t="s">
        <v>432</v>
      </c>
      <c r="C6195" s="2" t="s">
        <v>82</v>
      </c>
      <c r="D6195" s="2" t="s">
        <v>26</v>
      </c>
      <c r="E6195" s="2" t="s">
        <v>32</v>
      </c>
      <c r="F6195" s="2">
        <v>31.96</v>
      </c>
      <c r="G6195" s="2">
        <v>2</v>
      </c>
      <c r="H6195" s="2">
        <v>1.6</v>
      </c>
      <c r="I6195" t="str">
        <f t="shared" si="96"/>
        <v>Nov</v>
      </c>
      <c r="J6195">
        <f>YEAR(datas[[#This Row],[Order Date]])</f>
        <v>2023</v>
      </c>
    </row>
    <row r="6196" spans="1:10" ht="14.25" customHeight="1" x14ac:dyDescent="0.3">
      <c r="A6196" s="1">
        <v>45250</v>
      </c>
      <c r="B6196" s="2" t="s">
        <v>680</v>
      </c>
      <c r="C6196" s="2" t="s">
        <v>329</v>
      </c>
      <c r="D6196" s="2" t="s">
        <v>10</v>
      </c>
      <c r="E6196" s="2" t="s">
        <v>14</v>
      </c>
      <c r="F6196" s="2">
        <v>14.62</v>
      </c>
      <c r="G6196" s="2">
        <v>2</v>
      </c>
      <c r="H6196" s="2">
        <v>6.87</v>
      </c>
      <c r="I6196" t="str">
        <f t="shared" si="96"/>
        <v>Nov</v>
      </c>
      <c r="J6196">
        <f>YEAR(datas[[#This Row],[Order Date]])</f>
        <v>2023</v>
      </c>
    </row>
    <row r="6197" spans="1:10" ht="14.25" customHeight="1" x14ac:dyDescent="0.3">
      <c r="A6197" s="1">
        <v>45250</v>
      </c>
      <c r="B6197" s="2" t="s">
        <v>680</v>
      </c>
      <c r="C6197" s="2" t="s">
        <v>329</v>
      </c>
      <c r="D6197" s="2" t="s">
        <v>28</v>
      </c>
      <c r="E6197" s="2" t="s">
        <v>29</v>
      </c>
      <c r="F6197" s="2">
        <v>944.93</v>
      </c>
      <c r="G6197" s="2">
        <v>7</v>
      </c>
      <c r="H6197" s="2">
        <v>236.23</v>
      </c>
      <c r="I6197" t="str">
        <f t="shared" si="96"/>
        <v>Nov</v>
      </c>
      <c r="J6197">
        <f>YEAR(datas[[#This Row],[Order Date]])</f>
        <v>2023</v>
      </c>
    </row>
    <row r="6198" spans="1:10" ht="14.25" customHeight="1" x14ac:dyDescent="0.3">
      <c r="A6198" s="1">
        <v>45250</v>
      </c>
      <c r="B6198" s="2" t="s">
        <v>396</v>
      </c>
      <c r="C6198" s="2" t="s">
        <v>47</v>
      </c>
      <c r="D6198" s="2" t="s">
        <v>10</v>
      </c>
      <c r="E6198" s="2" t="s">
        <v>30</v>
      </c>
      <c r="F6198" s="2">
        <v>19.100000000000001</v>
      </c>
      <c r="G6198" s="2">
        <v>7</v>
      </c>
      <c r="H6198" s="2">
        <v>6.68</v>
      </c>
      <c r="I6198" t="str">
        <f t="shared" si="96"/>
        <v>Nov</v>
      </c>
      <c r="J6198">
        <f>YEAR(datas[[#This Row],[Order Date]])</f>
        <v>2023</v>
      </c>
    </row>
    <row r="6199" spans="1:10" ht="14.25" customHeight="1" x14ac:dyDescent="0.3">
      <c r="A6199" s="1">
        <v>45250</v>
      </c>
      <c r="B6199" s="2" t="s">
        <v>396</v>
      </c>
      <c r="C6199" s="2" t="s">
        <v>47</v>
      </c>
      <c r="D6199" s="2" t="s">
        <v>10</v>
      </c>
      <c r="E6199" s="2" t="s">
        <v>14</v>
      </c>
      <c r="F6199" s="2">
        <v>18.5</v>
      </c>
      <c r="G6199" s="2">
        <v>8</v>
      </c>
      <c r="H6199" s="2">
        <v>6.24</v>
      </c>
      <c r="I6199" t="str">
        <f t="shared" si="96"/>
        <v>Nov</v>
      </c>
      <c r="J6199">
        <f>YEAR(datas[[#This Row],[Order Date]])</f>
        <v>2023</v>
      </c>
    </row>
    <row r="6200" spans="1:10" ht="14.25" customHeight="1" x14ac:dyDescent="0.3">
      <c r="A6200" s="1">
        <v>45250</v>
      </c>
      <c r="B6200" s="2" t="s">
        <v>396</v>
      </c>
      <c r="C6200" s="2" t="s">
        <v>47</v>
      </c>
      <c r="D6200" s="2" t="s">
        <v>28</v>
      </c>
      <c r="E6200" s="2" t="s">
        <v>34</v>
      </c>
      <c r="F6200" s="2">
        <v>255.98</v>
      </c>
      <c r="G6200" s="2">
        <v>2</v>
      </c>
      <c r="H6200" s="2">
        <v>54.4</v>
      </c>
      <c r="I6200" t="str">
        <f t="shared" si="96"/>
        <v>Nov</v>
      </c>
      <c r="J6200">
        <f>YEAR(datas[[#This Row],[Order Date]])</f>
        <v>2023</v>
      </c>
    </row>
    <row r="6201" spans="1:10" ht="14.25" customHeight="1" x14ac:dyDescent="0.3">
      <c r="A6201" s="1">
        <v>45250</v>
      </c>
      <c r="B6201" s="2" t="s">
        <v>396</v>
      </c>
      <c r="C6201" s="2" t="s">
        <v>47</v>
      </c>
      <c r="D6201" s="2" t="s">
        <v>26</v>
      </c>
      <c r="E6201" s="2" t="s">
        <v>45</v>
      </c>
      <c r="F6201" s="2">
        <v>86.97</v>
      </c>
      <c r="G6201" s="2">
        <v>3</v>
      </c>
      <c r="H6201" s="2">
        <v>-48.7</v>
      </c>
      <c r="I6201" t="str">
        <f t="shared" si="96"/>
        <v>Nov</v>
      </c>
      <c r="J6201">
        <f>YEAR(datas[[#This Row],[Order Date]])</f>
        <v>2023</v>
      </c>
    </row>
    <row r="6202" spans="1:10" ht="14.25" customHeight="1" x14ac:dyDescent="0.3">
      <c r="A6202" s="1">
        <v>45250</v>
      </c>
      <c r="B6202" s="2" t="s">
        <v>220</v>
      </c>
      <c r="C6202" s="2" t="s">
        <v>47</v>
      </c>
      <c r="D6202" s="2" t="s">
        <v>10</v>
      </c>
      <c r="E6202" s="2" t="s">
        <v>11</v>
      </c>
      <c r="F6202" s="2">
        <v>15.7</v>
      </c>
      <c r="G6202" s="2">
        <v>3</v>
      </c>
      <c r="H6202" s="2">
        <v>5.0999999999999996</v>
      </c>
      <c r="I6202" t="str">
        <f t="shared" si="96"/>
        <v>Nov</v>
      </c>
      <c r="J6202">
        <f>YEAR(datas[[#This Row],[Order Date]])</f>
        <v>2023</v>
      </c>
    </row>
    <row r="6203" spans="1:10" ht="14.25" customHeight="1" x14ac:dyDescent="0.3">
      <c r="A6203" s="1">
        <v>45250</v>
      </c>
      <c r="B6203" s="2" t="s">
        <v>220</v>
      </c>
      <c r="C6203" s="2" t="s">
        <v>47</v>
      </c>
      <c r="D6203" s="2" t="s">
        <v>10</v>
      </c>
      <c r="E6203" s="2" t="s">
        <v>16</v>
      </c>
      <c r="F6203" s="2">
        <v>2.63</v>
      </c>
      <c r="G6203" s="2">
        <v>2</v>
      </c>
      <c r="H6203" s="2">
        <v>-1.93</v>
      </c>
      <c r="I6203" t="str">
        <f t="shared" si="96"/>
        <v>Nov</v>
      </c>
      <c r="J6203">
        <f>YEAR(datas[[#This Row],[Order Date]])</f>
        <v>2023</v>
      </c>
    </row>
    <row r="6204" spans="1:10" ht="14.25" customHeight="1" x14ac:dyDescent="0.3">
      <c r="A6204" s="1">
        <v>45250</v>
      </c>
      <c r="B6204" s="2" t="s">
        <v>220</v>
      </c>
      <c r="C6204" s="2" t="s">
        <v>47</v>
      </c>
      <c r="D6204" s="2" t="s">
        <v>10</v>
      </c>
      <c r="E6204" s="2" t="s">
        <v>16</v>
      </c>
      <c r="F6204" s="2">
        <v>14.43</v>
      </c>
      <c r="G6204" s="2">
        <v>3</v>
      </c>
      <c r="H6204" s="2">
        <v>-10.58</v>
      </c>
      <c r="I6204" t="str">
        <f t="shared" si="96"/>
        <v>Nov</v>
      </c>
      <c r="J6204">
        <f>YEAR(datas[[#This Row],[Order Date]])</f>
        <v>2023</v>
      </c>
    </row>
    <row r="6205" spans="1:10" ht="14.25" customHeight="1" x14ac:dyDescent="0.3">
      <c r="A6205" s="1">
        <v>45250</v>
      </c>
      <c r="B6205" s="2" t="s">
        <v>51</v>
      </c>
      <c r="C6205" s="2" t="s">
        <v>9</v>
      </c>
      <c r="D6205" s="2" t="s">
        <v>26</v>
      </c>
      <c r="E6205" s="2" t="s">
        <v>27</v>
      </c>
      <c r="F6205" s="2">
        <v>318.43</v>
      </c>
      <c r="G6205" s="2">
        <v>5</v>
      </c>
      <c r="H6205" s="2">
        <v>-77.33</v>
      </c>
      <c r="I6205" t="str">
        <f t="shared" si="96"/>
        <v>Nov</v>
      </c>
      <c r="J6205">
        <f>YEAR(datas[[#This Row],[Order Date]])</f>
        <v>2023</v>
      </c>
    </row>
    <row r="6206" spans="1:10" ht="14.25" customHeight="1" x14ac:dyDescent="0.3">
      <c r="A6206" s="1">
        <v>45250</v>
      </c>
      <c r="B6206" s="2" t="s">
        <v>51</v>
      </c>
      <c r="C6206" s="2" t="s">
        <v>9</v>
      </c>
      <c r="D6206" s="2" t="s">
        <v>28</v>
      </c>
      <c r="E6206" s="2" t="s">
        <v>29</v>
      </c>
      <c r="F6206" s="2">
        <v>122.92</v>
      </c>
      <c r="G6206" s="2">
        <v>7</v>
      </c>
      <c r="H6206" s="2">
        <v>46.1</v>
      </c>
      <c r="I6206" t="str">
        <f t="shared" si="96"/>
        <v>Nov</v>
      </c>
      <c r="J6206">
        <f>YEAR(datas[[#This Row],[Order Date]])</f>
        <v>2023</v>
      </c>
    </row>
    <row r="6207" spans="1:10" ht="14.25" customHeight="1" x14ac:dyDescent="0.3">
      <c r="A6207" s="1">
        <v>45250</v>
      </c>
      <c r="B6207" s="2" t="s">
        <v>51</v>
      </c>
      <c r="C6207" s="2" t="s">
        <v>9</v>
      </c>
      <c r="D6207" s="2" t="s">
        <v>26</v>
      </c>
      <c r="E6207" s="2" t="s">
        <v>32</v>
      </c>
      <c r="F6207" s="2">
        <v>7.07</v>
      </c>
      <c r="G6207" s="2">
        <v>3</v>
      </c>
      <c r="H6207" s="2">
        <v>-2.83</v>
      </c>
      <c r="I6207" t="str">
        <f t="shared" si="96"/>
        <v>Nov</v>
      </c>
      <c r="J6207">
        <f>YEAR(datas[[#This Row],[Order Date]])</f>
        <v>2023</v>
      </c>
    </row>
    <row r="6208" spans="1:10" ht="14.25" customHeight="1" x14ac:dyDescent="0.3">
      <c r="A6208" s="1">
        <v>45250</v>
      </c>
      <c r="B6208" s="2" t="s">
        <v>370</v>
      </c>
      <c r="C6208" s="2" t="s">
        <v>68</v>
      </c>
      <c r="D6208" s="2" t="s">
        <v>10</v>
      </c>
      <c r="E6208" s="2" t="s">
        <v>11</v>
      </c>
      <c r="F6208" s="2">
        <v>9.08</v>
      </c>
      <c r="G6208" s="2">
        <v>2</v>
      </c>
      <c r="H6208" s="2">
        <v>4.09</v>
      </c>
      <c r="I6208" t="str">
        <f t="shared" si="96"/>
        <v>Nov</v>
      </c>
      <c r="J6208">
        <f>YEAR(datas[[#This Row],[Order Date]])</f>
        <v>2023</v>
      </c>
    </row>
    <row r="6209" spans="1:10" ht="14.25" customHeight="1" x14ac:dyDescent="0.3">
      <c r="A6209" s="1">
        <v>45250</v>
      </c>
      <c r="B6209" s="2" t="s">
        <v>370</v>
      </c>
      <c r="C6209" s="2" t="s">
        <v>68</v>
      </c>
      <c r="D6209" s="2" t="s">
        <v>10</v>
      </c>
      <c r="E6209" s="2" t="s">
        <v>11</v>
      </c>
      <c r="F6209" s="2">
        <v>314.55</v>
      </c>
      <c r="G6209" s="2">
        <v>3</v>
      </c>
      <c r="H6209" s="2">
        <v>150.97999999999999</v>
      </c>
      <c r="I6209" t="str">
        <f t="shared" si="96"/>
        <v>Nov</v>
      </c>
      <c r="J6209">
        <f>YEAR(datas[[#This Row],[Order Date]])</f>
        <v>2023</v>
      </c>
    </row>
    <row r="6210" spans="1:10" ht="14.25" customHeight="1" x14ac:dyDescent="0.3">
      <c r="A6210" s="1">
        <v>45250</v>
      </c>
      <c r="B6210" s="2" t="s">
        <v>370</v>
      </c>
      <c r="C6210" s="2" t="s">
        <v>68</v>
      </c>
      <c r="D6210" s="2" t="s">
        <v>10</v>
      </c>
      <c r="E6210" s="2" t="s">
        <v>16</v>
      </c>
      <c r="F6210" s="2">
        <v>4.91</v>
      </c>
      <c r="G6210" s="2">
        <v>1</v>
      </c>
      <c r="H6210" s="2">
        <v>2.31</v>
      </c>
      <c r="I6210" t="str">
        <f t="shared" si="96"/>
        <v>Nov</v>
      </c>
      <c r="J6210">
        <f>YEAR(datas[[#This Row],[Order Date]])</f>
        <v>2023</v>
      </c>
    </row>
    <row r="6211" spans="1:10" ht="14.25" customHeight="1" x14ac:dyDescent="0.3">
      <c r="A6211" s="1">
        <v>45250</v>
      </c>
      <c r="B6211" s="2" t="s">
        <v>49</v>
      </c>
      <c r="C6211" s="2" t="s">
        <v>9</v>
      </c>
      <c r="D6211" s="2" t="s">
        <v>28</v>
      </c>
      <c r="E6211" s="2" t="s">
        <v>29</v>
      </c>
      <c r="F6211" s="2">
        <v>151.19</v>
      </c>
      <c r="G6211" s="2">
        <v>1</v>
      </c>
      <c r="H6211" s="2">
        <v>13.23</v>
      </c>
      <c r="I6211" t="str">
        <f t="shared" ref="I6211:I6274" si="97">TEXT(A6211,"mmm")</f>
        <v>Nov</v>
      </c>
      <c r="J6211">
        <f>YEAR(datas[[#This Row],[Order Date]])</f>
        <v>2023</v>
      </c>
    </row>
    <row r="6212" spans="1:10" ht="14.25" customHeight="1" x14ac:dyDescent="0.3">
      <c r="A6212" s="1">
        <v>45250</v>
      </c>
      <c r="B6212" s="2" t="s">
        <v>148</v>
      </c>
      <c r="C6212" s="2" t="s">
        <v>21</v>
      </c>
      <c r="D6212" s="2" t="s">
        <v>10</v>
      </c>
      <c r="E6212" s="2" t="s">
        <v>53</v>
      </c>
      <c r="F6212" s="2">
        <v>39</v>
      </c>
      <c r="G6212" s="2">
        <v>12</v>
      </c>
      <c r="H6212" s="2">
        <v>11.31</v>
      </c>
      <c r="I6212" t="str">
        <f t="shared" si="97"/>
        <v>Nov</v>
      </c>
      <c r="J6212">
        <f>YEAR(datas[[#This Row],[Order Date]])</f>
        <v>2023</v>
      </c>
    </row>
    <row r="6213" spans="1:10" ht="14.25" customHeight="1" x14ac:dyDescent="0.3">
      <c r="A6213" s="1">
        <v>45250</v>
      </c>
      <c r="B6213" s="2" t="s">
        <v>443</v>
      </c>
      <c r="C6213" s="2" t="s">
        <v>38</v>
      </c>
      <c r="D6213" s="2" t="s">
        <v>10</v>
      </c>
      <c r="E6213" s="2" t="s">
        <v>16</v>
      </c>
      <c r="F6213" s="2">
        <v>128.4</v>
      </c>
      <c r="G6213" s="2">
        <v>3</v>
      </c>
      <c r="H6213" s="2">
        <v>62.92</v>
      </c>
      <c r="I6213" t="str">
        <f t="shared" si="97"/>
        <v>Nov</v>
      </c>
      <c r="J6213">
        <f>YEAR(datas[[#This Row],[Order Date]])</f>
        <v>2023</v>
      </c>
    </row>
    <row r="6214" spans="1:10" ht="14.25" customHeight="1" x14ac:dyDescent="0.3">
      <c r="A6214" s="1">
        <v>45250</v>
      </c>
      <c r="B6214" s="2" t="s">
        <v>481</v>
      </c>
      <c r="C6214" s="2" t="s">
        <v>64</v>
      </c>
      <c r="D6214" s="2" t="s">
        <v>26</v>
      </c>
      <c r="E6214" s="2" t="s">
        <v>45</v>
      </c>
      <c r="F6214" s="2">
        <v>289.57</v>
      </c>
      <c r="G6214" s="2">
        <v>2</v>
      </c>
      <c r="H6214" s="2">
        <v>10.86</v>
      </c>
      <c r="I6214" t="str">
        <f t="shared" si="97"/>
        <v>Nov</v>
      </c>
      <c r="J6214">
        <f>YEAR(datas[[#This Row],[Order Date]])</f>
        <v>2023</v>
      </c>
    </row>
    <row r="6215" spans="1:10" ht="14.25" customHeight="1" x14ac:dyDescent="0.3">
      <c r="A6215" s="1">
        <v>45250</v>
      </c>
      <c r="B6215" s="2" t="s">
        <v>481</v>
      </c>
      <c r="C6215" s="2" t="s">
        <v>64</v>
      </c>
      <c r="D6215" s="2" t="s">
        <v>10</v>
      </c>
      <c r="E6215" s="2" t="s">
        <v>15</v>
      </c>
      <c r="F6215" s="2">
        <v>39.72</v>
      </c>
      <c r="G6215" s="2">
        <v>5</v>
      </c>
      <c r="H6215" s="2">
        <v>4.47</v>
      </c>
      <c r="I6215" t="str">
        <f t="shared" si="97"/>
        <v>Nov</v>
      </c>
      <c r="J6215">
        <f>YEAR(datas[[#This Row],[Order Date]])</f>
        <v>2023</v>
      </c>
    </row>
    <row r="6216" spans="1:10" ht="14.25" customHeight="1" x14ac:dyDescent="0.3">
      <c r="A6216" s="1">
        <v>45250</v>
      </c>
      <c r="B6216" s="2" t="s">
        <v>481</v>
      </c>
      <c r="C6216" s="2" t="s">
        <v>64</v>
      </c>
      <c r="D6216" s="2" t="s">
        <v>28</v>
      </c>
      <c r="E6216" s="2" t="s">
        <v>29</v>
      </c>
      <c r="F6216" s="2">
        <v>244.77</v>
      </c>
      <c r="G6216" s="2">
        <v>4</v>
      </c>
      <c r="H6216" s="2">
        <v>24.48</v>
      </c>
      <c r="I6216" t="str">
        <f t="shared" si="97"/>
        <v>Nov</v>
      </c>
      <c r="J6216">
        <f>YEAR(datas[[#This Row],[Order Date]])</f>
        <v>2023</v>
      </c>
    </row>
    <row r="6217" spans="1:10" ht="14.25" customHeight="1" x14ac:dyDescent="0.3">
      <c r="A6217" s="1">
        <v>45250</v>
      </c>
      <c r="B6217" s="2" t="s">
        <v>761</v>
      </c>
      <c r="C6217" s="2" t="s">
        <v>21</v>
      </c>
      <c r="D6217" s="2" t="s">
        <v>28</v>
      </c>
      <c r="E6217" s="2" t="s">
        <v>34</v>
      </c>
      <c r="F6217" s="2">
        <v>27.88</v>
      </c>
      <c r="G6217" s="2">
        <v>2</v>
      </c>
      <c r="H6217" s="2">
        <v>3.9</v>
      </c>
      <c r="I6217" t="str">
        <f t="shared" si="97"/>
        <v>Nov</v>
      </c>
      <c r="J6217">
        <f>YEAR(datas[[#This Row],[Order Date]])</f>
        <v>2023</v>
      </c>
    </row>
    <row r="6218" spans="1:10" ht="14.25" customHeight="1" x14ac:dyDescent="0.3">
      <c r="A6218" s="1">
        <v>45251</v>
      </c>
      <c r="B6218" s="2" t="s">
        <v>718</v>
      </c>
      <c r="C6218" s="2" t="s">
        <v>52</v>
      </c>
      <c r="D6218" s="2" t="s">
        <v>26</v>
      </c>
      <c r="E6218" s="2" t="s">
        <v>27</v>
      </c>
      <c r="F6218" s="2">
        <v>195.14</v>
      </c>
      <c r="G6218" s="2">
        <v>4</v>
      </c>
      <c r="H6218" s="2">
        <v>-12.2</v>
      </c>
      <c r="I6218" t="str">
        <f t="shared" si="97"/>
        <v>Nov</v>
      </c>
      <c r="J6218">
        <f>YEAR(datas[[#This Row],[Order Date]])</f>
        <v>2023</v>
      </c>
    </row>
    <row r="6219" spans="1:10" ht="14.25" customHeight="1" x14ac:dyDescent="0.3">
      <c r="A6219" s="1">
        <v>45251</v>
      </c>
      <c r="B6219" s="2" t="s">
        <v>563</v>
      </c>
      <c r="C6219" s="2" t="s">
        <v>165</v>
      </c>
      <c r="D6219" s="2" t="s">
        <v>10</v>
      </c>
      <c r="E6219" s="2" t="s">
        <v>11</v>
      </c>
      <c r="F6219" s="2">
        <v>40.46</v>
      </c>
      <c r="G6219" s="2">
        <v>7</v>
      </c>
      <c r="H6219" s="2">
        <v>19.829999999999998</v>
      </c>
      <c r="I6219" t="str">
        <f t="shared" si="97"/>
        <v>Nov</v>
      </c>
      <c r="J6219">
        <f>YEAR(datas[[#This Row],[Order Date]])</f>
        <v>2023</v>
      </c>
    </row>
    <row r="6220" spans="1:10" ht="14.25" customHeight="1" x14ac:dyDescent="0.3">
      <c r="A6220" s="1">
        <v>45251</v>
      </c>
      <c r="B6220" s="2" t="s">
        <v>563</v>
      </c>
      <c r="C6220" s="2" t="s">
        <v>165</v>
      </c>
      <c r="D6220" s="2" t="s">
        <v>28</v>
      </c>
      <c r="E6220" s="2" t="s">
        <v>29</v>
      </c>
      <c r="F6220" s="2">
        <v>404.94</v>
      </c>
      <c r="G6220" s="2">
        <v>3</v>
      </c>
      <c r="H6220" s="2">
        <v>109.33</v>
      </c>
      <c r="I6220" t="str">
        <f t="shared" si="97"/>
        <v>Nov</v>
      </c>
      <c r="J6220">
        <f>YEAR(datas[[#This Row],[Order Date]])</f>
        <v>2023</v>
      </c>
    </row>
    <row r="6221" spans="1:10" ht="14.25" customHeight="1" x14ac:dyDescent="0.3">
      <c r="A6221" s="1">
        <v>45251</v>
      </c>
      <c r="B6221" s="2" t="s">
        <v>127</v>
      </c>
      <c r="C6221" s="2" t="s">
        <v>47</v>
      </c>
      <c r="D6221" s="2" t="s">
        <v>28</v>
      </c>
      <c r="E6221" s="2" t="s">
        <v>136</v>
      </c>
      <c r="F6221" s="2">
        <v>30.35</v>
      </c>
      <c r="G6221" s="2">
        <v>7</v>
      </c>
      <c r="H6221" s="2">
        <v>-24.28</v>
      </c>
      <c r="I6221" t="str">
        <f t="shared" si="97"/>
        <v>Nov</v>
      </c>
      <c r="J6221">
        <f>YEAR(datas[[#This Row],[Order Date]])</f>
        <v>2023</v>
      </c>
    </row>
    <row r="6222" spans="1:10" ht="14.25" customHeight="1" x14ac:dyDescent="0.3">
      <c r="A6222" s="1">
        <v>45251</v>
      </c>
      <c r="B6222" s="2" t="s">
        <v>127</v>
      </c>
      <c r="C6222" s="2" t="s">
        <v>47</v>
      </c>
      <c r="D6222" s="2" t="s">
        <v>26</v>
      </c>
      <c r="E6222" s="2" t="s">
        <v>27</v>
      </c>
      <c r="F6222" s="2">
        <v>127.55</v>
      </c>
      <c r="G6222" s="2">
        <v>3</v>
      </c>
      <c r="H6222" s="2">
        <v>-9.11</v>
      </c>
      <c r="I6222" t="str">
        <f t="shared" si="97"/>
        <v>Nov</v>
      </c>
      <c r="J6222">
        <f>YEAR(datas[[#This Row],[Order Date]])</f>
        <v>2023</v>
      </c>
    </row>
    <row r="6223" spans="1:10" ht="14.25" customHeight="1" x14ac:dyDescent="0.3">
      <c r="A6223" s="1">
        <v>45251</v>
      </c>
      <c r="B6223" s="2" t="s">
        <v>127</v>
      </c>
      <c r="C6223" s="2" t="s">
        <v>47</v>
      </c>
      <c r="D6223" s="2" t="s">
        <v>26</v>
      </c>
      <c r="E6223" s="2" t="s">
        <v>32</v>
      </c>
      <c r="F6223" s="2">
        <v>77.95</v>
      </c>
      <c r="G6223" s="2">
        <v>3</v>
      </c>
      <c r="H6223" s="2">
        <v>15.59</v>
      </c>
      <c r="I6223" t="str">
        <f t="shared" si="97"/>
        <v>Nov</v>
      </c>
      <c r="J6223">
        <f>YEAR(datas[[#This Row],[Order Date]])</f>
        <v>2023</v>
      </c>
    </row>
    <row r="6224" spans="1:10" ht="14.25" customHeight="1" x14ac:dyDescent="0.3">
      <c r="A6224" s="1">
        <v>45251</v>
      </c>
      <c r="B6224" s="2" t="s">
        <v>378</v>
      </c>
      <c r="C6224" s="2" t="s">
        <v>13</v>
      </c>
      <c r="D6224" s="2" t="s">
        <v>10</v>
      </c>
      <c r="E6224" s="2" t="s">
        <v>11</v>
      </c>
      <c r="F6224" s="2">
        <v>38.43</v>
      </c>
      <c r="G6224" s="2">
        <v>1</v>
      </c>
      <c r="H6224" s="2">
        <v>13.45</v>
      </c>
      <c r="I6224" t="str">
        <f t="shared" si="97"/>
        <v>Nov</v>
      </c>
      <c r="J6224">
        <f>YEAR(datas[[#This Row],[Order Date]])</f>
        <v>2023</v>
      </c>
    </row>
    <row r="6225" spans="1:10" ht="14.25" customHeight="1" x14ac:dyDescent="0.3">
      <c r="A6225" s="1">
        <v>45251</v>
      </c>
      <c r="B6225" s="2" t="s">
        <v>378</v>
      </c>
      <c r="C6225" s="2" t="s">
        <v>13</v>
      </c>
      <c r="D6225" s="2" t="s">
        <v>10</v>
      </c>
      <c r="E6225" s="2" t="s">
        <v>15</v>
      </c>
      <c r="F6225" s="2">
        <v>21.57</v>
      </c>
      <c r="G6225" s="2">
        <v>2</v>
      </c>
      <c r="H6225" s="2">
        <v>1.62</v>
      </c>
      <c r="I6225" t="str">
        <f t="shared" si="97"/>
        <v>Nov</v>
      </c>
      <c r="J6225">
        <f>YEAR(datas[[#This Row],[Order Date]])</f>
        <v>2023</v>
      </c>
    </row>
    <row r="6226" spans="1:10" ht="14.25" customHeight="1" x14ac:dyDescent="0.3">
      <c r="A6226" s="1">
        <v>45251</v>
      </c>
      <c r="B6226" s="2" t="s">
        <v>378</v>
      </c>
      <c r="C6226" s="2" t="s">
        <v>13</v>
      </c>
      <c r="D6226" s="2" t="s">
        <v>28</v>
      </c>
      <c r="E6226" s="2" t="s">
        <v>34</v>
      </c>
      <c r="F6226" s="2">
        <v>81.58</v>
      </c>
      <c r="G6226" s="2">
        <v>3</v>
      </c>
      <c r="H6226" s="2">
        <v>2.04</v>
      </c>
      <c r="I6226" t="str">
        <f t="shared" si="97"/>
        <v>Nov</v>
      </c>
      <c r="J6226">
        <f>YEAR(datas[[#This Row],[Order Date]])</f>
        <v>2023</v>
      </c>
    </row>
    <row r="6227" spans="1:10" ht="14.25" customHeight="1" x14ac:dyDescent="0.3">
      <c r="A6227" s="1">
        <v>45251</v>
      </c>
      <c r="B6227" s="2" t="s">
        <v>76</v>
      </c>
      <c r="C6227" s="2" t="s">
        <v>75</v>
      </c>
      <c r="D6227" s="2" t="s">
        <v>10</v>
      </c>
      <c r="E6227" s="2" t="s">
        <v>11</v>
      </c>
      <c r="F6227" s="2">
        <v>12.96</v>
      </c>
      <c r="G6227" s="2">
        <v>2</v>
      </c>
      <c r="H6227" s="2">
        <v>6.35</v>
      </c>
      <c r="I6227" t="str">
        <f t="shared" si="97"/>
        <v>Nov</v>
      </c>
      <c r="J6227">
        <f>YEAR(datas[[#This Row],[Order Date]])</f>
        <v>2023</v>
      </c>
    </row>
    <row r="6228" spans="1:10" ht="14.25" customHeight="1" x14ac:dyDescent="0.3">
      <c r="A6228" s="1">
        <v>45251</v>
      </c>
      <c r="B6228" s="2" t="s">
        <v>560</v>
      </c>
      <c r="C6228" s="2" t="s">
        <v>75</v>
      </c>
      <c r="D6228" s="2" t="s">
        <v>26</v>
      </c>
      <c r="E6228" s="2" t="s">
        <v>45</v>
      </c>
      <c r="F6228" s="2">
        <v>113.57</v>
      </c>
      <c r="G6228" s="2">
        <v>2</v>
      </c>
      <c r="H6228" s="2">
        <v>12.78</v>
      </c>
      <c r="I6228" t="str">
        <f t="shared" si="97"/>
        <v>Nov</v>
      </c>
      <c r="J6228">
        <f>YEAR(datas[[#This Row],[Order Date]])</f>
        <v>2023</v>
      </c>
    </row>
    <row r="6229" spans="1:10" ht="14.25" customHeight="1" x14ac:dyDescent="0.3">
      <c r="A6229" s="1">
        <v>45251</v>
      </c>
      <c r="B6229" s="2" t="s">
        <v>567</v>
      </c>
      <c r="C6229" s="2" t="s">
        <v>21</v>
      </c>
      <c r="D6229" s="2" t="s">
        <v>10</v>
      </c>
      <c r="E6229" s="2" t="s">
        <v>11</v>
      </c>
      <c r="F6229" s="2">
        <v>32.4</v>
      </c>
      <c r="G6229" s="2">
        <v>5</v>
      </c>
      <c r="H6229" s="2">
        <v>15.55</v>
      </c>
      <c r="I6229" t="str">
        <f t="shared" si="97"/>
        <v>Nov</v>
      </c>
      <c r="J6229">
        <f>YEAR(datas[[#This Row],[Order Date]])</f>
        <v>2023</v>
      </c>
    </row>
    <row r="6230" spans="1:10" ht="14.25" customHeight="1" x14ac:dyDescent="0.3">
      <c r="A6230" s="1">
        <v>45252</v>
      </c>
      <c r="B6230" s="2" t="s">
        <v>809</v>
      </c>
      <c r="C6230" s="2" t="s">
        <v>75</v>
      </c>
      <c r="D6230" s="2" t="s">
        <v>26</v>
      </c>
      <c r="E6230" s="2" t="s">
        <v>32</v>
      </c>
      <c r="F6230" s="2">
        <v>39.880000000000003</v>
      </c>
      <c r="G6230" s="2">
        <v>2</v>
      </c>
      <c r="H6230" s="2">
        <v>11.17</v>
      </c>
      <c r="I6230" t="str">
        <f t="shared" si="97"/>
        <v>Nov</v>
      </c>
      <c r="J6230">
        <f>YEAR(datas[[#This Row],[Order Date]])</f>
        <v>2023</v>
      </c>
    </row>
    <row r="6231" spans="1:10" ht="14.25" customHeight="1" x14ac:dyDescent="0.3">
      <c r="A6231" s="1">
        <v>45252</v>
      </c>
      <c r="B6231" s="2" t="s">
        <v>809</v>
      </c>
      <c r="C6231" s="2" t="s">
        <v>75</v>
      </c>
      <c r="D6231" s="2" t="s">
        <v>10</v>
      </c>
      <c r="E6231" s="2" t="s">
        <v>16</v>
      </c>
      <c r="F6231" s="2">
        <v>12.19</v>
      </c>
      <c r="G6231" s="2">
        <v>4</v>
      </c>
      <c r="H6231" s="2">
        <v>4.1100000000000003</v>
      </c>
      <c r="I6231" t="str">
        <f t="shared" si="97"/>
        <v>Nov</v>
      </c>
      <c r="J6231">
        <f>YEAR(datas[[#This Row],[Order Date]])</f>
        <v>2023</v>
      </c>
    </row>
    <row r="6232" spans="1:10" ht="14.25" customHeight="1" x14ac:dyDescent="0.3">
      <c r="A6232" s="1">
        <v>45252</v>
      </c>
      <c r="B6232" s="2" t="s">
        <v>809</v>
      </c>
      <c r="C6232" s="2" t="s">
        <v>75</v>
      </c>
      <c r="D6232" s="2" t="s">
        <v>10</v>
      </c>
      <c r="E6232" s="2" t="s">
        <v>19</v>
      </c>
      <c r="F6232" s="2">
        <v>20.82</v>
      </c>
      <c r="G6232" s="2">
        <v>3</v>
      </c>
      <c r="H6232" s="2">
        <v>7.5</v>
      </c>
      <c r="I6232" t="str">
        <f t="shared" si="97"/>
        <v>Nov</v>
      </c>
      <c r="J6232">
        <f>YEAR(datas[[#This Row],[Order Date]])</f>
        <v>2023</v>
      </c>
    </row>
    <row r="6233" spans="1:10" ht="14.25" customHeight="1" x14ac:dyDescent="0.3">
      <c r="A6233" s="1">
        <v>45252</v>
      </c>
      <c r="B6233" s="2" t="s">
        <v>182</v>
      </c>
      <c r="C6233" s="2" t="s">
        <v>60</v>
      </c>
      <c r="D6233" s="2" t="s">
        <v>10</v>
      </c>
      <c r="E6233" s="2" t="s">
        <v>16</v>
      </c>
      <c r="F6233" s="2">
        <v>49.44</v>
      </c>
      <c r="G6233" s="2">
        <v>3</v>
      </c>
      <c r="H6233" s="2">
        <v>24.23</v>
      </c>
      <c r="I6233" t="str">
        <f t="shared" si="97"/>
        <v>Nov</v>
      </c>
      <c r="J6233">
        <f>YEAR(datas[[#This Row],[Order Date]])</f>
        <v>2023</v>
      </c>
    </row>
    <row r="6234" spans="1:10" ht="14.25" customHeight="1" x14ac:dyDescent="0.3">
      <c r="A6234" s="1">
        <v>45252</v>
      </c>
      <c r="B6234" s="2" t="s">
        <v>689</v>
      </c>
      <c r="C6234" s="2" t="s">
        <v>9</v>
      </c>
      <c r="D6234" s="2" t="s">
        <v>10</v>
      </c>
      <c r="E6234" s="2" t="s">
        <v>16</v>
      </c>
      <c r="F6234" s="2">
        <v>6.22</v>
      </c>
      <c r="G6234" s="2">
        <v>6</v>
      </c>
      <c r="H6234" s="2">
        <v>-9.6300000000000008</v>
      </c>
      <c r="I6234" t="str">
        <f t="shared" si="97"/>
        <v>Nov</v>
      </c>
      <c r="J6234">
        <f>YEAR(datas[[#This Row],[Order Date]])</f>
        <v>2023</v>
      </c>
    </row>
    <row r="6235" spans="1:10" ht="14.25" customHeight="1" x14ac:dyDescent="0.3">
      <c r="A6235" s="1">
        <v>45252</v>
      </c>
      <c r="B6235" s="2" t="s">
        <v>689</v>
      </c>
      <c r="C6235" s="2" t="s">
        <v>9</v>
      </c>
      <c r="D6235" s="2" t="s">
        <v>10</v>
      </c>
      <c r="E6235" s="2" t="s">
        <v>19</v>
      </c>
      <c r="F6235" s="2">
        <v>23.62</v>
      </c>
      <c r="G6235" s="2">
        <v>9</v>
      </c>
      <c r="H6235" s="2">
        <v>2.66</v>
      </c>
      <c r="I6235" t="str">
        <f t="shared" si="97"/>
        <v>Nov</v>
      </c>
      <c r="J6235">
        <f>YEAR(datas[[#This Row],[Order Date]])</f>
        <v>2023</v>
      </c>
    </row>
    <row r="6236" spans="1:10" ht="14.25" customHeight="1" x14ac:dyDescent="0.3">
      <c r="A6236" s="1">
        <v>45252</v>
      </c>
      <c r="B6236" s="2" t="s">
        <v>689</v>
      </c>
      <c r="C6236" s="2" t="s">
        <v>9</v>
      </c>
      <c r="D6236" s="2" t="s">
        <v>28</v>
      </c>
      <c r="E6236" s="2" t="s">
        <v>34</v>
      </c>
      <c r="F6236" s="2">
        <v>24.03</v>
      </c>
      <c r="G6236" s="2">
        <v>2</v>
      </c>
      <c r="H6236" s="2">
        <v>-0.6</v>
      </c>
      <c r="I6236" t="str">
        <f t="shared" si="97"/>
        <v>Nov</v>
      </c>
      <c r="J6236">
        <f>YEAR(datas[[#This Row],[Order Date]])</f>
        <v>2023</v>
      </c>
    </row>
    <row r="6237" spans="1:10" ht="14.25" customHeight="1" x14ac:dyDescent="0.3">
      <c r="A6237" s="1">
        <v>45252</v>
      </c>
      <c r="B6237" s="2" t="s">
        <v>689</v>
      </c>
      <c r="C6237" s="2" t="s">
        <v>9</v>
      </c>
      <c r="D6237" s="2" t="s">
        <v>10</v>
      </c>
      <c r="E6237" s="2" t="s">
        <v>14</v>
      </c>
      <c r="F6237" s="2">
        <v>2.09</v>
      </c>
      <c r="G6237" s="2">
        <v>1</v>
      </c>
      <c r="H6237" s="2">
        <v>0.68</v>
      </c>
      <c r="I6237" t="str">
        <f t="shared" si="97"/>
        <v>Nov</v>
      </c>
      <c r="J6237">
        <f>YEAR(datas[[#This Row],[Order Date]])</f>
        <v>2023</v>
      </c>
    </row>
    <row r="6238" spans="1:10" ht="14.25" customHeight="1" x14ac:dyDescent="0.3">
      <c r="A6238" s="1">
        <v>45252</v>
      </c>
      <c r="B6238" s="2" t="s">
        <v>689</v>
      </c>
      <c r="C6238" s="2" t="s">
        <v>9</v>
      </c>
      <c r="D6238" s="2" t="s">
        <v>10</v>
      </c>
      <c r="E6238" s="2" t="s">
        <v>16</v>
      </c>
      <c r="F6238" s="2">
        <v>4.49</v>
      </c>
      <c r="G6238" s="2">
        <v>6</v>
      </c>
      <c r="H6238" s="2">
        <v>-6.73</v>
      </c>
      <c r="I6238" t="str">
        <f t="shared" si="97"/>
        <v>Nov</v>
      </c>
      <c r="J6238">
        <f>YEAR(datas[[#This Row],[Order Date]])</f>
        <v>2023</v>
      </c>
    </row>
    <row r="6239" spans="1:10" ht="14.25" customHeight="1" x14ac:dyDescent="0.3">
      <c r="A6239" s="1">
        <v>45252</v>
      </c>
      <c r="B6239" s="2" t="s">
        <v>756</v>
      </c>
      <c r="C6239" s="2" t="s">
        <v>75</v>
      </c>
      <c r="D6239" s="2" t="s">
        <v>10</v>
      </c>
      <c r="E6239" s="2" t="s">
        <v>16</v>
      </c>
      <c r="F6239" s="2">
        <v>134.27000000000001</v>
      </c>
      <c r="G6239" s="2">
        <v>8</v>
      </c>
      <c r="H6239" s="2">
        <v>47</v>
      </c>
      <c r="I6239" t="str">
        <f t="shared" si="97"/>
        <v>Nov</v>
      </c>
      <c r="J6239">
        <f>YEAR(datas[[#This Row],[Order Date]])</f>
        <v>2023</v>
      </c>
    </row>
    <row r="6240" spans="1:10" ht="14.25" customHeight="1" x14ac:dyDescent="0.3">
      <c r="A6240" s="1">
        <v>45253</v>
      </c>
      <c r="B6240" s="2" t="s">
        <v>536</v>
      </c>
      <c r="C6240" s="2" t="s">
        <v>18</v>
      </c>
      <c r="D6240" s="2" t="s">
        <v>10</v>
      </c>
      <c r="E6240" s="2" t="s">
        <v>30</v>
      </c>
      <c r="F6240" s="2">
        <v>15.8</v>
      </c>
      <c r="G6240" s="2">
        <v>5</v>
      </c>
      <c r="H6240" s="2">
        <v>2.37</v>
      </c>
      <c r="I6240" t="str">
        <f t="shared" si="97"/>
        <v>Nov</v>
      </c>
      <c r="J6240">
        <f>YEAR(datas[[#This Row],[Order Date]])</f>
        <v>2023</v>
      </c>
    </row>
    <row r="6241" spans="1:10" ht="14.25" customHeight="1" x14ac:dyDescent="0.3">
      <c r="A6241" s="1">
        <v>45253</v>
      </c>
      <c r="B6241" s="2" t="s">
        <v>536</v>
      </c>
      <c r="C6241" s="2" t="s">
        <v>18</v>
      </c>
      <c r="D6241" s="2" t="s">
        <v>26</v>
      </c>
      <c r="E6241" s="2" t="s">
        <v>32</v>
      </c>
      <c r="F6241" s="2">
        <v>14.37</v>
      </c>
      <c r="G6241" s="2">
        <v>2</v>
      </c>
      <c r="H6241" s="2">
        <v>3.95</v>
      </c>
      <c r="I6241" t="str">
        <f t="shared" si="97"/>
        <v>Nov</v>
      </c>
      <c r="J6241">
        <f>YEAR(datas[[#This Row],[Order Date]])</f>
        <v>2023</v>
      </c>
    </row>
    <row r="6242" spans="1:10" ht="14.25" customHeight="1" x14ac:dyDescent="0.3">
      <c r="A6242" s="1">
        <v>45253</v>
      </c>
      <c r="B6242" s="2" t="s">
        <v>536</v>
      </c>
      <c r="C6242" s="2" t="s">
        <v>18</v>
      </c>
      <c r="D6242" s="2" t="s">
        <v>26</v>
      </c>
      <c r="E6242" s="2" t="s">
        <v>32</v>
      </c>
      <c r="F6242" s="2">
        <v>70.45</v>
      </c>
      <c r="G6242" s="2">
        <v>7</v>
      </c>
      <c r="H6242" s="2">
        <v>12.33</v>
      </c>
      <c r="I6242" t="str">
        <f t="shared" si="97"/>
        <v>Nov</v>
      </c>
      <c r="J6242">
        <f>YEAR(datas[[#This Row],[Order Date]])</f>
        <v>2023</v>
      </c>
    </row>
    <row r="6243" spans="1:10" ht="14.25" customHeight="1" x14ac:dyDescent="0.3">
      <c r="A6243" s="1">
        <v>45254</v>
      </c>
      <c r="B6243" s="2" t="s">
        <v>412</v>
      </c>
      <c r="C6243" s="2" t="s">
        <v>18</v>
      </c>
      <c r="D6243" s="2" t="s">
        <v>10</v>
      </c>
      <c r="E6243" s="2" t="s">
        <v>30</v>
      </c>
      <c r="F6243" s="2">
        <v>4.42</v>
      </c>
      <c r="G6243" s="2">
        <v>3</v>
      </c>
      <c r="H6243" s="2">
        <v>1.6</v>
      </c>
      <c r="I6243" t="str">
        <f t="shared" si="97"/>
        <v>Nov</v>
      </c>
      <c r="J6243">
        <f>YEAR(datas[[#This Row],[Order Date]])</f>
        <v>2023</v>
      </c>
    </row>
    <row r="6244" spans="1:10" ht="14.25" customHeight="1" x14ac:dyDescent="0.3">
      <c r="A6244" s="1">
        <v>45254</v>
      </c>
      <c r="B6244" s="2" t="s">
        <v>174</v>
      </c>
      <c r="C6244" s="2" t="s">
        <v>75</v>
      </c>
      <c r="D6244" s="2" t="s">
        <v>10</v>
      </c>
      <c r="E6244" s="2" t="s">
        <v>16</v>
      </c>
      <c r="F6244" s="2">
        <v>17.22</v>
      </c>
      <c r="G6244" s="2">
        <v>4</v>
      </c>
      <c r="H6244" s="2">
        <v>6.03</v>
      </c>
      <c r="I6244" t="str">
        <f t="shared" si="97"/>
        <v>Nov</v>
      </c>
      <c r="J6244">
        <f>YEAR(datas[[#This Row],[Order Date]])</f>
        <v>2023</v>
      </c>
    </row>
    <row r="6245" spans="1:10" ht="14.25" customHeight="1" x14ac:dyDescent="0.3">
      <c r="A6245" s="1">
        <v>45254</v>
      </c>
      <c r="B6245" s="2" t="s">
        <v>174</v>
      </c>
      <c r="C6245" s="2" t="s">
        <v>75</v>
      </c>
      <c r="D6245" s="2" t="s">
        <v>10</v>
      </c>
      <c r="E6245" s="2" t="s">
        <v>11</v>
      </c>
      <c r="F6245" s="2">
        <v>11.56</v>
      </c>
      <c r="G6245" s="2">
        <v>2</v>
      </c>
      <c r="H6245" s="2">
        <v>5.66</v>
      </c>
      <c r="I6245" t="str">
        <f t="shared" si="97"/>
        <v>Nov</v>
      </c>
      <c r="J6245">
        <f>YEAR(datas[[#This Row],[Order Date]])</f>
        <v>2023</v>
      </c>
    </row>
    <row r="6246" spans="1:10" ht="14.25" customHeight="1" x14ac:dyDescent="0.3">
      <c r="A6246" s="1">
        <v>45254</v>
      </c>
      <c r="B6246" s="2" t="s">
        <v>174</v>
      </c>
      <c r="C6246" s="2" t="s">
        <v>75</v>
      </c>
      <c r="D6246" s="2" t="s">
        <v>28</v>
      </c>
      <c r="E6246" s="2" t="s">
        <v>34</v>
      </c>
      <c r="F6246" s="2">
        <v>88.4</v>
      </c>
      <c r="G6246" s="2">
        <v>4</v>
      </c>
      <c r="H6246" s="2">
        <v>11.49</v>
      </c>
      <c r="I6246" t="str">
        <f t="shared" si="97"/>
        <v>Nov</v>
      </c>
      <c r="J6246">
        <f>YEAR(datas[[#This Row],[Order Date]])</f>
        <v>2023</v>
      </c>
    </row>
    <row r="6247" spans="1:10" ht="14.25" customHeight="1" x14ac:dyDescent="0.3">
      <c r="A6247" s="1">
        <v>45254</v>
      </c>
      <c r="B6247" s="2" t="s">
        <v>174</v>
      </c>
      <c r="C6247" s="2" t="s">
        <v>75</v>
      </c>
      <c r="D6247" s="2" t="s">
        <v>10</v>
      </c>
      <c r="E6247" s="2" t="s">
        <v>11</v>
      </c>
      <c r="F6247" s="2">
        <v>6.48</v>
      </c>
      <c r="G6247" s="2">
        <v>1</v>
      </c>
      <c r="H6247" s="2">
        <v>3.11</v>
      </c>
      <c r="I6247" t="str">
        <f t="shared" si="97"/>
        <v>Nov</v>
      </c>
      <c r="J6247">
        <f>YEAR(datas[[#This Row],[Order Date]])</f>
        <v>2023</v>
      </c>
    </row>
    <row r="6248" spans="1:10" ht="14.25" customHeight="1" x14ac:dyDescent="0.3">
      <c r="A6248" s="1">
        <v>45254</v>
      </c>
      <c r="B6248" s="2" t="s">
        <v>610</v>
      </c>
      <c r="C6248" s="2" t="s">
        <v>21</v>
      </c>
      <c r="D6248" s="2" t="s">
        <v>28</v>
      </c>
      <c r="E6248" s="2" t="s">
        <v>29</v>
      </c>
      <c r="F6248" s="2">
        <v>33.520000000000003</v>
      </c>
      <c r="G6248" s="2">
        <v>2</v>
      </c>
      <c r="H6248" s="2">
        <v>3.35</v>
      </c>
      <c r="I6248" t="str">
        <f t="shared" si="97"/>
        <v>Nov</v>
      </c>
      <c r="J6248">
        <f>YEAR(datas[[#This Row],[Order Date]])</f>
        <v>2023</v>
      </c>
    </row>
    <row r="6249" spans="1:10" ht="14.25" customHeight="1" x14ac:dyDescent="0.3">
      <c r="A6249" s="1">
        <v>45254</v>
      </c>
      <c r="B6249" s="2" t="s">
        <v>610</v>
      </c>
      <c r="C6249" s="2" t="s">
        <v>21</v>
      </c>
      <c r="D6249" s="2" t="s">
        <v>26</v>
      </c>
      <c r="E6249" s="2" t="s">
        <v>32</v>
      </c>
      <c r="F6249" s="2">
        <v>9.94</v>
      </c>
      <c r="G6249" s="2">
        <v>2</v>
      </c>
      <c r="H6249" s="2">
        <v>3.08</v>
      </c>
      <c r="I6249" t="str">
        <f t="shared" si="97"/>
        <v>Nov</v>
      </c>
      <c r="J6249">
        <f>YEAR(datas[[#This Row],[Order Date]])</f>
        <v>2023</v>
      </c>
    </row>
    <row r="6250" spans="1:10" ht="14.25" customHeight="1" x14ac:dyDescent="0.3">
      <c r="A6250" s="1">
        <v>45254</v>
      </c>
      <c r="B6250" s="2" t="s">
        <v>852</v>
      </c>
      <c r="C6250" s="2" t="s">
        <v>9</v>
      </c>
      <c r="D6250" s="2" t="s">
        <v>10</v>
      </c>
      <c r="E6250" s="2" t="s">
        <v>15</v>
      </c>
      <c r="F6250" s="2">
        <v>41.92</v>
      </c>
      <c r="G6250" s="2">
        <v>5</v>
      </c>
      <c r="H6250" s="2">
        <v>3.67</v>
      </c>
      <c r="I6250" t="str">
        <f t="shared" si="97"/>
        <v>Nov</v>
      </c>
      <c r="J6250">
        <f>YEAR(datas[[#This Row],[Order Date]])</f>
        <v>2023</v>
      </c>
    </row>
    <row r="6251" spans="1:10" ht="14.25" customHeight="1" x14ac:dyDescent="0.3">
      <c r="A6251" s="1">
        <v>45254</v>
      </c>
      <c r="B6251" s="2" t="s">
        <v>852</v>
      </c>
      <c r="C6251" s="2" t="s">
        <v>9</v>
      </c>
      <c r="D6251" s="2" t="s">
        <v>28</v>
      </c>
      <c r="E6251" s="2" t="s">
        <v>34</v>
      </c>
      <c r="F6251" s="2">
        <v>297.58</v>
      </c>
      <c r="G6251" s="2">
        <v>3</v>
      </c>
      <c r="H6251" s="2">
        <v>-7.44</v>
      </c>
      <c r="I6251" t="str">
        <f t="shared" si="97"/>
        <v>Nov</v>
      </c>
      <c r="J6251">
        <f>YEAR(datas[[#This Row],[Order Date]])</f>
        <v>2023</v>
      </c>
    </row>
    <row r="6252" spans="1:10" ht="14.25" customHeight="1" x14ac:dyDescent="0.3">
      <c r="A6252" s="1">
        <v>45254</v>
      </c>
      <c r="B6252" s="2" t="s">
        <v>852</v>
      </c>
      <c r="C6252" s="2" t="s">
        <v>9</v>
      </c>
      <c r="D6252" s="2" t="s">
        <v>10</v>
      </c>
      <c r="E6252" s="2" t="s">
        <v>30</v>
      </c>
      <c r="F6252" s="2">
        <v>4.34</v>
      </c>
      <c r="G6252" s="2">
        <v>3</v>
      </c>
      <c r="H6252" s="2">
        <v>0.87</v>
      </c>
      <c r="I6252" t="str">
        <f t="shared" si="97"/>
        <v>Nov</v>
      </c>
      <c r="J6252">
        <f>YEAR(datas[[#This Row],[Order Date]])</f>
        <v>2023</v>
      </c>
    </row>
    <row r="6253" spans="1:10" ht="14.25" customHeight="1" x14ac:dyDescent="0.3">
      <c r="A6253" s="1">
        <v>45254</v>
      </c>
      <c r="B6253" s="2" t="s">
        <v>852</v>
      </c>
      <c r="C6253" s="2" t="s">
        <v>9</v>
      </c>
      <c r="D6253" s="2" t="s">
        <v>28</v>
      </c>
      <c r="E6253" s="2" t="s">
        <v>34</v>
      </c>
      <c r="F6253" s="2">
        <v>94.99</v>
      </c>
      <c r="G6253" s="2">
        <v>2</v>
      </c>
      <c r="H6253" s="2">
        <v>-2.37</v>
      </c>
      <c r="I6253" t="str">
        <f t="shared" si="97"/>
        <v>Nov</v>
      </c>
      <c r="J6253">
        <f>YEAR(datas[[#This Row],[Order Date]])</f>
        <v>2023</v>
      </c>
    </row>
    <row r="6254" spans="1:10" ht="14.25" customHeight="1" x14ac:dyDescent="0.3">
      <c r="A6254" s="1">
        <v>45254</v>
      </c>
      <c r="B6254" s="2" t="s">
        <v>852</v>
      </c>
      <c r="C6254" s="2" t="s">
        <v>9</v>
      </c>
      <c r="D6254" s="2" t="s">
        <v>10</v>
      </c>
      <c r="E6254" s="2" t="s">
        <v>11</v>
      </c>
      <c r="F6254" s="2">
        <v>74.349999999999994</v>
      </c>
      <c r="G6254" s="2">
        <v>3</v>
      </c>
      <c r="H6254" s="2">
        <v>23.24</v>
      </c>
      <c r="I6254" t="str">
        <f t="shared" si="97"/>
        <v>Nov</v>
      </c>
      <c r="J6254">
        <f>YEAR(datas[[#This Row],[Order Date]])</f>
        <v>2023</v>
      </c>
    </row>
    <row r="6255" spans="1:10" ht="14.25" customHeight="1" x14ac:dyDescent="0.3">
      <c r="A6255" s="1">
        <v>45254</v>
      </c>
      <c r="B6255" s="2" t="s">
        <v>852</v>
      </c>
      <c r="C6255" s="2" t="s">
        <v>9</v>
      </c>
      <c r="D6255" s="2" t="s">
        <v>10</v>
      </c>
      <c r="E6255" s="2" t="s">
        <v>19</v>
      </c>
      <c r="F6255" s="2">
        <v>14.04</v>
      </c>
      <c r="G6255" s="2">
        <v>3</v>
      </c>
      <c r="H6255" s="2">
        <v>1.58</v>
      </c>
      <c r="I6255" t="str">
        <f t="shared" si="97"/>
        <v>Nov</v>
      </c>
      <c r="J6255">
        <f>YEAR(datas[[#This Row],[Order Date]])</f>
        <v>2023</v>
      </c>
    </row>
    <row r="6256" spans="1:10" ht="14.25" customHeight="1" x14ac:dyDescent="0.3">
      <c r="A6256" s="1">
        <v>45254</v>
      </c>
      <c r="B6256" s="2" t="s">
        <v>853</v>
      </c>
      <c r="C6256" s="2" t="s">
        <v>52</v>
      </c>
      <c r="D6256" s="2" t="s">
        <v>10</v>
      </c>
      <c r="E6256" s="2" t="s">
        <v>11</v>
      </c>
      <c r="F6256" s="2">
        <v>24.78</v>
      </c>
      <c r="G6256" s="2">
        <v>1</v>
      </c>
      <c r="H6256" s="2">
        <v>7.75</v>
      </c>
      <c r="I6256" t="str">
        <f t="shared" si="97"/>
        <v>Nov</v>
      </c>
      <c r="J6256">
        <f>YEAR(datas[[#This Row],[Order Date]])</f>
        <v>2023</v>
      </c>
    </row>
    <row r="6257" spans="1:10" ht="14.25" customHeight="1" x14ac:dyDescent="0.3">
      <c r="A6257" s="1">
        <v>45254</v>
      </c>
      <c r="B6257" s="2" t="s">
        <v>274</v>
      </c>
      <c r="C6257" s="2" t="s">
        <v>9</v>
      </c>
      <c r="D6257" s="2" t="s">
        <v>28</v>
      </c>
      <c r="E6257" s="2" t="s">
        <v>29</v>
      </c>
      <c r="F6257" s="2">
        <v>657.55</v>
      </c>
      <c r="G6257" s="2">
        <v>6</v>
      </c>
      <c r="H6257" s="2">
        <v>49.32</v>
      </c>
      <c r="I6257" t="str">
        <f t="shared" si="97"/>
        <v>Nov</v>
      </c>
      <c r="J6257">
        <f>YEAR(datas[[#This Row],[Order Date]])</f>
        <v>2023</v>
      </c>
    </row>
    <row r="6258" spans="1:10" ht="14.25" customHeight="1" x14ac:dyDescent="0.3">
      <c r="A6258" s="1">
        <v>45254</v>
      </c>
      <c r="B6258" s="2" t="s">
        <v>641</v>
      </c>
      <c r="C6258" s="2" t="s">
        <v>21</v>
      </c>
      <c r="D6258" s="2" t="s">
        <v>28</v>
      </c>
      <c r="E6258" s="2" t="s">
        <v>34</v>
      </c>
      <c r="F6258" s="2">
        <v>659.9</v>
      </c>
      <c r="G6258" s="2">
        <v>2</v>
      </c>
      <c r="H6258" s="2">
        <v>217.77</v>
      </c>
      <c r="I6258" t="str">
        <f t="shared" si="97"/>
        <v>Nov</v>
      </c>
      <c r="J6258">
        <f>YEAR(datas[[#This Row],[Order Date]])</f>
        <v>2023</v>
      </c>
    </row>
    <row r="6259" spans="1:10" ht="14.25" customHeight="1" x14ac:dyDescent="0.3">
      <c r="A6259" s="1">
        <v>45254</v>
      </c>
      <c r="B6259" s="2" t="s">
        <v>641</v>
      </c>
      <c r="C6259" s="2" t="s">
        <v>21</v>
      </c>
      <c r="D6259" s="2" t="s">
        <v>26</v>
      </c>
      <c r="E6259" s="2" t="s">
        <v>27</v>
      </c>
      <c r="F6259" s="2">
        <v>1684.75</v>
      </c>
      <c r="G6259" s="2">
        <v>6</v>
      </c>
      <c r="H6259" s="2">
        <v>210.59</v>
      </c>
      <c r="I6259" t="str">
        <f t="shared" si="97"/>
        <v>Nov</v>
      </c>
      <c r="J6259">
        <f>YEAR(datas[[#This Row],[Order Date]])</f>
        <v>2023</v>
      </c>
    </row>
    <row r="6260" spans="1:10" ht="14.25" customHeight="1" x14ac:dyDescent="0.3">
      <c r="A6260" s="1">
        <v>45254</v>
      </c>
      <c r="B6260" s="2" t="s">
        <v>641</v>
      </c>
      <c r="C6260" s="2" t="s">
        <v>21</v>
      </c>
      <c r="D6260" s="2" t="s">
        <v>28</v>
      </c>
      <c r="E6260" s="2" t="s">
        <v>34</v>
      </c>
      <c r="F6260" s="2">
        <v>559.91999999999996</v>
      </c>
      <c r="G6260" s="2">
        <v>8</v>
      </c>
      <c r="H6260" s="2">
        <v>190.37</v>
      </c>
      <c r="I6260" t="str">
        <f t="shared" si="97"/>
        <v>Nov</v>
      </c>
      <c r="J6260">
        <f>YEAR(datas[[#This Row],[Order Date]])</f>
        <v>2023</v>
      </c>
    </row>
    <row r="6261" spans="1:10" ht="14.25" customHeight="1" x14ac:dyDescent="0.3">
      <c r="A6261" s="1">
        <v>45254</v>
      </c>
      <c r="B6261" s="2" t="s">
        <v>554</v>
      </c>
      <c r="C6261" s="2" t="s">
        <v>82</v>
      </c>
      <c r="D6261" s="2" t="s">
        <v>10</v>
      </c>
      <c r="E6261" s="2" t="s">
        <v>16</v>
      </c>
      <c r="F6261" s="2">
        <v>1219.96</v>
      </c>
      <c r="G6261" s="2">
        <v>5</v>
      </c>
      <c r="H6261" s="2">
        <v>381.24</v>
      </c>
      <c r="I6261" t="str">
        <f t="shared" si="97"/>
        <v>Nov</v>
      </c>
      <c r="J6261">
        <f>YEAR(datas[[#This Row],[Order Date]])</f>
        <v>2023</v>
      </c>
    </row>
    <row r="6262" spans="1:10" ht="14.25" customHeight="1" x14ac:dyDescent="0.3">
      <c r="A6262" s="1">
        <v>45254</v>
      </c>
      <c r="B6262" s="2" t="s">
        <v>238</v>
      </c>
      <c r="C6262" s="2" t="s">
        <v>215</v>
      </c>
      <c r="D6262" s="2" t="s">
        <v>26</v>
      </c>
      <c r="E6262" s="2" t="s">
        <v>32</v>
      </c>
      <c r="F6262" s="2">
        <v>207.76</v>
      </c>
      <c r="G6262" s="2">
        <v>4</v>
      </c>
      <c r="H6262" s="2">
        <v>85.18</v>
      </c>
      <c r="I6262" t="str">
        <f t="shared" si="97"/>
        <v>Nov</v>
      </c>
      <c r="J6262">
        <f>YEAR(datas[[#This Row],[Order Date]])</f>
        <v>2023</v>
      </c>
    </row>
    <row r="6263" spans="1:10" ht="14.25" customHeight="1" x14ac:dyDescent="0.3">
      <c r="A6263" s="1">
        <v>45254</v>
      </c>
      <c r="B6263" s="2" t="s">
        <v>756</v>
      </c>
      <c r="C6263" s="2" t="s">
        <v>47</v>
      </c>
      <c r="D6263" s="2" t="s">
        <v>10</v>
      </c>
      <c r="E6263" s="2" t="s">
        <v>41</v>
      </c>
      <c r="F6263" s="2">
        <v>40.75</v>
      </c>
      <c r="G6263" s="2">
        <v>3</v>
      </c>
      <c r="H6263" s="2">
        <v>15.28</v>
      </c>
      <c r="I6263" t="str">
        <f t="shared" si="97"/>
        <v>Nov</v>
      </c>
      <c r="J6263">
        <f>YEAR(datas[[#This Row],[Order Date]])</f>
        <v>2023</v>
      </c>
    </row>
    <row r="6264" spans="1:10" ht="14.25" customHeight="1" x14ac:dyDescent="0.3">
      <c r="A6264" s="1">
        <v>45254</v>
      </c>
      <c r="B6264" s="2" t="s">
        <v>756</v>
      </c>
      <c r="C6264" s="2" t="s">
        <v>47</v>
      </c>
      <c r="D6264" s="2" t="s">
        <v>28</v>
      </c>
      <c r="E6264" s="2" t="s">
        <v>34</v>
      </c>
      <c r="F6264" s="2">
        <v>139.96</v>
      </c>
      <c r="G6264" s="2">
        <v>5</v>
      </c>
      <c r="H6264" s="2">
        <v>-22.74</v>
      </c>
      <c r="I6264" t="str">
        <f t="shared" si="97"/>
        <v>Nov</v>
      </c>
      <c r="J6264">
        <f>YEAR(datas[[#This Row],[Order Date]])</f>
        <v>2023</v>
      </c>
    </row>
    <row r="6265" spans="1:10" ht="14.25" customHeight="1" x14ac:dyDescent="0.3">
      <c r="A6265" s="1">
        <v>45254</v>
      </c>
      <c r="B6265" s="2" t="s">
        <v>822</v>
      </c>
      <c r="C6265" s="2" t="s">
        <v>82</v>
      </c>
      <c r="D6265" s="2" t="s">
        <v>10</v>
      </c>
      <c r="E6265" s="2" t="s">
        <v>95</v>
      </c>
      <c r="F6265" s="2">
        <v>25.35</v>
      </c>
      <c r="G6265" s="2">
        <v>3</v>
      </c>
      <c r="H6265" s="2">
        <v>7.61</v>
      </c>
      <c r="I6265" t="str">
        <f t="shared" si="97"/>
        <v>Nov</v>
      </c>
      <c r="J6265">
        <f>YEAR(datas[[#This Row],[Order Date]])</f>
        <v>2023</v>
      </c>
    </row>
    <row r="6266" spans="1:10" ht="14.25" customHeight="1" x14ac:dyDescent="0.3">
      <c r="A6266" s="1">
        <v>45254</v>
      </c>
      <c r="B6266" s="2" t="s">
        <v>600</v>
      </c>
      <c r="C6266" s="2" t="s">
        <v>82</v>
      </c>
      <c r="D6266" s="2" t="s">
        <v>26</v>
      </c>
      <c r="E6266" s="2" t="s">
        <v>32</v>
      </c>
      <c r="F6266" s="2">
        <v>82.26</v>
      </c>
      <c r="G6266" s="2">
        <v>3</v>
      </c>
      <c r="H6266" s="2">
        <v>33.729999999999997</v>
      </c>
      <c r="I6266" t="str">
        <f t="shared" si="97"/>
        <v>Nov</v>
      </c>
      <c r="J6266">
        <f>YEAR(datas[[#This Row],[Order Date]])</f>
        <v>2023</v>
      </c>
    </row>
    <row r="6267" spans="1:10" ht="14.25" customHeight="1" x14ac:dyDescent="0.3">
      <c r="A6267" s="1">
        <v>45254</v>
      </c>
      <c r="B6267" s="2" t="s">
        <v>147</v>
      </c>
      <c r="C6267" s="2" t="s">
        <v>64</v>
      </c>
      <c r="D6267" s="2" t="s">
        <v>26</v>
      </c>
      <c r="E6267" s="2" t="s">
        <v>45</v>
      </c>
      <c r="F6267" s="2">
        <v>339.92</v>
      </c>
      <c r="G6267" s="2">
        <v>5</v>
      </c>
      <c r="H6267" s="2">
        <v>8.5</v>
      </c>
      <c r="I6267" t="str">
        <f t="shared" si="97"/>
        <v>Nov</v>
      </c>
      <c r="J6267">
        <f>YEAR(datas[[#This Row],[Order Date]])</f>
        <v>2023</v>
      </c>
    </row>
    <row r="6268" spans="1:10" ht="14.25" customHeight="1" x14ac:dyDescent="0.3">
      <c r="A6268" s="1">
        <v>45254</v>
      </c>
      <c r="B6268" s="2" t="s">
        <v>147</v>
      </c>
      <c r="C6268" s="2" t="s">
        <v>64</v>
      </c>
      <c r="D6268" s="2" t="s">
        <v>10</v>
      </c>
      <c r="E6268" s="2" t="s">
        <v>11</v>
      </c>
      <c r="F6268" s="2">
        <v>10.53</v>
      </c>
      <c r="G6268" s="2">
        <v>4</v>
      </c>
      <c r="H6268" s="2">
        <v>3.42</v>
      </c>
      <c r="I6268" t="str">
        <f t="shared" si="97"/>
        <v>Nov</v>
      </c>
      <c r="J6268">
        <f>YEAR(datas[[#This Row],[Order Date]])</f>
        <v>2023</v>
      </c>
    </row>
    <row r="6269" spans="1:10" ht="14.25" customHeight="1" x14ac:dyDescent="0.3">
      <c r="A6269" s="1">
        <v>45254</v>
      </c>
      <c r="B6269" s="2" t="s">
        <v>147</v>
      </c>
      <c r="C6269" s="2" t="s">
        <v>64</v>
      </c>
      <c r="D6269" s="2" t="s">
        <v>10</v>
      </c>
      <c r="E6269" s="2" t="s">
        <v>53</v>
      </c>
      <c r="F6269" s="2">
        <v>42.38</v>
      </c>
      <c r="G6269" s="2">
        <v>2</v>
      </c>
      <c r="H6269" s="2">
        <v>4.24</v>
      </c>
      <c r="I6269" t="str">
        <f t="shared" si="97"/>
        <v>Nov</v>
      </c>
      <c r="J6269">
        <f>YEAR(datas[[#This Row],[Order Date]])</f>
        <v>2023</v>
      </c>
    </row>
    <row r="6270" spans="1:10" ht="14.25" customHeight="1" x14ac:dyDescent="0.3">
      <c r="A6270" s="1">
        <v>45255</v>
      </c>
      <c r="B6270" s="2" t="s">
        <v>703</v>
      </c>
      <c r="C6270" s="2" t="s">
        <v>64</v>
      </c>
      <c r="D6270" s="2" t="s">
        <v>10</v>
      </c>
      <c r="E6270" s="2" t="s">
        <v>11</v>
      </c>
      <c r="F6270" s="2">
        <v>5.08</v>
      </c>
      <c r="G6270" s="2">
        <v>1</v>
      </c>
      <c r="H6270" s="2">
        <v>1.65</v>
      </c>
      <c r="I6270" t="str">
        <f t="shared" si="97"/>
        <v>Nov</v>
      </c>
      <c r="J6270">
        <f>YEAR(datas[[#This Row],[Order Date]])</f>
        <v>2023</v>
      </c>
    </row>
    <row r="6271" spans="1:10" ht="14.25" customHeight="1" x14ac:dyDescent="0.3">
      <c r="A6271" s="1">
        <v>45255</v>
      </c>
      <c r="B6271" s="2" t="s">
        <v>526</v>
      </c>
      <c r="C6271" s="2" t="s">
        <v>87</v>
      </c>
      <c r="D6271" s="2" t="s">
        <v>10</v>
      </c>
      <c r="E6271" s="2" t="s">
        <v>15</v>
      </c>
      <c r="F6271" s="2">
        <v>563.4</v>
      </c>
      <c r="G6271" s="2">
        <v>4</v>
      </c>
      <c r="H6271" s="2">
        <v>67.61</v>
      </c>
      <c r="I6271" t="str">
        <f t="shared" si="97"/>
        <v>Nov</v>
      </c>
      <c r="J6271">
        <f>YEAR(datas[[#This Row],[Order Date]])</f>
        <v>2023</v>
      </c>
    </row>
    <row r="6272" spans="1:10" ht="14.25" customHeight="1" x14ac:dyDescent="0.3">
      <c r="A6272" s="1">
        <v>45255</v>
      </c>
      <c r="B6272" s="2" t="s">
        <v>526</v>
      </c>
      <c r="C6272" s="2" t="s">
        <v>87</v>
      </c>
      <c r="D6272" s="2" t="s">
        <v>28</v>
      </c>
      <c r="E6272" s="2" t="s">
        <v>136</v>
      </c>
      <c r="F6272" s="2">
        <v>319.92</v>
      </c>
      <c r="G6272" s="2">
        <v>8</v>
      </c>
      <c r="H6272" s="2">
        <v>118.37</v>
      </c>
      <c r="I6272" t="str">
        <f t="shared" si="97"/>
        <v>Nov</v>
      </c>
      <c r="J6272">
        <f>YEAR(datas[[#This Row],[Order Date]])</f>
        <v>2023</v>
      </c>
    </row>
    <row r="6273" spans="1:10" ht="14.25" customHeight="1" x14ac:dyDescent="0.3">
      <c r="A6273" s="1">
        <v>45255</v>
      </c>
      <c r="B6273" s="2" t="s">
        <v>355</v>
      </c>
      <c r="C6273" s="2" t="s">
        <v>57</v>
      </c>
      <c r="D6273" s="2" t="s">
        <v>28</v>
      </c>
      <c r="E6273" s="2" t="s">
        <v>29</v>
      </c>
      <c r="F6273" s="2">
        <v>59.98</v>
      </c>
      <c r="G6273" s="2">
        <v>2</v>
      </c>
      <c r="H6273" s="2">
        <v>17.989999999999998</v>
      </c>
      <c r="I6273" t="str">
        <f t="shared" si="97"/>
        <v>Nov</v>
      </c>
      <c r="J6273">
        <f>YEAR(datas[[#This Row],[Order Date]])</f>
        <v>2023</v>
      </c>
    </row>
    <row r="6274" spans="1:10" ht="14.25" customHeight="1" x14ac:dyDescent="0.3">
      <c r="A6274" s="1">
        <v>45255</v>
      </c>
      <c r="B6274" s="2" t="s">
        <v>726</v>
      </c>
      <c r="C6274" s="2" t="s">
        <v>60</v>
      </c>
      <c r="D6274" s="2" t="s">
        <v>26</v>
      </c>
      <c r="E6274" s="2" t="s">
        <v>73</v>
      </c>
      <c r="F6274" s="2">
        <v>1568.61</v>
      </c>
      <c r="G6274" s="2">
        <v>9</v>
      </c>
      <c r="H6274" s="2">
        <v>329.41</v>
      </c>
      <c r="I6274" t="str">
        <f t="shared" si="97"/>
        <v>Nov</v>
      </c>
      <c r="J6274">
        <f>YEAR(datas[[#This Row],[Order Date]])</f>
        <v>2023</v>
      </c>
    </row>
    <row r="6275" spans="1:10" ht="14.25" customHeight="1" x14ac:dyDescent="0.3">
      <c r="A6275" s="1">
        <v>45255</v>
      </c>
      <c r="B6275" s="2" t="s">
        <v>726</v>
      </c>
      <c r="C6275" s="2" t="s">
        <v>60</v>
      </c>
      <c r="D6275" s="2" t="s">
        <v>10</v>
      </c>
      <c r="E6275" s="2" t="s">
        <v>16</v>
      </c>
      <c r="F6275" s="2">
        <v>17.3</v>
      </c>
      <c r="G6275" s="2">
        <v>1</v>
      </c>
      <c r="H6275" s="2">
        <v>8.3000000000000007</v>
      </c>
      <c r="I6275" t="str">
        <f t="shared" ref="I6275:I6338" si="98">TEXT(A6275,"mmm")</f>
        <v>Nov</v>
      </c>
      <c r="J6275">
        <f>YEAR(datas[[#This Row],[Order Date]])</f>
        <v>2023</v>
      </c>
    </row>
    <row r="6276" spans="1:10" ht="14.25" customHeight="1" x14ac:dyDescent="0.3">
      <c r="A6276" s="1">
        <v>45255</v>
      </c>
      <c r="B6276" s="2" t="s">
        <v>726</v>
      </c>
      <c r="C6276" s="2" t="s">
        <v>60</v>
      </c>
      <c r="D6276" s="2" t="s">
        <v>28</v>
      </c>
      <c r="E6276" s="2" t="s">
        <v>34</v>
      </c>
      <c r="F6276" s="2">
        <v>160</v>
      </c>
      <c r="G6276" s="2">
        <v>8</v>
      </c>
      <c r="H6276" s="2">
        <v>62.4</v>
      </c>
      <c r="I6276" t="str">
        <f t="shared" si="98"/>
        <v>Nov</v>
      </c>
      <c r="J6276">
        <f>YEAR(datas[[#This Row],[Order Date]])</f>
        <v>2023</v>
      </c>
    </row>
    <row r="6277" spans="1:10" ht="14.25" customHeight="1" x14ac:dyDescent="0.3">
      <c r="A6277" s="1">
        <v>45255</v>
      </c>
      <c r="B6277" s="2" t="s">
        <v>163</v>
      </c>
      <c r="C6277" s="2" t="s">
        <v>47</v>
      </c>
      <c r="D6277" s="2" t="s">
        <v>10</v>
      </c>
      <c r="E6277" s="2" t="s">
        <v>16</v>
      </c>
      <c r="F6277" s="2">
        <v>456.59</v>
      </c>
      <c r="G6277" s="2">
        <v>2</v>
      </c>
      <c r="H6277" s="2">
        <v>-304.39</v>
      </c>
      <c r="I6277" t="str">
        <f t="shared" si="98"/>
        <v>Nov</v>
      </c>
      <c r="J6277">
        <f>YEAR(datas[[#This Row],[Order Date]])</f>
        <v>2023</v>
      </c>
    </row>
    <row r="6278" spans="1:10" ht="14.25" customHeight="1" x14ac:dyDescent="0.3">
      <c r="A6278" s="1">
        <v>45255</v>
      </c>
      <c r="B6278" s="2" t="s">
        <v>163</v>
      </c>
      <c r="C6278" s="2" t="s">
        <v>47</v>
      </c>
      <c r="D6278" s="2" t="s">
        <v>28</v>
      </c>
      <c r="E6278" s="2" t="s">
        <v>136</v>
      </c>
      <c r="F6278" s="2">
        <v>4499.99</v>
      </c>
      <c r="G6278" s="2">
        <v>5</v>
      </c>
      <c r="H6278" s="2">
        <v>-6599.98</v>
      </c>
      <c r="I6278" t="str">
        <f t="shared" si="98"/>
        <v>Nov</v>
      </c>
      <c r="J6278">
        <f>YEAR(datas[[#This Row],[Order Date]])</f>
        <v>2023</v>
      </c>
    </row>
    <row r="6279" spans="1:10" ht="14.25" customHeight="1" x14ac:dyDescent="0.3">
      <c r="A6279" s="1">
        <v>45255</v>
      </c>
      <c r="B6279" s="2" t="s">
        <v>163</v>
      </c>
      <c r="C6279" s="2" t="s">
        <v>47</v>
      </c>
      <c r="D6279" s="2" t="s">
        <v>28</v>
      </c>
      <c r="E6279" s="2" t="s">
        <v>34</v>
      </c>
      <c r="F6279" s="2">
        <v>59.98</v>
      </c>
      <c r="G6279" s="2">
        <v>3</v>
      </c>
      <c r="H6279" s="2">
        <v>12</v>
      </c>
      <c r="I6279" t="str">
        <f t="shared" si="98"/>
        <v>Nov</v>
      </c>
      <c r="J6279">
        <f>YEAR(datas[[#This Row],[Order Date]])</f>
        <v>2023</v>
      </c>
    </row>
    <row r="6280" spans="1:10" ht="14.25" customHeight="1" x14ac:dyDescent="0.3">
      <c r="A6280" s="1">
        <v>45255</v>
      </c>
      <c r="B6280" s="2" t="s">
        <v>205</v>
      </c>
      <c r="C6280" s="2" t="s">
        <v>198</v>
      </c>
      <c r="D6280" s="2" t="s">
        <v>10</v>
      </c>
      <c r="E6280" s="2" t="s">
        <v>15</v>
      </c>
      <c r="F6280" s="2">
        <v>73.36</v>
      </c>
      <c r="G6280" s="2">
        <v>7</v>
      </c>
      <c r="H6280" s="2">
        <v>19.809999999999999</v>
      </c>
      <c r="I6280" t="str">
        <f t="shared" si="98"/>
        <v>Nov</v>
      </c>
      <c r="J6280">
        <f>YEAR(datas[[#This Row],[Order Date]])</f>
        <v>2023</v>
      </c>
    </row>
    <row r="6281" spans="1:10" ht="14.25" customHeight="1" x14ac:dyDescent="0.3">
      <c r="A6281" s="1">
        <v>45255</v>
      </c>
      <c r="B6281" s="2" t="s">
        <v>362</v>
      </c>
      <c r="C6281" s="2" t="s">
        <v>21</v>
      </c>
      <c r="D6281" s="2" t="s">
        <v>26</v>
      </c>
      <c r="E6281" s="2" t="s">
        <v>27</v>
      </c>
      <c r="F6281" s="2">
        <v>194.35</v>
      </c>
      <c r="G6281" s="2">
        <v>3</v>
      </c>
      <c r="H6281" s="2">
        <v>19.440000000000001</v>
      </c>
      <c r="I6281" t="str">
        <f t="shared" si="98"/>
        <v>Nov</v>
      </c>
      <c r="J6281">
        <f>YEAR(datas[[#This Row],[Order Date]])</f>
        <v>2023</v>
      </c>
    </row>
    <row r="6282" spans="1:10" ht="14.25" customHeight="1" x14ac:dyDescent="0.3">
      <c r="A6282" s="1">
        <v>45256</v>
      </c>
      <c r="B6282" s="2" t="s">
        <v>298</v>
      </c>
      <c r="C6282" s="2" t="s">
        <v>198</v>
      </c>
      <c r="D6282" s="2" t="s">
        <v>10</v>
      </c>
      <c r="E6282" s="2" t="s">
        <v>11</v>
      </c>
      <c r="F6282" s="2">
        <v>70.98</v>
      </c>
      <c r="G6282" s="2">
        <v>7</v>
      </c>
      <c r="H6282" s="2">
        <v>34.78</v>
      </c>
      <c r="I6282" t="str">
        <f t="shared" si="98"/>
        <v>Nov</v>
      </c>
      <c r="J6282">
        <f>YEAR(datas[[#This Row],[Order Date]])</f>
        <v>2023</v>
      </c>
    </row>
    <row r="6283" spans="1:10" ht="14.25" customHeight="1" x14ac:dyDescent="0.3">
      <c r="A6283" s="1">
        <v>45256</v>
      </c>
      <c r="B6283" s="2" t="s">
        <v>298</v>
      </c>
      <c r="C6283" s="2" t="s">
        <v>198</v>
      </c>
      <c r="D6283" s="2" t="s">
        <v>10</v>
      </c>
      <c r="E6283" s="2" t="s">
        <v>16</v>
      </c>
      <c r="F6283" s="2">
        <v>91.68</v>
      </c>
      <c r="G6283" s="2">
        <v>3</v>
      </c>
      <c r="H6283" s="2">
        <v>45.84</v>
      </c>
      <c r="I6283" t="str">
        <f t="shared" si="98"/>
        <v>Nov</v>
      </c>
      <c r="J6283">
        <f>YEAR(datas[[#This Row],[Order Date]])</f>
        <v>2023</v>
      </c>
    </row>
    <row r="6284" spans="1:10" ht="14.25" customHeight="1" x14ac:dyDescent="0.3">
      <c r="A6284" s="1">
        <v>45256</v>
      </c>
      <c r="B6284" s="2" t="s">
        <v>298</v>
      </c>
      <c r="C6284" s="2" t="s">
        <v>198</v>
      </c>
      <c r="D6284" s="2" t="s">
        <v>10</v>
      </c>
      <c r="E6284" s="2" t="s">
        <v>16</v>
      </c>
      <c r="F6284" s="2">
        <v>33.75</v>
      </c>
      <c r="G6284" s="2">
        <v>5</v>
      </c>
      <c r="H6284" s="2">
        <v>16.88</v>
      </c>
      <c r="I6284" t="str">
        <f t="shared" si="98"/>
        <v>Nov</v>
      </c>
      <c r="J6284">
        <f>YEAR(datas[[#This Row],[Order Date]])</f>
        <v>2023</v>
      </c>
    </row>
    <row r="6285" spans="1:10" ht="14.25" customHeight="1" x14ac:dyDescent="0.3">
      <c r="A6285" s="1">
        <v>45256</v>
      </c>
      <c r="B6285" s="2" t="s">
        <v>298</v>
      </c>
      <c r="C6285" s="2" t="s">
        <v>198</v>
      </c>
      <c r="D6285" s="2" t="s">
        <v>28</v>
      </c>
      <c r="E6285" s="2" t="s">
        <v>136</v>
      </c>
      <c r="F6285" s="2">
        <v>3040</v>
      </c>
      <c r="G6285" s="2">
        <v>8</v>
      </c>
      <c r="H6285" s="2">
        <v>1459.2</v>
      </c>
      <c r="I6285" t="str">
        <f t="shared" si="98"/>
        <v>Nov</v>
      </c>
      <c r="J6285">
        <f>YEAR(datas[[#This Row],[Order Date]])</f>
        <v>2023</v>
      </c>
    </row>
    <row r="6286" spans="1:10" ht="14.25" customHeight="1" x14ac:dyDescent="0.3">
      <c r="A6286" s="1">
        <v>45256</v>
      </c>
      <c r="B6286" s="2" t="s">
        <v>570</v>
      </c>
      <c r="C6286" s="2" t="s">
        <v>82</v>
      </c>
      <c r="D6286" s="2" t="s">
        <v>10</v>
      </c>
      <c r="E6286" s="2" t="s">
        <v>16</v>
      </c>
      <c r="F6286" s="2">
        <v>7.31</v>
      </c>
      <c r="G6286" s="2">
        <v>2</v>
      </c>
      <c r="H6286" s="2">
        <v>2.56</v>
      </c>
      <c r="I6286" t="str">
        <f t="shared" si="98"/>
        <v>Nov</v>
      </c>
      <c r="J6286">
        <f>YEAR(datas[[#This Row],[Order Date]])</f>
        <v>2023</v>
      </c>
    </row>
    <row r="6287" spans="1:10" ht="14.25" customHeight="1" x14ac:dyDescent="0.3">
      <c r="A6287" s="1">
        <v>45256</v>
      </c>
      <c r="B6287" s="2" t="s">
        <v>255</v>
      </c>
      <c r="C6287" s="2" t="s">
        <v>18</v>
      </c>
      <c r="D6287" s="2" t="s">
        <v>28</v>
      </c>
      <c r="E6287" s="2" t="s">
        <v>29</v>
      </c>
      <c r="F6287" s="2">
        <v>494.98</v>
      </c>
      <c r="G6287" s="2">
        <v>3</v>
      </c>
      <c r="H6287" s="2">
        <v>-115.5</v>
      </c>
      <c r="I6287" t="str">
        <f t="shared" si="98"/>
        <v>Nov</v>
      </c>
      <c r="J6287">
        <f>YEAR(datas[[#This Row],[Order Date]])</f>
        <v>2023</v>
      </c>
    </row>
    <row r="6288" spans="1:10" ht="14.25" customHeight="1" x14ac:dyDescent="0.3">
      <c r="A6288" s="1">
        <v>45256</v>
      </c>
      <c r="B6288" s="2" t="s">
        <v>271</v>
      </c>
      <c r="C6288" s="2" t="s">
        <v>64</v>
      </c>
      <c r="D6288" s="2" t="s">
        <v>10</v>
      </c>
      <c r="E6288" s="2" t="s">
        <v>16</v>
      </c>
      <c r="F6288" s="2">
        <v>3.74</v>
      </c>
      <c r="G6288" s="2">
        <v>4</v>
      </c>
      <c r="H6288" s="2">
        <v>-2.62</v>
      </c>
      <c r="I6288" t="str">
        <f t="shared" si="98"/>
        <v>Nov</v>
      </c>
      <c r="J6288">
        <f>YEAR(datas[[#This Row],[Order Date]])</f>
        <v>2023</v>
      </c>
    </row>
    <row r="6289" spans="1:10" ht="14.25" customHeight="1" x14ac:dyDescent="0.3">
      <c r="A6289" s="1">
        <v>45256</v>
      </c>
      <c r="B6289" s="2" t="s">
        <v>131</v>
      </c>
      <c r="C6289" s="2" t="s">
        <v>75</v>
      </c>
      <c r="D6289" s="2" t="s">
        <v>26</v>
      </c>
      <c r="E6289" s="2" t="s">
        <v>73</v>
      </c>
      <c r="F6289" s="2">
        <v>313.18</v>
      </c>
      <c r="G6289" s="2">
        <v>2</v>
      </c>
      <c r="H6289" s="2">
        <v>-120.05</v>
      </c>
      <c r="I6289" t="str">
        <f t="shared" si="98"/>
        <v>Nov</v>
      </c>
      <c r="J6289">
        <f>YEAR(datas[[#This Row],[Order Date]])</f>
        <v>2023</v>
      </c>
    </row>
    <row r="6290" spans="1:10" ht="14.25" customHeight="1" x14ac:dyDescent="0.3">
      <c r="A6290" s="1">
        <v>45256</v>
      </c>
      <c r="B6290" s="2" t="s">
        <v>274</v>
      </c>
      <c r="C6290" s="2" t="s">
        <v>9</v>
      </c>
      <c r="D6290" s="2" t="s">
        <v>10</v>
      </c>
      <c r="E6290" s="2" t="s">
        <v>19</v>
      </c>
      <c r="F6290" s="2">
        <v>17.86</v>
      </c>
      <c r="G6290" s="2">
        <v>4</v>
      </c>
      <c r="H6290" s="2">
        <v>4.24</v>
      </c>
      <c r="I6290" t="str">
        <f t="shared" si="98"/>
        <v>Nov</v>
      </c>
      <c r="J6290">
        <f>YEAR(datas[[#This Row],[Order Date]])</f>
        <v>2023</v>
      </c>
    </row>
    <row r="6291" spans="1:10" ht="14.25" customHeight="1" x14ac:dyDescent="0.3">
      <c r="A6291" s="1">
        <v>45256</v>
      </c>
      <c r="B6291" s="2" t="s">
        <v>80</v>
      </c>
      <c r="C6291" s="2" t="s">
        <v>248</v>
      </c>
      <c r="D6291" s="2" t="s">
        <v>28</v>
      </c>
      <c r="E6291" s="2" t="s">
        <v>34</v>
      </c>
      <c r="F6291" s="2">
        <v>59.97</v>
      </c>
      <c r="G6291" s="2">
        <v>3</v>
      </c>
      <c r="H6291" s="2">
        <v>14.99</v>
      </c>
      <c r="I6291" t="str">
        <f t="shared" si="98"/>
        <v>Nov</v>
      </c>
      <c r="J6291">
        <f>YEAR(datas[[#This Row],[Order Date]])</f>
        <v>2023</v>
      </c>
    </row>
    <row r="6292" spans="1:10" ht="14.25" customHeight="1" x14ac:dyDescent="0.3">
      <c r="A6292" s="1">
        <v>45256</v>
      </c>
      <c r="B6292" s="2" t="s">
        <v>80</v>
      </c>
      <c r="C6292" s="2" t="s">
        <v>248</v>
      </c>
      <c r="D6292" s="2" t="s">
        <v>10</v>
      </c>
      <c r="E6292" s="2" t="s">
        <v>11</v>
      </c>
      <c r="F6292" s="2">
        <v>13.36</v>
      </c>
      <c r="G6292" s="2">
        <v>2</v>
      </c>
      <c r="H6292" s="2">
        <v>6.41</v>
      </c>
      <c r="I6292" t="str">
        <f t="shared" si="98"/>
        <v>Nov</v>
      </c>
      <c r="J6292">
        <f>YEAR(datas[[#This Row],[Order Date]])</f>
        <v>2023</v>
      </c>
    </row>
    <row r="6293" spans="1:10" ht="14.25" customHeight="1" x14ac:dyDescent="0.3">
      <c r="A6293" s="1">
        <v>45256</v>
      </c>
      <c r="B6293" s="2" t="s">
        <v>349</v>
      </c>
      <c r="C6293" s="2" t="s">
        <v>18</v>
      </c>
      <c r="D6293" s="2" t="s">
        <v>10</v>
      </c>
      <c r="E6293" s="2" t="s">
        <v>16</v>
      </c>
      <c r="F6293" s="2">
        <v>78.760000000000005</v>
      </c>
      <c r="G6293" s="2">
        <v>9</v>
      </c>
      <c r="H6293" s="2">
        <v>-57.76</v>
      </c>
      <c r="I6293" t="str">
        <f t="shared" si="98"/>
        <v>Nov</v>
      </c>
      <c r="J6293">
        <f>YEAR(datas[[#This Row],[Order Date]])</f>
        <v>2023</v>
      </c>
    </row>
    <row r="6294" spans="1:10" ht="14.25" customHeight="1" x14ac:dyDescent="0.3">
      <c r="A6294" s="1">
        <v>45256</v>
      </c>
      <c r="B6294" s="2" t="s">
        <v>459</v>
      </c>
      <c r="C6294" s="2" t="s">
        <v>21</v>
      </c>
      <c r="D6294" s="2" t="s">
        <v>26</v>
      </c>
      <c r="E6294" s="2" t="s">
        <v>45</v>
      </c>
      <c r="F6294" s="2">
        <v>3406.66</v>
      </c>
      <c r="G6294" s="2">
        <v>8</v>
      </c>
      <c r="H6294" s="2">
        <v>160.31</v>
      </c>
      <c r="I6294" t="str">
        <f t="shared" si="98"/>
        <v>Nov</v>
      </c>
      <c r="J6294">
        <f>YEAR(datas[[#This Row],[Order Date]])</f>
        <v>2023</v>
      </c>
    </row>
    <row r="6295" spans="1:10" ht="14.25" customHeight="1" x14ac:dyDescent="0.3">
      <c r="A6295" s="1">
        <v>45256</v>
      </c>
      <c r="B6295" s="2" t="s">
        <v>459</v>
      </c>
      <c r="C6295" s="2" t="s">
        <v>21</v>
      </c>
      <c r="D6295" s="2" t="s">
        <v>10</v>
      </c>
      <c r="E6295" s="2" t="s">
        <v>19</v>
      </c>
      <c r="F6295" s="2">
        <v>37.17</v>
      </c>
      <c r="G6295" s="2">
        <v>9</v>
      </c>
      <c r="H6295" s="2">
        <v>10.41</v>
      </c>
      <c r="I6295" t="str">
        <f t="shared" si="98"/>
        <v>Nov</v>
      </c>
      <c r="J6295">
        <f>YEAR(datas[[#This Row],[Order Date]])</f>
        <v>2023</v>
      </c>
    </row>
    <row r="6296" spans="1:10" ht="14.25" customHeight="1" x14ac:dyDescent="0.3">
      <c r="A6296" s="1">
        <v>45256</v>
      </c>
      <c r="B6296" s="2" t="s">
        <v>459</v>
      </c>
      <c r="C6296" s="2" t="s">
        <v>21</v>
      </c>
      <c r="D6296" s="2" t="s">
        <v>10</v>
      </c>
      <c r="E6296" s="2" t="s">
        <v>53</v>
      </c>
      <c r="F6296" s="2">
        <v>64.959999999999994</v>
      </c>
      <c r="G6296" s="2">
        <v>2</v>
      </c>
      <c r="H6296" s="2">
        <v>19.489999999999998</v>
      </c>
      <c r="I6296" t="str">
        <f t="shared" si="98"/>
        <v>Nov</v>
      </c>
      <c r="J6296">
        <f>YEAR(datas[[#This Row],[Order Date]])</f>
        <v>2023</v>
      </c>
    </row>
    <row r="6297" spans="1:10" ht="14.25" customHeight="1" x14ac:dyDescent="0.3">
      <c r="A6297" s="1">
        <v>45256</v>
      </c>
      <c r="B6297" s="2" t="s">
        <v>459</v>
      </c>
      <c r="C6297" s="2" t="s">
        <v>21</v>
      </c>
      <c r="D6297" s="2" t="s">
        <v>26</v>
      </c>
      <c r="E6297" s="2" t="s">
        <v>32</v>
      </c>
      <c r="F6297" s="2">
        <v>595.38</v>
      </c>
      <c r="G6297" s="2">
        <v>6</v>
      </c>
      <c r="H6297" s="2">
        <v>297.69</v>
      </c>
      <c r="I6297" t="str">
        <f t="shared" si="98"/>
        <v>Nov</v>
      </c>
      <c r="J6297">
        <f>YEAR(datas[[#This Row],[Order Date]])</f>
        <v>2023</v>
      </c>
    </row>
    <row r="6298" spans="1:10" ht="14.25" customHeight="1" x14ac:dyDescent="0.3">
      <c r="A6298" s="1">
        <v>45257</v>
      </c>
      <c r="B6298" s="2" t="s">
        <v>551</v>
      </c>
      <c r="C6298" s="2" t="s">
        <v>13</v>
      </c>
      <c r="D6298" s="2" t="s">
        <v>10</v>
      </c>
      <c r="E6298" s="2" t="s">
        <v>15</v>
      </c>
      <c r="F6298" s="2">
        <v>97.98</v>
      </c>
      <c r="G6298" s="2">
        <v>2</v>
      </c>
      <c r="H6298" s="2">
        <v>-24.5</v>
      </c>
      <c r="I6298" t="str">
        <f t="shared" si="98"/>
        <v>Nov</v>
      </c>
      <c r="J6298">
        <f>YEAR(datas[[#This Row],[Order Date]])</f>
        <v>2023</v>
      </c>
    </row>
    <row r="6299" spans="1:10" ht="14.25" customHeight="1" x14ac:dyDescent="0.3">
      <c r="A6299" s="1">
        <v>45257</v>
      </c>
      <c r="B6299" s="2" t="s">
        <v>551</v>
      </c>
      <c r="C6299" s="2" t="s">
        <v>13</v>
      </c>
      <c r="D6299" s="2" t="s">
        <v>28</v>
      </c>
      <c r="E6299" s="2" t="s">
        <v>34</v>
      </c>
      <c r="F6299" s="2">
        <v>62.4</v>
      </c>
      <c r="G6299" s="2">
        <v>6</v>
      </c>
      <c r="H6299" s="2">
        <v>19.5</v>
      </c>
      <c r="I6299" t="str">
        <f t="shared" si="98"/>
        <v>Nov</v>
      </c>
      <c r="J6299">
        <f>YEAR(datas[[#This Row],[Order Date]])</f>
        <v>2023</v>
      </c>
    </row>
    <row r="6300" spans="1:10" ht="14.25" customHeight="1" x14ac:dyDescent="0.3">
      <c r="A6300" s="1">
        <v>45257</v>
      </c>
      <c r="B6300" s="2" t="s">
        <v>655</v>
      </c>
      <c r="C6300" s="2" t="s">
        <v>55</v>
      </c>
      <c r="D6300" s="2" t="s">
        <v>28</v>
      </c>
      <c r="E6300" s="2" t="s">
        <v>29</v>
      </c>
      <c r="F6300" s="2">
        <v>271.99</v>
      </c>
      <c r="G6300" s="2">
        <v>1</v>
      </c>
      <c r="H6300" s="2">
        <v>23.8</v>
      </c>
      <c r="I6300" t="str">
        <f t="shared" si="98"/>
        <v>Nov</v>
      </c>
      <c r="J6300">
        <f>YEAR(datas[[#This Row],[Order Date]])</f>
        <v>2023</v>
      </c>
    </row>
    <row r="6301" spans="1:10" ht="14.25" customHeight="1" x14ac:dyDescent="0.3">
      <c r="A6301" s="1">
        <v>45257</v>
      </c>
      <c r="B6301" s="2" t="s">
        <v>741</v>
      </c>
      <c r="C6301" s="2" t="s">
        <v>60</v>
      </c>
      <c r="D6301" s="2" t="s">
        <v>10</v>
      </c>
      <c r="E6301" s="2" t="s">
        <v>53</v>
      </c>
      <c r="F6301" s="2">
        <v>167.29</v>
      </c>
      <c r="G6301" s="2">
        <v>6</v>
      </c>
      <c r="H6301" s="2">
        <v>29.74</v>
      </c>
      <c r="I6301" t="str">
        <f t="shared" si="98"/>
        <v>Nov</v>
      </c>
      <c r="J6301">
        <f>YEAR(datas[[#This Row],[Order Date]])</f>
        <v>2023</v>
      </c>
    </row>
    <row r="6302" spans="1:10" ht="14.25" customHeight="1" x14ac:dyDescent="0.3">
      <c r="A6302" s="1">
        <v>45257</v>
      </c>
      <c r="B6302" s="2" t="s">
        <v>342</v>
      </c>
      <c r="C6302" s="2" t="s">
        <v>469</v>
      </c>
      <c r="D6302" s="2" t="s">
        <v>28</v>
      </c>
      <c r="E6302" s="2" t="s">
        <v>34</v>
      </c>
      <c r="F6302" s="2">
        <v>34.950000000000003</v>
      </c>
      <c r="G6302" s="2">
        <v>5</v>
      </c>
      <c r="H6302" s="2">
        <v>15.38</v>
      </c>
      <c r="I6302" t="str">
        <f t="shared" si="98"/>
        <v>Nov</v>
      </c>
      <c r="J6302">
        <f>YEAR(datas[[#This Row],[Order Date]])</f>
        <v>2023</v>
      </c>
    </row>
    <row r="6303" spans="1:10" ht="14.25" customHeight="1" x14ac:dyDescent="0.3">
      <c r="A6303" s="1">
        <v>45257</v>
      </c>
      <c r="B6303" s="2" t="s">
        <v>342</v>
      </c>
      <c r="C6303" s="2" t="s">
        <v>469</v>
      </c>
      <c r="D6303" s="2" t="s">
        <v>10</v>
      </c>
      <c r="E6303" s="2" t="s">
        <v>16</v>
      </c>
      <c r="F6303" s="2">
        <v>152</v>
      </c>
      <c r="G6303" s="2">
        <v>5</v>
      </c>
      <c r="H6303" s="2">
        <v>69.92</v>
      </c>
      <c r="I6303" t="str">
        <f t="shared" si="98"/>
        <v>Nov</v>
      </c>
      <c r="J6303">
        <f>YEAR(datas[[#This Row],[Order Date]])</f>
        <v>2023</v>
      </c>
    </row>
    <row r="6304" spans="1:10" ht="14.25" customHeight="1" x14ac:dyDescent="0.3">
      <c r="A6304" s="1">
        <v>45257</v>
      </c>
      <c r="B6304" s="2" t="s">
        <v>665</v>
      </c>
      <c r="C6304" s="2" t="s">
        <v>87</v>
      </c>
      <c r="D6304" s="2" t="s">
        <v>26</v>
      </c>
      <c r="E6304" s="2" t="s">
        <v>32</v>
      </c>
      <c r="F6304" s="2">
        <v>31.56</v>
      </c>
      <c r="G6304" s="2">
        <v>3</v>
      </c>
      <c r="H6304" s="2">
        <v>10.41</v>
      </c>
      <c r="I6304" t="str">
        <f t="shared" si="98"/>
        <v>Nov</v>
      </c>
      <c r="J6304">
        <f>YEAR(datas[[#This Row],[Order Date]])</f>
        <v>2023</v>
      </c>
    </row>
    <row r="6305" spans="1:10" ht="14.25" customHeight="1" x14ac:dyDescent="0.3">
      <c r="A6305" s="1">
        <v>45257</v>
      </c>
      <c r="B6305" s="2" t="s">
        <v>288</v>
      </c>
      <c r="C6305" s="2" t="s">
        <v>64</v>
      </c>
      <c r="D6305" s="2" t="s">
        <v>28</v>
      </c>
      <c r="E6305" s="2" t="s">
        <v>29</v>
      </c>
      <c r="F6305" s="2">
        <v>116.76</v>
      </c>
      <c r="G6305" s="2">
        <v>1</v>
      </c>
      <c r="H6305" s="2">
        <v>14.6</v>
      </c>
      <c r="I6305" t="str">
        <f t="shared" si="98"/>
        <v>Nov</v>
      </c>
      <c r="J6305">
        <f>YEAR(datas[[#This Row],[Order Date]])</f>
        <v>2023</v>
      </c>
    </row>
    <row r="6306" spans="1:10" ht="14.25" customHeight="1" x14ac:dyDescent="0.3">
      <c r="A6306" s="1">
        <v>45257</v>
      </c>
      <c r="B6306" s="2" t="s">
        <v>288</v>
      </c>
      <c r="C6306" s="2" t="s">
        <v>64</v>
      </c>
      <c r="D6306" s="2" t="s">
        <v>26</v>
      </c>
      <c r="E6306" s="2" t="s">
        <v>73</v>
      </c>
      <c r="F6306" s="2">
        <v>331.02</v>
      </c>
      <c r="G6306" s="2">
        <v>7</v>
      </c>
      <c r="H6306" s="2">
        <v>-114.35</v>
      </c>
      <c r="I6306" t="str">
        <f t="shared" si="98"/>
        <v>Nov</v>
      </c>
      <c r="J6306">
        <f>YEAR(datas[[#This Row],[Order Date]])</f>
        <v>2023</v>
      </c>
    </row>
    <row r="6307" spans="1:10" ht="14.25" customHeight="1" x14ac:dyDescent="0.3">
      <c r="A6307" s="1">
        <v>45257</v>
      </c>
      <c r="B6307" s="2" t="s">
        <v>826</v>
      </c>
      <c r="C6307" s="2" t="s">
        <v>55</v>
      </c>
      <c r="D6307" s="2" t="s">
        <v>10</v>
      </c>
      <c r="E6307" s="2" t="s">
        <v>15</v>
      </c>
      <c r="F6307" s="2">
        <v>39.81</v>
      </c>
      <c r="G6307" s="2">
        <v>4</v>
      </c>
      <c r="H6307" s="2">
        <v>3.98</v>
      </c>
      <c r="I6307" t="str">
        <f t="shared" si="98"/>
        <v>Nov</v>
      </c>
      <c r="J6307">
        <f>YEAR(datas[[#This Row],[Order Date]])</f>
        <v>2023</v>
      </c>
    </row>
    <row r="6308" spans="1:10" ht="14.25" customHeight="1" x14ac:dyDescent="0.3">
      <c r="A6308" s="1">
        <v>45257</v>
      </c>
      <c r="B6308" s="2" t="s">
        <v>149</v>
      </c>
      <c r="C6308" s="2" t="s">
        <v>87</v>
      </c>
      <c r="D6308" s="2" t="s">
        <v>10</v>
      </c>
      <c r="E6308" s="2" t="s">
        <v>11</v>
      </c>
      <c r="F6308" s="2">
        <v>25.92</v>
      </c>
      <c r="G6308" s="2">
        <v>4</v>
      </c>
      <c r="H6308" s="2">
        <v>12.44</v>
      </c>
      <c r="I6308" t="str">
        <f t="shared" si="98"/>
        <v>Nov</v>
      </c>
      <c r="J6308">
        <f>YEAR(datas[[#This Row],[Order Date]])</f>
        <v>2023</v>
      </c>
    </row>
    <row r="6309" spans="1:10" ht="14.25" customHeight="1" x14ac:dyDescent="0.3">
      <c r="A6309" s="1">
        <v>45257</v>
      </c>
      <c r="B6309" s="2" t="s">
        <v>149</v>
      </c>
      <c r="C6309" s="2" t="s">
        <v>87</v>
      </c>
      <c r="D6309" s="2" t="s">
        <v>10</v>
      </c>
      <c r="E6309" s="2" t="s">
        <v>19</v>
      </c>
      <c r="F6309" s="2">
        <v>34.65</v>
      </c>
      <c r="G6309" s="2">
        <v>3</v>
      </c>
      <c r="H6309" s="2">
        <v>9.6999999999999993</v>
      </c>
      <c r="I6309" t="str">
        <f t="shared" si="98"/>
        <v>Nov</v>
      </c>
      <c r="J6309">
        <f>YEAR(datas[[#This Row],[Order Date]])</f>
        <v>2023</v>
      </c>
    </row>
    <row r="6310" spans="1:10" ht="14.25" customHeight="1" x14ac:dyDescent="0.3">
      <c r="A6310" s="1">
        <v>45257</v>
      </c>
      <c r="B6310" s="2" t="s">
        <v>149</v>
      </c>
      <c r="C6310" s="2" t="s">
        <v>87</v>
      </c>
      <c r="D6310" s="2" t="s">
        <v>10</v>
      </c>
      <c r="E6310" s="2" t="s">
        <v>11</v>
      </c>
      <c r="F6310" s="2">
        <v>204.95</v>
      </c>
      <c r="G6310" s="2">
        <v>5</v>
      </c>
      <c r="H6310" s="2">
        <v>100.43</v>
      </c>
      <c r="I6310" t="str">
        <f t="shared" si="98"/>
        <v>Nov</v>
      </c>
      <c r="J6310">
        <f>YEAR(datas[[#This Row],[Order Date]])</f>
        <v>2023</v>
      </c>
    </row>
    <row r="6311" spans="1:10" ht="14.25" customHeight="1" x14ac:dyDescent="0.3">
      <c r="A6311" s="1">
        <v>45257</v>
      </c>
      <c r="B6311" s="2" t="s">
        <v>149</v>
      </c>
      <c r="C6311" s="2" t="s">
        <v>87</v>
      </c>
      <c r="D6311" s="2" t="s">
        <v>10</v>
      </c>
      <c r="E6311" s="2" t="s">
        <v>16</v>
      </c>
      <c r="F6311" s="2">
        <v>79.95</v>
      </c>
      <c r="G6311" s="2">
        <v>5</v>
      </c>
      <c r="H6311" s="2">
        <v>38.380000000000003</v>
      </c>
      <c r="I6311" t="str">
        <f t="shared" si="98"/>
        <v>Nov</v>
      </c>
      <c r="J6311">
        <f>YEAR(datas[[#This Row],[Order Date]])</f>
        <v>2023</v>
      </c>
    </row>
    <row r="6312" spans="1:10" ht="14.25" customHeight="1" x14ac:dyDescent="0.3">
      <c r="A6312" s="1">
        <v>45258</v>
      </c>
      <c r="B6312" s="2" t="s">
        <v>854</v>
      </c>
      <c r="C6312" s="2" t="s">
        <v>248</v>
      </c>
      <c r="D6312" s="2" t="s">
        <v>10</v>
      </c>
      <c r="E6312" s="2" t="s">
        <v>16</v>
      </c>
      <c r="F6312" s="2">
        <v>7.16</v>
      </c>
      <c r="G6312" s="2">
        <v>2</v>
      </c>
      <c r="H6312" s="2">
        <v>3.44</v>
      </c>
      <c r="I6312" t="str">
        <f t="shared" si="98"/>
        <v>Nov</v>
      </c>
      <c r="J6312">
        <f>YEAR(datas[[#This Row],[Order Date]])</f>
        <v>2023</v>
      </c>
    </row>
    <row r="6313" spans="1:10" ht="14.25" customHeight="1" x14ac:dyDescent="0.3">
      <c r="A6313" s="1">
        <v>45258</v>
      </c>
      <c r="B6313" s="2" t="s">
        <v>35</v>
      </c>
      <c r="C6313" s="2" t="s">
        <v>64</v>
      </c>
      <c r="D6313" s="2" t="s">
        <v>10</v>
      </c>
      <c r="E6313" s="2" t="s">
        <v>16</v>
      </c>
      <c r="F6313" s="2">
        <v>7.43</v>
      </c>
      <c r="G6313" s="2">
        <v>6</v>
      </c>
      <c r="H6313" s="2">
        <v>-5.7</v>
      </c>
      <c r="I6313" t="str">
        <f t="shared" si="98"/>
        <v>Nov</v>
      </c>
      <c r="J6313">
        <f>YEAR(datas[[#This Row],[Order Date]])</f>
        <v>2023</v>
      </c>
    </row>
    <row r="6314" spans="1:10" ht="14.25" customHeight="1" x14ac:dyDescent="0.3">
      <c r="A6314" s="1">
        <v>45258</v>
      </c>
      <c r="B6314" s="2" t="s">
        <v>277</v>
      </c>
      <c r="C6314" s="2" t="s">
        <v>23</v>
      </c>
      <c r="D6314" s="2" t="s">
        <v>26</v>
      </c>
      <c r="E6314" s="2" t="s">
        <v>27</v>
      </c>
      <c r="F6314" s="2">
        <v>182.67</v>
      </c>
      <c r="G6314" s="2">
        <v>3</v>
      </c>
      <c r="H6314" s="2">
        <v>52.97</v>
      </c>
      <c r="I6314" t="str">
        <f t="shared" si="98"/>
        <v>Nov</v>
      </c>
      <c r="J6314">
        <f>YEAR(datas[[#This Row],[Order Date]])</f>
        <v>2023</v>
      </c>
    </row>
    <row r="6315" spans="1:10" ht="14.25" customHeight="1" x14ac:dyDescent="0.3">
      <c r="A6315" s="1">
        <v>45258</v>
      </c>
      <c r="B6315" s="2" t="s">
        <v>277</v>
      </c>
      <c r="C6315" s="2" t="s">
        <v>23</v>
      </c>
      <c r="D6315" s="2" t="s">
        <v>28</v>
      </c>
      <c r="E6315" s="2" t="s">
        <v>34</v>
      </c>
      <c r="F6315" s="2">
        <v>101.7</v>
      </c>
      <c r="G6315" s="2">
        <v>6</v>
      </c>
      <c r="H6315" s="2">
        <v>6.1</v>
      </c>
      <c r="I6315" t="str">
        <f t="shared" si="98"/>
        <v>Nov</v>
      </c>
      <c r="J6315">
        <f>YEAR(datas[[#This Row],[Order Date]])</f>
        <v>2023</v>
      </c>
    </row>
    <row r="6316" spans="1:10" ht="14.25" customHeight="1" x14ac:dyDescent="0.3">
      <c r="A6316" s="1">
        <v>45258</v>
      </c>
      <c r="B6316" s="2" t="s">
        <v>277</v>
      </c>
      <c r="C6316" s="2" t="s">
        <v>23</v>
      </c>
      <c r="D6316" s="2" t="s">
        <v>10</v>
      </c>
      <c r="E6316" s="2" t="s">
        <v>15</v>
      </c>
      <c r="F6316" s="2">
        <v>1126.02</v>
      </c>
      <c r="G6316" s="2">
        <v>3</v>
      </c>
      <c r="H6316" s="2">
        <v>56.3</v>
      </c>
      <c r="I6316" t="str">
        <f t="shared" si="98"/>
        <v>Nov</v>
      </c>
      <c r="J6316">
        <f>YEAR(datas[[#This Row],[Order Date]])</f>
        <v>2023</v>
      </c>
    </row>
    <row r="6317" spans="1:10" ht="14.25" customHeight="1" x14ac:dyDescent="0.3">
      <c r="A6317" s="1">
        <v>45258</v>
      </c>
      <c r="B6317" s="2" t="s">
        <v>277</v>
      </c>
      <c r="C6317" s="2" t="s">
        <v>23</v>
      </c>
      <c r="D6317" s="2" t="s">
        <v>10</v>
      </c>
      <c r="E6317" s="2" t="s">
        <v>15</v>
      </c>
      <c r="F6317" s="2">
        <v>1263.3</v>
      </c>
      <c r="G6317" s="2">
        <v>6</v>
      </c>
      <c r="H6317" s="2">
        <v>315.83</v>
      </c>
      <c r="I6317" t="str">
        <f t="shared" si="98"/>
        <v>Nov</v>
      </c>
      <c r="J6317">
        <f>YEAR(datas[[#This Row],[Order Date]])</f>
        <v>2023</v>
      </c>
    </row>
    <row r="6318" spans="1:10" ht="14.25" customHeight="1" x14ac:dyDescent="0.3">
      <c r="A6318" s="1">
        <v>45258</v>
      </c>
      <c r="B6318" s="2" t="s">
        <v>235</v>
      </c>
      <c r="C6318" s="2" t="s">
        <v>18</v>
      </c>
      <c r="D6318" s="2" t="s">
        <v>28</v>
      </c>
      <c r="E6318" s="2" t="s">
        <v>29</v>
      </c>
      <c r="F6318" s="2">
        <v>340.18</v>
      </c>
      <c r="G6318" s="2">
        <v>3</v>
      </c>
      <c r="H6318" s="2">
        <v>-73.709999999999994</v>
      </c>
      <c r="I6318" t="str">
        <f t="shared" si="98"/>
        <v>Nov</v>
      </c>
      <c r="J6318">
        <f>YEAR(datas[[#This Row],[Order Date]])</f>
        <v>2023</v>
      </c>
    </row>
    <row r="6319" spans="1:10" ht="14.25" customHeight="1" x14ac:dyDescent="0.3">
      <c r="A6319" s="1">
        <v>45258</v>
      </c>
      <c r="B6319" s="2" t="s">
        <v>235</v>
      </c>
      <c r="C6319" s="2" t="s">
        <v>18</v>
      </c>
      <c r="D6319" s="2" t="s">
        <v>10</v>
      </c>
      <c r="E6319" s="2" t="s">
        <v>30</v>
      </c>
      <c r="F6319" s="2">
        <v>12.67</v>
      </c>
      <c r="G6319" s="2">
        <v>8</v>
      </c>
      <c r="H6319" s="2">
        <v>2.69</v>
      </c>
      <c r="I6319" t="str">
        <f t="shared" si="98"/>
        <v>Nov</v>
      </c>
      <c r="J6319">
        <f>YEAR(datas[[#This Row],[Order Date]])</f>
        <v>2023</v>
      </c>
    </row>
    <row r="6320" spans="1:10" ht="14.25" customHeight="1" x14ac:dyDescent="0.3">
      <c r="A6320" s="1">
        <v>45258</v>
      </c>
      <c r="B6320" s="2" t="s">
        <v>235</v>
      </c>
      <c r="C6320" s="2" t="s">
        <v>18</v>
      </c>
      <c r="D6320" s="2" t="s">
        <v>10</v>
      </c>
      <c r="E6320" s="2" t="s">
        <v>16</v>
      </c>
      <c r="F6320" s="2">
        <v>6.89</v>
      </c>
      <c r="G6320" s="2">
        <v>2</v>
      </c>
      <c r="H6320" s="2">
        <v>-5.05</v>
      </c>
      <c r="I6320" t="str">
        <f t="shared" si="98"/>
        <v>Nov</v>
      </c>
      <c r="J6320">
        <f>YEAR(datas[[#This Row],[Order Date]])</f>
        <v>2023</v>
      </c>
    </row>
    <row r="6321" spans="1:10" ht="14.25" customHeight="1" x14ac:dyDescent="0.3">
      <c r="A6321" s="1">
        <v>45258</v>
      </c>
      <c r="B6321" s="2" t="s">
        <v>235</v>
      </c>
      <c r="C6321" s="2" t="s">
        <v>18</v>
      </c>
      <c r="D6321" s="2" t="s">
        <v>10</v>
      </c>
      <c r="E6321" s="2" t="s">
        <v>15</v>
      </c>
      <c r="F6321" s="2">
        <v>32.54</v>
      </c>
      <c r="G6321" s="2">
        <v>2</v>
      </c>
      <c r="H6321" s="2">
        <v>-7.73</v>
      </c>
      <c r="I6321" t="str">
        <f t="shared" si="98"/>
        <v>Nov</v>
      </c>
      <c r="J6321">
        <f>YEAR(datas[[#This Row],[Order Date]])</f>
        <v>2023</v>
      </c>
    </row>
    <row r="6322" spans="1:10" ht="14.25" customHeight="1" x14ac:dyDescent="0.3">
      <c r="A6322" s="1">
        <v>45258</v>
      </c>
      <c r="B6322" s="2" t="s">
        <v>235</v>
      </c>
      <c r="C6322" s="2" t="s">
        <v>18</v>
      </c>
      <c r="D6322" s="2" t="s">
        <v>26</v>
      </c>
      <c r="E6322" s="2" t="s">
        <v>27</v>
      </c>
      <c r="F6322" s="2">
        <v>347.8</v>
      </c>
      <c r="G6322" s="2">
        <v>7</v>
      </c>
      <c r="H6322" s="2">
        <v>-24.84</v>
      </c>
      <c r="I6322" t="str">
        <f t="shared" si="98"/>
        <v>Nov</v>
      </c>
      <c r="J6322">
        <f>YEAR(datas[[#This Row],[Order Date]])</f>
        <v>2023</v>
      </c>
    </row>
    <row r="6323" spans="1:10" ht="14.25" customHeight="1" x14ac:dyDescent="0.3">
      <c r="A6323" s="1">
        <v>45259</v>
      </c>
      <c r="B6323" s="2" t="s">
        <v>386</v>
      </c>
      <c r="C6323" s="2" t="s">
        <v>9</v>
      </c>
      <c r="D6323" s="2" t="s">
        <v>28</v>
      </c>
      <c r="E6323" s="2" t="s">
        <v>34</v>
      </c>
      <c r="F6323" s="2">
        <v>58.42</v>
      </c>
      <c r="G6323" s="2">
        <v>2</v>
      </c>
      <c r="H6323" s="2">
        <v>16.79</v>
      </c>
      <c r="I6323" t="str">
        <f t="shared" si="98"/>
        <v>Nov</v>
      </c>
      <c r="J6323">
        <f>YEAR(datas[[#This Row],[Order Date]])</f>
        <v>2023</v>
      </c>
    </row>
    <row r="6324" spans="1:10" ht="14.25" customHeight="1" x14ac:dyDescent="0.3">
      <c r="A6324" s="1">
        <v>45259</v>
      </c>
      <c r="B6324" s="2" t="s">
        <v>166</v>
      </c>
      <c r="C6324" s="2" t="s">
        <v>13</v>
      </c>
      <c r="D6324" s="2" t="s">
        <v>26</v>
      </c>
      <c r="E6324" s="2" t="s">
        <v>32</v>
      </c>
      <c r="F6324" s="2">
        <v>242.18</v>
      </c>
      <c r="G6324" s="2">
        <v>4</v>
      </c>
      <c r="H6324" s="2">
        <v>-302.72000000000003</v>
      </c>
      <c r="I6324" t="str">
        <f t="shared" si="98"/>
        <v>Nov</v>
      </c>
      <c r="J6324">
        <f>YEAR(datas[[#This Row],[Order Date]])</f>
        <v>2023</v>
      </c>
    </row>
    <row r="6325" spans="1:10" ht="14.25" customHeight="1" x14ac:dyDescent="0.3">
      <c r="A6325" s="1">
        <v>45260</v>
      </c>
      <c r="B6325" s="2" t="s">
        <v>694</v>
      </c>
      <c r="C6325" s="2" t="s">
        <v>115</v>
      </c>
      <c r="D6325" s="2" t="s">
        <v>28</v>
      </c>
      <c r="E6325" s="2" t="s">
        <v>29</v>
      </c>
      <c r="F6325" s="2">
        <v>36.19</v>
      </c>
      <c r="G6325" s="2">
        <v>1</v>
      </c>
      <c r="H6325" s="2">
        <v>2.71</v>
      </c>
      <c r="I6325" t="str">
        <f t="shared" si="98"/>
        <v>Nov</v>
      </c>
      <c r="J6325">
        <f>YEAR(datas[[#This Row],[Order Date]])</f>
        <v>2023</v>
      </c>
    </row>
    <row r="6326" spans="1:10" ht="14.25" customHeight="1" x14ac:dyDescent="0.3">
      <c r="A6326" s="1">
        <v>45260</v>
      </c>
      <c r="B6326" s="2" t="s">
        <v>272</v>
      </c>
      <c r="C6326" s="2" t="s">
        <v>60</v>
      </c>
      <c r="D6326" s="2" t="s">
        <v>10</v>
      </c>
      <c r="E6326" s="2" t="s">
        <v>11</v>
      </c>
      <c r="F6326" s="2">
        <v>33.36</v>
      </c>
      <c r="G6326" s="2">
        <v>4</v>
      </c>
      <c r="H6326" s="2">
        <v>16.68</v>
      </c>
      <c r="I6326" t="str">
        <f t="shared" si="98"/>
        <v>Nov</v>
      </c>
      <c r="J6326">
        <f>YEAR(datas[[#This Row],[Order Date]])</f>
        <v>2023</v>
      </c>
    </row>
    <row r="6327" spans="1:10" ht="14.25" customHeight="1" x14ac:dyDescent="0.3">
      <c r="A6327" s="1">
        <v>45260</v>
      </c>
      <c r="B6327" s="2" t="s">
        <v>272</v>
      </c>
      <c r="C6327" s="2" t="s">
        <v>60</v>
      </c>
      <c r="D6327" s="2" t="s">
        <v>10</v>
      </c>
      <c r="E6327" s="2" t="s">
        <v>11</v>
      </c>
      <c r="F6327" s="2">
        <v>13.76</v>
      </c>
      <c r="G6327" s="2">
        <v>2</v>
      </c>
      <c r="H6327" s="2">
        <v>6.33</v>
      </c>
      <c r="I6327" t="str">
        <f t="shared" si="98"/>
        <v>Nov</v>
      </c>
      <c r="J6327">
        <f>YEAR(datas[[#This Row],[Order Date]])</f>
        <v>2023</v>
      </c>
    </row>
    <row r="6328" spans="1:10" ht="14.25" customHeight="1" x14ac:dyDescent="0.3">
      <c r="A6328" s="1">
        <v>45260</v>
      </c>
      <c r="B6328" s="2" t="s">
        <v>272</v>
      </c>
      <c r="C6328" s="2" t="s">
        <v>60</v>
      </c>
      <c r="D6328" s="2" t="s">
        <v>10</v>
      </c>
      <c r="E6328" s="2" t="s">
        <v>15</v>
      </c>
      <c r="F6328" s="2">
        <v>496.86</v>
      </c>
      <c r="G6328" s="2">
        <v>7</v>
      </c>
      <c r="H6328" s="2">
        <v>24.84</v>
      </c>
      <c r="I6328" t="str">
        <f t="shared" si="98"/>
        <v>Nov</v>
      </c>
      <c r="J6328">
        <f>YEAR(datas[[#This Row],[Order Date]])</f>
        <v>2023</v>
      </c>
    </row>
    <row r="6329" spans="1:10" ht="14.25" customHeight="1" x14ac:dyDescent="0.3">
      <c r="A6329" s="1">
        <v>45260</v>
      </c>
      <c r="B6329" s="2" t="s">
        <v>272</v>
      </c>
      <c r="C6329" s="2" t="s">
        <v>60</v>
      </c>
      <c r="D6329" s="2" t="s">
        <v>26</v>
      </c>
      <c r="E6329" s="2" t="s">
        <v>27</v>
      </c>
      <c r="F6329" s="2">
        <v>389.97</v>
      </c>
      <c r="G6329" s="2">
        <v>3</v>
      </c>
      <c r="H6329" s="2">
        <v>35.1</v>
      </c>
      <c r="I6329" t="str">
        <f t="shared" si="98"/>
        <v>Nov</v>
      </c>
      <c r="J6329">
        <f>YEAR(datas[[#This Row],[Order Date]])</f>
        <v>2023</v>
      </c>
    </row>
    <row r="6330" spans="1:10" ht="14.25" customHeight="1" x14ac:dyDescent="0.3">
      <c r="A6330" s="1">
        <v>45261</v>
      </c>
      <c r="B6330" s="2" t="s">
        <v>403</v>
      </c>
      <c r="C6330" s="2" t="s">
        <v>140</v>
      </c>
      <c r="D6330" s="2" t="s">
        <v>10</v>
      </c>
      <c r="E6330" s="2" t="s">
        <v>11</v>
      </c>
      <c r="F6330" s="2">
        <v>23.92</v>
      </c>
      <c r="G6330" s="2">
        <v>4</v>
      </c>
      <c r="H6330" s="2">
        <v>11.72</v>
      </c>
      <c r="I6330" t="str">
        <f t="shared" si="98"/>
        <v>Dec</v>
      </c>
      <c r="J6330">
        <f>YEAR(datas[[#This Row],[Order Date]])</f>
        <v>2023</v>
      </c>
    </row>
    <row r="6331" spans="1:10" ht="14.25" customHeight="1" x14ac:dyDescent="0.3">
      <c r="A6331" s="1">
        <v>45261</v>
      </c>
      <c r="B6331" s="2" t="s">
        <v>332</v>
      </c>
      <c r="C6331" s="2" t="s">
        <v>215</v>
      </c>
      <c r="D6331" s="2" t="s">
        <v>26</v>
      </c>
      <c r="E6331" s="2" t="s">
        <v>27</v>
      </c>
      <c r="F6331" s="2">
        <v>172.5</v>
      </c>
      <c r="G6331" s="2">
        <v>2</v>
      </c>
      <c r="H6331" s="2">
        <v>51.75</v>
      </c>
      <c r="I6331" t="str">
        <f t="shared" si="98"/>
        <v>Dec</v>
      </c>
      <c r="J6331">
        <f>YEAR(datas[[#This Row],[Order Date]])</f>
        <v>2023</v>
      </c>
    </row>
    <row r="6332" spans="1:10" ht="14.25" customHeight="1" x14ac:dyDescent="0.3">
      <c r="A6332" s="1">
        <v>45261</v>
      </c>
      <c r="B6332" s="2" t="s">
        <v>332</v>
      </c>
      <c r="C6332" s="2" t="s">
        <v>215</v>
      </c>
      <c r="D6332" s="2" t="s">
        <v>28</v>
      </c>
      <c r="E6332" s="2" t="s">
        <v>29</v>
      </c>
      <c r="F6332" s="2">
        <v>179.97</v>
      </c>
      <c r="G6332" s="2">
        <v>3</v>
      </c>
      <c r="H6332" s="2">
        <v>44.99</v>
      </c>
      <c r="I6332" t="str">
        <f t="shared" si="98"/>
        <v>Dec</v>
      </c>
      <c r="J6332">
        <f>YEAR(datas[[#This Row],[Order Date]])</f>
        <v>2023</v>
      </c>
    </row>
    <row r="6333" spans="1:10" ht="14.25" customHeight="1" x14ac:dyDescent="0.3">
      <c r="A6333" s="1">
        <v>45261</v>
      </c>
      <c r="B6333" s="2" t="s">
        <v>314</v>
      </c>
      <c r="C6333" s="2" t="s">
        <v>68</v>
      </c>
      <c r="D6333" s="2" t="s">
        <v>26</v>
      </c>
      <c r="E6333" s="2" t="s">
        <v>32</v>
      </c>
      <c r="F6333" s="2">
        <v>17.309999999999999</v>
      </c>
      <c r="G6333" s="2">
        <v>3</v>
      </c>
      <c r="H6333" s="2">
        <v>5.19</v>
      </c>
      <c r="I6333" t="str">
        <f t="shared" si="98"/>
        <v>Dec</v>
      </c>
      <c r="J6333">
        <f>YEAR(datas[[#This Row],[Order Date]])</f>
        <v>2023</v>
      </c>
    </row>
    <row r="6334" spans="1:10" ht="14.25" customHeight="1" x14ac:dyDescent="0.3">
      <c r="A6334" s="1">
        <v>45261</v>
      </c>
      <c r="B6334" s="2" t="s">
        <v>220</v>
      </c>
      <c r="C6334" s="2" t="s">
        <v>62</v>
      </c>
      <c r="D6334" s="2" t="s">
        <v>10</v>
      </c>
      <c r="E6334" s="2" t="s">
        <v>19</v>
      </c>
      <c r="F6334" s="2">
        <v>4.7</v>
      </c>
      <c r="G6334" s="2">
        <v>2</v>
      </c>
      <c r="H6334" s="2">
        <v>0.41</v>
      </c>
      <c r="I6334" t="str">
        <f t="shared" si="98"/>
        <v>Dec</v>
      </c>
      <c r="J6334">
        <f>YEAR(datas[[#This Row],[Order Date]])</f>
        <v>2023</v>
      </c>
    </row>
    <row r="6335" spans="1:10" ht="14.25" customHeight="1" x14ac:dyDescent="0.3">
      <c r="A6335" s="1">
        <v>45261</v>
      </c>
      <c r="B6335" s="2" t="s">
        <v>388</v>
      </c>
      <c r="C6335" s="2" t="s">
        <v>21</v>
      </c>
      <c r="D6335" s="2" t="s">
        <v>26</v>
      </c>
      <c r="E6335" s="2" t="s">
        <v>32</v>
      </c>
      <c r="F6335" s="2">
        <v>16.739999999999998</v>
      </c>
      <c r="G6335" s="2">
        <v>2</v>
      </c>
      <c r="H6335" s="2">
        <v>4.3499999999999996</v>
      </c>
      <c r="I6335" t="str">
        <f t="shared" si="98"/>
        <v>Dec</v>
      </c>
      <c r="J6335">
        <f>YEAR(datas[[#This Row],[Order Date]])</f>
        <v>2023</v>
      </c>
    </row>
    <row r="6336" spans="1:10" ht="14.25" customHeight="1" x14ac:dyDescent="0.3">
      <c r="A6336" s="1">
        <v>45261</v>
      </c>
      <c r="B6336" s="2" t="s">
        <v>443</v>
      </c>
      <c r="C6336" s="2" t="s">
        <v>248</v>
      </c>
      <c r="D6336" s="2" t="s">
        <v>10</v>
      </c>
      <c r="E6336" s="2" t="s">
        <v>16</v>
      </c>
      <c r="F6336" s="2">
        <v>88.08</v>
      </c>
      <c r="G6336" s="2">
        <v>6</v>
      </c>
      <c r="H6336" s="2">
        <v>40.520000000000003</v>
      </c>
      <c r="I6336" t="str">
        <f t="shared" si="98"/>
        <v>Dec</v>
      </c>
      <c r="J6336">
        <f>YEAR(datas[[#This Row],[Order Date]])</f>
        <v>2023</v>
      </c>
    </row>
    <row r="6337" spans="1:10" ht="14.25" customHeight="1" x14ac:dyDescent="0.3">
      <c r="A6337" s="1">
        <v>45261</v>
      </c>
      <c r="B6337" s="2" t="s">
        <v>443</v>
      </c>
      <c r="C6337" s="2" t="s">
        <v>248</v>
      </c>
      <c r="D6337" s="2" t="s">
        <v>26</v>
      </c>
      <c r="E6337" s="2" t="s">
        <v>27</v>
      </c>
      <c r="F6337" s="2">
        <v>751.92</v>
      </c>
      <c r="G6337" s="2">
        <v>4</v>
      </c>
      <c r="H6337" s="2">
        <v>150.38</v>
      </c>
      <c r="I6337" t="str">
        <f t="shared" si="98"/>
        <v>Dec</v>
      </c>
      <c r="J6337">
        <f>YEAR(datas[[#This Row],[Order Date]])</f>
        <v>2023</v>
      </c>
    </row>
    <row r="6338" spans="1:10" ht="14.25" customHeight="1" x14ac:dyDescent="0.3">
      <c r="A6338" s="1">
        <v>45261</v>
      </c>
      <c r="B6338" s="2" t="s">
        <v>76</v>
      </c>
      <c r="C6338" s="2" t="s">
        <v>115</v>
      </c>
      <c r="D6338" s="2" t="s">
        <v>28</v>
      </c>
      <c r="E6338" s="2" t="s">
        <v>29</v>
      </c>
      <c r="F6338" s="2">
        <v>863.93</v>
      </c>
      <c r="G6338" s="2">
        <v>9</v>
      </c>
      <c r="H6338" s="2">
        <v>86.39</v>
      </c>
      <c r="I6338" t="str">
        <f t="shared" si="98"/>
        <v>Dec</v>
      </c>
      <c r="J6338">
        <f>YEAR(datas[[#This Row],[Order Date]])</f>
        <v>2023</v>
      </c>
    </row>
    <row r="6339" spans="1:10" ht="14.25" customHeight="1" x14ac:dyDescent="0.3">
      <c r="A6339" s="1">
        <v>45261</v>
      </c>
      <c r="B6339" s="2" t="s">
        <v>594</v>
      </c>
      <c r="C6339" s="2" t="s">
        <v>9</v>
      </c>
      <c r="D6339" s="2" t="s">
        <v>26</v>
      </c>
      <c r="E6339" s="2" t="s">
        <v>27</v>
      </c>
      <c r="F6339" s="2">
        <v>248.43</v>
      </c>
      <c r="G6339" s="2">
        <v>5</v>
      </c>
      <c r="H6339" s="2">
        <v>-17.75</v>
      </c>
      <c r="I6339" t="str">
        <f t="shared" ref="I6339:I6402" si="99">TEXT(A6339,"mmm")</f>
        <v>Dec</v>
      </c>
      <c r="J6339">
        <f>YEAR(datas[[#This Row],[Order Date]])</f>
        <v>2023</v>
      </c>
    </row>
    <row r="6340" spans="1:10" ht="14.25" customHeight="1" x14ac:dyDescent="0.3">
      <c r="A6340" s="1">
        <v>45261</v>
      </c>
      <c r="B6340" s="2" t="s">
        <v>594</v>
      </c>
      <c r="C6340" s="2" t="s">
        <v>9</v>
      </c>
      <c r="D6340" s="2" t="s">
        <v>10</v>
      </c>
      <c r="E6340" s="2" t="s">
        <v>53</v>
      </c>
      <c r="F6340" s="2">
        <v>11.65</v>
      </c>
      <c r="G6340" s="2">
        <v>4</v>
      </c>
      <c r="H6340" s="2">
        <v>-30.87</v>
      </c>
      <c r="I6340" t="str">
        <f t="shared" si="99"/>
        <v>Dec</v>
      </c>
      <c r="J6340">
        <f>YEAR(datas[[#This Row],[Order Date]])</f>
        <v>2023</v>
      </c>
    </row>
    <row r="6341" spans="1:10" ht="14.25" customHeight="1" x14ac:dyDescent="0.3">
      <c r="A6341" s="1">
        <v>45261</v>
      </c>
      <c r="B6341" s="2" t="s">
        <v>594</v>
      </c>
      <c r="C6341" s="2" t="s">
        <v>9</v>
      </c>
      <c r="D6341" s="2" t="s">
        <v>26</v>
      </c>
      <c r="E6341" s="2" t="s">
        <v>27</v>
      </c>
      <c r="F6341" s="2">
        <v>85.25</v>
      </c>
      <c r="G6341" s="2">
        <v>2</v>
      </c>
      <c r="H6341" s="2">
        <v>-1.22</v>
      </c>
      <c r="I6341" t="str">
        <f t="shared" si="99"/>
        <v>Dec</v>
      </c>
      <c r="J6341">
        <f>YEAR(datas[[#This Row],[Order Date]])</f>
        <v>2023</v>
      </c>
    </row>
    <row r="6342" spans="1:10" ht="14.25" customHeight="1" x14ac:dyDescent="0.3">
      <c r="A6342" s="1">
        <v>45261</v>
      </c>
      <c r="B6342" s="2" t="s">
        <v>119</v>
      </c>
      <c r="C6342" s="2" t="s">
        <v>181</v>
      </c>
      <c r="D6342" s="2" t="s">
        <v>28</v>
      </c>
      <c r="E6342" s="2" t="s">
        <v>29</v>
      </c>
      <c r="F6342" s="2">
        <v>137.94</v>
      </c>
      <c r="G6342" s="2">
        <v>3</v>
      </c>
      <c r="H6342" s="2">
        <v>35.86</v>
      </c>
      <c r="I6342" t="str">
        <f t="shared" si="99"/>
        <v>Dec</v>
      </c>
      <c r="J6342">
        <f>YEAR(datas[[#This Row],[Order Date]])</f>
        <v>2023</v>
      </c>
    </row>
    <row r="6343" spans="1:10" ht="14.25" customHeight="1" x14ac:dyDescent="0.3">
      <c r="A6343" s="1">
        <v>45261</v>
      </c>
      <c r="B6343" s="2" t="s">
        <v>119</v>
      </c>
      <c r="C6343" s="2" t="s">
        <v>181</v>
      </c>
      <c r="D6343" s="2" t="s">
        <v>26</v>
      </c>
      <c r="E6343" s="2" t="s">
        <v>32</v>
      </c>
      <c r="F6343" s="2">
        <v>111.15</v>
      </c>
      <c r="G6343" s="2">
        <v>5</v>
      </c>
      <c r="H6343" s="2">
        <v>48.91</v>
      </c>
      <c r="I6343" t="str">
        <f t="shared" si="99"/>
        <v>Dec</v>
      </c>
      <c r="J6343">
        <f>YEAR(datas[[#This Row],[Order Date]])</f>
        <v>2023</v>
      </c>
    </row>
    <row r="6344" spans="1:10" ht="14.25" customHeight="1" x14ac:dyDescent="0.3">
      <c r="A6344" s="1">
        <v>45261</v>
      </c>
      <c r="B6344" s="2" t="s">
        <v>119</v>
      </c>
      <c r="C6344" s="2" t="s">
        <v>181</v>
      </c>
      <c r="D6344" s="2" t="s">
        <v>10</v>
      </c>
      <c r="E6344" s="2" t="s">
        <v>53</v>
      </c>
      <c r="F6344" s="2">
        <v>901.95</v>
      </c>
      <c r="G6344" s="2">
        <v>3</v>
      </c>
      <c r="H6344" s="2">
        <v>297.64</v>
      </c>
      <c r="I6344" t="str">
        <f t="shared" si="99"/>
        <v>Dec</v>
      </c>
      <c r="J6344">
        <f>YEAR(datas[[#This Row],[Order Date]])</f>
        <v>2023</v>
      </c>
    </row>
    <row r="6345" spans="1:10" ht="14.25" customHeight="1" x14ac:dyDescent="0.3">
      <c r="A6345" s="1">
        <v>45261</v>
      </c>
      <c r="B6345" s="2" t="s">
        <v>119</v>
      </c>
      <c r="C6345" s="2" t="s">
        <v>181</v>
      </c>
      <c r="D6345" s="2" t="s">
        <v>26</v>
      </c>
      <c r="E6345" s="2" t="s">
        <v>73</v>
      </c>
      <c r="F6345" s="2">
        <v>366.01</v>
      </c>
      <c r="G6345" s="2">
        <v>3</v>
      </c>
      <c r="H6345" s="2">
        <v>-47.06</v>
      </c>
      <c r="I6345" t="str">
        <f t="shared" si="99"/>
        <v>Dec</v>
      </c>
      <c r="J6345">
        <f>YEAR(datas[[#This Row],[Order Date]])</f>
        <v>2023</v>
      </c>
    </row>
    <row r="6346" spans="1:10" ht="14.25" customHeight="1" x14ac:dyDescent="0.3">
      <c r="A6346" s="1">
        <v>45261</v>
      </c>
      <c r="B6346" s="2" t="s">
        <v>161</v>
      </c>
      <c r="C6346" s="2" t="s">
        <v>36</v>
      </c>
      <c r="D6346" s="2" t="s">
        <v>10</v>
      </c>
      <c r="E6346" s="2" t="s">
        <v>53</v>
      </c>
      <c r="F6346" s="2">
        <v>2104.5500000000002</v>
      </c>
      <c r="G6346" s="2">
        <v>7</v>
      </c>
      <c r="H6346" s="2">
        <v>694.5</v>
      </c>
      <c r="I6346" t="str">
        <f t="shared" si="99"/>
        <v>Dec</v>
      </c>
      <c r="J6346">
        <f>YEAR(datas[[#This Row],[Order Date]])</f>
        <v>2023</v>
      </c>
    </row>
    <row r="6347" spans="1:10" ht="14.25" customHeight="1" x14ac:dyDescent="0.3">
      <c r="A6347" s="1">
        <v>45261</v>
      </c>
      <c r="B6347" s="2" t="s">
        <v>161</v>
      </c>
      <c r="C6347" s="2" t="s">
        <v>36</v>
      </c>
      <c r="D6347" s="2" t="s">
        <v>10</v>
      </c>
      <c r="E6347" s="2" t="s">
        <v>95</v>
      </c>
      <c r="F6347" s="2">
        <v>40.700000000000003</v>
      </c>
      <c r="G6347" s="2">
        <v>5</v>
      </c>
      <c r="H6347" s="2">
        <v>11.8</v>
      </c>
      <c r="I6347" t="str">
        <f t="shared" si="99"/>
        <v>Dec</v>
      </c>
      <c r="J6347">
        <f>YEAR(datas[[#This Row],[Order Date]])</f>
        <v>2023</v>
      </c>
    </row>
    <row r="6348" spans="1:10" ht="14.25" customHeight="1" x14ac:dyDescent="0.3">
      <c r="A6348" s="1">
        <v>45261</v>
      </c>
      <c r="B6348" s="2" t="s">
        <v>226</v>
      </c>
      <c r="C6348" s="2" t="s">
        <v>21</v>
      </c>
      <c r="D6348" s="2" t="s">
        <v>26</v>
      </c>
      <c r="E6348" s="2" t="s">
        <v>32</v>
      </c>
      <c r="F6348" s="2">
        <v>31.96</v>
      </c>
      <c r="G6348" s="2">
        <v>2</v>
      </c>
      <c r="H6348" s="2">
        <v>1.6</v>
      </c>
      <c r="I6348" t="str">
        <f t="shared" si="99"/>
        <v>Dec</v>
      </c>
      <c r="J6348">
        <f>YEAR(datas[[#This Row],[Order Date]])</f>
        <v>2023</v>
      </c>
    </row>
    <row r="6349" spans="1:10" ht="14.25" customHeight="1" x14ac:dyDescent="0.3">
      <c r="A6349" s="1">
        <v>45261</v>
      </c>
      <c r="B6349" s="2" t="s">
        <v>226</v>
      </c>
      <c r="C6349" s="2" t="s">
        <v>21</v>
      </c>
      <c r="D6349" s="2" t="s">
        <v>10</v>
      </c>
      <c r="E6349" s="2" t="s">
        <v>11</v>
      </c>
      <c r="F6349" s="2">
        <v>47.9</v>
      </c>
      <c r="G6349" s="2">
        <v>1</v>
      </c>
      <c r="H6349" s="2">
        <v>22.99</v>
      </c>
      <c r="I6349" t="str">
        <f t="shared" si="99"/>
        <v>Dec</v>
      </c>
      <c r="J6349">
        <f>YEAR(datas[[#This Row],[Order Date]])</f>
        <v>2023</v>
      </c>
    </row>
    <row r="6350" spans="1:10" ht="14.25" customHeight="1" x14ac:dyDescent="0.3">
      <c r="A6350" s="1">
        <v>45261</v>
      </c>
      <c r="B6350" s="2" t="s">
        <v>226</v>
      </c>
      <c r="C6350" s="2" t="s">
        <v>21</v>
      </c>
      <c r="D6350" s="2" t="s">
        <v>10</v>
      </c>
      <c r="E6350" s="2" t="s">
        <v>15</v>
      </c>
      <c r="F6350" s="2">
        <v>1112.94</v>
      </c>
      <c r="G6350" s="2">
        <v>3</v>
      </c>
      <c r="H6350" s="2">
        <v>222.59</v>
      </c>
      <c r="I6350" t="str">
        <f t="shared" si="99"/>
        <v>Dec</v>
      </c>
      <c r="J6350">
        <f>YEAR(datas[[#This Row],[Order Date]])</f>
        <v>2023</v>
      </c>
    </row>
    <row r="6351" spans="1:10" ht="14.25" customHeight="1" x14ac:dyDescent="0.3">
      <c r="A6351" s="1">
        <v>45261</v>
      </c>
      <c r="B6351" s="2" t="s">
        <v>226</v>
      </c>
      <c r="C6351" s="2" t="s">
        <v>21</v>
      </c>
      <c r="D6351" s="2" t="s">
        <v>10</v>
      </c>
      <c r="E6351" s="2" t="s">
        <v>41</v>
      </c>
      <c r="F6351" s="2">
        <v>22.92</v>
      </c>
      <c r="G6351" s="2">
        <v>3</v>
      </c>
      <c r="H6351" s="2">
        <v>11.23</v>
      </c>
      <c r="I6351" t="str">
        <f t="shared" si="99"/>
        <v>Dec</v>
      </c>
      <c r="J6351">
        <f>YEAR(datas[[#This Row],[Order Date]])</f>
        <v>2023</v>
      </c>
    </row>
    <row r="6352" spans="1:10" ht="14.25" customHeight="1" x14ac:dyDescent="0.3">
      <c r="A6352" s="1">
        <v>45261</v>
      </c>
      <c r="B6352" s="2" t="s">
        <v>541</v>
      </c>
      <c r="C6352" s="2" t="s">
        <v>21</v>
      </c>
      <c r="D6352" s="2" t="s">
        <v>10</v>
      </c>
      <c r="E6352" s="2" t="s">
        <v>19</v>
      </c>
      <c r="F6352" s="2">
        <v>23.04</v>
      </c>
      <c r="G6352" s="2">
        <v>8</v>
      </c>
      <c r="H6352" s="2">
        <v>6.91</v>
      </c>
      <c r="I6352" t="str">
        <f t="shared" si="99"/>
        <v>Dec</v>
      </c>
      <c r="J6352">
        <f>YEAR(datas[[#This Row],[Order Date]])</f>
        <v>2023</v>
      </c>
    </row>
    <row r="6353" spans="1:10" ht="14.25" customHeight="1" x14ac:dyDescent="0.3">
      <c r="A6353" s="1">
        <v>45262</v>
      </c>
      <c r="B6353" s="2" t="s">
        <v>647</v>
      </c>
      <c r="C6353" s="2" t="s">
        <v>21</v>
      </c>
      <c r="D6353" s="2" t="s">
        <v>10</v>
      </c>
      <c r="E6353" s="2" t="s">
        <v>11</v>
      </c>
      <c r="F6353" s="2">
        <v>25.92</v>
      </c>
      <c r="G6353" s="2">
        <v>4</v>
      </c>
      <c r="H6353" s="2">
        <v>12.44</v>
      </c>
      <c r="I6353" t="str">
        <f t="shared" si="99"/>
        <v>Dec</v>
      </c>
      <c r="J6353">
        <f>YEAR(datas[[#This Row],[Order Date]])</f>
        <v>2023</v>
      </c>
    </row>
    <row r="6354" spans="1:10" ht="14.25" customHeight="1" x14ac:dyDescent="0.3">
      <c r="A6354" s="1">
        <v>45262</v>
      </c>
      <c r="B6354" s="2" t="s">
        <v>647</v>
      </c>
      <c r="C6354" s="2" t="s">
        <v>21</v>
      </c>
      <c r="D6354" s="2" t="s">
        <v>10</v>
      </c>
      <c r="E6354" s="2" t="s">
        <v>11</v>
      </c>
      <c r="F6354" s="2">
        <v>40.46</v>
      </c>
      <c r="G6354" s="2">
        <v>7</v>
      </c>
      <c r="H6354" s="2">
        <v>19.829999999999998</v>
      </c>
      <c r="I6354" t="str">
        <f t="shared" si="99"/>
        <v>Dec</v>
      </c>
      <c r="J6354">
        <f>YEAR(datas[[#This Row],[Order Date]])</f>
        <v>2023</v>
      </c>
    </row>
    <row r="6355" spans="1:10" ht="14.25" customHeight="1" x14ac:dyDescent="0.3">
      <c r="A6355" s="1">
        <v>45262</v>
      </c>
      <c r="B6355" s="2" t="s">
        <v>647</v>
      </c>
      <c r="C6355" s="2" t="s">
        <v>21</v>
      </c>
      <c r="D6355" s="2" t="s">
        <v>10</v>
      </c>
      <c r="E6355" s="2" t="s">
        <v>15</v>
      </c>
      <c r="F6355" s="2">
        <v>33.869999999999997</v>
      </c>
      <c r="G6355" s="2">
        <v>3</v>
      </c>
      <c r="H6355" s="2">
        <v>8.81</v>
      </c>
      <c r="I6355" t="str">
        <f t="shared" si="99"/>
        <v>Dec</v>
      </c>
      <c r="J6355">
        <f>YEAR(datas[[#This Row],[Order Date]])</f>
        <v>2023</v>
      </c>
    </row>
    <row r="6356" spans="1:10" ht="14.25" customHeight="1" x14ac:dyDescent="0.3">
      <c r="A6356" s="1">
        <v>45262</v>
      </c>
      <c r="B6356" s="2" t="s">
        <v>506</v>
      </c>
      <c r="C6356" s="2" t="s">
        <v>21</v>
      </c>
      <c r="D6356" s="2" t="s">
        <v>10</v>
      </c>
      <c r="E6356" s="2" t="s">
        <v>16</v>
      </c>
      <c r="F6356" s="2">
        <v>24.7</v>
      </c>
      <c r="G6356" s="2">
        <v>2</v>
      </c>
      <c r="H6356" s="2">
        <v>9.26</v>
      </c>
      <c r="I6356" t="str">
        <f t="shared" si="99"/>
        <v>Dec</v>
      </c>
      <c r="J6356">
        <f>YEAR(datas[[#This Row],[Order Date]])</f>
        <v>2023</v>
      </c>
    </row>
    <row r="6357" spans="1:10" ht="14.25" customHeight="1" x14ac:dyDescent="0.3">
      <c r="A6357" s="1">
        <v>45262</v>
      </c>
      <c r="B6357" s="2" t="s">
        <v>506</v>
      </c>
      <c r="C6357" s="2" t="s">
        <v>21</v>
      </c>
      <c r="D6357" s="2" t="s">
        <v>10</v>
      </c>
      <c r="E6357" s="2" t="s">
        <v>53</v>
      </c>
      <c r="F6357" s="2">
        <v>59.7</v>
      </c>
      <c r="G6357" s="2">
        <v>3</v>
      </c>
      <c r="H6357" s="2">
        <v>26.87</v>
      </c>
      <c r="I6357" t="str">
        <f t="shared" si="99"/>
        <v>Dec</v>
      </c>
      <c r="J6357">
        <f>YEAR(datas[[#This Row],[Order Date]])</f>
        <v>2023</v>
      </c>
    </row>
    <row r="6358" spans="1:10" ht="14.25" customHeight="1" x14ac:dyDescent="0.3">
      <c r="A6358" s="1">
        <v>45262</v>
      </c>
      <c r="B6358" s="2" t="s">
        <v>506</v>
      </c>
      <c r="C6358" s="2" t="s">
        <v>21</v>
      </c>
      <c r="D6358" s="2" t="s">
        <v>26</v>
      </c>
      <c r="E6358" s="2" t="s">
        <v>32</v>
      </c>
      <c r="F6358" s="2">
        <v>14.52</v>
      </c>
      <c r="G6358" s="2">
        <v>3</v>
      </c>
      <c r="H6358" s="2">
        <v>5.66</v>
      </c>
      <c r="I6358" t="str">
        <f t="shared" si="99"/>
        <v>Dec</v>
      </c>
      <c r="J6358">
        <f>YEAR(datas[[#This Row],[Order Date]])</f>
        <v>2023</v>
      </c>
    </row>
    <row r="6359" spans="1:10" ht="14.25" customHeight="1" x14ac:dyDescent="0.3">
      <c r="A6359" s="1">
        <v>45262</v>
      </c>
      <c r="B6359" s="2" t="s">
        <v>506</v>
      </c>
      <c r="C6359" s="2" t="s">
        <v>21</v>
      </c>
      <c r="D6359" s="2" t="s">
        <v>10</v>
      </c>
      <c r="E6359" s="2" t="s">
        <v>16</v>
      </c>
      <c r="F6359" s="2">
        <v>104.18</v>
      </c>
      <c r="G6359" s="2">
        <v>3</v>
      </c>
      <c r="H6359" s="2">
        <v>33.86</v>
      </c>
      <c r="I6359" t="str">
        <f t="shared" si="99"/>
        <v>Dec</v>
      </c>
      <c r="J6359">
        <f>YEAR(datas[[#This Row],[Order Date]])</f>
        <v>2023</v>
      </c>
    </row>
    <row r="6360" spans="1:10" ht="14.25" customHeight="1" x14ac:dyDescent="0.3">
      <c r="A6360" s="1">
        <v>45262</v>
      </c>
      <c r="B6360" s="2" t="s">
        <v>83</v>
      </c>
      <c r="C6360" s="2" t="s">
        <v>553</v>
      </c>
      <c r="D6360" s="2" t="s">
        <v>10</v>
      </c>
      <c r="E6360" s="2" t="s">
        <v>15</v>
      </c>
      <c r="F6360" s="2">
        <v>2079.4</v>
      </c>
      <c r="G6360" s="2">
        <v>5</v>
      </c>
      <c r="H6360" s="2">
        <v>582.23</v>
      </c>
      <c r="I6360" t="str">
        <f t="shared" si="99"/>
        <v>Dec</v>
      </c>
      <c r="J6360">
        <f>YEAR(datas[[#This Row],[Order Date]])</f>
        <v>2023</v>
      </c>
    </row>
    <row r="6361" spans="1:10" ht="14.25" customHeight="1" x14ac:dyDescent="0.3">
      <c r="A6361" s="1">
        <v>45262</v>
      </c>
      <c r="B6361" s="2" t="s">
        <v>83</v>
      </c>
      <c r="C6361" s="2" t="s">
        <v>553</v>
      </c>
      <c r="D6361" s="2" t="s">
        <v>28</v>
      </c>
      <c r="E6361" s="2" t="s">
        <v>29</v>
      </c>
      <c r="F6361" s="2">
        <v>629.95000000000005</v>
      </c>
      <c r="G6361" s="2">
        <v>5</v>
      </c>
      <c r="H6361" s="2">
        <v>176.39</v>
      </c>
      <c r="I6361" t="str">
        <f t="shared" si="99"/>
        <v>Dec</v>
      </c>
      <c r="J6361">
        <f>YEAR(datas[[#This Row],[Order Date]])</f>
        <v>2023</v>
      </c>
    </row>
    <row r="6362" spans="1:10" ht="14.25" customHeight="1" x14ac:dyDescent="0.3">
      <c r="A6362" s="1">
        <v>45262</v>
      </c>
      <c r="B6362" s="2" t="s">
        <v>83</v>
      </c>
      <c r="C6362" s="2" t="s">
        <v>553</v>
      </c>
      <c r="D6362" s="2" t="s">
        <v>26</v>
      </c>
      <c r="E6362" s="2" t="s">
        <v>32</v>
      </c>
      <c r="F6362" s="2">
        <v>72.42</v>
      </c>
      <c r="G6362" s="2">
        <v>6</v>
      </c>
      <c r="H6362" s="2">
        <v>23.9</v>
      </c>
      <c r="I6362" t="str">
        <f t="shared" si="99"/>
        <v>Dec</v>
      </c>
      <c r="J6362">
        <f>YEAR(datas[[#This Row],[Order Date]])</f>
        <v>2023</v>
      </c>
    </row>
    <row r="6363" spans="1:10" ht="14.25" customHeight="1" x14ac:dyDescent="0.3">
      <c r="A6363" s="1">
        <v>45262</v>
      </c>
      <c r="B6363" s="2" t="s">
        <v>581</v>
      </c>
      <c r="C6363" s="2" t="s">
        <v>75</v>
      </c>
      <c r="D6363" s="2" t="s">
        <v>10</v>
      </c>
      <c r="E6363" s="2" t="s">
        <v>16</v>
      </c>
      <c r="F6363" s="2">
        <v>415.18</v>
      </c>
      <c r="G6363" s="2">
        <v>3</v>
      </c>
      <c r="H6363" s="2">
        <v>134.93</v>
      </c>
      <c r="I6363" t="str">
        <f t="shared" si="99"/>
        <v>Dec</v>
      </c>
      <c r="J6363">
        <f>YEAR(datas[[#This Row],[Order Date]])</f>
        <v>2023</v>
      </c>
    </row>
    <row r="6364" spans="1:10" ht="14.25" customHeight="1" x14ac:dyDescent="0.3">
      <c r="A6364" s="1">
        <v>45262</v>
      </c>
      <c r="B6364" s="2" t="s">
        <v>581</v>
      </c>
      <c r="C6364" s="2" t="s">
        <v>75</v>
      </c>
      <c r="D6364" s="2" t="s">
        <v>10</v>
      </c>
      <c r="E6364" s="2" t="s">
        <v>16</v>
      </c>
      <c r="F6364" s="2">
        <v>35.229999999999997</v>
      </c>
      <c r="G6364" s="2">
        <v>3</v>
      </c>
      <c r="H6364" s="2">
        <v>11.45</v>
      </c>
      <c r="I6364" t="str">
        <f t="shared" si="99"/>
        <v>Dec</v>
      </c>
      <c r="J6364">
        <f>YEAR(datas[[#This Row],[Order Date]])</f>
        <v>2023</v>
      </c>
    </row>
    <row r="6365" spans="1:10" ht="14.25" customHeight="1" x14ac:dyDescent="0.3">
      <c r="A6365" s="1">
        <v>45262</v>
      </c>
      <c r="B6365" s="2" t="s">
        <v>581</v>
      </c>
      <c r="C6365" s="2" t="s">
        <v>75</v>
      </c>
      <c r="D6365" s="2" t="s">
        <v>10</v>
      </c>
      <c r="E6365" s="2" t="s">
        <v>11</v>
      </c>
      <c r="F6365" s="2">
        <v>54.96</v>
      </c>
      <c r="G6365" s="2">
        <v>1</v>
      </c>
      <c r="H6365" s="2">
        <v>26.93</v>
      </c>
      <c r="I6365" t="str">
        <f t="shared" si="99"/>
        <v>Dec</v>
      </c>
      <c r="J6365">
        <f>YEAR(datas[[#This Row],[Order Date]])</f>
        <v>2023</v>
      </c>
    </row>
    <row r="6366" spans="1:10" ht="14.25" customHeight="1" x14ac:dyDescent="0.3">
      <c r="A6366" s="1">
        <v>45262</v>
      </c>
      <c r="B6366" s="2" t="s">
        <v>535</v>
      </c>
      <c r="C6366" s="2" t="s">
        <v>126</v>
      </c>
      <c r="D6366" s="2" t="s">
        <v>28</v>
      </c>
      <c r="E6366" s="2" t="s">
        <v>34</v>
      </c>
      <c r="F6366" s="2">
        <v>165.6</v>
      </c>
      <c r="G6366" s="2">
        <v>3</v>
      </c>
      <c r="H6366" s="2">
        <v>-6.21</v>
      </c>
      <c r="I6366" t="str">
        <f t="shared" si="99"/>
        <v>Dec</v>
      </c>
      <c r="J6366">
        <f>YEAR(datas[[#This Row],[Order Date]])</f>
        <v>2023</v>
      </c>
    </row>
    <row r="6367" spans="1:10" ht="14.25" customHeight="1" x14ac:dyDescent="0.3">
      <c r="A6367" s="1">
        <v>45262</v>
      </c>
      <c r="B6367" s="2" t="s">
        <v>269</v>
      </c>
      <c r="C6367" s="2" t="s">
        <v>165</v>
      </c>
      <c r="D6367" s="2" t="s">
        <v>10</v>
      </c>
      <c r="E6367" s="2" t="s">
        <v>16</v>
      </c>
      <c r="F6367" s="2">
        <v>115.84</v>
      </c>
      <c r="G6367" s="2">
        <v>8</v>
      </c>
      <c r="H6367" s="2">
        <v>54.44</v>
      </c>
      <c r="I6367" t="str">
        <f t="shared" si="99"/>
        <v>Dec</v>
      </c>
      <c r="J6367">
        <f>YEAR(datas[[#This Row],[Order Date]])</f>
        <v>2023</v>
      </c>
    </row>
    <row r="6368" spans="1:10" ht="14.25" customHeight="1" x14ac:dyDescent="0.3">
      <c r="A6368" s="1">
        <v>45262</v>
      </c>
      <c r="B6368" s="2" t="s">
        <v>232</v>
      </c>
      <c r="C6368" s="2" t="s">
        <v>9</v>
      </c>
      <c r="D6368" s="2" t="s">
        <v>26</v>
      </c>
      <c r="E6368" s="2" t="s">
        <v>45</v>
      </c>
      <c r="F6368" s="2">
        <v>781.86</v>
      </c>
      <c r="G6368" s="2">
        <v>10</v>
      </c>
      <c r="H6368" s="2">
        <v>-137.97999999999999</v>
      </c>
      <c r="I6368" t="str">
        <f t="shared" si="99"/>
        <v>Dec</v>
      </c>
      <c r="J6368">
        <f>YEAR(datas[[#This Row],[Order Date]])</f>
        <v>2023</v>
      </c>
    </row>
    <row r="6369" spans="1:10" ht="14.25" customHeight="1" x14ac:dyDescent="0.3">
      <c r="A6369" s="1">
        <v>45262</v>
      </c>
      <c r="B6369" s="2" t="s">
        <v>232</v>
      </c>
      <c r="C6369" s="2" t="s">
        <v>9</v>
      </c>
      <c r="D6369" s="2" t="s">
        <v>10</v>
      </c>
      <c r="E6369" s="2" t="s">
        <v>11</v>
      </c>
      <c r="F6369" s="2">
        <v>30.82</v>
      </c>
      <c r="G6369" s="2">
        <v>9</v>
      </c>
      <c r="H6369" s="2">
        <v>9.6300000000000008</v>
      </c>
      <c r="I6369" t="str">
        <f t="shared" si="99"/>
        <v>Dec</v>
      </c>
      <c r="J6369">
        <f>YEAR(datas[[#This Row],[Order Date]])</f>
        <v>2023</v>
      </c>
    </row>
    <row r="6370" spans="1:10" ht="14.25" customHeight="1" x14ac:dyDescent="0.3">
      <c r="A6370" s="1">
        <v>45263</v>
      </c>
      <c r="B6370" s="2" t="s">
        <v>782</v>
      </c>
      <c r="C6370" s="2" t="s">
        <v>75</v>
      </c>
      <c r="D6370" s="2" t="s">
        <v>10</v>
      </c>
      <c r="E6370" s="2" t="s">
        <v>11</v>
      </c>
      <c r="F6370" s="2">
        <v>182.72</v>
      </c>
      <c r="G6370" s="2">
        <v>8</v>
      </c>
      <c r="H6370" s="2">
        <v>84.05</v>
      </c>
      <c r="I6370" t="str">
        <f t="shared" si="99"/>
        <v>Dec</v>
      </c>
      <c r="J6370">
        <f>YEAR(datas[[#This Row],[Order Date]])</f>
        <v>2023</v>
      </c>
    </row>
    <row r="6371" spans="1:10" ht="14.25" customHeight="1" x14ac:dyDescent="0.3">
      <c r="A6371" s="1">
        <v>45263</v>
      </c>
      <c r="B6371" s="2" t="s">
        <v>782</v>
      </c>
      <c r="C6371" s="2" t="s">
        <v>75</v>
      </c>
      <c r="D6371" s="2" t="s">
        <v>26</v>
      </c>
      <c r="E6371" s="2" t="s">
        <v>73</v>
      </c>
      <c r="F6371" s="2">
        <v>400.03</v>
      </c>
      <c r="G6371" s="2">
        <v>2</v>
      </c>
      <c r="H6371" s="2">
        <v>-153.35</v>
      </c>
      <c r="I6371" t="str">
        <f t="shared" si="99"/>
        <v>Dec</v>
      </c>
      <c r="J6371">
        <f>YEAR(datas[[#This Row],[Order Date]])</f>
        <v>2023</v>
      </c>
    </row>
    <row r="6372" spans="1:10" ht="14.25" customHeight="1" x14ac:dyDescent="0.3">
      <c r="A6372" s="1">
        <v>45263</v>
      </c>
      <c r="B6372" s="2" t="s">
        <v>782</v>
      </c>
      <c r="C6372" s="2" t="s">
        <v>75</v>
      </c>
      <c r="D6372" s="2" t="s">
        <v>10</v>
      </c>
      <c r="E6372" s="2" t="s">
        <v>15</v>
      </c>
      <c r="F6372" s="2">
        <v>33.630000000000003</v>
      </c>
      <c r="G6372" s="2">
        <v>3</v>
      </c>
      <c r="H6372" s="2">
        <v>10.09</v>
      </c>
      <c r="I6372" t="str">
        <f t="shared" si="99"/>
        <v>Dec</v>
      </c>
      <c r="J6372">
        <f>YEAR(datas[[#This Row],[Order Date]])</f>
        <v>2023</v>
      </c>
    </row>
    <row r="6373" spans="1:10" ht="14.25" customHeight="1" x14ac:dyDescent="0.3">
      <c r="A6373" s="1">
        <v>45263</v>
      </c>
      <c r="B6373" s="2" t="s">
        <v>782</v>
      </c>
      <c r="C6373" s="2" t="s">
        <v>75</v>
      </c>
      <c r="D6373" s="2" t="s">
        <v>26</v>
      </c>
      <c r="E6373" s="2" t="s">
        <v>27</v>
      </c>
      <c r="F6373" s="2">
        <v>542.65</v>
      </c>
      <c r="G6373" s="2">
        <v>3</v>
      </c>
      <c r="H6373" s="2">
        <v>102.5</v>
      </c>
      <c r="I6373" t="str">
        <f t="shared" si="99"/>
        <v>Dec</v>
      </c>
      <c r="J6373">
        <f>YEAR(datas[[#This Row],[Order Date]])</f>
        <v>2023</v>
      </c>
    </row>
    <row r="6374" spans="1:10" ht="14.25" customHeight="1" x14ac:dyDescent="0.3">
      <c r="A6374" s="1">
        <v>45263</v>
      </c>
      <c r="B6374" s="2" t="s">
        <v>782</v>
      </c>
      <c r="C6374" s="2" t="s">
        <v>75</v>
      </c>
      <c r="D6374" s="2" t="s">
        <v>10</v>
      </c>
      <c r="E6374" s="2" t="s">
        <v>14</v>
      </c>
      <c r="F6374" s="2">
        <v>6.3</v>
      </c>
      <c r="G6374" s="2">
        <v>2</v>
      </c>
      <c r="H6374" s="2">
        <v>3.02</v>
      </c>
      <c r="I6374" t="str">
        <f t="shared" si="99"/>
        <v>Dec</v>
      </c>
      <c r="J6374">
        <f>YEAR(datas[[#This Row],[Order Date]])</f>
        <v>2023</v>
      </c>
    </row>
    <row r="6375" spans="1:10" ht="14.25" customHeight="1" x14ac:dyDescent="0.3">
      <c r="A6375" s="1">
        <v>45263</v>
      </c>
      <c r="B6375" s="2" t="s">
        <v>814</v>
      </c>
      <c r="C6375" s="2" t="s">
        <v>18</v>
      </c>
      <c r="D6375" s="2" t="s">
        <v>10</v>
      </c>
      <c r="E6375" s="2" t="s">
        <v>53</v>
      </c>
      <c r="F6375" s="2">
        <v>394.82</v>
      </c>
      <c r="G6375" s="2">
        <v>4</v>
      </c>
      <c r="H6375" s="2">
        <v>93.77</v>
      </c>
      <c r="I6375" t="str">
        <f t="shared" si="99"/>
        <v>Dec</v>
      </c>
      <c r="J6375">
        <f>YEAR(datas[[#This Row],[Order Date]])</f>
        <v>2023</v>
      </c>
    </row>
    <row r="6376" spans="1:10" ht="14.25" customHeight="1" x14ac:dyDescent="0.3">
      <c r="A6376" s="1">
        <v>45263</v>
      </c>
      <c r="B6376" s="2" t="s">
        <v>814</v>
      </c>
      <c r="C6376" s="2" t="s">
        <v>18</v>
      </c>
      <c r="D6376" s="2" t="s">
        <v>10</v>
      </c>
      <c r="E6376" s="2" t="s">
        <v>16</v>
      </c>
      <c r="F6376" s="2">
        <v>18.190000000000001</v>
      </c>
      <c r="G6376" s="2">
        <v>4</v>
      </c>
      <c r="H6376" s="2">
        <v>-14.55</v>
      </c>
      <c r="I6376" t="str">
        <f t="shared" si="99"/>
        <v>Dec</v>
      </c>
      <c r="J6376">
        <f>YEAR(datas[[#This Row],[Order Date]])</f>
        <v>2023</v>
      </c>
    </row>
    <row r="6377" spans="1:10" ht="14.25" customHeight="1" x14ac:dyDescent="0.3">
      <c r="A6377" s="1">
        <v>45263</v>
      </c>
      <c r="B6377" s="2" t="s">
        <v>758</v>
      </c>
      <c r="C6377" s="2" t="s">
        <v>21</v>
      </c>
      <c r="D6377" s="2" t="s">
        <v>28</v>
      </c>
      <c r="E6377" s="2" t="s">
        <v>34</v>
      </c>
      <c r="F6377" s="2">
        <v>1649.95</v>
      </c>
      <c r="G6377" s="2">
        <v>5</v>
      </c>
      <c r="H6377" s="2">
        <v>659.98</v>
      </c>
      <c r="I6377" t="str">
        <f t="shared" si="99"/>
        <v>Dec</v>
      </c>
      <c r="J6377">
        <f>YEAR(datas[[#This Row],[Order Date]])</f>
        <v>2023</v>
      </c>
    </row>
    <row r="6378" spans="1:10" ht="14.25" customHeight="1" x14ac:dyDescent="0.3">
      <c r="A6378" s="1">
        <v>45263</v>
      </c>
      <c r="B6378" s="2" t="s">
        <v>758</v>
      </c>
      <c r="C6378" s="2" t="s">
        <v>21</v>
      </c>
      <c r="D6378" s="2" t="s">
        <v>26</v>
      </c>
      <c r="E6378" s="2" t="s">
        <v>32</v>
      </c>
      <c r="F6378" s="2">
        <v>111.9</v>
      </c>
      <c r="G6378" s="2">
        <v>6</v>
      </c>
      <c r="H6378" s="2">
        <v>51.47</v>
      </c>
      <c r="I6378" t="str">
        <f t="shared" si="99"/>
        <v>Dec</v>
      </c>
      <c r="J6378">
        <f>YEAR(datas[[#This Row],[Order Date]])</f>
        <v>2023</v>
      </c>
    </row>
    <row r="6379" spans="1:10" ht="14.25" customHeight="1" x14ac:dyDescent="0.3">
      <c r="A6379" s="1">
        <v>45263</v>
      </c>
      <c r="B6379" s="2" t="s">
        <v>46</v>
      </c>
      <c r="C6379" s="2" t="s">
        <v>68</v>
      </c>
      <c r="D6379" s="2" t="s">
        <v>26</v>
      </c>
      <c r="E6379" s="2" t="s">
        <v>73</v>
      </c>
      <c r="F6379" s="2">
        <v>581.96</v>
      </c>
      <c r="G6379" s="2">
        <v>2</v>
      </c>
      <c r="H6379" s="2">
        <v>104.75</v>
      </c>
      <c r="I6379" t="str">
        <f t="shared" si="99"/>
        <v>Dec</v>
      </c>
      <c r="J6379">
        <f>YEAR(datas[[#This Row],[Order Date]])</f>
        <v>2023</v>
      </c>
    </row>
    <row r="6380" spans="1:10" ht="14.25" customHeight="1" x14ac:dyDescent="0.3">
      <c r="A6380" s="1">
        <v>45263</v>
      </c>
      <c r="B6380" s="2" t="s">
        <v>46</v>
      </c>
      <c r="C6380" s="2" t="s">
        <v>68</v>
      </c>
      <c r="D6380" s="2" t="s">
        <v>26</v>
      </c>
      <c r="E6380" s="2" t="s">
        <v>27</v>
      </c>
      <c r="F6380" s="2">
        <v>29.98</v>
      </c>
      <c r="G6380" s="2">
        <v>1</v>
      </c>
      <c r="H6380" s="2">
        <v>8.09</v>
      </c>
      <c r="I6380" t="str">
        <f t="shared" si="99"/>
        <v>Dec</v>
      </c>
      <c r="J6380">
        <f>YEAR(datas[[#This Row],[Order Date]])</f>
        <v>2023</v>
      </c>
    </row>
    <row r="6381" spans="1:10" ht="14.25" customHeight="1" x14ac:dyDescent="0.3">
      <c r="A6381" s="1">
        <v>45263</v>
      </c>
      <c r="B6381" s="2" t="s">
        <v>152</v>
      </c>
      <c r="C6381" s="2" t="s">
        <v>21</v>
      </c>
      <c r="D6381" s="2" t="s">
        <v>10</v>
      </c>
      <c r="E6381" s="2" t="s">
        <v>15</v>
      </c>
      <c r="F6381" s="2">
        <v>772.68</v>
      </c>
      <c r="G6381" s="2">
        <v>4</v>
      </c>
      <c r="H6381" s="2">
        <v>108.18</v>
      </c>
      <c r="I6381" t="str">
        <f t="shared" si="99"/>
        <v>Dec</v>
      </c>
      <c r="J6381">
        <f>YEAR(datas[[#This Row],[Order Date]])</f>
        <v>2023</v>
      </c>
    </row>
    <row r="6382" spans="1:10" ht="14.25" customHeight="1" x14ac:dyDescent="0.3">
      <c r="A6382" s="1">
        <v>45263</v>
      </c>
      <c r="B6382" s="2" t="s">
        <v>378</v>
      </c>
      <c r="C6382" s="2" t="s">
        <v>21</v>
      </c>
      <c r="D6382" s="2" t="s">
        <v>26</v>
      </c>
      <c r="E6382" s="2" t="s">
        <v>73</v>
      </c>
      <c r="F6382" s="2">
        <v>268.7</v>
      </c>
      <c r="G6382" s="2">
        <v>3</v>
      </c>
      <c r="H6382" s="2">
        <v>6.72</v>
      </c>
      <c r="I6382" t="str">
        <f t="shared" si="99"/>
        <v>Dec</v>
      </c>
      <c r="J6382">
        <f>YEAR(datas[[#This Row],[Order Date]])</f>
        <v>2023</v>
      </c>
    </row>
    <row r="6383" spans="1:10" ht="14.25" customHeight="1" x14ac:dyDescent="0.3">
      <c r="A6383" s="1">
        <v>45263</v>
      </c>
      <c r="B6383" s="2" t="s">
        <v>378</v>
      </c>
      <c r="C6383" s="2" t="s">
        <v>21</v>
      </c>
      <c r="D6383" s="2" t="s">
        <v>10</v>
      </c>
      <c r="E6383" s="2" t="s">
        <v>19</v>
      </c>
      <c r="F6383" s="2">
        <v>21.92</v>
      </c>
      <c r="G6383" s="2">
        <v>8</v>
      </c>
      <c r="H6383" s="2">
        <v>5.92</v>
      </c>
      <c r="I6383" t="str">
        <f t="shared" si="99"/>
        <v>Dec</v>
      </c>
      <c r="J6383">
        <f>YEAR(datas[[#This Row],[Order Date]])</f>
        <v>2023</v>
      </c>
    </row>
    <row r="6384" spans="1:10" ht="14.25" customHeight="1" x14ac:dyDescent="0.3">
      <c r="A6384" s="1">
        <v>45263</v>
      </c>
      <c r="B6384" s="2" t="s">
        <v>378</v>
      </c>
      <c r="C6384" s="2" t="s">
        <v>21</v>
      </c>
      <c r="D6384" s="2" t="s">
        <v>10</v>
      </c>
      <c r="E6384" s="2" t="s">
        <v>15</v>
      </c>
      <c r="F6384" s="2">
        <v>48.72</v>
      </c>
      <c r="G6384" s="2">
        <v>3</v>
      </c>
      <c r="H6384" s="2">
        <v>7.31</v>
      </c>
      <c r="I6384" t="str">
        <f t="shared" si="99"/>
        <v>Dec</v>
      </c>
      <c r="J6384">
        <f>YEAR(datas[[#This Row],[Order Date]])</f>
        <v>2023</v>
      </c>
    </row>
    <row r="6385" spans="1:10" ht="14.25" customHeight="1" x14ac:dyDescent="0.3">
      <c r="A6385" s="1">
        <v>45263</v>
      </c>
      <c r="B6385" s="2" t="s">
        <v>378</v>
      </c>
      <c r="C6385" s="2" t="s">
        <v>21</v>
      </c>
      <c r="D6385" s="2" t="s">
        <v>26</v>
      </c>
      <c r="E6385" s="2" t="s">
        <v>45</v>
      </c>
      <c r="F6385" s="2">
        <v>205.67</v>
      </c>
      <c r="G6385" s="2">
        <v>2</v>
      </c>
      <c r="H6385" s="2">
        <v>-12.1</v>
      </c>
      <c r="I6385" t="str">
        <f t="shared" si="99"/>
        <v>Dec</v>
      </c>
      <c r="J6385">
        <f>YEAR(datas[[#This Row],[Order Date]])</f>
        <v>2023</v>
      </c>
    </row>
    <row r="6386" spans="1:10" ht="14.25" customHeight="1" x14ac:dyDescent="0.3">
      <c r="A6386" s="1">
        <v>45264</v>
      </c>
      <c r="B6386" s="2" t="s">
        <v>453</v>
      </c>
      <c r="C6386" s="2" t="s">
        <v>75</v>
      </c>
      <c r="D6386" s="2" t="s">
        <v>26</v>
      </c>
      <c r="E6386" s="2" t="s">
        <v>32</v>
      </c>
      <c r="F6386" s="2">
        <v>113.79</v>
      </c>
      <c r="G6386" s="2">
        <v>3</v>
      </c>
      <c r="H6386" s="2">
        <v>20.48</v>
      </c>
      <c r="I6386" t="str">
        <f t="shared" si="99"/>
        <v>Dec</v>
      </c>
      <c r="J6386">
        <f>YEAR(datas[[#This Row],[Order Date]])</f>
        <v>2023</v>
      </c>
    </row>
    <row r="6387" spans="1:10" ht="14.25" customHeight="1" x14ac:dyDescent="0.3">
      <c r="A6387" s="1">
        <v>45264</v>
      </c>
      <c r="B6387" s="2" t="s">
        <v>453</v>
      </c>
      <c r="C6387" s="2" t="s">
        <v>75</v>
      </c>
      <c r="D6387" s="2" t="s">
        <v>28</v>
      </c>
      <c r="E6387" s="2" t="s">
        <v>34</v>
      </c>
      <c r="F6387" s="2">
        <v>78.150000000000006</v>
      </c>
      <c r="G6387" s="2">
        <v>1</v>
      </c>
      <c r="H6387" s="2">
        <v>34.39</v>
      </c>
      <c r="I6387" t="str">
        <f t="shared" si="99"/>
        <v>Dec</v>
      </c>
      <c r="J6387">
        <f>YEAR(datas[[#This Row],[Order Date]])</f>
        <v>2023</v>
      </c>
    </row>
    <row r="6388" spans="1:10" ht="14.25" customHeight="1" x14ac:dyDescent="0.3">
      <c r="A6388" s="1">
        <v>45264</v>
      </c>
      <c r="B6388" s="2" t="s">
        <v>453</v>
      </c>
      <c r="C6388" s="2" t="s">
        <v>75</v>
      </c>
      <c r="D6388" s="2" t="s">
        <v>10</v>
      </c>
      <c r="E6388" s="2" t="s">
        <v>16</v>
      </c>
      <c r="F6388" s="2">
        <v>1.73</v>
      </c>
      <c r="G6388" s="2">
        <v>1</v>
      </c>
      <c r="H6388" s="2">
        <v>0.6</v>
      </c>
      <c r="I6388" t="str">
        <f t="shared" si="99"/>
        <v>Dec</v>
      </c>
      <c r="J6388">
        <f>YEAR(datas[[#This Row],[Order Date]])</f>
        <v>2023</v>
      </c>
    </row>
    <row r="6389" spans="1:10" ht="14.25" customHeight="1" x14ac:dyDescent="0.3">
      <c r="A6389" s="1">
        <v>45264</v>
      </c>
      <c r="B6389" s="2" t="s">
        <v>453</v>
      </c>
      <c r="C6389" s="2" t="s">
        <v>75</v>
      </c>
      <c r="D6389" s="2" t="s">
        <v>10</v>
      </c>
      <c r="E6389" s="2" t="s">
        <v>11</v>
      </c>
      <c r="F6389" s="2">
        <v>40.56</v>
      </c>
      <c r="G6389" s="2">
        <v>4</v>
      </c>
      <c r="H6389" s="2">
        <v>19.87</v>
      </c>
      <c r="I6389" t="str">
        <f t="shared" si="99"/>
        <v>Dec</v>
      </c>
      <c r="J6389">
        <f>YEAR(datas[[#This Row],[Order Date]])</f>
        <v>2023</v>
      </c>
    </row>
    <row r="6390" spans="1:10" ht="14.25" customHeight="1" x14ac:dyDescent="0.3">
      <c r="A6390" s="1">
        <v>45264</v>
      </c>
      <c r="B6390" s="2" t="s">
        <v>453</v>
      </c>
      <c r="C6390" s="2" t="s">
        <v>75</v>
      </c>
      <c r="D6390" s="2" t="s">
        <v>10</v>
      </c>
      <c r="E6390" s="2" t="s">
        <v>15</v>
      </c>
      <c r="F6390" s="2">
        <v>182.94</v>
      </c>
      <c r="G6390" s="2">
        <v>3</v>
      </c>
      <c r="H6390" s="2">
        <v>3.66</v>
      </c>
      <c r="I6390" t="str">
        <f t="shared" si="99"/>
        <v>Dec</v>
      </c>
      <c r="J6390">
        <f>YEAR(datas[[#This Row],[Order Date]])</f>
        <v>2023</v>
      </c>
    </row>
    <row r="6391" spans="1:10" ht="14.25" customHeight="1" x14ac:dyDescent="0.3">
      <c r="A6391" s="1">
        <v>45264</v>
      </c>
      <c r="B6391" s="2" t="s">
        <v>453</v>
      </c>
      <c r="C6391" s="2" t="s">
        <v>75</v>
      </c>
      <c r="D6391" s="2" t="s">
        <v>10</v>
      </c>
      <c r="E6391" s="2" t="s">
        <v>15</v>
      </c>
      <c r="F6391" s="2">
        <v>193.86</v>
      </c>
      <c r="G6391" s="2">
        <v>2</v>
      </c>
      <c r="H6391" s="2">
        <v>11.63</v>
      </c>
      <c r="I6391" t="str">
        <f t="shared" si="99"/>
        <v>Dec</v>
      </c>
      <c r="J6391">
        <f>YEAR(datas[[#This Row],[Order Date]])</f>
        <v>2023</v>
      </c>
    </row>
    <row r="6392" spans="1:10" ht="14.25" customHeight="1" x14ac:dyDescent="0.3">
      <c r="A6392" s="1">
        <v>45264</v>
      </c>
      <c r="B6392" s="2" t="s">
        <v>294</v>
      </c>
      <c r="C6392" s="2" t="s">
        <v>75</v>
      </c>
      <c r="D6392" s="2" t="s">
        <v>10</v>
      </c>
      <c r="E6392" s="2" t="s">
        <v>15</v>
      </c>
      <c r="F6392" s="2">
        <v>212.88</v>
      </c>
      <c r="G6392" s="2">
        <v>6</v>
      </c>
      <c r="H6392" s="2">
        <v>0</v>
      </c>
      <c r="I6392" t="str">
        <f t="shared" si="99"/>
        <v>Dec</v>
      </c>
      <c r="J6392">
        <f>YEAR(datas[[#This Row],[Order Date]])</f>
        <v>2023</v>
      </c>
    </row>
    <row r="6393" spans="1:10" ht="14.25" customHeight="1" x14ac:dyDescent="0.3">
      <c r="A6393" s="1">
        <v>45264</v>
      </c>
      <c r="B6393" s="2" t="s">
        <v>340</v>
      </c>
      <c r="C6393" s="2" t="s">
        <v>75</v>
      </c>
      <c r="D6393" s="2" t="s">
        <v>10</v>
      </c>
      <c r="E6393" s="2" t="s">
        <v>16</v>
      </c>
      <c r="F6393" s="2">
        <v>15.53</v>
      </c>
      <c r="G6393" s="2">
        <v>3</v>
      </c>
      <c r="H6393" s="2">
        <v>5.82</v>
      </c>
      <c r="I6393" t="str">
        <f t="shared" si="99"/>
        <v>Dec</v>
      </c>
      <c r="J6393">
        <f>YEAR(datas[[#This Row],[Order Date]])</f>
        <v>2023</v>
      </c>
    </row>
    <row r="6394" spans="1:10" ht="14.25" customHeight="1" x14ac:dyDescent="0.3">
      <c r="A6394" s="1">
        <v>45264</v>
      </c>
      <c r="B6394" s="2" t="s">
        <v>458</v>
      </c>
      <c r="C6394" s="2" t="s">
        <v>21</v>
      </c>
      <c r="D6394" s="2" t="s">
        <v>10</v>
      </c>
      <c r="E6394" s="2" t="s">
        <v>11</v>
      </c>
      <c r="F6394" s="2">
        <v>104.85</v>
      </c>
      <c r="G6394" s="2">
        <v>1</v>
      </c>
      <c r="H6394" s="2">
        <v>50.33</v>
      </c>
      <c r="I6394" t="str">
        <f t="shared" si="99"/>
        <v>Dec</v>
      </c>
      <c r="J6394">
        <f>YEAR(datas[[#This Row],[Order Date]])</f>
        <v>2023</v>
      </c>
    </row>
    <row r="6395" spans="1:10" ht="14.25" customHeight="1" x14ac:dyDescent="0.3">
      <c r="A6395" s="1">
        <v>45265</v>
      </c>
      <c r="B6395" s="2" t="s">
        <v>648</v>
      </c>
      <c r="C6395" s="2" t="s">
        <v>82</v>
      </c>
      <c r="D6395" s="2" t="s">
        <v>10</v>
      </c>
      <c r="E6395" s="2" t="s">
        <v>16</v>
      </c>
      <c r="F6395" s="2">
        <v>407.98</v>
      </c>
      <c r="G6395" s="2">
        <v>3</v>
      </c>
      <c r="H6395" s="2">
        <v>132.59</v>
      </c>
      <c r="I6395" t="str">
        <f t="shared" si="99"/>
        <v>Dec</v>
      </c>
      <c r="J6395">
        <f>YEAR(datas[[#This Row],[Order Date]])</f>
        <v>2023</v>
      </c>
    </row>
    <row r="6396" spans="1:10" ht="14.25" customHeight="1" x14ac:dyDescent="0.3">
      <c r="A6396" s="1">
        <v>45265</v>
      </c>
      <c r="B6396" s="2" t="s">
        <v>855</v>
      </c>
      <c r="C6396" s="2" t="s">
        <v>79</v>
      </c>
      <c r="D6396" s="2" t="s">
        <v>28</v>
      </c>
      <c r="E6396" s="2" t="s">
        <v>29</v>
      </c>
      <c r="F6396" s="2">
        <v>384.45</v>
      </c>
      <c r="G6396" s="2">
        <v>11</v>
      </c>
      <c r="H6396" s="2">
        <v>103.8</v>
      </c>
      <c r="I6396" t="str">
        <f t="shared" si="99"/>
        <v>Dec</v>
      </c>
      <c r="J6396">
        <f>YEAR(datas[[#This Row],[Order Date]])</f>
        <v>2023</v>
      </c>
    </row>
    <row r="6397" spans="1:10" ht="14.25" customHeight="1" x14ac:dyDescent="0.3">
      <c r="A6397" s="1">
        <v>45265</v>
      </c>
      <c r="B6397" s="2" t="s">
        <v>855</v>
      </c>
      <c r="C6397" s="2" t="s">
        <v>79</v>
      </c>
      <c r="D6397" s="2" t="s">
        <v>28</v>
      </c>
      <c r="E6397" s="2" t="s">
        <v>29</v>
      </c>
      <c r="F6397" s="2">
        <v>149.97</v>
      </c>
      <c r="G6397" s="2">
        <v>3</v>
      </c>
      <c r="H6397" s="2">
        <v>6</v>
      </c>
      <c r="I6397" t="str">
        <f t="shared" si="99"/>
        <v>Dec</v>
      </c>
      <c r="J6397">
        <f>YEAR(datas[[#This Row],[Order Date]])</f>
        <v>2023</v>
      </c>
    </row>
    <row r="6398" spans="1:10" ht="14.25" customHeight="1" x14ac:dyDescent="0.3">
      <c r="A6398" s="1">
        <v>45265</v>
      </c>
      <c r="B6398" s="2" t="s">
        <v>855</v>
      </c>
      <c r="C6398" s="2" t="s">
        <v>79</v>
      </c>
      <c r="D6398" s="2" t="s">
        <v>26</v>
      </c>
      <c r="E6398" s="2" t="s">
        <v>27</v>
      </c>
      <c r="F6398" s="2">
        <v>1951.84</v>
      </c>
      <c r="G6398" s="2">
        <v>8</v>
      </c>
      <c r="H6398" s="2">
        <v>585.54999999999995</v>
      </c>
      <c r="I6398" t="str">
        <f t="shared" si="99"/>
        <v>Dec</v>
      </c>
      <c r="J6398">
        <f>YEAR(datas[[#This Row],[Order Date]])</f>
        <v>2023</v>
      </c>
    </row>
    <row r="6399" spans="1:10" ht="14.25" customHeight="1" x14ac:dyDescent="0.3">
      <c r="A6399" s="1">
        <v>45265</v>
      </c>
      <c r="B6399" s="2" t="s">
        <v>855</v>
      </c>
      <c r="C6399" s="2" t="s">
        <v>79</v>
      </c>
      <c r="D6399" s="2" t="s">
        <v>10</v>
      </c>
      <c r="E6399" s="2" t="s">
        <v>16</v>
      </c>
      <c r="F6399" s="2">
        <v>171.55</v>
      </c>
      <c r="G6399" s="2">
        <v>5</v>
      </c>
      <c r="H6399" s="2">
        <v>80.63</v>
      </c>
      <c r="I6399" t="str">
        <f t="shared" si="99"/>
        <v>Dec</v>
      </c>
      <c r="J6399">
        <f>YEAR(datas[[#This Row],[Order Date]])</f>
        <v>2023</v>
      </c>
    </row>
    <row r="6400" spans="1:10" ht="14.25" customHeight="1" x14ac:dyDescent="0.3">
      <c r="A6400" s="1">
        <v>45265</v>
      </c>
      <c r="B6400" s="2" t="s">
        <v>296</v>
      </c>
      <c r="C6400" s="2" t="s">
        <v>25</v>
      </c>
      <c r="D6400" s="2" t="s">
        <v>26</v>
      </c>
      <c r="E6400" s="2" t="s">
        <v>32</v>
      </c>
      <c r="F6400" s="2">
        <v>191.82</v>
      </c>
      <c r="G6400" s="2">
        <v>3</v>
      </c>
      <c r="H6400" s="2">
        <v>74.81</v>
      </c>
      <c r="I6400" t="str">
        <f t="shared" si="99"/>
        <v>Dec</v>
      </c>
      <c r="J6400">
        <f>YEAR(datas[[#This Row],[Order Date]])</f>
        <v>2023</v>
      </c>
    </row>
    <row r="6401" spans="1:10" ht="14.25" customHeight="1" x14ac:dyDescent="0.3">
      <c r="A6401" s="1">
        <v>45265</v>
      </c>
      <c r="B6401" s="2" t="s">
        <v>296</v>
      </c>
      <c r="C6401" s="2" t="s">
        <v>75</v>
      </c>
      <c r="D6401" s="2" t="s">
        <v>10</v>
      </c>
      <c r="E6401" s="2" t="s">
        <v>15</v>
      </c>
      <c r="F6401" s="2">
        <v>465.18</v>
      </c>
      <c r="G6401" s="2">
        <v>3</v>
      </c>
      <c r="H6401" s="2">
        <v>120.95</v>
      </c>
      <c r="I6401" t="str">
        <f t="shared" si="99"/>
        <v>Dec</v>
      </c>
      <c r="J6401">
        <f>YEAR(datas[[#This Row],[Order Date]])</f>
        <v>2023</v>
      </c>
    </row>
    <row r="6402" spans="1:10" ht="14.25" customHeight="1" x14ac:dyDescent="0.3">
      <c r="A6402" s="1">
        <v>45265</v>
      </c>
      <c r="B6402" s="2" t="s">
        <v>230</v>
      </c>
      <c r="C6402" s="2" t="s">
        <v>181</v>
      </c>
      <c r="D6402" s="2" t="s">
        <v>26</v>
      </c>
      <c r="E6402" s="2" t="s">
        <v>45</v>
      </c>
      <c r="F6402" s="2">
        <v>81.94</v>
      </c>
      <c r="G6402" s="2">
        <v>1</v>
      </c>
      <c r="H6402" s="2">
        <v>20.49</v>
      </c>
      <c r="I6402" t="str">
        <f t="shared" si="99"/>
        <v>Dec</v>
      </c>
      <c r="J6402">
        <f>YEAR(datas[[#This Row],[Order Date]])</f>
        <v>2023</v>
      </c>
    </row>
    <row r="6403" spans="1:10" ht="14.25" customHeight="1" x14ac:dyDescent="0.3">
      <c r="A6403" s="1">
        <v>45265</v>
      </c>
      <c r="B6403" s="2" t="s">
        <v>601</v>
      </c>
      <c r="C6403" s="2" t="s">
        <v>710</v>
      </c>
      <c r="D6403" s="2" t="s">
        <v>10</v>
      </c>
      <c r="E6403" s="2" t="s">
        <v>19</v>
      </c>
      <c r="F6403" s="2">
        <v>33.92</v>
      </c>
      <c r="G6403" s="2">
        <v>8</v>
      </c>
      <c r="H6403" s="2">
        <v>13.23</v>
      </c>
      <c r="I6403" t="str">
        <f t="shared" ref="I6403:I6466" si="100">TEXT(A6403,"mmm")</f>
        <v>Dec</v>
      </c>
      <c r="J6403">
        <f>YEAR(datas[[#This Row],[Order Date]])</f>
        <v>2023</v>
      </c>
    </row>
    <row r="6404" spans="1:10" ht="14.25" customHeight="1" x14ac:dyDescent="0.3">
      <c r="A6404" s="1">
        <v>45265</v>
      </c>
      <c r="B6404" s="2" t="s">
        <v>705</v>
      </c>
      <c r="C6404" s="2" t="s">
        <v>25</v>
      </c>
      <c r="D6404" s="2" t="s">
        <v>28</v>
      </c>
      <c r="E6404" s="2" t="s">
        <v>29</v>
      </c>
      <c r="F6404" s="2">
        <v>699.98</v>
      </c>
      <c r="G6404" s="2">
        <v>2</v>
      </c>
      <c r="H6404" s="2">
        <v>195.99</v>
      </c>
      <c r="I6404" t="str">
        <f t="shared" si="100"/>
        <v>Dec</v>
      </c>
      <c r="J6404">
        <f>YEAR(datas[[#This Row],[Order Date]])</f>
        <v>2023</v>
      </c>
    </row>
    <row r="6405" spans="1:10" ht="14.25" customHeight="1" x14ac:dyDescent="0.3">
      <c r="A6405" s="1">
        <v>45265</v>
      </c>
      <c r="B6405" s="2" t="s">
        <v>705</v>
      </c>
      <c r="C6405" s="2" t="s">
        <v>25</v>
      </c>
      <c r="D6405" s="2" t="s">
        <v>10</v>
      </c>
      <c r="E6405" s="2" t="s">
        <v>15</v>
      </c>
      <c r="F6405" s="2">
        <v>584.82000000000005</v>
      </c>
      <c r="G6405" s="2">
        <v>9</v>
      </c>
      <c r="H6405" s="2">
        <v>70.180000000000007</v>
      </c>
      <c r="I6405" t="str">
        <f t="shared" si="100"/>
        <v>Dec</v>
      </c>
      <c r="J6405">
        <f>YEAR(datas[[#This Row],[Order Date]])</f>
        <v>2023</v>
      </c>
    </row>
    <row r="6406" spans="1:10" ht="14.25" customHeight="1" x14ac:dyDescent="0.3">
      <c r="A6406" s="1">
        <v>45265</v>
      </c>
      <c r="B6406" s="2" t="s">
        <v>277</v>
      </c>
      <c r="C6406" s="2" t="s">
        <v>13</v>
      </c>
      <c r="D6406" s="2" t="s">
        <v>10</v>
      </c>
      <c r="E6406" s="2" t="s">
        <v>14</v>
      </c>
      <c r="F6406" s="2">
        <v>11.95</v>
      </c>
      <c r="G6406" s="2">
        <v>3</v>
      </c>
      <c r="H6406" s="2">
        <v>3.88</v>
      </c>
      <c r="I6406" t="str">
        <f t="shared" si="100"/>
        <v>Dec</v>
      </c>
      <c r="J6406">
        <f>YEAR(datas[[#This Row],[Order Date]])</f>
        <v>2023</v>
      </c>
    </row>
    <row r="6407" spans="1:10" ht="14.25" customHeight="1" x14ac:dyDescent="0.3">
      <c r="A6407" s="1">
        <v>45265</v>
      </c>
      <c r="B6407" s="2" t="s">
        <v>168</v>
      </c>
      <c r="C6407" s="2" t="s">
        <v>13</v>
      </c>
      <c r="D6407" s="2" t="s">
        <v>10</v>
      </c>
      <c r="E6407" s="2" t="s">
        <v>19</v>
      </c>
      <c r="F6407" s="2">
        <v>3.54</v>
      </c>
      <c r="G6407" s="2">
        <v>2</v>
      </c>
      <c r="H6407" s="2">
        <v>0.31</v>
      </c>
      <c r="I6407" t="str">
        <f t="shared" si="100"/>
        <v>Dec</v>
      </c>
      <c r="J6407">
        <f>YEAR(datas[[#This Row],[Order Date]])</f>
        <v>2023</v>
      </c>
    </row>
    <row r="6408" spans="1:10" ht="14.25" customHeight="1" x14ac:dyDescent="0.3">
      <c r="A6408" s="1">
        <v>45265</v>
      </c>
      <c r="B6408" s="2" t="s">
        <v>810</v>
      </c>
      <c r="C6408" s="2" t="s">
        <v>38</v>
      </c>
      <c r="D6408" s="2" t="s">
        <v>26</v>
      </c>
      <c r="E6408" s="2" t="s">
        <v>32</v>
      </c>
      <c r="F6408" s="2">
        <v>13.4</v>
      </c>
      <c r="G6408" s="2">
        <v>1</v>
      </c>
      <c r="H6408" s="2">
        <v>6.43</v>
      </c>
      <c r="I6408" t="str">
        <f t="shared" si="100"/>
        <v>Dec</v>
      </c>
      <c r="J6408">
        <f>YEAR(datas[[#This Row],[Order Date]])</f>
        <v>2023</v>
      </c>
    </row>
    <row r="6409" spans="1:10" ht="14.25" customHeight="1" x14ac:dyDescent="0.3">
      <c r="A6409" s="1">
        <v>45265</v>
      </c>
      <c r="B6409" s="2" t="s">
        <v>810</v>
      </c>
      <c r="C6409" s="2" t="s">
        <v>38</v>
      </c>
      <c r="D6409" s="2" t="s">
        <v>10</v>
      </c>
      <c r="E6409" s="2" t="s">
        <v>11</v>
      </c>
      <c r="F6409" s="2">
        <v>4.9800000000000004</v>
      </c>
      <c r="G6409" s="2">
        <v>1</v>
      </c>
      <c r="H6409" s="2">
        <v>2.34</v>
      </c>
      <c r="I6409" t="str">
        <f t="shared" si="100"/>
        <v>Dec</v>
      </c>
      <c r="J6409">
        <f>YEAR(datas[[#This Row],[Order Date]])</f>
        <v>2023</v>
      </c>
    </row>
    <row r="6410" spans="1:10" ht="14.25" customHeight="1" x14ac:dyDescent="0.3">
      <c r="A6410" s="1">
        <v>45265</v>
      </c>
      <c r="B6410" s="2" t="s">
        <v>810</v>
      </c>
      <c r="C6410" s="2" t="s">
        <v>38</v>
      </c>
      <c r="D6410" s="2" t="s">
        <v>10</v>
      </c>
      <c r="E6410" s="2" t="s">
        <v>41</v>
      </c>
      <c r="F6410" s="2">
        <v>109.69</v>
      </c>
      <c r="G6410" s="2">
        <v>7</v>
      </c>
      <c r="H6410" s="2">
        <v>51.55</v>
      </c>
      <c r="I6410" t="str">
        <f t="shared" si="100"/>
        <v>Dec</v>
      </c>
      <c r="J6410">
        <f>YEAR(datas[[#This Row],[Order Date]])</f>
        <v>2023</v>
      </c>
    </row>
    <row r="6411" spans="1:10" ht="14.25" customHeight="1" x14ac:dyDescent="0.3">
      <c r="A6411" s="1">
        <v>45266</v>
      </c>
      <c r="B6411" s="2" t="s">
        <v>551</v>
      </c>
      <c r="C6411" s="2" t="s">
        <v>21</v>
      </c>
      <c r="D6411" s="2" t="s">
        <v>10</v>
      </c>
      <c r="E6411" s="2" t="s">
        <v>11</v>
      </c>
      <c r="F6411" s="2">
        <v>19.440000000000001</v>
      </c>
      <c r="G6411" s="2">
        <v>3</v>
      </c>
      <c r="H6411" s="2">
        <v>9.33</v>
      </c>
      <c r="I6411" t="str">
        <f t="shared" si="100"/>
        <v>Dec</v>
      </c>
      <c r="J6411">
        <f>YEAR(datas[[#This Row],[Order Date]])</f>
        <v>2023</v>
      </c>
    </row>
    <row r="6412" spans="1:10" ht="14.25" customHeight="1" x14ac:dyDescent="0.3">
      <c r="A6412" s="1">
        <v>45266</v>
      </c>
      <c r="B6412" s="2" t="s">
        <v>284</v>
      </c>
      <c r="C6412" s="2" t="s">
        <v>82</v>
      </c>
      <c r="D6412" s="2" t="s">
        <v>28</v>
      </c>
      <c r="E6412" s="2" t="s">
        <v>29</v>
      </c>
      <c r="F6412" s="2">
        <v>156.79</v>
      </c>
      <c r="G6412" s="2">
        <v>1</v>
      </c>
      <c r="H6412" s="2">
        <v>13.72</v>
      </c>
      <c r="I6412" t="str">
        <f t="shared" si="100"/>
        <v>Dec</v>
      </c>
      <c r="J6412">
        <f>YEAR(datas[[#This Row],[Order Date]])</f>
        <v>2023</v>
      </c>
    </row>
    <row r="6413" spans="1:10" ht="14.25" customHeight="1" x14ac:dyDescent="0.3">
      <c r="A6413" s="1">
        <v>45266</v>
      </c>
      <c r="B6413" s="2" t="s">
        <v>284</v>
      </c>
      <c r="C6413" s="2" t="s">
        <v>82</v>
      </c>
      <c r="D6413" s="2" t="s">
        <v>28</v>
      </c>
      <c r="E6413" s="2" t="s">
        <v>29</v>
      </c>
      <c r="F6413" s="2">
        <v>431.98</v>
      </c>
      <c r="G6413" s="2">
        <v>3</v>
      </c>
      <c r="H6413" s="2">
        <v>27</v>
      </c>
      <c r="I6413" t="str">
        <f t="shared" si="100"/>
        <v>Dec</v>
      </c>
      <c r="J6413">
        <f>YEAR(datas[[#This Row],[Order Date]])</f>
        <v>2023</v>
      </c>
    </row>
    <row r="6414" spans="1:10" ht="14.25" customHeight="1" x14ac:dyDescent="0.3">
      <c r="A6414" s="1">
        <v>45266</v>
      </c>
      <c r="B6414" s="2" t="s">
        <v>284</v>
      </c>
      <c r="C6414" s="2" t="s">
        <v>82</v>
      </c>
      <c r="D6414" s="2" t="s">
        <v>10</v>
      </c>
      <c r="E6414" s="2" t="s">
        <v>41</v>
      </c>
      <c r="F6414" s="2">
        <v>35.89</v>
      </c>
      <c r="G6414" s="2">
        <v>1</v>
      </c>
      <c r="H6414" s="2">
        <v>16.149999999999999</v>
      </c>
      <c r="I6414" t="str">
        <f t="shared" si="100"/>
        <v>Dec</v>
      </c>
      <c r="J6414">
        <f>YEAR(datas[[#This Row],[Order Date]])</f>
        <v>2023</v>
      </c>
    </row>
    <row r="6415" spans="1:10" ht="14.25" customHeight="1" x14ac:dyDescent="0.3">
      <c r="A6415" s="1">
        <v>45266</v>
      </c>
      <c r="B6415" s="2" t="s">
        <v>284</v>
      </c>
      <c r="C6415" s="2" t="s">
        <v>82</v>
      </c>
      <c r="D6415" s="2" t="s">
        <v>10</v>
      </c>
      <c r="E6415" s="2" t="s">
        <v>16</v>
      </c>
      <c r="F6415" s="2">
        <v>47.21</v>
      </c>
      <c r="G6415" s="2">
        <v>7</v>
      </c>
      <c r="H6415" s="2">
        <v>15.34</v>
      </c>
      <c r="I6415" t="str">
        <f t="shared" si="100"/>
        <v>Dec</v>
      </c>
      <c r="J6415">
        <f>YEAR(datas[[#This Row],[Order Date]])</f>
        <v>2023</v>
      </c>
    </row>
    <row r="6416" spans="1:10" ht="14.25" customHeight="1" x14ac:dyDescent="0.3">
      <c r="A6416" s="1">
        <v>45266</v>
      </c>
      <c r="B6416" s="2" t="s">
        <v>284</v>
      </c>
      <c r="C6416" s="2" t="s">
        <v>82</v>
      </c>
      <c r="D6416" s="2" t="s">
        <v>10</v>
      </c>
      <c r="E6416" s="2" t="s">
        <v>11</v>
      </c>
      <c r="F6416" s="2">
        <v>248.08</v>
      </c>
      <c r="G6416" s="2">
        <v>7</v>
      </c>
      <c r="H6416" s="2">
        <v>116.6</v>
      </c>
      <c r="I6416" t="str">
        <f t="shared" si="100"/>
        <v>Dec</v>
      </c>
      <c r="J6416">
        <f>YEAR(datas[[#This Row],[Order Date]])</f>
        <v>2023</v>
      </c>
    </row>
    <row r="6417" spans="1:10" ht="14.25" customHeight="1" x14ac:dyDescent="0.3">
      <c r="A6417" s="1">
        <v>45266</v>
      </c>
      <c r="B6417" s="2" t="s">
        <v>284</v>
      </c>
      <c r="C6417" s="2" t="s">
        <v>82</v>
      </c>
      <c r="D6417" s="2" t="s">
        <v>10</v>
      </c>
      <c r="E6417" s="2" t="s">
        <v>11</v>
      </c>
      <c r="F6417" s="2">
        <v>189.7</v>
      </c>
      <c r="G6417" s="2">
        <v>5</v>
      </c>
      <c r="H6417" s="2">
        <v>89.16</v>
      </c>
      <c r="I6417" t="str">
        <f t="shared" si="100"/>
        <v>Dec</v>
      </c>
      <c r="J6417">
        <f>YEAR(datas[[#This Row],[Order Date]])</f>
        <v>2023</v>
      </c>
    </row>
    <row r="6418" spans="1:10" ht="14.25" customHeight="1" x14ac:dyDescent="0.3">
      <c r="A6418" s="1">
        <v>45266</v>
      </c>
      <c r="B6418" s="2" t="s">
        <v>284</v>
      </c>
      <c r="C6418" s="2" t="s">
        <v>82</v>
      </c>
      <c r="D6418" s="2" t="s">
        <v>10</v>
      </c>
      <c r="E6418" s="2" t="s">
        <v>16</v>
      </c>
      <c r="F6418" s="2">
        <v>59.81</v>
      </c>
      <c r="G6418" s="2">
        <v>3</v>
      </c>
      <c r="H6418" s="2">
        <v>19.440000000000001</v>
      </c>
      <c r="I6418" t="str">
        <f t="shared" si="100"/>
        <v>Dec</v>
      </c>
      <c r="J6418">
        <f>YEAR(datas[[#This Row],[Order Date]])</f>
        <v>2023</v>
      </c>
    </row>
    <row r="6419" spans="1:10" ht="14.25" customHeight="1" x14ac:dyDescent="0.3">
      <c r="A6419" s="1">
        <v>45266</v>
      </c>
      <c r="B6419" s="2" t="s">
        <v>752</v>
      </c>
      <c r="C6419" s="2" t="s">
        <v>75</v>
      </c>
      <c r="D6419" s="2" t="s">
        <v>10</v>
      </c>
      <c r="E6419" s="2" t="s">
        <v>16</v>
      </c>
      <c r="F6419" s="2">
        <v>968.74</v>
      </c>
      <c r="G6419" s="2">
        <v>7</v>
      </c>
      <c r="H6419" s="2">
        <v>314.83999999999997</v>
      </c>
      <c r="I6419" t="str">
        <f t="shared" si="100"/>
        <v>Dec</v>
      </c>
      <c r="J6419">
        <f>YEAR(datas[[#This Row],[Order Date]])</f>
        <v>2023</v>
      </c>
    </row>
    <row r="6420" spans="1:10" ht="14.25" customHeight="1" x14ac:dyDescent="0.3">
      <c r="A6420" s="1">
        <v>45266</v>
      </c>
      <c r="B6420" s="2" t="s">
        <v>752</v>
      </c>
      <c r="C6420" s="2" t="s">
        <v>75</v>
      </c>
      <c r="D6420" s="2" t="s">
        <v>10</v>
      </c>
      <c r="E6420" s="2" t="s">
        <v>16</v>
      </c>
      <c r="F6420" s="2">
        <v>222.35</v>
      </c>
      <c r="G6420" s="2">
        <v>13</v>
      </c>
      <c r="H6420" s="2">
        <v>77.819999999999993</v>
      </c>
      <c r="I6420" t="str">
        <f t="shared" si="100"/>
        <v>Dec</v>
      </c>
      <c r="J6420">
        <f>YEAR(datas[[#This Row],[Order Date]])</f>
        <v>2023</v>
      </c>
    </row>
    <row r="6421" spans="1:10" ht="14.25" customHeight="1" x14ac:dyDescent="0.3">
      <c r="A6421" s="1">
        <v>45266</v>
      </c>
      <c r="B6421" s="2" t="s">
        <v>752</v>
      </c>
      <c r="C6421" s="2" t="s">
        <v>75</v>
      </c>
      <c r="D6421" s="2" t="s">
        <v>28</v>
      </c>
      <c r="E6421" s="2" t="s">
        <v>243</v>
      </c>
      <c r="F6421" s="2">
        <v>479.98</v>
      </c>
      <c r="G6421" s="2">
        <v>2</v>
      </c>
      <c r="H6421" s="2">
        <v>90</v>
      </c>
      <c r="I6421" t="str">
        <f t="shared" si="100"/>
        <v>Dec</v>
      </c>
      <c r="J6421">
        <f>YEAR(datas[[#This Row],[Order Date]])</f>
        <v>2023</v>
      </c>
    </row>
    <row r="6422" spans="1:10" ht="14.25" customHeight="1" x14ac:dyDescent="0.3">
      <c r="A6422" s="1">
        <v>45266</v>
      </c>
      <c r="B6422" s="2" t="s">
        <v>116</v>
      </c>
      <c r="C6422" s="2" t="s">
        <v>21</v>
      </c>
      <c r="D6422" s="2" t="s">
        <v>28</v>
      </c>
      <c r="E6422" s="2" t="s">
        <v>29</v>
      </c>
      <c r="F6422" s="2">
        <v>271.95999999999998</v>
      </c>
      <c r="G6422" s="2">
        <v>5</v>
      </c>
      <c r="H6422" s="2">
        <v>27.2</v>
      </c>
      <c r="I6422" t="str">
        <f t="shared" si="100"/>
        <v>Dec</v>
      </c>
      <c r="J6422">
        <f>YEAR(datas[[#This Row],[Order Date]])</f>
        <v>2023</v>
      </c>
    </row>
    <row r="6423" spans="1:10" ht="14.25" customHeight="1" x14ac:dyDescent="0.3">
      <c r="A6423" s="1">
        <v>45266</v>
      </c>
      <c r="B6423" s="2" t="s">
        <v>116</v>
      </c>
      <c r="C6423" s="2" t="s">
        <v>21</v>
      </c>
      <c r="D6423" s="2" t="s">
        <v>10</v>
      </c>
      <c r="E6423" s="2" t="s">
        <v>19</v>
      </c>
      <c r="F6423" s="2">
        <v>18.690000000000001</v>
      </c>
      <c r="G6423" s="2">
        <v>7</v>
      </c>
      <c r="H6423" s="2">
        <v>5.23</v>
      </c>
      <c r="I6423" t="str">
        <f t="shared" si="100"/>
        <v>Dec</v>
      </c>
      <c r="J6423">
        <f>YEAR(datas[[#This Row],[Order Date]])</f>
        <v>2023</v>
      </c>
    </row>
    <row r="6424" spans="1:10" ht="14.25" customHeight="1" x14ac:dyDescent="0.3">
      <c r="A6424" s="1">
        <v>45266</v>
      </c>
      <c r="B6424" s="2" t="s">
        <v>116</v>
      </c>
      <c r="C6424" s="2" t="s">
        <v>21</v>
      </c>
      <c r="D6424" s="2" t="s">
        <v>10</v>
      </c>
      <c r="E6424" s="2" t="s">
        <v>11</v>
      </c>
      <c r="F6424" s="2">
        <v>13.36</v>
      </c>
      <c r="G6424" s="2">
        <v>2</v>
      </c>
      <c r="H6424" s="2">
        <v>6.41</v>
      </c>
      <c r="I6424" t="str">
        <f t="shared" si="100"/>
        <v>Dec</v>
      </c>
      <c r="J6424">
        <f>YEAR(datas[[#This Row],[Order Date]])</f>
        <v>2023</v>
      </c>
    </row>
    <row r="6425" spans="1:10" ht="14.25" customHeight="1" x14ac:dyDescent="0.3">
      <c r="A6425" s="1">
        <v>45266</v>
      </c>
      <c r="B6425" s="2" t="s">
        <v>116</v>
      </c>
      <c r="C6425" s="2" t="s">
        <v>21</v>
      </c>
      <c r="D6425" s="2" t="s">
        <v>28</v>
      </c>
      <c r="E6425" s="2" t="s">
        <v>29</v>
      </c>
      <c r="F6425" s="2">
        <v>249.58</v>
      </c>
      <c r="G6425" s="2">
        <v>2</v>
      </c>
      <c r="H6425" s="2">
        <v>31.2</v>
      </c>
      <c r="I6425" t="str">
        <f t="shared" si="100"/>
        <v>Dec</v>
      </c>
      <c r="J6425">
        <f>YEAR(datas[[#This Row],[Order Date]])</f>
        <v>2023</v>
      </c>
    </row>
    <row r="6426" spans="1:10" ht="14.25" customHeight="1" x14ac:dyDescent="0.3">
      <c r="A6426" s="1">
        <v>45266</v>
      </c>
      <c r="B6426" s="2" t="s">
        <v>116</v>
      </c>
      <c r="C6426" s="2" t="s">
        <v>21</v>
      </c>
      <c r="D6426" s="2" t="s">
        <v>10</v>
      </c>
      <c r="E6426" s="2" t="s">
        <v>30</v>
      </c>
      <c r="F6426" s="2">
        <v>13.86</v>
      </c>
      <c r="G6426" s="2">
        <v>7</v>
      </c>
      <c r="H6426" s="2">
        <v>0</v>
      </c>
      <c r="I6426" t="str">
        <f t="shared" si="100"/>
        <v>Dec</v>
      </c>
      <c r="J6426">
        <f>YEAR(datas[[#This Row],[Order Date]])</f>
        <v>2023</v>
      </c>
    </row>
    <row r="6427" spans="1:10" ht="14.25" customHeight="1" x14ac:dyDescent="0.3">
      <c r="A6427" s="1">
        <v>45266</v>
      </c>
      <c r="B6427" s="2" t="s">
        <v>116</v>
      </c>
      <c r="C6427" s="2" t="s">
        <v>21</v>
      </c>
      <c r="D6427" s="2" t="s">
        <v>10</v>
      </c>
      <c r="E6427" s="2" t="s">
        <v>16</v>
      </c>
      <c r="F6427" s="2">
        <v>13.38</v>
      </c>
      <c r="G6427" s="2">
        <v>4</v>
      </c>
      <c r="H6427" s="2">
        <v>4.68</v>
      </c>
      <c r="I6427" t="str">
        <f t="shared" si="100"/>
        <v>Dec</v>
      </c>
      <c r="J6427">
        <f>YEAR(datas[[#This Row],[Order Date]])</f>
        <v>2023</v>
      </c>
    </row>
    <row r="6428" spans="1:10" ht="14.25" customHeight="1" x14ac:dyDescent="0.3">
      <c r="A6428" s="1">
        <v>45266</v>
      </c>
      <c r="B6428" s="2" t="s">
        <v>116</v>
      </c>
      <c r="C6428" s="2" t="s">
        <v>21</v>
      </c>
      <c r="D6428" s="2" t="s">
        <v>10</v>
      </c>
      <c r="E6428" s="2" t="s">
        <v>16</v>
      </c>
      <c r="F6428" s="2">
        <v>437.47</v>
      </c>
      <c r="G6428" s="2">
        <v>14</v>
      </c>
      <c r="H6428" s="2">
        <v>153.12</v>
      </c>
      <c r="I6428" t="str">
        <f t="shared" si="100"/>
        <v>Dec</v>
      </c>
      <c r="J6428">
        <f>YEAR(datas[[#This Row],[Order Date]])</f>
        <v>2023</v>
      </c>
    </row>
    <row r="6429" spans="1:10" ht="14.25" customHeight="1" x14ac:dyDescent="0.3">
      <c r="A6429" s="1">
        <v>45268</v>
      </c>
      <c r="B6429" s="2" t="s">
        <v>775</v>
      </c>
      <c r="C6429" s="2" t="s">
        <v>9</v>
      </c>
      <c r="D6429" s="2" t="s">
        <v>28</v>
      </c>
      <c r="E6429" s="2" t="s">
        <v>29</v>
      </c>
      <c r="F6429" s="2">
        <v>1097.54</v>
      </c>
      <c r="G6429" s="2">
        <v>7</v>
      </c>
      <c r="H6429" s="2">
        <v>123.47</v>
      </c>
      <c r="I6429" t="str">
        <f t="shared" si="100"/>
        <v>Dec</v>
      </c>
      <c r="J6429">
        <f>YEAR(datas[[#This Row],[Order Date]])</f>
        <v>2023</v>
      </c>
    </row>
    <row r="6430" spans="1:10" ht="14.25" customHeight="1" x14ac:dyDescent="0.3">
      <c r="A6430" s="1">
        <v>45268</v>
      </c>
      <c r="B6430" s="2" t="s">
        <v>775</v>
      </c>
      <c r="C6430" s="2" t="s">
        <v>9</v>
      </c>
      <c r="D6430" s="2" t="s">
        <v>26</v>
      </c>
      <c r="E6430" s="2" t="s">
        <v>32</v>
      </c>
      <c r="F6430" s="2">
        <v>190.92</v>
      </c>
      <c r="G6430" s="2">
        <v>5</v>
      </c>
      <c r="H6430" s="2">
        <v>-147.96</v>
      </c>
      <c r="I6430" t="str">
        <f t="shared" si="100"/>
        <v>Dec</v>
      </c>
      <c r="J6430">
        <f>YEAR(datas[[#This Row],[Order Date]])</f>
        <v>2023</v>
      </c>
    </row>
    <row r="6431" spans="1:10" ht="14.25" customHeight="1" x14ac:dyDescent="0.3">
      <c r="A6431" s="1">
        <v>45268</v>
      </c>
      <c r="B6431" s="2" t="s">
        <v>144</v>
      </c>
      <c r="C6431" s="2" t="s">
        <v>140</v>
      </c>
      <c r="D6431" s="2" t="s">
        <v>28</v>
      </c>
      <c r="E6431" s="2" t="s">
        <v>29</v>
      </c>
      <c r="F6431" s="2">
        <v>114.95</v>
      </c>
      <c r="G6431" s="2">
        <v>5</v>
      </c>
      <c r="H6431" s="2">
        <v>2.2999999999999998</v>
      </c>
      <c r="I6431" t="str">
        <f t="shared" si="100"/>
        <v>Dec</v>
      </c>
      <c r="J6431">
        <f>YEAR(datas[[#This Row],[Order Date]])</f>
        <v>2023</v>
      </c>
    </row>
    <row r="6432" spans="1:10" ht="14.25" customHeight="1" x14ac:dyDescent="0.3">
      <c r="A6432" s="1">
        <v>45268</v>
      </c>
      <c r="B6432" s="2" t="s">
        <v>496</v>
      </c>
      <c r="C6432" s="2" t="s">
        <v>47</v>
      </c>
      <c r="D6432" s="2" t="s">
        <v>10</v>
      </c>
      <c r="E6432" s="2" t="s">
        <v>16</v>
      </c>
      <c r="F6432" s="2">
        <v>12.96</v>
      </c>
      <c r="G6432" s="2">
        <v>7</v>
      </c>
      <c r="H6432" s="2">
        <v>-9.5</v>
      </c>
      <c r="I6432" t="str">
        <f t="shared" si="100"/>
        <v>Dec</v>
      </c>
      <c r="J6432">
        <f>YEAR(datas[[#This Row],[Order Date]])</f>
        <v>2023</v>
      </c>
    </row>
    <row r="6433" spans="1:10" ht="14.25" customHeight="1" x14ac:dyDescent="0.3">
      <c r="A6433" s="1">
        <v>45268</v>
      </c>
      <c r="B6433" s="2" t="s">
        <v>456</v>
      </c>
      <c r="C6433" s="2" t="s">
        <v>21</v>
      </c>
      <c r="D6433" s="2" t="s">
        <v>10</v>
      </c>
      <c r="E6433" s="2" t="s">
        <v>19</v>
      </c>
      <c r="F6433" s="2">
        <v>8.56</v>
      </c>
      <c r="G6433" s="2">
        <v>2</v>
      </c>
      <c r="H6433" s="2">
        <v>2.48</v>
      </c>
      <c r="I6433" t="str">
        <f t="shared" si="100"/>
        <v>Dec</v>
      </c>
      <c r="J6433">
        <f>YEAR(datas[[#This Row],[Order Date]])</f>
        <v>2023</v>
      </c>
    </row>
    <row r="6434" spans="1:10" ht="14.25" customHeight="1" x14ac:dyDescent="0.3">
      <c r="A6434" s="1">
        <v>45268</v>
      </c>
      <c r="B6434" s="2" t="s">
        <v>456</v>
      </c>
      <c r="C6434" s="2" t="s">
        <v>21</v>
      </c>
      <c r="D6434" s="2" t="s">
        <v>10</v>
      </c>
      <c r="E6434" s="2" t="s">
        <v>11</v>
      </c>
      <c r="F6434" s="2">
        <v>45.36</v>
      </c>
      <c r="G6434" s="2">
        <v>7</v>
      </c>
      <c r="H6434" s="2">
        <v>21.77</v>
      </c>
      <c r="I6434" t="str">
        <f t="shared" si="100"/>
        <v>Dec</v>
      </c>
      <c r="J6434">
        <f>YEAR(datas[[#This Row],[Order Date]])</f>
        <v>2023</v>
      </c>
    </row>
    <row r="6435" spans="1:10" ht="14.25" customHeight="1" x14ac:dyDescent="0.3">
      <c r="A6435" s="1">
        <v>45268</v>
      </c>
      <c r="B6435" s="2" t="s">
        <v>456</v>
      </c>
      <c r="C6435" s="2" t="s">
        <v>21</v>
      </c>
      <c r="D6435" s="2" t="s">
        <v>26</v>
      </c>
      <c r="E6435" s="2" t="s">
        <v>73</v>
      </c>
      <c r="F6435" s="2">
        <v>1421.66</v>
      </c>
      <c r="G6435" s="2">
        <v>6</v>
      </c>
      <c r="H6435" s="2">
        <v>-195.48</v>
      </c>
      <c r="I6435" t="str">
        <f t="shared" si="100"/>
        <v>Dec</v>
      </c>
      <c r="J6435">
        <f>YEAR(datas[[#This Row],[Order Date]])</f>
        <v>2023</v>
      </c>
    </row>
    <row r="6436" spans="1:10" ht="14.25" customHeight="1" x14ac:dyDescent="0.3">
      <c r="A6436" s="1">
        <v>45268</v>
      </c>
      <c r="B6436" s="2" t="s">
        <v>511</v>
      </c>
      <c r="C6436" s="2" t="s">
        <v>21</v>
      </c>
      <c r="D6436" s="2" t="s">
        <v>10</v>
      </c>
      <c r="E6436" s="2" t="s">
        <v>15</v>
      </c>
      <c r="F6436" s="2">
        <v>34.049999999999997</v>
      </c>
      <c r="G6436" s="2">
        <v>3</v>
      </c>
      <c r="H6436" s="2">
        <v>9.5299999999999994</v>
      </c>
      <c r="I6436" t="str">
        <f t="shared" si="100"/>
        <v>Dec</v>
      </c>
      <c r="J6436">
        <f>YEAR(datas[[#This Row],[Order Date]])</f>
        <v>2023</v>
      </c>
    </row>
    <row r="6437" spans="1:10" ht="14.25" customHeight="1" x14ac:dyDescent="0.3">
      <c r="A6437" s="1">
        <v>45268</v>
      </c>
      <c r="B6437" s="2" t="s">
        <v>511</v>
      </c>
      <c r="C6437" s="2" t="s">
        <v>21</v>
      </c>
      <c r="D6437" s="2" t="s">
        <v>10</v>
      </c>
      <c r="E6437" s="2" t="s">
        <v>15</v>
      </c>
      <c r="F6437" s="2">
        <v>352.38</v>
      </c>
      <c r="G6437" s="2">
        <v>2</v>
      </c>
      <c r="H6437" s="2">
        <v>81.05</v>
      </c>
      <c r="I6437" t="str">
        <f t="shared" si="100"/>
        <v>Dec</v>
      </c>
      <c r="J6437">
        <f>YEAR(datas[[#This Row],[Order Date]])</f>
        <v>2023</v>
      </c>
    </row>
    <row r="6438" spans="1:10" ht="14.25" customHeight="1" x14ac:dyDescent="0.3">
      <c r="A6438" s="1">
        <v>45268</v>
      </c>
      <c r="B6438" s="2" t="s">
        <v>422</v>
      </c>
      <c r="C6438" s="2" t="s">
        <v>115</v>
      </c>
      <c r="D6438" s="2" t="s">
        <v>28</v>
      </c>
      <c r="E6438" s="2" t="s">
        <v>29</v>
      </c>
      <c r="F6438" s="2">
        <v>249.58</v>
      </c>
      <c r="G6438" s="2">
        <v>2</v>
      </c>
      <c r="H6438" s="2">
        <v>31.2</v>
      </c>
      <c r="I6438" t="str">
        <f t="shared" si="100"/>
        <v>Dec</v>
      </c>
      <c r="J6438">
        <f>YEAR(datas[[#This Row],[Order Date]])</f>
        <v>2023</v>
      </c>
    </row>
    <row r="6439" spans="1:10" ht="14.25" customHeight="1" x14ac:dyDescent="0.3">
      <c r="A6439" s="1">
        <v>45268</v>
      </c>
      <c r="B6439" s="2" t="s">
        <v>422</v>
      </c>
      <c r="C6439" s="2" t="s">
        <v>115</v>
      </c>
      <c r="D6439" s="2" t="s">
        <v>28</v>
      </c>
      <c r="E6439" s="2" t="s">
        <v>34</v>
      </c>
      <c r="F6439" s="2">
        <v>68.11</v>
      </c>
      <c r="G6439" s="2">
        <v>3</v>
      </c>
      <c r="H6439" s="2">
        <v>17.88</v>
      </c>
      <c r="I6439" t="str">
        <f t="shared" si="100"/>
        <v>Dec</v>
      </c>
      <c r="J6439">
        <f>YEAR(datas[[#This Row],[Order Date]])</f>
        <v>2023</v>
      </c>
    </row>
    <row r="6440" spans="1:10" ht="14.25" customHeight="1" x14ac:dyDescent="0.3">
      <c r="A6440" s="1">
        <v>45268</v>
      </c>
      <c r="B6440" s="2" t="s">
        <v>422</v>
      </c>
      <c r="C6440" s="2" t="s">
        <v>115</v>
      </c>
      <c r="D6440" s="2" t="s">
        <v>28</v>
      </c>
      <c r="E6440" s="2" t="s">
        <v>34</v>
      </c>
      <c r="F6440" s="2">
        <v>16.559999999999999</v>
      </c>
      <c r="G6440" s="2">
        <v>3</v>
      </c>
      <c r="H6440" s="2">
        <v>-2.48</v>
      </c>
      <c r="I6440" t="str">
        <f t="shared" si="100"/>
        <v>Dec</v>
      </c>
      <c r="J6440">
        <f>YEAR(datas[[#This Row],[Order Date]])</f>
        <v>2023</v>
      </c>
    </row>
    <row r="6441" spans="1:10" ht="14.25" customHeight="1" x14ac:dyDescent="0.3">
      <c r="A6441" s="1">
        <v>45268</v>
      </c>
      <c r="B6441" s="2" t="s">
        <v>713</v>
      </c>
      <c r="C6441" s="2" t="s">
        <v>47</v>
      </c>
      <c r="D6441" s="2" t="s">
        <v>10</v>
      </c>
      <c r="E6441" s="2" t="s">
        <v>11</v>
      </c>
      <c r="F6441" s="2">
        <v>10.58</v>
      </c>
      <c r="G6441" s="2">
        <v>3</v>
      </c>
      <c r="H6441" s="2">
        <v>3.44</v>
      </c>
      <c r="I6441" t="str">
        <f t="shared" si="100"/>
        <v>Dec</v>
      </c>
      <c r="J6441">
        <f>YEAR(datas[[#This Row],[Order Date]])</f>
        <v>2023</v>
      </c>
    </row>
    <row r="6442" spans="1:10" ht="14.25" customHeight="1" x14ac:dyDescent="0.3">
      <c r="A6442" s="1">
        <v>45268</v>
      </c>
      <c r="B6442" s="2" t="s">
        <v>385</v>
      </c>
      <c r="C6442" s="2" t="s">
        <v>79</v>
      </c>
      <c r="D6442" s="2" t="s">
        <v>26</v>
      </c>
      <c r="E6442" s="2" t="s">
        <v>45</v>
      </c>
      <c r="F6442" s="2">
        <v>405.86</v>
      </c>
      <c r="G6442" s="2">
        <v>7</v>
      </c>
      <c r="H6442" s="2">
        <v>32.47</v>
      </c>
      <c r="I6442" t="str">
        <f t="shared" si="100"/>
        <v>Dec</v>
      </c>
      <c r="J6442">
        <f>YEAR(datas[[#This Row],[Order Date]])</f>
        <v>2023</v>
      </c>
    </row>
    <row r="6443" spans="1:10" ht="14.25" customHeight="1" x14ac:dyDescent="0.3">
      <c r="A6443" s="1">
        <v>45268</v>
      </c>
      <c r="B6443" s="2" t="s">
        <v>385</v>
      </c>
      <c r="C6443" s="2" t="s">
        <v>79</v>
      </c>
      <c r="D6443" s="2" t="s">
        <v>26</v>
      </c>
      <c r="E6443" s="2" t="s">
        <v>27</v>
      </c>
      <c r="F6443" s="2">
        <v>680.01</v>
      </c>
      <c r="G6443" s="2">
        <v>3</v>
      </c>
      <c r="H6443" s="2">
        <v>176.8</v>
      </c>
      <c r="I6443" t="str">
        <f t="shared" si="100"/>
        <v>Dec</v>
      </c>
      <c r="J6443">
        <f>YEAR(datas[[#This Row],[Order Date]])</f>
        <v>2023</v>
      </c>
    </row>
    <row r="6444" spans="1:10" ht="14.25" customHeight="1" x14ac:dyDescent="0.3">
      <c r="A6444" s="1">
        <v>45269</v>
      </c>
      <c r="B6444" s="2" t="s">
        <v>187</v>
      </c>
      <c r="C6444" s="2" t="s">
        <v>381</v>
      </c>
      <c r="D6444" s="2" t="s">
        <v>10</v>
      </c>
      <c r="E6444" s="2" t="s">
        <v>19</v>
      </c>
      <c r="F6444" s="2">
        <v>19.46</v>
      </c>
      <c r="G6444" s="2">
        <v>7</v>
      </c>
      <c r="H6444" s="2">
        <v>5.0599999999999996</v>
      </c>
      <c r="I6444" t="str">
        <f t="shared" si="100"/>
        <v>Dec</v>
      </c>
      <c r="J6444">
        <f>YEAR(datas[[#This Row],[Order Date]])</f>
        <v>2023</v>
      </c>
    </row>
    <row r="6445" spans="1:10" ht="14.25" customHeight="1" x14ac:dyDescent="0.3">
      <c r="A6445" s="1">
        <v>45269</v>
      </c>
      <c r="B6445" s="2" t="s">
        <v>187</v>
      </c>
      <c r="C6445" s="2" t="s">
        <v>381</v>
      </c>
      <c r="D6445" s="2" t="s">
        <v>10</v>
      </c>
      <c r="E6445" s="2" t="s">
        <v>53</v>
      </c>
      <c r="F6445" s="2">
        <v>60.34</v>
      </c>
      <c r="G6445" s="2">
        <v>7</v>
      </c>
      <c r="H6445" s="2">
        <v>15.69</v>
      </c>
      <c r="I6445" t="str">
        <f t="shared" si="100"/>
        <v>Dec</v>
      </c>
      <c r="J6445">
        <f>YEAR(datas[[#This Row],[Order Date]])</f>
        <v>2023</v>
      </c>
    </row>
    <row r="6446" spans="1:10" ht="14.25" customHeight="1" x14ac:dyDescent="0.3">
      <c r="A6446" s="1">
        <v>45269</v>
      </c>
      <c r="B6446" s="2" t="s">
        <v>740</v>
      </c>
      <c r="C6446" s="2" t="s">
        <v>181</v>
      </c>
      <c r="D6446" s="2" t="s">
        <v>10</v>
      </c>
      <c r="E6446" s="2" t="s">
        <v>14</v>
      </c>
      <c r="F6446" s="2">
        <v>3.69</v>
      </c>
      <c r="G6446" s="2">
        <v>1</v>
      </c>
      <c r="H6446" s="2">
        <v>1.73</v>
      </c>
      <c r="I6446" t="str">
        <f t="shared" si="100"/>
        <v>Dec</v>
      </c>
      <c r="J6446">
        <f>YEAR(datas[[#This Row],[Order Date]])</f>
        <v>2023</v>
      </c>
    </row>
    <row r="6447" spans="1:10" ht="14.25" customHeight="1" x14ac:dyDescent="0.3">
      <c r="A6447" s="1">
        <v>45269</v>
      </c>
      <c r="B6447" s="2" t="s">
        <v>740</v>
      </c>
      <c r="C6447" s="2" t="s">
        <v>181</v>
      </c>
      <c r="D6447" s="2" t="s">
        <v>10</v>
      </c>
      <c r="E6447" s="2" t="s">
        <v>14</v>
      </c>
      <c r="F6447" s="2">
        <v>122.12</v>
      </c>
      <c r="G6447" s="2">
        <v>4</v>
      </c>
      <c r="H6447" s="2">
        <v>56.18</v>
      </c>
      <c r="I6447" t="str">
        <f t="shared" si="100"/>
        <v>Dec</v>
      </c>
      <c r="J6447">
        <f>YEAR(datas[[#This Row],[Order Date]])</f>
        <v>2023</v>
      </c>
    </row>
    <row r="6448" spans="1:10" ht="14.25" customHeight="1" x14ac:dyDescent="0.3">
      <c r="A6448" s="1">
        <v>45269</v>
      </c>
      <c r="B6448" s="2" t="s">
        <v>233</v>
      </c>
      <c r="C6448" s="2" t="s">
        <v>9</v>
      </c>
      <c r="D6448" s="2" t="s">
        <v>10</v>
      </c>
      <c r="E6448" s="2" t="s">
        <v>11</v>
      </c>
      <c r="F6448" s="2">
        <v>9.39</v>
      </c>
      <c r="G6448" s="2">
        <v>2</v>
      </c>
      <c r="H6448" s="2">
        <v>3.29</v>
      </c>
      <c r="I6448" t="str">
        <f t="shared" si="100"/>
        <v>Dec</v>
      </c>
      <c r="J6448">
        <f>YEAR(datas[[#This Row],[Order Date]])</f>
        <v>2023</v>
      </c>
    </row>
    <row r="6449" spans="1:10" ht="14.25" customHeight="1" x14ac:dyDescent="0.3">
      <c r="A6449" s="1">
        <v>45269</v>
      </c>
      <c r="B6449" s="2" t="s">
        <v>233</v>
      </c>
      <c r="C6449" s="2" t="s">
        <v>9</v>
      </c>
      <c r="D6449" s="2" t="s">
        <v>10</v>
      </c>
      <c r="E6449" s="2" t="s">
        <v>19</v>
      </c>
      <c r="F6449" s="2">
        <v>9.33</v>
      </c>
      <c r="G6449" s="2">
        <v>1</v>
      </c>
      <c r="H6449" s="2">
        <v>0.82</v>
      </c>
      <c r="I6449" t="str">
        <f t="shared" si="100"/>
        <v>Dec</v>
      </c>
      <c r="J6449">
        <f>YEAR(datas[[#This Row],[Order Date]])</f>
        <v>2023</v>
      </c>
    </row>
    <row r="6450" spans="1:10" ht="14.25" customHeight="1" x14ac:dyDescent="0.3">
      <c r="A6450" s="1">
        <v>45269</v>
      </c>
      <c r="B6450" s="2" t="s">
        <v>162</v>
      </c>
      <c r="C6450" s="2" t="s">
        <v>62</v>
      </c>
      <c r="D6450" s="2" t="s">
        <v>26</v>
      </c>
      <c r="E6450" s="2" t="s">
        <v>73</v>
      </c>
      <c r="F6450" s="2">
        <v>79.97</v>
      </c>
      <c r="G6450" s="2">
        <v>3</v>
      </c>
      <c r="H6450" s="2">
        <v>-29.32</v>
      </c>
      <c r="I6450" t="str">
        <f t="shared" si="100"/>
        <v>Dec</v>
      </c>
      <c r="J6450">
        <f>YEAR(datas[[#This Row],[Order Date]])</f>
        <v>2023</v>
      </c>
    </row>
    <row r="6451" spans="1:10" ht="14.25" customHeight="1" x14ac:dyDescent="0.3">
      <c r="A6451" s="1">
        <v>45269</v>
      </c>
      <c r="B6451" s="2" t="s">
        <v>162</v>
      </c>
      <c r="C6451" s="2" t="s">
        <v>62</v>
      </c>
      <c r="D6451" s="2" t="s">
        <v>10</v>
      </c>
      <c r="E6451" s="2" t="s">
        <v>16</v>
      </c>
      <c r="F6451" s="2">
        <v>2.95</v>
      </c>
      <c r="G6451" s="2">
        <v>2</v>
      </c>
      <c r="H6451" s="2">
        <v>-2.06</v>
      </c>
      <c r="I6451" t="str">
        <f t="shared" si="100"/>
        <v>Dec</v>
      </c>
      <c r="J6451">
        <f>YEAR(datas[[#This Row],[Order Date]])</f>
        <v>2023</v>
      </c>
    </row>
    <row r="6452" spans="1:10" ht="14.25" customHeight="1" x14ac:dyDescent="0.3">
      <c r="A6452" s="1">
        <v>45269</v>
      </c>
      <c r="B6452" s="2" t="s">
        <v>636</v>
      </c>
      <c r="C6452" s="2" t="s">
        <v>60</v>
      </c>
      <c r="D6452" s="2" t="s">
        <v>28</v>
      </c>
      <c r="E6452" s="2" t="s">
        <v>29</v>
      </c>
      <c r="F6452" s="2">
        <v>10.9</v>
      </c>
      <c r="G6452" s="2">
        <v>1</v>
      </c>
      <c r="H6452" s="2">
        <v>3.05</v>
      </c>
      <c r="I6452" t="str">
        <f t="shared" si="100"/>
        <v>Dec</v>
      </c>
      <c r="J6452">
        <f>YEAR(datas[[#This Row],[Order Date]])</f>
        <v>2023</v>
      </c>
    </row>
    <row r="6453" spans="1:10" ht="14.25" customHeight="1" x14ac:dyDescent="0.3">
      <c r="A6453" s="1">
        <v>45269</v>
      </c>
      <c r="B6453" s="2" t="s">
        <v>636</v>
      </c>
      <c r="C6453" s="2" t="s">
        <v>60</v>
      </c>
      <c r="D6453" s="2" t="s">
        <v>28</v>
      </c>
      <c r="E6453" s="2" t="s">
        <v>34</v>
      </c>
      <c r="F6453" s="2">
        <v>59.98</v>
      </c>
      <c r="G6453" s="2">
        <v>2</v>
      </c>
      <c r="H6453" s="2">
        <v>25.19</v>
      </c>
      <c r="I6453" t="str">
        <f t="shared" si="100"/>
        <v>Dec</v>
      </c>
      <c r="J6453">
        <f>YEAR(datas[[#This Row],[Order Date]])</f>
        <v>2023</v>
      </c>
    </row>
    <row r="6454" spans="1:10" ht="14.25" customHeight="1" x14ac:dyDescent="0.3">
      <c r="A6454" s="1">
        <v>45269</v>
      </c>
      <c r="B6454" s="2" t="s">
        <v>636</v>
      </c>
      <c r="C6454" s="2" t="s">
        <v>60</v>
      </c>
      <c r="D6454" s="2" t="s">
        <v>10</v>
      </c>
      <c r="E6454" s="2" t="s">
        <v>53</v>
      </c>
      <c r="F6454" s="2">
        <v>61.93</v>
      </c>
      <c r="G6454" s="2">
        <v>1</v>
      </c>
      <c r="H6454" s="2">
        <v>23.4</v>
      </c>
      <c r="I6454" t="str">
        <f t="shared" si="100"/>
        <v>Dec</v>
      </c>
      <c r="J6454">
        <f>YEAR(datas[[#This Row],[Order Date]])</f>
        <v>2023</v>
      </c>
    </row>
    <row r="6455" spans="1:10" ht="14.25" customHeight="1" x14ac:dyDescent="0.3">
      <c r="A6455" s="1">
        <v>45269</v>
      </c>
      <c r="B6455" s="2" t="s">
        <v>251</v>
      </c>
      <c r="C6455" s="2" t="s">
        <v>62</v>
      </c>
      <c r="D6455" s="2" t="s">
        <v>28</v>
      </c>
      <c r="E6455" s="2" t="s">
        <v>29</v>
      </c>
      <c r="F6455" s="2">
        <v>40.68</v>
      </c>
      <c r="G6455" s="2">
        <v>3</v>
      </c>
      <c r="H6455" s="2">
        <v>-9.15</v>
      </c>
      <c r="I6455" t="str">
        <f t="shared" si="100"/>
        <v>Dec</v>
      </c>
      <c r="J6455">
        <f>YEAR(datas[[#This Row],[Order Date]])</f>
        <v>2023</v>
      </c>
    </row>
    <row r="6456" spans="1:10" ht="14.25" customHeight="1" x14ac:dyDescent="0.3">
      <c r="A6456" s="1">
        <v>45269</v>
      </c>
      <c r="B6456" s="2" t="s">
        <v>342</v>
      </c>
      <c r="C6456" s="2" t="s">
        <v>13</v>
      </c>
      <c r="D6456" s="2" t="s">
        <v>10</v>
      </c>
      <c r="E6456" s="2" t="s">
        <v>95</v>
      </c>
      <c r="F6456" s="2">
        <v>20.57</v>
      </c>
      <c r="G6456" s="2">
        <v>3</v>
      </c>
      <c r="H6456" s="2">
        <v>1.54</v>
      </c>
      <c r="I6456" t="str">
        <f t="shared" si="100"/>
        <v>Dec</v>
      </c>
      <c r="J6456">
        <f>YEAR(datas[[#This Row],[Order Date]])</f>
        <v>2023</v>
      </c>
    </row>
    <row r="6457" spans="1:10" ht="14.25" customHeight="1" x14ac:dyDescent="0.3">
      <c r="A6457" s="1">
        <v>45269</v>
      </c>
      <c r="B6457" s="2" t="s">
        <v>342</v>
      </c>
      <c r="C6457" s="2" t="s">
        <v>13</v>
      </c>
      <c r="D6457" s="2" t="s">
        <v>10</v>
      </c>
      <c r="E6457" s="2" t="s">
        <v>53</v>
      </c>
      <c r="F6457" s="2">
        <v>4.3600000000000003</v>
      </c>
      <c r="G6457" s="2">
        <v>2</v>
      </c>
      <c r="H6457" s="2">
        <v>-11.76</v>
      </c>
      <c r="I6457" t="str">
        <f t="shared" si="100"/>
        <v>Dec</v>
      </c>
      <c r="J6457">
        <f>YEAR(datas[[#This Row],[Order Date]])</f>
        <v>2023</v>
      </c>
    </row>
    <row r="6458" spans="1:10" ht="14.25" customHeight="1" x14ac:dyDescent="0.3">
      <c r="A6458" s="1">
        <v>45269</v>
      </c>
      <c r="B6458" s="2" t="s">
        <v>342</v>
      </c>
      <c r="C6458" s="2" t="s">
        <v>13</v>
      </c>
      <c r="D6458" s="2" t="s">
        <v>28</v>
      </c>
      <c r="E6458" s="2" t="s">
        <v>34</v>
      </c>
      <c r="F6458" s="2">
        <v>19.04</v>
      </c>
      <c r="G6458" s="2">
        <v>4</v>
      </c>
      <c r="H6458" s="2">
        <v>-1.43</v>
      </c>
      <c r="I6458" t="str">
        <f t="shared" si="100"/>
        <v>Dec</v>
      </c>
      <c r="J6458">
        <f>YEAR(datas[[#This Row],[Order Date]])</f>
        <v>2023</v>
      </c>
    </row>
    <row r="6459" spans="1:10" ht="14.25" customHeight="1" x14ac:dyDescent="0.3">
      <c r="A6459" s="1">
        <v>45269</v>
      </c>
      <c r="B6459" s="2" t="s">
        <v>217</v>
      </c>
      <c r="C6459" s="2" t="s">
        <v>21</v>
      </c>
      <c r="D6459" s="2" t="s">
        <v>10</v>
      </c>
      <c r="E6459" s="2" t="s">
        <v>16</v>
      </c>
      <c r="F6459" s="2">
        <v>273.92</v>
      </c>
      <c r="G6459" s="2">
        <v>8</v>
      </c>
      <c r="H6459" s="2">
        <v>99.3</v>
      </c>
      <c r="I6459" t="str">
        <f t="shared" si="100"/>
        <v>Dec</v>
      </c>
      <c r="J6459">
        <f>YEAR(datas[[#This Row],[Order Date]])</f>
        <v>2023</v>
      </c>
    </row>
    <row r="6460" spans="1:10" ht="14.25" customHeight="1" x14ac:dyDescent="0.3">
      <c r="A6460" s="1">
        <v>45269</v>
      </c>
      <c r="B6460" s="2" t="s">
        <v>246</v>
      </c>
      <c r="C6460" s="2" t="s">
        <v>36</v>
      </c>
      <c r="D6460" s="2" t="s">
        <v>26</v>
      </c>
      <c r="E6460" s="2" t="s">
        <v>73</v>
      </c>
      <c r="F6460" s="2">
        <v>1056.8599999999999</v>
      </c>
      <c r="G6460" s="2">
        <v>7</v>
      </c>
      <c r="H6460" s="2">
        <v>158.53</v>
      </c>
      <c r="I6460" t="str">
        <f t="shared" si="100"/>
        <v>Dec</v>
      </c>
      <c r="J6460">
        <f>YEAR(datas[[#This Row],[Order Date]])</f>
        <v>2023</v>
      </c>
    </row>
    <row r="6461" spans="1:10" ht="14.25" customHeight="1" x14ac:dyDescent="0.3">
      <c r="A6461" s="1">
        <v>45270</v>
      </c>
      <c r="B6461" s="2" t="s">
        <v>636</v>
      </c>
      <c r="C6461" s="2" t="s">
        <v>21</v>
      </c>
      <c r="D6461" s="2" t="s">
        <v>26</v>
      </c>
      <c r="E6461" s="2" t="s">
        <v>27</v>
      </c>
      <c r="F6461" s="2">
        <v>321.57</v>
      </c>
      <c r="G6461" s="2">
        <v>2</v>
      </c>
      <c r="H6461" s="2">
        <v>28.14</v>
      </c>
      <c r="I6461" t="str">
        <f t="shared" si="100"/>
        <v>Dec</v>
      </c>
      <c r="J6461">
        <f>YEAR(datas[[#This Row],[Order Date]])</f>
        <v>2023</v>
      </c>
    </row>
    <row r="6462" spans="1:10" ht="14.25" customHeight="1" x14ac:dyDescent="0.3">
      <c r="A6462" s="1">
        <v>45270</v>
      </c>
      <c r="B6462" s="2" t="s">
        <v>50</v>
      </c>
      <c r="C6462" s="2" t="s">
        <v>75</v>
      </c>
      <c r="D6462" s="2" t="s">
        <v>10</v>
      </c>
      <c r="E6462" s="2" t="s">
        <v>15</v>
      </c>
      <c r="F6462" s="2">
        <v>80.58</v>
      </c>
      <c r="G6462" s="2">
        <v>6</v>
      </c>
      <c r="H6462" s="2">
        <v>22.56</v>
      </c>
      <c r="I6462" t="str">
        <f t="shared" si="100"/>
        <v>Dec</v>
      </c>
      <c r="J6462">
        <f>YEAR(datas[[#This Row],[Order Date]])</f>
        <v>2023</v>
      </c>
    </row>
    <row r="6463" spans="1:10" ht="14.25" customHeight="1" x14ac:dyDescent="0.3">
      <c r="A6463" s="1">
        <v>45270</v>
      </c>
      <c r="B6463" s="2" t="s">
        <v>50</v>
      </c>
      <c r="C6463" s="2" t="s">
        <v>75</v>
      </c>
      <c r="D6463" s="2" t="s">
        <v>10</v>
      </c>
      <c r="E6463" s="2" t="s">
        <v>41</v>
      </c>
      <c r="F6463" s="2">
        <v>361.92</v>
      </c>
      <c r="G6463" s="2">
        <v>4</v>
      </c>
      <c r="H6463" s="2">
        <v>162.86000000000001</v>
      </c>
      <c r="I6463" t="str">
        <f t="shared" si="100"/>
        <v>Dec</v>
      </c>
      <c r="J6463">
        <f>YEAR(datas[[#This Row],[Order Date]])</f>
        <v>2023</v>
      </c>
    </row>
    <row r="6464" spans="1:10" ht="14.25" customHeight="1" x14ac:dyDescent="0.3">
      <c r="A6464" s="1">
        <v>45270</v>
      </c>
      <c r="B6464" s="2" t="s">
        <v>428</v>
      </c>
      <c r="C6464" s="2" t="s">
        <v>82</v>
      </c>
      <c r="D6464" s="2" t="s">
        <v>10</v>
      </c>
      <c r="E6464" s="2" t="s">
        <v>16</v>
      </c>
      <c r="F6464" s="2">
        <v>153.55000000000001</v>
      </c>
      <c r="G6464" s="2">
        <v>3</v>
      </c>
      <c r="H6464" s="2">
        <v>51.82</v>
      </c>
      <c r="I6464" t="str">
        <f t="shared" si="100"/>
        <v>Dec</v>
      </c>
      <c r="J6464">
        <f>YEAR(datas[[#This Row],[Order Date]])</f>
        <v>2023</v>
      </c>
    </row>
    <row r="6465" spans="1:10" ht="14.25" customHeight="1" x14ac:dyDescent="0.3">
      <c r="A6465" s="1">
        <v>45270</v>
      </c>
      <c r="B6465" s="2" t="s">
        <v>428</v>
      </c>
      <c r="C6465" s="2" t="s">
        <v>82</v>
      </c>
      <c r="D6465" s="2" t="s">
        <v>10</v>
      </c>
      <c r="E6465" s="2" t="s">
        <v>53</v>
      </c>
      <c r="F6465" s="2">
        <v>65.34</v>
      </c>
      <c r="G6465" s="2">
        <v>3</v>
      </c>
      <c r="H6465" s="2">
        <v>22.87</v>
      </c>
      <c r="I6465" t="str">
        <f t="shared" si="100"/>
        <v>Dec</v>
      </c>
      <c r="J6465">
        <f>YEAR(datas[[#This Row],[Order Date]])</f>
        <v>2023</v>
      </c>
    </row>
    <row r="6466" spans="1:10" ht="14.25" customHeight="1" x14ac:dyDescent="0.3">
      <c r="A6466" s="1">
        <v>45270</v>
      </c>
      <c r="B6466" s="2" t="s">
        <v>428</v>
      </c>
      <c r="C6466" s="2" t="s">
        <v>82</v>
      </c>
      <c r="D6466" s="2" t="s">
        <v>10</v>
      </c>
      <c r="E6466" s="2" t="s">
        <v>11</v>
      </c>
      <c r="F6466" s="2">
        <v>123.92</v>
      </c>
      <c r="G6466" s="2">
        <v>4</v>
      </c>
      <c r="H6466" s="2">
        <v>55.76</v>
      </c>
      <c r="I6466" t="str">
        <f t="shared" si="100"/>
        <v>Dec</v>
      </c>
      <c r="J6466">
        <f>YEAR(datas[[#This Row],[Order Date]])</f>
        <v>2023</v>
      </c>
    </row>
    <row r="6467" spans="1:10" ht="14.25" customHeight="1" x14ac:dyDescent="0.3">
      <c r="A6467" s="1">
        <v>45270</v>
      </c>
      <c r="B6467" s="2" t="s">
        <v>428</v>
      </c>
      <c r="C6467" s="2" t="s">
        <v>82</v>
      </c>
      <c r="D6467" s="2" t="s">
        <v>10</v>
      </c>
      <c r="E6467" s="2" t="s">
        <v>53</v>
      </c>
      <c r="F6467" s="2">
        <v>35.1</v>
      </c>
      <c r="G6467" s="2">
        <v>3</v>
      </c>
      <c r="H6467" s="2">
        <v>12.29</v>
      </c>
      <c r="I6467" t="str">
        <f t="shared" ref="I6467:I6530" si="101">TEXT(A6467,"mmm")</f>
        <v>Dec</v>
      </c>
      <c r="J6467">
        <f>YEAR(datas[[#This Row],[Order Date]])</f>
        <v>2023</v>
      </c>
    </row>
    <row r="6468" spans="1:10" ht="14.25" customHeight="1" x14ac:dyDescent="0.3">
      <c r="A6468" s="1">
        <v>45270</v>
      </c>
      <c r="B6468" s="2" t="s">
        <v>428</v>
      </c>
      <c r="C6468" s="2" t="s">
        <v>82</v>
      </c>
      <c r="D6468" s="2" t="s">
        <v>28</v>
      </c>
      <c r="E6468" s="2" t="s">
        <v>34</v>
      </c>
      <c r="F6468" s="2">
        <v>44.75</v>
      </c>
      <c r="G6468" s="2">
        <v>5</v>
      </c>
      <c r="H6468" s="2">
        <v>8.5</v>
      </c>
      <c r="I6468" t="str">
        <f t="shared" si="101"/>
        <v>Dec</v>
      </c>
      <c r="J6468">
        <f>YEAR(datas[[#This Row],[Order Date]])</f>
        <v>2023</v>
      </c>
    </row>
    <row r="6469" spans="1:10" ht="14.25" customHeight="1" x14ac:dyDescent="0.3">
      <c r="A6469" s="1">
        <v>45270</v>
      </c>
      <c r="B6469" s="2" t="s">
        <v>362</v>
      </c>
      <c r="C6469" s="2" t="s">
        <v>68</v>
      </c>
      <c r="D6469" s="2" t="s">
        <v>26</v>
      </c>
      <c r="E6469" s="2" t="s">
        <v>27</v>
      </c>
      <c r="F6469" s="2">
        <v>1424.9</v>
      </c>
      <c r="G6469" s="2">
        <v>5</v>
      </c>
      <c r="H6469" s="2">
        <v>356.23</v>
      </c>
      <c r="I6469" t="str">
        <f t="shared" si="101"/>
        <v>Dec</v>
      </c>
      <c r="J6469">
        <f>YEAR(datas[[#This Row],[Order Date]])</f>
        <v>2023</v>
      </c>
    </row>
    <row r="6470" spans="1:10" ht="14.25" customHeight="1" x14ac:dyDescent="0.3">
      <c r="A6470" s="1">
        <v>45270</v>
      </c>
      <c r="B6470" s="2" t="s">
        <v>767</v>
      </c>
      <c r="C6470" s="2" t="s">
        <v>21</v>
      </c>
      <c r="D6470" s="2" t="s">
        <v>10</v>
      </c>
      <c r="E6470" s="2" t="s">
        <v>11</v>
      </c>
      <c r="F6470" s="2">
        <v>80.28</v>
      </c>
      <c r="G6470" s="2">
        <v>12</v>
      </c>
      <c r="H6470" s="2">
        <v>36.93</v>
      </c>
      <c r="I6470" t="str">
        <f t="shared" si="101"/>
        <v>Dec</v>
      </c>
      <c r="J6470">
        <f>YEAR(datas[[#This Row],[Order Date]])</f>
        <v>2023</v>
      </c>
    </row>
    <row r="6471" spans="1:10" ht="14.25" customHeight="1" x14ac:dyDescent="0.3">
      <c r="A6471" s="1">
        <v>45270</v>
      </c>
      <c r="B6471" s="2" t="s">
        <v>826</v>
      </c>
      <c r="C6471" s="2" t="s">
        <v>75</v>
      </c>
      <c r="D6471" s="2" t="s">
        <v>10</v>
      </c>
      <c r="E6471" s="2" t="s">
        <v>11</v>
      </c>
      <c r="F6471" s="2">
        <v>18.54</v>
      </c>
      <c r="G6471" s="2">
        <v>2</v>
      </c>
      <c r="H6471" s="2">
        <v>8.7100000000000009</v>
      </c>
      <c r="I6471" t="str">
        <f t="shared" si="101"/>
        <v>Dec</v>
      </c>
      <c r="J6471">
        <f>YEAR(datas[[#This Row],[Order Date]])</f>
        <v>2023</v>
      </c>
    </row>
    <row r="6472" spans="1:10" ht="14.25" customHeight="1" x14ac:dyDescent="0.3">
      <c r="A6472" s="1">
        <v>45270</v>
      </c>
      <c r="B6472" s="2" t="s">
        <v>826</v>
      </c>
      <c r="C6472" s="2" t="s">
        <v>75</v>
      </c>
      <c r="D6472" s="2" t="s">
        <v>10</v>
      </c>
      <c r="E6472" s="2" t="s">
        <v>16</v>
      </c>
      <c r="F6472" s="2">
        <v>679.96</v>
      </c>
      <c r="G6472" s="2">
        <v>5</v>
      </c>
      <c r="H6472" s="2">
        <v>220.99</v>
      </c>
      <c r="I6472" t="str">
        <f t="shared" si="101"/>
        <v>Dec</v>
      </c>
      <c r="J6472">
        <f>YEAR(datas[[#This Row],[Order Date]])</f>
        <v>2023</v>
      </c>
    </row>
    <row r="6473" spans="1:10" ht="14.25" customHeight="1" x14ac:dyDescent="0.3">
      <c r="A6473" s="1">
        <v>45270</v>
      </c>
      <c r="B6473" s="2" t="s">
        <v>692</v>
      </c>
      <c r="C6473" s="2" t="s">
        <v>75</v>
      </c>
      <c r="D6473" s="2" t="s">
        <v>10</v>
      </c>
      <c r="E6473" s="2" t="s">
        <v>11</v>
      </c>
      <c r="F6473" s="2">
        <v>62.82</v>
      </c>
      <c r="G6473" s="2">
        <v>9</v>
      </c>
      <c r="H6473" s="2">
        <v>29.53</v>
      </c>
      <c r="I6473" t="str">
        <f t="shared" si="101"/>
        <v>Dec</v>
      </c>
      <c r="J6473">
        <f>YEAR(datas[[#This Row],[Order Date]])</f>
        <v>2023</v>
      </c>
    </row>
    <row r="6474" spans="1:10" ht="14.25" customHeight="1" x14ac:dyDescent="0.3">
      <c r="A6474" s="1">
        <v>45270</v>
      </c>
      <c r="B6474" s="2" t="s">
        <v>492</v>
      </c>
      <c r="C6474" s="2" t="s">
        <v>75</v>
      </c>
      <c r="D6474" s="2" t="s">
        <v>10</v>
      </c>
      <c r="E6474" s="2" t="s">
        <v>11</v>
      </c>
      <c r="F6474" s="2">
        <v>6.48</v>
      </c>
      <c r="G6474" s="2">
        <v>1</v>
      </c>
      <c r="H6474" s="2">
        <v>3.11</v>
      </c>
      <c r="I6474" t="str">
        <f t="shared" si="101"/>
        <v>Dec</v>
      </c>
      <c r="J6474">
        <f>YEAR(datas[[#This Row],[Order Date]])</f>
        <v>2023</v>
      </c>
    </row>
    <row r="6475" spans="1:10" ht="14.25" customHeight="1" x14ac:dyDescent="0.3">
      <c r="A6475" s="1">
        <v>45271</v>
      </c>
      <c r="B6475" s="2" t="s">
        <v>432</v>
      </c>
      <c r="C6475" s="2" t="s">
        <v>75</v>
      </c>
      <c r="D6475" s="2" t="s">
        <v>10</v>
      </c>
      <c r="E6475" s="2" t="s">
        <v>30</v>
      </c>
      <c r="F6475" s="2">
        <v>15.26</v>
      </c>
      <c r="G6475" s="2">
        <v>7</v>
      </c>
      <c r="H6475" s="2">
        <v>6.26</v>
      </c>
      <c r="I6475" t="str">
        <f t="shared" si="101"/>
        <v>Dec</v>
      </c>
      <c r="J6475">
        <f>YEAR(datas[[#This Row],[Order Date]])</f>
        <v>2023</v>
      </c>
    </row>
    <row r="6476" spans="1:10" ht="14.25" customHeight="1" x14ac:dyDescent="0.3">
      <c r="A6476" s="1">
        <v>45271</v>
      </c>
      <c r="B6476" s="2" t="s">
        <v>432</v>
      </c>
      <c r="C6476" s="2" t="s">
        <v>75</v>
      </c>
      <c r="D6476" s="2" t="s">
        <v>28</v>
      </c>
      <c r="E6476" s="2" t="s">
        <v>29</v>
      </c>
      <c r="F6476" s="2">
        <v>1029.95</v>
      </c>
      <c r="G6476" s="2">
        <v>5</v>
      </c>
      <c r="H6476" s="2">
        <v>298.69</v>
      </c>
      <c r="I6476" t="str">
        <f t="shared" si="101"/>
        <v>Dec</v>
      </c>
      <c r="J6476">
        <f>YEAR(datas[[#This Row],[Order Date]])</f>
        <v>2023</v>
      </c>
    </row>
    <row r="6477" spans="1:10" ht="14.25" customHeight="1" x14ac:dyDescent="0.3">
      <c r="A6477" s="1">
        <v>45271</v>
      </c>
      <c r="B6477" s="2" t="s">
        <v>740</v>
      </c>
      <c r="C6477" s="2" t="s">
        <v>126</v>
      </c>
      <c r="D6477" s="2" t="s">
        <v>10</v>
      </c>
      <c r="E6477" s="2" t="s">
        <v>15</v>
      </c>
      <c r="F6477" s="2">
        <v>243.38</v>
      </c>
      <c r="G6477" s="2">
        <v>3</v>
      </c>
      <c r="H6477" s="2">
        <v>-51.72</v>
      </c>
      <c r="I6477" t="str">
        <f t="shared" si="101"/>
        <v>Dec</v>
      </c>
      <c r="J6477">
        <f>YEAR(datas[[#This Row],[Order Date]])</f>
        <v>2023</v>
      </c>
    </row>
    <row r="6478" spans="1:10" ht="14.25" customHeight="1" x14ac:dyDescent="0.3">
      <c r="A6478" s="1">
        <v>45271</v>
      </c>
      <c r="B6478" s="2" t="s">
        <v>740</v>
      </c>
      <c r="C6478" s="2" t="s">
        <v>126</v>
      </c>
      <c r="D6478" s="2" t="s">
        <v>28</v>
      </c>
      <c r="E6478" s="2" t="s">
        <v>34</v>
      </c>
      <c r="F6478" s="2">
        <v>119.8</v>
      </c>
      <c r="G6478" s="2">
        <v>5</v>
      </c>
      <c r="H6478" s="2">
        <v>29.95</v>
      </c>
      <c r="I6478" t="str">
        <f t="shared" si="101"/>
        <v>Dec</v>
      </c>
      <c r="J6478">
        <f>YEAR(datas[[#This Row],[Order Date]])</f>
        <v>2023</v>
      </c>
    </row>
    <row r="6479" spans="1:10" ht="14.25" customHeight="1" x14ac:dyDescent="0.3">
      <c r="A6479" s="1">
        <v>45271</v>
      </c>
      <c r="B6479" s="2" t="s">
        <v>740</v>
      </c>
      <c r="C6479" s="2" t="s">
        <v>126</v>
      </c>
      <c r="D6479" s="2" t="s">
        <v>28</v>
      </c>
      <c r="E6479" s="2" t="s">
        <v>29</v>
      </c>
      <c r="F6479" s="2">
        <v>300.77</v>
      </c>
      <c r="G6479" s="2">
        <v>4</v>
      </c>
      <c r="H6479" s="2">
        <v>30.08</v>
      </c>
      <c r="I6479" t="str">
        <f t="shared" si="101"/>
        <v>Dec</v>
      </c>
      <c r="J6479">
        <f>YEAR(datas[[#This Row],[Order Date]])</f>
        <v>2023</v>
      </c>
    </row>
    <row r="6480" spans="1:10" ht="14.25" customHeight="1" x14ac:dyDescent="0.3">
      <c r="A6480" s="1">
        <v>45271</v>
      </c>
      <c r="B6480" s="2" t="s">
        <v>346</v>
      </c>
      <c r="C6480" s="2" t="s">
        <v>82</v>
      </c>
      <c r="D6480" s="2" t="s">
        <v>26</v>
      </c>
      <c r="E6480" s="2" t="s">
        <v>32</v>
      </c>
      <c r="F6480" s="2">
        <v>14.8</v>
      </c>
      <c r="G6480" s="2">
        <v>4</v>
      </c>
      <c r="H6480" s="2">
        <v>6.07</v>
      </c>
      <c r="I6480" t="str">
        <f t="shared" si="101"/>
        <v>Dec</v>
      </c>
      <c r="J6480">
        <f>YEAR(datas[[#This Row],[Order Date]])</f>
        <v>2023</v>
      </c>
    </row>
    <row r="6481" spans="1:10" ht="14.25" customHeight="1" x14ac:dyDescent="0.3">
      <c r="A6481" s="1">
        <v>45271</v>
      </c>
      <c r="B6481" s="2" t="s">
        <v>346</v>
      </c>
      <c r="C6481" s="2" t="s">
        <v>82</v>
      </c>
      <c r="D6481" s="2" t="s">
        <v>28</v>
      </c>
      <c r="E6481" s="2" t="s">
        <v>29</v>
      </c>
      <c r="F6481" s="2">
        <v>302.38</v>
      </c>
      <c r="G6481" s="2">
        <v>3</v>
      </c>
      <c r="H6481" s="2">
        <v>22.68</v>
      </c>
      <c r="I6481" t="str">
        <f t="shared" si="101"/>
        <v>Dec</v>
      </c>
      <c r="J6481">
        <f>YEAR(datas[[#This Row],[Order Date]])</f>
        <v>2023</v>
      </c>
    </row>
    <row r="6482" spans="1:10" ht="14.25" customHeight="1" x14ac:dyDescent="0.3">
      <c r="A6482" s="1">
        <v>45271</v>
      </c>
      <c r="B6482" s="2" t="s">
        <v>346</v>
      </c>
      <c r="C6482" s="2" t="s">
        <v>82</v>
      </c>
      <c r="D6482" s="2" t="s">
        <v>28</v>
      </c>
      <c r="E6482" s="2" t="s">
        <v>34</v>
      </c>
      <c r="F6482" s="2">
        <v>316</v>
      </c>
      <c r="G6482" s="2">
        <v>4</v>
      </c>
      <c r="H6482" s="2">
        <v>31.6</v>
      </c>
      <c r="I6482" t="str">
        <f t="shared" si="101"/>
        <v>Dec</v>
      </c>
      <c r="J6482">
        <f>YEAR(datas[[#This Row],[Order Date]])</f>
        <v>2023</v>
      </c>
    </row>
    <row r="6483" spans="1:10" ht="14.25" customHeight="1" x14ac:dyDescent="0.3">
      <c r="A6483" s="1">
        <v>45271</v>
      </c>
      <c r="B6483" s="2" t="s">
        <v>406</v>
      </c>
      <c r="C6483" s="2" t="s">
        <v>64</v>
      </c>
      <c r="D6483" s="2" t="s">
        <v>10</v>
      </c>
      <c r="E6483" s="2" t="s">
        <v>15</v>
      </c>
      <c r="F6483" s="2">
        <v>85.22</v>
      </c>
      <c r="G6483" s="2">
        <v>3</v>
      </c>
      <c r="H6483" s="2">
        <v>7.46</v>
      </c>
      <c r="I6483" t="str">
        <f t="shared" si="101"/>
        <v>Dec</v>
      </c>
      <c r="J6483">
        <f>YEAR(datas[[#This Row],[Order Date]])</f>
        <v>2023</v>
      </c>
    </row>
    <row r="6484" spans="1:10" ht="14.25" customHeight="1" x14ac:dyDescent="0.3">
      <c r="A6484" s="1">
        <v>45271</v>
      </c>
      <c r="B6484" s="2" t="s">
        <v>341</v>
      </c>
      <c r="C6484" s="2" t="s">
        <v>62</v>
      </c>
      <c r="D6484" s="2" t="s">
        <v>10</v>
      </c>
      <c r="E6484" s="2" t="s">
        <v>19</v>
      </c>
      <c r="F6484" s="2">
        <v>6.67</v>
      </c>
      <c r="G6484" s="2">
        <v>3</v>
      </c>
      <c r="H6484" s="2">
        <v>1.67</v>
      </c>
      <c r="I6484" t="str">
        <f t="shared" si="101"/>
        <v>Dec</v>
      </c>
      <c r="J6484">
        <f>YEAR(datas[[#This Row],[Order Date]])</f>
        <v>2023</v>
      </c>
    </row>
    <row r="6485" spans="1:10" ht="14.25" customHeight="1" x14ac:dyDescent="0.3">
      <c r="A6485" s="1">
        <v>45271</v>
      </c>
      <c r="B6485" s="2" t="s">
        <v>338</v>
      </c>
      <c r="C6485" s="2" t="s">
        <v>47</v>
      </c>
      <c r="D6485" s="2" t="s">
        <v>10</v>
      </c>
      <c r="E6485" s="2" t="s">
        <v>15</v>
      </c>
      <c r="F6485" s="2">
        <v>64.959999999999994</v>
      </c>
      <c r="G6485" s="2">
        <v>5</v>
      </c>
      <c r="H6485" s="2">
        <v>-4.0599999999999996</v>
      </c>
      <c r="I6485" t="str">
        <f t="shared" si="101"/>
        <v>Dec</v>
      </c>
      <c r="J6485">
        <f>YEAR(datas[[#This Row],[Order Date]])</f>
        <v>2023</v>
      </c>
    </row>
    <row r="6486" spans="1:10" ht="14.25" customHeight="1" x14ac:dyDescent="0.3">
      <c r="A6486" s="1">
        <v>45271</v>
      </c>
      <c r="B6486" s="2" t="s">
        <v>338</v>
      </c>
      <c r="C6486" s="2" t="s">
        <v>47</v>
      </c>
      <c r="D6486" s="2" t="s">
        <v>10</v>
      </c>
      <c r="E6486" s="2" t="s">
        <v>95</v>
      </c>
      <c r="F6486" s="2">
        <v>13.52</v>
      </c>
      <c r="G6486" s="2">
        <v>2</v>
      </c>
      <c r="H6486" s="2">
        <v>1.69</v>
      </c>
      <c r="I6486" t="str">
        <f t="shared" si="101"/>
        <v>Dec</v>
      </c>
      <c r="J6486">
        <f>YEAR(datas[[#This Row],[Order Date]])</f>
        <v>2023</v>
      </c>
    </row>
    <row r="6487" spans="1:10" ht="14.25" customHeight="1" x14ac:dyDescent="0.3">
      <c r="A6487" s="1">
        <v>45271</v>
      </c>
      <c r="B6487" s="2" t="s">
        <v>338</v>
      </c>
      <c r="C6487" s="2" t="s">
        <v>47</v>
      </c>
      <c r="D6487" s="2" t="s">
        <v>26</v>
      </c>
      <c r="E6487" s="2" t="s">
        <v>27</v>
      </c>
      <c r="F6487" s="2">
        <v>458.43</v>
      </c>
      <c r="G6487" s="2">
        <v>5</v>
      </c>
      <c r="H6487" s="2">
        <v>-137.53</v>
      </c>
      <c r="I6487" t="str">
        <f t="shared" si="101"/>
        <v>Dec</v>
      </c>
      <c r="J6487">
        <f>YEAR(datas[[#This Row],[Order Date]])</f>
        <v>2023</v>
      </c>
    </row>
    <row r="6488" spans="1:10" ht="14.25" customHeight="1" x14ac:dyDescent="0.3">
      <c r="A6488" s="1">
        <v>45271</v>
      </c>
      <c r="B6488" s="2" t="s">
        <v>338</v>
      </c>
      <c r="C6488" s="2" t="s">
        <v>47</v>
      </c>
      <c r="D6488" s="2" t="s">
        <v>10</v>
      </c>
      <c r="E6488" s="2" t="s">
        <v>53</v>
      </c>
      <c r="F6488" s="2">
        <v>387.14</v>
      </c>
      <c r="G6488" s="2">
        <v>4</v>
      </c>
      <c r="H6488" s="2">
        <v>24.2</v>
      </c>
      <c r="I6488" t="str">
        <f t="shared" si="101"/>
        <v>Dec</v>
      </c>
      <c r="J6488">
        <f>YEAR(datas[[#This Row],[Order Date]])</f>
        <v>2023</v>
      </c>
    </row>
    <row r="6489" spans="1:10" ht="14.25" customHeight="1" x14ac:dyDescent="0.3">
      <c r="A6489" s="1">
        <v>45271</v>
      </c>
      <c r="B6489" s="2" t="s">
        <v>338</v>
      </c>
      <c r="C6489" s="2" t="s">
        <v>47</v>
      </c>
      <c r="D6489" s="2" t="s">
        <v>26</v>
      </c>
      <c r="E6489" s="2" t="s">
        <v>73</v>
      </c>
      <c r="F6489" s="2">
        <v>328.59</v>
      </c>
      <c r="G6489" s="2">
        <v>3</v>
      </c>
      <c r="H6489" s="2">
        <v>-147.87</v>
      </c>
      <c r="I6489" t="str">
        <f t="shared" si="101"/>
        <v>Dec</v>
      </c>
      <c r="J6489">
        <f>YEAR(datas[[#This Row],[Order Date]])</f>
        <v>2023</v>
      </c>
    </row>
    <row r="6490" spans="1:10" ht="14.25" customHeight="1" x14ac:dyDescent="0.3">
      <c r="A6490" s="1">
        <v>45271</v>
      </c>
      <c r="B6490" s="2" t="s">
        <v>83</v>
      </c>
      <c r="C6490" s="2" t="s">
        <v>52</v>
      </c>
      <c r="D6490" s="2" t="s">
        <v>26</v>
      </c>
      <c r="E6490" s="2" t="s">
        <v>27</v>
      </c>
      <c r="F6490" s="2">
        <v>403.92</v>
      </c>
      <c r="G6490" s="2">
        <v>5</v>
      </c>
      <c r="H6490" s="2">
        <v>25.25</v>
      </c>
      <c r="I6490" t="str">
        <f t="shared" si="101"/>
        <v>Dec</v>
      </c>
      <c r="J6490">
        <f>YEAR(datas[[#This Row],[Order Date]])</f>
        <v>2023</v>
      </c>
    </row>
    <row r="6491" spans="1:10" ht="14.25" customHeight="1" x14ac:dyDescent="0.3">
      <c r="A6491" s="1">
        <v>45271</v>
      </c>
      <c r="B6491" s="2" t="s">
        <v>566</v>
      </c>
      <c r="C6491" s="2" t="s">
        <v>21</v>
      </c>
      <c r="D6491" s="2" t="s">
        <v>10</v>
      </c>
      <c r="E6491" s="2" t="s">
        <v>16</v>
      </c>
      <c r="F6491" s="2">
        <v>209.6</v>
      </c>
      <c r="G6491" s="2">
        <v>5</v>
      </c>
      <c r="H6491" s="2">
        <v>68.12</v>
      </c>
      <c r="I6491" t="str">
        <f t="shared" si="101"/>
        <v>Dec</v>
      </c>
      <c r="J6491">
        <f>YEAR(datas[[#This Row],[Order Date]])</f>
        <v>2023</v>
      </c>
    </row>
    <row r="6492" spans="1:10" ht="14.25" customHeight="1" x14ac:dyDescent="0.3">
      <c r="A6492" s="1">
        <v>45271</v>
      </c>
      <c r="B6492" s="2" t="s">
        <v>566</v>
      </c>
      <c r="C6492" s="2" t="s">
        <v>21</v>
      </c>
      <c r="D6492" s="2" t="s">
        <v>10</v>
      </c>
      <c r="E6492" s="2" t="s">
        <v>19</v>
      </c>
      <c r="F6492" s="2">
        <v>23.32</v>
      </c>
      <c r="G6492" s="2">
        <v>2</v>
      </c>
      <c r="H6492" s="2">
        <v>6.06</v>
      </c>
      <c r="I6492" t="str">
        <f t="shared" si="101"/>
        <v>Dec</v>
      </c>
      <c r="J6492">
        <f>YEAR(datas[[#This Row],[Order Date]])</f>
        <v>2023</v>
      </c>
    </row>
    <row r="6493" spans="1:10" ht="14.25" customHeight="1" x14ac:dyDescent="0.3">
      <c r="A6493" s="1">
        <v>45271</v>
      </c>
      <c r="B6493" s="2" t="s">
        <v>566</v>
      </c>
      <c r="C6493" s="2" t="s">
        <v>21</v>
      </c>
      <c r="D6493" s="2" t="s">
        <v>10</v>
      </c>
      <c r="E6493" s="2" t="s">
        <v>11</v>
      </c>
      <c r="F6493" s="2">
        <v>30.98</v>
      </c>
      <c r="G6493" s="2">
        <v>1</v>
      </c>
      <c r="H6493" s="2">
        <v>13.94</v>
      </c>
      <c r="I6493" t="str">
        <f t="shared" si="101"/>
        <v>Dec</v>
      </c>
      <c r="J6493">
        <f>YEAR(datas[[#This Row],[Order Date]])</f>
        <v>2023</v>
      </c>
    </row>
    <row r="6494" spans="1:10" ht="14.25" customHeight="1" x14ac:dyDescent="0.3">
      <c r="A6494" s="1">
        <v>45271</v>
      </c>
      <c r="B6494" s="2" t="s">
        <v>566</v>
      </c>
      <c r="C6494" s="2" t="s">
        <v>21</v>
      </c>
      <c r="D6494" s="2" t="s">
        <v>28</v>
      </c>
      <c r="E6494" s="2" t="s">
        <v>34</v>
      </c>
      <c r="F6494" s="2">
        <v>119.96</v>
      </c>
      <c r="G6494" s="2">
        <v>4</v>
      </c>
      <c r="H6494" s="2">
        <v>25.19</v>
      </c>
      <c r="I6494" t="str">
        <f t="shared" si="101"/>
        <v>Dec</v>
      </c>
      <c r="J6494">
        <f>YEAR(datas[[#This Row],[Order Date]])</f>
        <v>2023</v>
      </c>
    </row>
    <row r="6495" spans="1:10" ht="14.25" customHeight="1" x14ac:dyDescent="0.3">
      <c r="A6495" s="1">
        <v>45271</v>
      </c>
      <c r="B6495" s="2" t="s">
        <v>566</v>
      </c>
      <c r="C6495" s="2" t="s">
        <v>21</v>
      </c>
      <c r="D6495" s="2" t="s">
        <v>26</v>
      </c>
      <c r="E6495" s="2" t="s">
        <v>27</v>
      </c>
      <c r="F6495" s="2">
        <v>363.92</v>
      </c>
      <c r="G6495" s="2">
        <v>5</v>
      </c>
      <c r="H6495" s="2">
        <v>-31.84</v>
      </c>
      <c r="I6495" t="str">
        <f t="shared" si="101"/>
        <v>Dec</v>
      </c>
      <c r="J6495">
        <f>YEAR(datas[[#This Row],[Order Date]])</f>
        <v>2023</v>
      </c>
    </row>
    <row r="6496" spans="1:10" ht="14.25" customHeight="1" x14ac:dyDescent="0.3">
      <c r="A6496" s="1">
        <v>45271</v>
      </c>
      <c r="B6496" s="2" t="s">
        <v>566</v>
      </c>
      <c r="C6496" s="2" t="s">
        <v>21</v>
      </c>
      <c r="D6496" s="2" t="s">
        <v>10</v>
      </c>
      <c r="E6496" s="2" t="s">
        <v>16</v>
      </c>
      <c r="F6496" s="2">
        <v>35.81</v>
      </c>
      <c r="G6496" s="2">
        <v>3</v>
      </c>
      <c r="H6496" s="2">
        <v>11.19</v>
      </c>
      <c r="I6496" t="str">
        <f t="shared" si="101"/>
        <v>Dec</v>
      </c>
      <c r="J6496">
        <f>YEAR(datas[[#This Row],[Order Date]])</f>
        <v>2023</v>
      </c>
    </row>
    <row r="6497" spans="1:10" ht="14.25" customHeight="1" x14ac:dyDescent="0.3">
      <c r="A6497" s="1">
        <v>45271</v>
      </c>
      <c r="B6497" s="2" t="s">
        <v>566</v>
      </c>
      <c r="C6497" s="2" t="s">
        <v>21</v>
      </c>
      <c r="D6497" s="2" t="s">
        <v>10</v>
      </c>
      <c r="E6497" s="2" t="s">
        <v>16</v>
      </c>
      <c r="F6497" s="2">
        <v>122.69</v>
      </c>
      <c r="G6497" s="2">
        <v>9</v>
      </c>
      <c r="H6497" s="2">
        <v>39.869999999999997</v>
      </c>
      <c r="I6497" t="str">
        <f t="shared" si="101"/>
        <v>Dec</v>
      </c>
      <c r="J6497">
        <f>YEAR(datas[[#This Row],[Order Date]])</f>
        <v>2023</v>
      </c>
    </row>
    <row r="6498" spans="1:10" ht="14.25" customHeight="1" x14ac:dyDescent="0.3">
      <c r="A6498" s="1">
        <v>45271</v>
      </c>
      <c r="B6498" s="2" t="s">
        <v>566</v>
      </c>
      <c r="C6498" s="2" t="s">
        <v>21</v>
      </c>
      <c r="D6498" s="2" t="s">
        <v>26</v>
      </c>
      <c r="E6498" s="2" t="s">
        <v>73</v>
      </c>
      <c r="F6498" s="2">
        <v>892.14</v>
      </c>
      <c r="G6498" s="2">
        <v>7</v>
      </c>
      <c r="H6498" s="2">
        <v>111.52</v>
      </c>
      <c r="I6498" t="str">
        <f t="shared" si="101"/>
        <v>Dec</v>
      </c>
      <c r="J6498">
        <f>YEAR(datas[[#This Row],[Order Date]])</f>
        <v>2023</v>
      </c>
    </row>
    <row r="6499" spans="1:10" ht="14.25" customHeight="1" x14ac:dyDescent="0.3">
      <c r="A6499" s="1">
        <v>45271</v>
      </c>
      <c r="B6499" s="2" t="s">
        <v>566</v>
      </c>
      <c r="C6499" s="2" t="s">
        <v>21</v>
      </c>
      <c r="D6499" s="2" t="s">
        <v>10</v>
      </c>
      <c r="E6499" s="2" t="s">
        <v>15</v>
      </c>
      <c r="F6499" s="2">
        <v>50.22</v>
      </c>
      <c r="G6499" s="2">
        <v>3</v>
      </c>
      <c r="H6499" s="2">
        <v>2.0099999999999998</v>
      </c>
      <c r="I6499" t="str">
        <f t="shared" si="101"/>
        <v>Dec</v>
      </c>
      <c r="J6499">
        <f>YEAR(datas[[#This Row],[Order Date]])</f>
        <v>2023</v>
      </c>
    </row>
    <row r="6500" spans="1:10" ht="14.25" customHeight="1" x14ac:dyDescent="0.3">
      <c r="A6500" s="1">
        <v>45271</v>
      </c>
      <c r="B6500" s="2" t="s">
        <v>566</v>
      </c>
      <c r="C6500" s="2" t="s">
        <v>21</v>
      </c>
      <c r="D6500" s="2" t="s">
        <v>10</v>
      </c>
      <c r="E6500" s="2" t="s">
        <v>53</v>
      </c>
      <c r="F6500" s="2">
        <v>83.42</v>
      </c>
      <c r="G6500" s="2">
        <v>2</v>
      </c>
      <c r="H6500" s="2">
        <v>24.19</v>
      </c>
      <c r="I6500" t="str">
        <f t="shared" si="101"/>
        <v>Dec</v>
      </c>
      <c r="J6500">
        <f>YEAR(datas[[#This Row],[Order Date]])</f>
        <v>2023</v>
      </c>
    </row>
    <row r="6501" spans="1:10" ht="14.25" customHeight="1" x14ac:dyDescent="0.3">
      <c r="A6501" s="1">
        <v>45271</v>
      </c>
      <c r="B6501" s="2" t="s">
        <v>566</v>
      </c>
      <c r="C6501" s="2" t="s">
        <v>21</v>
      </c>
      <c r="D6501" s="2" t="s">
        <v>10</v>
      </c>
      <c r="E6501" s="2" t="s">
        <v>16</v>
      </c>
      <c r="F6501" s="2">
        <v>5.87</v>
      </c>
      <c r="G6501" s="2">
        <v>2</v>
      </c>
      <c r="H6501" s="2">
        <v>2.13</v>
      </c>
      <c r="I6501" t="str">
        <f t="shared" si="101"/>
        <v>Dec</v>
      </c>
      <c r="J6501">
        <f>YEAR(datas[[#This Row],[Order Date]])</f>
        <v>2023</v>
      </c>
    </row>
    <row r="6502" spans="1:10" ht="14.25" customHeight="1" x14ac:dyDescent="0.3">
      <c r="A6502" s="1">
        <v>45271</v>
      </c>
      <c r="B6502" s="2" t="s">
        <v>643</v>
      </c>
      <c r="C6502" s="2" t="s">
        <v>47</v>
      </c>
      <c r="D6502" s="2" t="s">
        <v>10</v>
      </c>
      <c r="E6502" s="2" t="s">
        <v>53</v>
      </c>
      <c r="F6502" s="2">
        <v>73.540000000000006</v>
      </c>
      <c r="G6502" s="2">
        <v>4</v>
      </c>
      <c r="H6502" s="2">
        <v>9.19</v>
      </c>
      <c r="I6502" t="str">
        <f t="shared" si="101"/>
        <v>Dec</v>
      </c>
      <c r="J6502">
        <f>YEAR(datas[[#This Row],[Order Date]])</f>
        <v>2023</v>
      </c>
    </row>
    <row r="6503" spans="1:10" ht="14.25" customHeight="1" x14ac:dyDescent="0.3">
      <c r="A6503" s="1">
        <v>45272</v>
      </c>
      <c r="B6503" s="2" t="s">
        <v>201</v>
      </c>
      <c r="C6503" s="2" t="s">
        <v>47</v>
      </c>
      <c r="D6503" s="2" t="s">
        <v>10</v>
      </c>
      <c r="E6503" s="2" t="s">
        <v>16</v>
      </c>
      <c r="F6503" s="2">
        <v>18.690000000000001</v>
      </c>
      <c r="G6503" s="2">
        <v>3</v>
      </c>
      <c r="H6503" s="2">
        <v>-14.33</v>
      </c>
      <c r="I6503" t="str">
        <f t="shared" si="101"/>
        <v>Dec</v>
      </c>
      <c r="J6503">
        <f>YEAR(datas[[#This Row],[Order Date]])</f>
        <v>2023</v>
      </c>
    </row>
    <row r="6504" spans="1:10" ht="14.25" customHeight="1" x14ac:dyDescent="0.3">
      <c r="A6504" s="1">
        <v>45272</v>
      </c>
      <c r="B6504" s="2" t="s">
        <v>201</v>
      </c>
      <c r="C6504" s="2" t="s">
        <v>47</v>
      </c>
      <c r="D6504" s="2" t="s">
        <v>28</v>
      </c>
      <c r="E6504" s="2" t="s">
        <v>34</v>
      </c>
      <c r="F6504" s="2">
        <v>383.95</v>
      </c>
      <c r="G6504" s="2">
        <v>6</v>
      </c>
      <c r="H6504" s="2">
        <v>76.790000000000006</v>
      </c>
      <c r="I6504" t="str">
        <f t="shared" si="101"/>
        <v>Dec</v>
      </c>
      <c r="J6504">
        <f>YEAR(datas[[#This Row],[Order Date]])</f>
        <v>2023</v>
      </c>
    </row>
    <row r="6505" spans="1:10" ht="14.25" customHeight="1" x14ac:dyDescent="0.3">
      <c r="A6505" s="1">
        <v>45272</v>
      </c>
      <c r="B6505" s="2" t="s">
        <v>412</v>
      </c>
      <c r="C6505" s="2" t="s">
        <v>60</v>
      </c>
      <c r="D6505" s="2" t="s">
        <v>28</v>
      </c>
      <c r="E6505" s="2" t="s">
        <v>29</v>
      </c>
      <c r="F6505" s="2">
        <v>657.93</v>
      </c>
      <c r="G6505" s="2">
        <v>7</v>
      </c>
      <c r="H6505" s="2">
        <v>184.22</v>
      </c>
      <c r="I6505" t="str">
        <f t="shared" si="101"/>
        <v>Dec</v>
      </c>
      <c r="J6505">
        <f>YEAR(datas[[#This Row],[Order Date]])</f>
        <v>2023</v>
      </c>
    </row>
    <row r="6506" spans="1:10" ht="14.25" customHeight="1" x14ac:dyDescent="0.3">
      <c r="A6506" s="1">
        <v>45272</v>
      </c>
      <c r="B6506" s="2" t="s">
        <v>412</v>
      </c>
      <c r="C6506" s="2" t="s">
        <v>60</v>
      </c>
      <c r="D6506" s="2" t="s">
        <v>26</v>
      </c>
      <c r="E6506" s="2" t="s">
        <v>32</v>
      </c>
      <c r="F6506" s="2">
        <v>33.479999999999997</v>
      </c>
      <c r="G6506" s="2">
        <v>4</v>
      </c>
      <c r="H6506" s="2">
        <v>8.6999999999999993</v>
      </c>
      <c r="I6506" t="str">
        <f t="shared" si="101"/>
        <v>Dec</v>
      </c>
      <c r="J6506">
        <f>YEAR(datas[[#This Row],[Order Date]])</f>
        <v>2023</v>
      </c>
    </row>
    <row r="6507" spans="1:10" ht="14.25" customHeight="1" x14ac:dyDescent="0.3">
      <c r="A6507" s="1">
        <v>45272</v>
      </c>
      <c r="B6507" s="2" t="s">
        <v>412</v>
      </c>
      <c r="C6507" s="2" t="s">
        <v>60</v>
      </c>
      <c r="D6507" s="2" t="s">
        <v>10</v>
      </c>
      <c r="E6507" s="2" t="s">
        <v>19</v>
      </c>
      <c r="F6507" s="2">
        <v>13.9</v>
      </c>
      <c r="G6507" s="2">
        <v>5</v>
      </c>
      <c r="H6507" s="2">
        <v>3.61</v>
      </c>
      <c r="I6507" t="str">
        <f t="shared" si="101"/>
        <v>Dec</v>
      </c>
      <c r="J6507">
        <f>YEAR(datas[[#This Row],[Order Date]])</f>
        <v>2023</v>
      </c>
    </row>
    <row r="6508" spans="1:10" ht="14.25" customHeight="1" x14ac:dyDescent="0.3">
      <c r="A6508" s="1">
        <v>45272</v>
      </c>
      <c r="B6508" s="2" t="s">
        <v>412</v>
      </c>
      <c r="C6508" s="2" t="s">
        <v>60</v>
      </c>
      <c r="D6508" s="2" t="s">
        <v>10</v>
      </c>
      <c r="E6508" s="2" t="s">
        <v>15</v>
      </c>
      <c r="F6508" s="2">
        <v>26.86</v>
      </c>
      <c r="G6508" s="2">
        <v>2</v>
      </c>
      <c r="H6508" s="2">
        <v>6.72</v>
      </c>
      <c r="I6508" t="str">
        <f t="shared" si="101"/>
        <v>Dec</v>
      </c>
      <c r="J6508">
        <f>YEAR(datas[[#This Row],[Order Date]])</f>
        <v>2023</v>
      </c>
    </row>
    <row r="6509" spans="1:10" ht="14.25" customHeight="1" x14ac:dyDescent="0.3">
      <c r="A6509" s="1">
        <v>45272</v>
      </c>
      <c r="B6509" s="2" t="s">
        <v>646</v>
      </c>
      <c r="C6509" s="2" t="s">
        <v>23</v>
      </c>
      <c r="D6509" s="2" t="s">
        <v>28</v>
      </c>
      <c r="E6509" s="2" t="s">
        <v>34</v>
      </c>
      <c r="F6509" s="2">
        <v>249.95</v>
      </c>
      <c r="G6509" s="2">
        <v>5</v>
      </c>
      <c r="H6509" s="2">
        <v>20</v>
      </c>
      <c r="I6509" t="str">
        <f t="shared" si="101"/>
        <v>Dec</v>
      </c>
      <c r="J6509">
        <f>YEAR(datas[[#This Row],[Order Date]])</f>
        <v>2023</v>
      </c>
    </row>
    <row r="6510" spans="1:10" ht="14.25" customHeight="1" x14ac:dyDescent="0.3">
      <c r="A6510" s="1">
        <v>45272</v>
      </c>
      <c r="B6510" s="2" t="s">
        <v>646</v>
      </c>
      <c r="C6510" s="2" t="s">
        <v>23</v>
      </c>
      <c r="D6510" s="2" t="s">
        <v>10</v>
      </c>
      <c r="E6510" s="2" t="s">
        <v>11</v>
      </c>
      <c r="F6510" s="2">
        <v>49.12</v>
      </c>
      <c r="G6510" s="2">
        <v>4</v>
      </c>
      <c r="H6510" s="2">
        <v>23.09</v>
      </c>
      <c r="I6510" t="str">
        <f t="shared" si="101"/>
        <v>Dec</v>
      </c>
      <c r="J6510">
        <f>YEAR(datas[[#This Row],[Order Date]])</f>
        <v>2023</v>
      </c>
    </row>
    <row r="6511" spans="1:10" ht="14.25" customHeight="1" x14ac:dyDescent="0.3">
      <c r="A6511" s="1">
        <v>45272</v>
      </c>
      <c r="B6511" s="2" t="s">
        <v>575</v>
      </c>
      <c r="C6511" s="2" t="s">
        <v>21</v>
      </c>
      <c r="D6511" s="2" t="s">
        <v>26</v>
      </c>
      <c r="E6511" s="2" t="s">
        <v>32</v>
      </c>
      <c r="F6511" s="2">
        <v>383.64</v>
      </c>
      <c r="G6511" s="2">
        <v>6</v>
      </c>
      <c r="H6511" s="2">
        <v>122.76</v>
      </c>
      <c r="I6511" t="str">
        <f t="shared" si="101"/>
        <v>Dec</v>
      </c>
      <c r="J6511">
        <f>YEAR(datas[[#This Row],[Order Date]])</f>
        <v>2023</v>
      </c>
    </row>
    <row r="6512" spans="1:10" ht="14.25" customHeight="1" x14ac:dyDescent="0.3">
      <c r="A6512" s="1">
        <v>45272</v>
      </c>
      <c r="B6512" s="2" t="s">
        <v>575</v>
      </c>
      <c r="C6512" s="2" t="s">
        <v>21</v>
      </c>
      <c r="D6512" s="2" t="s">
        <v>10</v>
      </c>
      <c r="E6512" s="2" t="s">
        <v>53</v>
      </c>
      <c r="F6512" s="2">
        <v>56.52</v>
      </c>
      <c r="G6512" s="2">
        <v>3</v>
      </c>
      <c r="H6512" s="2">
        <v>15.83</v>
      </c>
      <c r="I6512" t="str">
        <f t="shared" si="101"/>
        <v>Dec</v>
      </c>
      <c r="J6512">
        <f>YEAR(datas[[#This Row],[Order Date]])</f>
        <v>2023</v>
      </c>
    </row>
    <row r="6513" spans="1:10" ht="14.25" customHeight="1" x14ac:dyDescent="0.3">
      <c r="A6513" s="1">
        <v>45272</v>
      </c>
      <c r="B6513" s="2" t="s">
        <v>338</v>
      </c>
      <c r="C6513" s="2" t="s">
        <v>75</v>
      </c>
      <c r="D6513" s="2" t="s">
        <v>26</v>
      </c>
      <c r="E6513" s="2" t="s">
        <v>32</v>
      </c>
      <c r="F6513" s="2">
        <v>60.35</v>
      </c>
      <c r="G6513" s="2">
        <v>5</v>
      </c>
      <c r="H6513" s="2">
        <v>19.920000000000002</v>
      </c>
      <c r="I6513" t="str">
        <f t="shared" si="101"/>
        <v>Dec</v>
      </c>
      <c r="J6513">
        <f>YEAR(datas[[#This Row],[Order Date]])</f>
        <v>2023</v>
      </c>
    </row>
    <row r="6514" spans="1:10" ht="14.25" customHeight="1" x14ac:dyDescent="0.3">
      <c r="A6514" s="1">
        <v>45272</v>
      </c>
      <c r="B6514" s="2" t="s">
        <v>338</v>
      </c>
      <c r="C6514" s="2" t="s">
        <v>75</v>
      </c>
      <c r="D6514" s="2" t="s">
        <v>10</v>
      </c>
      <c r="E6514" s="2" t="s">
        <v>95</v>
      </c>
      <c r="F6514" s="2">
        <v>35.520000000000003</v>
      </c>
      <c r="G6514" s="2">
        <v>4</v>
      </c>
      <c r="H6514" s="2">
        <v>9.9499999999999993</v>
      </c>
      <c r="I6514" t="str">
        <f t="shared" si="101"/>
        <v>Dec</v>
      </c>
      <c r="J6514">
        <f>YEAR(datas[[#This Row],[Order Date]])</f>
        <v>2023</v>
      </c>
    </row>
    <row r="6515" spans="1:10" ht="14.25" customHeight="1" x14ac:dyDescent="0.3">
      <c r="A6515" s="1">
        <v>45272</v>
      </c>
      <c r="B6515" s="2" t="s">
        <v>338</v>
      </c>
      <c r="C6515" s="2" t="s">
        <v>75</v>
      </c>
      <c r="D6515" s="2" t="s">
        <v>10</v>
      </c>
      <c r="E6515" s="2" t="s">
        <v>19</v>
      </c>
      <c r="F6515" s="2">
        <v>11.2</v>
      </c>
      <c r="G6515" s="2">
        <v>7</v>
      </c>
      <c r="H6515" s="2">
        <v>4.82</v>
      </c>
      <c r="I6515" t="str">
        <f t="shared" si="101"/>
        <v>Dec</v>
      </c>
      <c r="J6515">
        <f>YEAR(datas[[#This Row],[Order Date]])</f>
        <v>2023</v>
      </c>
    </row>
    <row r="6516" spans="1:10" ht="14.25" customHeight="1" x14ac:dyDescent="0.3">
      <c r="A6516" s="1">
        <v>45273</v>
      </c>
      <c r="B6516" s="2" t="s">
        <v>556</v>
      </c>
      <c r="C6516" s="2" t="s">
        <v>329</v>
      </c>
      <c r="D6516" s="2" t="s">
        <v>28</v>
      </c>
      <c r="E6516" s="2" t="s">
        <v>34</v>
      </c>
      <c r="F6516" s="2">
        <v>63.88</v>
      </c>
      <c r="G6516" s="2">
        <v>4</v>
      </c>
      <c r="H6516" s="2">
        <v>24.91</v>
      </c>
      <c r="I6516" t="str">
        <f t="shared" si="101"/>
        <v>Dec</v>
      </c>
      <c r="J6516">
        <f>YEAR(datas[[#This Row],[Order Date]])</f>
        <v>2023</v>
      </c>
    </row>
    <row r="6517" spans="1:10" ht="14.25" customHeight="1" x14ac:dyDescent="0.3">
      <c r="A6517" s="1">
        <v>45273</v>
      </c>
      <c r="B6517" s="2" t="s">
        <v>342</v>
      </c>
      <c r="C6517" s="2" t="s">
        <v>21</v>
      </c>
      <c r="D6517" s="2" t="s">
        <v>10</v>
      </c>
      <c r="E6517" s="2" t="s">
        <v>16</v>
      </c>
      <c r="F6517" s="2">
        <v>6.1</v>
      </c>
      <c r="G6517" s="2">
        <v>2</v>
      </c>
      <c r="H6517" s="2">
        <v>2.21</v>
      </c>
      <c r="I6517" t="str">
        <f t="shared" si="101"/>
        <v>Dec</v>
      </c>
      <c r="J6517">
        <f>YEAR(datas[[#This Row],[Order Date]])</f>
        <v>2023</v>
      </c>
    </row>
    <row r="6518" spans="1:10" ht="14.25" customHeight="1" x14ac:dyDescent="0.3">
      <c r="A6518" s="1">
        <v>45273</v>
      </c>
      <c r="B6518" s="2" t="s">
        <v>342</v>
      </c>
      <c r="C6518" s="2" t="s">
        <v>21</v>
      </c>
      <c r="D6518" s="2" t="s">
        <v>26</v>
      </c>
      <c r="E6518" s="2" t="s">
        <v>73</v>
      </c>
      <c r="F6518" s="2">
        <v>1114.27</v>
      </c>
      <c r="G6518" s="2">
        <v>4</v>
      </c>
      <c r="H6518" s="2">
        <v>41.79</v>
      </c>
      <c r="I6518" t="str">
        <f t="shared" si="101"/>
        <v>Dec</v>
      </c>
      <c r="J6518">
        <f>YEAR(datas[[#This Row],[Order Date]])</f>
        <v>2023</v>
      </c>
    </row>
    <row r="6519" spans="1:10" ht="14.25" customHeight="1" x14ac:dyDescent="0.3">
      <c r="A6519" s="1">
        <v>45273</v>
      </c>
      <c r="B6519" s="2" t="s">
        <v>74</v>
      </c>
      <c r="C6519" s="2" t="s">
        <v>21</v>
      </c>
      <c r="D6519" s="2" t="s">
        <v>10</v>
      </c>
      <c r="E6519" s="2" t="s">
        <v>19</v>
      </c>
      <c r="F6519" s="2">
        <v>9.84</v>
      </c>
      <c r="G6519" s="2">
        <v>3</v>
      </c>
      <c r="H6519" s="2">
        <v>3.25</v>
      </c>
      <c r="I6519" t="str">
        <f t="shared" si="101"/>
        <v>Dec</v>
      </c>
      <c r="J6519">
        <f>YEAR(datas[[#This Row],[Order Date]])</f>
        <v>2023</v>
      </c>
    </row>
    <row r="6520" spans="1:10" ht="14.25" customHeight="1" x14ac:dyDescent="0.3">
      <c r="A6520" s="1">
        <v>45274</v>
      </c>
      <c r="B6520" s="2" t="s">
        <v>351</v>
      </c>
      <c r="C6520" s="2" t="s">
        <v>143</v>
      </c>
      <c r="D6520" s="2" t="s">
        <v>26</v>
      </c>
      <c r="E6520" s="2" t="s">
        <v>32</v>
      </c>
      <c r="F6520" s="2">
        <v>133.38</v>
      </c>
      <c r="G6520" s="2">
        <v>6</v>
      </c>
      <c r="H6520" s="2">
        <v>58.69</v>
      </c>
      <c r="I6520" t="str">
        <f t="shared" si="101"/>
        <v>Dec</v>
      </c>
      <c r="J6520">
        <f>YEAR(datas[[#This Row],[Order Date]])</f>
        <v>2023</v>
      </c>
    </row>
    <row r="6521" spans="1:10" ht="14.25" customHeight="1" x14ac:dyDescent="0.3">
      <c r="A6521" s="1">
        <v>45274</v>
      </c>
      <c r="B6521" s="2" t="s">
        <v>572</v>
      </c>
      <c r="C6521" s="2" t="s">
        <v>75</v>
      </c>
      <c r="D6521" s="2" t="s">
        <v>10</v>
      </c>
      <c r="E6521" s="2" t="s">
        <v>11</v>
      </c>
      <c r="F6521" s="2">
        <v>14.62</v>
      </c>
      <c r="G6521" s="2">
        <v>2</v>
      </c>
      <c r="H6521" s="2">
        <v>6.73</v>
      </c>
      <c r="I6521" t="str">
        <f t="shared" si="101"/>
        <v>Dec</v>
      </c>
      <c r="J6521">
        <f>YEAR(datas[[#This Row],[Order Date]])</f>
        <v>2023</v>
      </c>
    </row>
    <row r="6522" spans="1:10" ht="14.25" customHeight="1" x14ac:dyDescent="0.3">
      <c r="A6522" s="1">
        <v>45274</v>
      </c>
      <c r="B6522" s="2" t="s">
        <v>572</v>
      </c>
      <c r="C6522" s="2" t="s">
        <v>75</v>
      </c>
      <c r="D6522" s="2" t="s">
        <v>10</v>
      </c>
      <c r="E6522" s="2" t="s">
        <v>14</v>
      </c>
      <c r="F6522" s="2">
        <v>5.76</v>
      </c>
      <c r="G6522" s="2">
        <v>2</v>
      </c>
      <c r="H6522" s="2">
        <v>2.82</v>
      </c>
      <c r="I6522" t="str">
        <f t="shared" si="101"/>
        <v>Dec</v>
      </c>
      <c r="J6522">
        <f>YEAR(datas[[#This Row],[Order Date]])</f>
        <v>2023</v>
      </c>
    </row>
    <row r="6523" spans="1:10" ht="14.25" customHeight="1" x14ac:dyDescent="0.3">
      <c r="A6523" s="1">
        <v>45274</v>
      </c>
      <c r="B6523" s="2" t="s">
        <v>572</v>
      </c>
      <c r="C6523" s="2" t="s">
        <v>75</v>
      </c>
      <c r="D6523" s="2" t="s">
        <v>10</v>
      </c>
      <c r="E6523" s="2" t="s">
        <v>30</v>
      </c>
      <c r="F6523" s="2">
        <v>21.48</v>
      </c>
      <c r="G6523" s="2">
        <v>6</v>
      </c>
      <c r="H6523" s="2">
        <v>10.53</v>
      </c>
      <c r="I6523" t="str">
        <f t="shared" si="101"/>
        <v>Dec</v>
      </c>
      <c r="J6523">
        <f>YEAR(datas[[#This Row],[Order Date]])</f>
        <v>2023</v>
      </c>
    </row>
    <row r="6524" spans="1:10" ht="14.25" customHeight="1" x14ac:dyDescent="0.3">
      <c r="A6524" s="1">
        <v>45274</v>
      </c>
      <c r="B6524" s="2" t="s">
        <v>572</v>
      </c>
      <c r="C6524" s="2" t="s">
        <v>75</v>
      </c>
      <c r="D6524" s="2" t="s">
        <v>26</v>
      </c>
      <c r="E6524" s="2" t="s">
        <v>32</v>
      </c>
      <c r="F6524" s="2">
        <v>396.92</v>
      </c>
      <c r="G6524" s="2">
        <v>4</v>
      </c>
      <c r="H6524" s="2">
        <v>198.46</v>
      </c>
      <c r="I6524" t="str">
        <f t="shared" si="101"/>
        <v>Dec</v>
      </c>
      <c r="J6524">
        <f>YEAR(datas[[#This Row],[Order Date]])</f>
        <v>2023</v>
      </c>
    </row>
    <row r="6525" spans="1:10" ht="14.25" customHeight="1" x14ac:dyDescent="0.3">
      <c r="A6525" s="1">
        <v>45274</v>
      </c>
      <c r="B6525" s="2" t="s">
        <v>572</v>
      </c>
      <c r="C6525" s="2" t="s">
        <v>75</v>
      </c>
      <c r="D6525" s="2" t="s">
        <v>10</v>
      </c>
      <c r="E6525" s="2" t="s">
        <v>15</v>
      </c>
      <c r="F6525" s="2">
        <v>17.149999999999999</v>
      </c>
      <c r="G6525" s="2">
        <v>1</v>
      </c>
      <c r="H6525" s="2">
        <v>4.63</v>
      </c>
      <c r="I6525" t="str">
        <f t="shared" si="101"/>
        <v>Dec</v>
      </c>
      <c r="J6525">
        <f>YEAR(datas[[#This Row],[Order Date]])</f>
        <v>2023</v>
      </c>
    </row>
    <row r="6526" spans="1:10" ht="14.25" customHeight="1" x14ac:dyDescent="0.3">
      <c r="A6526" s="1">
        <v>45274</v>
      </c>
      <c r="B6526" s="2" t="s">
        <v>572</v>
      </c>
      <c r="C6526" s="2" t="s">
        <v>75</v>
      </c>
      <c r="D6526" s="2" t="s">
        <v>10</v>
      </c>
      <c r="E6526" s="2" t="s">
        <v>16</v>
      </c>
      <c r="F6526" s="2">
        <v>23.12</v>
      </c>
      <c r="G6526" s="2">
        <v>2</v>
      </c>
      <c r="H6526" s="2">
        <v>7.8</v>
      </c>
      <c r="I6526" t="str">
        <f t="shared" si="101"/>
        <v>Dec</v>
      </c>
      <c r="J6526">
        <f>YEAR(datas[[#This Row],[Order Date]])</f>
        <v>2023</v>
      </c>
    </row>
    <row r="6527" spans="1:10" ht="14.25" customHeight="1" x14ac:dyDescent="0.3">
      <c r="A6527" s="1">
        <v>45274</v>
      </c>
      <c r="B6527" s="2" t="s">
        <v>235</v>
      </c>
      <c r="C6527" s="2" t="s">
        <v>21</v>
      </c>
      <c r="D6527" s="2" t="s">
        <v>26</v>
      </c>
      <c r="E6527" s="2" t="s">
        <v>27</v>
      </c>
      <c r="F6527" s="2">
        <v>81.42</v>
      </c>
      <c r="G6527" s="2">
        <v>2</v>
      </c>
      <c r="H6527" s="2">
        <v>-9.16</v>
      </c>
      <c r="I6527" t="str">
        <f t="shared" si="101"/>
        <v>Dec</v>
      </c>
      <c r="J6527">
        <f>YEAR(datas[[#This Row],[Order Date]])</f>
        <v>2023</v>
      </c>
    </row>
    <row r="6528" spans="1:10" ht="14.25" customHeight="1" x14ac:dyDescent="0.3">
      <c r="A6528" s="1">
        <v>45274</v>
      </c>
      <c r="B6528" s="2" t="s">
        <v>235</v>
      </c>
      <c r="C6528" s="2" t="s">
        <v>21</v>
      </c>
      <c r="D6528" s="2" t="s">
        <v>10</v>
      </c>
      <c r="E6528" s="2" t="s">
        <v>15</v>
      </c>
      <c r="F6528" s="2">
        <v>134.80000000000001</v>
      </c>
      <c r="G6528" s="2">
        <v>10</v>
      </c>
      <c r="H6528" s="2">
        <v>35.049999999999997</v>
      </c>
      <c r="I6528" t="str">
        <f t="shared" si="101"/>
        <v>Dec</v>
      </c>
      <c r="J6528">
        <f>YEAR(datas[[#This Row],[Order Date]])</f>
        <v>2023</v>
      </c>
    </row>
    <row r="6529" spans="1:10" ht="14.25" customHeight="1" x14ac:dyDescent="0.3">
      <c r="A6529" s="1">
        <v>45275</v>
      </c>
      <c r="B6529" s="2" t="s">
        <v>706</v>
      </c>
      <c r="C6529" s="2" t="s">
        <v>60</v>
      </c>
      <c r="D6529" s="2" t="s">
        <v>26</v>
      </c>
      <c r="E6529" s="2" t="s">
        <v>73</v>
      </c>
      <c r="F6529" s="2">
        <v>1652.94</v>
      </c>
      <c r="G6529" s="2">
        <v>3</v>
      </c>
      <c r="H6529" s="2">
        <v>231.41</v>
      </c>
      <c r="I6529" t="str">
        <f t="shared" si="101"/>
        <v>Dec</v>
      </c>
      <c r="J6529">
        <f>YEAR(datas[[#This Row],[Order Date]])</f>
        <v>2023</v>
      </c>
    </row>
    <row r="6530" spans="1:10" ht="14.25" customHeight="1" x14ac:dyDescent="0.3">
      <c r="A6530" s="1">
        <v>45275</v>
      </c>
      <c r="B6530" s="2" t="s">
        <v>706</v>
      </c>
      <c r="C6530" s="2" t="s">
        <v>60</v>
      </c>
      <c r="D6530" s="2" t="s">
        <v>10</v>
      </c>
      <c r="E6530" s="2" t="s">
        <v>15</v>
      </c>
      <c r="F6530" s="2">
        <v>296.37</v>
      </c>
      <c r="G6530" s="2">
        <v>3</v>
      </c>
      <c r="H6530" s="2">
        <v>80.02</v>
      </c>
      <c r="I6530" t="str">
        <f t="shared" si="101"/>
        <v>Dec</v>
      </c>
      <c r="J6530">
        <f>YEAR(datas[[#This Row],[Order Date]])</f>
        <v>2023</v>
      </c>
    </row>
    <row r="6531" spans="1:10" ht="14.25" customHeight="1" x14ac:dyDescent="0.3">
      <c r="A6531" s="1">
        <v>45275</v>
      </c>
      <c r="B6531" s="2" t="s">
        <v>221</v>
      </c>
      <c r="C6531" s="2" t="s">
        <v>21</v>
      </c>
      <c r="D6531" s="2" t="s">
        <v>26</v>
      </c>
      <c r="E6531" s="2" t="s">
        <v>32</v>
      </c>
      <c r="F6531" s="2">
        <v>14.76</v>
      </c>
      <c r="G6531" s="2">
        <v>2</v>
      </c>
      <c r="H6531" s="2">
        <v>4.28</v>
      </c>
      <c r="I6531" t="str">
        <f t="shared" ref="I6531:I6594" si="102">TEXT(A6531,"mmm")</f>
        <v>Dec</v>
      </c>
      <c r="J6531">
        <f>YEAR(datas[[#This Row],[Order Date]])</f>
        <v>2023</v>
      </c>
    </row>
    <row r="6532" spans="1:10" ht="14.25" customHeight="1" x14ac:dyDescent="0.3">
      <c r="A6532" s="1">
        <v>45275</v>
      </c>
      <c r="B6532" s="2" t="s">
        <v>168</v>
      </c>
      <c r="C6532" s="2" t="s">
        <v>52</v>
      </c>
      <c r="D6532" s="2" t="s">
        <v>26</v>
      </c>
      <c r="E6532" s="2" t="s">
        <v>73</v>
      </c>
      <c r="F6532" s="2">
        <v>564.20000000000005</v>
      </c>
      <c r="G6532" s="2">
        <v>3</v>
      </c>
      <c r="H6532" s="2">
        <v>-304.67</v>
      </c>
      <c r="I6532" t="str">
        <f t="shared" si="102"/>
        <v>Dec</v>
      </c>
      <c r="J6532">
        <f>YEAR(datas[[#This Row],[Order Date]])</f>
        <v>2023</v>
      </c>
    </row>
    <row r="6533" spans="1:10" ht="14.25" customHeight="1" x14ac:dyDescent="0.3">
      <c r="A6533" s="1">
        <v>45275</v>
      </c>
      <c r="B6533" s="2" t="s">
        <v>168</v>
      </c>
      <c r="C6533" s="2" t="s">
        <v>52</v>
      </c>
      <c r="D6533" s="2" t="s">
        <v>10</v>
      </c>
      <c r="E6533" s="2" t="s">
        <v>53</v>
      </c>
      <c r="F6533" s="2">
        <v>87.17</v>
      </c>
      <c r="G6533" s="2">
        <v>2</v>
      </c>
      <c r="H6533" s="2">
        <v>8.7200000000000006</v>
      </c>
      <c r="I6533" t="str">
        <f t="shared" si="102"/>
        <v>Dec</v>
      </c>
      <c r="J6533">
        <f>YEAR(datas[[#This Row],[Order Date]])</f>
        <v>2023</v>
      </c>
    </row>
    <row r="6534" spans="1:10" ht="14.25" customHeight="1" x14ac:dyDescent="0.3">
      <c r="A6534" s="1">
        <v>45275</v>
      </c>
      <c r="B6534" s="2" t="s">
        <v>561</v>
      </c>
      <c r="C6534" s="2" t="s">
        <v>47</v>
      </c>
      <c r="D6534" s="2" t="s">
        <v>10</v>
      </c>
      <c r="E6534" s="2" t="s">
        <v>16</v>
      </c>
      <c r="F6534" s="2">
        <v>2.21</v>
      </c>
      <c r="G6534" s="2">
        <v>3</v>
      </c>
      <c r="H6534" s="2">
        <v>-1.48</v>
      </c>
      <c r="I6534" t="str">
        <f t="shared" si="102"/>
        <v>Dec</v>
      </c>
      <c r="J6534">
        <f>YEAR(datas[[#This Row],[Order Date]])</f>
        <v>2023</v>
      </c>
    </row>
    <row r="6535" spans="1:10" ht="14.25" customHeight="1" x14ac:dyDescent="0.3">
      <c r="A6535" s="1">
        <v>45275</v>
      </c>
      <c r="B6535" s="2" t="s">
        <v>601</v>
      </c>
      <c r="C6535" s="2" t="s">
        <v>57</v>
      </c>
      <c r="D6535" s="2" t="s">
        <v>10</v>
      </c>
      <c r="E6535" s="2" t="s">
        <v>11</v>
      </c>
      <c r="F6535" s="2">
        <v>19.440000000000001</v>
      </c>
      <c r="G6535" s="2">
        <v>3</v>
      </c>
      <c r="H6535" s="2">
        <v>9.33</v>
      </c>
      <c r="I6535" t="str">
        <f t="shared" si="102"/>
        <v>Dec</v>
      </c>
      <c r="J6535">
        <f>YEAR(datas[[#This Row],[Order Date]])</f>
        <v>2023</v>
      </c>
    </row>
    <row r="6536" spans="1:10" ht="14.25" customHeight="1" x14ac:dyDescent="0.3">
      <c r="A6536" s="1">
        <v>45276</v>
      </c>
      <c r="B6536" s="2" t="s">
        <v>655</v>
      </c>
      <c r="C6536" s="2" t="s">
        <v>13</v>
      </c>
      <c r="D6536" s="2" t="s">
        <v>10</v>
      </c>
      <c r="E6536" s="2" t="s">
        <v>16</v>
      </c>
      <c r="F6536" s="2">
        <v>4.79</v>
      </c>
      <c r="G6536" s="2">
        <v>3</v>
      </c>
      <c r="H6536" s="2">
        <v>-7.9</v>
      </c>
      <c r="I6536" t="str">
        <f t="shared" si="102"/>
        <v>Dec</v>
      </c>
      <c r="J6536">
        <f>YEAR(datas[[#This Row],[Order Date]])</f>
        <v>2023</v>
      </c>
    </row>
    <row r="6537" spans="1:10" ht="14.25" customHeight="1" x14ac:dyDescent="0.3">
      <c r="A6537" s="1">
        <v>45276</v>
      </c>
      <c r="B6537" s="2" t="s">
        <v>506</v>
      </c>
      <c r="C6537" s="2" t="s">
        <v>75</v>
      </c>
      <c r="D6537" s="2" t="s">
        <v>10</v>
      </c>
      <c r="E6537" s="2" t="s">
        <v>30</v>
      </c>
      <c r="F6537" s="2">
        <v>3.68</v>
      </c>
      <c r="G6537" s="2">
        <v>2</v>
      </c>
      <c r="H6537" s="2">
        <v>1.8</v>
      </c>
      <c r="I6537" t="str">
        <f t="shared" si="102"/>
        <v>Dec</v>
      </c>
      <c r="J6537">
        <f>YEAR(datas[[#This Row],[Order Date]])</f>
        <v>2023</v>
      </c>
    </row>
    <row r="6538" spans="1:10" ht="14.25" customHeight="1" x14ac:dyDescent="0.3">
      <c r="A6538" s="1">
        <v>45276</v>
      </c>
      <c r="B6538" s="2" t="s">
        <v>572</v>
      </c>
      <c r="C6538" s="2" t="s">
        <v>21</v>
      </c>
      <c r="D6538" s="2" t="s">
        <v>26</v>
      </c>
      <c r="E6538" s="2" t="s">
        <v>27</v>
      </c>
      <c r="F6538" s="2">
        <v>563.91999999999996</v>
      </c>
      <c r="G6538" s="2">
        <v>5</v>
      </c>
      <c r="H6538" s="2">
        <v>7.05</v>
      </c>
      <c r="I6538" t="str">
        <f t="shared" si="102"/>
        <v>Dec</v>
      </c>
      <c r="J6538">
        <f>YEAR(datas[[#This Row],[Order Date]])</f>
        <v>2023</v>
      </c>
    </row>
    <row r="6539" spans="1:10" ht="14.25" customHeight="1" x14ac:dyDescent="0.3">
      <c r="A6539" s="1">
        <v>45276</v>
      </c>
      <c r="B6539" s="2" t="s">
        <v>464</v>
      </c>
      <c r="C6539" s="2" t="s">
        <v>115</v>
      </c>
      <c r="D6539" s="2" t="s">
        <v>10</v>
      </c>
      <c r="E6539" s="2" t="s">
        <v>53</v>
      </c>
      <c r="F6539" s="2">
        <v>34.94</v>
      </c>
      <c r="G6539" s="2">
        <v>3</v>
      </c>
      <c r="H6539" s="2">
        <v>3.06</v>
      </c>
      <c r="I6539" t="str">
        <f t="shared" si="102"/>
        <v>Dec</v>
      </c>
      <c r="J6539">
        <f>YEAR(datas[[#This Row],[Order Date]])</f>
        <v>2023</v>
      </c>
    </row>
    <row r="6540" spans="1:10" ht="14.25" customHeight="1" x14ac:dyDescent="0.3">
      <c r="A6540" s="1">
        <v>45276</v>
      </c>
      <c r="B6540" s="2" t="s">
        <v>522</v>
      </c>
      <c r="C6540" s="2" t="s">
        <v>21</v>
      </c>
      <c r="D6540" s="2" t="s">
        <v>28</v>
      </c>
      <c r="E6540" s="2" t="s">
        <v>34</v>
      </c>
      <c r="F6540" s="2">
        <v>21.21</v>
      </c>
      <c r="G6540" s="2">
        <v>7</v>
      </c>
      <c r="H6540" s="2">
        <v>4.45</v>
      </c>
      <c r="I6540" t="str">
        <f t="shared" si="102"/>
        <v>Dec</v>
      </c>
      <c r="J6540">
        <f>YEAR(datas[[#This Row],[Order Date]])</f>
        <v>2023</v>
      </c>
    </row>
    <row r="6541" spans="1:10" ht="14.25" customHeight="1" x14ac:dyDescent="0.3">
      <c r="A6541" s="1">
        <v>45277</v>
      </c>
      <c r="B6541" s="2" t="s">
        <v>847</v>
      </c>
      <c r="C6541" s="2" t="s">
        <v>21</v>
      </c>
      <c r="D6541" s="2" t="s">
        <v>26</v>
      </c>
      <c r="E6541" s="2" t="s">
        <v>73</v>
      </c>
      <c r="F6541" s="2">
        <v>2003.52</v>
      </c>
      <c r="G6541" s="2">
        <v>6</v>
      </c>
      <c r="H6541" s="2">
        <v>-325.57</v>
      </c>
      <c r="I6541" t="str">
        <f t="shared" si="102"/>
        <v>Dec</v>
      </c>
      <c r="J6541">
        <f>YEAR(datas[[#This Row],[Order Date]])</f>
        <v>2023</v>
      </c>
    </row>
    <row r="6542" spans="1:10" ht="14.25" customHeight="1" x14ac:dyDescent="0.3">
      <c r="A6542" s="1">
        <v>45277</v>
      </c>
      <c r="B6542" s="2" t="s">
        <v>600</v>
      </c>
      <c r="C6542" s="2" t="s">
        <v>82</v>
      </c>
      <c r="D6542" s="2" t="s">
        <v>10</v>
      </c>
      <c r="E6542" s="2" t="s">
        <v>15</v>
      </c>
      <c r="F6542" s="2">
        <v>46.53</v>
      </c>
      <c r="G6542" s="2">
        <v>3</v>
      </c>
      <c r="H6542" s="2">
        <v>13.03</v>
      </c>
      <c r="I6542" t="str">
        <f t="shared" si="102"/>
        <v>Dec</v>
      </c>
      <c r="J6542">
        <f>YEAR(datas[[#This Row],[Order Date]])</f>
        <v>2023</v>
      </c>
    </row>
    <row r="6543" spans="1:10" ht="14.25" customHeight="1" x14ac:dyDescent="0.3">
      <c r="A6543" s="1">
        <v>45277</v>
      </c>
      <c r="B6543" s="2" t="s">
        <v>584</v>
      </c>
      <c r="C6543" s="2" t="s">
        <v>9</v>
      </c>
      <c r="D6543" s="2" t="s">
        <v>10</v>
      </c>
      <c r="E6543" s="2" t="s">
        <v>11</v>
      </c>
      <c r="F6543" s="2">
        <v>51.84</v>
      </c>
      <c r="G6543" s="2">
        <v>10</v>
      </c>
      <c r="H6543" s="2">
        <v>18.14</v>
      </c>
      <c r="I6543" t="str">
        <f t="shared" si="102"/>
        <v>Dec</v>
      </c>
      <c r="J6543">
        <f>YEAR(datas[[#This Row],[Order Date]])</f>
        <v>2023</v>
      </c>
    </row>
    <row r="6544" spans="1:10" ht="14.25" customHeight="1" x14ac:dyDescent="0.3">
      <c r="A6544" s="1">
        <v>45277</v>
      </c>
      <c r="B6544" s="2" t="s">
        <v>584</v>
      </c>
      <c r="C6544" s="2" t="s">
        <v>9</v>
      </c>
      <c r="D6544" s="2" t="s">
        <v>28</v>
      </c>
      <c r="E6544" s="2" t="s">
        <v>34</v>
      </c>
      <c r="F6544" s="2">
        <v>165.6</v>
      </c>
      <c r="G6544" s="2">
        <v>3</v>
      </c>
      <c r="H6544" s="2">
        <v>-6.21</v>
      </c>
      <c r="I6544" t="str">
        <f t="shared" si="102"/>
        <v>Dec</v>
      </c>
      <c r="J6544">
        <f>YEAR(datas[[#This Row],[Order Date]])</f>
        <v>2023</v>
      </c>
    </row>
    <row r="6545" spans="1:10" ht="14.25" customHeight="1" x14ac:dyDescent="0.3">
      <c r="A6545" s="1">
        <v>45277</v>
      </c>
      <c r="B6545" s="2" t="s">
        <v>338</v>
      </c>
      <c r="C6545" s="2" t="s">
        <v>167</v>
      </c>
      <c r="D6545" s="2" t="s">
        <v>10</v>
      </c>
      <c r="E6545" s="2" t="s">
        <v>16</v>
      </c>
      <c r="F6545" s="2">
        <v>13.49</v>
      </c>
      <c r="G6545" s="2">
        <v>2</v>
      </c>
      <c r="H6545" s="2">
        <v>4.38</v>
      </c>
      <c r="I6545" t="str">
        <f t="shared" si="102"/>
        <v>Dec</v>
      </c>
      <c r="J6545">
        <f>YEAR(datas[[#This Row],[Order Date]])</f>
        <v>2023</v>
      </c>
    </row>
    <row r="6546" spans="1:10" ht="14.25" customHeight="1" x14ac:dyDescent="0.3">
      <c r="A6546" s="1">
        <v>45277</v>
      </c>
      <c r="B6546" s="2" t="s">
        <v>338</v>
      </c>
      <c r="C6546" s="2" t="s">
        <v>167</v>
      </c>
      <c r="D6546" s="2" t="s">
        <v>10</v>
      </c>
      <c r="E6546" s="2" t="s">
        <v>16</v>
      </c>
      <c r="F6546" s="2">
        <v>11.42</v>
      </c>
      <c r="G6546" s="2">
        <v>1</v>
      </c>
      <c r="H6546" s="2">
        <v>3.85</v>
      </c>
      <c r="I6546" t="str">
        <f t="shared" si="102"/>
        <v>Dec</v>
      </c>
      <c r="J6546">
        <f>YEAR(datas[[#This Row],[Order Date]])</f>
        <v>2023</v>
      </c>
    </row>
    <row r="6547" spans="1:10" ht="14.25" customHeight="1" x14ac:dyDescent="0.3">
      <c r="A6547" s="1">
        <v>45277</v>
      </c>
      <c r="B6547" s="2" t="s">
        <v>651</v>
      </c>
      <c r="C6547" s="2" t="s">
        <v>60</v>
      </c>
      <c r="D6547" s="2" t="s">
        <v>10</v>
      </c>
      <c r="E6547" s="2" t="s">
        <v>16</v>
      </c>
      <c r="F6547" s="2">
        <v>9892.74</v>
      </c>
      <c r="G6547" s="2">
        <v>13</v>
      </c>
      <c r="H6547" s="2">
        <v>4946.37</v>
      </c>
      <c r="I6547" t="str">
        <f t="shared" si="102"/>
        <v>Dec</v>
      </c>
      <c r="J6547">
        <f>YEAR(datas[[#This Row],[Order Date]])</f>
        <v>2023</v>
      </c>
    </row>
    <row r="6548" spans="1:10" ht="14.25" customHeight="1" x14ac:dyDescent="0.3">
      <c r="A6548" s="1">
        <v>45278</v>
      </c>
      <c r="B6548" s="2" t="s">
        <v>683</v>
      </c>
      <c r="C6548" s="2" t="s">
        <v>64</v>
      </c>
      <c r="D6548" s="2" t="s">
        <v>10</v>
      </c>
      <c r="E6548" s="2" t="s">
        <v>16</v>
      </c>
      <c r="F6548" s="2">
        <v>254.06</v>
      </c>
      <c r="G6548" s="2">
        <v>7</v>
      </c>
      <c r="H6548" s="2">
        <v>-169.37</v>
      </c>
      <c r="I6548" t="str">
        <f t="shared" si="102"/>
        <v>Dec</v>
      </c>
      <c r="J6548">
        <f>YEAR(datas[[#This Row],[Order Date]])</f>
        <v>2023</v>
      </c>
    </row>
    <row r="6549" spans="1:10" ht="14.25" customHeight="1" x14ac:dyDescent="0.3">
      <c r="A6549" s="1">
        <v>45278</v>
      </c>
      <c r="B6549" s="2" t="s">
        <v>683</v>
      </c>
      <c r="C6549" s="2" t="s">
        <v>64</v>
      </c>
      <c r="D6549" s="2" t="s">
        <v>10</v>
      </c>
      <c r="E6549" s="2" t="s">
        <v>53</v>
      </c>
      <c r="F6549" s="2">
        <v>194.53</v>
      </c>
      <c r="G6549" s="2">
        <v>2</v>
      </c>
      <c r="H6549" s="2">
        <v>24.32</v>
      </c>
      <c r="I6549" t="str">
        <f t="shared" si="102"/>
        <v>Dec</v>
      </c>
      <c r="J6549">
        <f>YEAR(datas[[#This Row],[Order Date]])</f>
        <v>2023</v>
      </c>
    </row>
    <row r="6550" spans="1:10" ht="14.25" customHeight="1" x14ac:dyDescent="0.3">
      <c r="A6550" s="1">
        <v>45278</v>
      </c>
      <c r="B6550" s="2" t="s">
        <v>683</v>
      </c>
      <c r="C6550" s="2" t="s">
        <v>64</v>
      </c>
      <c r="D6550" s="2" t="s">
        <v>10</v>
      </c>
      <c r="E6550" s="2" t="s">
        <v>95</v>
      </c>
      <c r="F6550" s="2">
        <v>961.48</v>
      </c>
      <c r="G6550" s="2">
        <v>5</v>
      </c>
      <c r="H6550" s="2">
        <v>-204.31</v>
      </c>
      <c r="I6550" t="str">
        <f t="shared" si="102"/>
        <v>Dec</v>
      </c>
      <c r="J6550">
        <f>YEAR(datas[[#This Row],[Order Date]])</f>
        <v>2023</v>
      </c>
    </row>
    <row r="6551" spans="1:10" ht="14.25" customHeight="1" x14ac:dyDescent="0.3">
      <c r="A6551" s="1">
        <v>45278</v>
      </c>
      <c r="B6551" s="2" t="s">
        <v>586</v>
      </c>
      <c r="C6551" s="2" t="s">
        <v>140</v>
      </c>
      <c r="D6551" s="2" t="s">
        <v>26</v>
      </c>
      <c r="E6551" s="2" t="s">
        <v>32</v>
      </c>
      <c r="F6551" s="2">
        <v>18.84</v>
      </c>
      <c r="G6551" s="2">
        <v>3</v>
      </c>
      <c r="H6551" s="2">
        <v>6.03</v>
      </c>
      <c r="I6551" t="str">
        <f t="shared" si="102"/>
        <v>Dec</v>
      </c>
      <c r="J6551">
        <f>YEAR(datas[[#This Row],[Order Date]])</f>
        <v>2023</v>
      </c>
    </row>
    <row r="6552" spans="1:10" ht="14.25" customHeight="1" x14ac:dyDescent="0.3">
      <c r="A6552" s="1">
        <v>45278</v>
      </c>
      <c r="B6552" s="2" t="s">
        <v>489</v>
      </c>
      <c r="C6552" s="2" t="s">
        <v>21</v>
      </c>
      <c r="D6552" s="2" t="s">
        <v>10</v>
      </c>
      <c r="E6552" s="2" t="s">
        <v>11</v>
      </c>
      <c r="F6552" s="2">
        <v>38.880000000000003</v>
      </c>
      <c r="G6552" s="2">
        <v>6</v>
      </c>
      <c r="H6552" s="2">
        <v>18.66</v>
      </c>
      <c r="I6552" t="str">
        <f t="shared" si="102"/>
        <v>Dec</v>
      </c>
      <c r="J6552">
        <f>YEAR(datas[[#This Row],[Order Date]])</f>
        <v>2023</v>
      </c>
    </row>
    <row r="6553" spans="1:10" ht="14.25" customHeight="1" x14ac:dyDescent="0.3">
      <c r="A6553" s="1">
        <v>45278</v>
      </c>
      <c r="B6553" s="2" t="s">
        <v>489</v>
      </c>
      <c r="C6553" s="2" t="s">
        <v>21</v>
      </c>
      <c r="D6553" s="2" t="s">
        <v>26</v>
      </c>
      <c r="E6553" s="2" t="s">
        <v>32</v>
      </c>
      <c r="F6553" s="2">
        <v>183.84</v>
      </c>
      <c r="G6553" s="2">
        <v>8</v>
      </c>
      <c r="H6553" s="2">
        <v>62.51</v>
      </c>
      <c r="I6553" t="str">
        <f t="shared" si="102"/>
        <v>Dec</v>
      </c>
      <c r="J6553">
        <f>YEAR(datas[[#This Row],[Order Date]])</f>
        <v>2023</v>
      </c>
    </row>
    <row r="6554" spans="1:10" ht="14.25" customHeight="1" x14ac:dyDescent="0.3">
      <c r="A6554" s="1">
        <v>45278</v>
      </c>
      <c r="B6554" s="2" t="s">
        <v>489</v>
      </c>
      <c r="C6554" s="2" t="s">
        <v>21</v>
      </c>
      <c r="D6554" s="2" t="s">
        <v>10</v>
      </c>
      <c r="E6554" s="2" t="s">
        <v>95</v>
      </c>
      <c r="F6554" s="2">
        <v>579.29999999999995</v>
      </c>
      <c r="G6554" s="2">
        <v>5</v>
      </c>
      <c r="H6554" s="2">
        <v>28.97</v>
      </c>
      <c r="I6554" t="str">
        <f t="shared" si="102"/>
        <v>Dec</v>
      </c>
      <c r="J6554">
        <f>YEAR(datas[[#This Row],[Order Date]])</f>
        <v>2023</v>
      </c>
    </row>
    <row r="6555" spans="1:10" ht="14.25" customHeight="1" x14ac:dyDescent="0.3">
      <c r="A6555" s="1">
        <v>45278</v>
      </c>
      <c r="B6555" s="2" t="s">
        <v>560</v>
      </c>
      <c r="C6555" s="2" t="s">
        <v>75</v>
      </c>
      <c r="D6555" s="2" t="s">
        <v>10</v>
      </c>
      <c r="E6555" s="2" t="s">
        <v>15</v>
      </c>
      <c r="F6555" s="2">
        <v>900.08</v>
      </c>
      <c r="G6555" s="2">
        <v>4</v>
      </c>
      <c r="H6555" s="2">
        <v>117.01</v>
      </c>
      <c r="I6555" t="str">
        <f t="shared" si="102"/>
        <v>Dec</v>
      </c>
      <c r="J6555">
        <f>YEAR(datas[[#This Row],[Order Date]])</f>
        <v>2023</v>
      </c>
    </row>
    <row r="6556" spans="1:10" ht="14.25" customHeight="1" x14ac:dyDescent="0.3">
      <c r="A6556" s="1">
        <v>45278</v>
      </c>
      <c r="B6556" s="2" t="s">
        <v>339</v>
      </c>
      <c r="C6556" s="2" t="s">
        <v>87</v>
      </c>
      <c r="D6556" s="2" t="s">
        <v>10</v>
      </c>
      <c r="E6556" s="2" t="s">
        <v>16</v>
      </c>
      <c r="F6556" s="2">
        <v>1793.98</v>
      </c>
      <c r="G6556" s="2">
        <v>2</v>
      </c>
      <c r="H6556" s="2">
        <v>843.17</v>
      </c>
      <c r="I6556" t="str">
        <f t="shared" si="102"/>
        <v>Dec</v>
      </c>
      <c r="J6556">
        <f>YEAR(datas[[#This Row],[Order Date]])</f>
        <v>2023</v>
      </c>
    </row>
    <row r="6557" spans="1:10" ht="14.25" customHeight="1" x14ac:dyDescent="0.3">
      <c r="A6557" s="1">
        <v>45278</v>
      </c>
      <c r="B6557" s="2" t="s">
        <v>689</v>
      </c>
      <c r="C6557" s="2" t="s">
        <v>21</v>
      </c>
      <c r="D6557" s="2" t="s">
        <v>28</v>
      </c>
      <c r="E6557" s="2" t="s">
        <v>34</v>
      </c>
      <c r="F6557" s="2">
        <v>72.64</v>
      </c>
      <c r="G6557" s="2">
        <v>2</v>
      </c>
      <c r="H6557" s="2">
        <v>21.79</v>
      </c>
      <c r="I6557" t="str">
        <f t="shared" si="102"/>
        <v>Dec</v>
      </c>
      <c r="J6557">
        <f>YEAR(datas[[#This Row],[Order Date]])</f>
        <v>2023</v>
      </c>
    </row>
    <row r="6558" spans="1:10" ht="14.25" customHeight="1" x14ac:dyDescent="0.3">
      <c r="A6558" s="1">
        <v>45278</v>
      </c>
      <c r="B6558" s="2" t="s">
        <v>689</v>
      </c>
      <c r="C6558" s="2" t="s">
        <v>21</v>
      </c>
      <c r="D6558" s="2" t="s">
        <v>28</v>
      </c>
      <c r="E6558" s="2" t="s">
        <v>34</v>
      </c>
      <c r="F6558" s="2">
        <v>772.47</v>
      </c>
      <c r="G6558" s="2">
        <v>3</v>
      </c>
      <c r="H6558" s="2">
        <v>146.77000000000001</v>
      </c>
      <c r="I6558" t="str">
        <f t="shared" si="102"/>
        <v>Dec</v>
      </c>
      <c r="J6558">
        <f>YEAR(datas[[#This Row],[Order Date]])</f>
        <v>2023</v>
      </c>
    </row>
    <row r="6559" spans="1:10" ht="14.25" customHeight="1" x14ac:dyDescent="0.3">
      <c r="A6559" s="1">
        <v>45278</v>
      </c>
      <c r="B6559" s="2" t="s">
        <v>689</v>
      </c>
      <c r="C6559" s="2" t="s">
        <v>21</v>
      </c>
      <c r="D6559" s="2" t="s">
        <v>26</v>
      </c>
      <c r="E6559" s="2" t="s">
        <v>32</v>
      </c>
      <c r="F6559" s="2">
        <v>39.92</v>
      </c>
      <c r="G6559" s="2">
        <v>4</v>
      </c>
      <c r="H6559" s="2">
        <v>11.18</v>
      </c>
      <c r="I6559" t="str">
        <f t="shared" si="102"/>
        <v>Dec</v>
      </c>
      <c r="J6559">
        <f>YEAR(datas[[#This Row],[Order Date]])</f>
        <v>2023</v>
      </c>
    </row>
    <row r="6560" spans="1:10" ht="14.25" customHeight="1" x14ac:dyDescent="0.3">
      <c r="A6560" s="1">
        <v>45278</v>
      </c>
      <c r="B6560" s="2" t="s">
        <v>371</v>
      </c>
      <c r="C6560" s="2" t="s">
        <v>52</v>
      </c>
      <c r="D6560" s="2" t="s">
        <v>10</v>
      </c>
      <c r="E6560" s="2" t="s">
        <v>16</v>
      </c>
      <c r="F6560" s="2">
        <v>45.24</v>
      </c>
      <c r="G6560" s="2">
        <v>4</v>
      </c>
      <c r="H6560" s="2">
        <v>-30.16</v>
      </c>
      <c r="I6560" t="str">
        <f t="shared" si="102"/>
        <v>Dec</v>
      </c>
      <c r="J6560">
        <f>YEAR(datas[[#This Row],[Order Date]])</f>
        <v>2023</v>
      </c>
    </row>
    <row r="6561" spans="1:10" ht="14.25" customHeight="1" x14ac:dyDescent="0.3">
      <c r="A6561" s="1">
        <v>45278</v>
      </c>
      <c r="B6561" s="2" t="s">
        <v>371</v>
      </c>
      <c r="C6561" s="2" t="s">
        <v>52</v>
      </c>
      <c r="D6561" s="2" t="s">
        <v>10</v>
      </c>
      <c r="E6561" s="2" t="s">
        <v>19</v>
      </c>
      <c r="F6561" s="2">
        <v>18.690000000000001</v>
      </c>
      <c r="G6561" s="2">
        <v>4</v>
      </c>
      <c r="H6561" s="2">
        <v>2.34</v>
      </c>
      <c r="I6561" t="str">
        <f t="shared" si="102"/>
        <v>Dec</v>
      </c>
      <c r="J6561">
        <f>YEAR(datas[[#This Row],[Order Date]])</f>
        <v>2023</v>
      </c>
    </row>
    <row r="6562" spans="1:10" ht="14.25" customHeight="1" x14ac:dyDescent="0.3">
      <c r="A6562" s="1">
        <v>45278</v>
      </c>
      <c r="B6562" s="2" t="s">
        <v>371</v>
      </c>
      <c r="C6562" s="2" t="s">
        <v>52</v>
      </c>
      <c r="D6562" s="2" t="s">
        <v>10</v>
      </c>
      <c r="E6562" s="2" t="s">
        <v>11</v>
      </c>
      <c r="F6562" s="2">
        <v>11.65</v>
      </c>
      <c r="G6562" s="2">
        <v>2</v>
      </c>
      <c r="H6562" s="2">
        <v>3.79</v>
      </c>
      <c r="I6562" t="str">
        <f t="shared" si="102"/>
        <v>Dec</v>
      </c>
      <c r="J6562">
        <f>YEAR(datas[[#This Row],[Order Date]])</f>
        <v>2023</v>
      </c>
    </row>
    <row r="6563" spans="1:10" ht="14.25" customHeight="1" x14ac:dyDescent="0.3">
      <c r="A6563" s="1">
        <v>45278</v>
      </c>
      <c r="B6563" s="2" t="s">
        <v>371</v>
      </c>
      <c r="C6563" s="2" t="s">
        <v>52</v>
      </c>
      <c r="D6563" s="2" t="s">
        <v>28</v>
      </c>
      <c r="E6563" s="2" t="s">
        <v>34</v>
      </c>
      <c r="F6563" s="2">
        <v>112.78</v>
      </c>
      <c r="G6563" s="2">
        <v>3</v>
      </c>
      <c r="H6563" s="2">
        <v>-8.4600000000000009</v>
      </c>
      <c r="I6563" t="str">
        <f t="shared" si="102"/>
        <v>Dec</v>
      </c>
      <c r="J6563">
        <f>YEAR(datas[[#This Row],[Order Date]])</f>
        <v>2023</v>
      </c>
    </row>
    <row r="6564" spans="1:10" ht="14.25" customHeight="1" x14ac:dyDescent="0.3">
      <c r="A6564" s="1">
        <v>45278</v>
      </c>
      <c r="B6564" s="2" t="s">
        <v>371</v>
      </c>
      <c r="C6564" s="2" t="s">
        <v>52</v>
      </c>
      <c r="D6564" s="2" t="s">
        <v>26</v>
      </c>
      <c r="E6564" s="2" t="s">
        <v>73</v>
      </c>
      <c r="F6564" s="2">
        <v>377.45</v>
      </c>
      <c r="G6564" s="2">
        <v>5</v>
      </c>
      <c r="H6564" s="2">
        <v>-264.22000000000003</v>
      </c>
      <c r="I6564" t="str">
        <f t="shared" si="102"/>
        <v>Dec</v>
      </c>
      <c r="J6564">
        <f>YEAR(datas[[#This Row],[Order Date]])</f>
        <v>2023</v>
      </c>
    </row>
    <row r="6565" spans="1:10" ht="14.25" customHeight="1" x14ac:dyDescent="0.3">
      <c r="A6565" s="1">
        <v>45278</v>
      </c>
      <c r="B6565" s="2" t="s">
        <v>371</v>
      </c>
      <c r="C6565" s="2" t="s">
        <v>52</v>
      </c>
      <c r="D6565" s="2" t="s">
        <v>10</v>
      </c>
      <c r="E6565" s="2" t="s">
        <v>14</v>
      </c>
      <c r="F6565" s="2">
        <v>15.94</v>
      </c>
      <c r="G6565" s="2">
        <v>4</v>
      </c>
      <c r="H6565" s="2">
        <v>5.18</v>
      </c>
      <c r="I6565" t="str">
        <f t="shared" si="102"/>
        <v>Dec</v>
      </c>
      <c r="J6565">
        <f>YEAR(datas[[#This Row],[Order Date]])</f>
        <v>2023</v>
      </c>
    </row>
    <row r="6566" spans="1:10" ht="14.25" customHeight="1" x14ac:dyDescent="0.3">
      <c r="A6566" s="1">
        <v>45278</v>
      </c>
      <c r="B6566" s="2" t="s">
        <v>371</v>
      </c>
      <c r="C6566" s="2" t="s">
        <v>52</v>
      </c>
      <c r="D6566" s="2" t="s">
        <v>28</v>
      </c>
      <c r="E6566" s="2" t="s">
        <v>29</v>
      </c>
      <c r="F6566" s="2">
        <v>28.68</v>
      </c>
      <c r="G6566" s="2">
        <v>3</v>
      </c>
      <c r="H6566" s="2">
        <v>-7.17</v>
      </c>
      <c r="I6566" t="str">
        <f t="shared" si="102"/>
        <v>Dec</v>
      </c>
      <c r="J6566">
        <f>YEAR(datas[[#This Row],[Order Date]])</f>
        <v>2023</v>
      </c>
    </row>
    <row r="6567" spans="1:10" ht="14.25" customHeight="1" x14ac:dyDescent="0.3">
      <c r="A6567" s="1">
        <v>45278</v>
      </c>
      <c r="B6567" s="2" t="s">
        <v>745</v>
      </c>
      <c r="C6567" s="2" t="s">
        <v>381</v>
      </c>
      <c r="D6567" s="2" t="s">
        <v>26</v>
      </c>
      <c r="E6567" s="2" t="s">
        <v>27</v>
      </c>
      <c r="F6567" s="2">
        <v>563.94000000000005</v>
      </c>
      <c r="G6567" s="2">
        <v>3</v>
      </c>
      <c r="H6567" s="2">
        <v>112.79</v>
      </c>
      <c r="I6567" t="str">
        <f t="shared" si="102"/>
        <v>Dec</v>
      </c>
      <c r="J6567">
        <f>YEAR(datas[[#This Row],[Order Date]])</f>
        <v>2023</v>
      </c>
    </row>
    <row r="6568" spans="1:10" ht="14.25" customHeight="1" x14ac:dyDescent="0.3">
      <c r="A6568" s="1">
        <v>45278</v>
      </c>
      <c r="B6568" s="2" t="s">
        <v>195</v>
      </c>
      <c r="C6568" s="2" t="s">
        <v>21</v>
      </c>
      <c r="D6568" s="2" t="s">
        <v>28</v>
      </c>
      <c r="E6568" s="2" t="s">
        <v>29</v>
      </c>
      <c r="F6568" s="2">
        <v>66.98</v>
      </c>
      <c r="G6568" s="2">
        <v>7</v>
      </c>
      <c r="H6568" s="2">
        <v>6.7</v>
      </c>
      <c r="I6568" t="str">
        <f t="shared" si="102"/>
        <v>Dec</v>
      </c>
      <c r="J6568">
        <f>YEAR(datas[[#This Row],[Order Date]])</f>
        <v>2023</v>
      </c>
    </row>
    <row r="6569" spans="1:10" ht="14.25" customHeight="1" x14ac:dyDescent="0.3">
      <c r="A6569" s="1">
        <v>45279</v>
      </c>
      <c r="B6569" s="2" t="s">
        <v>513</v>
      </c>
      <c r="C6569" s="2" t="s">
        <v>55</v>
      </c>
      <c r="D6569" s="2" t="s">
        <v>26</v>
      </c>
      <c r="E6569" s="2" t="s">
        <v>73</v>
      </c>
      <c r="F6569" s="2">
        <v>455.97</v>
      </c>
      <c r="G6569" s="2">
        <v>6</v>
      </c>
      <c r="H6569" s="2">
        <v>-218.87</v>
      </c>
      <c r="I6569" t="str">
        <f t="shared" si="102"/>
        <v>Dec</v>
      </c>
      <c r="J6569">
        <f>YEAR(datas[[#This Row],[Order Date]])</f>
        <v>2023</v>
      </c>
    </row>
    <row r="6570" spans="1:10" ht="14.25" customHeight="1" x14ac:dyDescent="0.3">
      <c r="A6570" s="1">
        <v>45279</v>
      </c>
      <c r="B6570" s="2" t="s">
        <v>513</v>
      </c>
      <c r="C6570" s="2" t="s">
        <v>55</v>
      </c>
      <c r="D6570" s="2" t="s">
        <v>10</v>
      </c>
      <c r="E6570" s="2" t="s">
        <v>16</v>
      </c>
      <c r="F6570" s="2">
        <v>10.44</v>
      </c>
      <c r="G6570" s="2">
        <v>6</v>
      </c>
      <c r="H6570" s="2">
        <v>-7.66</v>
      </c>
      <c r="I6570" t="str">
        <f t="shared" si="102"/>
        <v>Dec</v>
      </c>
      <c r="J6570">
        <f>YEAR(datas[[#This Row],[Order Date]])</f>
        <v>2023</v>
      </c>
    </row>
    <row r="6571" spans="1:10" ht="14.25" customHeight="1" x14ac:dyDescent="0.3">
      <c r="A6571" s="1">
        <v>45279</v>
      </c>
      <c r="B6571" s="2" t="s">
        <v>513</v>
      </c>
      <c r="C6571" s="2" t="s">
        <v>55</v>
      </c>
      <c r="D6571" s="2" t="s">
        <v>10</v>
      </c>
      <c r="E6571" s="2" t="s">
        <v>16</v>
      </c>
      <c r="F6571" s="2">
        <v>5.21</v>
      </c>
      <c r="G6571" s="2">
        <v>2</v>
      </c>
      <c r="H6571" s="2">
        <v>-4.17</v>
      </c>
      <c r="I6571" t="str">
        <f t="shared" si="102"/>
        <v>Dec</v>
      </c>
      <c r="J6571">
        <f>YEAR(datas[[#This Row],[Order Date]])</f>
        <v>2023</v>
      </c>
    </row>
    <row r="6572" spans="1:10" ht="14.25" customHeight="1" x14ac:dyDescent="0.3">
      <c r="A6572" s="1">
        <v>45279</v>
      </c>
      <c r="B6572" s="2" t="s">
        <v>84</v>
      </c>
      <c r="C6572" s="2" t="s">
        <v>75</v>
      </c>
      <c r="D6572" s="2" t="s">
        <v>10</v>
      </c>
      <c r="E6572" s="2" t="s">
        <v>16</v>
      </c>
      <c r="F6572" s="2">
        <v>34.25</v>
      </c>
      <c r="G6572" s="2">
        <v>3</v>
      </c>
      <c r="H6572" s="2">
        <v>11.56</v>
      </c>
      <c r="I6572" t="str">
        <f t="shared" si="102"/>
        <v>Dec</v>
      </c>
      <c r="J6572">
        <f>YEAR(datas[[#This Row],[Order Date]])</f>
        <v>2023</v>
      </c>
    </row>
    <row r="6573" spans="1:10" ht="14.25" customHeight="1" x14ac:dyDescent="0.3">
      <c r="A6573" s="1">
        <v>45279</v>
      </c>
      <c r="B6573" s="2" t="s">
        <v>84</v>
      </c>
      <c r="C6573" s="2" t="s">
        <v>75</v>
      </c>
      <c r="D6573" s="2" t="s">
        <v>10</v>
      </c>
      <c r="E6573" s="2" t="s">
        <v>19</v>
      </c>
      <c r="F6573" s="2">
        <v>3.52</v>
      </c>
      <c r="G6573" s="2">
        <v>2</v>
      </c>
      <c r="H6573" s="2">
        <v>1.02</v>
      </c>
      <c r="I6573" t="str">
        <f t="shared" si="102"/>
        <v>Dec</v>
      </c>
      <c r="J6573">
        <f>YEAR(datas[[#This Row],[Order Date]])</f>
        <v>2023</v>
      </c>
    </row>
    <row r="6574" spans="1:10" ht="14.25" customHeight="1" x14ac:dyDescent="0.3">
      <c r="A6574" s="1">
        <v>45279</v>
      </c>
      <c r="B6574" s="2" t="s">
        <v>526</v>
      </c>
      <c r="C6574" s="2" t="s">
        <v>13</v>
      </c>
      <c r="D6574" s="2" t="s">
        <v>10</v>
      </c>
      <c r="E6574" s="2" t="s">
        <v>16</v>
      </c>
      <c r="F6574" s="2">
        <v>1.8</v>
      </c>
      <c r="G6574" s="2">
        <v>5</v>
      </c>
      <c r="H6574" s="2">
        <v>-2.88</v>
      </c>
      <c r="I6574" t="str">
        <f t="shared" si="102"/>
        <v>Dec</v>
      </c>
      <c r="J6574">
        <f>YEAR(datas[[#This Row],[Order Date]])</f>
        <v>2023</v>
      </c>
    </row>
    <row r="6575" spans="1:10" ht="14.25" customHeight="1" x14ac:dyDescent="0.3">
      <c r="A6575" s="1">
        <v>45279</v>
      </c>
      <c r="B6575" s="2" t="s">
        <v>120</v>
      </c>
      <c r="C6575" s="2" t="s">
        <v>18</v>
      </c>
      <c r="D6575" s="2" t="s">
        <v>26</v>
      </c>
      <c r="E6575" s="2" t="s">
        <v>32</v>
      </c>
      <c r="F6575" s="2">
        <v>303.92</v>
      </c>
      <c r="G6575" s="2">
        <v>5</v>
      </c>
      <c r="H6575" s="2">
        <v>-30.39</v>
      </c>
      <c r="I6575" t="str">
        <f t="shared" si="102"/>
        <v>Dec</v>
      </c>
      <c r="J6575">
        <f>YEAR(datas[[#This Row],[Order Date]])</f>
        <v>2023</v>
      </c>
    </row>
    <row r="6576" spans="1:10" ht="14.25" customHeight="1" x14ac:dyDescent="0.3">
      <c r="A6576" s="1">
        <v>45280</v>
      </c>
      <c r="B6576" s="2" t="s">
        <v>797</v>
      </c>
      <c r="C6576" s="2" t="s">
        <v>143</v>
      </c>
      <c r="D6576" s="2" t="s">
        <v>28</v>
      </c>
      <c r="E6576" s="2" t="s">
        <v>34</v>
      </c>
      <c r="F6576" s="2">
        <v>66.3</v>
      </c>
      <c r="G6576" s="2">
        <v>3</v>
      </c>
      <c r="H6576" s="2">
        <v>8.6199999999999992</v>
      </c>
      <c r="I6576" t="str">
        <f t="shared" si="102"/>
        <v>Dec</v>
      </c>
      <c r="J6576">
        <f>YEAR(datas[[#This Row],[Order Date]])</f>
        <v>2023</v>
      </c>
    </row>
    <row r="6577" spans="1:10" ht="14.25" customHeight="1" x14ac:dyDescent="0.3">
      <c r="A6577" s="1">
        <v>45280</v>
      </c>
      <c r="B6577" s="2" t="s">
        <v>383</v>
      </c>
      <c r="C6577" s="2" t="s">
        <v>143</v>
      </c>
      <c r="D6577" s="2" t="s">
        <v>26</v>
      </c>
      <c r="E6577" s="2" t="s">
        <v>32</v>
      </c>
      <c r="F6577" s="2">
        <v>18.920000000000002</v>
      </c>
      <c r="G6577" s="2">
        <v>4</v>
      </c>
      <c r="H6577" s="2">
        <v>7.38</v>
      </c>
      <c r="I6577" t="str">
        <f t="shared" si="102"/>
        <v>Dec</v>
      </c>
      <c r="J6577">
        <f>YEAR(datas[[#This Row],[Order Date]])</f>
        <v>2023</v>
      </c>
    </row>
    <row r="6578" spans="1:10" ht="14.25" customHeight="1" x14ac:dyDescent="0.3">
      <c r="A6578" s="1">
        <v>45280</v>
      </c>
      <c r="B6578" s="2" t="s">
        <v>383</v>
      </c>
      <c r="C6578" s="2" t="s">
        <v>143</v>
      </c>
      <c r="D6578" s="2" t="s">
        <v>10</v>
      </c>
      <c r="E6578" s="2" t="s">
        <v>16</v>
      </c>
      <c r="F6578" s="2">
        <v>15.42</v>
      </c>
      <c r="G6578" s="2">
        <v>2</v>
      </c>
      <c r="H6578" s="2">
        <v>6.94</v>
      </c>
      <c r="I6578" t="str">
        <f t="shared" si="102"/>
        <v>Dec</v>
      </c>
      <c r="J6578">
        <f>YEAR(datas[[#This Row],[Order Date]])</f>
        <v>2023</v>
      </c>
    </row>
    <row r="6579" spans="1:10" ht="14.25" customHeight="1" x14ac:dyDescent="0.3">
      <c r="A6579" s="1">
        <v>45280</v>
      </c>
      <c r="B6579" s="2" t="s">
        <v>622</v>
      </c>
      <c r="C6579" s="2" t="s">
        <v>381</v>
      </c>
      <c r="D6579" s="2" t="s">
        <v>10</v>
      </c>
      <c r="E6579" s="2" t="s">
        <v>11</v>
      </c>
      <c r="F6579" s="2">
        <v>33.9</v>
      </c>
      <c r="G6579" s="2">
        <v>5</v>
      </c>
      <c r="H6579" s="2">
        <v>15.59</v>
      </c>
      <c r="I6579" t="str">
        <f t="shared" si="102"/>
        <v>Dec</v>
      </c>
      <c r="J6579">
        <f>YEAR(datas[[#This Row],[Order Date]])</f>
        <v>2023</v>
      </c>
    </row>
    <row r="6580" spans="1:10" ht="14.25" customHeight="1" x14ac:dyDescent="0.3">
      <c r="A6580" s="1">
        <v>45282</v>
      </c>
      <c r="B6580" s="2" t="s">
        <v>103</v>
      </c>
      <c r="C6580" s="2" t="s">
        <v>52</v>
      </c>
      <c r="D6580" s="2" t="s">
        <v>10</v>
      </c>
      <c r="E6580" s="2" t="s">
        <v>16</v>
      </c>
      <c r="F6580" s="2">
        <v>31.32</v>
      </c>
      <c r="G6580" s="2">
        <v>10</v>
      </c>
      <c r="H6580" s="2">
        <v>-25.06</v>
      </c>
      <c r="I6580" t="str">
        <f t="shared" si="102"/>
        <v>Dec</v>
      </c>
      <c r="J6580">
        <f>YEAR(datas[[#This Row],[Order Date]])</f>
        <v>2023</v>
      </c>
    </row>
    <row r="6581" spans="1:10" ht="14.25" customHeight="1" x14ac:dyDescent="0.3">
      <c r="A6581" s="1">
        <v>45282</v>
      </c>
      <c r="B6581" s="2" t="s">
        <v>103</v>
      </c>
      <c r="C6581" s="2" t="s">
        <v>52</v>
      </c>
      <c r="D6581" s="2" t="s">
        <v>26</v>
      </c>
      <c r="E6581" s="2" t="s">
        <v>32</v>
      </c>
      <c r="F6581" s="2">
        <v>11.84</v>
      </c>
      <c r="G6581" s="2">
        <v>4</v>
      </c>
      <c r="H6581" s="2">
        <v>3.11</v>
      </c>
      <c r="I6581" t="str">
        <f t="shared" si="102"/>
        <v>Dec</v>
      </c>
      <c r="J6581">
        <f>YEAR(datas[[#This Row],[Order Date]])</f>
        <v>2023</v>
      </c>
    </row>
    <row r="6582" spans="1:10" ht="14.25" customHeight="1" x14ac:dyDescent="0.3">
      <c r="A6582" s="1">
        <v>45282</v>
      </c>
      <c r="B6582" s="2" t="s">
        <v>103</v>
      </c>
      <c r="C6582" s="2" t="s">
        <v>52</v>
      </c>
      <c r="D6582" s="2" t="s">
        <v>26</v>
      </c>
      <c r="E6582" s="2" t="s">
        <v>32</v>
      </c>
      <c r="F6582" s="2">
        <v>22.78</v>
      </c>
      <c r="G6582" s="2">
        <v>1</v>
      </c>
      <c r="H6582" s="2">
        <v>4.84</v>
      </c>
      <c r="I6582" t="str">
        <f t="shared" si="102"/>
        <v>Dec</v>
      </c>
      <c r="J6582">
        <f>YEAR(datas[[#This Row],[Order Date]])</f>
        <v>2023</v>
      </c>
    </row>
    <row r="6583" spans="1:10" ht="14.25" customHeight="1" x14ac:dyDescent="0.3">
      <c r="A6583" s="1">
        <v>45282</v>
      </c>
      <c r="B6583" s="2" t="s">
        <v>228</v>
      </c>
      <c r="C6583" s="2" t="s">
        <v>75</v>
      </c>
      <c r="D6583" s="2" t="s">
        <v>10</v>
      </c>
      <c r="E6583" s="2" t="s">
        <v>16</v>
      </c>
      <c r="F6583" s="2">
        <v>25.58</v>
      </c>
      <c r="G6583" s="2">
        <v>2</v>
      </c>
      <c r="H6583" s="2">
        <v>8.9499999999999993</v>
      </c>
      <c r="I6583" t="str">
        <f t="shared" si="102"/>
        <v>Dec</v>
      </c>
      <c r="J6583">
        <f>YEAR(datas[[#This Row],[Order Date]])</f>
        <v>2023</v>
      </c>
    </row>
    <row r="6584" spans="1:10" ht="14.25" customHeight="1" x14ac:dyDescent="0.3">
      <c r="A6584" s="1">
        <v>45282</v>
      </c>
      <c r="B6584" s="2" t="s">
        <v>411</v>
      </c>
      <c r="C6584" s="2" t="s">
        <v>82</v>
      </c>
      <c r="D6584" s="2" t="s">
        <v>10</v>
      </c>
      <c r="E6584" s="2" t="s">
        <v>16</v>
      </c>
      <c r="F6584" s="2">
        <v>55.36</v>
      </c>
      <c r="G6584" s="2">
        <v>4</v>
      </c>
      <c r="H6584" s="2">
        <v>19.38</v>
      </c>
      <c r="I6584" t="str">
        <f t="shared" si="102"/>
        <v>Dec</v>
      </c>
      <c r="J6584">
        <f>YEAR(datas[[#This Row],[Order Date]])</f>
        <v>2023</v>
      </c>
    </row>
    <row r="6585" spans="1:10" ht="14.25" customHeight="1" x14ac:dyDescent="0.3">
      <c r="A6585" s="1">
        <v>45282</v>
      </c>
      <c r="B6585" s="2" t="s">
        <v>411</v>
      </c>
      <c r="C6585" s="2" t="s">
        <v>82</v>
      </c>
      <c r="D6585" s="2" t="s">
        <v>28</v>
      </c>
      <c r="E6585" s="2" t="s">
        <v>136</v>
      </c>
      <c r="F6585" s="2">
        <v>11.56</v>
      </c>
      <c r="G6585" s="2">
        <v>1</v>
      </c>
      <c r="H6585" s="2">
        <v>3.76</v>
      </c>
      <c r="I6585" t="str">
        <f t="shared" si="102"/>
        <v>Dec</v>
      </c>
      <c r="J6585">
        <f>YEAR(datas[[#This Row],[Order Date]])</f>
        <v>2023</v>
      </c>
    </row>
    <row r="6586" spans="1:10" ht="14.25" customHeight="1" x14ac:dyDescent="0.3">
      <c r="A6586" s="1">
        <v>45282</v>
      </c>
      <c r="B6586" s="2" t="s">
        <v>487</v>
      </c>
      <c r="C6586" s="2" t="s">
        <v>21</v>
      </c>
      <c r="D6586" s="2" t="s">
        <v>26</v>
      </c>
      <c r="E6586" s="2" t="s">
        <v>32</v>
      </c>
      <c r="F6586" s="2">
        <v>842.72</v>
      </c>
      <c r="G6586" s="2">
        <v>8</v>
      </c>
      <c r="H6586" s="2">
        <v>202.25</v>
      </c>
      <c r="I6586" t="str">
        <f t="shared" si="102"/>
        <v>Dec</v>
      </c>
      <c r="J6586">
        <f>YEAR(datas[[#This Row],[Order Date]])</f>
        <v>2023</v>
      </c>
    </row>
    <row r="6587" spans="1:10" ht="14.25" customHeight="1" x14ac:dyDescent="0.3">
      <c r="A6587" s="1">
        <v>45282</v>
      </c>
      <c r="B6587" s="2" t="s">
        <v>487</v>
      </c>
      <c r="C6587" s="2" t="s">
        <v>21</v>
      </c>
      <c r="D6587" s="2" t="s">
        <v>26</v>
      </c>
      <c r="E6587" s="2" t="s">
        <v>32</v>
      </c>
      <c r="F6587" s="2">
        <v>41.96</v>
      </c>
      <c r="G6587" s="2">
        <v>2</v>
      </c>
      <c r="H6587" s="2">
        <v>10.91</v>
      </c>
      <c r="I6587" t="str">
        <f t="shared" si="102"/>
        <v>Dec</v>
      </c>
      <c r="J6587">
        <f>YEAR(datas[[#This Row],[Order Date]])</f>
        <v>2023</v>
      </c>
    </row>
    <row r="6588" spans="1:10" ht="14.25" customHeight="1" x14ac:dyDescent="0.3">
      <c r="A6588" s="1">
        <v>45283</v>
      </c>
      <c r="B6588" s="2" t="s">
        <v>461</v>
      </c>
      <c r="C6588" s="2" t="s">
        <v>36</v>
      </c>
      <c r="D6588" s="2" t="s">
        <v>26</v>
      </c>
      <c r="E6588" s="2" t="s">
        <v>32</v>
      </c>
      <c r="F6588" s="2">
        <v>572.76</v>
      </c>
      <c r="G6588" s="2">
        <v>6</v>
      </c>
      <c r="H6588" s="2">
        <v>166.1</v>
      </c>
      <c r="I6588" t="str">
        <f t="shared" si="102"/>
        <v>Dec</v>
      </c>
      <c r="J6588">
        <f>YEAR(datas[[#This Row],[Order Date]])</f>
        <v>2023</v>
      </c>
    </row>
    <row r="6589" spans="1:10" ht="14.25" customHeight="1" x14ac:dyDescent="0.3">
      <c r="A6589" s="1">
        <v>45283</v>
      </c>
      <c r="B6589" s="2" t="s">
        <v>461</v>
      </c>
      <c r="C6589" s="2" t="s">
        <v>36</v>
      </c>
      <c r="D6589" s="2" t="s">
        <v>26</v>
      </c>
      <c r="E6589" s="2" t="s">
        <v>32</v>
      </c>
      <c r="F6589" s="2">
        <v>286.38</v>
      </c>
      <c r="G6589" s="2">
        <v>3</v>
      </c>
      <c r="H6589" s="2">
        <v>83.05</v>
      </c>
      <c r="I6589" t="str">
        <f t="shared" si="102"/>
        <v>Dec</v>
      </c>
      <c r="J6589">
        <f>YEAR(datas[[#This Row],[Order Date]])</f>
        <v>2023</v>
      </c>
    </row>
    <row r="6590" spans="1:10" ht="14.25" customHeight="1" x14ac:dyDescent="0.3">
      <c r="A6590" s="1">
        <v>45283</v>
      </c>
      <c r="B6590" s="2" t="s">
        <v>696</v>
      </c>
      <c r="C6590" s="2" t="s">
        <v>13</v>
      </c>
      <c r="D6590" s="2" t="s">
        <v>26</v>
      </c>
      <c r="E6590" s="2" t="s">
        <v>45</v>
      </c>
      <c r="F6590" s="2">
        <v>141.37</v>
      </c>
      <c r="G6590" s="2">
        <v>2</v>
      </c>
      <c r="H6590" s="2">
        <v>-14.14</v>
      </c>
      <c r="I6590" t="str">
        <f t="shared" si="102"/>
        <v>Dec</v>
      </c>
      <c r="J6590">
        <f>YEAR(datas[[#This Row],[Order Date]])</f>
        <v>2023</v>
      </c>
    </row>
    <row r="6591" spans="1:10" ht="14.25" customHeight="1" x14ac:dyDescent="0.3">
      <c r="A6591" s="1">
        <v>45283</v>
      </c>
      <c r="B6591" s="2" t="s">
        <v>279</v>
      </c>
      <c r="C6591" s="2" t="s">
        <v>60</v>
      </c>
      <c r="D6591" s="2" t="s">
        <v>10</v>
      </c>
      <c r="E6591" s="2" t="s">
        <v>30</v>
      </c>
      <c r="F6591" s="2">
        <v>24.85</v>
      </c>
      <c r="G6591" s="2">
        <v>7</v>
      </c>
      <c r="H6591" s="2">
        <v>11.68</v>
      </c>
      <c r="I6591" t="str">
        <f t="shared" si="102"/>
        <v>Dec</v>
      </c>
      <c r="J6591">
        <f>YEAR(datas[[#This Row],[Order Date]])</f>
        <v>2023</v>
      </c>
    </row>
    <row r="6592" spans="1:10" ht="14.25" customHeight="1" x14ac:dyDescent="0.3">
      <c r="A6592" s="1">
        <v>45283</v>
      </c>
      <c r="B6592" s="2" t="s">
        <v>758</v>
      </c>
      <c r="C6592" s="2" t="s">
        <v>47</v>
      </c>
      <c r="D6592" s="2" t="s">
        <v>10</v>
      </c>
      <c r="E6592" s="2" t="s">
        <v>16</v>
      </c>
      <c r="F6592" s="2">
        <v>5.55</v>
      </c>
      <c r="G6592" s="2">
        <v>3</v>
      </c>
      <c r="H6592" s="2">
        <v>-4.07</v>
      </c>
      <c r="I6592" t="str">
        <f t="shared" si="102"/>
        <v>Dec</v>
      </c>
      <c r="J6592">
        <f>YEAR(datas[[#This Row],[Order Date]])</f>
        <v>2023</v>
      </c>
    </row>
    <row r="6593" spans="1:10" ht="14.25" customHeight="1" x14ac:dyDescent="0.3">
      <c r="A6593" s="1">
        <v>45283</v>
      </c>
      <c r="B6593" s="2" t="s">
        <v>213</v>
      </c>
      <c r="C6593" s="2" t="s">
        <v>82</v>
      </c>
      <c r="D6593" s="2" t="s">
        <v>10</v>
      </c>
      <c r="E6593" s="2" t="s">
        <v>19</v>
      </c>
      <c r="F6593" s="2">
        <v>8.82</v>
      </c>
      <c r="G6593" s="2">
        <v>3</v>
      </c>
      <c r="H6593" s="2">
        <v>2.56</v>
      </c>
      <c r="I6593" t="str">
        <f t="shared" si="102"/>
        <v>Dec</v>
      </c>
      <c r="J6593">
        <f>YEAR(datas[[#This Row],[Order Date]])</f>
        <v>2023</v>
      </c>
    </row>
    <row r="6594" spans="1:10" ht="14.25" customHeight="1" x14ac:dyDescent="0.3">
      <c r="A6594" s="1">
        <v>45283</v>
      </c>
      <c r="B6594" s="2" t="s">
        <v>213</v>
      </c>
      <c r="C6594" s="2" t="s">
        <v>82</v>
      </c>
      <c r="D6594" s="2" t="s">
        <v>10</v>
      </c>
      <c r="E6594" s="2" t="s">
        <v>11</v>
      </c>
      <c r="F6594" s="2">
        <v>37.94</v>
      </c>
      <c r="G6594" s="2">
        <v>2</v>
      </c>
      <c r="H6594" s="2">
        <v>18.21</v>
      </c>
      <c r="I6594" t="str">
        <f t="shared" si="102"/>
        <v>Dec</v>
      </c>
      <c r="J6594">
        <f>YEAR(datas[[#This Row],[Order Date]])</f>
        <v>2023</v>
      </c>
    </row>
    <row r="6595" spans="1:10" ht="14.25" customHeight="1" x14ac:dyDescent="0.3">
      <c r="A6595" s="1">
        <v>45283</v>
      </c>
      <c r="B6595" s="2" t="s">
        <v>213</v>
      </c>
      <c r="C6595" s="2" t="s">
        <v>82</v>
      </c>
      <c r="D6595" s="2" t="s">
        <v>10</v>
      </c>
      <c r="E6595" s="2" t="s">
        <v>19</v>
      </c>
      <c r="F6595" s="2">
        <v>4.2</v>
      </c>
      <c r="G6595" s="2">
        <v>2</v>
      </c>
      <c r="H6595" s="2">
        <v>1.18</v>
      </c>
      <c r="I6595" t="str">
        <f t="shared" ref="I6595:I6658" si="103">TEXT(A6595,"mmm")</f>
        <v>Dec</v>
      </c>
      <c r="J6595">
        <f>YEAR(datas[[#This Row],[Order Date]])</f>
        <v>2023</v>
      </c>
    </row>
    <row r="6596" spans="1:10" ht="14.25" customHeight="1" x14ac:dyDescent="0.3">
      <c r="A6596" s="1">
        <v>45283</v>
      </c>
      <c r="B6596" s="2" t="s">
        <v>213</v>
      </c>
      <c r="C6596" s="2" t="s">
        <v>82</v>
      </c>
      <c r="D6596" s="2" t="s">
        <v>10</v>
      </c>
      <c r="E6596" s="2" t="s">
        <v>15</v>
      </c>
      <c r="F6596" s="2">
        <v>227.28</v>
      </c>
      <c r="G6596" s="2">
        <v>2</v>
      </c>
      <c r="H6596" s="2">
        <v>2.27</v>
      </c>
      <c r="I6596" t="str">
        <f t="shared" si="103"/>
        <v>Dec</v>
      </c>
      <c r="J6596">
        <f>YEAR(datas[[#This Row],[Order Date]])</f>
        <v>2023</v>
      </c>
    </row>
    <row r="6597" spans="1:10" ht="14.25" customHeight="1" x14ac:dyDescent="0.3">
      <c r="A6597" s="1">
        <v>45283</v>
      </c>
      <c r="B6597" s="2" t="s">
        <v>213</v>
      </c>
      <c r="C6597" s="2" t="s">
        <v>82</v>
      </c>
      <c r="D6597" s="2" t="s">
        <v>10</v>
      </c>
      <c r="E6597" s="2" t="s">
        <v>11</v>
      </c>
      <c r="F6597" s="2">
        <v>47.9</v>
      </c>
      <c r="G6597" s="2">
        <v>1</v>
      </c>
      <c r="H6597" s="2">
        <v>22.99</v>
      </c>
      <c r="I6597" t="str">
        <f t="shared" si="103"/>
        <v>Dec</v>
      </c>
      <c r="J6597">
        <f>YEAR(datas[[#This Row],[Order Date]])</f>
        <v>2023</v>
      </c>
    </row>
    <row r="6598" spans="1:10" ht="14.25" customHeight="1" x14ac:dyDescent="0.3">
      <c r="A6598" s="1">
        <v>45283</v>
      </c>
      <c r="B6598" s="2" t="s">
        <v>213</v>
      </c>
      <c r="C6598" s="2" t="s">
        <v>82</v>
      </c>
      <c r="D6598" s="2" t="s">
        <v>10</v>
      </c>
      <c r="E6598" s="2" t="s">
        <v>41</v>
      </c>
      <c r="F6598" s="2">
        <v>61.96</v>
      </c>
      <c r="G6598" s="2">
        <v>2</v>
      </c>
      <c r="H6598" s="2">
        <v>30.36</v>
      </c>
      <c r="I6598" t="str">
        <f t="shared" si="103"/>
        <v>Dec</v>
      </c>
      <c r="J6598">
        <f>YEAR(datas[[#This Row],[Order Date]])</f>
        <v>2023</v>
      </c>
    </row>
    <row r="6599" spans="1:10" ht="14.25" customHeight="1" x14ac:dyDescent="0.3">
      <c r="A6599" s="1">
        <v>45283</v>
      </c>
      <c r="B6599" s="2" t="s">
        <v>213</v>
      </c>
      <c r="C6599" s="2" t="s">
        <v>82</v>
      </c>
      <c r="D6599" s="2" t="s">
        <v>10</v>
      </c>
      <c r="E6599" s="2" t="s">
        <v>15</v>
      </c>
      <c r="F6599" s="2">
        <v>1117.92</v>
      </c>
      <c r="G6599" s="2">
        <v>4</v>
      </c>
      <c r="H6599" s="2">
        <v>55.9</v>
      </c>
      <c r="I6599" t="str">
        <f t="shared" si="103"/>
        <v>Dec</v>
      </c>
      <c r="J6599">
        <f>YEAR(datas[[#This Row],[Order Date]])</f>
        <v>2023</v>
      </c>
    </row>
    <row r="6600" spans="1:10" ht="14.25" customHeight="1" x14ac:dyDescent="0.3">
      <c r="A6600" s="1">
        <v>45283</v>
      </c>
      <c r="B6600" s="2" t="s">
        <v>70</v>
      </c>
      <c r="C6600" s="2" t="s">
        <v>553</v>
      </c>
      <c r="D6600" s="2" t="s">
        <v>28</v>
      </c>
      <c r="E6600" s="2" t="s">
        <v>243</v>
      </c>
      <c r="F6600" s="2">
        <v>1999.96</v>
      </c>
      <c r="G6600" s="2">
        <v>4</v>
      </c>
      <c r="H6600" s="2">
        <v>899.98</v>
      </c>
      <c r="I6600" t="str">
        <f t="shared" si="103"/>
        <v>Dec</v>
      </c>
      <c r="J6600">
        <f>YEAR(datas[[#This Row],[Order Date]])</f>
        <v>2023</v>
      </c>
    </row>
    <row r="6601" spans="1:10" ht="14.25" customHeight="1" x14ac:dyDescent="0.3">
      <c r="A6601" s="1">
        <v>45283</v>
      </c>
      <c r="B6601" s="2" t="s">
        <v>238</v>
      </c>
      <c r="C6601" s="2" t="s">
        <v>9</v>
      </c>
      <c r="D6601" s="2" t="s">
        <v>28</v>
      </c>
      <c r="E6601" s="2" t="s">
        <v>29</v>
      </c>
      <c r="F6601" s="2">
        <v>453.58</v>
      </c>
      <c r="G6601" s="2">
        <v>3</v>
      </c>
      <c r="H6601" s="2">
        <v>39.69</v>
      </c>
      <c r="I6601" t="str">
        <f t="shared" si="103"/>
        <v>Dec</v>
      </c>
      <c r="J6601">
        <f>YEAR(datas[[#This Row],[Order Date]])</f>
        <v>2023</v>
      </c>
    </row>
    <row r="6602" spans="1:10" ht="14.25" customHeight="1" x14ac:dyDescent="0.3">
      <c r="A6602" s="1">
        <v>45283</v>
      </c>
      <c r="B6602" s="2" t="s">
        <v>238</v>
      </c>
      <c r="C6602" s="2" t="s">
        <v>9</v>
      </c>
      <c r="D6602" s="2" t="s">
        <v>10</v>
      </c>
      <c r="E6602" s="2" t="s">
        <v>14</v>
      </c>
      <c r="F6602" s="2">
        <v>45.36</v>
      </c>
      <c r="G6602" s="2">
        <v>9</v>
      </c>
      <c r="H6602" s="2">
        <v>14.74</v>
      </c>
      <c r="I6602" t="str">
        <f t="shared" si="103"/>
        <v>Dec</v>
      </c>
      <c r="J6602">
        <f>YEAR(datas[[#This Row],[Order Date]])</f>
        <v>2023</v>
      </c>
    </row>
    <row r="6603" spans="1:10" ht="14.25" customHeight="1" x14ac:dyDescent="0.3">
      <c r="A6603" s="1">
        <v>45283</v>
      </c>
      <c r="B6603" s="2" t="s">
        <v>238</v>
      </c>
      <c r="C6603" s="2" t="s">
        <v>9</v>
      </c>
      <c r="D6603" s="2" t="s">
        <v>28</v>
      </c>
      <c r="E6603" s="2" t="s">
        <v>29</v>
      </c>
      <c r="F6603" s="2">
        <v>287.88</v>
      </c>
      <c r="G6603" s="2">
        <v>3</v>
      </c>
      <c r="H6603" s="2">
        <v>35.99</v>
      </c>
      <c r="I6603" t="str">
        <f t="shared" si="103"/>
        <v>Dec</v>
      </c>
      <c r="J6603">
        <f>YEAR(datas[[#This Row],[Order Date]])</f>
        <v>2023</v>
      </c>
    </row>
    <row r="6604" spans="1:10" ht="14.25" customHeight="1" x14ac:dyDescent="0.3">
      <c r="A6604" s="1">
        <v>45283</v>
      </c>
      <c r="B6604" s="2" t="s">
        <v>238</v>
      </c>
      <c r="C6604" s="2" t="s">
        <v>9</v>
      </c>
      <c r="D6604" s="2" t="s">
        <v>28</v>
      </c>
      <c r="E6604" s="2" t="s">
        <v>29</v>
      </c>
      <c r="F6604" s="2">
        <v>131.88</v>
      </c>
      <c r="G6604" s="2">
        <v>3</v>
      </c>
      <c r="H6604" s="2">
        <v>14.84</v>
      </c>
      <c r="I6604" t="str">
        <f t="shared" si="103"/>
        <v>Dec</v>
      </c>
      <c r="J6604">
        <f>YEAR(datas[[#This Row],[Order Date]])</f>
        <v>2023</v>
      </c>
    </row>
    <row r="6605" spans="1:10" ht="14.25" customHeight="1" x14ac:dyDescent="0.3">
      <c r="A6605" s="1">
        <v>45283</v>
      </c>
      <c r="B6605" s="2" t="s">
        <v>238</v>
      </c>
      <c r="C6605" s="2" t="s">
        <v>9</v>
      </c>
      <c r="D6605" s="2" t="s">
        <v>26</v>
      </c>
      <c r="E6605" s="2" t="s">
        <v>32</v>
      </c>
      <c r="F6605" s="2">
        <v>2.33</v>
      </c>
      <c r="G6605" s="2">
        <v>2</v>
      </c>
      <c r="H6605" s="2">
        <v>-0.76</v>
      </c>
      <c r="I6605" t="str">
        <f t="shared" si="103"/>
        <v>Dec</v>
      </c>
      <c r="J6605">
        <f>YEAR(datas[[#This Row],[Order Date]])</f>
        <v>2023</v>
      </c>
    </row>
    <row r="6606" spans="1:10" ht="14.25" customHeight="1" x14ac:dyDescent="0.3">
      <c r="A6606" s="1">
        <v>45283</v>
      </c>
      <c r="B6606" s="2" t="s">
        <v>435</v>
      </c>
      <c r="C6606" s="2" t="s">
        <v>18</v>
      </c>
      <c r="D6606" s="2" t="s">
        <v>10</v>
      </c>
      <c r="E6606" s="2" t="s">
        <v>11</v>
      </c>
      <c r="F6606" s="2">
        <v>7.97</v>
      </c>
      <c r="G6606" s="2">
        <v>2</v>
      </c>
      <c r="H6606" s="2">
        <v>2.69</v>
      </c>
      <c r="I6606" t="str">
        <f t="shared" si="103"/>
        <v>Dec</v>
      </c>
      <c r="J6606">
        <f>YEAR(datas[[#This Row],[Order Date]])</f>
        <v>2023</v>
      </c>
    </row>
    <row r="6607" spans="1:10" ht="14.25" customHeight="1" x14ac:dyDescent="0.3">
      <c r="A6607" s="1">
        <v>45283</v>
      </c>
      <c r="B6607" s="2" t="s">
        <v>435</v>
      </c>
      <c r="C6607" s="2" t="s">
        <v>18</v>
      </c>
      <c r="D6607" s="2" t="s">
        <v>28</v>
      </c>
      <c r="E6607" s="2" t="s">
        <v>29</v>
      </c>
      <c r="F6607" s="2">
        <v>1499.97</v>
      </c>
      <c r="G6607" s="2">
        <v>5</v>
      </c>
      <c r="H6607" s="2">
        <v>-374.99</v>
      </c>
      <c r="I6607" t="str">
        <f t="shared" si="103"/>
        <v>Dec</v>
      </c>
      <c r="J6607">
        <f>YEAR(datas[[#This Row],[Order Date]])</f>
        <v>2023</v>
      </c>
    </row>
    <row r="6608" spans="1:10" ht="14.25" customHeight="1" x14ac:dyDescent="0.3">
      <c r="A6608" s="1">
        <v>45284</v>
      </c>
      <c r="B6608" s="2" t="s">
        <v>304</v>
      </c>
      <c r="C6608" s="2" t="s">
        <v>115</v>
      </c>
      <c r="D6608" s="2" t="s">
        <v>10</v>
      </c>
      <c r="E6608" s="2" t="s">
        <v>16</v>
      </c>
      <c r="F6608" s="2">
        <v>27.88</v>
      </c>
      <c r="G6608" s="2">
        <v>3</v>
      </c>
      <c r="H6608" s="2">
        <v>-20.45</v>
      </c>
      <c r="I6608" t="str">
        <f t="shared" si="103"/>
        <v>Dec</v>
      </c>
      <c r="J6608">
        <f>YEAR(datas[[#This Row],[Order Date]])</f>
        <v>2023</v>
      </c>
    </row>
    <row r="6609" spans="1:10" ht="14.25" customHeight="1" x14ac:dyDescent="0.3">
      <c r="A6609" s="1">
        <v>45284</v>
      </c>
      <c r="B6609" s="2" t="s">
        <v>304</v>
      </c>
      <c r="C6609" s="2" t="s">
        <v>115</v>
      </c>
      <c r="D6609" s="2" t="s">
        <v>10</v>
      </c>
      <c r="E6609" s="2" t="s">
        <v>15</v>
      </c>
      <c r="F6609" s="2">
        <v>540.04999999999995</v>
      </c>
      <c r="G6609" s="2">
        <v>3</v>
      </c>
      <c r="H6609" s="2">
        <v>-47.25</v>
      </c>
      <c r="I6609" t="str">
        <f t="shared" si="103"/>
        <v>Dec</v>
      </c>
      <c r="J6609">
        <f>YEAR(datas[[#This Row],[Order Date]])</f>
        <v>2023</v>
      </c>
    </row>
    <row r="6610" spans="1:10" ht="14.25" customHeight="1" x14ac:dyDescent="0.3">
      <c r="A6610" s="1">
        <v>45284</v>
      </c>
      <c r="B6610" s="2" t="s">
        <v>304</v>
      </c>
      <c r="C6610" s="2" t="s">
        <v>115</v>
      </c>
      <c r="D6610" s="2" t="s">
        <v>28</v>
      </c>
      <c r="E6610" s="2" t="s">
        <v>34</v>
      </c>
      <c r="F6610" s="2">
        <v>255.68</v>
      </c>
      <c r="G6610" s="2">
        <v>8</v>
      </c>
      <c r="H6610" s="2">
        <v>76.7</v>
      </c>
      <c r="I6610" t="str">
        <f t="shared" si="103"/>
        <v>Dec</v>
      </c>
      <c r="J6610">
        <f>YEAR(datas[[#This Row],[Order Date]])</f>
        <v>2023</v>
      </c>
    </row>
    <row r="6611" spans="1:10" ht="14.25" customHeight="1" x14ac:dyDescent="0.3">
      <c r="A6611" s="1">
        <v>45284</v>
      </c>
      <c r="B6611" s="2" t="s">
        <v>697</v>
      </c>
      <c r="C6611" s="2" t="s">
        <v>82</v>
      </c>
      <c r="D6611" s="2" t="s">
        <v>10</v>
      </c>
      <c r="E6611" s="2" t="s">
        <v>11</v>
      </c>
      <c r="F6611" s="2">
        <v>33.4</v>
      </c>
      <c r="G6611" s="2">
        <v>5</v>
      </c>
      <c r="H6611" s="2">
        <v>16.03</v>
      </c>
      <c r="I6611" t="str">
        <f t="shared" si="103"/>
        <v>Dec</v>
      </c>
      <c r="J6611">
        <f>YEAR(datas[[#This Row],[Order Date]])</f>
        <v>2023</v>
      </c>
    </row>
    <row r="6612" spans="1:10" ht="14.25" customHeight="1" x14ac:dyDescent="0.3">
      <c r="A6612" s="1">
        <v>45284</v>
      </c>
      <c r="B6612" s="2" t="s">
        <v>472</v>
      </c>
      <c r="C6612" s="2" t="s">
        <v>75</v>
      </c>
      <c r="D6612" s="2" t="s">
        <v>26</v>
      </c>
      <c r="E6612" s="2" t="s">
        <v>32</v>
      </c>
      <c r="F6612" s="2">
        <v>799.56</v>
      </c>
      <c r="G6612" s="2">
        <v>9</v>
      </c>
      <c r="H6612" s="2">
        <v>207.89</v>
      </c>
      <c r="I6612" t="str">
        <f t="shared" si="103"/>
        <v>Dec</v>
      </c>
      <c r="J6612">
        <f>YEAR(datas[[#This Row],[Order Date]])</f>
        <v>2023</v>
      </c>
    </row>
    <row r="6613" spans="1:10" ht="14.25" customHeight="1" x14ac:dyDescent="0.3">
      <c r="A6613" s="1">
        <v>45284</v>
      </c>
      <c r="B6613" s="2" t="s">
        <v>269</v>
      </c>
      <c r="C6613" s="2" t="s">
        <v>75</v>
      </c>
      <c r="D6613" s="2" t="s">
        <v>28</v>
      </c>
      <c r="E6613" s="2" t="s">
        <v>29</v>
      </c>
      <c r="F6613" s="2">
        <v>197.97</v>
      </c>
      <c r="G6613" s="2">
        <v>3</v>
      </c>
      <c r="H6613" s="2">
        <v>53.45</v>
      </c>
      <c r="I6613" t="str">
        <f t="shared" si="103"/>
        <v>Dec</v>
      </c>
      <c r="J6613">
        <f>YEAR(datas[[#This Row],[Order Date]])</f>
        <v>2023</v>
      </c>
    </row>
    <row r="6614" spans="1:10" ht="14.25" customHeight="1" x14ac:dyDescent="0.3">
      <c r="A6614" s="1">
        <v>45284</v>
      </c>
      <c r="B6614" s="2" t="s">
        <v>645</v>
      </c>
      <c r="C6614" s="2" t="s">
        <v>21</v>
      </c>
      <c r="D6614" s="2" t="s">
        <v>26</v>
      </c>
      <c r="E6614" s="2" t="s">
        <v>32</v>
      </c>
      <c r="F6614" s="2">
        <v>43.96</v>
      </c>
      <c r="G6614" s="2">
        <v>7</v>
      </c>
      <c r="H6614" s="2">
        <v>18.46</v>
      </c>
      <c r="I6614" t="str">
        <f t="shared" si="103"/>
        <v>Dec</v>
      </c>
      <c r="J6614">
        <f>YEAR(datas[[#This Row],[Order Date]])</f>
        <v>2023</v>
      </c>
    </row>
    <row r="6615" spans="1:10" ht="14.25" customHeight="1" x14ac:dyDescent="0.3">
      <c r="A6615" s="1">
        <v>45284</v>
      </c>
      <c r="B6615" s="2" t="s">
        <v>645</v>
      </c>
      <c r="C6615" s="2" t="s">
        <v>21</v>
      </c>
      <c r="D6615" s="2" t="s">
        <v>10</v>
      </c>
      <c r="E6615" s="2" t="s">
        <v>41</v>
      </c>
      <c r="F6615" s="2">
        <v>39.76</v>
      </c>
      <c r="G6615" s="2">
        <v>7</v>
      </c>
      <c r="H6615" s="2">
        <v>18.690000000000001</v>
      </c>
      <c r="I6615" t="str">
        <f t="shared" si="103"/>
        <v>Dec</v>
      </c>
      <c r="J6615">
        <f>YEAR(datas[[#This Row],[Order Date]])</f>
        <v>2023</v>
      </c>
    </row>
    <row r="6616" spans="1:10" ht="14.25" customHeight="1" x14ac:dyDescent="0.3">
      <c r="A6616" s="1">
        <v>45285</v>
      </c>
      <c r="B6616" s="2" t="s">
        <v>339</v>
      </c>
      <c r="C6616" s="2" t="s">
        <v>21</v>
      </c>
      <c r="D6616" s="2" t="s">
        <v>28</v>
      </c>
      <c r="E6616" s="2" t="s">
        <v>29</v>
      </c>
      <c r="F6616" s="2">
        <v>2575.94</v>
      </c>
      <c r="G6616" s="2">
        <v>7</v>
      </c>
      <c r="H6616" s="2">
        <v>257.58999999999997</v>
      </c>
      <c r="I6616" t="str">
        <f t="shared" si="103"/>
        <v>Dec</v>
      </c>
      <c r="J6616">
        <f>YEAR(datas[[#This Row],[Order Date]])</f>
        <v>2023</v>
      </c>
    </row>
    <row r="6617" spans="1:10" ht="14.25" customHeight="1" x14ac:dyDescent="0.3">
      <c r="A6617" s="1">
        <v>45285</v>
      </c>
      <c r="B6617" s="2" t="s">
        <v>339</v>
      </c>
      <c r="C6617" s="2" t="s">
        <v>21</v>
      </c>
      <c r="D6617" s="2" t="s">
        <v>10</v>
      </c>
      <c r="E6617" s="2" t="s">
        <v>11</v>
      </c>
      <c r="F6617" s="2">
        <v>45.36</v>
      </c>
      <c r="G6617" s="2">
        <v>7</v>
      </c>
      <c r="H6617" s="2">
        <v>21.77</v>
      </c>
      <c r="I6617" t="str">
        <f t="shared" si="103"/>
        <v>Dec</v>
      </c>
      <c r="J6617">
        <f>YEAR(datas[[#This Row],[Order Date]])</f>
        <v>2023</v>
      </c>
    </row>
    <row r="6618" spans="1:10" ht="14.25" customHeight="1" x14ac:dyDescent="0.3">
      <c r="A6618" s="1">
        <v>45285</v>
      </c>
      <c r="B6618" s="2" t="s">
        <v>339</v>
      </c>
      <c r="C6618" s="2" t="s">
        <v>21</v>
      </c>
      <c r="D6618" s="2" t="s">
        <v>28</v>
      </c>
      <c r="E6618" s="2" t="s">
        <v>34</v>
      </c>
      <c r="F6618" s="2">
        <v>254.24</v>
      </c>
      <c r="G6618" s="2">
        <v>7</v>
      </c>
      <c r="H6618" s="2">
        <v>76.27</v>
      </c>
      <c r="I6618" t="str">
        <f t="shared" si="103"/>
        <v>Dec</v>
      </c>
      <c r="J6618">
        <f>YEAR(datas[[#This Row],[Order Date]])</f>
        <v>2023</v>
      </c>
    </row>
    <row r="6619" spans="1:10" ht="14.25" customHeight="1" x14ac:dyDescent="0.3">
      <c r="A6619" s="1">
        <v>45285</v>
      </c>
      <c r="B6619" s="2" t="s">
        <v>348</v>
      </c>
      <c r="C6619" s="2" t="s">
        <v>75</v>
      </c>
      <c r="D6619" s="2" t="s">
        <v>10</v>
      </c>
      <c r="E6619" s="2" t="s">
        <v>16</v>
      </c>
      <c r="F6619" s="2">
        <v>33.57</v>
      </c>
      <c r="G6619" s="2">
        <v>2</v>
      </c>
      <c r="H6619" s="2">
        <v>11.75</v>
      </c>
      <c r="I6619" t="str">
        <f t="shared" si="103"/>
        <v>Dec</v>
      </c>
      <c r="J6619">
        <f>YEAR(datas[[#This Row],[Order Date]])</f>
        <v>2023</v>
      </c>
    </row>
    <row r="6620" spans="1:10" ht="14.25" customHeight="1" x14ac:dyDescent="0.3">
      <c r="A6620" s="1">
        <v>45285</v>
      </c>
      <c r="B6620" s="2" t="s">
        <v>603</v>
      </c>
      <c r="C6620" s="2" t="s">
        <v>278</v>
      </c>
      <c r="D6620" s="2" t="s">
        <v>26</v>
      </c>
      <c r="E6620" s="2" t="s">
        <v>32</v>
      </c>
      <c r="F6620" s="2">
        <v>21.12</v>
      </c>
      <c r="G6620" s="2">
        <v>4</v>
      </c>
      <c r="H6620" s="2">
        <v>6.55</v>
      </c>
      <c r="I6620" t="str">
        <f t="shared" si="103"/>
        <v>Dec</v>
      </c>
      <c r="J6620">
        <f>YEAR(datas[[#This Row],[Order Date]])</f>
        <v>2023</v>
      </c>
    </row>
    <row r="6621" spans="1:10" ht="14.25" customHeight="1" x14ac:dyDescent="0.3">
      <c r="A6621" s="1">
        <v>45285</v>
      </c>
      <c r="B6621" s="2" t="s">
        <v>434</v>
      </c>
      <c r="C6621" s="2" t="s">
        <v>82</v>
      </c>
      <c r="D6621" s="2" t="s">
        <v>26</v>
      </c>
      <c r="E6621" s="2" t="s">
        <v>27</v>
      </c>
      <c r="F6621" s="2">
        <v>698.35</v>
      </c>
      <c r="G6621" s="2">
        <v>3</v>
      </c>
      <c r="H6621" s="2">
        <v>52.38</v>
      </c>
      <c r="I6621" t="str">
        <f t="shared" si="103"/>
        <v>Dec</v>
      </c>
      <c r="J6621">
        <f>YEAR(datas[[#This Row],[Order Date]])</f>
        <v>2023</v>
      </c>
    </row>
    <row r="6622" spans="1:10" ht="14.25" customHeight="1" x14ac:dyDescent="0.3">
      <c r="A6622" s="1">
        <v>45285</v>
      </c>
      <c r="B6622" s="2" t="s">
        <v>434</v>
      </c>
      <c r="C6622" s="2" t="s">
        <v>82</v>
      </c>
      <c r="D6622" s="2" t="s">
        <v>26</v>
      </c>
      <c r="E6622" s="2" t="s">
        <v>73</v>
      </c>
      <c r="F6622" s="2">
        <v>1747.25</v>
      </c>
      <c r="G6622" s="2">
        <v>5</v>
      </c>
      <c r="H6622" s="2">
        <v>629.01</v>
      </c>
      <c r="I6622" t="str">
        <f t="shared" si="103"/>
        <v>Dec</v>
      </c>
      <c r="J6622">
        <f>YEAR(datas[[#This Row],[Order Date]])</f>
        <v>2023</v>
      </c>
    </row>
    <row r="6623" spans="1:10" ht="14.25" customHeight="1" x14ac:dyDescent="0.3">
      <c r="A6623" s="1">
        <v>45285</v>
      </c>
      <c r="B6623" s="2" t="s">
        <v>297</v>
      </c>
      <c r="C6623" s="2" t="s">
        <v>55</v>
      </c>
      <c r="D6623" s="2" t="s">
        <v>26</v>
      </c>
      <c r="E6623" s="2" t="s">
        <v>73</v>
      </c>
      <c r="F6623" s="2">
        <v>35.450000000000003</v>
      </c>
      <c r="G6623" s="2">
        <v>1</v>
      </c>
      <c r="H6623" s="2">
        <v>-24.1</v>
      </c>
      <c r="I6623" t="str">
        <f t="shared" si="103"/>
        <v>Dec</v>
      </c>
      <c r="J6623">
        <f>YEAR(datas[[#This Row],[Order Date]])</f>
        <v>2023</v>
      </c>
    </row>
    <row r="6624" spans="1:10" ht="14.25" customHeight="1" x14ac:dyDescent="0.3">
      <c r="A6624" s="1">
        <v>45285</v>
      </c>
      <c r="B6624" s="2" t="s">
        <v>297</v>
      </c>
      <c r="C6624" s="2" t="s">
        <v>55</v>
      </c>
      <c r="D6624" s="2" t="s">
        <v>28</v>
      </c>
      <c r="E6624" s="2" t="s">
        <v>136</v>
      </c>
      <c r="F6624" s="2">
        <v>269.97000000000003</v>
      </c>
      <c r="G6624" s="2">
        <v>2</v>
      </c>
      <c r="H6624" s="2">
        <v>-386.96</v>
      </c>
      <c r="I6624" t="str">
        <f t="shared" si="103"/>
        <v>Dec</v>
      </c>
      <c r="J6624">
        <f>YEAR(datas[[#This Row],[Order Date]])</f>
        <v>2023</v>
      </c>
    </row>
    <row r="6625" spans="1:10" ht="14.25" customHeight="1" x14ac:dyDescent="0.3">
      <c r="A6625" s="1">
        <v>45285</v>
      </c>
      <c r="B6625" s="2" t="s">
        <v>297</v>
      </c>
      <c r="C6625" s="2" t="s">
        <v>55</v>
      </c>
      <c r="D6625" s="2" t="s">
        <v>28</v>
      </c>
      <c r="E6625" s="2" t="s">
        <v>34</v>
      </c>
      <c r="F6625" s="2">
        <v>45.12</v>
      </c>
      <c r="G6625" s="2">
        <v>3</v>
      </c>
      <c r="H6625" s="2">
        <v>-7.9</v>
      </c>
      <c r="I6625" t="str">
        <f t="shared" si="103"/>
        <v>Dec</v>
      </c>
      <c r="J6625">
        <f>YEAR(datas[[#This Row],[Order Date]])</f>
        <v>2023</v>
      </c>
    </row>
    <row r="6626" spans="1:10" ht="14.25" customHeight="1" x14ac:dyDescent="0.3">
      <c r="A6626" s="1">
        <v>45285</v>
      </c>
      <c r="B6626" s="2" t="s">
        <v>297</v>
      </c>
      <c r="C6626" s="2" t="s">
        <v>55</v>
      </c>
      <c r="D6626" s="2" t="s">
        <v>28</v>
      </c>
      <c r="E6626" s="2" t="s">
        <v>34</v>
      </c>
      <c r="F6626" s="2">
        <v>100.8</v>
      </c>
      <c r="G6626" s="2">
        <v>2</v>
      </c>
      <c r="H6626" s="2">
        <v>21.42</v>
      </c>
      <c r="I6626" t="str">
        <f t="shared" si="103"/>
        <v>Dec</v>
      </c>
      <c r="J6626">
        <f>YEAR(datas[[#This Row],[Order Date]])</f>
        <v>2023</v>
      </c>
    </row>
    <row r="6627" spans="1:10" ht="14.25" customHeight="1" x14ac:dyDescent="0.3">
      <c r="A6627" s="1">
        <v>45285</v>
      </c>
      <c r="B6627" s="2" t="s">
        <v>297</v>
      </c>
      <c r="C6627" s="2" t="s">
        <v>55</v>
      </c>
      <c r="D6627" s="2" t="s">
        <v>26</v>
      </c>
      <c r="E6627" s="2" t="s">
        <v>27</v>
      </c>
      <c r="F6627" s="2">
        <v>47.97</v>
      </c>
      <c r="G6627" s="2">
        <v>2</v>
      </c>
      <c r="H6627" s="2">
        <v>4.2</v>
      </c>
      <c r="I6627" t="str">
        <f t="shared" si="103"/>
        <v>Dec</v>
      </c>
      <c r="J6627">
        <f>YEAR(datas[[#This Row],[Order Date]])</f>
        <v>2023</v>
      </c>
    </row>
    <row r="6628" spans="1:10" ht="14.25" customHeight="1" x14ac:dyDescent="0.3">
      <c r="A6628" s="1">
        <v>45285</v>
      </c>
      <c r="B6628" s="2" t="s">
        <v>576</v>
      </c>
      <c r="C6628" s="2" t="s">
        <v>75</v>
      </c>
      <c r="D6628" s="2" t="s">
        <v>26</v>
      </c>
      <c r="E6628" s="2" t="s">
        <v>73</v>
      </c>
      <c r="F6628" s="2">
        <v>313.18</v>
      </c>
      <c r="G6628" s="2">
        <v>2</v>
      </c>
      <c r="H6628" s="2">
        <v>-120.05</v>
      </c>
      <c r="I6628" t="str">
        <f t="shared" si="103"/>
        <v>Dec</v>
      </c>
      <c r="J6628">
        <f>YEAR(datas[[#This Row],[Order Date]])</f>
        <v>2023</v>
      </c>
    </row>
    <row r="6629" spans="1:10" ht="14.25" customHeight="1" x14ac:dyDescent="0.3">
      <c r="A6629" s="1">
        <v>45285</v>
      </c>
      <c r="B6629" s="2" t="s">
        <v>576</v>
      </c>
      <c r="C6629" s="2" t="s">
        <v>75</v>
      </c>
      <c r="D6629" s="2" t="s">
        <v>26</v>
      </c>
      <c r="E6629" s="2" t="s">
        <v>27</v>
      </c>
      <c r="F6629" s="2">
        <v>866.65</v>
      </c>
      <c r="G6629" s="2">
        <v>3</v>
      </c>
      <c r="H6629" s="2">
        <v>173.33</v>
      </c>
      <c r="I6629" t="str">
        <f t="shared" si="103"/>
        <v>Dec</v>
      </c>
      <c r="J6629">
        <f>YEAR(datas[[#This Row],[Order Date]])</f>
        <v>2023</v>
      </c>
    </row>
    <row r="6630" spans="1:10" ht="14.25" customHeight="1" x14ac:dyDescent="0.3">
      <c r="A6630" s="1">
        <v>45285</v>
      </c>
      <c r="B6630" s="2" t="s">
        <v>675</v>
      </c>
      <c r="C6630" s="2" t="s">
        <v>57</v>
      </c>
      <c r="D6630" s="2" t="s">
        <v>10</v>
      </c>
      <c r="E6630" s="2" t="s">
        <v>19</v>
      </c>
      <c r="F6630" s="2">
        <v>19.89</v>
      </c>
      <c r="G6630" s="2">
        <v>9</v>
      </c>
      <c r="H6630" s="2">
        <v>5.37</v>
      </c>
      <c r="I6630" t="str">
        <f t="shared" si="103"/>
        <v>Dec</v>
      </c>
      <c r="J6630">
        <f>YEAR(datas[[#This Row],[Order Date]])</f>
        <v>2023</v>
      </c>
    </row>
    <row r="6631" spans="1:10" ht="14.25" customHeight="1" x14ac:dyDescent="0.3">
      <c r="A6631" s="1">
        <v>45285</v>
      </c>
      <c r="B6631" s="2" t="s">
        <v>675</v>
      </c>
      <c r="C6631" s="2" t="s">
        <v>57</v>
      </c>
      <c r="D6631" s="2" t="s">
        <v>28</v>
      </c>
      <c r="E6631" s="2" t="s">
        <v>34</v>
      </c>
      <c r="F6631" s="2">
        <v>399.98</v>
      </c>
      <c r="G6631" s="2">
        <v>2</v>
      </c>
      <c r="H6631" s="2">
        <v>171.99</v>
      </c>
      <c r="I6631" t="str">
        <f t="shared" si="103"/>
        <v>Dec</v>
      </c>
      <c r="J6631">
        <f>YEAR(datas[[#This Row],[Order Date]])</f>
        <v>2023</v>
      </c>
    </row>
    <row r="6632" spans="1:10" ht="14.25" customHeight="1" x14ac:dyDescent="0.3">
      <c r="A6632" s="1">
        <v>45285</v>
      </c>
      <c r="B6632" s="2" t="s">
        <v>675</v>
      </c>
      <c r="C6632" s="2" t="s">
        <v>57</v>
      </c>
      <c r="D6632" s="2" t="s">
        <v>26</v>
      </c>
      <c r="E6632" s="2" t="s">
        <v>32</v>
      </c>
      <c r="F6632" s="2">
        <v>343.85</v>
      </c>
      <c r="G6632" s="2">
        <v>5</v>
      </c>
      <c r="H6632" s="2">
        <v>137.54</v>
      </c>
      <c r="I6632" t="str">
        <f t="shared" si="103"/>
        <v>Dec</v>
      </c>
      <c r="J6632">
        <f>YEAR(datas[[#This Row],[Order Date]])</f>
        <v>2023</v>
      </c>
    </row>
    <row r="6633" spans="1:10" ht="14.25" customHeight="1" x14ac:dyDescent="0.3">
      <c r="A6633" s="1">
        <v>45285</v>
      </c>
      <c r="B6633" s="2" t="s">
        <v>675</v>
      </c>
      <c r="C6633" s="2" t="s">
        <v>57</v>
      </c>
      <c r="D6633" s="2" t="s">
        <v>10</v>
      </c>
      <c r="E6633" s="2" t="s">
        <v>11</v>
      </c>
      <c r="F6633" s="2">
        <v>106.32</v>
      </c>
      <c r="G6633" s="2">
        <v>3</v>
      </c>
      <c r="H6633" s="2">
        <v>49.97</v>
      </c>
      <c r="I6633" t="str">
        <f t="shared" si="103"/>
        <v>Dec</v>
      </c>
      <c r="J6633">
        <f>YEAR(datas[[#This Row],[Order Date]])</f>
        <v>2023</v>
      </c>
    </row>
    <row r="6634" spans="1:10" ht="14.25" customHeight="1" x14ac:dyDescent="0.3">
      <c r="A6634" s="1">
        <v>45285</v>
      </c>
      <c r="B6634" s="2" t="s">
        <v>434</v>
      </c>
      <c r="C6634" s="2" t="s">
        <v>75</v>
      </c>
      <c r="D6634" s="2" t="s">
        <v>26</v>
      </c>
      <c r="E6634" s="2" t="s">
        <v>27</v>
      </c>
      <c r="F6634" s="2">
        <v>2563.06</v>
      </c>
      <c r="G6634" s="2">
        <v>8</v>
      </c>
      <c r="H6634" s="2">
        <v>313.26</v>
      </c>
      <c r="I6634" t="str">
        <f t="shared" si="103"/>
        <v>Dec</v>
      </c>
      <c r="J6634">
        <f>YEAR(datas[[#This Row],[Order Date]])</f>
        <v>2023</v>
      </c>
    </row>
    <row r="6635" spans="1:10" ht="14.25" customHeight="1" x14ac:dyDescent="0.3">
      <c r="A6635" s="1">
        <v>45286</v>
      </c>
      <c r="B6635" s="2" t="s">
        <v>630</v>
      </c>
      <c r="C6635" s="2" t="s">
        <v>82</v>
      </c>
      <c r="D6635" s="2" t="s">
        <v>10</v>
      </c>
      <c r="E6635" s="2" t="s">
        <v>11</v>
      </c>
      <c r="F6635" s="2">
        <v>33.9</v>
      </c>
      <c r="G6635" s="2">
        <v>5</v>
      </c>
      <c r="H6635" s="2">
        <v>15.59</v>
      </c>
      <c r="I6635" t="str">
        <f t="shared" si="103"/>
        <v>Dec</v>
      </c>
      <c r="J6635">
        <f>YEAR(datas[[#This Row],[Order Date]])</f>
        <v>2023</v>
      </c>
    </row>
    <row r="6636" spans="1:10" ht="14.25" customHeight="1" x14ac:dyDescent="0.3">
      <c r="A6636" s="1">
        <v>45286</v>
      </c>
      <c r="B6636" s="2" t="s">
        <v>241</v>
      </c>
      <c r="C6636" s="2" t="s">
        <v>75</v>
      </c>
      <c r="D6636" s="2" t="s">
        <v>28</v>
      </c>
      <c r="E6636" s="2" t="s">
        <v>34</v>
      </c>
      <c r="F6636" s="2">
        <v>89.97</v>
      </c>
      <c r="G6636" s="2">
        <v>3</v>
      </c>
      <c r="H6636" s="2">
        <v>18.89</v>
      </c>
      <c r="I6636" t="str">
        <f t="shared" si="103"/>
        <v>Dec</v>
      </c>
      <c r="J6636">
        <f>YEAR(datas[[#This Row],[Order Date]])</f>
        <v>2023</v>
      </c>
    </row>
    <row r="6637" spans="1:10" ht="14.25" customHeight="1" x14ac:dyDescent="0.3">
      <c r="A6637" s="1">
        <v>45286</v>
      </c>
      <c r="B6637" s="2" t="s">
        <v>634</v>
      </c>
      <c r="C6637" s="2" t="s">
        <v>126</v>
      </c>
      <c r="D6637" s="2" t="s">
        <v>10</v>
      </c>
      <c r="E6637" s="2" t="s">
        <v>53</v>
      </c>
      <c r="F6637" s="2">
        <v>18.72</v>
      </c>
      <c r="G6637" s="2">
        <v>2</v>
      </c>
      <c r="H6637" s="2">
        <v>3.51</v>
      </c>
      <c r="I6637" t="str">
        <f t="shared" si="103"/>
        <v>Dec</v>
      </c>
      <c r="J6637">
        <f>YEAR(datas[[#This Row],[Order Date]])</f>
        <v>2023</v>
      </c>
    </row>
    <row r="6638" spans="1:10" ht="14.25" customHeight="1" x14ac:dyDescent="0.3">
      <c r="A6638" s="1">
        <v>45286</v>
      </c>
      <c r="B6638" s="2" t="s">
        <v>626</v>
      </c>
      <c r="C6638" s="2" t="s">
        <v>126</v>
      </c>
      <c r="D6638" s="2" t="s">
        <v>10</v>
      </c>
      <c r="E6638" s="2" t="s">
        <v>19</v>
      </c>
      <c r="F6638" s="2">
        <v>11.33</v>
      </c>
      <c r="G6638" s="2">
        <v>2</v>
      </c>
      <c r="H6638" s="2">
        <v>2.5499999999999998</v>
      </c>
      <c r="I6638" t="str">
        <f t="shared" si="103"/>
        <v>Dec</v>
      </c>
      <c r="J6638">
        <f>YEAR(datas[[#This Row],[Order Date]])</f>
        <v>2023</v>
      </c>
    </row>
    <row r="6639" spans="1:10" ht="14.25" customHeight="1" x14ac:dyDescent="0.3">
      <c r="A6639" s="1">
        <v>45286</v>
      </c>
      <c r="B6639" s="2" t="s">
        <v>482</v>
      </c>
      <c r="C6639" s="2" t="s">
        <v>21</v>
      </c>
      <c r="D6639" s="2" t="s">
        <v>10</v>
      </c>
      <c r="E6639" s="2" t="s">
        <v>95</v>
      </c>
      <c r="F6639" s="2">
        <v>17.760000000000002</v>
      </c>
      <c r="G6639" s="2">
        <v>2</v>
      </c>
      <c r="H6639" s="2">
        <v>4.97</v>
      </c>
      <c r="I6639" t="str">
        <f t="shared" si="103"/>
        <v>Dec</v>
      </c>
      <c r="J6639">
        <f>YEAR(datas[[#This Row],[Order Date]])</f>
        <v>2023</v>
      </c>
    </row>
    <row r="6640" spans="1:10" ht="14.25" customHeight="1" x14ac:dyDescent="0.3">
      <c r="A6640" s="1">
        <v>45286</v>
      </c>
      <c r="B6640" s="2" t="s">
        <v>482</v>
      </c>
      <c r="C6640" s="2" t="s">
        <v>21</v>
      </c>
      <c r="D6640" s="2" t="s">
        <v>28</v>
      </c>
      <c r="E6640" s="2" t="s">
        <v>29</v>
      </c>
      <c r="F6640" s="2">
        <v>302.38</v>
      </c>
      <c r="G6640" s="2">
        <v>2</v>
      </c>
      <c r="H6640" s="2">
        <v>30.24</v>
      </c>
      <c r="I6640" t="str">
        <f t="shared" si="103"/>
        <v>Dec</v>
      </c>
      <c r="J6640">
        <f>YEAR(datas[[#This Row],[Order Date]])</f>
        <v>2023</v>
      </c>
    </row>
    <row r="6641" spans="1:10" ht="14.25" customHeight="1" x14ac:dyDescent="0.3">
      <c r="A6641" s="1">
        <v>45286</v>
      </c>
      <c r="B6641" s="2" t="s">
        <v>482</v>
      </c>
      <c r="C6641" s="2" t="s">
        <v>21</v>
      </c>
      <c r="D6641" s="2" t="s">
        <v>26</v>
      </c>
      <c r="E6641" s="2" t="s">
        <v>27</v>
      </c>
      <c r="F6641" s="2">
        <v>146.35</v>
      </c>
      <c r="G6641" s="2">
        <v>3</v>
      </c>
      <c r="H6641" s="2">
        <v>-5.49</v>
      </c>
      <c r="I6641" t="str">
        <f t="shared" si="103"/>
        <v>Dec</v>
      </c>
      <c r="J6641">
        <f>YEAR(datas[[#This Row],[Order Date]])</f>
        <v>2023</v>
      </c>
    </row>
    <row r="6642" spans="1:10" ht="14.25" customHeight="1" x14ac:dyDescent="0.3">
      <c r="A6642" s="1">
        <v>45286</v>
      </c>
      <c r="B6642" s="2" t="s">
        <v>482</v>
      </c>
      <c r="C6642" s="2" t="s">
        <v>21</v>
      </c>
      <c r="D6642" s="2" t="s">
        <v>10</v>
      </c>
      <c r="E6642" s="2" t="s">
        <v>53</v>
      </c>
      <c r="F6642" s="2">
        <v>7.9</v>
      </c>
      <c r="G6642" s="2">
        <v>2</v>
      </c>
      <c r="H6642" s="2">
        <v>2.0499999999999998</v>
      </c>
      <c r="I6642" t="str">
        <f t="shared" si="103"/>
        <v>Dec</v>
      </c>
      <c r="J6642">
        <f>YEAR(datas[[#This Row],[Order Date]])</f>
        <v>2023</v>
      </c>
    </row>
    <row r="6643" spans="1:10" ht="14.25" customHeight="1" x14ac:dyDescent="0.3">
      <c r="A6643" s="1">
        <v>45286</v>
      </c>
      <c r="B6643" s="2" t="s">
        <v>482</v>
      </c>
      <c r="C6643" s="2" t="s">
        <v>21</v>
      </c>
      <c r="D6643" s="2" t="s">
        <v>26</v>
      </c>
      <c r="E6643" s="2" t="s">
        <v>73</v>
      </c>
      <c r="F6643" s="2">
        <v>902.71</v>
      </c>
      <c r="G6643" s="2">
        <v>3</v>
      </c>
      <c r="H6643" s="2">
        <v>33.85</v>
      </c>
      <c r="I6643" t="str">
        <f t="shared" si="103"/>
        <v>Dec</v>
      </c>
      <c r="J6643">
        <f>YEAR(datas[[#This Row],[Order Date]])</f>
        <v>2023</v>
      </c>
    </row>
    <row r="6644" spans="1:10" ht="14.25" customHeight="1" x14ac:dyDescent="0.3">
      <c r="A6644" s="1">
        <v>45286</v>
      </c>
      <c r="B6644" s="2" t="s">
        <v>482</v>
      </c>
      <c r="C6644" s="2" t="s">
        <v>21</v>
      </c>
      <c r="D6644" s="2" t="s">
        <v>10</v>
      </c>
      <c r="E6644" s="2" t="s">
        <v>19</v>
      </c>
      <c r="F6644" s="2">
        <v>53.97</v>
      </c>
      <c r="G6644" s="2">
        <v>3</v>
      </c>
      <c r="H6644" s="2">
        <v>15.11</v>
      </c>
      <c r="I6644" t="str">
        <f t="shared" si="103"/>
        <v>Dec</v>
      </c>
      <c r="J6644">
        <f>YEAR(datas[[#This Row],[Order Date]])</f>
        <v>2023</v>
      </c>
    </row>
    <row r="6645" spans="1:10" ht="14.25" customHeight="1" x14ac:dyDescent="0.3">
      <c r="A6645" s="1">
        <v>45286</v>
      </c>
      <c r="B6645" s="2" t="s">
        <v>726</v>
      </c>
      <c r="C6645" s="2" t="s">
        <v>87</v>
      </c>
      <c r="D6645" s="2" t="s">
        <v>26</v>
      </c>
      <c r="E6645" s="2" t="s">
        <v>27</v>
      </c>
      <c r="F6645" s="2">
        <v>212.94</v>
      </c>
      <c r="G6645" s="2">
        <v>3</v>
      </c>
      <c r="H6645" s="2">
        <v>25.55</v>
      </c>
      <c r="I6645" t="str">
        <f t="shared" si="103"/>
        <v>Dec</v>
      </c>
      <c r="J6645">
        <f>YEAR(datas[[#This Row],[Order Date]])</f>
        <v>2023</v>
      </c>
    </row>
    <row r="6646" spans="1:10" ht="14.25" customHeight="1" x14ac:dyDescent="0.3">
      <c r="A6646" s="1">
        <v>45286</v>
      </c>
      <c r="B6646" s="2" t="s">
        <v>726</v>
      </c>
      <c r="C6646" s="2" t="s">
        <v>87</v>
      </c>
      <c r="D6646" s="2" t="s">
        <v>10</v>
      </c>
      <c r="E6646" s="2" t="s">
        <v>53</v>
      </c>
      <c r="F6646" s="2">
        <v>26.49</v>
      </c>
      <c r="G6646" s="2">
        <v>1</v>
      </c>
      <c r="H6646" s="2">
        <v>7.42</v>
      </c>
      <c r="I6646" t="str">
        <f t="shared" si="103"/>
        <v>Dec</v>
      </c>
      <c r="J6646">
        <f>YEAR(datas[[#This Row],[Order Date]])</f>
        <v>2023</v>
      </c>
    </row>
    <row r="6647" spans="1:10" ht="14.25" customHeight="1" x14ac:dyDescent="0.3">
      <c r="A6647" s="1">
        <v>45286</v>
      </c>
      <c r="B6647" s="2" t="s">
        <v>268</v>
      </c>
      <c r="C6647" s="2" t="s">
        <v>75</v>
      </c>
      <c r="D6647" s="2" t="s">
        <v>10</v>
      </c>
      <c r="E6647" s="2" t="s">
        <v>16</v>
      </c>
      <c r="F6647" s="2">
        <v>4.99</v>
      </c>
      <c r="G6647" s="2">
        <v>3</v>
      </c>
      <c r="H6647" s="2">
        <v>1.68</v>
      </c>
      <c r="I6647" t="str">
        <f t="shared" si="103"/>
        <v>Dec</v>
      </c>
      <c r="J6647">
        <f>YEAR(datas[[#This Row],[Order Date]])</f>
        <v>2023</v>
      </c>
    </row>
    <row r="6648" spans="1:10" ht="14.25" customHeight="1" x14ac:dyDescent="0.3">
      <c r="A6648" s="1">
        <v>45287</v>
      </c>
      <c r="B6648" s="2" t="s">
        <v>262</v>
      </c>
      <c r="C6648" s="2" t="s">
        <v>13</v>
      </c>
      <c r="D6648" s="2" t="s">
        <v>26</v>
      </c>
      <c r="E6648" s="2" t="s">
        <v>27</v>
      </c>
      <c r="F6648" s="2">
        <v>845.49</v>
      </c>
      <c r="G6648" s="2">
        <v>8</v>
      </c>
      <c r="H6648" s="2">
        <v>-12.08</v>
      </c>
      <c r="I6648" t="str">
        <f t="shared" si="103"/>
        <v>Dec</v>
      </c>
      <c r="J6648">
        <f>YEAR(datas[[#This Row],[Order Date]])</f>
        <v>2023</v>
      </c>
    </row>
    <row r="6649" spans="1:10" ht="14.25" customHeight="1" x14ac:dyDescent="0.3">
      <c r="A6649" s="1">
        <v>45287</v>
      </c>
      <c r="B6649" s="2" t="s">
        <v>784</v>
      </c>
      <c r="C6649" s="2" t="s">
        <v>9</v>
      </c>
      <c r="D6649" s="2" t="s">
        <v>10</v>
      </c>
      <c r="E6649" s="2" t="s">
        <v>11</v>
      </c>
      <c r="F6649" s="2">
        <v>10.37</v>
      </c>
      <c r="G6649" s="2">
        <v>2</v>
      </c>
      <c r="H6649" s="2">
        <v>3.63</v>
      </c>
      <c r="I6649" t="str">
        <f t="shared" si="103"/>
        <v>Dec</v>
      </c>
      <c r="J6649">
        <f>YEAR(datas[[#This Row],[Order Date]])</f>
        <v>2023</v>
      </c>
    </row>
    <row r="6650" spans="1:10" ht="14.25" customHeight="1" x14ac:dyDescent="0.3">
      <c r="A6650" s="1">
        <v>45287</v>
      </c>
      <c r="B6650" s="2" t="s">
        <v>784</v>
      </c>
      <c r="C6650" s="2" t="s">
        <v>9</v>
      </c>
      <c r="D6650" s="2" t="s">
        <v>10</v>
      </c>
      <c r="E6650" s="2" t="s">
        <v>11</v>
      </c>
      <c r="F6650" s="2">
        <v>23.68</v>
      </c>
      <c r="G6650" s="2">
        <v>4</v>
      </c>
      <c r="H6650" s="2">
        <v>7.4</v>
      </c>
      <c r="I6650" t="str">
        <f t="shared" si="103"/>
        <v>Dec</v>
      </c>
      <c r="J6650">
        <f>YEAR(datas[[#This Row],[Order Date]])</f>
        <v>2023</v>
      </c>
    </row>
    <row r="6651" spans="1:10" ht="14.25" customHeight="1" x14ac:dyDescent="0.3">
      <c r="A6651" s="1">
        <v>45287</v>
      </c>
      <c r="B6651" s="2" t="s">
        <v>433</v>
      </c>
      <c r="C6651" s="2" t="s">
        <v>47</v>
      </c>
      <c r="D6651" s="2" t="s">
        <v>28</v>
      </c>
      <c r="E6651" s="2" t="s">
        <v>34</v>
      </c>
      <c r="F6651" s="2">
        <v>40</v>
      </c>
      <c r="G6651" s="2">
        <v>2</v>
      </c>
      <c r="H6651" s="2">
        <v>0.5</v>
      </c>
      <c r="I6651" t="str">
        <f t="shared" si="103"/>
        <v>Dec</v>
      </c>
      <c r="J6651">
        <f>YEAR(datas[[#This Row],[Order Date]])</f>
        <v>2023</v>
      </c>
    </row>
    <row r="6652" spans="1:10" ht="14.25" customHeight="1" x14ac:dyDescent="0.3">
      <c r="A6652" s="1">
        <v>45287</v>
      </c>
      <c r="B6652" s="2" t="s">
        <v>374</v>
      </c>
      <c r="C6652" s="2" t="s">
        <v>21</v>
      </c>
      <c r="D6652" s="2" t="s">
        <v>10</v>
      </c>
      <c r="E6652" s="2" t="s">
        <v>14</v>
      </c>
      <c r="F6652" s="2">
        <v>20.16</v>
      </c>
      <c r="G6652" s="2">
        <v>7</v>
      </c>
      <c r="H6652" s="2">
        <v>9.8800000000000008</v>
      </c>
      <c r="I6652" t="str">
        <f t="shared" si="103"/>
        <v>Dec</v>
      </c>
      <c r="J6652">
        <f>YEAR(datas[[#This Row],[Order Date]])</f>
        <v>2023</v>
      </c>
    </row>
    <row r="6653" spans="1:10" ht="14.25" customHeight="1" x14ac:dyDescent="0.3">
      <c r="A6653" s="1">
        <v>45287</v>
      </c>
      <c r="B6653" s="2" t="s">
        <v>547</v>
      </c>
      <c r="C6653" s="2" t="s">
        <v>47</v>
      </c>
      <c r="D6653" s="2" t="s">
        <v>10</v>
      </c>
      <c r="E6653" s="2" t="s">
        <v>30</v>
      </c>
      <c r="F6653" s="2">
        <v>17.18</v>
      </c>
      <c r="G6653" s="2">
        <v>6</v>
      </c>
      <c r="H6653" s="2">
        <v>6.23</v>
      </c>
      <c r="I6653" t="str">
        <f t="shared" si="103"/>
        <v>Dec</v>
      </c>
      <c r="J6653">
        <f>YEAR(datas[[#This Row],[Order Date]])</f>
        <v>2023</v>
      </c>
    </row>
    <row r="6654" spans="1:10" ht="14.25" customHeight="1" x14ac:dyDescent="0.3">
      <c r="A6654" s="1">
        <v>45287</v>
      </c>
      <c r="B6654" s="2" t="s">
        <v>750</v>
      </c>
      <c r="C6654" s="2" t="s">
        <v>25</v>
      </c>
      <c r="D6654" s="2" t="s">
        <v>10</v>
      </c>
      <c r="E6654" s="2" t="s">
        <v>14</v>
      </c>
      <c r="F6654" s="2">
        <v>2.61</v>
      </c>
      <c r="G6654" s="2">
        <v>1</v>
      </c>
      <c r="H6654" s="2">
        <v>1.2</v>
      </c>
      <c r="I6654" t="str">
        <f t="shared" si="103"/>
        <v>Dec</v>
      </c>
      <c r="J6654">
        <f>YEAR(datas[[#This Row],[Order Date]])</f>
        <v>2023</v>
      </c>
    </row>
    <row r="6655" spans="1:10" ht="14.25" customHeight="1" x14ac:dyDescent="0.3">
      <c r="A6655" s="1">
        <v>45289</v>
      </c>
      <c r="B6655" s="2" t="s">
        <v>98</v>
      </c>
      <c r="C6655" s="2" t="s">
        <v>79</v>
      </c>
      <c r="D6655" s="2" t="s">
        <v>26</v>
      </c>
      <c r="E6655" s="2" t="s">
        <v>27</v>
      </c>
      <c r="F6655" s="2">
        <v>754.45</v>
      </c>
      <c r="G6655" s="2">
        <v>5</v>
      </c>
      <c r="H6655" s="2">
        <v>60.36</v>
      </c>
      <c r="I6655" t="str">
        <f t="shared" si="103"/>
        <v>Dec</v>
      </c>
      <c r="J6655">
        <f>YEAR(datas[[#This Row],[Order Date]])</f>
        <v>2023</v>
      </c>
    </row>
    <row r="6656" spans="1:10" ht="14.25" customHeight="1" x14ac:dyDescent="0.3">
      <c r="A6656" s="1">
        <v>45289</v>
      </c>
      <c r="B6656" s="2" t="s">
        <v>128</v>
      </c>
      <c r="C6656" s="2" t="s">
        <v>13</v>
      </c>
      <c r="D6656" s="2" t="s">
        <v>10</v>
      </c>
      <c r="E6656" s="2" t="s">
        <v>11</v>
      </c>
      <c r="F6656" s="2">
        <v>186.05</v>
      </c>
      <c r="G6656" s="2">
        <v>6</v>
      </c>
      <c r="H6656" s="2">
        <v>67.44</v>
      </c>
      <c r="I6656" t="str">
        <f t="shared" si="103"/>
        <v>Dec</v>
      </c>
      <c r="J6656">
        <f>YEAR(datas[[#This Row],[Order Date]])</f>
        <v>2023</v>
      </c>
    </row>
    <row r="6657" spans="1:10" ht="14.25" customHeight="1" x14ac:dyDescent="0.3">
      <c r="A6657" s="1">
        <v>45289</v>
      </c>
      <c r="B6657" s="2" t="s">
        <v>706</v>
      </c>
      <c r="C6657" s="2" t="s">
        <v>62</v>
      </c>
      <c r="D6657" s="2" t="s">
        <v>10</v>
      </c>
      <c r="E6657" s="2" t="s">
        <v>16</v>
      </c>
      <c r="F6657" s="2">
        <v>38.090000000000003</v>
      </c>
      <c r="G6657" s="2">
        <v>4</v>
      </c>
      <c r="H6657" s="2">
        <v>-27.93</v>
      </c>
      <c r="I6657" t="str">
        <f t="shared" si="103"/>
        <v>Dec</v>
      </c>
      <c r="J6657">
        <f>YEAR(datas[[#This Row],[Order Date]])</f>
        <v>2023</v>
      </c>
    </row>
    <row r="6658" spans="1:10" ht="14.25" customHeight="1" x14ac:dyDescent="0.3">
      <c r="A6658" s="1">
        <v>45289</v>
      </c>
      <c r="B6658" s="2" t="s">
        <v>706</v>
      </c>
      <c r="C6658" s="2" t="s">
        <v>62</v>
      </c>
      <c r="D6658" s="2" t="s">
        <v>10</v>
      </c>
      <c r="E6658" s="2" t="s">
        <v>16</v>
      </c>
      <c r="F6658" s="2">
        <v>2.81</v>
      </c>
      <c r="G6658" s="2">
        <v>3</v>
      </c>
      <c r="H6658" s="2">
        <v>-1.97</v>
      </c>
      <c r="I6658" t="str">
        <f t="shared" si="103"/>
        <v>Dec</v>
      </c>
      <c r="J6658">
        <f>YEAR(datas[[#This Row],[Order Date]])</f>
        <v>2023</v>
      </c>
    </row>
    <row r="6659" spans="1:10" ht="14.25" customHeight="1" x14ac:dyDescent="0.3">
      <c r="A6659" s="1">
        <v>45289</v>
      </c>
      <c r="B6659" s="2" t="s">
        <v>158</v>
      </c>
      <c r="C6659" s="2" t="s">
        <v>469</v>
      </c>
      <c r="D6659" s="2" t="s">
        <v>26</v>
      </c>
      <c r="E6659" s="2" t="s">
        <v>32</v>
      </c>
      <c r="F6659" s="2">
        <v>70.56</v>
      </c>
      <c r="G6659" s="2">
        <v>6</v>
      </c>
      <c r="H6659" s="2">
        <v>23.99</v>
      </c>
      <c r="I6659" t="str">
        <f t="shared" ref="I6659:I6722" si="104">TEXT(A6659,"mmm")</f>
        <v>Dec</v>
      </c>
      <c r="J6659">
        <f>YEAR(datas[[#This Row],[Order Date]])</f>
        <v>2023</v>
      </c>
    </row>
    <row r="6660" spans="1:10" ht="14.25" customHeight="1" x14ac:dyDescent="0.3">
      <c r="A6660" s="1">
        <v>45289</v>
      </c>
      <c r="B6660" s="2" t="s">
        <v>158</v>
      </c>
      <c r="C6660" s="2" t="s">
        <v>469</v>
      </c>
      <c r="D6660" s="2" t="s">
        <v>10</v>
      </c>
      <c r="E6660" s="2" t="s">
        <v>53</v>
      </c>
      <c r="F6660" s="2">
        <v>81.96</v>
      </c>
      <c r="G6660" s="2">
        <v>2</v>
      </c>
      <c r="H6660" s="2">
        <v>22.95</v>
      </c>
      <c r="I6660" t="str">
        <f t="shared" si="104"/>
        <v>Dec</v>
      </c>
      <c r="J6660">
        <f>YEAR(datas[[#This Row],[Order Date]])</f>
        <v>2023</v>
      </c>
    </row>
    <row r="6661" spans="1:10" ht="14.25" customHeight="1" x14ac:dyDescent="0.3">
      <c r="A6661" s="1">
        <v>45289</v>
      </c>
      <c r="B6661" s="2" t="s">
        <v>840</v>
      </c>
      <c r="C6661" s="2" t="s">
        <v>21</v>
      </c>
      <c r="D6661" s="2" t="s">
        <v>10</v>
      </c>
      <c r="E6661" s="2" t="s">
        <v>16</v>
      </c>
      <c r="F6661" s="2">
        <v>11.23</v>
      </c>
      <c r="G6661" s="2">
        <v>3</v>
      </c>
      <c r="H6661" s="2">
        <v>3.93</v>
      </c>
      <c r="I6661" t="str">
        <f t="shared" si="104"/>
        <v>Dec</v>
      </c>
      <c r="J6661">
        <f>YEAR(datas[[#This Row],[Order Date]])</f>
        <v>2023</v>
      </c>
    </row>
    <row r="6662" spans="1:10" ht="14.25" customHeight="1" x14ac:dyDescent="0.3">
      <c r="A6662" s="1">
        <v>45289</v>
      </c>
      <c r="B6662" s="2" t="s">
        <v>387</v>
      </c>
      <c r="C6662" s="2" t="s">
        <v>52</v>
      </c>
      <c r="D6662" s="2" t="s">
        <v>10</v>
      </c>
      <c r="E6662" s="2" t="s">
        <v>41</v>
      </c>
      <c r="F6662" s="2">
        <v>27.79</v>
      </c>
      <c r="G6662" s="2">
        <v>3</v>
      </c>
      <c r="H6662" s="2">
        <v>10.42</v>
      </c>
      <c r="I6662" t="str">
        <f t="shared" si="104"/>
        <v>Dec</v>
      </c>
      <c r="J6662">
        <f>YEAR(datas[[#This Row],[Order Date]])</f>
        <v>2023</v>
      </c>
    </row>
    <row r="6663" spans="1:10" ht="14.25" customHeight="1" x14ac:dyDescent="0.3">
      <c r="A6663" s="1">
        <v>45289</v>
      </c>
      <c r="B6663" s="2" t="s">
        <v>231</v>
      </c>
      <c r="C6663" s="2" t="s">
        <v>64</v>
      </c>
      <c r="D6663" s="2" t="s">
        <v>10</v>
      </c>
      <c r="E6663" s="2" t="s">
        <v>11</v>
      </c>
      <c r="F6663" s="2">
        <v>37.409999999999997</v>
      </c>
      <c r="G6663" s="2">
        <v>7</v>
      </c>
      <c r="H6663" s="2">
        <v>13.09</v>
      </c>
      <c r="I6663" t="str">
        <f t="shared" si="104"/>
        <v>Dec</v>
      </c>
      <c r="J6663">
        <f>YEAR(datas[[#This Row],[Order Date]])</f>
        <v>2023</v>
      </c>
    </row>
    <row r="6664" spans="1:10" ht="14.25" customHeight="1" x14ac:dyDescent="0.3">
      <c r="A6664" s="1">
        <v>45289</v>
      </c>
      <c r="B6664" s="2" t="s">
        <v>231</v>
      </c>
      <c r="C6664" s="2" t="s">
        <v>64</v>
      </c>
      <c r="D6664" s="2" t="s">
        <v>10</v>
      </c>
      <c r="E6664" s="2" t="s">
        <v>11</v>
      </c>
      <c r="F6664" s="2">
        <v>25.34</v>
      </c>
      <c r="G6664" s="2">
        <v>6</v>
      </c>
      <c r="H6664" s="2">
        <v>8.8699999999999992</v>
      </c>
      <c r="I6664" t="str">
        <f t="shared" si="104"/>
        <v>Dec</v>
      </c>
      <c r="J6664">
        <f>YEAR(datas[[#This Row],[Order Date]])</f>
        <v>2023</v>
      </c>
    </row>
    <row r="6665" spans="1:10" ht="14.25" customHeight="1" x14ac:dyDescent="0.3">
      <c r="A6665" s="1">
        <v>45289</v>
      </c>
      <c r="B6665" s="2" t="s">
        <v>318</v>
      </c>
      <c r="C6665" s="2" t="s">
        <v>21</v>
      </c>
      <c r="D6665" s="2" t="s">
        <v>10</v>
      </c>
      <c r="E6665" s="2" t="s">
        <v>15</v>
      </c>
      <c r="F6665" s="2">
        <v>14.03</v>
      </c>
      <c r="G6665" s="2">
        <v>1</v>
      </c>
      <c r="H6665" s="2">
        <v>4.07</v>
      </c>
      <c r="I6665" t="str">
        <f t="shared" si="104"/>
        <v>Dec</v>
      </c>
      <c r="J6665">
        <f>YEAR(datas[[#This Row],[Order Date]])</f>
        <v>2023</v>
      </c>
    </row>
    <row r="6666" spans="1:10" ht="14.25" customHeight="1" x14ac:dyDescent="0.3">
      <c r="A6666" s="1">
        <v>45289</v>
      </c>
      <c r="B6666" s="2" t="s">
        <v>318</v>
      </c>
      <c r="C6666" s="2" t="s">
        <v>21</v>
      </c>
      <c r="D6666" s="2" t="s">
        <v>10</v>
      </c>
      <c r="E6666" s="2" t="s">
        <v>95</v>
      </c>
      <c r="F6666" s="2">
        <v>27.96</v>
      </c>
      <c r="G6666" s="2">
        <v>2</v>
      </c>
      <c r="H6666" s="2">
        <v>7.27</v>
      </c>
      <c r="I6666" t="str">
        <f t="shared" si="104"/>
        <v>Dec</v>
      </c>
      <c r="J6666">
        <f>YEAR(datas[[#This Row],[Order Date]])</f>
        <v>2023</v>
      </c>
    </row>
    <row r="6667" spans="1:10" ht="14.25" customHeight="1" x14ac:dyDescent="0.3">
      <c r="A6667" s="1">
        <v>45290</v>
      </c>
      <c r="B6667" s="2" t="s">
        <v>506</v>
      </c>
      <c r="C6667" s="2" t="s">
        <v>9</v>
      </c>
      <c r="D6667" s="2" t="s">
        <v>10</v>
      </c>
      <c r="E6667" s="2" t="s">
        <v>16</v>
      </c>
      <c r="F6667" s="2">
        <v>6.92</v>
      </c>
      <c r="G6667" s="2">
        <v>6</v>
      </c>
      <c r="H6667" s="2">
        <v>-10.39</v>
      </c>
      <c r="I6667" t="str">
        <f t="shared" si="104"/>
        <v>Dec</v>
      </c>
      <c r="J6667">
        <f>YEAR(datas[[#This Row],[Order Date]])</f>
        <v>2023</v>
      </c>
    </row>
    <row r="6668" spans="1:10" ht="14.25" customHeight="1" x14ac:dyDescent="0.3">
      <c r="A6668" s="1">
        <v>45290</v>
      </c>
      <c r="B6668" s="2" t="s">
        <v>307</v>
      </c>
      <c r="C6668" s="2" t="s">
        <v>47</v>
      </c>
      <c r="D6668" s="2" t="s">
        <v>10</v>
      </c>
      <c r="E6668" s="2" t="s">
        <v>14</v>
      </c>
      <c r="F6668" s="2">
        <v>5.9</v>
      </c>
      <c r="G6668" s="2">
        <v>2</v>
      </c>
      <c r="H6668" s="2">
        <v>1.99</v>
      </c>
      <c r="I6668" t="str">
        <f t="shared" si="104"/>
        <v>Dec</v>
      </c>
      <c r="J6668">
        <f>YEAR(datas[[#This Row],[Order Date]])</f>
        <v>2023</v>
      </c>
    </row>
    <row r="6669" spans="1:10" ht="14.25" customHeight="1" x14ac:dyDescent="0.3">
      <c r="A6669" s="1">
        <v>45290</v>
      </c>
      <c r="B6669" s="2" t="s">
        <v>307</v>
      </c>
      <c r="C6669" s="2" t="s">
        <v>47</v>
      </c>
      <c r="D6669" s="2" t="s">
        <v>10</v>
      </c>
      <c r="E6669" s="2" t="s">
        <v>95</v>
      </c>
      <c r="F6669" s="2">
        <v>13.71</v>
      </c>
      <c r="G6669" s="2">
        <v>2</v>
      </c>
      <c r="H6669" s="2">
        <v>1.03</v>
      </c>
      <c r="I6669" t="str">
        <f t="shared" si="104"/>
        <v>Dec</v>
      </c>
      <c r="J6669">
        <f>YEAR(datas[[#This Row],[Order Date]])</f>
        <v>2023</v>
      </c>
    </row>
    <row r="6670" spans="1:10" ht="14.25" customHeight="1" x14ac:dyDescent="0.3">
      <c r="A6670" s="1">
        <v>45290</v>
      </c>
      <c r="B6670" s="2" t="s">
        <v>496</v>
      </c>
      <c r="C6670" s="2" t="s">
        <v>21</v>
      </c>
      <c r="D6670" s="2" t="s">
        <v>10</v>
      </c>
      <c r="E6670" s="2" t="s">
        <v>15</v>
      </c>
      <c r="F6670" s="2">
        <v>481.32</v>
      </c>
      <c r="G6670" s="2">
        <v>4</v>
      </c>
      <c r="H6670" s="2">
        <v>125.14</v>
      </c>
      <c r="I6670" t="str">
        <f t="shared" si="104"/>
        <v>Dec</v>
      </c>
      <c r="J6670">
        <f>YEAR(datas[[#This Row],[Order Date]])</f>
        <v>2023</v>
      </c>
    </row>
    <row r="6671" spans="1:10" ht="14.25" customHeight="1" x14ac:dyDescent="0.3">
      <c r="A6671" s="1">
        <v>45290</v>
      </c>
      <c r="B6671" s="2" t="s">
        <v>496</v>
      </c>
      <c r="C6671" s="2" t="s">
        <v>21</v>
      </c>
      <c r="D6671" s="2" t="s">
        <v>10</v>
      </c>
      <c r="E6671" s="2" t="s">
        <v>16</v>
      </c>
      <c r="F6671" s="2">
        <v>6.38</v>
      </c>
      <c r="G6671" s="2">
        <v>1</v>
      </c>
      <c r="H6671" s="2">
        <v>2.15</v>
      </c>
      <c r="I6671" t="str">
        <f t="shared" si="104"/>
        <v>Dec</v>
      </c>
      <c r="J6671">
        <f>YEAR(datas[[#This Row],[Order Date]])</f>
        <v>2023</v>
      </c>
    </row>
    <row r="6672" spans="1:10" ht="14.25" customHeight="1" x14ac:dyDescent="0.3">
      <c r="A6672" s="1">
        <v>45290</v>
      </c>
      <c r="B6672" s="2" t="s">
        <v>44</v>
      </c>
      <c r="C6672" s="2" t="s">
        <v>18</v>
      </c>
      <c r="D6672" s="2" t="s">
        <v>26</v>
      </c>
      <c r="E6672" s="2" t="s">
        <v>27</v>
      </c>
      <c r="F6672" s="2">
        <v>170.79</v>
      </c>
      <c r="G6672" s="2">
        <v>1</v>
      </c>
      <c r="H6672" s="2">
        <v>0</v>
      </c>
      <c r="I6672" t="str">
        <f t="shared" si="104"/>
        <v>Dec</v>
      </c>
      <c r="J6672">
        <f>YEAR(datas[[#This Row],[Order Date]])</f>
        <v>2023</v>
      </c>
    </row>
    <row r="6673" spans="1:10" ht="14.25" customHeight="1" x14ac:dyDescent="0.3">
      <c r="A6673" s="1">
        <v>45290</v>
      </c>
      <c r="B6673" s="2" t="s">
        <v>856</v>
      </c>
      <c r="C6673" s="2" t="s">
        <v>18</v>
      </c>
      <c r="D6673" s="2" t="s">
        <v>10</v>
      </c>
      <c r="E6673" s="2" t="s">
        <v>19</v>
      </c>
      <c r="F6673" s="2">
        <v>16.52</v>
      </c>
      <c r="G6673" s="2">
        <v>5</v>
      </c>
      <c r="H6673" s="2">
        <v>1.65</v>
      </c>
      <c r="I6673" t="str">
        <f t="shared" si="104"/>
        <v>Dec</v>
      </c>
      <c r="J6673">
        <f>YEAR(datas[[#This Row],[Order Date]])</f>
        <v>2023</v>
      </c>
    </row>
    <row r="6674" spans="1:10" ht="14.25" customHeight="1" x14ac:dyDescent="0.3">
      <c r="A6674" s="1">
        <v>45290</v>
      </c>
      <c r="B6674" s="2" t="s">
        <v>283</v>
      </c>
      <c r="C6674" s="2" t="s">
        <v>64</v>
      </c>
      <c r="D6674" s="2" t="s">
        <v>10</v>
      </c>
      <c r="E6674" s="2" t="s">
        <v>11</v>
      </c>
      <c r="F6674" s="2">
        <v>72.22</v>
      </c>
      <c r="G6674" s="2">
        <v>4</v>
      </c>
      <c r="H6674" s="2">
        <v>25.28</v>
      </c>
      <c r="I6674" t="str">
        <f t="shared" si="104"/>
        <v>Dec</v>
      </c>
      <c r="J6674">
        <f>YEAR(datas[[#This Row],[Order Date]])</f>
        <v>2023</v>
      </c>
    </row>
    <row r="6675" spans="1:10" ht="14.25" customHeight="1" x14ac:dyDescent="0.3">
      <c r="A6675" s="1">
        <v>45291</v>
      </c>
      <c r="B6675" s="2" t="s">
        <v>321</v>
      </c>
      <c r="C6675" s="2" t="s">
        <v>66</v>
      </c>
      <c r="D6675" s="2" t="s">
        <v>10</v>
      </c>
      <c r="E6675" s="2" t="s">
        <v>19</v>
      </c>
      <c r="F6675" s="2">
        <v>3.64</v>
      </c>
      <c r="G6675" s="2">
        <v>2</v>
      </c>
      <c r="H6675" s="2">
        <v>1.64</v>
      </c>
      <c r="I6675" t="str">
        <f t="shared" si="104"/>
        <v>Dec</v>
      </c>
      <c r="J6675">
        <f>YEAR(datas[[#This Row],[Order Date]])</f>
        <v>2023</v>
      </c>
    </row>
    <row r="6676" spans="1:10" ht="14.25" customHeight="1" x14ac:dyDescent="0.3">
      <c r="A6676" s="1">
        <v>45291</v>
      </c>
      <c r="B6676" s="2" t="s">
        <v>321</v>
      </c>
      <c r="C6676" s="2" t="s">
        <v>66</v>
      </c>
      <c r="D6676" s="2" t="s">
        <v>10</v>
      </c>
      <c r="E6676" s="2" t="s">
        <v>16</v>
      </c>
      <c r="F6676" s="2">
        <v>159.77000000000001</v>
      </c>
      <c r="G6676" s="2">
        <v>7</v>
      </c>
      <c r="H6676" s="2">
        <v>53.92</v>
      </c>
      <c r="I6676" t="str">
        <f t="shared" si="104"/>
        <v>Dec</v>
      </c>
      <c r="J6676">
        <f>YEAR(datas[[#This Row],[Order Date]])</f>
        <v>2023</v>
      </c>
    </row>
    <row r="6677" spans="1:10" ht="14.25" customHeight="1" x14ac:dyDescent="0.3">
      <c r="A6677" s="1">
        <v>45291</v>
      </c>
      <c r="B6677" s="2" t="s">
        <v>348</v>
      </c>
      <c r="C6677" s="2" t="s">
        <v>21</v>
      </c>
      <c r="D6677" s="2" t="s">
        <v>28</v>
      </c>
      <c r="E6677" s="2" t="s">
        <v>29</v>
      </c>
      <c r="F6677" s="2">
        <v>302.38</v>
      </c>
      <c r="G6677" s="2">
        <v>3</v>
      </c>
      <c r="H6677" s="2">
        <v>22.68</v>
      </c>
      <c r="I6677" t="str">
        <f t="shared" si="104"/>
        <v>Dec</v>
      </c>
      <c r="J6677">
        <f>YEAR(datas[[#This Row],[Order Date]])</f>
        <v>2023</v>
      </c>
    </row>
    <row r="6678" spans="1:10" ht="14.25" customHeight="1" x14ac:dyDescent="0.3">
      <c r="A6678" s="1">
        <v>45291</v>
      </c>
      <c r="B6678" s="2" t="s">
        <v>355</v>
      </c>
      <c r="C6678" s="2" t="s">
        <v>64</v>
      </c>
      <c r="D6678" s="2" t="s">
        <v>10</v>
      </c>
      <c r="E6678" s="2" t="s">
        <v>19</v>
      </c>
      <c r="F6678" s="2">
        <v>47.62</v>
      </c>
      <c r="G6678" s="2">
        <v>3</v>
      </c>
      <c r="H6678" s="2">
        <v>3.57</v>
      </c>
      <c r="I6678" t="str">
        <f t="shared" si="104"/>
        <v>Dec</v>
      </c>
      <c r="J6678">
        <f>YEAR(datas[[#This Row],[Order Date]])</f>
        <v>2023</v>
      </c>
    </row>
    <row r="6679" spans="1:10" ht="14.25" customHeight="1" x14ac:dyDescent="0.3">
      <c r="A6679" s="1">
        <v>45291</v>
      </c>
      <c r="B6679" s="2" t="s">
        <v>355</v>
      </c>
      <c r="C6679" s="2" t="s">
        <v>64</v>
      </c>
      <c r="D6679" s="2" t="s">
        <v>10</v>
      </c>
      <c r="E6679" s="2" t="s">
        <v>11</v>
      </c>
      <c r="F6679" s="2">
        <v>23.48</v>
      </c>
      <c r="G6679" s="2">
        <v>5</v>
      </c>
      <c r="H6679" s="2">
        <v>8.2200000000000006</v>
      </c>
      <c r="I6679" t="str">
        <f t="shared" si="104"/>
        <v>Dec</v>
      </c>
      <c r="J6679">
        <f>YEAR(datas[[#This Row],[Order Date]])</f>
        <v>2023</v>
      </c>
    </row>
    <row r="6680" spans="1:10" ht="14.25" customHeight="1" x14ac:dyDescent="0.3">
      <c r="A6680" s="1">
        <v>45291</v>
      </c>
      <c r="B6680" s="2" t="s">
        <v>725</v>
      </c>
      <c r="C6680" s="2" t="s">
        <v>21</v>
      </c>
      <c r="D6680" s="2" t="s">
        <v>10</v>
      </c>
      <c r="E6680" s="2" t="s">
        <v>16</v>
      </c>
      <c r="F6680" s="2">
        <v>38.380000000000003</v>
      </c>
      <c r="G6680" s="2">
        <v>3</v>
      </c>
      <c r="H6680" s="2">
        <v>13.43</v>
      </c>
      <c r="I6680" t="str">
        <f t="shared" si="104"/>
        <v>Dec</v>
      </c>
      <c r="J6680">
        <f>YEAR(datas[[#This Row],[Order Date]])</f>
        <v>2023</v>
      </c>
    </row>
    <row r="6681" spans="1:10" ht="14.25" customHeight="1" x14ac:dyDescent="0.3">
      <c r="A6681" s="1">
        <v>45291</v>
      </c>
      <c r="B6681" s="2" t="s">
        <v>324</v>
      </c>
      <c r="C6681" s="2" t="s">
        <v>47</v>
      </c>
      <c r="D6681" s="2" t="s">
        <v>10</v>
      </c>
      <c r="E6681" s="2" t="s">
        <v>15</v>
      </c>
      <c r="F6681" s="2">
        <v>156.51</v>
      </c>
      <c r="G6681" s="2">
        <v>4</v>
      </c>
      <c r="H6681" s="2">
        <v>-35.22</v>
      </c>
      <c r="I6681" t="str">
        <f t="shared" si="104"/>
        <v>Dec</v>
      </c>
      <c r="J6681">
        <f>YEAR(datas[[#This Row],[Order Date]])</f>
        <v>2023</v>
      </c>
    </row>
    <row r="6682" spans="1:10" ht="14.25" customHeight="1" x14ac:dyDescent="0.3">
      <c r="A6682" s="1">
        <v>45292</v>
      </c>
      <c r="B6682" s="2" t="s">
        <v>90</v>
      </c>
      <c r="C6682" s="2" t="s">
        <v>47</v>
      </c>
      <c r="D6682" s="2" t="s">
        <v>26</v>
      </c>
      <c r="E6682" s="2" t="s">
        <v>32</v>
      </c>
      <c r="F6682" s="2">
        <v>48.9</v>
      </c>
      <c r="G6682" s="2">
        <v>4</v>
      </c>
      <c r="H6682" s="2">
        <v>8.56</v>
      </c>
      <c r="I6682" t="str">
        <f t="shared" si="104"/>
        <v>Jan</v>
      </c>
      <c r="J6682">
        <f>YEAR(datas[[#This Row],[Order Date]])</f>
        <v>2024</v>
      </c>
    </row>
    <row r="6683" spans="1:10" ht="14.25" customHeight="1" x14ac:dyDescent="0.3">
      <c r="A6683" s="1">
        <v>45292</v>
      </c>
      <c r="B6683" s="2" t="s">
        <v>303</v>
      </c>
      <c r="C6683" s="2" t="s">
        <v>21</v>
      </c>
      <c r="D6683" s="2" t="s">
        <v>26</v>
      </c>
      <c r="E6683" s="2" t="s">
        <v>32</v>
      </c>
      <c r="F6683" s="2">
        <v>474.43</v>
      </c>
      <c r="G6683" s="2">
        <v>11</v>
      </c>
      <c r="H6683" s="2">
        <v>199.26</v>
      </c>
      <c r="I6683" t="str">
        <f t="shared" si="104"/>
        <v>Jan</v>
      </c>
      <c r="J6683">
        <f>YEAR(datas[[#This Row],[Order Date]])</f>
        <v>2024</v>
      </c>
    </row>
    <row r="6684" spans="1:10" ht="14.25" customHeight="1" x14ac:dyDescent="0.3">
      <c r="A6684" s="1">
        <v>45292</v>
      </c>
      <c r="B6684" s="2" t="s">
        <v>353</v>
      </c>
      <c r="C6684" s="2" t="s">
        <v>79</v>
      </c>
      <c r="D6684" s="2" t="s">
        <v>10</v>
      </c>
      <c r="E6684" s="2" t="s">
        <v>16</v>
      </c>
      <c r="F6684" s="2">
        <v>3.6</v>
      </c>
      <c r="G6684" s="2">
        <v>2</v>
      </c>
      <c r="H6684" s="2">
        <v>1.73</v>
      </c>
      <c r="I6684" t="str">
        <f t="shared" si="104"/>
        <v>Jan</v>
      </c>
      <c r="J6684">
        <f>YEAR(datas[[#This Row],[Order Date]])</f>
        <v>2024</v>
      </c>
    </row>
    <row r="6685" spans="1:10" ht="14.25" customHeight="1" x14ac:dyDescent="0.3">
      <c r="A6685" s="1">
        <v>45292</v>
      </c>
      <c r="B6685" s="2" t="s">
        <v>818</v>
      </c>
      <c r="C6685" s="2" t="s">
        <v>9</v>
      </c>
      <c r="D6685" s="2" t="s">
        <v>10</v>
      </c>
      <c r="E6685" s="2" t="s">
        <v>15</v>
      </c>
      <c r="F6685" s="2">
        <v>454.56</v>
      </c>
      <c r="G6685" s="2">
        <v>5</v>
      </c>
      <c r="H6685" s="2">
        <v>-107.96</v>
      </c>
      <c r="I6685" t="str">
        <f t="shared" si="104"/>
        <v>Jan</v>
      </c>
      <c r="J6685">
        <f>YEAR(datas[[#This Row],[Order Date]])</f>
        <v>2024</v>
      </c>
    </row>
    <row r="6686" spans="1:10" ht="14.25" customHeight="1" x14ac:dyDescent="0.3">
      <c r="A6686" s="1">
        <v>45292</v>
      </c>
      <c r="B6686" s="2" t="s">
        <v>818</v>
      </c>
      <c r="C6686" s="2" t="s">
        <v>9</v>
      </c>
      <c r="D6686" s="2" t="s">
        <v>26</v>
      </c>
      <c r="E6686" s="2" t="s">
        <v>32</v>
      </c>
      <c r="F6686" s="2">
        <v>141.41999999999999</v>
      </c>
      <c r="G6686" s="2">
        <v>5</v>
      </c>
      <c r="H6686" s="2">
        <v>-187.38</v>
      </c>
      <c r="I6686" t="str">
        <f t="shared" si="104"/>
        <v>Jan</v>
      </c>
      <c r="J6686">
        <f>YEAR(datas[[#This Row],[Order Date]])</f>
        <v>2024</v>
      </c>
    </row>
    <row r="6687" spans="1:10" ht="14.25" customHeight="1" x14ac:dyDescent="0.3">
      <c r="A6687" s="1">
        <v>45292</v>
      </c>
      <c r="B6687" s="2" t="s">
        <v>818</v>
      </c>
      <c r="C6687" s="2" t="s">
        <v>9</v>
      </c>
      <c r="D6687" s="2" t="s">
        <v>26</v>
      </c>
      <c r="E6687" s="2" t="s">
        <v>27</v>
      </c>
      <c r="F6687" s="2">
        <v>310.74</v>
      </c>
      <c r="G6687" s="2">
        <v>4</v>
      </c>
      <c r="H6687" s="2">
        <v>-26.64</v>
      </c>
      <c r="I6687" t="str">
        <f t="shared" si="104"/>
        <v>Jan</v>
      </c>
      <c r="J6687">
        <f>YEAR(datas[[#This Row],[Order Date]])</f>
        <v>2024</v>
      </c>
    </row>
    <row r="6688" spans="1:10" ht="14.25" customHeight="1" x14ac:dyDescent="0.3">
      <c r="A6688" s="1">
        <v>45292</v>
      </c>
      <c r="B6688" s="2" t="s">
        <v>818</v>
      </c>
      <c r="C6688" s="2" t="s">
        <v>9</v>
      </c>
      <c r="D6688" s="2" t="s">
        <v>10</v>
      </c>
      <c r="E6688" s="2" t="s">
        <v>19</v>
      </c>
      <c r="F6688" s="2">
        <v>12.74</v>
      </c>
      <c r="G6688" s="2">
        <v>4</v>
      </c>
      <c r="H6688" s="2">
        <v>2.23</v>
      </c>
      <c r="I6688" t="str">
        <f t="shared" si="104"/>
        <v>Jan</v>
      </c>
      <c r="J6688">
        <f>YEAR(datas[[#This Row],[Order Date]])</f>
        <v>2024</v>
      </c>
    </row>
    <row r="6689" spans="1:10" ht="14.25" customHeight="1" x14ac:dyDescent="0.3">
      <c r="A6689" s="1">
        <v>45292</v>
      </c>
      <c r="B6689" s="2" t="s">
        <v>818</v>
      </c>
      <c r="C6689" s="2" t="s">
        <v>9</v>
      </c>
      <c r="D6689" s="2" t="s">
        <v>10</v>
      </c>
      <c r="E6689" s="2" t="s">
        <v>16</v>
      </c>
      <c r="F6689" s="2">
        <v>6.47</v>
      </c>
      <c r="G6689" s="2">
        <v>5</v>
      </c>
      <c r="H6689" s="2">
        <v>-9.7100000000000009</v>
      </c>
      <c r="I6689" t="str">
        <f t="shared" si="104"/>
        <v>Jan</v>
      </c>
      <c r="J6689">
        <f>YEAR(datas[[#This Row],[Order Date]])</f>
        <v>2024</v>
      </c>
    </row>
    <row r="6690" spans="1:10" ht="14.25" customHeight="1" x14ac:dyDescent="0.3">
      <c r="A6690" s="1">
        <v>45292</v>
      </c>
      <c r="B6690" s="2" t="s">
        <v>818</v>
      </c>
      <c r="C6690" s="2" t="s">
        <v>9</v>
      </c>
      <c r="D6690" s="2" t="s">
        <v>10</v>
      </c>
      <c r="E6690" s="2" t="s">
        <v>16</v>
      </c>
      <c r="F6690" s="2">
        <v>13.75</v>
      </c>
      <c r="G6690" s="2">
        <v>14</v>
      </c>
      <c r="H6690" s="2">
        <v>-22.68</v>
      </c>
      <c r="I6690" t="str">
        <f t="shared" si="104"/>
        <v>Jan</v>
      </c>
      <c r="J6690">
        <f>YEAR(datas[[#This Row],[Order Date]])</f>
        <v>2024</v>
      </c>
    </row>
    <row r="6691" spans="1:10" ht="14.25" customHeight="1" x14ac:dyDescent="0.3">
      <c r="A6691" s="1">
        <v>45292</v>
      </c>
      <c r="B6691" s="2" t="s">
        <v>818</v>
      </c>
      <c r="C6691" s="2" t="s">
        <v>9</v>
      </c>
      <c r="D6691" s="2" t="s">
        <v>10</v>
      </c>
      <c r="E6691" s="2" t="s">
        <v>53</v>
      </c>
      <c r="F6691" s="2">
        <v>15.22</v>
      </c>
      <c r="G6691" s="2">
        <v>2</v>
      </c>
      <c r="H6691" s="2">
        <v>-38.82</v>
      </c>
      <c r="I6691" t="str">
        <f t="shared" si="104"/>
        <v>Jan</v>
      </c>
      <c r="J6691">
        <f>YEAR(datas[[#This Row],[Order Date]])</f>
        <v>2024</v>
      </c>
    </row>
    <row r="6692" spans="1:10" ht="14.25" customHeight="1" x14ac:dyDescent="0.3">
      <c r="A6692" s="1">
        <v>45293</v>
      </c>
      <c r="B6692" s="2" t="s">
        <v>391</v>
      </c>
      <c r="C6692" s="2" t="s">
        <v>115</v>
      </c>
      <c r="D6692" s="2" t="s">
        <v>28</v>
      </c>
      <c r="E6692" s="2" t="s">
        <v>136</v>
      </c>
      <c r="F6692" s="2">
        <v>695.7</v>
      </c>
      <c r="G6692" s="2">
        <v>2</v>
      </c>
      <c r="H6692" s="2">
        <v>-27.83</v>
      </c>
      <c r="I6692" t="str">
        <f t="shared" si="104"/>
        <v>Jan</v>
      </c>
      <c r="J6692">
        <f>YEAR(datas[[#This Row],[Order Date]])</f>
        <v>2024</v>
      </c>
    </row>
    <row r="6693" spans="1:10" ht="14.25" customHeight="1" x14ac:dyDescent="0.3">
      <c r="A6693" s="1">
        <v>45293</v>
      </c>
      <c r="B6693" s="2" t="s">
        <v>391</v>
      </c>
      <c r="C6693" s="2" t="s">
        <v>115</v>
      </c>
      <c r="D6693" s="2" t="s">
        <v>10</v>
      </c>
      <c r="E6693" s="2" t="s">
        <v>16</v>
      </c>
      <c r="F6693" s="2">
        <v>15.66</v>
      </c>
      <c r="G6693" s="2">
        <v>5</v>
      </c>
      <c r="H6693" s="2">
        <v>-12.53</v>
      </c>
      <c r="I6693" t="str">
        <f t="shared" si="104"/>
        <v>Jan</v>
      </c>
      <c r="J6693">
        <f>YEAR(datas[[#This Row],[Order Date]])</f>
        <v>2024</v>
      </c>
    </row>
    <row r="6694" spans="1:10" ht="14.25" customHeight="1" x14ac:dyDescent="0.3">
      <c r="A6694" s="1">
        <v>45293</v>
      </c>
      <c r="B6694" s="2" t="s">
        <v>391</v>
      </c>
      <c r="C6694" s="2" t="s">
        <v>115</v>
      </c>
      <c r="D6694" s="2" t="s">
        <v>10</v>
      </c>
      <c r="E6694" s="2" t="s">
        <v>16</v>
      </c>
      <c r="F6694" s="2">
        <v>28.85</v>
      </c>
      <c r="G6694" s="2">
        <v>6</v>
      </c>
      <c r="H6694" s="2">
        <v>-21.16</v>
      </c>
      <c r="I6694" t="str">
        <f t="shared" si="104"/>
        <v>Jan</v>
      </c>
      <c r="J6694">
        <f>YEAR(datas[[#This Row],[Order Date]])</f>
        <v>2024</v>
      </c>
    </row>
    <row r="6695" spans="1:10" ht="14.25" customHeight="1" x14ac:dyDescent="0.3">
      <c r="A6695" s="1">
        <v>45293</v>
      </c>
      <c r="B6695" s="2" t="s">
        <v>675</v>
      </c>
      <c r="C6695" s="2" t="s">
        <v>9</v>
      </c>
      <c r="D6695" s="2" t="s">
        <v>10</v>
      </c>
      <c r="E6695" s="2" t="s">
        <v>19</v>
      </c>
      <c r="F6695" s="2">
        <v>31.74</v>
      </c>
      <c r="G6695" s="2">
        <v>2</v>
      </c>
      <c r="H6695" s="2">
        <v>3.97</v>
      </c>
      <c r="I6695" t="str">
        <f t="shared" si="104"/>
        <v>Jan</v>
      </c>
      <c r="J6695">
        <f>YEAR(datas[[#This Row],[Order Date]])</f>
        <v>2024</v>
      </c>
    </row>
    <row r="6696" spans="1:10" ht="14.25" customHeight="1" x14ac:dyDescent="0.3">
      <c r="A6696" s="1">
        <v>45293</v>
      </c>
      <c r="B6696" s="2" t="s">
        <v>675</v>
      </c>
      <c r="C6696" s="2" t="s">
        <v>9</v>
      </c>
      <c r="D6696" s="2" t="s">
        <v>10</v>
      </c>
      <c r="E6696" s="2" t="s">
        <v>53</v>
      </c>
      <c r="F6696" s="2">
        <v>5.43</v>
      </c>
      <c r="G6696" s="2">
        <v>2</v>
      </c>
      <c r="H6696" s="2">
        <v>-13.58</v>
      </c>
      <c r="I6696" t="str">
        <f t="shared" si="104"/>
        <v>Jan</v>
      </c>
      <c r="J6696">
        <f>YEAR(datas[[#This Row],[Order Date]])</f>
        <v>2024</v>
      </c>
    </row>
    <row r="6697" spans="1:10" ht="14.25" customHeight="1" x14ac:dyDescent="0.3">
      <c r="A6697" s="1">
        <v>45293</v>
      </c>
      <c r="B6697" s="2" t="s">
        <v>675</v>
      </c>
      <c r="C6697" s="2" t="s">
        <v>9</v>
      </c>
      <c r="D6697" s="2" t="s">
        <v>26</v>
      </c>
      <c r="E6697" s="2" t="s">
        <v>73</v>
      </c>
      <c r="F6697" s="2">
        <v>913.43</v>
      </c>
      <c r="G6697" s="2">
        <v>5</v>
      </c>
      <c r="H6697" s="2">
        <v>-169.64</v>
      </c>
      <c r="I6697" t="str">
        <f t="shared" si="104"/>
        <v>Jan</v>
      </c>
      <c r="J6697">
        <f>YEAR(datas[[#This Row],[Order Date]])</f>
        <v>2024</v>
      </c>
    </row>
    <row r="6698" spans="1:10" ht="14.25" customHeight="1" x14ac:dyDescent="0.3">
      <c r="A6698" s="1">
        <v>45293</v>
      </c>
      <c r="B6698" s="2" t="s">
        <v>675</v>
      </c>
      <c r="C6698" s="2" t="s">
        <v>9</v>
      </c>
      <c r="D6698" s="2" t="s">
        <v>10</v>
      </c>
      <c r="E6698" s="2" t="s">
        <v>15</v>
      </c>
      <c r="F6698" s="2">
        <v>372.14</v>
      </c>
      <c r="G6698" s="2">
        <v>3</v>
      </c>
      <c r="H6698" s="2">
        <v>27.91</v>
      </c>
      <c r="I6698" t="str">
        <f t="shared" si="104"/>
        <v>Jan</v>
      </c>
      <c r="J6698">
        <f>YEAR(datas[[#This Row],[Order Date]])</f>
        <v>2024</v>
      </c>
    </row>
    <row r="6699" spans="1:10" ht="14.25" customHeight="1" x14ac:dyDescent="0.3">
      <c r="A6699" s="1">
        <v>45293</v>
      </c>
      <c r="B6699" s="2" t="s">
        <v>695</v>
      </c>
      <c r="C6699" s="2" t="s">
        <v>21</v>
      </c>
      <c r="D6699" s="2" t="s">
        <v>28</v>
      </c>
      <c r="E6699" s="2" t="s">
        <v>34</v>
      </c>
      <c r="F6699" s="2">
        <v>16.59</v>
      </c>
      <c r="G6699" s="2">
        <v>1</v>
      </c>
      <c r="H6699" s="2">
        <v>5.81</v>
      </c>
      <c r="I6699" t="str">
        <f t="shared" si="104"/>
        <v>Jan</v>
      </c>
      <c r="J6699">
        <f>YEAR(datas[[#This Row],[Order Date]])</f>
        <v>2024</v>
      </c>
    </row>
    <row r="6700" spans="1:10" ht="14.25" customHeight="1" x14ac:dyDescent="0.3">
      <c r="A6700" s="1">
        <v>45294</v>
      </c>
      <c r="B6700" s="2" t="s">
        <v>50</v>
      </c>
      <c r="C6700" s="2" t="s">
        <v>21</v>
      </c>
      <c r="D6700" s="2" t="s">
        <v>10</v>
      </c>
      <c r="E6700" s="2" t="s">
        <v>11</v>
      </c>
      <c r="F6700" s="2">
        <v>38.880000000000003</v>
      </c>
      <c r="G6700" s="2">
        <v>6</v>
      </c>
      <c r="H6700" s="2">
        <v>18.66</v>
      </c>
      <c r="I6700" t="str">
        <f t="shared" si="104"/>
        <v>Jan</v>
      </c>
      <c r="J6700">
        <f>YEAR(datas[[#This Row],[Order Date]])</f>
        <v>2024</v>
      </c>
    </row>
    <row r="6701" spans="1:10" ht="14.25" customHeight="1" x14ac:dyDescent="0.3">
      <c r="A6701" s="1">
        <v>45294</v>
      </c>
      <c r="B6701" s="2" t="s">
        <v>688</v>
      </c>
      <c r="C6701" s="2" t="s">
        <v>21</v>
      </c>
      <c r="D6701" s="2" t="s">
        <v>10</v>
      </c>
      <c r="E6701" s="2" t="s">
        <v>16</v>
      </c>
      <c r="F6701" s="2">
        <v>2022.27</v>
      </c>
      <c r="G6701" s="2">
        <v>8</v>
      </c>
      <c r="H6701" s="2">
        <v>682.52</v>
      </c>
      <c r="I6701" t="str">
        <f t="shared" si="104"/>
        <v>Jan</v>
      </c>
      <c r="J6701">
        <f>YEAR(datas[[#This Row],[Order Date]])</f>
        <v>2024</v>
      </c>
    </row>
    <row r="6702" spans="1:10" ht="14.25" customHeight="1" x14ac:dyDescent="0.3">
      <c r="A6702" s="1">
        <v>45294</v>
      </c>
      <c r="B6702" s="2" t="s">
        <v>688</v>
      </c>
      <c r="C6702" s="2" t="s">
        <v>21</v>
      </c>
      <c r="D6702" s="2" t="s">
        <v>10</v>
      </c>
      <c r="E6702" s="2" t="s">
        <v>19</v>
      </c>
      <c r="F6702" s="2">
        <v>9.1199999999999992</v>
      </c>
      <c r="G6702" s="2">
        <v>3</v>
      </c>
      <c r="H6702" s="2">
        <v>3.1</v>
      </c>
      <c r="I6702" t="str">
        <f t="shared" si="104"/>
        <v>Jan</v>
      </c>
      <c r="J6702">
        <f>YEAR(datas[[#This Row],[Order Date]])</f>
        <v>2024</v>
      </c>
    </row>
    <row r="6703" spans="1:10" ht="14.25" customHeight="1" x14ac:dyDescent="0.3">
      <c r="A6703" s="1">
        <v>45297</v>
      </c>
      <c r="B6703" s="2" t="s">
        <v>353</v>
      </c>
      <c r="C6703" s="2" t="s">
        <v>198</v>
      </c>
      <c r="D6703" s="2" t="s">
        <v>10</v>
      </c>
      <c r="E6703" s="2" t="s">
        <v>16</v>
      </c>
      <c r="F6703" s="2">
        <v>33.74</v>
      </c>
      <c r="G6703" s="2">
        <v>7</v>
      </c>
      <c r="H6703" s="2">
        <v>15.52</v>
      </c>
      <c r="I6703" t="str">
        <f t="shared" si="104"/>
        <v>Jan</v>
      </c>
      <c r="J6703">
        <f>YEAR(datas[[#This Row],[Order Date]])</f>
        <v>2024</v>
      </c>
    </row>
    <row r="6704" spans="1:10" ht="14.25" customHeight="1" x14ac:dyDescent="0.3">
      <c r="A6704" s="1">
        <v>45298</v>
      </c>
      <c r="B6704" s="2" t="s">
        <v>692</v>
      </c>
      <c r="C6704" s="2" t="s">
        <v>60</v>
      </c>
      <c r="D6704" s="2" t="s">
        <v>28</v>
      </c>
      <c r="E6704" s="2" t="s">
        <v>136</v>
      </c>
      <c r="F6704" s="2">
        <v>3059.98</v>
      </c>
      <c r="G6704" s="2">
        <v>2</v>
      </c>
      <c r="H6704" s="2">
        <v>680</v>
      </c>
      <c r="I6704" t="str">
        <f t="shared" si="104"/>
        <v>Jan</v>
      </c>
      <c r="J6704">
        <f>YEAR(datas[[#This Row],[Order Date]])</f>
        <v>2024</v>
      </c>
    </row>
    <row r="6705" spans="1:10" ht="14.25" customHeight="1" x14ac:dyDescent="0.3">
      <c r="A6705" s="1">
        <v>45298</v>
      </c>
      <c r="B6705" s="2" t="s">
        <v>742</v>
      </c>
      <c r="C6705" s="2" t="s">
        <v>64</v>
      </c>
      <c r="D6705" s="2" t="s">
        <v>10</v>
      </c>
      <c r="E6705" s="2" t="s">
        <v>16</v>
      </c>
      <c r="F6705" s="2">
        <v>2.81</v>
      </c>
      <c r="G6705" s="2">
        <v>3</v>
      </c>
      <c r="H6705" s="2">
        <v>-1.97</v>
      </c>
      <c r="I6705" t="str">
        <f t="shared" si="104"/>
        <v>Jan</v>
      </c>
      <c r="J6705">
        <f>YEAR(datas[[#This Row],[Order Date]])</f>
        <v>2024</v>
      </c>
    </row>
    <row r="6706" spans="1:10" ht="14.25" customHeight="1" x14ac:dyDescent="0.3">
      <c r="A6706" s="1">
        <v>45298</v>
      </c>
      <c r="B6706" s="2" t="s">
        <v>581</v>
      </c>
      <c r="C6706" s="2" t="s">
        <v>21</v>
      </c>
      <c r="D6706" s="2" t="s">
        <v>10</v>
      </c>
      <c r="E6706" s="2" t="s">
        <v>15</v>
      </c>
      <c r="F6706" s="2">
        <v>153.78</v>
      </c>
      <c r="G6706" s="2">
        <v>11</v>
      </c>
      <c r="H6706" s="2">
        <v>44.6</v>
      </c>
      <c r="I6706" t="str">
        <f t="shared" si="104"/>
        <v>Jan</v>
      </c>
      <c r="J6706">
        <f>YEAR(datas[[#This Row],[Order Date]])</f>
        <v>2024</v>
      </c>
    </row>
    <row r="6707" spans="1:10" ht="14.25" customHeight="1" x14ac:dyDescent="0.3">
      <c r="A6707" s="1">
        <v>45298</v>
      </c>
      <c r="B6707" s="2" t="s">
        <v>581</v>
      </c>
      <c r="C6707" s="2" t="s">
        <v>21</v>
      </c>
      <c r="D6707" s="2" t="s">
        <v>10</v>
      </c>
      <c r="E6707" s="2" t="s">
        <v>15</v>
      </c>
      <c r="F6707" s="2">
        <v>61.02</v>
      </c>
      <c r="G6707" s="2">
        <v>3</v>
      </c>
      <c r="H6707" s="2">
        <v>0.61</v>
      </c>
      <c r="I6707" t="str">
        <f t="shared" si="104"/>
        <v>Jan</v>
      </c>
      <c r="J6707">
        <f>YEAR(datas[[#This Row],[Order Date]])</f>
        <v>2024</v>
      </c>
    </row>
    <row r="6708" spans="1:10" ht="14.25" customHeight="1" x14ac:dyDescent="0.3">
      <c r="A6708" s="1">
        <v>45298</v>
      </c>
      <c r="B6708" s="2" t="s">
        <v>581</v>
      </c>
      <c r="C6708" s="2" t="s">
        <v>21</v>
      </c>
      <c r="D6708" s="2" t="s">
        <v>10</v>
      </c>
      <c r="E6708" s="2" t="s">
        <v>95</v>
      </c>
      <c r="F6708" s="2">
        <v>110.11</v>
      </c>
      <c r="G6708" s="2">
        <v>7</v>
      </c>
      <c r="H6708" s="2">
        <v>31.93</v>
      </c>
      <c r="I6708" t="str">
        <f t="shared" si="104"/>
        <v>Jan</v>
      </c>
      <c r="J6708">
        <f>YEAR(datas[[#This Row],[Order Date]])</f>
        <v>2024</v>
      </c>
    </row>
    <row r="6709" spans="1:10" ht="14.25" customHeight="1" x14ac:dyDescent="0.3">
      <c r="A6709" s="1">
        <v>45298</v>
      </c>
      <c r="B6709" s="2" t="s">
        <v>581</v>
      </c>
      <c r="C6709" s="2" t="s">
        <v>21</v>
      </c>
      <c r="D6709" s="2" t="s">
        <v>10</v>
      </c>
      <c r="E6709" s="2" t="s">
        <v>30</v>
      </c>
      <c r="F6709" s="2">
        <v>7.89</v>
      </c>
      <c r="G6709" s="2">
        <v>1</v>
      </c>
      <c r="H6709" s="2">
        <v>3.55</v>
      </c>
      <c r="I6709" t="str">
        <f t="shared" si="104"/>
        <v>Jan</v>
      </c>
      <c r="J6709">
        <f>YEAR(datas[[#This Row],[Order Date]])</f>
        <v>2024</v>
      </c>
    </row>
    <row r="6710" spans="1:10" ht="14.25" customHeight="1" x14ac:dyDescent="0.3">
      <c r="A6710" s="1">
        <v>45299</v>
      </c>
      <c r="B6710" s="2" t="s">
        <v>402</v>
      </c>
      <c r="C6710" s="2" t="s">
        <v>82</v>
      </c>
      <c r="D6710" s="2" t="s">
        <v>26</v>
      </c>
      <c r="E6710" s="2" t="s">
        <v>73</v>
      </c>
      <c r="F6710" s="2">
        <v>892.98</v>
      </c>
      <c r="G6710" s="2">
        <v>2</v>
      </c>
      <c r="H6710" s="2">
        <v>80.37</v>
      </c>
      <c r="I6710" t="str">
        <f t="shared" si="104"/>
        <v>Jan</v>
      </c>
      <c r="J6710">
        <f>YEAR(datas[[#This Row],[Order Date]])</f>
        <v>2024</v>
      </c>
    </row>
    <row r="6711" spans="1:10" ht="14.25" customHeight="1" x14ac:dyDescent="0.3">
      <c r="A6711" s="1">
        <v>45300</v>
      </c>
      <c r="B6711" s="2" t="s">
        <v>514</v>
      </c>
      <c r="C6711" s="2" t="s">
        <v>18</v>
      </c>
      <c r="D6711" s="2" t="s">
        <v>10</v>
      </c>
      <c r="E6711" s="2" t="s">
        <v>16</v>
      </c>
      <c r="F6711" s="2">
        <v>274.49</v>
      </c>
      <c r="G6711" s="2">
        <v>3</v>
      </c>
      <c r="H6711" s="2">
        <v>-228.74</v>
      </c>
      <c r="I6711" t="str">
        <f t="shared" si="104"/>
        <v>Jan</v>
      </c>
      <c r="J6711">
        <f>YEAR(datas[[#This Row],[Order Date]])</f>
        <v>2024</v>
      </c>
    </row>
    <row r="6712" spans="1:10" ht="14.25" customHeight="1" x14ac:dyDescent="0.3">
      <c r="A6712" s="1">
        <v>45303</v>
      </c>
      <c r="B6712" s="2" t="s">
        <v>227</v>
      </c>
      <c r="C6712" s="2" t="s">
        <v>710</v>
      </c>
      <c r="D6712" s="2" t="s">
        <v>10</v>
      </c>
      <c r="E6712" s="2" t="s">
        <v>11</v>
      </c>
      <c r="F6712" s="2">
        <v>40.08</v>
      </c>
      <c r="G6712" s="2">
        <v>6</v>
      </c>
      <c r="H6712" s="2">
        <v>19.239999999999998</v>
      </c>
      <c r="I6712" t="str">
        <f t="shared" si="104"/>
        <v>Jan</v>
      </c>
      <c r="J6712">
        <f>YEAR(datas[[#This Row],[Order Date]])</f>
        <v>2024</v>
      </c>
    </row>
    <row r="6713" spans="1:10" ht="14.25" customHeight="1" x14ac:dyDescent="0.3">
      <c r="A6713" s="1">
        <v>45303</v>
      </c>
      <c r="B6713" s="2" t="s">
        <v>227</v>
      </c>
      <c r="C6713" s="2" t="s">
        <v>710</v>
      </c>
      <c r="D6713" s="2" t="s">
        <v>26</v>
      </c>
      <c r="E6713" s="2" t="s">
        <v>32</v>
      </c>
      <c r="F6713" s="2">
        <v>37.68</v>
      </c>
      <c r="G6713" s="2">
        <v>2</v>
      </c>
      <c r="H6713" s="2">
        <v>15.83</v>
      </c>
      <c r="I6713" t="str">
        <f t="shared" si="104"/>
        <v>Jan</v>
      </c>
      <c r="J6713">
        <f>YEAR(datas[[#This Row],[Order Date]])</f>
        <v>2024</v>
      </c>
    </row>
    <row r="6714" spans="1:10" ht="14.25" customHeight="1" x14ac:dyDescent="0.3">
      <c r="A6714" s="1">
        <v>45303</v>
      </c>
      <c r="B6714" s="2" t="s">
        <v>709</v>
      </c>
      <c r="C6714" s="2" t="s">
        <v>21</v>
      </c>
      <c r="D6714" s="2" t="s">
        <v>10</v>
      </c>
      <c r="E6714" s="2" t="s">
        <v>41</v>
      </c>
      <c r="F6714" s="2">
        <v>9.7799999999999994</v>
      </c>
      <c r="G6714" s="2">
        <v>1</v>
      </c>
      <c r="H6714" s="2">
        <v>4.8899999999999997</v>
      </c>
      <c r="I6714" t="str">
        <f t="shared" si="104"/>
        <v>Jan</v>
      </c>
      <c r="J6714">
        <f>YEAR(datas[[#This Row],[Order Date]])</f>
        <v>2024</v>
      </c>
    </row>
    <row r="6715" spans="1:10" ht="14.25" customHeight="1" x14ac:dyDescent="0.3">
      <c r="A6715" s="1">
        <v>45303</v>
      </c>
      <c r="B6715" s="2" t="s">
        <v>712</v>
      </c>
      <c r="C6715" s="2" t="s">
        <v>9</v>
      </c>
      <c r="D6715" s="2" t="s">
        <v>10</v>
      </c>
      <c r="E6715" s="2" t="s">
        <v>16</v>
      </c>
      <c r="F6715" s="2">
        <v>760.98</v>
      </c>
      <c r="G6715" s="2">
        <v>5</v>
      </c>
      <c r="H6715" s="2">
        <v>-1141.47</v>
      </c>
      <c r="I6715" t="str">
        <f t="shared" si="104"/>
        <v>Jan</v>
      </c>
      <c r="J6715">
        <f>YEAR(datas[[#This Row],[Order Date]])</f>
        <v>2024</v>
      </c>
    </row>
    <row r="6716" spans="1:10" ht="14.25" customHeight="1" x14ac:dyDescent="0.3">
      <c r="A6716" s="1">
        <v>45304</v>
      </c>
      <c r="B6716" s="2" t="s">
        <v>624</v>
      </c>
      <c r="C6716" s="2" t="s">
        <v>91</v>
      </c>
      <c r="D6716" s="2" t="s">
        <v>10</v>
      </c>
      <c r="E6716" s="2" t="s">
        <v>11</v>
      </c>
      <c r="F6716" s="2">
        <v>32.4</v>
      </c>
      <c r="G6716" s="2">
        <v>5</v>
      </c>
      <c r="H6716" s="2">
        <v>15.55</v>
      </c>
      <c r="I6716" t="str">
        <f t="shared" si="104"/>
        <v>Jan</v>
      </c>
      <c r="J6716">
        <f>YEAR(datas[[#This Row],[Order Date]])</f>
        <v>2024</v>
      </c>
    </row>
    <row r="6717" spans="1:10" ht="14.25" customHeight="1" x14ac:dyDescent="0.3">
      <c r="A6717" s="1">
        <v>45304</v>
      </c>
      <c r="B6717" s="2" t="s">
        <v>624</v>
      </c>
      <c r="C6717" s="2" t="s">
        <v>91</v>
      </c>
      <c r="D6717" s="2" t="s">
        <v>10</v>
      </c>
      <c r="E6717" s="2" t="s">
        <v>19</v>
      </c>
      <c r="F6717" s="2">
        <v>209.94</v>
      </c>
      <c r="G6717" s="2">
        <v>6</v>
      </c>
      <c r="H6717" s="2">
        <v>54.58</v>
      </c>
      <c r="I6717" t="str">
        <f t="shared" si="104"/>
        <v>Jan</v>
      </c>
      <c r="J6717">
        <f>YEAR(datas[[#This Row],[Order Date]])</f>
        <v>2024</v>
      </c>
    </row>
    <row r="6718" spans="1:10" ht="14.25" customHeight="1" x14ac:dyDescent="0.3">
      <c r="A6718" s="1">
        <v>45304</v>
      </c>
      <c r="B6718" s="2" t="s">
        <v>624</v>
      </c>
      <c r="C6718" s="2" t="s">
        <v>91</v>
      </c>
      <c r="D6718" s="2" t="s">
        <v>10</v>
      </c>
      <c r="E6718" s="2" t="s">
        <v>95</v>
      </c>
      <c r="F6718" s="2">
        <v>4164.05</v>
      </c>
      <c r="G6718" s="2">
        <v>5</v>
      </c>
      <c r="H6718" s="2">
        <v>83.28</v>
      </c>
      <c r="I6718" t="str">
        <f t="shared" si="104"/>
        <v>Jan</v>
      </c>
      <c r="J6718">
        <f>YEAR(datas[[#This Row],[Order Date]])</f>
        <v>2024</v>
      </c>
    </row>
    <row r="6719" spans="1:10" ht="14.25" customHeight="1" x14ac:dyDescent="0.3">
      <c r="A6719" s="1">
        <v>45304</v>
      </c>
      <c r="B6719" s="2" t="s">
        <v>624</v>
      </c>
      <c r="C6719" s="2" t="s">
        <v>91</v>
      </c>
      <c r="D6719" s="2" t="s">
        <v>26</v>
      </c>
      <c r="E6719" s="2" t="s">
        <v>45</v>
      </c>
      <c r="F6719" s="2">
        <v>212.94</v>
      </c>
      <c r="G6719" s="2">
        <v>3</v>
      </c>
      <c r="H6719" s="2">
        <v>53.24</v>
      </c>
      <c r="I6719" t="str">
        <f t="shared" si="104"/>
        <v>Jan</v>
      </c>
      <c r="J6719">
        <f>YEAR(datas[[#This Row],[Order Date]])</f>
        <v>2024</v>
      </c>
    </row>
    <row r="6720" spans="1:10" ht="14.25" customHeight="1" x14ac:dyDescent="0.3">
      <c r="A6720" s="1">
        <v>45305</v>
      </c>
      <c r="B6720" s="2" t="s">
        <v>825</v>
      </c>
      <c r="C6720" s="2" t="s">
        <v>115</v>
      </c>
      <c r="D6720" s="2" t="s">
        <v>10</v>
      </c>
      <c r="E6720" s="2" t="s">
        <v>41</v>
      </c>
      <c r="F6720" s="2">
        <v>21.74</v>
      </c>
      <c r="G6720" s="2">
        <v>1</v>
      </c>
      <c r="H6720" s="2">
        <v>7.34</v>
      </c>
      <c r="I6720" t="str">
        <f t="shared" si="104"/>
        <v>Jan</v>
      </c>
      <c r="J6720">
        <f>YEAR(datas[[#This Row],[Order Date]])</f>
        <v>2024</v>
      </c>
    </row>
    <row r="6721" spans="1:10" ht="14.25" customHeight="1" x14ac:dyDescent="0.3">
      <c r="A6721" s="1">
        <v>45305</v>
      </c>
      <c r="B6721" s="2" t="s">
        <v>825</v>
      </c>
      <c r="C6721" s="2" t="s">
        <v>115</v>
      </c>
      <c r="D6721" s="2" t="s">
        <v>28</v>
      </c>
      <c r="E6721" s="2" t="s">
        <v>29</v>
      </c>
      <c r="F6721" s="2">
        <v>7.92</v>
      </c>
      <c r="G6721" s="2">
        <v>5</v>
      </c>
      <c r="H6721" s="2">
        <v>0.69</v>
      </c>
      <c r="I6721" t="str">
        <f t="shared" si="104"/>
        <v>Jan</v>
      </c>
      <c r="J6721">
        <f>YEAR(datas[[#This Row],[Order Date]])</f>
        <v>2024</v>
      </c>
    </row>
    <row r="6722" spans="1:10" ht="14.25" customHeight="1" x14ac:dyDescent="0.3">
      <c r="A6722" s="1">
        <v>45305</v>
      </c>
      <c r="B6722" s="2" t="s">
        <v>681</v>
      </c>
      <c r="C6722" s="2" t="s">
        <v>126</v>
      </c>
      <c r="D6722" s="2" t="s">
        <v>28</v>
      </c>
      <c r="E6722" s="2" t="s">
        <v>34</v>
      </c>
      <c r="F6722" s="2">
        <v>169.06</v>
      </c>
      <c r="G6722" s="2">
        <v>7</v>
      </c>
      <c r="H6722" s="2">
        <v>-14.79</v>
      </c>
      <c r="I6722" t="str">
        <f t="shared" si="104"/>
        <v>Jan</v>
      </c>
      <c r="J6722">
        <f>YEAR(datas[[#This Row],[Order Date]])</f>
        <v>2024</v>
      </c>
    </row>
    <row r="6723" spans="1:10" ht="14.25" customHeight="1" x14ac:dyDescent="0.3">
      <c r="A6723" s="1">
        <v>45305</v>
      </c>
      <c r="B6723" s="2" t="s">
        <v>681</v>
      </c>
      <c r="C6723" s="2" t="s">
        <v>126</v>
      </c>
      <c r="D6723" s="2" t="s">
        <v>10</v>
      </c>
      <c r="E6723" s="2" t="s">
        <v>15</v>
      </c>
      <c r="F6723" s="2">
        <v>168.62</v>
      </c>
      <c r="G6723" s="2">
        <v>9</v>
      </c>
      <c r="H6723" s="2">
        <v>14.75</v>
      </c>
      <c r="I6723" t="str">
        <f t="shared" ref="I6723:I6786" si="105">TEXT(A6723,"mmm")</f>
        <v>Jan</v>
      </c>
      <c r="J6723">
        <f>YEAR(datas[[#This Row],[Order Date]])</f>
        <v>2024</v>
      </c>
    </row>
    <row r="6724" spans="1:10" ht="14.25" customHeight="1" x14ac:dyDescent="0.3">
      <c r="A6724" s="1">
        <v>45305</v>
      </c>
      <c r="B6724" s="2" t="s">
        <v>315</v>
      </c>
      <c r="C6724" s="2" t="s">
        <v>62</v>
      </c>
      <c r="D6724" s="2" t="s">
        <v>10</v>
      </c>
      <c r="E6724" s="2" t="s">
        <v>41</v>
      </c>
      <c r="F6724" s="2">
        <v>18.34</v>
      </c>
      <c r="G6724" s="2">
        <v>3</v>
      </c>
      <c r="H6724" s="2">
        <v>6.65</v>
      </c>
      <c r="I6724" t="str">
        <f t="shared" si="105"/>
        <v>Jan</v>
      </c>
      <c r="J6724">
        <f>YEAR(datas[[#This Row],[Order Date]])</f>
        <v>2024</v>
      </c>
    </row>
    <row r="6725" spans="1:10" ht="14.25" customHeight="1" x14ac:dyDescent="0.3">
      <c r="A6725" s="1">
        <v>45305</v>
      </c>
      <c r="B6725" s="2" t="s">
        <v>315</v>
      </c>
      <c r="C6725" s="2" t="s">
        <v>62</v>
      </c>
      <c r="D6725" s="2" t="s">
        <v>10</v>
      </c>
      <c r="E6725" s="2" t="s">
        <v>11</v>
      </c>
      <c r="F6725" s="2">
        <v>36.29</v>
      </c>
      <c r="G6725" s="2">
        <v>7</v>
      </c>
      <c r="H6725" s="2">
        <v>12.7</v>
      </c>
      <c r="I6725" t="str">
        <f t="shared" si="105"/>
        <v>Jan</v>
      </c>
      <c r="J6725">
        <f>YEAR(datas[[#This Row],[Order Date]])</f>
        <v>2024</v>
      </c>
    </row>
    <row r="6726" spans="1:10" ht="14.25" customHeight="1" x14ac:dyDescent="0.3">
      <c r="A6726" s="1">
        <v>45305</v>
      </c>
      <c r="B6726" s="2" t="s">
        <v>315</v>
      </c>
      <c r="C6726" s="2" t="s">
        <v>62</v>
      </c>
      <c r="D6726" s="2" t="s">
        <v>28</v>
      </c>
      <c r="E6726" s="2" t="s">
        <v>29</v>
      </c>
      <c r="F6726" s="2">
        <v>111.98</v>
      </c>
      <c r="G6726" s="2">
        <v>2</v>
      </c>
      <c r="H6726" s="2">
        <v>7</v>
      </c>
      <c r="I6726" t="str">
        <f t="shared" si="105"/>
        <v>Jan</v>
      </c>
      <c r="J6726">
        <f>YEAR(datas[[#This Row],[Order Date]])</f>
        <v>2024</v>
      </c>
    </row>
    <row r="6727" spans="1:10" ht="14.25" customHeight="1" x14ac:dyDescent="0.3">
      <c r="A6727" s="1">
        <v>45305</v>
      </c>
      <c r="B6727" s="2" t="s">
        <v>315</v>
      </c>
      <c r="C6727" s="2" t="s">
        <v>62</v>
      </c>
      <c r="D6727" s="2" t="s">
        <v>10</v>
      </c>
      <c r="E6727" s="2" t="s">
        <v>16</v>
      </c>
      <c r="F6727" s="2">
        <v>5.97</v>
      </c>
      <c r="G6727" s="2">
        <v>5</v>
      </c>
      <c r="H6727" s="2">
        <v>-4.58</v>
      </c>
      <c r="I6727" t="str">
        <f t="shared" si="105"/>
        <v>Jan</v>
      </c>
      <c r="J6727">
        <f>YEAR(datas[[#This Row],[Order Date]])</f>
        <v>2024</v>
      </c>
    </row>
    <row r="6728" spans="1:10" ht="14.25" customHeight="1" x14ac:dyDescent="0.3">
      <c r="A6728" s="1">
        <v>45305</v>
      </c>
      <c r="B6728" s="2" t="s">
        <v>315</v>
      </c>
      <c r="C6728" s="2" t="s">
        <v>62</v>
      </c>
      <c r="D6728" s="2" t="s">
        <v>10</v>
      </c>
      <c r="E6728" s="2" t="s">
        <v>16</v>
      </c>
      <c r="F6728" s="2">
        <v>2.5099999999999998</v>
      </c>
      <c r="G6728" s="2">
        <v>2</v>
      </c>
      <c r="H6728" s="2">
        <v>-1.84</v>
      </c>
      <c r="I6728" t="str">
        <f t="shared" si="105"/>
        <v>Jan</v>
      </c>
      <c r="J6728">
        <f>YEAR(datas[[#This Row],[Order Date]])</f>
        <v>2024</v>
      </c>
    </row>
    <row r="6729" spans="1:10" ht="14.25" customHeight="1" x14ac:dyDescent="0.3">
      <c r="A6729" s="1">
        <v>45305</v>
      </c>
      <c r="B6729" s="2" t="s">
        <v>776</v>
      </c>
      <c r="C6729" s="2" t="s">
        <v>21</v>
      </c>
      <c r="D6729" s="2" t="s">
        <v>10</v>
      </c>
      <c r="E6729" s="2" t="s">
        <v>11</v>
      </c>
      <c r="F6729" s="2">
        <v>154.9</v>
      </c>
      <c r="G6729" s="2">
        <v>5</v>
      </c>
      <c r="H6729" s="2">
        <v>69.709999999999994</v>
      </c>
      <c r="I6729" t="str">
        <f t="shared" si="105"/>
        <v>Jan</v>
      </c>
      <c r="J6729">
        <f>YEAR(datas[[#This Row],[Order Date]])</f>
        <v>2024</v>
      </c>
    </row>
    <row r="6730" spans="1:10" ht="14.25" customHeight="1" x14ac:dyDescent="0.3">
      <c r="A6730" s="1">
        <v>45305</v>
      </c>
      <c r="B6730" s="2" t="s">
        <v>108</v>
      </c>
      <c r="C6730" s="2" t="s">
        <v>68</v>
      </c>
      <c r="D6730" s="2" t="s">
        <v>10</v>
      </c>
      <c r="E6730" s="2" t="s">
        <v>15</v>
      </c>
      <c r="F6730" s="2">
        <v>67.400000000000006</v>
      </c>
      <c r="G6730" s="2">
        <v>5</v>
      </c>
      <c r="H6730" s="2">
        <v>17.52</v>
      </c>
      <c r="I6730" t="str">
        <f t="shared" si="105"/>
        <v>Jan</v>
      </c>
      <c r="J6730">
        <f>YEAR(datas[[#This Row],[Order Date]])</f>
        <v>2024</v>
      </c>
    </row>
    <row r="6731" spans="1:10" ht="14.25" customHeight="1" x14ac:dyDescent="0.3">
      <c r="A6731" s="1">
        <v>45305</v>
      </c>
      <c r="B6731" s="2" t="s">
        <v>108</v>
      </c>
      <c r="C6731" s="2" t="s">
        <v>68</v>
      </c>
      <c r="D6731" s="2" t="s">
        <v>10</v>
      </c>
      <c r="E6731" s="2" t="s">
        <v>30</v>
      </c>
      <c r="F6731" s="2">
        <v>2.52</v>
      </c>
      <c r="G6731" s="2">
        <v>2</v>
      </c>
      <c r="H6731" s="2">
        <v>0.1</v>
      </c>
      <c r="I6731" t="str">
        <f t="shared" si="105"/>
        <v>Jan</v>
      </c>
      <c r="J6731">
        <f>YEAR(datas[[#This Row],[Order Date]])</f>
        <v>2024</v>
      </c>
    </row>
    <row r="6732" spans="1:10" ht="14.25" customHeight="1" x14ac:dyDescent="0.3">
      <c r="A6732" s="1">
        <v>45305</v>
      </c>
      <c r="B6732" s="2" t="s">
        <v>108</v>
      </c>
      <c r="C6732" s="2" t="s">
        <v>68</v>
      </c>
      <c r="D6732" s="2" t="s">
        <v>28</v>
      </c>
      <c r="E6732" s="2" t="s">
        <v>29</v>
      </c>
      <c r="F6732" s="2">
        <v>67.8</v>
      </c>
      <c r="G6732" s="2">
        <v>4</v>
      </c>
      <c r="H6732" s="2">
        <v>1.36</v>
      </c>
      <c r="I6732" t="str">
        <f t="shared" si="105"/>
        <v>Jan</v>
      </c>
      <c r="J6732">
        <f>YEAR(datas[[#This Row],[Order Date]])</f>
        <v>2024</v>
      </c>
    </row>
    <row r="6733" spans="1:10" ht="14.25" customHeight="1" x14ac:dyDescent="0.3">
      <c r="A6733" s="1">
        <v>45305</v>
      </c>
      <c r="B6733" s="2" t="s">
        <v>108</v>
      </c>
      <c r="C6733" s="2" t="s">
        <v>68</v>
      </c>
      <c r="D6733" s="2" t="s">
        <v>10</v>
      </c>
      <c r="E6733" s="2" t="s">
        <v>15</v>
      </c>
      <c r="F6733" s="2">
        <v>18.760000000000002</v>
      </c>
      <c r="G6733" s="2">
        <v>2</v>
      </c>
      <c r="H6733" s="2">
        <v>5.25</v>
      </c>
      <c r="I6733" t="str">
        <f t="shared" si="105"/>
        <v>Jan</v>
      </c>
      <c r="J6733">
        <f>YEAR(datas[[#This Row],[Order Date]])</f>
        <v>2024</v>
      </c>
    </row>
    <row r="6734" spans="1:10" ht="14.25" customHeight="1" x14ac:dyDescent="0.3">
      <c r="A6734" s="1">
        <v>45305</v>
      </c>
      <c r="B6734" s="2" t="s">
        <v>108</v>
      </c>
      <c r="C6734" s="2" t="s">
        <v>68</v>
      </c>
      <c r="D6734" s="2" t="s">
        <v>28</v>
      </c>
      <c r="E6734" s="2" t="s">
        <v>34</v>
      </c>
      <c r="F6734" s="2">
        <v>12.12</v>
      </c>
      <c r="G6734" s="2">
        <v>4</v>
      </c>
      <c r="H6734" s="2">
        <v>2.5499999999999998</v>
      </c>
      <c r="I6734" t="str">
        <f t="shared" si="105"/>
        <v>Jan</v>
      </c>
      <c r="J6734">
        <f>YEAR(datas[[#This Row],[Order Date]])</f>
        <v>2024</v>
      </c>
    </row>
    <row r="6735" spans="1:10" ht="14.25" customHeight="1" x14ac:dyDescent="0.3">
      <c r="A6735" s="1">
        <v>45305</v>
      </c>
      <c r="B6735" s="2" t="s">
        <v>108</v>
      </c>
      <c r="C6735" s="2" t="s">
        <v>68</v>
      </c>
      <c r="D6735" s="2" t="s">
        <v>10</v>
      </c>
      <c r="E6735" s="2" t="s">
        <v>11</v>
      </c>
      <c r="F6735" s="2">
        <v>11.34</v>
      </c>
      <c r="G6735" s="2">
        <v>1</v>
      </c>
      <c r="H6735" s="2">
        <v>5.56</v>
      </c>
      <c r="I6735" t="str">
        <f t="shared" si="105"/>
        <v>Jan</v>
      </c>
      <c r="J6735">
        <f>YEAR(datas[[#This Row],[Order Date]])</f>
        <v>2024</v>
      </c>
    </row>
    <row r="6736" spans="1:10" ht="14.25" customHeight="1" x14ac:dyDescent="0.3">
      <c r="A6736" s="1">
        <v>45305</v>
      </c>
      <c r="B6736" s="2" t="s">
        <v>108</v>
      </c>
      <c r="C6736" s="2" t="s">
        <v>68</v>
      </c>
      <c r="D6736" s="2" t="s">
        <v>28</v>
      </c>
      <c r="E6736" s="2" t="s">
        <v>34</v>
      </c>
      <c r="F6736" s="2">
        <v>159.80000000000001</v>
      </c>
      <c r="G6736" s="2">
        <v>4</v>
      </c>
      <c r="H6736" s="2">
        <v>70.31</v>
      </c>
      <c r="I6736" t="str">
        <f t="shared" si="105"/>
        <v>Jan</v>
      </c>
      <c r="J6736">
        <f>YEAR(datas[[#This Row],[Order Date]])</f>
        <v>2024</v>
      </c>
    </row>
    <row r="6737" spans="1:10" ht="14.25" customHeight="1" x14ac:dyDescent="0.3">
      <c r="A6737" s="1">
        <v>45305</v>
      </c>
      <c r="B6737" s="2" t="s">
        <v>108</v>
      </c>
      <c r="C6737" s="2" t="s">
        <v>68</v>
      </c>
      <c r="D6737" s="2" t="s">
        <v>26</v>
      </c>
      <c r="E6737" s="2" t="s">
        <v>32</v>
      </c>
      <c r="F6737" s="2">
        <v>18.96</v>
      </c>
      <c r="G6737" s="2">
        <v>2</v>
      </c>
      <c r="H6737" s="2">
        <v>8.5299999999999994</v>
      </c>
      <c r="I6737" t="str">
        <f t="shared" si="105"/>
        <v>Jan</v>
      </c>
      <c r="J6737">
        <f>YEAR(datas[[#This Row],[Order Date]])</f>
        <v>2024</v>
      </c>
    </row>
    <row r="6738" spans="1:10" ht="14.25" customHeight="1" x14ac:dyDescent="0.3">
      <c r="A6738" s="1">
        <v>45306</v>
      </c>
      <c r="B6738" s="2" t="s">
        <v>832</v>
      </c>
      <c r="C6738" s="2" t="s">
        <v>18</v>
      </c>
      <c r="D6738" s="2" t="s">
        <v>10</v>
      </c>
      <c r="E6738" s="2" t="s">
        <v>53</v>
      </c>
      <c r="F6738" s="2">
        <v>34.380000000000003</v>
      </c>
      <c r="G6738" s="2">
        <v>1</v>
      </c>
      <c r="H6738" s="2">
        <v>3.87</v>
      </c>
      <c r="I6738" t="str">
        <f t="shared" si="105"/>
        <v>Jan</v>
      </c>
      <c r="J6738">
        <f>YEAR(datas[[#This Row],[Order Date]])</f>
        <v>2024</v>
      </c>
    </row>
    <row r="6739" spans="1:10" ht="14.25" customHeight="1" x14ac:dyDescent="0.3">
      <c r="A6739" s="1">
        <v>45306</v>
      </c>
      <c r="B6739" s="2" t="s">
        <v>832</v>
      </c>
      <c r="C6739" s="2" t="s">
        <v>18</v>
      </c>
      <c r="D6739" s="2" t="s">
        <v>10</v>
      </c>
      <c r="E6739" s="2" t="s">
        <v>53</v>
      </c>
      <c r="F6739" s="2">
        <v>1924.16</v>
      </c>
      <c r="G6739" s="2">
        <v>8</v>
      </c>
      <c r="H6739" s="2">
        <v>312.68</v>
      </c>
      <c r="I6739" t="str">
        <f t="shared" si="105"/>
        <v>Jan</v>
      </c>
      <c r="J6739">
        <f>YEAR(datas[[#This Row],[Order Date]])</f>
        <v>2024</v>
      </c>
    </row>
    <row r="6740" spans="1:10" ht="14.25" customHeight="1" x14ac:dyDescent="0.3">
      <c r="A6740" s="1">
        <v>45306</v>
      </c>
      <c r="B6740" s="2" t="s">
        <v>92</v>
      </c>
      <c r="C6740" s="2" t="s">
        <v>181</v>
      </c>
      <c r="D6740" s="2" t="s">
        <v>10</v>
      </c>
      <c r="E6740" s="2" t="s">
        <v>11</v>
      </c>
      <c r="F6740" s="2">
        <v>12.7</v>
      </c>
      <c r="G6740" s="2">
        <v>2</v>
      </c>
      <c r="H6740" s="2">
        <v>5.84</v>
      </c>
      <c r="I6740" t="str">
        <f t="shared" si="105"/>
        <v>Jan</v>
      </c>
      <c r="J6740">
        <f>YEAR(datas[[#This Row],[Order Date]])</f>
        <v>2024</v>
      </c>
    </row>
    <row r="6741" spans="1:10" ht="14.25" customHeight="1" x14ac:dyDescent="0.3">
      <c r="A6741" s="1">
        <v>45306</v>
      </c>
      <c r="B6741" s="2" t="s">
        <v>796</v>
      </c>
      <c r="C6741" s="2" t="s">
        <v>21</v>
      </c>
      <c r="D6741" s="2" t="s">
        <v>10</v>
      </c>
      <c r="E6741" s="2" t="s">
        <v>19</v>
      </c>
      <c r="F6741" s="2">
        <v>21.4</v>
      </c>
      <c r="G6741" s="2">
        <v>5</v>
      </c>
      <c r="H6741" s="2">
        <v>6.21</v>
      </c>
      <c r="I6741" t="str">
        <f t="shared" si="105"/>
        <v>Jan</v>
      </c>
      <c r="J6741">
        <f>YEAR(datas[[#This Row],[Order Date]])</f>
        <v>2024</v>
      </c>
    </row>
    <row r="6742" spans="1:10" ht="14.25" customHeight="1" x14ac:dyDescent="0.3">
      <c r="A6742" s="1">
        <v>45306</v>
      </c>
      <c r="B6742" s="2" t="s">
        <v>632</v>
      </c>
      <c r="C6742" s="2" t="s">
        <v>9</v>
      </c>
      <c r="D6742" s="2" t="s">
        <v>10</v>
      </c>
      <c r="E6742" s="2" t="s">
        <v>16</v>
      </c>
      <c r="F6742" s="2">
        <v>32.78</v>
      </c>
      <c r="G6742" s="2">
        <v>4</v>
      </c>
      <c r="H6742" s="2">
        <v>-52.45</v>
      </c>
      <c r="I6742" t="str">
        <f t="shared" si="105"/>
        <v>Jan</v>
      </c>
      <c r="J6742">
        <f>YEAR(datas[[#This Row],[Order Date]])</f>
        <v>2024</v>
      </c>
    </row>
    <row r="6743" spans="1:10" ht="14.25" customHeight="1" x14ac:dyDescent="0.3">
      <c r="A6743" s="1">
        <v>45306</v>
      </c>
      <c r="B6743" s="2" t="s">
        <v>632</v>
      </c>
      <c r="C6743" s="2" t="s">
        <v>9</v>
      </c>
      <c r="D6743" s="2" t="s">
        <v>28</v>
      </c>
      <c r="E6743" s="2" t="s">
        <v>34</v>
      </c>
      <c r="F6743" s="2">
        <v>47.98</v>
      </c>
      <c r="G6743" s="2">
        <v>2</v>
      </c>
      <c r="H6743" s="2">
        <v>14.4</v>
      </c>
      <c r="I6743" t="str">
        <f t="shared" si="105"/>
        <v>Jan</v>
      </c>
      <c r="J6743">
        <f>YEAR(datas[[#This Row],[Order Date]])</f>
        <v>2024</v>
      </c>
    </row>
    <row r="6744" spans="1:10" ht="14.25" customHeight="1" x14ac:dyDescent="0.3">
      <c r="A6744" s="1">
        <v>45306</v>
      </c>
      <c r="B6744" s="2" t="s">
        <v>632</v>
      </c>
      <c r="C6744" s="2" t="s">
        <v>9</v>
      </c>
      <c r="D6744" s="2" t="s">
        <v>28</v>
      </c>
      <c r="E6744" s="2" t="s">
        <v>34</v>
      </c>
      <c r="F6744" s="2">
        <v>62.59</v>
      </c>
      <c r="G6744" s="2">
        <v>8</v>
      </c>
      <c r="H6744" s="2">
        <v>13.3</v>
      </c>
      <c r="I6744" t="str">
        <f t="shared" si="105"/>
        <v>Jan</v>
      </c>
      <c r="J6744">
        <f>YEAR(datas[[#This Row],[Order Date]])</f>
        <v>2024</v>
      </c>
    </row>
    <row r="6745" spans="1:10" ht="14.25" customHeight="1" x14ac:dyDescent="0.3">
      <c r="A6745" s="1">
        <v>45306</v>
      </c>
      <c r="B6745" s="2" t="s">
        <v>632</v>
      </c>
      <c r="C6745" s="2" t="s">
        <v>9</v>
      </c>
      <c r="D6745" s="2" t="s">
        <v>10</v>
      </c>
      <c r="E6745" s="2" t="s">
        <v>16</v>
      </c>
      <c r="F6745" s="2">
        <v>4.28</v>
      </c>
      <c r="G6745" s="2">
        <v>1</v>
      </c>
      <c r="H6745" s="2">
        <v>-6.63</v>
      </c>
      <c r="I6745" t="str">
        <f t="shared" si="105"/>
        <v>Jan</v>
      </c>
      <c r="J6745">
        <f>YEAR(datas[[#This Row],[Order Date]])</f>
        <v>2024</v>
      </c>
    </row>
    <row r="6746" spans="1:10" ht="14.25" customHeight="1" x14ac:dyDescent="0.3">
      <c r="A6746" s="1">
        <v>45307</v>
      </c>
      <c r="B6746" s="2" t="s">
        <v>22</v>
      </c>
      <c r="C6746" s="2" t="s">
        <v>21</v>
      </c>
      <c r="D6746" s="2" t="s">
        <v>26</v>
      </c>
      <c r="E6746" s="2" t="s">
        <v>32</v>
      </c>
      <c r="F6746" s="2">
        <v>27.92</v>
      </c>
      <c r="G6746" s="2">
        <v>4</v>
      </c>
      <c r="H6746" s="2">
        <v>8.1</v>
      </c>
      <c r="I6746" t="str">
        <f t="shared" si="105"/>
        <v>Jan</v>
      </c>
      <c r="J6746">
        <f>YEAR(datas[[#This Row],[Order Date]])</f>
        <v>2024</v>
      </c>
    </row>
    <row r="6747" spans="1:10" ht="14.25" customHeight="1" x14ac:dyDescent="0.3">
      <c r="A6747" s="1">
        <v>45307</v>
      </c>
      <c r="B6747" s="2" t="s">
        <v>22</v>
      </c>
      <c r="C6747" s="2" t="s">
        <v>21</v>
      </c>
      <c r="D6747" s="2" t="s">
        <v>26</v>
      </c>
      <c r="E6747" s="2" t="s">
        <v>73</v>
      </c>
      <c r="F6747" s="2">
        <v>399.67</v>
      </c>
      <c r="G6747" s="2">
        <v>7</v>
      </c>
      <c r="H6747" s="2">
        <v>-14.99</v>
      </c>
      <c r="I6747" t="str">
        <f t="shared" si="105"/>
        <v>Jan</v>
      </c>
      <c r="J6747">
        <f>YEAR(datas[[#This Row],[Order Date]])</f>
        <v>2024</v>
      </c>
    </row>
    <row r="6748" spans="1:10" ht="14.25" customHeight="1" x14ac:dyDescent="0.3">
      <c r="A6748" s="1">
        <v>45307</v>
      </c>
      <c r="B6748" s="2" t="s">
        <v>611</v>
      </c>
      <c r="C6748" s="2" t="s">
        <v>60</v>
      </c>
      <c r="D6748" s="2" t="s">
        <v>10</v>
      </c>
      <c r="E6748" s="2" t="s">
        <v>16</v>
      </c>
      <c r="F6748" s="2">
        <v>5443.96</v>
      </c>
      <c r="G6748" s="2">
        <v>4</v>
      </c>
      <c r="H6748" s="2">
        <v>2504.2199999999998</v>
      </c>
      <c r="I6748" t="str">
        <f t="shared" si="105"/>
        <v>Jan</v>
      </c>
      <c r="J6748">
        <f>YEAR(datas[[#This Row],[Order Date]])</f>
        <v>2024</v>
      </c>
    </row>
    <row r="6749" spans="1:10" ht="14.25" customHeight="1" x14ac:dyDescent="0.3">
      <c r="A6749" s="1">
        <v>45307</v>
      </c>
      <c r="B6749" s="2" t="s">
        <v>611</v>
      </c>
      <c r="C6749" s="2" t="s">
        <v>60</v>
      </c>
      <c r="D6749" s="2" t="s">
        <v>26</v>
      </c>
      <c r="E6749" s="2" t="s">
        <v>27</v>
      </c>
      <c r="F6749" s="2">
        <v>302.67</v>
      </c>
      <c r="G6749" s="2">
        <v>3</v>
      </c>
      <c r="H6749" s="2">
        <v>72.64</v>
      </c>
      <c r="I6749" t="str">
        <f t="shared" si="105"/>
        <v>Jan</v>
      </c>
      <c r="J6749">
        <f>YEAR(datas[[#This Row],[Order Date]])</f>
        <v>2024</v>
      </c>
    </row>
    <row r="6750" spans="1:10" ht="14.25" customHeight="1" x14ac:dyDescent="0.3">
      <c r="A6750" s="1">
        <v>45307</v>
      </c>
      <c r="B6750" s="2" t="s">
        <v>611</v>
      </c>
      <c r="C6750" s="2" t="s">
        <v>60</v>
      </c>
      <c r="D6750" s="2" t="s">
        <v>10</v>
      </c>
      <c r="E6750" s="2" t="s">
        <v>11</v>
      </c>
      <c r="F6750" s="2">
        <v>56.07</v>
      </c>
      <c r="G6750" s="2">
        <v>7</v>
      </c>
      <c r="H6750" s="2">
        <v>25.23</v>
      </c>
      <c r="I6750" t="str">
        <f t="shared" si="105"/>
        <v>Jan</v>
      </c>
      <c r="J6750">
        <f>YEAR(datas[[#This Row],[Order Date]])</f>
        <v>2024</v>
      </c>
    </row>
    <row r="6751" spans="1:10" ht="14.25" customHeight="1" x14ac:dyDescent="0.3">
      <c r="A6751" s="1">
        <v>45310</v>
      </c>
      <c r="B6751" s="2" t="s">
        <v>343</v>
      </c>
      <c r="C6751" s="2" t="s">
        <v>9</v>
      </c>
      <c r="D6751" s="2" t="s">
        <v>10</v>
      </c>
      <c r="E6751" s="2" t="s">
        <v>14</v>
      </c>
      <c r="F6751" s="2">
        <v>6</v>
      </c>
      <c r="G6751" s="2">
        <v>2</v>
      </c>
      <c r="H6751" s="2">
        <v>2.1</v>
      </c>
      <c r="I6751" t="str">
        <f t="shared" si="105"/>
        <v>Jan</v>
      </c>
      <c r="J6751">
        <f>YEAR(datas[[#This Row],[Order Date]])</f>
        <v>2024</v>
      </c>
    </row>
    <row r="6752" spans="1:10" ht="14.25" customHeight="1" x14ac:dyDescent="0.3">
      <c r="A6752" s="1">
        <v>45310</v>
      </c>
      <c r="B6752" s="2" t="s">
        <v>852</v>
      </c>
      <c r="C6752" s="2" t="s">
        <v>18</v>
      </c>
      <c r="D6752" s="2" t="s">
        <v>28</v>
      </c>
      <c r="E6752" s="2" t="s">
        <v>29</v>
      </c>
      <c r="F6752" s="2">
        <v>429.6</v>
      </c>
      <c r="G6752" s="2">
        <v>2</v>
      </c>
      <c r="H6752" s="2">
        <v>-93.08</v>
      </c>
      <c r="I6752" t="str">
        <f t="shared" si="105"/>
        <v>Jan</v>
      </c>
      <c r="J6752">
        <f>YEAR(datas[[#This Row],[Order Date]])</f>
        <v>2024</v>
      </c>
    </row>
    <row r="6753" spans="1:10" ht="14.25" customHeight="1" x14ac:dyDescent="0.3">
      <c r="A6753" s="1">
        <v>45310</v>
      </c>
      <c r="B6753" s="2" t="s">
        <v>852</v>
      </c>
      <c r="C6753" s="2" t="s">
        <v>18</v>
      </c>
      <c r="D6753" s="2" t="s">
        <v>26</v>
      </c>
      <c r="E6753" s="2" t="s">
        <v>32</v>
      </c>
      <c r="F6753" s="2">
        <v>31.97</v>
      </c>
      <c r="G6753" s="2">
        <v>2</v>
      </c>
      <c r="H6753" s="2">
        <v>6.39</v>
      </c>
      <c r="I6753" t="str">
        <f t="shared" si="105"/>
        <v>Jan</v>
      </c>
      <c r="J6753">
        <f>YEAR(datas[[#This Row],[Order Date]])</f>
        <v>2024</v>
      </c>
    </row>
    <row r="6754" spans="1:10" ht="14.25" customHeight="1" x14ac:dyDescent="0.3">
      <c r="A6754" s="1">
        <v>45310</v>
      </c>
      <c r="B6754" s="2" t="s">
        <v>852</v>
      </c>
      <c r="C6754" s="2" t="s">
        <v>18</v>
      </c>
      <c r="D6754" s="2" t="s">
        <v>26</v>
      </c>
      <c r="E6754" s="2" t="s">
        <v>27</v>
      </c>
      <c r="F6754" s="2">
        <v>887.27</v>
      </c>
      <c r="G6754" s="2">
        <v>3</v>
      </c>
      <c r="H6754" s="2">
        <v>-63.38</v>
      </c>
      <c r="I6754" t="str">
        <f t="shared" si="105"/>
        <v>Jan</v>
      </c>
      <c r="J6754">
        <f>YEAR(datas[[#This Row],[Order Date]])</f>
        <v>2024</v>
      </c>
    </row>
    <row r="6755" spans="1:10" ht="14.25" customHeight="1" x14ac:dyDescent="0.3">
      <c r="A6755" s="1">
        <v>45310</v>
      </c>
      <c r="B6755" s="2" t="s">
        <v>852</v>
      </c>
      <c r="C6755" s="2" t="s">
        <v>18</v>
      </c>
      <c r="D6755" s="2" t="s">
        <v>10</v>
      </c>
      <c r="E6755" s="2" t="s">
        <v>11</v>
      </c>
      <c r="F6755" s="2">
        <v>21.7</v>
      </c>
      <c r="G6755" s="2">
        <v>4</v>
      </c>
      <c r="H6755" s="2">
        <v>7.05</v>
      </c>
      <c r="I6755" t="str">
        <f t="shared" si="105"/>
        <v>Jan</v>
      </c>
      <c r="J6755">
        <f>YEAR(datas[[#This Row],[Order Date]])</f>
        <v>2024</v>
      </c>
    </row>
    <row r="6756" spans="1:10" ht="14.25" customHeight="1" x14ac:dyDescent="0.3">
      <c r="A6756" s="1">
        <v>45310</v>
      </c>
      <c r="B6756" s="2" t="s">
        <v>261</v>
      </c>
      <c r="C6756" s="2" t="s">
        <v>785</v>
      </c>
      <c r="D6756" s="2" t="s">
        <v>10</v>
      </c>
      <c r="E6756" s="2" t="s">
        <v>11</v>
      </c>
      <c r="F6756" s="2">
        <v>79.92</v>
      </c>
      <c r="G6756" s="2">
        <v>4</v>
      </c>
      <c r="H6756" s="2">
        <v>37.56</v>
      </c>
      <c r="I6756" t="str">
        <f t="shared" si="105"/>
        <v>Jan</v>
      </c>
      <c r="J6756">
        <f>YEAR(datas[[#This Row],[Order Date]])</f>
        <v>2024</v>
      </c>
    </row>
    <row r="6757" spans="1:10" ht="14.25" customHeight="1" x14ac:dyDescent="0.3">
      <c r="A6757" s="1">
        <v>45310</v>
      </c>
      <c r="B6757" s="2" t="s">
        <v>261</v>
      </c>
      <c r="C6757" s="2" t="s">
        <v>785</v>
      </c>
      <c r="D6757" s="2" t="s">
        <v>10</v>
      </c>
      <c r="E6757" s="2" t="s">
        <v>11</v>
      </c>
      <c r="F6757" s="2">
        <v>12.28</v>
      </c>
      <c r="G6757" s="2">
        <v>1</v>
      </c>
      <c r="H6757" s="2">
        <v>5.77</v>
      </c>
      <c r="I6757" t="str">
        <f t="shared" si="105"/>
        <v>Jan</v>
      </c>
      <c r="J6757">
        <f>YEAR(datas[[#This Row],[Order Date]])</f>
        <v>2024</v>
      </c>
    </row>
    <row r="6758" spans="1:10" ht="14.25" customHeight="1" x14ac:dyDescent="0.3">
      <c r="A6758" s="1">
        <v>45310</v>
      </c>
      <c r="B6758" s="2" t="s">
        <v>261</v>
      </c>
      <c r="C6758" s="2" t="s">
        <v>785</v>
      </c>
      <c r="D6758" s="2" t="s">
        <v>10</v>
      </c>
      <c r="E6758" s="2" t="s">
        <v>53</v>
      </c>
      <c r="F6758" s="2">
        <v>542.94000000000005</v>
      </c>
      <c r="G6758" s="2">
        <v>3</v>
      </c>
      <c r="H6758" s="2">
        <v>152.02000000000001</v>
      </c>
      <c r="I6758" t="str">
        <f t="shared" si="105"/>
        <v>Jan</v>
      </c>
      <c r="J6758">
        <f>YEAR(datas[[#This Row],[Order Date]])</f>
        <v>2024</v>
      </c>
    </row>
    <row r="6759" spans="1:10" ht="14.25" customHeight="1" x14ac:dyDescent="0.3">
      <c r="A6759" s="1">
        <v>45310</v>
      </c>
      <c r="B6759" s="2" t="s">
        <v>261</v>
      </c>
      <c r="C6759" s="2" t="s">
        <v>785</v>
      </c>
      <c r="D6759" s="2" t="s">
        <v>10</v>
      </c>
      <c r="E6759" s="2" t="s">
        <v>41</v>
      </c>
      <c r="F6759" s="2">
        <v>2.04</v>
      </c>
      <c r="G6759" s="2">
        <v>1</v>
      </c>
      <c r="H6759" s="2">
        <v>0.96</v>
      </c>
      <c r="I6759" t="str">
        <f t="shared" si="105"/>
        <v>Jan</v>
      </c>
      <c r="J6759">
        <f>YEAR(datas[[#This Row],[Order Date]])</f>
        <v>2024</v>
      </c>
    </row>
    <row r="6760" spans="1:10" ht="14.25" customHeight="1" x14ac:dyDescent="0.3">
      <c r="A6760" s="1">
        <v>45311</v>
      </c>
      <c r="B6760" s="2" t="s">
        <v>829</v>
      </c>
      <c r="C6760" s="2" t="s">
        <v>75</v>
      </c>
      <c r="D6760" s="2" t="s">
        <v>26</v>
      </c>
      <c r="E6760" s="2" t="s">
        <v>27</v>
      </c>
      <c r="F6760" s="2">
        <v>207.85</v>
      </c>
      <c r="G6760" s="2">
        <v>3</v>
      </c>
      <c r="H6760" s="2">
        <v>2.31</v>
      </c>
      <c r="I6760" t="str">
        <f t="shared" si="105"/>
        <v>Jan</v>
      </c>
      <c r="J6760">
        <f>YEAR(datas[[#This Row],[Order Date]])</f>
        <v>2024</v>
      </c>
    </row>
    <row r="6761" spans="1:10" ht="14.25" customHeight="1" x14ac:dyDescent="0.3">
      <c r="A6761" s="1">
        <v>45311</v>
      </c>
      <c r="B6761" s="2" t="s">
        <v>504</v>
      </c>
      <c r="C6761" s="2" t="s">
        <v>21</v>
      </c>
      <c r="D6761" s="2" t="s">
        <v>28</v>
      </c>
      <c r="E6761" s="2" t="s">
        <v>29</v>
      </c>
      <c r="F6761" s="2">
        <v>160.78</v>
      </c>
      <c r="G6761" s="2">
        <v>3</v>
      </c>
      <c r="H6761" s="2">
        <v>10.050000000000001</v>
      </c>
      <c r="I6761" t="str">
        <f t="shared" si="105"/>
        <v>Jan</v>
      </c>
      <c r="J6761">
        <f>YEAR(datas[[#This Row],[Order Date]])</f>
        <v>2024</v>
      </c>
    </row>
    <row r="6762" spans="1:10" ht="14.25" customHeight="1" x14ac:dyDescent="0.3">
      <c r="A6762" s="1">
        <v>45311</v>
      </c>
      <c r="B6762" s="2" t="s">
        <v>102</v>
      </c>
      <c r="C6762" s="2" t="s">
        <v>21</v>
      </c>
      <c r="D6762" s="2" t="s">
        <v>10</v>
      </c>
      <c r="E6762" s="2" t="s">
        <v>19</v>
      </c>
      <c r="F6762" s="2">
        <v>24.2</v>
      </c>
      <c r="G6762" s="2">
        <v>5</v>
      </c>
      <c r="H6762" s="2">
        <v>7.99</v>
      </c>
      <c r="I6762" t="str">
        <f t="shared" si="105"/>
        <v>Jan</v>
      </c>
      <c r="J6762">
        <f>YEAR(datas[[#This Row],[Order Date]])</f>
        <v>2024</v>
      </c>
    </row>
    <row r="6763" spans="1:10" ht="14.25" customHeight="1" x14ac:dyDescent="0.3">
      <c r="A6763" s="1">
        <v>45311</v>
      </c>
      <c r="B6763" s="2" t="s">
        <v>102</v>
      </c>
      <c r="C6763" s="2" t="s">
        <v>21</v>
      </c>
      <c r="D6763" s="2" t="s">
        <v>28</v>
      </c>
      <c r="E6763" s="2" t="s">
        <v>29</v>
      </c>
      <c r="F6763" s="2">
        <v>359.98</v>
      </c>
      <c r="G6763" s="2">
        <v>3</v>
      </c>
      <c r="H6763" s="2">
        <v>130.49</v>
      </c>
      <c r="I6763" t="str">
        <f t="shared" si="105"/>
        <v>Jan</v>
      </c>
      <c r="J6763">
        <f>YEAR(datas[[#This Row],[Order Date]])</f>
        <v>2024</v>
      </c>
    </row>
    <row r="6764" spans="1:10" ht="14.25" customHeight="1" x14ac:dyDescent="0.3">
      <c r="A6764" s="1">
        <v>45311</v>
      </c>
      <c r="B6764" s="2" t="s">
        <v>538</v>
      </c>
      <c r="C6764" s="2" t="s">
        <v>248</v>
      </c>
      <c r="D6764" s="2" t="s">
        <v>10</v>
      </c>
      <c r="E6764" s="2" t="s">
        <v>19</v>
      </c>
      <c r="F6764" s="2">
        <v>3.52</v>
      </c>
      <c r="G6764" s="2">
        <v>2</v>
      </c>
      <c r="H6764" s="2">
        <v>1.02</v>
      </c>
      <c r="I6764" t="str">
        <f t="shared" si="105"/>
        <v>Jan</v>
      </c>
      <c r="J6764">
        <f>YEAR(datas[[#This Row],[Order Date]])</f>
        <v>2024</v>
      </c>
    </row>
    <row r="6765" spans="1:10" ht="14.25" customHeight="1" x14ac:dyDescent="0.3">
      <c r="A6765" s="1">
        <v>45311</v>
      </c>
      <c r="B6765" s="2" t="s">
        <v>577</v>
      </c>
      <c r="C6765" s="2" t="s">
        <v>13</v>
      </c>
      <c r="D6765" s="2" t="s">
        <v>10</v>
      </c>
      <c r="E6765" s="2" t="s">
        <v>14</v>
      </c>
      <c r="F6765" s="2">
        <v>11.52</v>
      </c>
      <c r="G6765" s="2">
        <v>5</v>
      </c>
      <c r="H6765" s="2">
        <v>4.18</v>
      </c>
      <c r="I6765" t="str">
        <f t="shared" si="105"/>
        <v>Jan</v>
      </c>
      <c r="J6765">
        <f>YEAR(datas[[#This Row],[Order Date]])</f>
        <v>2024</v>
      </c>
    </row>
    <row r="6766" spans="1:10" ht="14.25" customHeight="1" x14ac:dyDescent="0.3">
      <c r="A6766" s="1">
        <v>45312</v>
      </c>
      <c r="B6766" s="2" t="s">
        <v>361</v>
      </c>
      <c r="C6766" s="2" t="s">
        <v>82</v>
      </c>
      <c r="D6766" s="2" t="s">
        <v>10</v>
      </c>
      <c r="E6766" s="2" t="s">
        <v>15</v>
      </c>
      <c r="F6766" s="2">
        <v>242.94</v>
      </c>
      <c r="G6766" s="2">
        <v>3</v>
      </c>
      <c r="H6766" s="2">
        <v>9.7200000000000006</v>
      </c>
      <c r="I6766" t="str">
        <f t="shared" si="105"/>
        <v>Jan</v>
      </c>
      <c r="J6766">
        <f>YEAR(datas[[#This Row],[Order Date]])</f>
        <v>2024</v>
      </c>
    </row>
    <row r="6767" spans="1:10" ht="14.25" customHeight="1" x14ac:dyDescent="0.3">
      <c r="A6767" s="1">
        <v>45312</v>
      </c>
      <c r="B6767" s="2" t="s">
        <v>361</v>
      </c>
      <c r="C6767" s="2" t="s">
        <v>82</v>
      </c>
      <c r="D6767" s="2" t="s">
        <v>28</v>
      </c>
      <c r="E6767" s="2" t="s">
        <v>34</v>
      </c>
      <c r="F6767" s="2">
        <v>179.97</v>
      </c>
      <c r="G6767" s="2">
        <v>3</v>
      </c>
      <c r="H6767" s="2">
        <v>86.39</v>
      </c>
      <c r="I6767" t="str">
        <f t="shared" si="105"/>
        <v>Jan</v>
      </c>
      <c r="J6767">
        <f>YEAR(datas[[#This Row],[Order Date]])</f>
        <v>2024</v>
      </c>
    </row>
    <row r="6768" spans="1:10" ht="14.25" customHeight="1" x14ac:dyDescent="0.3">
      <c r="A6768" s="1">
        <v>45312</v>
      </c>
      <c r="B6768" s="2" t="s">
        <v>361</v>
      </c>
      <c r="C6768" s="2" t="s">
        <v>82</v>
      </c>
      <c r="D6768" s="2" t="s">
        <v>10</v>
      </c>
      <c r="E6768" s="2" t="s">
        <v>16</v>
      </c>
      <c r="F6768" s="2">
        <v>99.7</v>
      </c>
      <c r="G6768" s="2">
        <v>6</v>
      </c>
      <c r="H6768" s="2">
        <v>33.65</v>
      </c>
      <c r="I6768" t="str">
        <f t="shared" si="105"/>
        <v>Jan</v>
      </c>
      <c r="J6768">
        <f>YEAR(datas[[#This Row],[Order Date]])</f>
        <v>2024</v>
      </c>
    </row>
    <row r="6769" spans="1:10" ht="14.25" customHeight="1" x14ac:dyDescent="0.3">
      <c r="A6769" s="1">
        <v>45312</v>
      </c>
      <c r="B6769" s="2" t="s">
        <v>361</v>
      </c>
      <c r="C6769" s="2" t="s">
        <v>82</v>
      </c>
      <c r="D6769" s="2" t="s">
        <v>10</v>
      </c>
      <c r="E6769" s="2" t="s">
        <v>16</v>
      </c>
      <c r="F6769" s="2">
        <v>27.94</v>
      </c>
      <c r="G6769" s="2">
        <v>4</v>
      </c>
      <c r="H6769" s="2">
        <v>9.43</v>
      </c>
      <c r="I6769" t="str">
        <f t="shared" si="105"/>
        <v>Jan</v>
      </c>
      <c r="J6769">
        <f>YEAR(datas[[#This Row],[Order Date]])</f>
        <v>2024</v>
      </c>
    </row>
    <row r="6770" spans="1:10" ht="14.25" customHeight="1" x14ac:dyDescent="0.3">
      <c r="A6770" s="1">
        <v>45312</v>
      </c>
      <c r="B6770" s="2" t="s">
        <v>361</v>
      </c>
      <c r="C6770" s="2" t="s">
        <v>82</v>
      </c>
      <c r="D6770" s="2" t="s">
        <v>26</v>
      </c>
      <c r="E6770" s="2" t="s">
        <v>45</v>
      </c>
      <c r="F6770" s="2">
        <v>84.98</v>
      </c>
      <c r="G6770" s="2">
        <v>1</v>
      </c>
      <c r="H6770" s="2">
        <v>18.7</v>
      </c>
      <c r="I6770" t="str">
        <f t="shared" si="105"/>
        <v>Jan</v>
      </c>
      <c r="J6770">
        <f>YEAR(datas[[#This Row],[Order Date]])</f>
        <v>2024</v>
      </c>
    </row>
    <row r="6771" spans="1:10" ht="14.25" customHeight="1" x14ac:dyDescent="0.3">
      <c r="A6771" s="1">
        <v>45312</v>
      </c>
      <c r="B6771" s="2" t="s">
        <v>361</v>
      </c>
      <c r="C6771" s="2" t="s">
        <v>82</v>
      </c>
      <c r="D6771" s="2" t="s">
        <v>10</v>
      </c>
      <c r="E6771" s="2" t="s">
        <v>16</v>
      </c>
      <c r="F6771" s="2">
        <v>18.72</v>
      </c>
      <c r="G6771" s="2">
        <v>5</v>
      </c>
      <c r="H6771" s="2">
        <v>6.55</v>
      </c>
      <c r="I6771" t="str">
        <f t="shared" si="105"/>
        <v>Jan</v>
      </c>
      <c r="J6771">
        <f>YEAR(datas[[#This Row],[Order Date]])</f>
        <v>2024</v>
      </c>
    </row>
    <row r="6772" spans="1:10" ht="14.25" customHeight="1" x14ac:dyDescent="0.3">
      <c r="A6772" s="1">
        <v>45312</v>
      </c>
      <c r="B6772" s="2" t="s">
        <v>649</v>
      </c>
      <c r="C6772" s="2" t="s">
        <v>115</v>
      </c>
      <c r="D6772" s="2" t="s">
        <v>10</v>
      </c>
      <c r="E6772" s="2" t="s">
        <v>15</v>
      </c>
      <c r="F6772" s="2">
        <v>348.21</v>
      </c>
      <c r="G6772" s="2">
        <v>7</v>
      </c>
      <c r="H6772" s="2">
        <v>30.47</v>
      </c>
      <c r="I6772" t="str">
        <f t="shared" si="105"/>
        <v>Jan</v>
      </c>
      <c r="J6772">
        <f>YEAR(datas[[#This Row],[Order Date]])</f>
        <v>2024</v>
      </c>
    </row>
    <row r="6773" spans="1:10" ht="14.25" customHeight="1" x14ac:dyDescent="0.3">
      <c r="A6773" s="1">
        <v>45312</v>
      </c>
      <c r="B6773" s="2" t="s">
        <v>649</v>
      </c>
      <c r="C6773" s="2" t="s">
        <v>115</v>
      </c>
      <c r="D6773" s="2" t="s">
        <v>10</v>
      </c>
      <c r="E6773" s="2" t="s">
        <v>16</v>
      </c>
      <c r="F6773" s="2">
        <v>35.78</v>
      </c>
      <c r="G6773" s="2">
        <v>7</v>
      </c>
      <c r="H6773" s="2">
        <v>-28.63</v>
      </c>
      <c r="I6773" t="str">
        <f t="shared" si="105"/>
        <v>Jan</v>
      </c>
      <c r="J6773">
        <f>YEAR(datas[[#This Row],[Order Date]])</f>
        <v>2024</v>
      </c>
    </row>
    <row r="6774" spans="1:10" ht="14.25" customHeight="1" x14ac:dyDescent="0.3">
      <c r="A6774" s="1">
        <v>45312</v>
      </c>
      <c r="B6774" s="2" t="s">
        <v>846</v>
      </c>
      <c r="C6774" s="2" t="s">
        <v>60</v>
      </c>
      <c r="D6774" s="2" t="s">
        <v>10</v>
      </c>
      <c r="E6774" s="2" t="s">
        <v>16</v>
      </c>
      <c r="F6774" s="2">
        <v>14.4</v>
      </c>
      <c r="G6774" s="2">
        <v>5</v>
      </c>
      <c r="H6774" s="2">
        <v>7.06</v>
      </c>
      <c r="I6774" t="str">
        <f t="shared" si="105"/>
        <v>Jan</v>
      </c>
      <c r="J6774">
        <f>YEAR(datas[[#This Row],[Order Date]])</f>
        <v>2024</v>
      </c>
    </row>
    <row r="6775" spans="1:10" ht="14.25" customHeight="1" x14ac:dyDescent="0.3">
      <c r="A6775" s="1">
        <v>45312</v>
      </c>
      <c r="B6775" s="2" t="s">
        <v>846</v>
      </c>
      <c r="C6775" s="2" t="s">
        <v>60</v>
      </c>
      <c r="D6775" s="2" t="s">
        <v>28</v>
      </c>
      <c r="E6775" s="2" t="s">
        <v>34</v>
      </c>
      <c r="F6775" s="2">
        <v>619.95000000000005</v>
      </c>
      <c r="G6775" s="2">
        <v>5</v>
      </c>
      <c r="H6775" s="2">
        <v>111.59</v>
      </c>
      <c r="I6775" t="str">
        <f t="shared" si="105"/>
        <v>Jan</v>
      </c>
      <c r="J6775">
        <f>YEAR(datas[[#This Row],[Order Date]])</f>
        <v>2024</v>
      </c>
    </row>
    <row r="6776" spans="1:10" ht="14.25" customHeight="1" x14ac:dyDescent="0.3">
      <c r="A6776" s="1">
        <v>45312</v>
      </c>
      <c r="B6776" s="2" t="s">
        <v>846</v>
      </c>
      <c r="C6776" s="2" t="s">
        <v>60</v>
      </c>
      <c r="D6776" s="2" t="s">
        <v>10</v>
      </c>
      <c r="E6776" s="2" t="s">
        <v>16</v>
      </c>
      <c r="F6776" s="2">
        <v>89.52</v>
      </c>
      <c r="G6776" s="2">
        <v>4</v>
      </c>
      <c r="H6776" s="2">
        <v>42.07</v>
      </c>
      <c r="I6776" t="str">
        <f t="shared" si="105"/>
        <v>Jan</v>
      </c>
      <c r="J6776">
        <f>YEAR(datas[[#This Row],[Order Date]])</f>
        <v>2024</v>
      </c>
    </row>
    <row r="6777" spans="1:10" ht="14.25" customHeight="1" x14ac:dyDescent="0.3">
      <c r="A6777" s="1">
        <v>45312</v>
      </c>
      <c r="B6777" s="2" t="s">
        <v>846</v>
      </c>
      <c r="C6777" s="2" t="s">
        <v>60</v>
      </c>
      <c r="D6777" s="2" t="s">
        <v>28</v>
      </c>
      <c r="E6777" s="2" t="s">
        <v>136</v>
      </c>
      <c r="F6777" s="2">
        <v>350.97</v>
      </c>
      <c r="G6777" s="2">
        <v>3</v>
      </c>
      <c r="H6777" s="2">
        <v>152.09</v>
      </c>
      <c r="I6777" t="str">
        <f t="shared" si="105"/>
        <v>Jan</v>
      </c>
      <c r="J6777">
        <f>YEAR(datas[[#This Row],[Order Date]])</f>
        <v>2024</v>
      </c>
    </row>
    <row r="6778" spans="1:10" ht="14.25" customHeight="1" x14ac:dyDescent="0.3">
      <c r="A6778" s="1">
        <v>45312</v>
      </c>
      <c r="B6778" s="2" t="s">
        <v>846</v>
      </c>
      <c r="C6778" s="2" t="s">
        <v>60</v>
      </c>
      <c r="D6778" s="2" t="s">
        <v>28</v>
      </c>
      <c r="E6778" s="2" t="s">
        <v>29</v>
      </c>
      <c r="F6778" s="2">
        <v>164.99</v>
      </c>
      <c r="G6778" s="2">
        <v>1</v>
      </c>
      <c r="H6778" s="2">
        <v>49.5</v>
      </c>
      <c r="I6778" t="str">
        <f t="shared" si="105"/>
        <v>Jan</v>
      </c>
      <c r="J6778">
        <f>YEAR(datas[[#This Row],[Order Date]])</f>
        <v>2024</v>
      </c>
    </row>
    <row r="6779" spans="1:10" ht="14.25" customHeight="1" x14ac:dyDescent="0.3">
      <c r="A6779" s="1">
        <v>45312</v>
      </c>
      <c r="B6779" s="2" t="s">
        <v>811</v>
      </c>
      <c r="C6779" s="2" t="s">
        <v>13</v>
      </c>
      <c r="D6779" s="2" t="s">
        <v>10</v>
      </c>
      <c r="E6779" s="2" t="s">
        <v>41</v>
      </c>
      <c r="F6779" s="2">
        <v>268.58</v>
      </c>
      <c r="G6779" s="2">
        <v>4</v>
      </c>
      <c r="H6779" s="2">
        <v>90.64</v>
      </c>
      <c r="I6779" t="str">
        <f t="shared" si="105"/>
        <v>Jan</v>
      </c>
      <c r="J6779">
        <f>YEAR(datas[[#This Row],[Order Date]])</f>
        <v>2024</v>
      </c>
    </row>
    <row r="6780" spans="1:10" ht="14.25" customHeight="1" x14ac:dyDescent="0.3">
      <c r="A6780" s="1">
        <v>45313</v>
      </c>
      <c r="B6780" s="2" t="s">
        <v>597</v>
      </c>
      <c r="C6780" s="2" t="s">
        <v>210</v>
      </c>
      <c r="D6780" s="2" t="s">
        <v>28</v>
      </c>
      <c r="E6780" s="2" t="s">
        <v>243</v>
      </c>
      <c r="F6780" s="2">
        <v>2999.95</v>
      </c>
      <c r="G6780" s="2">
        <v>5</v>
      </c>
      <c r="H6780" s="2">
        <v>1379.98</v>
      </c>
      <c r="I6780" t="str">
        <f t="shared" si="105"/>
        <v>Jan</v>
      </c>
      <c r="J6780">
        <f>YEAR(datas[[#This Row],[Order Date]])</f>
        <v>2024</v>
      </c>
    </row>
    <row r="6781" spans="1:10" ht="14.25" customHeight="1" x14ac:dyDescent="0.3">
      <c r="A6781" s="1">
        <v>45313</v>
      </c>
      <c r="B6781" s="2" t="s">
        <v>597</v>
      </c>
      <c r="C6781" s="2" t="s">
        <v>210</v>
      </c>
      <c r="D6781" s="2" t="s">
        <v>10</v>
      </c>
      <c r="E6781" s="2" t="s">
        <v>15</v>
      </c>
      <c r="F6781" s="2">
        <v>51.45</v>
      </c>
      <c r="G6781" s="2">
        <v>3</v>
      </c>
      <c r="H6781" s="2">
        <v>13.89</v>
      </c>
      <c r="I6781" t="str">
        <f t="shared" si="105"/>
        <v>Jan</v>
      </c>
      <c r="J6781">
        <f>YEAR(datas[[#This Row],[Order Date]])</f>
        <v>2024</v>
      </c>
    </row>
    <row r="6782" spans="1:10" ht="14.25" customHeight="1" x14ac:dyDescent="0.3">
      <c r="A6782" s="1">
        <v>45313</v>
      </c>
      <c r="B6782" s="2" t="s">
        <v>597</v>
      </c>
      <c r="C6782" s="2" t="s">
        <v>210</v>
      </c>
      <c r="D6782" s="2" t="s">
        <v>10</v>
      </c>
      <c r="E6782" s="2" t="s">
        <v>11</v>
      </c>
      <c r="F6782" s="2">
        <v>11.96</v>
      </c>
      <c r="G6782" s="2">
        <v>2</v>
      </c>
      <c r="H6782" s="2">
        <v>5.38</v>
      </c>
      <c r="I6782" t="str">
        <f t="shared" si="105"/>
        <v>Jan</v>
      </c>
      <c r="J6782">
        <f>YEAR(datas[[#This Row],[Order Date]])</f>
        <v>2024</v>
      </c>
    </row>
    <row r="6783" spans="1:10" ht="14.25" customHeight="1" x14ac:dyDescent="0.3">
      <c r="A6783" s="1">
        <v>45313</v>
      </c>
      <c r="B6783" s="2" t="s">
        <v>597</v>
      </c>
      <c r="C6783" s="2" t="s">
        <v>210</v>
      </c>
      <c r="D6783" s="2" t="s">
        <v>10</v>
      </c>
      <c r="E6783" s="2" t="s">
        <v>15</v>
      </c>
      <c r="F6783" s="2">
        <v>1126.02</v>
      </c>
      <c r="G6783" s="2">
        <v>3</v>
      </c>
      <c r="H6783" s="2">
        <v>56.3</v>
      </c>
      <c r="I6783" t="str">
        <f t="shared" si="105"/>
        <v>Jan</v>
      </c>
      <c r="J6783">
        <f>YEAR(datas[[#This Row],[Order Date]])</f>
        <v>2024</v>
      </c>
    </row>
    <row r="6784" spans="1:10" ht="14.25" customHeight="1" x14ac:dyDescent="0.3">
      <c r="A6784" s="1">
        <v>45313</v>
      </c>
      <c r="B6784" s="2" t="s">
        <v>213</v>
      </c>
      <c r="C6784" s="2" t="s">
        <v>13</v>
      </c>
      <c r="D6784" s="2" t="s">
        <v>10</v>
      </c>
      <c r="E6784" s="2" t="s">
        <v>30</v>
      </c>
      <c r="F6784" s="2">
        <v>15.12</v>
      </c>
      <c r="G6784" s="2">
        <v>5</v>
      </c>
      <c r="H6784" s="2">
        <v>4.91</v>
      </c>
      <c r="I6784" t="str">
        <f t="shared" si="105"/>
        <v>Jan</v>
      </c>
      <c r="J6784">
        <f>YEAR(datas[[#This Row],[Order Date]])</f>
        <v>2024</v>
      </c>
    </row>
    <row r="6785" spans="1:10" ht="14.25" customHeight="1" x14ac:dyDescent="0.3">
      <c r="A6785" s="1">
        <v>45313</v>
      </c>
      <c r="B6785" s="2" t="s">
        <v>213</v>
      </c>
      <c r="C6785" s="2" t="s">
        <v>13</v>
      </c>
      <c r="D6785" s="2" t="s">
        <v>10</v>
      </c>
      <c r="E6785" s="2" t="s">
        <v>19</v>
      </c>
      <c r="F6785" s="2">
        <v>7.87</v>
      </c>
      <c r="G6785" s="2">
        <v>3</v>
      </c>
      <c r="H6785" s="2">
        <v>0.89</v>
      </c>
      <c r="I6785" t="str">
        <f t="shared" si="105"/>
        <v>Jan</v>
      </c>
      <c r="J6785">
        <f>YEAR(datas[[#This Row],[Order Date]])</f>
        <v>2024</v>
      </c>
    </row>
    <row r="6786" spans="1:10" ht="14.25" customHeight="1" x14ac:dyDescent="0.3">
      <c r="A6786" s="1">
        <v>45314</v>
      </c>
      <c r="B6786" s="2" t="s">
        <v>148</v>
      </c>
      <c r="C6786" s="2" t="s">
        <v>60</v>
      </c>
      <c r="D6786" s="2" t="s">
        <v>26</v>
      </c>
      <c r="E6786" s="2" t="s">
        <v>73</v>
      </c>
      <c r="F6786" s="2">
        <v>210.98</v>
      </c>
      <c r="G6786" s="2">
        <v>2</v>
      </c>
      <c r="H6786" s="2">
        <v>21.1</v>
      </c>
      <c r="I6786" t="str">
        <f t="shared" si="105"/>
        <v>Jan</v>
      </c>
      <c r="J6786">
        <f>YEAR(datas[[#This Row],[Order Date]])</f>
        <v>2024</v>
      </c>
    </row>
    <row r="6787" spans="1:10" ht="14.25" customHeight="1" x14ac:dyDescent="0.3">
      <c r="A6787" s="1">
        <v>45314</v>
      </c>
      <c r="B6787" s="2" t="s">
        <v>39</v>
      </c>
      <c r="C6787" s="2" t="s">
        <v>82</v>
      </c>
      <c r="D6787" s="2" t="s">
        <v>10</v>
      </c>
      <c r="E6787" s="2" t="s">
        <v>16</v>
      </c>
      <c r="F6787" s="2">
        <v>19.68</v>
      </c>
      <c r="G6787" s="2">
        <v>5</v>
      </c>
      <c r="H6787" s="2">
        <v>6.89</v>
      </c>
      <c r="I6787" t="str">
        <f t="shared" ref="I6787:I6850" si="106">TEXT(A6787,"mmm")</f>
        <v>Jan</v>
      </c>
      <c r="J6787">
        <f>YEAR(datas[[#This Row],[Order Date]])</f>
        <v>2024</v>
      </c>
    </row>
    <row r="6788" spans="1:10" ht="14.25" customHeight="1" x14ac:dyDescent="0.3">
      <c r="A6788" s="1">
        <v>45314</v>
      </c>
      <c r="B6788" s="2" t="s">
        <v>39</v>
      </c>
      <c r="C6788" s="2" t="s">
        <v>82</v>
      </c>
      <c r="D6788" s="2" t="s">
        <v>10</v>
      </c>
      <c r="E6788" s="2" t="s">
        <v>11</v>
      </c>
      <c r="F6788" s="2">
        <v>25.92</v>
      </c>
      <c r="G6788" s="2">
        <v>4</v>
      </c>
      <c r="H6788" s="2">
        <v>12.44</v>
      </c>
      <c r="I6788" t="str">
        <f t="shared" si="106"/>
        <v>Jan</v>
      </c>
      <c r="J6788">
        <f>YEAR(datas[[#This Row],[Order Date]])</f>
        <v>2024</v>
      </c>
    </row>
    <row r="6789" spans="1:10" ht="14.25" customHeight="1" x14ac:dyDescent="0.3">
      <c r="A6789" s="1">
        <v>45314</v>
      </c>
      <c r="B6789" s="2" t="s">
        <v>39</v>
      </c>
      <c r="C6789" s="2" t="s">
        <v>82</v>
      </c>
      <c r="D6789" s="2" t="s">
        <v>10</v>
      </c>
      <c r="E6789" s="2" t="s">
        <v>11</v>
      </c>
      <c r="F6789" s="2">
        <v>6.48</v>
      </c>
      <c r="G6789" s="2">
        <v>1</v>
      </c>
      <c r="H6789" s="2">
        <v>3.11</v>
      </c>
      <c r="I6789" t="str">
        <f t="shared" si="106"/>
        <v>Jan</v>
      </c>
      <c r="J6789">
        <f>YEAR(datas[[#This Row],[Order Date]])</f>
        <v>2024</v>
      </c>
    </row>
    <row r="6790" spans="1:10" ht="14.25" customHeight="1" x14ac:dyDescent="0.3">
      <c r="A6790" s="1">
        <v>45314</v>
      </c>
      <c r="B6790" s="2" t="s">
        <v>39</v>
      </c>
      <c r="C6790" s="2" t="s">
        <v>82</v>
      </c>
      <c r="D6790" s="2" t="s">
        <v>28</v>
      </c>
      <c r="E6790" s="2" t="s">
        <v>29</v>
      </c>
      <c r="F6790" s="2">
        <v>86.35</v>
      </c>
      <c r="G6790" s="2">
        <v>6</v>
      </c>
      <c r="H6790" s="2">
        <v>8.64</v>
      </c>
      <c r="I6790" t="str">
        <f t="shared" si="106"/>
        <v>Jan</v>
      </c>
      <c r="J6790">
        <f>YEAR(datas[[#This Row],[Order Date]])</f>
        <v>2024</v>
      </c>
    </row>
    <row r="6791" spans="1:10" ht="14.25" customHeight="1" x14ac:dyDescent="0.3">
      <c r="A6791" s="1">
        <v>45314</v>
      </c>
      <c r="B6791" s="2" t="s">
        <v>253</v>
      </c>
      <c r="C6791" s="2" t="s">
        <v>55</v>
      </c>
      <c r="D6791" s="2" t="s">
        <v>28</v>
      </c>
      <c r="E6791" s="2" t="s">
        <v>34</v>
      </c>
      <c r="F6791" s="2">
        <v>95.98</v>
      </c>
      <c r="G6791" s="2">
        <v>2</v>
      </c>
      <c r="H6791" s="2">
        <v>12</v>
      </c>
      <c r="I6791" t="str">
        <f t="shared" si="106"/>
        <v>Jan</v>
      </c>
      <c r="J6791">
        <f>YEAR(datas[[#This Row],[Order Date]])</f>
        <v>2024</v>
      </c>
    </row>
    <row r="6792" spans="1:10" ht="14.25" customHeight="1" x14ac:dyDescent="0.3">
      <c r="A6792" s="1">
        <v>45314</v>
      </c>
      <c r="B6792" s="2" t="s">
        <v>253</v>
      </c>
      <c r="C6792" s="2" t="s">
        <v>55</v>
      </c>
      <c r="D6792" s="2" t="s">
        <v>10</v>
      </c>
      <c r="E6792" s="2" t="s">
        <v>16</v>
      </c>
      <c r="F6792" s="2">
        <v>4.9400000000000004</v>
      </c>
      <c r="G6792" s="2">
        <v>2</v>
      </c>
      <c r="H6792" s="2">
        <v>-3.62</v>
      </c>
      <c r="I6792" t="str">
        <f t="shared" si="106"/>
        <v>Jan</v>
      </c>
      <c r="J6792">
        <f>YEAR(datas[[#This Row],[Order Date]])</f>
        <v>2024</v>
      </c>
    </row>
    <row r="6793" spans="1:10" ht="14.25" customHeight="1" x14ac:dyDescent="0.3">
      <c r="A6793" s="1">
        <v>45315</v>
      </c>
      <c r="B6793" s="2" t="s">
        <v>705</v>
      </c>
      <c r="C6793" s="2" t="s">
        <v>23</v>
      </c>
      <c r="D6793" s="2" t="s">
        <v>10</v>
      </c>
      <c r="E6793" s="2" t="s">
        <v>30</v>
      </c>
      <c r="F6793" s="2">
        <v>5.67</v>
      </c>
      <c r="G6793" s="2">
        <v>3</v>
      </c>
      <c r="H6793" s="2">
        <v>0.11</v>
      </c>
      <c r="I6793" t="str">
        <f t="shared" si="106"/>
        <v>Jan</v>
      </c>
      <c r="J6793">
        <f>YEAR(datas[[#This Row],[Order Date]])</f>
        <v>2024</v>
      </c>
    </row>
    <row r="6794" spans="1:10" ht="14.25" customHeight="1" x14ac:dyDescent="0.3">
      <c r="A6794" s="1">
        <v>45315</v>
      </c>
      <c r="B6794" s="2" t="s">
        <v>506</v>
      </c>
      <c r="C6794" s="2" t="s">
        <v>21</v>
      </c>
      <c r="D6794" s="2" t="s">
        <v>10</v>
      </c>
      <c r="E6794" s="2" t="s">
        <v>53</v>
      </c>
      <c r="F6794" s="2">
        <v>25.86</v>
      </c>
      <c r="G6794" s="2">
        <v>3</v>
      </c>
      <c r="H6794" s="2">
        <v>6.72</v>
      </c>
      <c r="I6794" t="str">
        <f t="shared" si="106"/>
        <v>Jan</v>
      </c>
      <c r="J6794">
        <f>YEAR(datas[[#This Row],[Order Date]])</f>
        <v>2024</v>
      </c>
    </row>
    <row r="6795" spans="1:10" ht="14.25" customHeight="1" x14ac:dyDescent="0.3">
      <c r="A6795" s="1">
        <v>45315</v>
      </c>
      <c r="B6795" s="2" t="s">
        <v>506</v>
      </c>
      <c r="C6795" s="2" t="s">
        <v>21</v>
      </c>
      <c r="D6795" s="2" t="s">
        <v>10</v>
      </c>
      <c r="E6795" s="2" t="s">
        <v>16</v>
      </c>
      <c r="F6795" s="2">
        <v>276.77999999999997</v>
      </c>
      <c r="G6795" s="2">
        <v>2</v>
      </c>
      <c r="H6795" s="2">
        <v>89.95</v>
      </c>
      <c r="I6795" t="str">
        <f t="shared" si="106"/>
        <v>Jan</v>
      </c>
      <c r="J6795">
        <f>YEAR(datas[[#This Row],[Order Date]])</f>
        <v>2024</v>
      </c>
    </row>
    <row r="6796" spans="1:10" ht="14.25" customHeight="1" x14ac:dyDescent="0.3">
      <c r="A6796" s="1">
        <v>45315</v>
      </c>
      <c r="B6796" s="2" t="s">
        <v>506</v>
      </c>
      <c r="C6796" s="2" t="s">
        <v>21</v>
      </c>
      <c r="D6796" s="2" t="s">
        <v>28</v>
      </c>
      <c r="E6796" s="2" t="s">
        <v>29</v>
      </c>
      <c r="F6796" s="2">
        <v>110.35</v>
      </c>
      <c r="G6796" s="2">
        <v>3</v>
      </c>
      <c r="H6796" s="2">
        <v>8.2799999999999994</v>
      </c>
      <c r="I6796" t="str">
        <f t="shared" si="106"/>
        <v>Jan</v>
      </c>
      <c r="J6796">
        <f>YEAR(datas[[#This Row],[Order Date]])</f>
        <v>2024</v>
      </c>
    </row>
    <row r="6797" spans="1:10" ht="14.25" customHeight="1" x14ac:dyDescent="0.3">
      <c r="A6797" s="1">
        <v>45317</v>
      </c>
      <c r="B6797" s="2" t="s">
        <v>70</v>
      </c>
      <c r="C6797" s="2" t="s">
        <v>198</v>
      </c>
      <c r="D6797" s="2" t="s">
        <v>10</v>
      </c>
      <c r="E6797" s="2" t="s">
        <v>19</v>
      </c>
      <c r="F6797" s="2">
        <v>15.47</v>
      </c>
      <c r="G6797" s="2">
        <v>7</v>
      </c>
      <c r="H6797" s="2">
        <v>4.18</v>
      </c>
      <c r="I6797" t="str">
        <f t="shared" si="106"/>
        <v>Jan</v>
      </c>
      <c r="J6797">
        <f>YEAR(datas[[#This Row],[Order Date]])</f>
        <v>2024</v>
      </c>
    </row>
    <row r="6798" spans="1:10" ht="14.25" customHeight="1" x14ac:dyDescent="0.3">
      <c r="A6798" s="1">
        <v>45317</v>
      </c>
      <c r="B6798" s="2" t="s">
        <v>70</v>
      </c>
      <c r="C6798" s="2" t="s">
        <v>198</v>
      </c>
      <c r="D6798" s="2" t="s">
        <v>10</v>
      </c>
      <c r="E6798" s="2" t="s">
        <v>16</v>
      </c>
      <c r="F6798" s="2">
        <v>7.16</v>
      </c>
      <c r="G6798" s="2">
        <v>2</v>
      </c>
      <c r="H6798" s="2">
        <v>3.44</v>
      </c>
      <c r="I6798" t="str">
        <f t="shared" si="106"/>
        <v>Jan</v>
      </c>
      <c r="J6798">
        <f>YEAR(datas[[#This Row],[Order Date]])</f>
        <v>2024</v>
      </c>
    </row>
    <row r="6799" spans="1:10" ht="14.25" customHeight="1" x14ac:dyDescent="0.3">
      <c r="A6799" s="1">
        <v>45317</v>
      </c>
      <c r="B6799" s="2" t="s">
        <v>777</v>
      </c>
      <c r="C6799" s="2" t="s">
        <v>9</v>
      </c>
      <c r="D6799" s="2" t="s">
        <v>10</v>
      </c>
      <c r="E6799" s="2" t="s">
        <v>15</v>
      </c>
      <c r="F6799" s="2">
        <v>18.16</v>
      </c>
      <c r="G6799" s="2">
        <v>2</v>
      </c>
      <c r="H6799" s="2">
        <v>1.82</v>
      </c>
      <c r="I6799" t="str">
        <f t="shared" si="106"/>
        <v>Jan</v>
      </c>
      <c r="J6799">
        <f>YEAR(datas[[#This Row],[Order Date]])</f>
        <v>2024</v>
      </c>
    </row>
    <row r="6800" spans="1:10" ht="14.25" customHeight="1" x14ac:dyDescent="0.3">
      <c r="A6800" s="1">
        <v>45317</v>
      </c>
      <c r="B6800" s="2" t="s">
        <v>814</v>
      </c>
      <c r="C6800" s="2" t="s">
        <v>21</v>
      </c>
      <c r="D6800" s="2" t="s">
        <v>10</v>
      </c>
      <c r="E6800" s="2" t="s">
        <v>30</v>
      </c>
      <c r="F6800" s="2">
        <v>11.84</v>
      </c>
      <c r="G6800" s="2">
        <v>8</v>
      </c>
      <c r="H6800" s="2">
        <v>5.68</v>
      </c>
      <c r="I6800" t="str">
        <f t="shared" si="106"/>
        <v>Jan</v>
      </c>
      <c r="J6800">
        <f>YEAR(datas[[#This Row],[Order Date]])</f>
        <v>2024</v>
      </c>
    </row>
    <row r="6801" spans="1:10" ht="14.25" customHeight="1" x14ac:dyDescent="0.3">
      <c r="A6801" s="1">
        <v>45317</v>
      </c>
      <c r="B6801" s="2" t="s">
        <v>78</v>
      </c>
      <c r="C6801" s="2" t="s">
        <v>23</v>
      </c>
      <c r="D6801" s="2" t="s">
        <v>26</v>
      </c>
      <c r="E6801" s="2" t="s">
        <v>32</v>
      </c>
      <c r="F6801" s="2">
        <v>62.72</v>
      </c>
      <c r="G6801" s="2">
        <v>4</v>
      </c>
      <c r="H6801" s="2">
        <v>24.46</v>
      </c>
      <c r="I6801" t="str">
        <f t="shared" si="106"/>
        <v>Jan</v>
      </c>
      <c r="J6801">
        <f>YEAR(datas[[#This Row],[Order Date]])</f>
        <v>2024</v>
      </c>
    </row>
    <row r="6802" spans="1:10" ht="14.25" customHeight="1" x14ac:dyDescent="0.3">
      <c r="A6802" s="1">
        <v>45317</v>
      </c>
      <c r="B6802" s="2" t="s">
        <v>78</v>
      </c>
      <c r="C6802" s="2" t="s">
        <v>23</v>
      </c>
      <c r="D6802" s="2" t="s">
        <v>28</v>
      </c>
      <c r="E6802" s="2" t="s">
        <v>29</v>
      </c>
      <c r="F6802" s="2">
        <v>2939.93</v>
      </c>
      <c r="G6802" s="2">
        <v>7</v>
      </c>
      <c r="H6802" s="2">
        <v>764.38</v>
      </c>
      <c r="I6802" t="str">
        <f t="shared" si="106"/>
        <v>Jan</v>
      </c>
      <c r="J6802">
        <f>YEAR(datas[[#This Row],[Order Date]])</f>
        <v>2024</v>
      </c>
    </row>
    <row r="6803" spans="1:10" ht="14.25" customHeight="1" x14ac:dyDescent="0.3">
      <c r="A6803" s="1">
        <v>45318</v>
      </c>
      <c r="B6803" s="2" t="s">
        <v>275</v>
      </c>
      <c r="C6803" s="2" t="s">
        <v>47</v>
      </c>
      <c r="D6803" s="2" t="s">
        <v>10</v>
      </c>
      <c r="E6803" s="2" t="s">
        <v>19</v>
      </c>
      <c r="F6803" s="2">
        <v>14.02</v>
      </c>
      <c r="G6803" s="2">
        <v>3</v>
      </c>
      <c r="H6803" s="2">
        <v>1.75</v>
      </c>
      <c r="I6803" t="str">
        <f t="shared" si="106"/>
        <v>Jan</v>
      </c>
      <c r="J6803">
        <f>YEAR(datas[[#This Row],[Order Date]])</f>
        <v>2024</v>
      </c>
    </row>
    <row r="6804" spans="1:10" ht="14.25" customHeight="1" x14ac:dyDescent="0.3">
      <c r="A6804" s="1">
        <v>45318</v>
      </c>
      <c r="B6804" s="2" t="s">
        <v>275</v>
      </c>
      <c r="C6804" s="2" t="s">
        <v>47</v>
      </c>
      <c r="D6804" s="2" t="s">
        <v>28</v>
      </c>
      <c r="E6804" s="2" t="s">
        <v>34</v>
      </c>
      <c r="F6804" s="2">
        <v>71.98</v>
      </c>
      <c r="G6804" s="2">
        <v>3</v>
      </c>
      <c r="H6804" s="2">
        <v>-9</v>
      </c>
      <c r="I6804" t="str">
        <f t="shared" si="106"/>
        <v>Jan</v>
      </c>
      <c r="J6804">
        <f>YEAR(datas[[#This Row],[Order Date]])</f>
        <v>2024</v>
      </c>
    </row>
    <row r="6805" spans="1:10" ht="14.25" customHeight="1" x14ac:dyDescent="0.3">
      <c r="A6805" s="1">
        <v>45318</v>
      </c>
      <c r="B6805" s="2" t="s">
        <v>275</v>
      </c>
      <c r="C6805" s="2" t="s">
        <v>47</v>
      </c>
      <c r="D6805" s="2" t="s">
        <v>28</v>
      </c>
      <c r="E6805" s="2" t="s">
        <v>29</v>
      </c>
      <c r="F6805" s="2">
        <v>107.98</v>
      </c>
      <c r="G6805" s="2">
        <v>3</v>
      </c>
      <c r="H6805" s="2">
        <v>-27</v>
      </c>
      <c r="I6805" t="str">
        <f t="shared" si="106"/>
        <v>Jan</v>
      </c>
      <c r="J6805">
        <f>YEAR(datas[[#This Row],[Order Date]])</f>
        <v>2024</v>
      </c>
    </row>
    <row r="6806" spans="1:10" ht="14.25" customHeight="1" x14ac:dyDescent="0.3">
      <c r="A6806" s="1">
        <v>45318</v>
      </c>
      <c r="B6806" s="2" t="s">
        <v>686</v>
      </c>
      <c r="C6806" s="2" t="s">
        <v>75</v>
      </c>
      <c r="D6806" s="2" t="s">
        <v>28</v>
      </c>
      <c r="E6806" s="2" t="s">
        <v>29</v>
      </c>
      <c r="F6806" s="2">
        <v>137.94</v>
      </c>
      <c r="G6806" s="2">
        <v>3</v>
      </c>
      <c r="H6806" s="2">
        <v>35.86</v>
      </c>
      <c r="I6806" t="str">
        <f t="shared" si="106"/>
        <v>Jan</v>
      </c>
      <c r="J6806">
        <f>YEAR(datas[[#This Row],[Order Date]])</f>
        <v>2024</v>
      </c>
    </row>
    <row r="6807" spans="1:10" ht="14.25" customHeight="1" x14ac:dyDescent="0.3">
      <c r="A6807" s="1">
        <v>45319</v>
      </c>
      <c r="B6807" s="2" t="s">
        <v>229</v>
      </c>
      <c r="C6807" s="2" t="s">
        <v>21</v>
      </c>
      <c r="D6807" s="2" t="s">
        <v>28</v>
      </c>
      <c r="E6807" s="2" t="s">
        <v>34</v>
      </c>
      <c r="F6807" s="2">
        <v>239.97</v>
      </c>
      <c r="G6807" s="2">
        <v>3</v>
      </c>
      <c r="H6807" s="2">
        <v>26.4</v>
      </c>
      <c r="I6807" t="str">
        <f t="shared" si="106"/>
        <v>Jan</v>
      </c>
      <c r="J6807">
        <f>YEAR(datas[[#This Row],[Order Date]])</f>
        <v>2024</v>
      </c>
    </row>
    <row r="6808" spans="1:10" ht="14.25" customHeight="1" x14ac:dyDescent="0.3">
      <c r="A6808" s="1">
        <v>45319</v>
      </c>
      <c r="B6808" s="2" t="s">
        <v>229</v>
      </c>
      <c r="C6808" s="2" t="s">
        <v>21</v>
      </c>
      <c r="D6808" s="2" t="s">
        <v>26</v>
      </c>
      <c r="E6808" s="2" t="s">
        <v>32</v>
      </c>
      <c r="F6808" s="2">
        <v>37.74</v>
      </c>
      <c r="G6808" s="2">
        <v>3</v>
      </c>
      <c r="H6808" s="2">
        <v>12.83</v>
      </c>
      <c r="I6808" t="str">
        <f t="shared" si="106"/>
        <v>Jan</v>
      </c>
      <c r="J6808">
        <f>YEAR(datas[[#This Row],[Order Date]])</f>
        <v>2024</v>
      </c>
    </row>
    <row r="6809" spans="1:10" ht="14.25" customHeight="1" x14ac:dyDescent="0.3">
      <c r="A6809" s="1">
        <v>45319</v>
      </c>
      <c r="B6809" s="2" t="s">
        <v>729</v>
      </c>
      <c r="C6809" s="2" t="s">
        <v>469</v>
      </c>
      <c r="D6809" s="2" t="s">
        <v>10</v>
      </c>
      <c r="E6809" s="2" t="s">
        <v>11</v>
      </c>
      <c r="F6809" s="2">
        <v>279.89999999999998</v>
      </c>
      <c r="G6809" s="2">
        <v>5</v>
      </c>
      <c r="H6809" s="2">
        <v>137.15</v>
      </c>
      <c r="I6809" t="str">
        <f t="shared" si="106"/>
        <v>Jan</v>
      </c>
      <c r="J6809">
        <f>YEAR(datas[[#This Row],[Order Date]])</f>
        <v>2024</v>
      </c>
    </row>
    <row r="6810" spans="1:10" ht="14.25" customHeight="1" x14ac:dyDescent="0.3">
      <c r="A6810" s="1">
        <v>45319</v>
      </c>
      <c r="B6810" s="2" t="s">
        <v>824</v>
      </c>
      <c r="C6810" s="2" t="s">
        <v>75</v>
      </c>
      <c r="D6810" s="2" t="s">
        <v>28</v>
      </c>
      <c r="E6810" s="2" t="s">
        <v>34</v>
      </c>
      <c r="F6810" s="2">
        <v>449.91</v>
      </c>
      <c r="G6810" s="2">
        <v>9</v>
      </c>
      <c r="H6810" s="2">
        <v>157.47</v>
      </c>
      <c r="I6810" t="str">
        <f t="shared" si="106"/>
        <v>Jan</v>
      </c>
      <c r="J6810">
        <f>YEAR(datas[[#This Row],[Order Date]])</f>
        <v>2024</v>
      </c>
    </row>
    <row r="6811" spans="1:10" ht="14.25" customHeight="1" x14ac:dyDescent="0.3">
      <c r="A6811" s="1">
        <v>45320</v>
      </c>
      <c r="B6811" s="2" t="s">
        <v>656</v>
      </c>
      <c r="C6811" s="2" t="s">
        <v>13</v>
      </c>
      <c r="D6811" s="2" t="s">
        <v>10</v>
      </c>
      <c r="E6811" s="2" t="s">
        <v>16</v>
      </c>
      <c r="F6811" s="2">
        <v>12.13</v>
      </c>
      <c r="G6811" s="2">
        <v>4</v>
      </c>
      <c r="H6811" s="2">
        <v>-20.62</v>
      </c>
      <c r="I6811" t="str">
        <f t="shared" si="106"/>
        <v>Jan</v>
      </c>
      <c r="J6811">
        <f>YEAR(datas[[#This Row],[Order Date]])</f>
        <v>2024</v>
      </c>
    </row>
    <row r="6812" spans="1:10" ht="14.25" customHeight="1" x14ac:dyDescent="0.3">
      <c r="A6812" s="1">
        <v>45320</v>
      </c>
      <c r="B6812" s="2" t="s">
        <v>409</v>
      </c>
      <c r="C6812" s="2" t="s">
        <v>21</v>
      </c>
      <c r="D6812" s="2" t="s">
        <v>10</v>
      </c>
      <c r="E6812" s="2" t="s">
        <v>19</v>
      </c>
      <c r="F6812" s="2">
        <v>8.34</v>
      </c>
      <c r="G6812" s="2">
        <v>3</v>
      </c>
      <c r="H6812" s="2">
        <v>2.17</v>
      </c>
      <c r="I6812" t="str">
        <f t="shared" si="106"/>
        <v>Jan</v>
      </c>
      <c r="J6812">
        <f>YEAR(datas[[#This Row],[Order Date]])</f>
        <v>2024</v>
      </c>
    </row>
    <row r="6813" spans="1:10" ht="14.25" customHeight="1" x14ac:dyDescent="0.3">
      <c r="A6813" s="1">
        <v>45320</v>
      </c>
      <c r="B6813" s="2" t="s">
        <v>409</v>
      </c>
      <c r="C6813" s="2" t="s">
        <v>21</v>
      </c>
      <c r="D6813" s="2" t="s">
        <v>10</v>
      </c>
      <c r="E6813" s="2" t="s">
        <v>95</v>
      </c>
      <c r="F6813" s="2">
        <v>8.57</v>
      </c>
      <c r="G6813" s="2">
        <v>1</v>
      </c>
      <c r="H6813" s="2">
        <v>2.23</v>
      </c>
      <c r="I6813" t="str">
        <f t="shared" si="106"/>
        <v>Jan</v>
      </c>
      <c r="J6813">
        <f>YEAR(datas[[#This Row],[Order Date]])</f>
        <v>2024</v>
      </c>
    </row>
    <row r="6814" spans="1:10" ht="14.25" customHeight="1" x14ac:dyDescent="0.3">
      <c r="A6814" s="1">
        <v>45320</v>
      </c>
      <c r="B6814" s="2" t="s">
        <v>409</v>
      </c>
      <c r="C6814" s="2" t="s">
        <v>21</v>
      </c>
      <c r="D6814" s="2" t="s">
        <v>10</v>
      </c>
      <c r="E6814" s="2" t="s">
        <v>16</v>
      </c>
      <c r="F6814" s="2">
        <v>119.62</v>
      </c>
      <c r="G6814" s="2">
        <v>8</v>
      </c>
      <c r="H6814" s="2">
        <v>40.369999999999997</v>
      </c>
      <c r="I6814" t="str">
        <f t="shared" si="106"/>
        <v>Jan</v>
      </c>
      <c r="J6814">
        <f>YEAR(datas[[#This Row],[Order Date]])</f>
        <v>2024</v>
      </c>
    </row>
    <row r="6815" spans="1:10" ht="14.25" customHeight="1" x14ac:dyDescent="0.3">
      <c r="A6815" s="1">
        <v>45320</v>
      </c>
      <c r="B6815" s="2" t="s">
        <v>182</v>
      </c>
      <c r="C6815" s="2" t="s">
        <v>75</v>
      </c>
      <c r="D6815" s="2" t="s">
        <v>10</v>
      </c>
      <c r="E6815" s="2" t="s">
        <v>14</v>
      </c>
      <c r="F6815" s="2">
        <v>5.22</v>
      </c>
      <c r="G6815" s="2">
        <v>2</v>
      </c>
      <c r="H6815" s="2">
        <v>2.4</v>
      </c>
      <c r="I6815" t="str">
        <f t="shared" si="106"/>
        <v>Jan</v>
      </c>
      <c r="J6815">
        <f>YEAR(datas[[#This Row],[Order Date]])</f>
        <v>2024</v>
      </c>
    </row>
    <row r="6816" spans="1:10" ht="14.25" customHeight="1" x14ac:dyDescent="0.3">
      <c r="A6816" s="1">
        <v>45320</v>
      </c>
      <c r="B6816" s="2" t="s">
        <v>815</v>
      </c>
      <c r="C6816" s="2" t="s">
        <v>18</v>
      </c>
      <c r="D6816" s="2" t="s">
        <v>10</v>
      </c>
      <c r="E6816" s="2" t="s">
        <v>19</v>
      </c>
      <c r="F6816" s="2">
        <v>4.7699999999999996</v>
      </c>
      <c r="G6816" s="2">
        <v>2</v>
      </c>
      <c r="H6816" s="2">
        <v>0.48</v>
      </c>
      <c r="I6816" t="str">
        <f t="shared" si="106"/>
        <v>Jan</v>
      </c>
      <c r="J6816">
        <f>YEAR(datas[[#This Row],[Order Date]])</f>
        <v>2024</v>
      </c>
    </row>
    <row r="6817" spans="1:10" ht="14.25" customHeight="1" x14ac:dyDescent="0.3">
      <c r="A6817" s="1">
        <v>45320</v>
      </c>
      <c r="B6817" s="2" t="s">
        <v>102</v>
      </c>
      <c r="C6817" s="2" t="s">
        <v>165</v>
      </c>
      <c r="D6817" s="2" t="s">
        <v>10</v>
      </c>
      <c r="E6817" s="2" t="s">
        <v>11</v>
      </c>
      <c r="F6817" s="2">
        <v>12.96</v>
      </c>
      <c r="G6817" s="2">
        <v>2</v>
      </c>
      <c r="H6817" s="2">
        <v>6.22</v>
      </c>
      <c r="I6817" t="str">
        <f t="shared" si="106"/>
        <v>Jan</v>
      </c>
      <c r="J6817">
        <f>YEAR(datas[[#This Row],[Order Date]])</f>
        <v>2024</v>
      </c>
    </row>
    <row r="6818" spans="1:10" ht="14.25" customHeight="1" x14ac:dyDescent="0.3">
      <c r="A6818" s="1">
        <v>45320</v>
      </c>
      <c r="B6818" s="2" t="s">
        <v>102</v>
      </c>
      <c r="C6818" s="2" t="s">
        <v>165</v>
      </c>
      <c r="D6818" s="2" t="s">
        <v>10</v>
      </c>
      <c r="E6818" s="2" t="s">
        <v>11</v>
      </c>
      <c r="F6818" s="2">
        <v>94.85</v>
      </c>
      <c r="G6818" s="2">
        <v>5</v>
      </c>
      <c r="H6818" s="2">
        <v>45.53</v>
      </c>
      <c r="I6818" t="str">
        <f t="shared" si="106"/>
        <v>Jan</v>
      </c>
      <c r="J6818">
        <f>YEAR(datas[[#This Row],[Order Date]])</f>
        <v>2024</v>
      </c>
    </row>
    <row r="6819" spans="1:10" ht="14.25" customHeight="1" x14ac:dyDescent="0.3">
      <c r="A6819" s="1">
        <v>45320</v>
      </c>
      <c r="B6819" s="2" t="s">
        <v>102</v>
      </c>
      <c r="C6819" s="2" t="s">
        <v>165</v>
      </c>
      <c r="D6819" s="2" t="s">
        <v>10</v>
      </c>
      <c r="E6819" s="2" t="s">
        <v>15</v>
      </c>
      <c r="F6819" s="2">
        <v>13.48</v>
      </c>
      <c r="G6819" s="2">
        <v>1</v>
      </c>
      <c r="H6819" s="2">
        <v>3.5</v>
      </c>
      <c r="I6819" t="str">
        <f t="shared" si="106"/>
        <v>Jan</v>
      </c>
      <c r="J6819">
        <f>YEAR(datas[[#This Row],[Order Date]])</f>
        <v>2024</v>
      </c>
    </row>
    <row r="6820" spans="1:10" ht="14.25" customHeight="1" x14ac:dyDescent="0.3">
      <c r="A6820" s="1">
        <v>45320</v>
      </c>
      <c r="B6820" s="2" t="s">
        <v>102</v>
      </c>
      <c r="C6820" s="2" t="s">
        <v>165</v>
      </c>
      <c r="D6820" s="2" t="s">
        <v>26</v>
      </c>
      <c r="E6820" s="2" t="s">
        <v>32</v>
      </c>
      <c r="F6820" s="2">
        <v>14.91</v>
      </c>
      <c r="G6820" s="2">
        <v>3</v>
      </c>
      <c r="H6820" s="2">
        <v>4.62</v>
      </c>
      <c r="I6820" t="str">
        <f t="shared" si="106"/>
        <v>Jan</v>
      </c>
      <c r="J6820">
        <f>YEAR(datas[[#This Row],[Order Date]])</f>
        <v>2024</v>
      </c>
    </row>
    <row r="6821" spans="1:10" ht="14.25" customHeight="1" x14ac:dyDescent="0.3">
      <c r="A6821" s="1">
        <v>45321</v>
      </c>
      <c r="B6821" s="2" t="s">
        <v>697</v>
      </c>
      <c r="C6821" s="2" t="s">
        <v>165</v>
      </c>
      <c r="D6821" s="2" t="s">
        <v>10</v>
      </c>
      <c r="E6821" s="2" t="s">
        <v>16</v>
      </c>
      <c r="F6821" s="2">
        <v>18.28</v>
      </c>
      <c r="G6821" s="2">
        <v>2</v>
      </c>
      <c r="H6821" s="2">
        <v>9.14</v>
      </c>
      <c r="I6821" t="str">
        <f t="shared" si="106"/>
        <v>Jan</v>
      </c>
      <c r="J6821">
        <f>YEAR(datas[[#This Row],[Order Date]])</f>
        <v>2024</v>
      </c>
    </row>
    <row r="6822" spans="1:10" ht="14.25" customHeight="1" x14ac:dyDescent="0.3">
      <c r="A6822" s="1">
        <v>45321</v>
      </c>
      <c r="B6822" s="2" t="s">
        <v>697</v>
      </c>
      <c r="C6822" s="2" t="s">
        <v>165</v>
      </c>
      <c r="D6822" s="2" t="s">
        <v>28</v>
      </c>
      <c r="E6822" s="2" t="s">
        <v>29</v>
      </c>
      <c r="F6822" s="2">
        <v>207</v>
      </c>
      <c r="G6822" s="2">
        <v>3</v>
      </c>
      <c r="H6822" s="2">
        <v>51.75</v>
      </c>
      <c r="I6822" t="str">
        <f t="shared" si="106"/>
        <v>Jan</v>
      </c>
      <c r="J6822">
        <f>YEAR(datas[[#This Row],[Order Date]])</f>
        <v>2024</v>
      </c>
    </row>
    <row r="6823" spans="1:10" ht="14.25" customHeight="1" x14ac:dyDescent="0.3">
      <c r="A6823" s="1">
        <v>45321</v>
      </c>
      <c r="B6823" s="2" t="s">
        <v>697</v>
      </c>
      <c r="C6823" s="2" t="s">
        <v>165</v>
      </c>
      <c r="D6823" s="2" t="s">
        <v>10</v>
      </c>
      <c r="E6823" s="2" t="s">
        <v>16</v>
      </c>
      <c r="F6823" s="2">
        <v>32.35</v>
      </c>
      <c r="G6823" s="2">
        <v>5</v>
      </c>
      <c r="H6823" s="2">
        <v>16.18</v>
      </c>
      <c r="I6823" t="str">
        <f t="shared" si="106"/>
        <v>Jan</v>
      </c>
      <c r="J6823">
        <f>YEAR(datas[[#This Row],[Order Date]])</f>
        <v>2024</v>
      </c>
    </row>
    <row r="6824" spans="1:10" ht="14.25" customHeight="1" x14ac:dyDescent="0.3">
      <c r="A6824" s="1">
        <v>45321</v>
      </c>
      <c r="B6824" s="2" t="s">
        <v>697</v>
      </c>
      <c r="C6824" s="2" t="s">
        <v>165</v>
      </c>
      <c r="D6824" s="2" t="s">
        <v>10</v>
      </c>
      <c r="E6824" s="2" t="s">
        <v>16</v>
      </c>
      <c r="F6824" s="2">
        <v>7.71</v>
      </c>
      <c r="G6824" s="2">
        <v>1</v>
      </c>
      <c r="H6824" s="2">
        <v>3.47</v>
      </c>
      <c r="I6824" t="str">
        <f t="shared" si="106"/>
        <v>Jan</v>
      </c>
      <c r="J6824">
        <f>YEAR(datas[[#This Row],[Order Date]])</f>
        <v>2024</v>
      </c>
    </row>
    <row r="6825" spans="1:10" ht="14.25" customHeight="1" x14ac:dyDescent="0.3">
      <c r="A6825" s="1">
        <v>45321</v>
      </c>
      <c r="B6825" s="2" t="s">
        <v>697</v>
      </c>
      <c r="C6825" s="2" t="s">
        <v>165</v>
      </c>
      <c r="D6825" s="2" t="s">
        <v>10</v>
      </c>
      <c r="E6825" s="2" t="s">
        <v>19</v>
      </c>
      <c r="F6825" s="2">
        <v>40.299999999999997</v>
      </c>
      <c r="G6825" s="2">
        <v>2</v>
      </c>
      <c r="H6825" s="2">
        <v>10.88</v>
      </c>
      <c r="I6825" t="str">
        <f t="shared" si="106"/>
        <v>Jan</v>
      </c>
      <c r="J6825">
        <f>YEAR(datas[[#This Row],[Order Date]])</f>
        <v>2024</v>
      </c>
    </row>
    <row r="6826" spans="1:10" ht="14.25" customHeight="1" x14ac:dyDescent="0.3">
      <c r="A6826" s="1">
        <v>45321</v>
      </c>
      <c r="B6826" s="2" t="s">
        <v>697</v>
      </c>
      <c r="C6826" s="2" t="s">
        <v>165</v>
      </c>
      <c r="D6826" s="2" t="s">
        <v>26</v>
      </c>
      <c r="E6826" s="2" t="s">
        <v>32</v>
      </c>
      <c r="F6826" s="2">
        <v>34.58</v>
      </c>
      <c r="G6826" s="2">
        <v>7</v>
      </c>
      <c r="H6826" s="2">
        <v>14.52</v>
      </c>
      <c r="I6826" t="str">
        <f t="shared" si="106"/>
        <v>Jan</v>
      </c>
      <c r="J6826">
        <f>YEAR(datas[[#This Row],[Order Date]])</f>
        <v>2024</v>
      </c>
    </row>
    <row r="6827" spans="1:10" ht="14.25" customHeight="1" x14ac:dyDescent="0.3">
      <c r="A6827" s="1">
        <v>45321</v>
      </c>
      <c r="B6827" s="2" t="s">
        <v>46</v>
      </c>
      <c r="C6827" s="2" t="s">
        <v>21</v>
      </c>
      <c r="D6827" s="2" t="s">
        <v>10</v>
      </c>
      <c r="E6827" s="2" t="s">
        <v>15</v>
      </c>
      <c r="F6827" s="2">
        <v>129.30000000000001</v>
      </c>
      <c r="G6827" s="2">
        <v>2</v>
      </c>
      <c r="H6827" s="2">
        <v>6.47</v>
      </c>
      <c r="I6827" t="str">
        <f t="shared" si="106"/>
        <v>Jan</v>
      </c>
      <c r="J6827">
        <f>YEAR(datas[[#This Row],[Order Date]])</f>
        <v>2024</v>
      </c>
    </row>
    <row r="6828" spans="1:10" ht="14.25" customHeight="1" x14ac:dyDescent="0.3">
      <c r="A6828" s="1">
        <v>45321</v>
      </c>
      <c r="B6828" s="2" t="s">
        <v>540</v>
      </c>
      <c r="C6828" s="2" t="s">
        <v>21</v>
      </c>
      <c r="D6828" s="2" t="s">
        <v>10</v>
      </c>
      <c r="E6828" s="2" t="s">
        <v>19</v>
      </c>
      <c r="F6828" s="2">
        <v>12.74</v>
      </c>
      <c r="G6828" s="2">
        <v>7</v>
      </c>
      <c r="H6828" s="2">
        <v>5.73</v>
      </c>
      <c r="I6828" t="str">
        <f t="shared" si="106"/>
        <v>Jan</v>
      </c>
      <c r="J6828">
        <f>YEAR(datas[[#This Row],[Order Date]])</f>
        <v>2024</v>
      </c>
    </row>
    <row r="6829" spans="1:10" ht="14.25" customHeight="1" x14ac:dyDescent="0.3">
      <c r="A6829" s="1">
        <v>45321</v>
      </c>
      <c r="B6829" s="2" t="s">
        <v>540</v>
      </c>
      <c r="C6829" s="2" t="s">
        <v>21</v>
      </c>
      <c r="D6829" s="2" t="s">
        <v>10</v>
      </c>
      <c r="E6829" s="2" t="s">
        <v>19</v>
      </c>
      <c r="F6829" s="2">
        <v>8.82</v>
      </c>
      <c r="G6829" s="2">
        <v>3</v>
      </c>
      <c r="H6829" s="2">
        <v>2.38</v>
      </c>
      <c r="I6829" t="str">
        <f t="shared" si="106"/>
        <v>Jan</v>
      </c>
      <c r="J6829">
        <f>YEAR(datas[[#This Row],[Order Date]])</f>
        <v>2024</v>
      </c>
    </row>
    <row r="6830" spans="1:10" ht="14.25" customHeight="1" x14ac:dyDescent="0.3">
      <c r="A6830" s="1">
        <v>45321</v>
      </c>
      <c r="B6830" s="2" t="s">
        <v>540</v>
      </c>
      <c r="C6830" s="2" t="s">
        <v>21</v>
      </c>
      <c r="D6830" s="2" t="s">
        <v>26</v>
      </c>
      <c r="E6830" s="2" t="s">
        <v>27</v>
      </c>
      <c r="F6830" s="2">
        <v>120.78</v>
      </c>
      <c r="G6830" s="2">
        <v>1</v>
      </c>
      <c r="H6830" s="2">
        <v>-13.59</v>
      </c>
      <c r="I6830" t="str">
        <f t="shared" si="106"/>
        <v>Jan</v>
      </c>
      <c r="J6830">
        <f>YEAR(datas[[#This Row],[Order Date]])</f>
        <v>2024</v>
      </c>
    </row>
    <row r="6831" spans="1:10" ht="14.25" customHeight="1" x14ac:dyDescent="0.3">
      <c r="A6831" s="1">
        <v>45321</v>
      </c>
      <c r="B6831" s="2" t="s">
        <v>251</v>
      </c>
      <c r="C6831" s="2" t="s">
        <v>64</v>
      </c>
      <c r="D6831" s="2" t="s">
        <v>26</v>
      </c>
      <c r="E6831" s="2" t="s">
        <v>27</v>
      </c>
      <c r="F6831" s="2">
        <v>419.14</v>
      </c>
      <c r="G6831" s="2">
        <v>4</v>
      </c>
      <c r="H6831" s="2">
        <v>-68.11</v>
      </c>
      <c r="I6831" t="str">
        <f t="shared" si="106"/>
        <v>Jan</v>
      </c>
      <c r="J6831">
        <f>YEAR(datas[[#This Row],[Order Date]])</f>
        <v>2024</v>
      </c>
    </row>
    <row r="6832" spans="1:10" ht="14.25" customHeight="1" x14ac:dyDescent="0.3">
      <c r="A6832" s="1">
        <v>45321</v>
      </c>
      <c r="B6832" s="2" t="s">
        <v>834</v>
      </c>
      <c r="C6832" s="2" t="s">
        <v>13</v>
      </c>
      <c r="D6832" s="2" t="s">
        <v>26</v>
      </c>
      <c r="E6832" s="2" t="s">
        <v>73</v>
      </c>
      <c r="F6832" s="2">
        <v>69.38</v>
      </c>
      <c r="G6832" s="2">
        <v>1</v>
      </c>
      <c r="H6832" s="2">
        <v>-47.18</v>
      </c>
      <c r="I6832" t="str">
        <f t="shared" si="106"/>
        <v>Jan</v>
      </c>
      <c r="J6832">
        <f>YEAR(datas[[#This Row],[Order Date]])</f>
        <v>2024</v>
      </c>
    </row>
    <row r="6833" spans="1:10" ht="14.25" customHeight="1" x14ac:dyDescent="0.3">
      <c r="A6833" s="1">
        <v>45321</v>
      </c>
      <c r="B6833" s="2" t="s">
        <v>834</v>
      </c>
      <c r="C6833" s="2" t="s">
        <v>13</v>
      </c>
      <c r="D6833" s="2" t="s">
        <v>10</v>
      </c>
      <c r="E6833" s="2" t="s">
        <v>95</v>
      </c>
      <c r="F6833" s="2">
        <v>31.68</v>
      </c>
      <c r="G6833" s="2">
        <v>4</v>
      </c>
      <c r="H6833" s="2">
        <v>2.77</v>
      </c>
      <c r="I6833" t="str">
        <f t="shared" si="106"/>
        <v>Jan</v>
      </c>
      <c r="J6833">
        <f>YEAR(datas[[#This Row],[Order Date]])</f>
        <v>2024</v>
      </c>
    </row>
    <row r="6834" spans="1:10" ht="14.25" customHeight="1" x14ac:dyDescent="0.3">
      <c r="A6834" s="1">
        <v>45321</v>
      </c>
      <c r="B6834" s="2" t="s">
        <v>834</v>
      </c>
      <c r="C6834" s="2" t="s">
        <v>13</v>
      </c>
      <c r="D6834" s="2" t="s">
        <v>28</v>
      </c>
      <c r="E6834" s="2" t="s">
        <v>29</v>
      </c>
      <c r="F6834" s="2">
        <v>2003.17</v>
      </c>
      <c r="G6834" s="2">
        <v>4</v>
      </c>
      <c r="H6834" s="2">
        <v>250.4</v>
      </c>
      <c r="I6834" t="str">
        <f t="shared" si="106"/>
        <v>Jan</v>
      </c>
      <c r="J6834">
        <f>YEAR(datas[[#This Row],[Order Date]])</f>
        <v>2024</v>
      </c>
    </row>
    <row r="6835" spans="1:10" ht="14.25" customHeight="1" x14ac:dyDescent="0.3">
      <c r="A6835" s="1">
        <v>45321</v>
      </c>
      <c r="B6835" s="2" t="s">
        <v>834</v>
      </c>
      <c r="C6835" s="2" t="s">
        <v>13</v>
      </c>
      <c r="D6835" s="2" t="s">
        <v>10</v>
      </c>
      <c r="E6835" s="2" t="s">
        <v>19</v>
      </c>
      <c r="F6835" s="2">
        <v>9.34</v>
      </c>
      <c r="G6835" s="2">
        <v>2</v>
      </c>
      <c r="H6835" s="2">
        <v>3.15</v>
      </c>
      <c r="I6835" t="str">
        <f t="shared" si="106"/>
        <v>Jan</v>
      </c>
      <c r="J6835">
        <f>YEAR(datas[[#This Row],[Order Date]])</f>
        <v>2024</v>
      </c>
    </row>
    <row r="6836" spans="1:10" ht="14.25" customHeight="1" x14ac:dyDescent="0.3">
      <c r="A6836" s="1">
        <v>45321</v>
      </c>
      <c r="B6836" s="2" t="s">
        <v>451</v>
      </c>
      <c r="C6836" s="2" t="s">
        <v>82</v>
      </c>
      <c r="D6836" s="2" t="s">
        <v>28</v>
      </c>
      <c r="E6836" s="2" t="s">
        <v>29</v>
      </c>
      <c r="F6836" s="2">
        <v>604.77</v>
      </c>
      <c r="G6836" s="2">
        <v>4</v>
      </c>
      <c r="H6836" s="2">
        <v>60.48</v>
      </c>
      <c r="I6836" t="str">
        <f t="shared" si="106"/>
        <v>Jan</v>
      </c>
      <c r="J6836">
        <f>YEAR(datas[[#This Row],[Order Date]])</f>
        <v>2024</v>
      </c>
    </row>
    <row r="6837" spans="1:10" ht="14.25" customHeight="1" x14ac:dyDescent="0.3">
      <c r="A6837" s="1">
        <v>45324</v>
      </c>
      <c r="B6837" s="2" t="s">
        <v>430</v>
      </c>
      <c r="C6837" s="2" t="s">
        <v>47</v>
      </c>
      <c r="D6837" s="2" t="s">
        <v>28</v>
      </c>
      <c r="E6837" s="2" t="s">
        <v>29</v>
      </c>
      <c r="F6837" s="2">
        <v>59.97</v>
      </c>
      <c r="G6837" s="2">
        <v>5</v>
      </c>
      <c r="H6837" s="2">
        <v>-11.99</v>
      </c>
      <c r="I6837" t="str">
        <f t="shared" si="106"/>
        <v>Feb</v>
      </c>
      <c r="J6837">
        <f>YEAR(datas[[#This Row],[Order Date]])</f>
        <v>2024</v>
      </c>
    </row>
    <row r="6838" spans="1:10" ht="14.25" customHeight="1" x14ac:dyDescent="0.3">
      <c r="A6838" s="1">
        <v>45324</v>
      </c>
      <c r="B6838" s="2" t="s">
        <v>430</v>
      </c>
      <c r="C6838" s="2" t="s">
        <v>47</v>
      </c>
      <c r="D6838" s="2" t="s">
        <v>10</v>
      </c>
      <c r="E6838" s="2" t="s">
        <v>11</v>
      </c>
      <c r="F6838" s="2">
        <v>78.3</v>
      </c>
      <c r="G6838" s="2">
        <v>2</v>
      </c>
      <c r="H6838" s="2">
        <v>29.36</v>
      </c>
      <c r="I6838" t="str">
        <f t="shared" si="106"/>
        <v>Feb</v>
      </c>
      <c r="J6838">
        <f>YEAR(datas[[#This Row],[Order Date]])</f>
        <v>2024</v>
      </c>
    </row>
    <row r="6839" spans="1:10" ht="14.25" customHeight="1" x14ac:dyDescent="0.3">
      <c r="A6839" s="1">
        <v>45324</v>
      </c>
      <c r="B6839" s="2" t="s">
        <v>430</v>
      </c>
      <c r="C6839" s="2" t="s">
        <v>47</v>
      </c>
      <c r="D6839" s="2" t="s">
        <v>10</v>
      </c>
      <c r="E6839" s="2" t="s">
        <v>30</v>
      </c>
      <c r="F6839" s="2">
        <v>21.46</v>
      </c>
      <c r="G6839" s="2">
        <v>9</v>
      </c>
      <c r="H6839" s="2">
        <v>6.97</v>
      </c>
      <c r="I6839" t="str">
        <f t="shared" si="106"/>
        <v>Feb</v>
      </c>
      <c r="J6839">
        <f>YEAR(datas[[#This Row],[Order Date]])</f>
        <v>2024</v>
      </c>
    </row>
    <row r="6840" spans="1:10" ht="14.25" customHeight="1" x14ac:dyDescent="0.3">
      <c r="A6840" s="1">
        <v>45324</v>
      </c>
      <c r="B6840" s="2" t="s">
        <v>218</v>
      </c>
      <c r="C6840" s="2" t="s">
        <v>21</v>
      </c>
      <c r="D6840" s="2" t="s">
        <v>26</v>
      </c>
      <c r="E6840" s="2" t="s">
        <v>32</v>
      </c>
      <c r="F6840" s="2">
        <v>86.26</v>
      </c>
      <c r="G6840" s="2">
        <v>2</v>
      </c>
      <c r="H6840" s="2">
        <v>29.33</v>
      </c>
      <c r="I6840" t="str">
        <f t="shared" si="106"/>
        <v>Feb</v>
      </c>
      <c r="J6840">
        <f>YEAR(datas[[#This Row],[Order Date]])</f>
        <v>2024</v>
      </c>
    </row>
    <row r="6841" spans="1:10" ht="14.25" customHeight="1" x14ac:dyDescent="0.3">
      <c r="A6841" s="1">
        <v>45324</v>
      </c>
      <c r="B6841" s="2" t="s">
        <v>218</v>
      </c>
      <c r="C6841" s="2" t="s">
        <v>21</v>
      </c>
      <c r="D6841" s="2" t="s">
        <v>10</v>
      </c>
      <c r="E6841" s="2" t="s">
        <v>15</v>
      </c>
      <c r="F6841" s="2">
        <v>139.04</v>
      </c>
      <c r="G6841" s="2">
        <v>4</v>
      </c>
      <c r="H6841" s="2">
        <v>38.93</v>
      </c>
      <c r="I6841" t="str">
        <f t="shared" si="106"/>
        <v>Feb</v>
      </c>
      <c r="J6841">
        <f>YEAR(datas[[#This Row],[Order Date]])</f>
        <v>2024</v>
      </c>
    </row>
    <row r="6842" spans="1:10" ht="14.25" customHeight="1" x14ac:dyDescent="0.3">
      <c r="A6842" s="1">
        <v>45324</v>
      </c>
      <c r="B6842" s="2" t="s">
        <v>218</v>
      </c>
      <c r="C6842" s="2" t="s">
        <v>21</v>
      </c>
      <c r="D6842" s="2" t="s">
        <v>10</v>
      </c>
      <c r="E6842" s="2" t="s">
        <v>53</v>
      </c>
      <c r="F6842" s="2">
        <v>46.8</v>
      </c>
      <c r="G6842" s="2">
        <v>4</v>
      </c>
      <c r="H6842" s="2">
        <v>16.38</v>
      </c>
      <c r="I6842" t="str">
        <f t="shared" si="106"/>
        <v>Feb</v>
      </c>
      <c r="J6842">
        <f>YEAR(datas[[#This Row],[Order Date]])</f>
        <v>2024</v>
      </c>
    </row>
    <row r="6843" spans="1:10" ht="14.25" customHeight="1" x14ac:dyDescent="0.3">
      <c r="A6843" s="1">
        <v>45324</v>
      </c>
      <c r="B6843" s="2" t="s">
        <v>805</v>
      </c>
      <c r="C6843" s="2" t="s">
        <v>21</v>
      </c>
      <c r="D6843" s="2" t="s">
        <v>26</v>
      </c>
      <c r="E6843" s="2" t="s">
        <v>32</v>
      </c>
      <c r="F6843" s="2">
        <v>210.58</v>
      </c>
      <c r="G6843" s="2">
        <v>2</v>
      </c>
      <c r="H6843" s="2">
        <v>12.63</v>
      </c>
      <c r="I6843" t="str">
        <f t="shared" si="106"/>
        <v>Feb</v>
      </c>
      <c r="J6843">
        <f>YEAR(datas[[#This Row],[Order Date]])</f>
        <v>2024</v>
      </c>
    </row>
    <row r="6844" spans="1:10" ht="14.25" customHeight="1" x14ac:dyDescent="0.3">
      <c r="A6844" s="1">
        <v>45324</v>
      </c>
      <c r="B6844" s="2" t="s">
        <v>805</v>
      </c>
      <c r="C6844" s="2" t="s">
        <v>21</v>
      </c>
      <c r="D6844" s="2" t="s">
        <v>10</v>
      </c>
      <c r="E6844" s="2" t="s">
        <v>16</v>
      </c>
      <c r="F6844" s="2">
        <v>30.96</v>
      </c>
      <c r="G6844" s="2">
        <v>2</v>
      </c>
      <c r="H6844" s="2">
        <v>10.06</v>
      </c>
      <c r="I6844" t="str">
        <f t="shared" si="106"/>
        <v>Feb</v>
      </c>
      <c r="J6844">
        <f>YEAR(datas[[#This Row],[Order Date]])</f>
        <v>2024</v>
      </c>
    </row>
    <row r="6845" spans="1:10" ht="14.25" customHeight="1" x14ac:dyDescent="0.3">
      <c r="A6845" s="1">
        <v>45324</v>
      </c>
      <c r="B6845" s="2" t="s">
        <v>805</v>
      </c>
      <c r="C6845" s="2" t="s">
        <v>21</v>
      </c>
      <c r="D6845" s="2" t="s">
        <v>28</v>
      </c>
      <c r="E6845" s="2" t="s">
        <v>136</v>
      </c>
      <c r="F6845" s="2">
        <v>239.98</v>
      </c>
      <c r="G6845" s="2">
        <v>2</v>
      </c>
      <c r="H6845" s="2">
        <v>39</v>
      </c>
      <c r="I6845" t="str">
        <f t="shared" si="106"/>
        <v>Feb</v>
      </c>
      <c r="J6845">
        <f>YEAR(datas[[#This Row],[Order Date]])</f>
        <v>2024</v>
      </c>
    </row>
    <row r="6846" spans="1:10" ht="14.25" customHeight="1" x14ac:dyDescent="0.3">
      <c r="A6846" s="1">
        <v>45325</v>
      </c>
      <c r="B6846" s="2" t="s">
        <v>622</v>
      </c>
      <c r="C6846" s="2" t="s">
        <v>47</v>
      </c>
      <c r="D6846" s="2" t="s">
        <v>10</v>
      </c>
      <c r="E6846" s="2" t="s">
        <v>16</v>
      </c>
      <c r="F6846" s="2">
        <v>5.23</v>
      </c>
      <c r="G6846" s="2">
        <v>3</v>
      </c>
      <c r="H6846" s="2">
        <v>-4.18</v>
      </c>
      <c r="I6846" t="str">
        <f t="shared" si="106"/>
        <v>Feb</v>
      </c>
      <c r="J6846">
        <f>YEAR(datas[[#This Row],[Order Date]])</f>
        <v>2024</v>
      </c>
    </row>
    <row r="6847" spans="1:10" ht="14.25" customHeight="1" x14ac:dyDescent="0.3">
      <c r="A6847" s="1">
        <v>45325</v>
      </c>
      <c r="B6847" s="2" t="s">
        <v>622</v>
      </c>
      <c r="C6847" s="2" t="s">
        <v>47</v>
      </c>
      <c r="D6847" s="2" t="s">
        <v>10</v>
      </c>
      <c r="E6847" s="2" t="s">
        <v>15</v>
      </c>
      <c r="F6847" s="2">
        <v>285.55</v>
      </c>
      <c r="G6847" s="2">
        <v>2</v>
      </c>
      <c r="H6847" s="2">
        <v>35.69</v>
      </c>
      <c r="I6847" t="str">
        <f t="shared" si="106"/>
        <v>Feb</v>
      </c>
      <c r="J6847">
        <f>YEAR(datas[[#This Row],[Order Date]])</f>
        <v>2024</v>
      </c>
    </row>
    <row r="6848" spans="1:10" ht="14.25" customHeight="1" x14ac:dyDescent="0.3">
      <c r="A6848" s="1">
        <v>45325</v>
      </c>
      <c r="B6848" s="2" t="s">
        <v>110</v>
      </c>
      <c r="C6848" s="2" t="s">
        <v>64</v>
      </c>
      <c r="D6848" s="2" t="s">
        <v>10</v>
      </c>
      <c r="E6848" s="2" t="s">
        <v>16</v>
      </c>
      <c r="F6848" s="2">
        <v>3.88</v>
      </c>
      <c r="G6848" s="2">
        <v>2</v>
      </c>
      <c r="H6848" s="2">
        <v>-2.59</v>
      </c>
      <c r="I6848" t="str">
        <f t="shared" si="106"/>
        <v>Feb</v>
      </c>
      <c r="J6848">
        <f>YEAR(datas[[#This Row],[Order Date]])</f>
        <v>2024</v>
      </c>
    </row>
    <row r="6849" spans="1:10" ht="14.25" customHeight="1" x14ac:dyDescent="0.3">
      <c r="A6849" s="1">
        <v>45325</v>
      </c>
      <c r="B6849" s="2" t="s">
        <v>110</v>
      </c>
      <c r="C6849" s="2" t="s">
        <v>64</v>
      </c>
      <c r="D6849" s="2" t="s">
        <v>10</v>
      </c>
      <c r="E6849" s="2" t="s">
        <v>11</v>
      </c>
      <c r="F6849" s="2">
        <v>115.3</v>
      </c>
      <c r="G6849" s="2">
        <v>3</v>
      </c>
      <c r="H6849" s="2">
        <v>40.35</v>
      </c>
      <c r="I6849" t="str">
        <f t="shared" si="106"/>
        <v>Feb</v>
      </c>
      <c r="J6849">
        <f>YEAR(datas[[#This Row],[Order Date]])</f>
        <v>2024</v>
      </c>
    </row>
    <row r="6850" spans="1:10" ht="14.25" customHeight="1" x14ac:dyDescent="0.3">
      <c r="A6850" s="1">
        <v>45325</v>
      </c>
      <c r="B6850" s="2" t="s">
        <v>547</v>
      </c>
      <c r="C6850" s="2" t="s">
        <v>13</v>
      </c>
      <c r="D6850" s="2" t="s">
        <v>10</v>
      </c>
      <c r="E6850" s="2" t="s">
        <v>11</v>
      </c>
      <c r="F6850" s="2">
        <v>5.18</v>
      </c>
      <c r="G6850" s="2">
        <v>1</v>
      </c>
      <c r="H6850" s="2">
        <v>1.81</v>
      </c>
      <c r="I6850" t="str">
        <f t="shared" si="106"/>
        <v>Feb</v>
      </c>
      <c r="J6850">
        <f>YEAR(datas[[#This Row],[Order Date]])</f>
        <v>2024</v>
      </c>
    </row>
    <row r="6851" spans="1:10" ht="14.25" customHeight="1" x14ac:dyDescent="0.3">
      <c r="A6851" s="1">
        <v>45325</v>
      </c>
      <c r="B6851" s="2" t="s">
        <v>547</v>
      </c>
      <c r="C6851" s="2" t="s">
        <v>13</v>
      </c>
      <c r="D6851" s="2" t="s">
        <v>10</v>
      </c>
      <c r="E6851" s="2" t="s">
        <v>11</v>
      </c>
      <c r="F6851" s="2">
        <v>65.58</v>
      </c>
      <c r="G6851" s="2">
        <v>2</v>
      </c>
      <c r="H6851" s="2">
        <v>23.77</v>
      </c>
      <c r="I6851" t="str">
        <f t="shared" ref="I6851:I6914" si="107">TEXT(A6851,"mmm")</f>
        <v>Feb</v>
      </c>
      <c r="J6851">
        <f>YEAR(datas[[#This Row],[Order Date]])</f>
        <v>2024</v>
      </c>
    </row>
    <row r="6852" spans="1:10" ht="14.25" customHeight="1" x14ac:dyDescent="0.3">
      <c r="A6852" s="1">
        <v>45325</v>
      </c>
      <c r="B6852" s="2" t="s">
        <v>547</v>
      </c>
      <c r="C6852" s="2" t="s">
        <v>13</v>
      </c>
      <c r="D6852" s="2" t="s">
        <v>26</v>
      </c>
      <c r="E6852" s="2" t="s">
        <v>32</v>
      </c>
      <c r="F6852" s="2">
        <v>22.2</v>
      </c>
      <c r="G6852" s="2">
        <v>1</v>
      </c>
      <c r="H6852" s="2">
        <v>-26.09</v>
      </c>
      <c r="I6852" t="str">
        <f t="shared" si="107"/>
        <v>Feb</v>
      </c>
      <c r="J6852">
        <f>YEAR(datas[[#This Row],[Order Date]])</f>
        <v>2024</v>
      </c>
    </row>
    <row r="6853" spans="1:10" ht="14.25" customHeight="1" x14ac:dyDescent="0.3">
      <c r="A6853" s="1">
        <v>45325</v>
      </c>
      <c r="B6853" s="2" t="s">
        <v>547</v>
      </c>
      <c r="C6853" s="2" t="s">
        <v>13</v>
      </c>
      <c r="D6853" s="2" t="s">
        <v>10</v>
      </c>
      <c r="E6853" s="2" t="s">
        <v>11</v>
      </c>
      <c r="F6853" s="2">
        <v>419.4</v>
      </c>
      <c r="G6853" s="2">
        <v>5</v>
      </c>
      <c r="H6853" s="2">
        <v>146.79</v>
      </c>
      <c r="I6853" t="str">
        <f t="shared" si="107"/>
        <v>Feb</v>
      </c>
      <c r="J6853">
        <f>YEAR(datas[[#This Row],[Order Date]])</f>
        <v>2024</v>
      </c>
    </row>
    <row r="6854" spans="1:10" ht="14.25" customHeight="1" x14ac:dyDescent="0.3">
      <c r="A6854" s="1">
        <v>45326</v>
      </c>
      <c r="B6854" s="2" t="s">
        <v>778</v>
      </c>
      <c r="C6854" s="2" t="s">
        <v>75</v>
      </c>
      <c r="D6854" s="2" t="s">
        <v>10</v>
      </c>
      <c r="E6854" s="2" t="s">
        <v>53</v>
      </c>
      <c r="F6854" s="2">
        <v>32.67</v>
      </c>
      <c r="G6854" s="2">
        <v>3</v>
      </c>
      <c r="H6854" s="2">
        <v>8.49</v>
      </c>
      <c r="I6854" t="str">
        <f t="shared" si="107"/>
        <v>Feb</v>
      </c>
      <c r="J6854">
        <f>YEAR(datas[[#This Row],[Order Date]])</f>
        <v>2024</v>
      </c>
    </row>
    <row r="6855" spans="1:10" ht="14.25" customHeight="1" x14ac:dyDescent="0.3">
      <c r="A6855" s="1">
        <v>45327</v>
      </c>
      <c r="B6855" s="2" t="s">
        <v>149</v>
      </c>
      <c r="C6855" s="2" t="s">
        <v>9</v>
      </c>
      <c r="D6855" s="2" t="s">
        <v>10</v>
      </c>
      <c r="E6855" s="2" t="s">
        <v>16</v>
      </c>
      <c r="F6855" s="2">
        <v>243.99</v>
      </c>
      <c r="G6855" s="2">
        <v>4</v>
      </c>
      <c r="H6855" s="2">
        <v>-426.99</v>
      </c>
      <c r="I6855" t="str">
        <f t="shared" si="107"/>
        <v>Feb</v>
      </c>
      <c r="J6855">
        <f>YEAR(datas[[#This Row],[Order Date]])</f>
        <v>2024</v>
      </c>
    </row>
    <row r="6856" spans="1:10" ht="14.25" customHeight="1" x14ac:dyDescent="0.3">
      <c r="A6856" s="1">
        <v>45327</v>
      </c>
      <c r="B6856" s="2" t="s">
        <v>149</v>
      </c>
      <c r="C6856" s="2" t="s">
        <v>9</v>
      </c>
      <c r="D6856" s="2" t="s">
        <v>10</v>
      </c>
      <c r="E6856" s="2" t="s">
        <v>19</v>
      </c>
      <c r="F6856" s="2">
        <v>7.12</v>
      </c>
      <c r="G6856" s="2">
        <v>5</v>
      </c>
      <c r="H6856" s="2">
        <v>0.71</v>
      </c>
      <c r="I6856" t="str">
        <f t="shared" si="107"/>
        <v>Feb</v>
      </c>
      <c r="J6856">
        <f>YEAR(datas[[#This Row],[Order Date]])</f>
        <v>2024</v>
      </c>
    </row>
    <row r="6857" spans="1:10" ht="14.25" customHeight="1" x14ac:dyDescent="0.3">
      <c r="A6857" s="1">
        <v>45327</v>
      </c>
      <c r="B6857" s="2" t="s">
        <v>523</v>
      </c>
      <c r="C6857" s="2" t="s">
        <v>21</v>
      </c>
      <c r="D6857" s="2" t="s">
        <v>10</v>
      </c>
      <c r="E6857" s="2" t="s">
        <v>53</v>
      </c>
      <c r="F6857" s="2">
        <v>1640.7</v>
      </c>
      <c r="G6857" s="2">
        <v>5</v>
      </c>
      <c r="H6857" s="2">
        <v>459.4</v>
      </c>
      <c r="I6857" t="str">
        <f t="shared" si="107"/>
        <v>Feb</v>
      </c>
      <c r="J6857">
        <f>YEAR(datas[[#This Row],[Order Date]])</f>
        <v>2024</v>
      </c>
    </row>
    <row r="6858" spans="1:10" ht="14.25" customHeight="1" x14ac:dyDescent="0.3">
      <c r="A6858" s="1">
        <v>45327</v>
      </c>
      <c r="B6858" s="2" t="s">
        <v>523</v>
      </c>
      <c r="C6858" s="2" t="s">
        <v>21</v>
      </c>
      <c r="D6858" s="2" t="s">
        <v>28</v>
      </c>
      <c r="E6858" s="2" t="s">
        <v>29</v>
      </c>
      <c r="F6858" s="2">
        <v>371.2</v>
      </c>
      <c r="G6858" s="2">
        <v>5</v>
      </c>
      <c r="H6858" s="2">
        <v>41.76</v>
      </c>
      <c r="I6858" t="str">
        <f t="shared" si="107"/>
        <v>Feb</v>
      </c>
      <c r="J6858">
        <f>YEAR(datas[[#This Row],[Order Date]])</f>
        <v>2024</v>
      </c>
    </row>
    <row r="6859" spans="1:10" ht="14.25" customHeight="1" x14ac:dyDescent="0.3">
      <c r="A6859" s="1">
        <v>45328</v>
      </c>
      <c r="B6859" s="2" t="s">
        <v>58</v>
      </c>
      <c r="C6859" s="2" t="s">
        <v>36</v>
      </c>
      <c r="D6859" s="2" t="s">
        <v>26</v>
      </c>
      <c r="E6859" s="2" t="s">
        <v>45</v>
      </c>
      <c r="F6859" s="2">
        <v>359.97</v>
      </c>
      <c r="G6859" s="2">
        <v>3</v>
      </c>
      <c r="H6859" s="2">
        <v>79.19</v>
      </c>
      <c r="I6859" t="str">
        <f t="shared" si="107"/>
        <v>Feb</v>
      </c>
      <c r="J6859">
        <f>YEAR(datas[[#This Row],[Order Date]])</f>
        <v>2024</v>
      </c>
    </row>
    <row r="6860" spans="1:10" ht="14.25" customHeight="1" x14ac:dyDescent="0.3">
      <c r="A6860" s="1">
        <v>45328</v>
      </c>
      <c r="B6860" s="2" t="s">
        <v>815</v>
      </c>
      <c r="C6860" s="2" t="s">
        <v>75</v>
      </c>
      <c r="D6860" s="2" t="s">
        <v>26</v>
      </c>
      <c r="E6860" s="2" t="s">
        <v>45</v>
      </c>
      <c r="F6860" s="2">
        <v>240.78</v>
      </c>
      <c r="G6860" s="2">
        <v>1</v>
      </c>
      <c r="H6860" s="2">
        <v>30.1</v>
      </c>
      <c r="I6860" t="str">
        <f t="shared" si="107"/>
        <v>Feb</v>
      </c>
      <c r="J6860">
        <f>YEAR(datas[[#This Row],[Order Date]])</f>
        <v>2024</v>
      </c>
    </row>
    <row r="6861" spans="1:10" ht="14.25" customHeight="1" x14ac:dyDescent="0.3">
      <c r="A6861" s="1">
        <v>45328</v>
      </c>
      <c r="B6861" s="2" t="s">
        <v>528</v>
      </c>
      <c r="C6861" s="2" t="s">
        <v>75</v>
      </c>
      <c r="D6861" s="2" t="s">
        <v>28</v>
      </c>
      <c r="E6861" s="2" t="s">
        <v>29</v>
      </c>
      <c r="F6861" s="2">
        <v>227.46</v>
      </c>
      <c r="G6861" s="2">
        <v>6</v>
      </c>
      <c r="H6861" s="2">
        <v>65.959999999999994</v>
      </c>
      <c r="I6861" t="str">
        <f t="shared" si="107"/>
        <v>Feb</v>
      </c>
      <c r="J6861">
        <f>YEAR(datas[[#This Row],[Order Date]])</f>
        <v>2024</v>
      </c>
    </row>
    <row r="6862" spans="1:10" ht="14.25" customHeight="1" x14ac:dyDescent="0.3">
      <c r="A6862" s="1">
        <v>45328</v>
      </c>
      <c r="B6862" s="2" t="s">
        <v>528</v>
      </c>
      <c r="C6862" s="2" t="s">
        <v>75</v>
      </c>
      <c r="D6862" s="2" t="s">
        <v>10</v>
      </c>
      <c r="E6862" s="2" t="s">
        <v>16</v>
      </c>
      <c r="F6862" s="2">
        <v>46.24</v>
      </c>
      <c r="G6862" s="2">
        <v>4</v>
      </c>
      <c r="H6862" s="2">
        <v>15.61</v>
      </c>
      <c r="I6862" t="str">
        <f t="shared" si="107"/>
        <v>Feb</v>
      </c>
      <c r="J6862">
        <f>YEAR(datas[[#This Row],[Order Date]])</f>
        <v>2024</v>
      </c>
    </row>
    <row r="6863" spans="1:10" ht="14.25" customHeight="1" x14ac:dyDescent="0.3">
      <c r="A6863" s="1">
        <v>45328</v>
      </c>
      <c r="B6863" s="2" t="s">
        <v>732</v>
      </c>
      <c r="C6863" s="2" t="s">
        <v>21</v>
      </c>
      <c r="D6863" s="2" t="s">
        <v>10</v>
      </c>
      <c r="E6863" s="2" t="s">
        <v>11</v>
      </c>
      <c r="F6863" s="2">
        <v>29.9</v>
      </c>
      <c r="G6863" s="2">
        <v>5</v>
      </c>
      <c r="H6863" s="2">
        <v>13.46</v>
      </c>
      <c r="I6863" t="str">
        <f t="shared" si="107"/>
        <v>Feb</v>
      </c>
      <c r="J6863">
        <f>YEAR(datas[[#This Row],[Order Date]])</f>
        <v>2024</v>
      </c>
    </row>
    <row r="6864" spans="1:10" ht="14.25" customHeight="1" x14ac:dyDescent="0.3">
      <c r="A6864" s="1">
        <v>45331</v>
      </c>
      <c r="B6864" s="2" t="s">
        <v>791</v>
      </c>
      <c r="C6864" s="2" t="s">
        <v>9</v>
      </c>
      <c r="D6864" s="2" t="s">
        <v>10</v>
      </c>
      <c r="E6864" s="2" t="s">
        <v>16</v>
      </c>
      <c r="F6864" s="2">
        <v>252.78</v>
      </c>
      <c r="G6864" s="2">
        <v>4</v>
      </c>
      <c r="H6864" s="2">
        <v>-417.09</v>
      </c>
      <c r="I6864" t="str">
        <f t="shared" si="107"/>
        <v>Feb</v>
      </c>
      <c r="J6864">
        <f>YEAR(datas[[#This Row],[Order Date]])</f>
        <v>2024</v>
      </c>
    </row>
    <row r="6865" spans="1:10" ht="14.25" customHeight="1" x14ac:dyDescent="0.3">
      <c r="A6865" s="1">
        <v>45331</v>
      </c>
      <c r="B6865" s="2" t="s">
        <v>791</v>
      </c>
      <c r="C6865" s="2" t="s">
        <v>9</v>
      </c>
      <c r="D6865" s="2" t="s">
        <v>28</v>
      </c>
      <c r="E6865" s="2" t="s">
        <v>34</v>
      </c>
      <c r="F6865" s="2">
        <v>127.98</v>
      </c>
      <c r="G6865" s="2">
        <v>2</v>
      </c>
      <c r="H6865" s="2">
        <v>16</v>
      </c>
      <c r="I6865" t="str">
        <f t="shared" si="107"/>
        <v>Feb</v>
      </c>
      <c r="J6865">
        <f>YEAR(datas[[#This Row],[Order Date]])</f>
        <v>2024</v>
      </c>
    </row>
    <row r="6866" spans="1:10" ht="14.25" customHeight="1" x14ac:dyDescent="0.3">
      <c r="A6866" s="1">
        <v>45331</v>
      </c>
      <c r="B6866" s="2" t="s">
        <v>791</v>
      </c>
      <c r="C6866" s="2" t="s">
        <v>9</v>
      </c>
      <c r="D6866" s="2" t="s">
        <v>26</v>
      </c>
      <c r="E6866" s="2" t="s">
        <v>32</v>
      </c>
      <c r="F6866" s="2">
        <v>3.98</v>
      </c>
      <c r="G6866" s="2">
        <v>2</v>
      </c>
      <c r="H6866" s="2">
        <v>-2.69</v>
      </c>
      <c r="I6866" t="str">
        <f t="shared" si="107"/>
        <v>Feb</v>
      </c>
      <c r="J6866">
        <f>YEAR(datas[[#This Row],[Order Date]])</f>
        <v>2024</v>
      </c>
    </row>
    <row r="6867" spans="1:10" ht="14.25" customHeight="1" x14ac:dyDescent="0.3">
      <c r="A6867" s="1">
        <v>45331</v>
      </c>
      <c r="B6867" s="2" t="s">
        <v>791</v>
      </c>
      <c r="C6867" s="2" t="s">
        <v>9</v>
      </c>
      <c r="D6867" s="2" t="s">
        <v>10</v>
      </c>
      <c r="E6867" s="2" t="s">
        <v>53</v>
      </c>
      <c r="F6867" s="2">
        <v>12.99</v>
      </c>
      <c r="G6867" s="2">
        <v>2</v>
      </c>
      <c r="H6867" s="2">
        <v>-32.479999999999997</v>
      </c>
      <c r="I6867" t="str">
        <f t="shared" si="107"/>
        <v>Feb</v>
      </c>
      <c r="J6867">
        <f>YEAR(datas[[#This Row],[Order Date]])</f>
        <v>2024</v>
      </c>
    </row>
    <row r="6868" spans="1:10" ht="14.25" customHeight="1" x14ac:dyDescent="0.3">
      <c r="A6868" s="1">
        <v>45331</v>
      </c>
      <c r="B6868" s="2" t="s">
        <v>94</v>
      </c>
      <c r="C6868" s="2" t="s">
        <v>21</v>
      </c>
      <c r="D6868" s="2" t="s">
        <v>26</v>
      </c>
      <c r="E6868" s="2" t="s">
        <v>32</v>
      </c>
      <c r="F6868" s="2">
        <v>21.12</v>
      </c>
      <c r="G6868" s="2">
        <v>4</v>
      </c>
      <c r="H6868" s="2">
        <v>6.55</v>
      </c>
      <c r="I6868" t="str">
        <f t="shared" si="107"/>
        <v>Feb</v>
      </c>
      <c r="J6868">
        <f>YEAR(datas[[#This Row],[Order Date]])</f>
        <v>2024</v>
      </c>
    </row>
    <row r="6869" spans="1:10" ht="14.25" customHeight="1" x14ac:dyDescent="0.3">
      <c r="A6869" s="1">
        <v>45331</v>
      </c>
      <c r="B6869" s="2" t="s">
        <v>309</v>
      </c>
      <c r="C6869" s="2" t="s">
        <v>21</v>
      </c>
      <c r="D6869" s="2" t="s">
        <v>10</v>
      </c>
      <c r="E6869" s="2" t="s">
        <v>15</v>
      </c>
      <c r="F6869" s="2">
        <v>354.9</v>
      </c>
      <c r="G6869" s="2">
        <v>5</v>
      </c>
      <c r="H6869" s="2">
        <v>17.75</v>
      </c>
      <c r="I6869" t="str">
        <f t="shared" si="107"/>
        <v>Feb</v>
      </c>
      <c r="J6869">
        <f>YEAR(datas[[#This Row],[Order Date]])</f>
        <v>2024</v>
      </c>
    </row>
    <row r="6870" spans="1:10" ht="14.25" customHeight="1" x14ac:dyDescent="0.3">
      <c r="A6870" s="1">
        <v>45332</v>
      </c>
      <c r="B6870" s="2" t="s">
        <v>168</v>
      </c>
      <c r="C6870" s="2" t="s">
        <v>21</v>
      </c>
      <c r="D6870" s="2" t="s">
        <v>26</v>
      </c>
      <c r="E6870" s="2" t="s">
        <v>45</v>
      </c>
      <c r="F6870" s="2">
        <v>203.98</v>
      </c>
      <c r="G6870" s="2">
        <v>2</v>
      </c>
      <c r="H6870" s="2">
        <v>16.8</v>
      </c>
      <c r="I6870" t="str">
        <f t="shared" si="107"/>
        <v>Feb</v>
      </c>
      <c r="J6870">
        <f>YEAR(datas[[#This Row],[Order Date]])</f>
        <v>2024</v>
      </c>
    </row>
    <row r="6871" spans="1:10" ht="14.25" customHeight="1" x14ac:dyDescent="0.3">
      <c r="A6871" s="1">
        <v>45332</v>
      </c>
      <c r="B6871" s="2" t="s">
        <v>97</v>
      </c>
      <c r="C6871" s="2" t="s">
        <v>215</v>
      </c>
      <c r="D6871" s="2" t="s">
        <v>10</v>
      </c>
      <c r="E6871" s="2" t="s">
        <v>11</v>
      </c>
      <c r="F6871" s="2">
        <v>23.12</v>
      </c>
      <c r="G6871" s="2">
        <v>4</v>
      </c>
      <c r="H6871" s="2">
        <v>11.33</v>
      </c>
      <c r="I6871" t="str">
        <f t="shared" si="107"/>
        <v>Feb</v>
      </c>
      <c r="J6871">
        <f>YEAR(datas[[#This Row],[Order Date]])</f>
        <v>2024</v>
      </c>
    </row>
    <row r="6872" spans="1:10" ht="14.25" customHeight="1" x14ac:dyDescent="0.3">
      <c r="A6872" s="1">
        <v>45333</v>
      </c>
      <c r="B6872" s="2" t="s">
        <v>263</v>
      </c>
      <c r="C6872" s="2" t="s">
        <v>21</v>
      </c>
      <c r="D6872" s="2" t="s">
        <v>10</v>
      </c>
      <c r="E6872" s="2" t="s">
        <v>16</v>
      </c>
      <c r="F6872" s="2">
        <v>21.34</v>
      </c>
      <c r="G6872" s="2">
        <v>7</v>
      </c>
      <c r="H6872" s="2">
        <v>7.73</v>
      </c>
      <c r="I6872" t="str">
        <f t="shared" si="107"/>
        <v>Feb</v>
      </c>
      <c r="J6872">
        <f>YEAR(datas[[#This Row],[Order Date]])</f>
        <v>2024</v>
      </c>
    </row>
    <row r="6873" spans="1:10" ht="14.25" customHeight="1" x14ac:dyDescent="0.3">
      <c r="A6873" s="1">
        <v>45333</v>
      </c>
      <c r="B6873" s="2" t="s">
        <v>640</v>
      </c>
      <c r="C6873" s="2" t="s">
        <v>82</v>
      </c>
      <c r="D6873" s="2" t="s">
        <v>26</v>
      </c>
      <c r="E6873" s="2" t="s">
        <v>27</v>
      </c>
      <c r="F6873" s="2">
        <v>963.14</v>
      </c>
      <c r="G6873" s="2">
        <v>4</v>
      </c>
      <c r="H6873" s="2">
        <v>108.35</v>
      </c>
      <c r="I6873" t="str">
        <f t="shared" si="107"/>
        <v>Feb</v>
      </c>
      <c r="J6873">
        <f>YEAR(datas[[#This Row],[Order Date]])</f>
        <v>2024</v>
      </c>
    </row>
    <row r="6874" spans="1:10" ht="14.25" customHeight="1" x14ac:dyDescent="0.3">
      <c r="A6874" s="1">
        <v>45333</v>
      </c>
      <c r="B6874" s="2" t="s">
        <v>640</v>
      </c>
      <c r="C6874" s="2" t="s">
        <v>82</v>
      </c>
      <c r="D6874" s="2" t="s">
        <v>28</v>
      </c>
      <c r="E6874" s="2" t="s">
        <v>29</v>
      </c>
      <c r="F6874" s="2">
        <v>88.78</v>
      </c>
      <c r="G6874" s="2">
        <v>3</v>
      </c>
      <c r="H6874" s="2">
        <v>7.77</v>
      </c>
      <c r="I6874" t="str">
        <f t="shared" si="107"/>
        <v>Feb</v>
      </c>
      <c r="J6874">
        <f>YEAR(datas[[#This Row],[Order Date]])</f>
        <v>2024</v>
      </c>
    </row>
    <row r="6875" spans="1:10" ht="14.25" customHeight="1" x14ac:dyDescent="0.3">
      <c r="A6875" s="1">
        <v>45333</v>
      </c>
      <c r="B6875" s="2" t="s">
        <v>421</v>
      </c>
      <c r="C6875" s="2" t="s">
        <v>75</v>
      </c>
      <c r="D6875" s="2" t="s">
        <v>10</v>
      </c>
      <c r="E6875" s="2" t="s">
        <v>14</v>
      </c>
      <c r="F6875" s="2">
        <v>20.7</v>
      </c>
      <c r="G6875" s="2">
        <v>2</v>
      </c>
      <c r="H6875" s="2">
        <v>9.94</v>
      </c>
      <c r="I6875" t="str">
        <f t="shared" si="107"/>
        <v>Feb</v>
      </c>
      <c r="J6875">
        <f>YEAR(datas[[#This Row],[Order Date]])</f>
        <v>2024</v>
      </c>
    </row>
    <row r="6876" spans="1:10" ht="14.25" customHeight="1" x14ac:dyDescent="0.3">
      <c r="A6876" s="1">
        <v>45333</v>
      </c>
      <c r="B6876" s="2" t="s">
        <v>293</v>
      </c>
      <c r="C6876" s="2" t="s">
        <v>47</v>
      </c>
      <c r="D6876" s="2" t="s">
        <v>26</v>
      </c>
      <c r="E6876" s="2" t="s">
        <v>32</v>
      </c>
      <c r="F6876" s="2">
        <v>147.57</v>
      </c>
      <c r="G6876" s="2">
        <v>2</v>
      </c>
      <c r="H6876" s="2">
        <v>-3.69</v>
      </c>
      <c r="I6876" t="str">
        <f t="shared" si="107"/>
        <v>Feb</v>
      </c>
      <c r="J6876">
        <f>YEAR(datas[[#This Row],[Order Date]])</f>
        <v>2024</v>
      </c>
    </row>
    <row r="6877" spans="1:10" ht="14.25" customHeight="1" x14ac:dyDescent="0.3">
      <c r="A6877" s="1">
        <v>45335</v>
      </c>
      <c r="B6877" s="2" t="s">
        <v>754</v>
      </c>
      <c r="C6877" s="2" t="s">
        <v>82</v>
      </c>
      <c r="D6877" s="2" t="s">
        <v>10</v>
      </c>
      <c r="E6877" s="2" t="s">
        <v>19</v>
      </c>
      <c r="F6877" s="2">
        <v>6.63</v>
      </c>
      <c r="G6877" s="2">
        <v>3</v>
      </c>
      <c r="H6877" s="2">
        <v>1.79</v>
      </c>
      <c r="I6877" t="str">
        <f t="shared" si="107"/>
        <v>Feb</v>
      </c>
      <c r="J6877">
        <f>YEAR(datas[[#This Row],[Order Date]])</f>
        <v>2024</v>
      </c>
    </row>
    <row r="6878" spans="1:10" ht="14.25" customHeight="1" x14ac:dyDescent="0.3">
      <c r="A6878" s="1">
        <v>45335</v>
      </c>
      <c r="B6878" s="2" t="s">
        <v>754</v>
      </c>
      <c r="C6878" s="2" t="s">
        <v>82</v>
      </c>
      <c r="D6878" s="2" t="s">
        <v>28</v>
      </c>
      <c r="E6878" s="2" t="s">
        <v>34</v>
      </c>
      <c r="F6878" s="2">
        <v>799.96</v>
      </c>
      <c r="G6878" s="2">
        <v>4</v>
      </c>
      <c r="H6878" s="2">
        <v>343.98</v>
      </c>
      <c r="I6878" t="str">
        <f t="shared" si="107"/>
        <v>Feb</v>
      </c>
      <c r="J6878">
        <f>YEAR(datas[[#This Row],[Order Date]])</f>
        <v>2024</v>
      </c>
    </row>
    <row r="6879" spans="1:10" ht="14.25" customHeight="1" x14ac:dyDescent="0.3">
      <c r="A6879" s="1">
        <v>45335</v>
      </c>
      <c r="B6879" s="2" t="s">
        <v>754</v>
      </c>
      <c r="C6879" s="2" t="s">
        <v>82</v>
      </c>
      <c r="D6879" s="2" t="s">
        <v>26</v>
      </c>
      <c r="E6879" s="2" t="s">
        <v>32</v>
      </c>
      <c r="F6879" s="2">
        <v>107.53</v>
      </c>
      <c r="G6879" s="2">
        <v>1</v>
      </c>
      <c r="H6879" s="2">
        <v>21.51</v>
      </c>
      <c r="I6879" t="str">
        <f t="shared" si="107"/>
        <v>Feb</v>
      </c>
      <c r="J6879">
        <f>YEAR(datas[[#This Row],[Order Date]])</f>
        <v>2024</v>
      </c>
    </row>
    <row r="6880" spans="1:10" ht="14.25" customHeight="1" x14ac:dyDescent="0.3">
      <c r="A6880" s="1">
        <v>45335</v>
      </c>
      <c r="B6880" s="2" t="s">
        <v>212</v>
      </c>
      <c r="C6880" s="2" t="s">
        <v>215</v>
      </c>
      <c r="D6880" s="2" t="s">
        <v>10</v>
      </c>
      <c r="E6880" s="2" t="s">
        <v>95</v>
      </c>
      <c r="F6880" s="2">
        <v>25.02</v>
      </c>
      <c r="G6880" s="2">
        <v>3</v>
      </c>
      <c r="H6880" s="2">
        <v>6.51</v>
      </c>
      <c r="I6880" t="str">
        <f t="shared" si="107"/>
        <v>Feb</v>
      </c>
      <c r="J6880">
        <f>YEAR(datas[[#This Row],[Order Date]])</f>
        <v>2024</v>
      </c>
    </row>
    <row r="6881" spans="1:10" ht="14.25" customHeight="1" x14ac:dyDescent="0.3">
      <c r="A6881" s="1">
        <v>45335</v>
      </c>
      <c r="B6881" s="2" t="s">
        <v>212</v>
      </c>
      <c r="C6881" s="2" t="s">
        <v>215</v>
      </c>
      <c r="D6881" s="2" t="s">
        <v>10</v>
      </c>
      <c r="E6881" s="2" t="s">
        <v>19</v>
      </c>
      <c r="F6881" s="2">
        <v>10.71</v>
      </c>
      <c r="G6881" s="2">
        <v>3</v>
      </c>
      <c r="H6881" s="2">
        <v>2.78</v>
      </c>
      <c r="I6881" t="str">
        <f t="shared" si="107"/>
        <v>Feb</v>
      </c>
      <c r="J6881">
        <f>YEAR(datas[[#This Row],[Order Date]])</f>
        <v>2024</v>
      </c>
    </row>
    <row r="6882" spans="1:10" ht="14.25" customHeight="1" x14ac:dyDescent="0.3">
      <c r="A6882" s="1">
        <v>45335</v>
      </c>
      <c r="B6882" s="2" t="s">
        <v>429</v>
      </c>
      <c r="C6882" s="2" t="s">
        <v>75</v>
      </c>
      <c r="D6882" s="2" t="s">
        <v>10</v>
      </c>
      <c r="E6882" s="2" t="s">
        <v>11</v>
      </c>
      <c r="F6882" s="2">
        <v>17.940000000000001</v>
      </c>
      <c r="G6882" s="2">
        <v>3</v>
      </c>
      <c r="H6882" s="2">
        <v>8.7899999999999991</v>
      </c>
      <c r="I6882" t="str">
        <f t="shared" si="107"/>
        <v>Feb</v>
      </c>
      <c r="J6882">
        <f>YEAR(datas[[#This Row],[Order Date]])</f>
        <v>2024</v>
      </c>
    </row>
    <row r="6883" spans="1:10" ht="14.25" customHeight="1" x14ac:dyDescent="0.3">
      <c r="A6883" s="1">
        <v>45335</v>
      </c>
      <c r="B6883" s="2" t="s">
        <v>362</v>
      </c>
      <c r="C6883" s="2" t="s">
        <v>140</v>
      </c>
      <c r="D6883" s="2" t="s">
        <v>10</v>
      </c>
      <c r="E6883" s="2" t="s">
        <v>53</v>
      </c>
      <c r="F6883" s="2">
        <v>90.64</v>
      </c>
      <c r="G6883" s="2">
        <v>8</v>
      </c>
      <c r="H6883" s="2">
        <v>38.979999999999997</v>
      </c>
      <c r="I6883" t="str">
        <f t="shared" si="107"/>
        <v>Feb</v>
      </c>
      <c r="J6883">
        <f>YEAR(datas[[#This Row],[Order Date]])</f>
        <v>2024</v>
      </c>
    </row>
    <row r="6884" spans="1:10" ht="14.25" customHeight="1" x14ac:dyDescent="0.3">
      <c r="A6884" s="1">
        <v>45338</v>
      </c>
      <c r="B6884" s="2" t="s">
        <v>390</v>
      </c>
      <c r="C6884" s="2" t="s">
        <v>75</v>
      </c>
      <c r="D6884" s="2" t="s">
        <v>10</v>
      </c>
      <c r="E6884" s="2" t="s">
        <v>11</v>
      </c>
      <c r="F6884" s="2">
        <v>37.94</v>
      </c>
      <c r="G6884" s="2">
        <v>2</v>
      </c>
      <c r="H6884" s="2">
        <v>18.21</v>
      </c>
      <c r="I6884" t="str">
        <f t="shared" si="107"/>
        <v>Feb</v>
      </c>
      <c r="J6884">
        <f>YEAR(datas[[#This Row],[Order Date]])</f>
        <v>2024</v>
      </c>
    </row>
    <row r="6885" spans="1:10" ht="14.25" customHeight="1" x14ac:dyDescent="0.3">
      <c r="A6885" s="1">
        <v>45338</v>
      </c>
      <c r="B6885" s="2" t="s">
        <v>609</v>
      </c>
      <c r="C6885" s="2" t="s">
        <v>248</v>
      </c>
      <c r="D6885" s="2" t="s">
        <v>10</v>
      </c>
      <c r="E6885" s="2" t="s">
        <v>15</v>
      </c>
      <c r="F6885" s="2">
        <v>579.51</v>
      </c>
      <c r="G6885" s="2">
        <v>3</v>
      </c>
      <c r="H6885" s="2">
        <v>81.13</v>
      </c>
      <c r="I6885" t="str">
        <f t="shared" si="107"/>
        <v>Feb</v>
      </c>
      <c r="J6885">
        <f>YEAR(datas[[#This Row],[Order Date]])</f>
        <v>2024</v>
      </c>
    </row>
    <row r="6886" spans="1:10" ht="14.25" customHeight="1" x14ac:dyDescent="0.3">
      <c r="A6886" s="1">
        <v>45338</v>
      </c>
      <c r="B6886" s="2" t="s">
        <v>609</v>
      </c>
      <c r="C6886" s="2" t="s">
        <v>248</v>
      </c>
      <c r="D6886" s="2" t="s">
        <v>28</v>
      </c>
      <c r="E6886" s="2" t="s">
        <v>29</v>
      </c>
      <c r="F6886" s="2">
        <v>14.99</v>
      </c>
      <c r="G6886" s="2">
        <v>1</v>
      </c>
      <c r="H6886" s="2">
        <v>7.35</v>
      </c>
      <c r="I6886" t="str">
        <f t="shared" si="107"/>
        <v>Feb</v>
      </c>
      <c r="J6886">
        <f>YEAR(datas[[#This Row],[Order Date]])</f>
        <v>2024</v>
      </c>
    </row>
    <row r="6887" spans="1:10" ht="14.25" customHeight="1" x14ac:dyDescent="0.3">
      <c r="A6887" s="1">
        <v>45338</v>
      </c>
      <c r="B6887" s="2" t="s">
        <v>106</v>
      </c>
      <c r="C6887" s="2" t="s">
        <v>13</v>
      </c>
      <c r="D6887" s="2" t="s">
        <v>10</v>
      </c>
      <c r="E6887" s="2" t="s">
        <v>30</v>
      </c>
      <c r="F6887" s="2">
        <v>18.37</v>
      </c>
      <c r="G6887" s="2">
        <v>2</v>
      </c>
      <c r="H6887" s="2">
        <v>6.2</v>
      </c>
      <c r="I6887" t="str">
        <f t="shared" si="107"/>
        <v>Feb</v>
      </c>
      <c r="J6887">
        <f>YEAR(datas[[#This Row],[Order Date]])</f>
        <v>2024</v>
      </c>
    </row>
    <row r="6888" spans="1:10" ht="14.25" customHeight="1" x14ac:dyDescent="0.3">
      <c r="A6888" s="1">
        <v>45338</v>
      </c>
      <c r="B6888" s="2" t="s">
        <v>106</v>
      </c>
      <c r="C6888" s="2" t="s">
        <v>13</v>
      </c>
      <c r="D6888" s="2" t="s">
        <v>26</v>
      </c>
      <c r="E6888" s="2" t="s">
        <v>27</v>
      </c>
      <c r="F6888" s="2">
        <v>600.55999999999995</v>
      </c>
      <c r="G6888" s="2">
        <v>3</v>
      </c>
      <c r="H6888" s="2">
        <v>-8.58</v>
      </c>
      <c r="I6888" t="str">
        <f t="shared" si="107"/>
        <v>Feb</v>
      </c>
      <c r="J6888">
        <f>YEAR(datas[[#This Row],[Order Date]])</f>
        <v>2024</v>
      </c>
    </row>
    <row r="6889" spans="1:10" ht="14.25" customHeight="1" x14ac:dyDescent="0.3">
      <c r="A6889" s="1">
        <v>45338</v>
      </c>
      <c r="B6889" s="2" t="s">
        <v>106</v>
      </c>
      <c r="C6889" s="2" t="s">
        <v>13</v>
      </c>
      <c r="D6889" s="2" t="s">
        <v>10</v>
      </c>
      <c r="E6889" s="2" t="s">
        <v>15</v>
      </c>
      <c r="F6889" s="2">
        <v>50.35</v>
      </c>
      <c r="G6889" s="2">
        <v>3</v>
      </c>
      <c r="H6889" s="2">
        <v>-8.18</v>
      </c>
      <c r="I6889" t="str">
        <f t="shared" si="107"/>
        <v>Feb</v>
      </c>
      <c r="J6889">
        <f>YEAR(datas[[#This Row],[Order Date]])</f>
        <v>2024</v>
      </c>
    </row>
    <row r="6890" spans="1:10" ht="14.25" customHeight="1" x14ac:dyDescent="0.3">
      <c r="A6890" s="1">
        <v>45338</v>
      </c>
      <c r="B6890" s="2" t="s">
        <v>106</v>
      </c>
      <c r="C6890" s="2" t="s">
        <v>13</v>
      </c>
      <c r="D6890" s="2" t="s">
        <v>10</v>
      </c>
      <c r="E6890" s="2" t="s">
        <v>19</v>
      </c>
      <c r="F6890" s="2">
        <v>28.03</v>
      </c>
      <c r="G6890" s="2">
        <v>6</v>
      </c>
      <c r="H6890" s="2">
        <v>3.5</v>
      </c>
      <c r="I6890" t="str">
        <f t="shared" si="107"/>
        <v>Feb</v>
      </c>
      <c r="J6890">
        <f>YEAR(datas[[#This Row],[Order Date]])</f>
        <v>2024</v>
      </c>
    </row>
    <row r="6891" spans="1:10" ht="14.25" customHeight="1" x14ac:dyDescent="0.3">
      <c r="A6891" s="1">
        <v>45338</v>
      </c>
      <c r="B6891" s="2" t="s">
        <v>106</v>
      </c>
      <c r="C6891" s="2" t="s">
        <v>13</v>
      </c>
      <c r="D6891" s="2" t="s">
        <v>26</v>
      </c>
      <c r="E6891" s="2" t="s">
        <v>32</v>
      </c>
      <c r="F6891" s="2">
        <v>7.69</v>
      </c>
      <c r="G6891" s="2">
        <v>1</v>
      </c>
      <c r="H6891" s="2">
        <v>-3.65</v>
      </c>
      <c r="I6891" t="str">
        <f t="shared" si="107"/>
        <v>Feb</v>
      </c>
      <c r="J6891">
        <f>YEAR(datas[[#This Row],[Order Date]])</f>
        <v>2024</v>
      </c>
    </row>
    <row r="6892" spans="1:10" ht="14.25" customHeight="1" x14ac:dyDescent="0.3">
      <c r="A6892" s="1">
        <v>45339</v>
      </c>
      <c r="B6892" s="2" t="s">
        <v>560</v>
      </c>
      <c r="C6892" s="2" t="s">
        <v>13</v>
      </c>
      <c r="D6892" s="2" t="s">
        <v>26</v>
      </c>
      <c r="E6892" s="2" t="s">
        <v>73</v>
      </c>
      <c r="F6892" s="2">
        <v>480.96</v>
      </c>
      <c r="G6892" s="2">
        <v>3</v>
      </c>
      <c r="H6892" s="2">
        <v>-269.33999999999997</v>
      </c>
      <c r="I6892" t="str">
        <f t="shared" si="107"/>
        <v>Feb</v>
      </c>
      <c r="J6892">
        <f>YEAR(datas[[#This Row],[Order Date]])</f>
        <v>2024</v>
      </c>
    </row>
    <row r="6893" spans="1:10" ht="14.25" customHeight="1" x14ac:dyDescent="0.3">
      <c r="A6893" s="1">
        <v>45339</v>
      </c>
      <c r="B6893" s="2" t="s">
        <v>560</v>
      </c>
      <c r="C6893" s="2" t="s">
        <v>13</v>
      </c>
      <c r="D6893" s="2" t="s">
        <v>28</v>
      </c>
      <c r="E6893" s="2" t="s">
        <v>29</v>
      </c>
      <c r="F6893" s="2">
        <v>124.79</v>
      </c>
      <c r="G6893" s="2">
        <v>1</v>
      </c>
      <c r="H6893" s="2">
        <v>10.92</v>
      </c>
      <c r="I6893" t="str">
        <f t="shared" si="107"/>
        <v>Feb</v>
      </c>
      <c r="J6893">
        <f>YEAR(datas[[#This Row],[Order Date]])</f>
        <v>2024</v>
      </c>
    </row>
    <row r="6894" spans="1:10" ht="14.25" customHeight="1" x14ac:dyDescent="0.3">
      <c r="A6894" s="1">
        <v>45339</v>
      </c>
      <c r="B6894" s="2" t="s">
        <v>236</v>
      </c>
      <c r="C6894" s="2" t="s">
        <v>40</v>
      </c>
      <c r="D6894" s="2" t="s">
        <v>28</v>
      </c>
      <c r="E6894" s="2" t="s">
        <v>29</v>
      </c>
      <c r="F6894" s="2">
        <v>29.16</v>
      </c>
      <c r="G6894" s="2">
        <v>3</v>
      </c>
      <c r="H6894" s="2">
        <v>8.4600000000000009</v>
      </c>
      <c r="I6894" t="str">
        <f t="shared" si="107"/>
        <v>Feb</v>
      </c>
      <c r="J6894">
        <f>YEAR(datas[[#This Row],[Order Date]])</f>
        <v>2024</v>
      </c>
    </row>
    <row r="6895" spans="1:10" ht="14.25" customHeight="1" x14ac:dyDescent="0.3">
      <c r="A6895" s="1">
        <v>45339</v>
      </c>
      <c r="B6895" s="2" t="s">
        <v>360</v>
      </c>
      <c r="C6895" s="2" t="s">
        <v>87</v>
      </c>
      <c r="D6895" s="2" t="s">
        <v>10</v>
      </c>
      <c r="E6895" s="2" t="s">
        <v>11</v>
      </c>
      <c r="F6895" s="2">
        <v>11.76</v>
      </c>
      <c r="G6895" s="2">
        <v>2</v>
      </c>
      <c r="H6895" s="2">
        <v>5.76</v>
      </c>
      <c r="I6895" t="str">
        <f t="shared" si="107"/>
        <v>Feb</v>
      </c>
      <c r="J6895">
        <f>YEAR(datas[[#This Row],[Order Date]])</f>
        <v>2024</v>
      </c>
    </row>
    <row r="6896" spans="1:10" ht="14.25" customHeight="1" x14ac:dyDescent="0.3">
      <c r="A6896" s="1">
        <v>45339</v>
      </c>
      <c r="B6896" s="2" t="s">
        <v>360</v>
      </c>
      <c r="C6896" s="2" t="s">
        <v>87</v>
      </c>
      <c r="D6896" s="2" t="s">
        <v>10</v>
      </c>
      <c r="E6896" s="2" t="s">
        <v>15</v>
      </c>
      <c r="F6896" s="2">
        <v>166.45</v>
      </c>
      <c r="G6896" s="2">
        <v>5</v>
      </c>
      <c r="H6896" s="2">
        <v>39.950000000000003</v>
      </c>
      <c r="I6896" t="str">
        <f t="shared" si="107"/>
        <v>Feb</v>
      </c>
      <c r="J6896">
        <f>YEAR(datas[[#This Row],[Order Date]])</f>
        <v>2024</v>
      </c>
    </row>
    <row r="6897" spans="1:10" ht="14.25" customHeight="1" x14ac:dyDescent="0.3">
      <c r="A6897" s="1">
        <v>45339</v>
      </c>
      <c r="B6897" s="2" t="s">
        <v>673</v>
      </c>
      <c r="C6897" s="2" t="s">
        <v>9</v>
      </c>
      <c r="D6897" s="2" t="s">
        <v>26</v>
      </c>
      <c r="E6897" s="2" t="s">
        <v>45</v>
      </c>
      <c r="F6897" s="2">
        <v>89.07</v>
      </c>
      <c r="G6897" s="2">
        <v>1</v>
      </c>
      <c r="H6897" s="2">
        <v>-17.03</v>
      </c>
      <c r="I6897" t="str">
        <f t="shared" si="107"/>
        <v>Feb</v>
      </c>
      <c r="J6897">
        <f>YEAR(datas[[#This Row],[Order Date]])</f>
        <v>2024</v>
      </c>
    </row>
    <row r="6898" spans="1:10" ht="14.25" customHeight="1" x14ac:dyDescent="0.3">
      <c r="A6898" s="1">
        <v>45339</v>
      </c>
      <c r="B6898" s="2" t="s">
        <v>673</v>
      </c>
      <c r="C6898" s="2" t="s">
        <v>9</v>
      </c>
      <c r="D6898" s="2" t="s">
        <v>10</v>
      </c>
      <c r="E6898" s="2" t="s">
        <v>19</v>
      </c>
      <c r="F6898" s="2">
        <v>175.44</v>
      </c>
      <c r="G6898" s="2">
        <v>6</v>
      </c>
      <c r="H6898" s="2">
        <v>52.63</v>
      </c>
      <c r="I6898" t="str">
        <f t="shared" si="107"/>
        <v>Feb</v>
      </c>
      <c r="J6898">
        <f>YEAR(datas[[#This Row],[Order Date]])</f>
        <v>2024</v>
      </c>
    </row>
    <row r="6899" spans="1:10" ht="14.25" customHeight="1" x14ac:dyDescent="0.3">
      <c r="A6899" s="1">
        <v>45339</v>
      </c>
      <c r="B6899" s="2" t="s">
        <v>673</v>
      </c>
      <c r="C6899" s="2" t="s">
        <v>9</v>
      </c>
      <c r="D6899" s="2" t="s">
        <v>28</v>
      </c>
      <c r="E6899" s="2" t="s">
        <v>29</v>
      </c>
      <c r="F6899" s="2">
        <v>438.34</v>
      </c>
      <c r="G6899" s="2">
        <v>4</v>
      </c>
      <c r="H6899" s="2">
        <v>-87.67</v>
      </c>
      <c r="I6899" t="str">
        <f t="shared" si="107"/>
        <v>Feb</v>
      </c>
      <c r="J6899">
        <f>YEAR(datas[[#This Row],[Order Date]])</f>
        <v>2024</v>
      </c>
    </row>
    <row r="6900" spans="1:10" ht="14.25" customHeight="1" x14ac:dyDescent="0.3">
      <c r="A6900" s="1">
        <v>45339</v>
      </c>
      <c r="B6900" s="2" t="s">
        <v>132</v>
      </c>
      <c r="C6900" s="2" t="s">
        <v>47</v>
      </c>
      <c r="D6900" s="2" t="s">
        <v>26</v>
      </c>
      <c r="E6900" s="2" t="s">
        <v>73</v>
      </c>
      <c r="F6900" s="2">
        <v>455.97</v>
      </c>
      <c r="G6900" s="2">
        <v>5</v>
      </c>
      <c r="H6900" s="2">
        <v>-106.39</v>
      </c>
      <c r="I6900" t="str">
        <f t="shared" si="107"/>
        <v>Feb</v>
      </c>
      <c r="J6900">
        <f>YEAR(datas[[#This Row],[Order Date]])</f>
        <v>2024</v>
      </c>
    </row>
    <row r="6901" spans="1:10" ht="14.25" customHeight="1" x14ac:dyDescent="0.3">
      <c r="A6901" s="1">
        <v>45339</v>
      </c>
      <c r="B6901" s="2" t="s">
        <v>132</v>
      </c>
      <c r="C6901" s="2" t="s">
        <v>47</v>
      </c>
      <c r="D6901" s="2" t="s">
        <v>10</v>
      </c>
      <c r="E6901" s="2" t="s">
        <v>16</v>
      </c>
      <c r="F6901" s="2">
        <v>5.72</v>
      </c>
      <c r="G6901" s="2">
        <v>5</v>
      </c>
      <c r="H6901" s="2">
        <v>-4.76</v>
      </c>
      <c r="I6901" t="str">
        <f t="shared" si="107"/>
        <v>Feb</v>
      </c>
      <c r="J6901">
        <f>YEAR(datas[[#This Row],[Order Date]])</f>
        <v>2024</v>
      </c>
    </row>
    <row r="6902" spans="1:10" ht="14.25" customHeight="1" x14ac:dyDescent="0.3">
      <c r="A6902" s="1">
        <v>45339</v>
      </c>
      <c r="B6902" s="2" t="s">
        <v>132</v>
      </c>
      <c r="C6902" s="2" t="s">
        <v>47</v>
      </c>
      <c r="D6902" s="2" t="s">
        <v>28</v>
      </c>
      <c r="E6902" s="2" t="s">
        <v>29</v>
      </c>
      <c r="F6902" s="2">
        <v>57.59</v>
      </c>
      <c r="G6902" s="2">
        <v>1</v>
      </c>
      <c r="H6902" s="2">
        <v>-11.52</v>
      </c>
      <c r="I6902" t="str">
        <f t="shared" si="107"/>
        <v>Feb</v>
      </c>
      <c r="J6902">
        <f>YEAR(datas[[#This Row],[Order Date]])</f>
        <v>2024</v>
      </c>
    </row>
    <row r="6903" spans="1:10" ht="14.25" customHeight="1" x14ac:dyDescent="0.3">
      <c r="A6903" s="1">
        <v>45339</v>
      </c>
      <c r="B6903" s="2" t="s">
        <v>132</v>
      </c>
      <c r="C6903" s="2" t="s">
        <v>47</v>
      </c>
      <c r="D6903" s="2" t="s">
        <v>26</v>
      </c>
      <c r="E6903" s="2" t="s">
        <v>32</v>
      </c>
      <c r="F6903" s="2">
        <v>30.14</v>
      </c>
      <c r="G6903" s="2">
        <v>2</v>
      </c>
      <c r="H6903" s="2">
        <v>8.2899999999999991</v>
      </c>
      <c r="I6903" t="str">
        <f t="shared" si="107"/>
        <v>Feb</v>
      </c>
      <c r="J6903">
        <f>YEAR(datas[[#This Row],[Order Date]])</f>
        <v>2024</v>
      </c>
    </row>
    <row r="6904" spans="1:10" ht="14.25" customHeight="1" x14ac:dyDescent="0.3">
      <c r="A6904" s="1">
        <v>45339</v>
      </c>
      <c r="B6904" s="2" t="s">
        <v>132</v>
      </c>
      <c r="C6904" s="2" t="s">
        <v>47</v>
      </c>
      <c r="D6904" s="2" t="s">
        <v>26</v>
      </c>
      <c r="E6904" s="2" t="s">
        <v>27</v>
      </c>
      <c r="F6904" s="2">
        <v>899.43</v>
      </c>
      <c r="G6904" s="2">
        <v>5</v>
      </c>
      <c r="H6904" s="2">
        <v>-12.85</v>
      </c>
      <c r="I6904" t="str">
        <f t="shared" si="107"/>
        <v>Feb</v>
      </c>
      <c r="J6904">
        <f>YEAR(datas[[#This Row],[Order Date]])</f>
        <v>2024</v>
      </c>
    </row>
    <row r="6905" spans="1:10" ht="14.25" customHeight="1" x14ac:dyDescent="0.3">
      <c r="A6905" s="1">
        <v>45340</v>
      </c>
      <c r="B6905" s="2" t="s">
        <v>829</v>
      </c>
      <c r="C6905" s="2" t="s">
        <v>21</v>
      </c>
      <c r="D6905" s="2" t="s">
        <v>28</v>
      </c>
      <c r="E6905" s="2" t="s">
        <v>29</v>
      </c>
      <c r="F6905" s="2">
        <v>167.98</v>
      </c>
      <c r="G6905" s="2">
        <v>3</v>
      </c>
      <c r="H6905" s="2">
        <v>10.5</v>
      </c>
      <c r="I6905" t="str">
        <f t="shared" si="107"/>
        <v>Feb</v>
      </c>
      <c r="J6905">
        <f>YEAR(datas[[#This Row],[Order Date]])</f>
        <v>2024</v>
      </c>
    </row>
    <row r="6906" spans="1:10" ht="14.25" customHeight="1" x14ac:dyDescent="0.3">
      <c r="A6906" s="1">
        <v>45340</v>
      </c>
      <c r="B6906" s="2" t="s">
        <v>829</v>
      </c>
      <c r="C6906" s="2" t="s">
        <v>21</v>
      </c>
      <c r="D6906" s="2" t="s">
        <v>28</v>
      </c>
      <c r="E6906" s="2" t="s">
        <v>34</v>
      </c>
      <c r="F6906" s="2">
        <v>109.53</v>
      </c>
      <c r="G6906" s="2">
        <v>3</v>
      </c>
      <c r="H6906" s="2">
        <v>47.1</v>
      </c>
      <c r="I6906" t="str">
        <f t="shared" si="107"/>
        <v>Feb</v>
      </c>
      <c r="J6906">
        <f>YEAR(datas[[#This Row],[Order Date]])</f>
        <v>2024</v>
      </c>
    </row>
    <row r="6907" spans="1:10" ht="14.25" customHeight="1" x14ac:dyDescent="0.3">
      <c r="A6907" s="1">
        <v>45340</v>
      </c>
      <c r="B6907" s="2" t="s">
        <v>829</v>
      </c>
      <c r="C6907" s="2" t="s">
        <v>21</v>
      </c>
      <c r="D6907" s="2" t="s">
        <v>10</v>
      </c>
      <c r="E6907" s="2" t="s">
        <v>14</v>
      </c>
      <c r="F6907" s="2">
        <v>9.82</v>
      </c>
      <c r="G6907" s="2">
        <v>2</v>
      </c>
      <c r="H6907" s="2">
        <v>4.8099999999999996</v>
      </c>
      <c r="I6907" t="str">
        <f t="shared" si="107"/>
        <v>Feb</v>
      </c>
      <c r="J6907">
        <f>YEAR(datas[[#This Row],[Order Date]])</f>
        <v>2024</v>
      </c>
    </row>
    <row r="6908" spans="1:10" ht="14.25" customHeight="1" x14ac:dyDescent="0.3">
      <c r="A6908" s="1">
        <v>45341</v>
      </c>
      <c r="B6908" s="2" t="s">
        <v>113</v>
      </c>
      <c r="C6908" s="2" t="s">
        <v>23</v>
      </c>
      <c r="D6908" s="2" t="s">
        <v>10</v>
      </c>
      <c r="E6908" s="2" t="s">
        <v>53</v>
      </c>
      <c r="F6908" s="2">
        <v>1245.8599999999999</v>
      </c>
      <c r="G6908" s="2">
        <v>7</v>
      </c>
      <c r="H6908" s="2">
        <v>361.3</v>
      </c>
      <c r="I6908" t="str">
        <f t="shared" si="107"/>
        <v>Feb</v>
      </c>
      <c r="J6908">
        <f>YEAR(datas[[#This Row],[Order Date]])</f>
        <v>2024</v>
      </c>
    </row>
    <row r="6909" spans="1:10" ht="14.25" customHeight="1" x14ac:dyDescent="0.3">
      <c r="A6909" s="1">
        <v>45341</v>
      </c>
      <c r="B6909" s="2" t="s">
        <v>365</v>
      </c>
      <c r="C6909" s="2" t="s">
        <v>82</v>
      </c>
      <c r="D6909" s="2" t="s">
        <v>10</v>
      </c>
      <c r="E6909" s="2" t="s">
        <v>30</v>
      </c>
      <c r="F6909" s="2">
        <v>11.22</v>
      </c>
      <c r="G6909" s="2">
        <v>3</v>
      </c>
      <c r="H6909" s="2">
        <v>0.22</v>
      </c>
      <c r="I6909" t="str">
        <f t="shared" si="107"/>
        <v>Feb</v>
      </c>
      <c r="J6909">
        <f>YEAR(datas[[#This Row],[Order Date]])</f>
        <v>2024</v>
      </c>
    </row>
    <row r="6910" spans="1:10" ht="14.25" customHeight="1" x14ac:dyDescent="0.3">
      <c r="A6910" s="1">
        <v>45341</v>
      </c>
      <c r="B6910" s="2" t="s">
        <v>411</v>
      </c>
      <c r="C6910" s="2" t="s">
        <v>21</v>
      </c>
      <c r="D6910" s="2" t="s">
        <v>10</v>
      </c>
      <c r="E6910" s="2" t="s">
        <v>19</v>
      </c>
      <c r="F6910" s="2">
        <v>12.84</v>
      </c>
      <c r="G6910" s="2">
        <v>3</v>
      </c>
      <c r="H6910" s="2">
        <v>3.47</v>
      </c>
      <c r="I6910" t="str">
        <f t="shared" si="107"/>
        <v>Feb</v>
      </c>
      <c r="J6910">
        <f>YEAR(datas[[#This Row],[Order Date]])</f>
        <v>2024</v>
      </c>
    </row>
    <row r="6911" spans="1:10" ht="14.25" customHeight="1" x14ac:dyDescent="0.3">
      <c r="A6911" s="1">
        <v>45341</v>
      </c>
      <c r="B6911" s="2" t="s">
        <v>411</v>
      </c>
      <c r="C6911" s="2" t="s">
        <v>21</v>
      </c>
      <c r="D6911" s="2" t="s">
        <v>26</v>
      </c>
      <c r="E6911" s="2" t="s">
        <v>32</v>
      </c>
      <c r="F6911" s="2">
        <v>44.67</v>
      </c>
      <c r="G6911" s="2">
        <v>3</v>
      </c>
      <c r="H6911" s="2">
        <v>12.06</v>
      </c>
      <c r="I6911" t="str">
        <f t="shared" si="107"/>
        <v>Feb</v>
      </c>
      <c r="J6911">
        <f>YEAR(datas[[#This Row],[Order Date]])</f>
        <v>2024</v>
      </c>
    </row>
    <row r="6912" spans="1:10" ht="14.25" customHeight="1" x14ac:dyDescent="0.3">
      <c r="A6912" s="1">
        <v>45342</v>
      </c>
      <c r="B6912" s="2" t="s">
        <v>771</v>
      </c>
      <c r="C6912" s="2" t="s">
        <v>21</v>
      </c>
      <c r="D6912" s="2" t="s">
        <v>26</v>
      </c>
      <c r="E6912" s="2" t="s">
        <v>32</v>
      </c>
      <c r="F6912" s="2">
        <v>22.23</v>
      </c>
      <c r="G6912" s="2">
        <v>1</v>
      </c>
      <c r="H6912" s="2">
        <v>7.34</v>
      </c>
      <c r="I6912" t="str">
        <f t="shared" si="107"/>
        <v>Feb</v>
      </c>
      <c r="J6912">
        <f>YEAR(datas[[#This Row],[Order Date]])</f>
        <v>2024</v>
      </c>
    </row>
    <row r="6913" spans="1:10" ht="14.25" customHeight="1" x14ac:dyDescent="0.3">
      <c r="A6913" s="1">
        <v>45342</v>
      </c>
      <c r="B6913" s="2" t="s">
        <v>771</v>
      </c>
      <c r="C6913" s="2" t="s">
        <v>21</v>
      </c>
      <c r="D6913" s="2" t="s">
        <v>28</v>
      </c>
      <c r="E6913" s="2" t="s">
        <v>29</v>
      </c>
      <c r="F6913" s="2">
        <v>215.97</v>
      </c>
      <c r="G6913" s="2">
        <v>2</v>
      </c>
      <c r="H6913" s="2">
        <v>18.899999999999999</v>
      </c>
      <c r="I6913" t="str">
        <f t="shared" si="107"/>
        <v>Feb</v>
      </c>
      <c r="J6913">
        <f>YEAR(datas[[#This Row],[Order Date]])</f>
        <v>2024</v>
      </c>
    </row>
    <row r="6914" spans="1:10" ht="14.25" customHeight="1" x14ac:dyDescent="0.3">
      <c r="A6914" s="1">
        <v>45342</v>
      </c>
      <c r="B6914" s="2" t="s">
        <v>496</v>
      </c>
      <c r="C6914" s="2" t="s">
        <v>329</v>
      </c>
      <c r="D6914" s="2" t="s">
        <v>10</v>
      </c>
      <c r="E6914" s="2" t="s">
        <v>19</v>
      </c>
      <c r="F6914" s="2">
        <v>6.56</v>
      </c>
      <c r="G6914" s="2">
        <v>2</v>
      </c>
      <c r="H6914" s="2">
        <v>1.9</v>
      </c>
      <c r="I6914" t="str">
        <f t="shared" si="107"/>
        <v>Feb</v>
      </c>
      <c r="J6914">
        <f>YEAR(datas[[#This Row],[Order Date]])</f>
        <v>2024</v>
      </c>
    </row>
    <row r="6915" spans="1:10" ht="14.25" customHeight="1" x14ac:dyDescent="0.3">
      <c r="A6915" s="1">
        <v>45342</v>
      </c>
      <c r="B6915" s="2" t="s">
        <v>496</v>
      </c>
      <c r="C6915" s="2" t="s">
        <v>329</v>
      </c>
      <c r="D6915" s="2" t="s">
        <v>10</v>
      </c>
      <c r="E6915" s="2" t="s">
        <v>53</v>
      </c>
      <c r="F6915" s="2">
        <v>13.11</v>
      </c>
      <c r="G6915" s="2">
        <v>3</v>
      </c>
      <c r="H6915" s="2">
        <v>3.41</v>
      </c>
      <c r="I6915" t="str">
        <f t="shared" ref="I6915:I6978" si="108">TEXT(A6915,"mmm")</f>
        <v>Feb</v>
      </c>
      <c r="J6915">
        <f>YEAR(datas[[#This Row],[Order Date]])</f>
        <v>2024</v>
      </c>
    </row>
    <row r="6916" spans="1:10" ht="14.25" customHeight="1" x14ac:dyDescent="0.3">
      <c r="A6916" s="1">
        <v>45342</v>
      </c>
      <c r="B6916" s="2" t="s">
        <v>311</v>
      </c>
      <c r="C6916" s="2" t="s">
        <v>126</v>
      </c>
      <c r="D6916" s="2" t="s">
        <v>10</v>
      </c>
      <c r="E6916" s="2" t="s">
        <v>30</v>
      </c>
      <c r="F6916" s="2">
        <v>9.43</v>
      </c>
      <c r="G6916" s="2">
        <v>3</v>
      </c>
      <c r="H6916" s="2">
        <v>3.07</v>
      </c>
      <c r="I6916" t="str">
        <f t="shared" si="108"/>
        <v>Feb</v>
      </c>
      <c r="J6916">
        <f>YEAR(datas[[#This Row],[Order Date]])</f>
        <v>2024</v>
      </c>
    </row>
    <row r="6917" spans="1:10" ht="14.25" customHeight="1" x14ac:dyDescent="0.3">
      <c r="A6917" s="1">
        <v>45342</v>
      </c>
      <c r="B6917" s="2" t="s">
        <v>375</v>
      </c>
      <c r="C6917" s="2" t="s">
        <v>55</v>
      </c>
      <c r="D6917" s="2" t="s">
        <v>28</v>
      </c>
      <c r="E6917" s="2" t="s">
        <v>29</v>
      </c>
      <c r="F6917" s="2">
        <v>333.58</v>
      </c>
      <c r="G6917" s="2">
        <v>3</v>
      </c>
      <c r="H6917" s="2">
        <v>25.02</v>
      </c>
      <c r="I6917" t="str">
        <f t="shared" si="108"/>
        <v>Feb</v>
      </c>
      <c r="J6917">
        <f>YEAR(datas[[#This Row],[Order Date]])</f>
        <v>2024</v>
      </c>
    </row>
    <row r="6918" spans="1:10" ht="14.25" customHeight="1" x14ac:dyDescent="0.3">
      <c r="A6918" s="1">
        <v>45342</v>
      </c>
      <c r="B6918" s="2" t="s">
        <v>375</v>
      </c>
      <c r="C6918" s="2" t="s">
        <v>55</v>
      </c>
      <c r="D6918" s="2" t="s">
        <v>28</v>
      </c>
      <c r="E6918" s="2" t="s">
        <v>34</v>
      </c>
      <c r="F6918" s="2">
        <v>31.99</v>
      </c>
      <c r="G6918" s="2">
        <v>1</v>
      </c>
      <c r="H6918" s="2">
        <v>4.8</v>
      </c>
      <c r="I6918" t="str">
        <f t="shared" si="108"/>
        <v>Feb</v>
      </c>
      <c r="J6918">
        <f>YEAR(datas[[#This Row],[Order Date]])</f>
        <v>2024</v>
      </c>
    </row>
    <row r="6919" spans="1:10" ht="14.25" customHeight="1" x14ac:dyDescent="0.3">
      <c r="A6919" s="1">
        <v>45342</v>
      </c>
      <c r="B6919" s="2" t="s">
        <v>375</v>
      </c>
      <c r="C6919" s="2" t="s">
        <v>55</v>
      </c>
      <c r="D6919" s="2" t="s">
        <v>10</v>
      </c>
      <c r="E6919" s="2" t="s">
        <v>15</v>
      </c>
      <c r="F6919" s="2">
        <v>51.17</v>
      </c>
      <c r="G6919" s="2">
        <v>2</v>
      </c>
      <c r="H6919" s="2">
        <v>-6.4</v>
      </c>
      <c r="I6919" t="str">
        <f t="shared" si="108"/>
        <v>Feb</v>
      </c>
      <c r="J6919">
        <f>YEAR(datas[[#This Row],[Order Date]])</f>
        <v>2024</v>
      </c>
    </row>
    <row r="6920" spans="1:10" ht="14.25" customHeight="1" x14ac:dyDescent="0.3">
      <c r="A6920" s="1">
        <v>45342</v>
      </c>
      <c r="B6920" s="2" t="s">
        <v>375</v>
      </c>
      <c r="C6920" s="2" t="s">
        <v>55</v>
      </c>
      <c r="D6920" s="2" t="s">
        <v>10</v>
      </c>
      <c r="E6920" s="2" t="s">
        <v>41</v>
      </c>
      <c r="F6920" s="2">
        <v>10.64</v>
      </c>
      <c r="G6920" s="2">
        <v>5</v>
      </c>
      <c r="H6920" s="2">
        <v>3.86</v>
      </c>
      <c r="I6920" t="str">
        <f t="shared" si="108"/>
        <v>Feb</v>
      </c>
      <c r="J6920">
        <f>YEAR(datas[[#This Row],[Order Date]])</f>
        <v>2024</v>
      </c>
    </row>
    <row r="6921" spans="1:10" ht="14.25" customHeight="1" x14ac:dyDescent="0.3">
      <c r="A6921" s="1">
        <v>45342</v>
      </c>
      <c r="B6921" s="2" t="s">
        <v>375</v>
      </c>
      <c r="C6921" s="2" t="s">
        <v>55</v>
      </c>
      <c r="D6921" s="2" t="s">
        <v>26</v>
      </c>
      <c r="E6921" s="2" t="s">
        <v>32</v>
      </c>
      <c r="F6921" s="2">
        <v>68.7</v>
      </c>
      <c r="G6921" s="2">
        <v>2</v>
      </c>
      <c r="H6921" s="2">
        <v>16.32</v>
      </c>
      <c r="I6921" t="str">
        <f t="shared" si="108"/>
        <v>Feb</v>
      </c>
      <c r="J6921">
        <f>YEAR(datas[[#This Row],[Order Date]])</f>
        <v>2024</v>
      </c>
    </row>
    <row r="6922" spans="1:10" ht="14.25" customHeight="1" x14ac:dyDescent="0.3">
      <c r="A6922" s="1">
        <v>45342</v>
      </c>
      <c r="B6922" s="2" t="s">
        <v>375</v>
      </c>
      <c r="C6922" s="2" t="s">
        <v>55</v>
      </c>
      <c r="D6922" s="2" t="s">
        <v>26</v>
      </c>
      <c r="E6922" s="2" t="s">
        <v>73</v>
      </c>
      <c r="F6922" s="2">
        <v>386.91</v>
      </c>
      <c r="G6922" s="2">
        <v>9</v>
      </c>
      <c r="H6922" s="2">
        <v>-185.72</v>
      </c>
      <c r="I6922" t="str">
        <f t="shared" si="108"/>
        <v>Feb</v>
      </c>
      <c r="J6922">
        <f>YEAR(datas[[#This Row],[Order Date]])</f>
        <v>2024</v>
      </c>
    </row>
    <row r="6923" spans="1:10" ht="14.25" customHeight="1" x14ac:dyDescent="0.3">
      <c r="A6923" s="1">
        <v>45343</v>
      </c>
      <c r="B6923" s="2" t="s">
        <v>682</v>
      </c>
      <c r="C6923" s="2" t="s">
        <v>9</v>
      </c>
      <c r="D6923" s="2" t="s">
        <v>28</v>
      </c>
      <c r="E6923" s="2" t="s">
        <v>34</v>
      </c>
      <c r="F6923" s="2">
        <v>47.9</v>
      </c>
      <c r="G6923" s="2">
        <v>1</v>
      </c>
      <c r="H6923" s="2">
        <v>-2.99</v>
      </c>
      <c r="I6923" t="str">
        <f t="shared" si="108"/>
        <v>Feb</v>
      </c>
      <c r="J6923">
        <f>YEAR(datas[[#This Row],[Order Date]])</f>
        <v>2024</v>
      </c>
    </row>
    <row r="6924" spans="1:10" ht="14.25" customHeight="1" x14ac:dyDescent="0.3">
      <c r="A6924" s="1">
        <v>45345</v>
      </c>
      <c r="B6924" s="2" t="s">
        <v>656</v>
      </c>
      <c r="C6924" s="2" t="s">
        <v>21</v>
      </c>
      <c r="D6924" s="2" t="s">
        <v>10</v>
      </c>
      <c r="E6924" s="2" t="s">
        <v>11</v>
      </c>
      <c r="F6924" s="2">
        <v>37.44</v>
      </c>
      <c r="G6924" s="2">
        <v>6</v>
      </c>
      <c r="H6924" s="2">
        <v>16.850000000000001</v>
      </c>
      <c r="I6924" t="str">
        <f t="shared" si="108"/>
        <v>Feb</v>
      </c>
      <c r="J6924">
        <f>YEAR(datas[[#This Row],[Order Date]])</f>
        <v>2024</v>
      </c>
    </row>
    <row r="6925" spans="1:10" ht="14.25" customHeight="1" x14ac:dyDescent="0.3">
      <c r="A6925" s="1">
        <v>45345</v>
      </c>
      <c r="B6925" s="2" t="s">
        <v>762</v>
      </c>
      <c r="C6925" s="2" t="s">
        <v>82</v>
      </c>
      <c r="D6925" s="2" t="s">
        <v>10</v>
      </c>
      <c r="E6925" s="2" t="s">
        <v>30</v>
      </c>
      <c r="F6925" s="2">
        <v>8.4</v>
      </c>
      <c r="G6925" s="2">
        <v>5</v>
      </c>
      <c r="H6925" s="2">
        <v>0.34</v>
      </c>
      <c r="I6925" t="str">
        <f t="shared" si="108"/>
        <v>Feb</v>
      </c>
      <c r="J6925">
        <f>YEAR(datas[[#This Row],[Order Date]])</f>
        <v>2024</v>
      </c>
    </row>
    <row r="6926" spans="1:10" ht="14.25" customHeight="1" x14ac:dyDescent="0.3">
      <c r="A6926" s="1">
        <v>45345</v>
      </c>
      <c r="B6926" s="2" t="s">
        <v>762</v>
      </c>
      <c r="C6926" s="2" t="s">
        <v>82</v>
      </c>
      <c r="D6926" s="2" t="s">
        <v>28</v>
      </c>
      <c r="E6926" s="2" t="s">
        <v>29</v>
      </c>
      <c r="F6926" s="2">
        <v>71.959999999999994</v>
      </c>
      <c r="G6926" s="2">
        <v>5</v>
      </c>
      <c r="H6926" s="2">
        <v>25.19</v>
      </c>
      <c r="I6926" t="str">
        <f t="shared" si="108"/>
        <v>Feb</v>
      </c>
      <c r="J6926">
        <f>YEAR(datas[[#This Row],[Order Date]])</f>
        <v>2024</v>
      </c>
    </row>
    <row r="6927" spans="1:10" ht="14.25" customHeight="1" x14ac:dyDescent="0.3">
      <c r="A6927" s="1">
        <v>45346</v>
      </c>
      <c r="B6927" s="2" t="s">
        <v>783</v>
      </c>
      <c r="C6927" s="2" t="s">
        <v>18</v>
      </c>
      <c r="D6927" s="2" t="s">
        <v>10</v>
      </c>
      <c r="E6927" s="2" t="s">
        <v>16</v>
      </c>
      <c r="F6927" s="2">
        <v>4.96</v>
      </c>
      <c r="G6927" s="2">
        <v>4</v>
      </c>
      <c r="H6927" s="2">
        <v>-3.8</v>
      </c>
      <c r="I6927" t="str">
        <f t="shared" si="108"/>
        <v>Feb</v>
      </c>
      <c r="J6927">
        <f>YEAR(datas[[#This Row],[Order Date]])</f>
        <v>2024</v>
      </c>
    </row>
    <row r="6928" spans="1:10" ht="14.25" customHeight="1" x14ac:dyDescent="0.3">
      <c r="A6928" s="1">
        <v>45346</v>
      </c>
      <c r="B6928" s="2" t="s">
        <v>513</v>
      </c>
      <c r="C6928" s="2" t="s">
        <v>18</v>
      </c>
      <c r="D6928" s="2" t="s">
        <v>10</v>
      </c>
      <c r="E6928" s="2" t="s">
        <v>11</v>
      </c>
      <c r="F6928" s="2">
        <v>123.92</v>
      </c>
      <c r="G6928" s="2">
        <v>5</v>
      </c>
      <c r="H6928" s="2">
        <v>38.729999999999997</v>
      </c>
      <c r="I6928" t="str">
        <f t="shared" si="108"/>
        <v>Feb</v>
      </c>
      <c r="J6928">
        <f>YEAR(datas[[#This Row],[Order Date]])</f>
        <v>2024</v>
      </c>
    </row>
    <row r="6929" spans="1:10" ht="14.25" customHeight="1" x14ac:dyDescent="0.3">
      <c r="A6929" s="1">
        <v>45346</v>
      </c>
      <c r="B6929" s="2" t="s">
        <v>513</v>
      </c>
      <c r="C6929" s="2" t="s">
        <v>18</v>
      </c>
      <c r="D6929" s="2" t="s">
        <v>28</v>
      </c>
      <c r="E6929" s="2" t="s">
        <v>34</v>
      </c>
      <c r="F6929" s="2">
        <v>1319.8</v>
      </c>
      <c r="G6929" s="2">
        <v>5</v>
      </c>
      <c r="H6929" s="2">
        <v>214.47</v>
      </c>
      <c r="I6929" t="str">
        <f t="shared" si="108"/>
        <v>Feb</v>
      </c>
      <c r="J6929">
        <f>YEAR(datas[[#This Row],[Order Date]])</f>
        <v>2024</v>
      </c>
    </row>
    <row r="6930" spans="1:10" ht="14.25" customHeight="1" x14ac:dyDescent="0.3">
      <c r="A6930" s="1">
        <v>45347</v>
      </c>
      <c r="B6930" s="2" t="s">
        <v>357</v>
      </c>
      <c r="C6930" s="2" t="s">
        <v>13</v>
      </c>
      <c r="D6930" s="2" t="s">
        <v>10</v>
      </c>
      <c r="E6930" s="2" t="s">
        <v>16</v>
      </c>
      <c r="F6930" s="2">
        <v>1.79</v>
      </c>
      <c r="G6930" s="2">
        <v>3</v>
      </c>
      <c r="H6930" s="2">
        <v>-3.04</v>
      </c>
      <c r="I6930" t="str">
        <f t="shared" si="108"/>
        <v>Feb</v>
      </c>
      <c r="J6930">
        <f>YEAR(datas[[#This Row],[Order Date]])</f>
        <v>2024</v>
      </c>
    </row>
    <row r="6931" spans="1:10" ht="14.25" customHeight="1" x14ac:dyDescent="0.3">
      <c r="A6931" s="1">
        <v>45347</v>
      </c>
      <c r="B6931" s="2" t="s">
        <v>376</v>
      </c>
      <c r="C6931" s="2" t="s">
        <v>115</v>
      </c>
      <c r="D6931" s="2" t="s">
        <v>26</v>
      </c>
      <c r="E6931" s="2" t="s">
        <v>27</v>
      </c>
      <c r="F6931" s="2">
        <v>196.78</v>
      </c>
      <c r="G6931" s="2">
        <v>2</v>
      </c>
      <c r="H6931" s="2">
        <v>-22.14</v>
      </c>
      <c r="I6931" t="str">
        <f t="shared" si="108"/>
        <v>Feb</v>
      </c>
      <c r="J6931">
        <f>YEAR(datas[[#This Row],[Order Date]])</f>
        <v>2024</v>
      </c>
    </row>
    <row r="6932" spans="1:10" ht="14.25" customHeight="1" x14ac:dyDescent="0.3">
      <c r="A6932" s="1">
        <v>45347</v>
      </c>
      <c r="B6932" s="2" t="s">
        <v>376</v>
      </c>
      <c r="C6932" s="2" t="s">
        <v>115</v>
      </c>
      <c r="D6932" s="2" t="s">
        <v>26</v>
      </c>
      <c r="E6932" s="2" t="s">
        <v>45</v>
      </c>
      <c r="F6932" s="2">
        <v>231.92</v>
      </c>
      <c r="G6932" s="2">
        <v>5</v>
      </c>
      <c r="H6932" s="2">
        <v>5.8</v>
      </c>
      <c r="I6932" t="str">
        <f t="shared" si="108"/>
        <v>Feb</v>
      </c>
      <c r="J6932">
        <f>YEAR(datas[[#This Row],[Order Date]])</f>
        <v>2024</v>
      </c>
    </row>
    <row r="6933" spans="1:10" ht="14.25" customHeight="1" x14ac:dyDescent="0.3">
      <c r="A6933" s="1">
        <v>45348</v>
      </c>
      <c r="B6933" s="2" t="s">
        <v>281</v>
      </c>
      <c r="C6933" s="2" t="s">
        <v>21</v>
      </c>
      <c r="D6933" s="2" t="s">
        <v>10</v>
      </c>
      <c r="E6933" s="2" t="s">
        <v>53</v>
      </c>
      <c r="F6933" s="2">
        <v>81.92</v>
      </c>
      <c r="G6933" s="2">
        <v>4</v>
      </c>
      <c r="H6933" s="2">
        <v>22.12</v>
      </c>
      <c r="I6933" t="str">
        <f t="shared" si="108"/>
        <v>Feb</v>
      </c>
      <c r="J6933">
        <f>YEAR(datas[[#This Row],[Order Date]])</f>
        <v>2024</v>
      </c>
    </row>
    <row r="6934" spans="1:10" ht="14.25" customHeight="1" x14ac:dyDescent="0.3">
      <c r="A6934" s="1">
        <v>45348</v>
      </c>
      <c r="B6934" s="2" t="s">
        <v>281</v>
      </c>
      <c r="C6934" s="2" t="s">
        <v>21</v>
      </c>
      <c r="D6934" s="2" t="s">
        <v>28</v>
      </c>
      <c r="E6934" s="2" t="s">
        <v>29</v>
      </c>
      <c r="F6934" s="2">
        <v>889.54</v>
      </c>
      <c r="G6934" s="2">
        <v>8</v>
      </c>
      <c r="H6934" s="2">
        <v>66.72</v>
      </c>
      <c r="I6934" t="str">
        <f t="shared" si="108"/>
        <v>Feb</v>
      </c>
      <c r="J6934">
        <f>YEAR(datas[[#This Row],[Order Date]])</f>
        <v>2024</v>
      </c>
    </row>
    <row r="6935" spans="1:10" ht="14.25" customHeight="1" x14ac:dyDescent="0.3">
      <c r="A6935" s="1">
        <v>45348</v>
      </c>
      <c r="B6935" s="2" t="s">
        <v>281</v>
      </c>
      <c r="C6935" s="2" t="s">
        <v>21</v>
      </c>
      <c r="D6935" s="2" t="s">
        <v>26</v>
      </c>
      <c r="E6935" s="2" t="s">
        <v>27</v>
      </c>
      <c r="F6935" s="2">
        <v>892.22</v>
      </c>
      <c r="G6935" s="2">
        <v>3</v>
      </c>
      <c r="H6935" s="2">
        <v>89.22</v>
      </c>
      <c r="I6935" t="str">
        <f t="shared" si="108"/>
        <v>Feb</v>
      </c>
      <c r="J6935">
        <f>YEAR(datas[[#This Row],[Order Date]])</f>
        <v>2024</v>
      </c>
    </row>
    <row r="6936" spans="1:10" ht="14.25" customHeight="1" x14ac:dyDescent="0.3">
      <c r="A6936" s="1">
        <v>45348</v>
      </c>
      <c r="B6936" s="2" t="s">
        <v>281</v>
      </c>
      <c r="C6936" s="2" t="s">
        <v>21</v>
      </c>
      <c r="D6936" s="2" t="s">
        <v>10</v>
      </c>
      <c r="E6936" s="2" t="s">
        <v>11</v>
      </c>
      <c r="F6936" s="2">
        <v>223.92</v>
      </c>
      <c r="G6936" s="2">
        <v>4</v>
      </c>
      <c r="H6936" s="2">
        <v>109.72</v>
      </c>
      <c r="I6936" t="str">
        <f t="shared" si="108"/>
        <v>Feb</v>
      </c>
      <c r="J6936">
        <f>YEAR(datas[[#This Row],[Order Date]])</f>
        <v>2024</v>
      </c>
    </row>
    <row r="6937" spans="1:10" ht="14.25" customHeight="1" x14ac:dyDescent="0.3">
      <c r="A6937" s="1">
        <v>45348</v>
      </c>
      <c r="B6937" s="2" t="s">
        <v>281</v>
      </c>
      <c r="C6937" s="2" t="s">
        <v>21</v>
      </c>
      <c r="D6937" s="2" t="s">
        <v>10</v>
      </c>
      <c r="E6937" s="2" t="s">
        <v>11</v>
      </c>
      <c r="F6937" s="2">
        <v>23.12</v>
      </c>
      <c r="G6937" s="2">
        <v>4</v>
      </c>
      <c r="H6937" s="2">
        <v>11.33</v>
      </c>
      <c r="I6937" t="str">
        <f t="shared" si="108"/>
        <v>Feb</v>
      </c>
      <c r="J6937">
        <f>YEAR(datas[[#This Row],[Order Date]])</f>
        <v>2024</v>
      </c>
    </row>
    <row r="6938" spans="1:10" ht="14.25" customHeight="1" x14ac:dyDescent="0.3">
      <c r="A6938" s="1">
        <v>45348</v>
      </c>
      <c r="B6938" s="2" t="s">
        <v>453</v>
      </c>
      <c r="C6938" s="2" t="s">
        <v>21</v>
      </c>
      <c r="D6938" s="2" t="s">
        <v>10</v>
      </c>
      <c r="E6938" s="2" t="s">
        <v>53</v>
      </c>
      <c r="F6938" s="2">
        <v>356.79</v>
      </c>
      <c r="G6938" s="2">
        <v>7</v>
      </c>
      <c r="H6938" s="2">
        <v>99.9</v>
      </c>
      <c r="I6938" t="str">
        <f t="shared" si="108"/>
        <v>Feb</v>
      </c>
      <c r="J6938">
        <f>YEAR(datas[[#This Row],[Order Date]])</f>
        <v>2024</v>
      </c>
    </row>
    <row r="6939" spans="1:10" ht="14.25" customHeight="1" x14ac:dyDescent="0.3">
      <c r="A6939" s="1">
        <v>45348</v>
      </c>
      <c r="B6939" s="2" t="s">
        <v>107</v>
      </c>
      <c r="C6939" s="2" t="s">
        <v>21</v>
      </c>
      <c r="D6939" s="2" t="s">
        <v>26</v>
      </c>
      <c r="E6939" s="2" t="s">
        <v>32</v>
      </c>
      <c r="F6939" s="2">
        <v>91.96</v>
      </c>
      <c r="G6939" s="2">
        <v>2</v>
      </c>
      <c r="H6939" s="2">
        <v>15.63</v>
      </c>
      <c r="I6939" t="str">
        <f t="shared" si="108"/>
        <v>Feb</v>
      </c>
      <c r="J6939">
        <f>YEAR(datas[[#This Row],[Order Date]])</f>
        <v>2024</v>
      </c>
    </row>
    <row r="6940" spans="1:10" ht="14.25" customHeight="1" x14ac:dyDescent="0.3">
      <c r="A6940" s="1">
        <v>45348</v>
      </c>
      <c r="B6940" s="2" t="s">
        <v>107</v>
      </c>
      <c r="C6940" s="2" t="s">
        <v>21</v>
      </c>
      <c r="D6940" s="2" t="s">
        <v>28</v>
      </c>
      <c r="E6940" s="2" t="s">
        <v>29</v>
      </c>
      <c r="F6940" s="2">
        <v>258.58</v>
      </c>
      <c r="G6940" s="2">
        <v>2</v>
      </c>
      <c r="H6940" s="2">
        <v>19.39</v>
      </c>
      <c r="I6940" t="str">
        <f t="shared" si="108"/>
        <v>Feb</v>
      </c>
      <c r="J6940">
        <f>YEAR(datas[[#This Row],[Order Date]])</f>
        <v>2024</v>
      </c>
    </row>
    <row r="6941" spans="1:10" ht="14.25" customHeight="1" x14ac:dyDescent="0.3">
      <c r="A6941" s="1">
        <v>45348</v>
      </c>
      <c r="B6941" s="2" t="s">
        <v>107</v>
      </c>
      <c r="C6941" s="2" t="s">
        <v>21</v>
      </c>
      <c r="D6941" s="2" t="s">
        <v>10</v>
      </c>
      <c r="E6941" s="2" t="s">
        <v>11</v>
      </c>
      <c r="F6941" s="2">
        <v>29.6</v>
      </c>
      <c r="G6941" s="2">
        <v>4</v>
      </c>
      <c r="H6941" s="2">
        <v>13.32</v>
      </c>
      <c r="I6941" t="str">
        <f t="shared" si="108"/>
        <v>Feb</v>
      </c>
      <c r="J6941">
        <f>YEAR(datas[[#This Row],[Order Date]])</f>
        <v>2024</v>
      </c>
    </row>
    <row r="6942" spans="1:10" ht="14.25" customHeight="1" x14ac:dyDescent="0.3">
      <c r="A6942" s="1">
        <v>45350</v>
      </c>
      <c r="B6942" s="2" t="s">
        <v>324</v>
      </c>
      <c r="C6942" s="2" t="s">
        <v>248</v>
      </c>
      <c r="D6942" s="2" t="s">
        <v>10</v>
      </c>
      <c r="E6942" s="2" t="s">
        <v>16</v>
      </c>
      <c r="F6942" s="2">
        <v>9.84</v>
      </c>
      <c r="G6942" s="2">
        <v>2</v>
      </c>
      <c r="H6942" s="2">
        <v>4.72</v>
      </c>
      <c r="I6942" t="str">
        <f t="shared" si="108"/>
        <v>Feb</v>
      </c>
      <c r="J6942">
        <f>YEAR(datas[[#This Row],[Order Date]])</f>
        <v>2024</v>
      </c>
    </row>
    <row r="6943" spans="1:10" ht="14.25" customHeight="1" x14ac:dyDescent="0.3">
      <c r="A6943" s="1">
        <v>45350</v>
      </c>
      <c r="B6943" s="2" t="s">
        <v>324</v>
      </c>
      <c r="C6943" s="2" t="s">
        <v>248</v>
      </c>
      <c r="D6943" s="2" t="s">
        <v>10</v>
      </c>
      <c r="E6943" s="2" t="s">
        <v>11</v>
      </c>
      <c r="F6943" s="2">
        <v>7.78</v>
      </c>
      <c r="G6943" s="2">
        <v>1</v>
      </c>
      <c r="H6943" s="2">
        <v>3.5</v>
      </c>
      <c r="I6943" t="str">
        <f t="shared" si="108"/>
        <v>Feb</v>
      </c>
      <c r="J6943">
        <f>YEAR(datas[[#This Row],[Order Date]])</f>
        <v>2024</v>
      </c>
    </row>
    <row r="6944" spans="1:10" ht="14.25" customHeight="1" x14ac:dyDescent="0.3">
      <c r="A6944" s="1">
        <v>45353</v>
      </c>
      <c r="B6944" s="2" t="s">
        <v>733</v>
      </c>
      <c r="C6944" s="2" t="s">
        <v>9</v>
      </c>
      <c r="D6944" s="2" t="s">
        <v>10</v>
      </c>
      <c r="E6944" s="2" t="s">
        <v>95</v>
      </c>
      <c r="F6944" s="2">
        <v>6.98</v>
      </c>
      <c r="G6944" s="2">
        <v>4</v>
      </c>
      <c r="H6944" s="2">
        <v>-1.4</v>
      </c>
      <c r="I6944" t="str">
        <f t="shared" si="108"/>
        <v>Mar</v>
      </c>
      <c r="J6944">
        <f>YEAR(datas[[#This Row],[Order Date]])</f>
        <v>2024</v>
      </c>
    </row>
    <row r="6945" spans="1:10" ht="14.25" customHeight="1" x14ac:dyDescent="0.3">
      <c r="A6945" s="1">
        <v>45353</v>
      </c>
      <c r="B6945" s="2" t="s">
        <v>733</v>
      </c>
      <c r="C6945" s="2" t="s">
        <v>9</v>
      </c>
      <c r="D6945" s="2" t="s">
        <v>10</v>
      </c>
      <c r="E6945" s="2" t="s">
        <v>16</v>
      </c>
      <c r="F6945" s="2">
        <v>12.22</v>
      </c>
      <c r="G6945" s="2">
        <v>7</v>
      </c>
      <c r="H6945" s="2">
        <v>-20.170000000000002</v>
      </c>
      <c r="I6945" t="str">
        <f t="shared" si="108"/>
        <v>Mar</v>
      </c>
      <c r="J6945">
        <f>YEAR(datas[[#This Row],[Order Date]])</f>
        <v>2024</v>
      </c>
    </row>
    <row r="6946" spans="1:10" ht="14.25" customHeight="1" x14ac:dyDescent="0.3">
      <c r="A6946" s="1">
        <v>45353</v>
      </c>
      <c r="B6946" s="2" t="s">
        <v>779</v>
      </c>
      <c r="C6946" s="2" t="s">
        <v>21</v>
      </c>
      <c r="D6946" s="2" t="s">
        <v>28</v>
      </c>
      <c r="E6946" s="2" t="s">
        <v>29</v>
      </c>
      <c r="F6946" s="2">
        <v>196.78</v>
      </c>
      <c r="G6946" s="2">
        <v>3</v>
      </c>
      <c r="H6946" s="2">
        <v>14.76</v>
      </c>
      <c r="I6946" t="str">
        <f t="shared" si="108"/>
        <v>Mar</v>
      </c>
      <c r="J6946">
        <f>YEAR(datas[[#This Row],[Order Date]])</f>
        <v>2024</v>
      </c>
    </row>
    <row r="6947" spans="1:10" ht="14.25" customHeight="1" x14ac:dyDescent="0.3">
      <c r="A6947" s="1">
        <v>45353</v>
      </c>
      <c r="B6947" s="2" t="s">
        <v>779</v>
      </c>
      <c r="C6947" s="2" t="s">
        <v>21</v>
      </c>
      <c r="D6947" s="2" t="s">
        <v>28</v>
      </c>
      <c r="E6947" s="2" t="s">
        <v>34</v>
      </c>
      <c r="F6947" s="2">
        <v>479.94</v>
      </c>
      <c r="G6947" s="2">
        <v>6</v>
      </c>
      <c r="H6947" s="2">
        <v>52.79</v>
      </c>
      <c r="I6947" t="str">
        <f t="shared" si="108"/>
        <v>Mar</v>
      </c>
      <c r="J6947">
        <f>YEAR(datas[[#This Row],[Order Date]])</f>
        <v>2024</v>
      </c>
    </row>
    <row r="6948" spans="1:10" ht="14.25" customHeight="1" x14ac:dyDescent="0.3">
      <c r="A6948" s="1">
        <v>45353</v>
      </c>
      <c r="B6948" s="2" t="s">
        <v>223</v>
      </c>
      <c r="C6948" s="2" t="s">
        <v>38</v>
      </c>
      <c r="D6948" s="2" t="s">
        <v>10</v>
      </c>
      <c r="E6948" s="2" t="s">
        <v>19</v>
      </c>
      <c r="F6948" s="2">
        <v>59.52</v>
      </c>
      <c r="G6948" s="2">
        <v>3</v>
      </c>
      <c r="H6948" s="2">
        <v>15.48</v>
      </c>
      <c r="I6948" t="str">
        <f t="shared" si="108"/>
        <v>Mar</v>
      </c>
      <c r="J6948">
        <f>YEAR(datas[[#This Row],[Order Date]])</f>
        <v>2024</v>
      </c>
    </row>
    <row r="6949" spans="1:10" ht="14.25" customHeight="1" x14ac:dyDescent="0.3">
      <c r="A6949" s="1">
        <v>45353</v>
      </c>
      <c r="B6949" s="2" t="s">
        <v>223</v>
      </c>
      <c r="C6949" s="2" t="s">
        <v>38</v>
      </c>
      <c r="D6949" s="2" t="s">
        <v>10</v>
      </c>
      <c r="E6949" s="2" t="s">
        <v>41</v>
      </c>
      <c r="F6949" s="2">
        <v>57.96</v>
      </c>
      <c r="G6949" s="2">
        <v>7</v>
      </c>
      <c r="H6949" s="2">
        <v>27.24</v>
      </c>
      <c r="I6949" t="str">
        <f t="shared" si="108"/>
        <v>Mar</v>
      </c>
      <c r="J6949">
        <f>YEAR(datas[[#This Row],[Order Date]])</f>
        <v>2024</v>
      </c>
    </row>
    <row r="6950" spans="1:10" ht="14.25" customHeight="1" x14ac:dyDescent="0.3">
      <c r="A6950" s="1">
        <v>45353</v>
      </c>
      <c r="B6950" s="2" t="s">
        <v>223</v>
      </c>
      <c r="C6950" s="2" t="s">
        <v>38</v>
      </c>
      <c r="D6950" s="2" t="s">
        <v>26</v>
      </c>
      <c r="E6950" s="2" t="s">
        <v>45</v>
      </c>
      <c r="F6950" s="2">
        <v>441.96</v>
      </c>
      <c r="G6950" s="2">
        <v>2</v>
      </c>
      <c r="H6950" s="2">
        <v>101.65</v>
      </c>
      <c r="I6950" t="str">
        <f t="shared" si="108"/>
        <v>Mar</v>
      </c>
      <c r="J6950">
        <f>YEAR(datas[[#This Row],[Order Date]])</f>
        <v>2024</v>
      </c>
    </row>
    <row r="6951" spans="1:10" ht="14.25" customHeight="1" x14ac:dyDescent="0.3">
      <c r="A6951" s="1">
        <v>45353</v>
      </c>
      <c r="B6951" s="2" t="s">
        <v>223</v>
      </c>
      <c r="C6951" s="2" t="s">
        <v>38</v>
      </c>
      <c r="D6951" s="2" t="s">
        <v>10</v>
      </c>
      <c r="E6951" s="2" t="s">
        <v>11</v>
      </c>
      <c r="F6951" s="2">
        <v>68.040000000000006</v>
      </c>
      <c r="G6951" s="2">
        <v>6</v>
      </c>
      <c r="H6951" s="2">
        <v>33.340000000000003</v>
      </c>
      <c r="I6951" t="str">
        <f t="shared" si="108"/>
        <v>Mar</v>
      </c>
      <c r="J6951">
        <f>YEAR(datas[[#This Row],[Order Date]])</f>
        <v>2024</v>
      </c>
    </row>
    <row r="6952" spans="1:10" ht="14.25" customHeight="1" x14ac:dyDescent="0.3">
      <c r="A6952" s="1">
        <v>45353</v>
      </c>
      <c r="B6952" s="2" t="s">
        <v>480</v>
      </c>
      <c r="C6952" s="2" t="s">
        <v>47</v>
      </c>
      <c r="D6952" s="2" t="s">
        <v>10</v>
      </c>
      <c r="E6952" s="2" t="s">
        <v>16</v>
      </c>
      <c r="F6952" s="2">
        <v>18.53</v>
      </c>
      <c r="G6952" s="2">
        <v>4</v>
      </c>
      <c r="H6952" s="2">
        <v>-12.35</v>
      </c>
      <c r="I6952" t="str">
        <f t="shared" si="108"/>
        <v>Mar</v>
      </c>
      <c r="J6952">
        <f>YEAR(datas[[#This Row],[Order Date]])</f>
        <v>2024</v>
      </c>
    </row>
    <row r="6953" spans="1:10" ht="14.25" customHeight="1" x14ac:dyDescent="0.3">
      <c r="A6953" s="1">
        <v>45353</v>
      </c>
      <c r="B6953" s="2" t="s">
        <v>760</v>
      </c>
      <c r="C6953" s="2" t="s">
        <v>21</v>
      </c>
      <c r="D6953" s="2" t="s">
        <v>10</v>
      </c>
      <c r="E6953" s="2" t="s">
        <v>16</v>
      </c>
      <c r="F6953" s="2">
        <v>107.65</v>
      </c>
      <c r="G6953" s="2">
        <v>2</v>
      </c>
      <c r="H6953" s="2">
        <v>33.64</v>
      </c>
      <c r="I6953" t="str">
        <f t="shared" si="108"/>
        <v>Mar</v>
      </c>
      <c r="J6953">
        <f>YEAR(datas[[#This Row],[Order Date]])</f>
        <v>2024</v>
      </c>
    </row>
    <row r="6954" spans="1:10" ht="14.25" customHeight="1" x14ac:dyDescent="0.3">
      <c r="A6954" s="1">
        <v>45353</v>
      </c>
      <c r="B6954" s="2" t="s">
        <v>199</v>
      </c>
      <c r="C6954" s="2" t="s">
        <v>9</v>
      </c>
      <c r="D6954" s="2" t="s">
        <v>10</v>
      </c>
      <c r="E6954" s="2" t="s">
        <v>16</v>
      </c>
      <c r="F6954" s="2">
        <v>0.56000000000000005</v>
      </c>
      <c r="G6954" s="2">
        <v>1</v>
      </c>
      <c r="H6954" s="2">
        <v>-0.95</v>
      </c>
      <c r="I6954" t="str">
        <f t="shared" si="108"/>
        <v>Mar</v>
      </c>
      <c r="J6954">
        <f>YEAR(datas[[#This Row],[Order Date]])</f>
        <v>2024</v>
      </c>
    </row>
    <row r="6955" spans="1:10" ht="14.25" customHeight="1" x14ac:dyDescent="0.3">
      <c r="A6955" s="1">
        <v>45354</v>
      </c>
      <c r="B6955" s="2" t="s">
        <v>834</v>
      </c>
      <c r="C6955" s="2" t="s">
        <v>25</v>
      </c>
      <c r="D6955" s="2" t="s">
        <v>10</v>
      </c>
      <c r="E6955" s="2" t="s">
        <v>53</v>
      </c>
      <c r="F6955" s="2">
        <v>72.8</v>
      </c>
      <c r="G6955" s="2">
        <v>5</v>
      </c>
      <c r="H6955" s="2">
        <v>19.66</v>
      </c>
      <c r="I6955" t="str">
        <f t="shared" si="108"/>
        <v>Mar</v>
      </c>
      <c r="J6955">
        <f>YEAR(datas[[#This Row],[Order Date]])</f>
        <v>2024</v>
      </c>
    </row>
    <row r="6956" spans="1:10" ht="14.25" customHeight="1" x14ac:dyDescent="0.3">
      <c r="A6956" s="1">
        <v>45354</v>
      </c>
      <c r="B6956" s="2" t="s">
        <v>305</v>
      </c>
      <c r="C6956" s="2" t="s">
        <v>9</v>
      </c>
      <c r="D6956" s="2" t="s">
        <v>10</v>
      </c>
      <c r="E6956" s="2" t="s">
        <v>11</v>
      </c>
      <c r="F6956" s="2">
        <v>26.88</v>
      </c>
      <c r="G6956" s="2">
        <v>8</v>
      </c>
      <c r="H6956" s="2">
        <v>9.74</v>
      </c>
      <c r="I6956" t="str">
        <f t="shared" si="108"/>
        <v>Mar</v>
      </c>
      <c r="J6956">
        <f>YEAR(datas[[#This Row],[Order Date]])</f>
        <v>2024</v>
      </c>
    </row>
    <row r="6957" spans="1:10" ht="14.25" customHeight="1" x14ac:dyDescent="0.3">
      <c r="A6957" s="1">
        <v>45354</v>
      </c>
      <c r="B6957" s="2" t="s">
        <v>355</v>
      </c>
      <c r="C6957" s="2" t="s">
        <v>60</v>
      </c>
      <c r="D6957" s="2" t="s">
        <v>26</v>
      </c>
      <c r="E6957" s="2" t="s">
        <v>27</v>
      </c>
      <c r="F6957" s="2">
        <v>180.98</v>
      </c>
      <c r="G6957" s="2">
        <v>1</v>
      </c>
      <c r="H6957" s="2">
        <v>47.05</v>
      </c>
      <c r="I6957" t="str">
        <f t="shared" si="108"/>
        <v>Mar</v>
      </c>
      <c r="J6957">
        <f>YEAR(datas[[#This Row],[Order Date]])</f>
        <v>2024</v>
      </c>
    </row>
    <row r="6958" spans="1:10" ht="14.25" customHeight="1" x14ac:dyDescent="0.3">
      <c r="A6958" s="1">
        <v>45354</v>
      </c>
      <c r="B6958" s="2" t="s">
        <v>355</v>
      </c>
      <c r="C6958" s="2" t="s">
        <v>60</v>
      </c>
      <c r="D6958" s="2" t="s">
        <v>28</v>
      </c>
      <c r="E6958" s="2" t="s">
        <v>34</v>
      </c>
      <c r="F6958" s="2">
        <v>99.98</v>
      </c>
      <c r="G6958" s="2">
        <v>2</v>
      </c>
      <c r="H6958" s="2">
        <v>42.99</v>
      </c>
      <c r="I6958" t="str">
        <f t="shared" si="108"/>
        <v>Mar</v>
      </c>
      <c r="J6958">
        <f>YEAR(datas[[#This Row],[Order Date]])</f>
        <v>2024</v>
      </c>
    </row>
    <row r="6959" spans="1:10" ht="14.25" customHeight="1" x14ac:dyDescent="0.3">
      <c r="A6959" s="1">
        <v>45354</v>
      </c>
      <c r="B6959" s="2" t="s">
        <v>72</v>
      </c>
      <c r="C6959" s="2" t="s">
        <v>21</v>
      </c>
      <c r="D6959" s="2" t="s">
        <v>28</v>
      </c>
      <c r="E6959" s="2" t="s">
        <v>34</v>
      </c>
      <c r="F6959" s="2">
        <v>1049.44</v>
      </c>
      <c r="G6959" s="2">
        <v>8</v>
      </c>
      <c r="H6959" s="2">
        <v>440.76</v>
      </c>
      <c r="I6959" t="str">
        <f t="shared" si="108"/>
        <v>Mar</v>
      </c>
      <c r="J6959">
        <f>YEAR(datas[[#This Row],[Order Date]])</f>
        <v>2024</v>
      </c>
    </row>
    <row r="6960" spans="1:10" ht="14.25" customHeight="1" x14ac:dyDescent="0.3">
      <c r="A6960" s="1">
        <v>45354</v>
      </c>
      <c r="B6960" s="2" t="s">
        <v>72</v>
      </c>
      <c r="C6960" s="2" t="s">
        <v>21</v>
      </c>
      <c r="D6960" s="2" t="s">
        <v>26</v>
      </c>
      <c r="E6960" s="2" t="s">
        <v>27</v>
      </c>
      <c r="F6960" s="2">
        <v>170.35</v>
      </c>
      <c r="G6960" s="2">
        <v>3</v>
      </c>
      <c r="H6960" s="2">
        <v>-17.04</v>
      </c>
      <c r="I6960" t="str">
        <f t="shared" si="108"/>
        <v>Mar</v>
      </c>
      <c r="J6960">
        <f>YEAR(datas[[#This Row],[Order Date]])</f>
        <v>2024</v>
      </c>
    </row>
    <row r="6961" spans="1:10" ht="14.25" customHeight="1" x14ac:dyDescent="0.3">
      <c r="A6961" s="1">
        <v>45354</v>
      </c>
      <c r="B6961" s="2" t="s">
        <v>549</v>
      </c>
      <c r="C6961" s="2" t="s">
        <v>21</v>
      </c>
      <c r="D6961" s="2" t="s">
        <v>26</v>
      </c>
      <c r="E6961" s="2" t="s">
        <v>73</v>
      </c>
      <c r="F6961" s="2">
        <v>399.67</v>
      </c>
      <c r="G6961" s="2">
        <v>7</v>
      </c>
      <c r="H6961" s="2">
        <v>-14.99</v>
      </c>
      <c r="I6961" t="str">
        <f t="shared" si="108"/>
        <v>Mar</v>
      </c>
      <c r="J6961">
        <f>YEAR(datas[[#This Row],[Order Date]])</f>
        <v>2024</v>
      </c>
    </row>
    <row r="6962" spans="1:10" ht="14.25" customHeight="1" x14ac:dyDescent="0.3">
      <c r="A6962" s="1">
        <v>45355</v>
      </c>
      <c r="B6962" s="2" t="s">
        <v>641</v>
      </c>
      <c r="C6962" s="2" t="s">
        <v>21</v>
      </c>
      <c r="D6962" s="2" t="s">
        <v>10</v>
      </c>
      <c r="E6962" s="2" t="s">
        <v>19</v>
      </c>
      <c r="F6962" s="2">
        <v>9.32</v>
      </c>
      <c r="G6962" s="2">
        <v>4</v>
      </c>
      <c r="H6962" s="2">
        <v>2.7</v>
      </c>
      <c r="I6962" t="str">
        <f t="shared" si="108"/>
        <v>Mar</v>
      </c>
      <c r="J6962">
        <f>YEAR(datas[[#This Row],[Order Date]])</f>
        <v>2024</v>
      </c>
    </row>
    <row r="6963" spans="1:10" ht="14.25" customHeight="1" x14ac:dyDescent="0.3">
      <c r="A6963" s="1">
        <v>45355</v>
      </c>
      <c r="B6963" s="2" t="s">
        <v>641</v>
      </c>
      <c r="C6963" s="2" t="s">
        <v>21</v>
      </c>
      <c r="D6963" s="2" t="s">
        <v>10</v>
      </c>
      <c r="E6963" s="2" t="s">
        <v>41</v>
      </c>
      <c r="F6963" s="2">
        <v>15.25</v>
      </c>
      <c r="G6963" s="2">
        <v>1</v>
      </c>
      <c r="H6963" s="2">
        <v>7.02</v>
      </c>
      <c r="I6963" t="str">
        <f t="shared" si="108"/>
        <v>Mar</v>
      </c>
      <c r="J6963">
        <f>YEAR(datas[[#This Row],[Order Date]])</f>
        <v>2024</v>
      </c>
    </row>
    <row r="6964" spans="1:10" ht="14.25" customHeight="1" x14ac:dyDescent="0.3">
      <c r="A6964" s="1">
        <v>45355</v>
      </c>
      <c r="B6964" s="2" t="s">
        <v>8</v>
      </c>
      <c r="C6964" s="2" t="s">
        <v>9</v>
      </c>
      <c r="D6964" s="2" t="s">
        <v>10</v>
      </c>
      <c r="E6964" s="2" t="s">
        <v>11</v>
      </c>
      <c r="F6964" s="2">
        <v>89.57</v>
      </c>
      <c r="G6964" s="2">
        <v>2</v>
      </c>
      <c r="H6964" s="2">
        <v>32.47</v>
      </c>
      <c r="I6964" t="str">
        <f t="shared" si="108"/>
        <v>Mar</v>
      </c>
      <c r="J6964">
        <f>YEAR(datas[[#This Row],[Order Date]])</f>
        <v>2024</v>
      </c>
    </row>
    <row r="6965" spans="1:10" ht="14.25" customHeight="1" x14ac:dyDescent="0.3">
      <c r="A6965" s="1">
        <v>45355</v>
      </c>
      <c r="B6965" s="2" t="s">
        <v>796</v>
      </c>
      <c r="C6965" s="2" t="s">
        <v>9</v>
      </c>
      <c r="D6965" s="2" t="s">
        <v>26</v>
      </c>
      <c r="E6965" s="2" t="s">
        <v>32</v>
      </c>
      <c r="F6965" s="2">
        <v>103.5</v>
      </c>
      <c r="G6965" s="2">
        <v>5</v>
      </c>
      <c r="H6965" s="2">
        <v>-77.63</v>
      </c>
      <c r="I6965" t="str">
        <f t="shared" si="108"/>
        <v>Mar</v>
      </c>
      <c r="J6965">
        <f>YEAR(datas[[#This Row],[Order Date]])</f>
        <v>2024</v>
      </c>
    </row>
    <row r="6966" spans="1:10" ht="14.25" customHeight="1" x14ac:dyDescent="0.3">
      <c r="A6966" s="1">
        <v>45355</v>
      </c>
      <c r="B6966" s="2" t="s">
        <v>796</v>
      </c>
      <c r="C6966" s="2" t="s">
        <v>9</v>
      </c>
      <c r="D6966" s="2" t="s">
        <v>10</v>
      </c>
      <c r="E6966" s="2" t="s">
        <v>14</v>
      </c>
      <c r="F6966" s="2">
        <v>2.46</v>
      </c>
      <c r="G6966" s="2">
        <v>1</v>
      </c>
      <c r="H6966" s="2">
        <v>0.86</v>
      </c>
      <c r="I6966" t="str">
        <f t="shared" si="108"/>
        <v>Mar</v>
      </c>
      <c r="J6966">
        <f>YEAR(datas[[#This Row],[Order Date]])</f>
        <v>2024</v>
      </c>
    </row>
    <row r="6967" spans="1:10" ht="14.25" customHeight="1" x14ac:dyDescent="0.3">
      <c r="A6967" s="1">
        <v>45355</v>
      </c>
      <c r="B6967" s="2" t="s">
        <v>796</v>
      </c>
      <c r="C6967" s="2" t="s">
        <v>9</v>
      </c>
      <c r="D6967" s="2" t="s">
        <v>10</v>
      </c>
      <c r="E6967" s="2" t="s">
        <v>15</v>
      </c>
      <c r="F6967" s="2">
        <v>8.7200000000000006</v>
      </c>
      <c r="G6967" s="2">
        <v>1</v>
      </c>
      <c r="H6967" s="2">
        <v>0.65</v>
      </c>
      <c r="I6967" t="str">
        <f t="shared" si="108"/>
        <v>Mar</v>
      </c>
      <c r="J6967">
        <f>YEAR(datas[[#This Row],[Order Date]])</f>
        <v>2024</v>
      </c>
    </row>
    <row r="6968" spans="1:10" ht="14.25" customHeight="1" x14ac:dyDescent="0.3">
      <c r="A6968" s="1">
        <v>45356</v>
      </c>
      <c r="B6968" s="2" t="s">
        <v>572</v>
      </c>
      <c r="C6968" s="2" t="s">
        <v>79</v>
      </c>
      <c r="D6968" s="2" t="s">
        <v>10</v>
      </c>
      <c r="E6968" s="2" t="s">
        <v>14</v>
      </c>
      <c r="F6968" s="2">
        <v>25.06</v>
      </c>
      <c r="G6968" s="2">
        <v>2</v>
      </c>
      <c r="H6968" s="2">
        <v>11.78</v>
      </c>
      <c r="I6968" t="str">
        <f t="shared" si="108"/>
        <v>Mar</v>
      </c>
      <c r="J6968">
        <f>YEAR(datas[[#This Row],[Order Date]])</f>
        <v>2024</v>
      </c>
    </row>
    <row r="6969" spans="1:10" ht="14.25" customHeight="1" x14ac:dyDescent="0.3">
      <c r="A6969" s="1">
        <v>45356</v>
      </c>
      <c r="B6969" s="2" t="s">
        <v>498</v>
      </c>
      <c r="C6969" s="2" t="s">
        <v>140</v>
      </c>
      <c r="D6969" s="2" t="s">
        <v>10</v>
      </c>
      <c r="E6969" s="2" t="s">
        <v>30</v>
      </c>
      <c r="F6969" s="2">
        <v>7.9</v>
      </c>
      <c r="G6969" s="2">
        <v>2</v>
      </c>
      <c r="H6969" s="2">
        <v>2.5299999999999998</v>
      </c>
      <c r="I6969" t="str">
        <f t="shared" si="108"/>
        <v>Mar</v>
      </c>
      <c r="J6969">
        <f>YEAR(datas[[#This Row],[Order Date]])</f>
        <v>2024</v>
      </c>
    </row>
    <row r="6970" spans="1:10" ht="14.25" customHeight="1" x14ac:dyDescent="0.3">
      <c r="A6970" s="1">
        <v>45356</v>
      </c>
      <c r="B6970" s="2" t="s">
        <v>498</v>
      </c>
      <c r="C6970" s="2" t="s">
        <v>140</v>
      </c>
      <c r="D6970" s="2" t="s">
        <v>10</v>
      </c>
      <c r="E6970" s="2" t="s">
        <v>15</v>
      </c>
      <c r="F6970" s="2">
        <v>221.16</v>
      </c>
      <c r="G6970" s="2">
        <v>4</v>
      </c>
      <c r="H6970" s="2">
        <v>57.5</v>
      </c>
      <c r="I6970" t="str">
        <f t="shared" si="108"/>
        <v>Mar</v>
      </c>
      <c r="J6970">
        <f>YEAR(datas[[#This Row],[Order Date]])</f>
        <v>2024</v>
      </c>
    </row>
    <row r="6971" spans="1:10" ht="14.25" customHeight="1" x14ac:dyDescent="0.3">
      <c r="A6971" s="1">
        <v>45356</v>
      </c>
      <c r="B6971" s="2" t="s">
        <v>498</v>
      </c>
      <c r="C6971" s="2" t="s">
        <v>140</v>
      </c>
      <c r="D6971" s="2" t="s">
        <v>10</v>
      </c>
      <c r="E6971" s="2" t="s">
        <v>16</v>
      </c>
      <c r="F6971" s="2">
        <v>127.96</v>
      </c>
      <c r="G6971" s="2">
        <v>2</v>
      </c>
      <c r="H6971" s="2">
        <v>62.7</v>
      </c>
      <c r="I6971" t="str">
        <f t="shared" si="108"/>
        <v>Mar</v>
      </c>
      <c r="J6971">
        <f>YEAR(datas[[#This Row],[Order Date]])</f>
        <v>2024</v>
      </c>
    </row>
    <row r="6972" spans="1:10" ht="14.25" customHeight="1" x14ac:dyDescent="0.3">
      <c r="A6972" s="1">
        <v>45356</v>
      </c>
      <c r="B6972" s="2" t="s">
        <v>498</v>
      </c>
      <c r="C6972" s="2" t="s">
        <v>140</v>
      </c>
      <c r="D6972" s="2" t="s">
        <v>10</v>
      </c>
      <c r="E6972" s="2" t="s">
        <v>16</v>
      </c>
      <c r="F6972" s="2">
        <v>18.690000000000001</v>
      </c>
      <c r="G6972" s="2">
        <v>3</v>
      </c>
      <c r="H6972" s="2">
        <v>9.16</v>
      </c>
      <c r="I6972" t="str">
        <f t="shared" si="108"/>
        <v>Mar</v>
      </c>
      <c r="J6972">
        <f>YEAR(datas[[#This Row],[Order Date]])</f>
        <v>2024</v>
      </c>
    </row>
    <row r="6973" spans="1:10" ht="14.25" customHeight="1" x14ac:dyDescent="0.3">
      <c r="A6973" s="1">
        <v>45356</v>
      </c>
      <c r="B6973" s="2" t="s">
        <v>667</v>
      </c>
      <c r="C6973" s="2" t="s">
        <v>143</v>
      </c>
      <c r="D6973" s="2" t="s">
        <v>10</v>
      </c>
      <c r="E6973" s="2" t="s">
        <v>41</v>
      </c>
      <c r="F6973" s="2">
        <v>42.68</v>
      </c>
      <c r="G6973" s="2">
        <v>4</v>
      </c>
      <c r="H6973" s="2">
        <v>19.63</v>
      </c>
      <c r="I6973" t="str">
        <f t="shared" si="108"/>
        <v>Mar</v>
      </c>
      <c r="J6973">
        <f>YEAR(datas[[#This Row],[Order Date]])</f>
        <v>2024</v>
      </c>
    </row>
    <row r="6974" spans="1:10" ht="14.25" customHeight="1" x14ac:dyDescent="0.3">
      <c r="A6974" s="1">
        <v>45356</v>
      </c>
      <c r="B6974" s="2" t="s">
        <v>667</v>
      </c>
      <c r="C6974" s="2" t="s">
        <v>143</v>
      </c>
      <c r="D6974" s="2" t="s">
        <v>28</v>
      </c>
      <c r="E6974" s="2" t="s">
        <v>34</v>
      </c>
      <c r="F6974" s="2">
        <v>299.97000000000003</v>
      </c>
      <c r="G6974" s="2">
        <v>3</v>
      </c>
      <c r="H6974" s="2">
        <v>125.99</v>
      </c>
      <c r="I6974" t="str">
        <f t="shared" si="108"/>
        <v>Mar</v>
      </c>
      <c r="J6974">
        <f>YEAR(datas[[#This Row],[Order Date]])</f>
        <v>2024</v>
      </c>
    </row>
    <row r="6975" spans="1:10" ht="14.25" customHeight="1" x14ac:dyDescent="0.3">
      <c r="A6975" s="1">
        <v>45356</v>
      </c>
      <c r="B6975" s="2" t="s">
        <v>667</v>
      </c>
      <c r="C6975" s="2" t="s">
        <v>143</v>
      </c>
      <c r="D6975" s="2" t="s">
        <v>10</v>
      </c>
      <c r="E6975" s="2" t="s">
        <v>53</v>
      </c>
      <c r="F6975" s="2">
        <v>262.24</v>
      </c>
      <c r="G6975" s="2">
        <v>2</v>
      </c>
      <c r="H6975" s="2">
        <v>78.67</v>
      </c>
      <c r="I6975" t="str">
        <f t="shared" si="108"/>
        <v>Mar</v>
      </c>
      <c r="J6975">
        <f>YEAR(datas[[#This Row],[Order Date]])</f>
        <v>2024</v>
      </c>
    </row>
    <row r="6976" spans="1:10" ht="14.25" customHeight="1" x14ac:dyDescent="0.3">
      <c r="A6976" s="1">
        <v>45356</v>
      </c>
      <c r="B6976" s="2" t="s">
        <v>667</v>
      </c>
      <c r="C6976" s="2" t="s">
        <v>143</v>
      </c>
      <c r="D6976" s="2" t="s">
        <v>10</v>
      </c>
      <c r="E6976" s="2" t="s">
        <v>16</v>
      </c>
      <c r="F6976" s="2">
        <v>234.36</v>
      </c>
      <c r="G6976" s="2">
        <v>6</v>
      </c>
      <c r="H6976" s="2">
        <v>112.49</v>
      </c>
      <c r="I6976" t="str">
        <f t="shared" si="108"/>
        <v>Mar</v>
      </c>
      <c r="J6976">
        <f>YEAR(datas[[#This Row],[Order Date]])</f>
        <v>2024</v>
      </c>
    </row>
    <row r="6977" spans="1:10" ht="14.25" customHeight="1" x14ac:dyDescent="0.3">
      <c r="A6977" s="1">
        <v>45357</v>
      </c>
      <c r="B6977" s="2" t="s">
        <v>857</v>
      </c>
      <c r="C6977" s="2" t="s">
        <v>75</v>
      </c>
      <c r="D6977" s="2" t="s">
        <v>10</v>
      </c>
      <c r="E6977" s="2" t="s">
        <v>11</v>
      </c>
      <c r="F6977" s="2">
        <v>26.38</v>
      </c>
      <c r="G6977" s="2">
        <v>1</v>
      </c>
      <c r="H6977" s="2">
        <v>12.13</v>
      </c>
      <c r="I6977" t="str">
        <f t="shared" si="108"/>
        <v>Mar</v>
      </c>
      <c r="J6977">
        <f>YEAR(datas[[#This Row],[Order Date]])</f>
        <v>2024</v>
      </c>
    </row>
    <row r="6978" spans="1:10" ht="14.25" customHeight="1" x14ac:dyDescent="0.3">
      <c r="A6978" s="1">
        <v>45357</v>
      </c>
      <c r="B6978" s="2" t="s">
        <v>857</v>
      </c>
      <c r="C6978" s="2" t="s">
        <v>75</v>
      </c>
      <c r="D6978" s="2" t="s">
        <v>26</v>
      </c>
      <c r="E6978" s="2" t="s">
        <v>32</v>
      </c>
      <c r="F6978" s="2">
        <v>71.97</v>
      </c>
      <c r="G6978" s="2">
        <v>3</v>
      </c>
      <c r="H6978" s="2">
        <v>16.55</v>
      </c>
      <c r="I6978" t="str">
        <f t="shared" si="108"/>
        <v>Mar</v>
      </c>
      <c r="J6978">
        <f>YEAR(datas[[#This Row],[Order Date]])</f>
        <v>2024</v>
      </c>
    </row>
    <row r="6979" spans="1:10" ht="14.25" customHeight="1" x14ac:dyDescent="0.3">
      <c r="A6979" s="1">
        <v>45357</v>
      </c>
      <c r="B6979" s="2" t="s">
        <v>214</v>
      </c>
      <c r="C6979" s="2" t="s">
        <v>21</v>
      </c>
      <c r="D6979" s="2" t="s">
        <v>10</v>
      </c>
      <c r="E6979" s="2" t="s">
        <v>16</v>
      </c>
      <c r="F6979" s="2">
        <v>14.98</v>
      </c>
      <c r="G6979" s="2">
        <v>9</v>
      </c>
      <c r="H6979" s="2">
        <v>5.43</v>
      </c>
      <c r="I6979" t="str">
        <f t="shared" ref="I6979:I7042" si="109">TEXT(A6979,"mmm")</f>
        <v>Mar</v>
      </c>
      <c r="J6979">
        <f>YEAR(datas[[#This Row],[Order Date]])</f>
        <v>2024</v>
      </c>
    </row>
    <row r="6980" spans="1:10" ht="14.25" customHeight="1" x14ac:dyDescent="0.3">
      <c r="A6980" s="1">
        <v>45357</v>
      </c>
      <c r="B6980" s="2" t="s">
        <v>634</v>
      </c>
      <c r="C6980" s="2" t="s">
        <v>21</v>
      </c>
      <c r="D6980" s="2" t="s">
        <v>10</v>
      </c>
      <c r="E6980" s="2" t="s">
        <v>15</v>
      </c>
      <c r="F6980" s="2">
        <v>67.78</v>
      </c>
      <c r="G6980" s="2">
        <v>2</v>
      </c>
      <c r="H6980" s="2">
        <v>16.95</v>
      </c>
      <c r="I6980" t="str">
        <f t="shared" si="109"/>
        <v>Mar</v>
      </c>
      <c r="J6980">
        <f>YEAR(datas[[#This Row],[Order Date]])</f>
        <v>2024</v>
      </c>
    </row>
    <row r="6981" spans="1:10" ht="14.25" customHeight="1" x14ac:dyDescent="0.3">
      <c r="A6981" s="1">
        <v>45357</v>
      </c>
      <c r="B6981" s="2" t="s">
        <v>731</v>
      </c>
      <c r="C6981" s="2" t="s">
        <v>21</v>
      </c>
      <c r="D6981" s="2" t="s">
        <v>10</v>
      </c>
      <c r="E6981" s="2" t="s">
        <v>19</v>
      </c>
      <c r="F6981" s="2">
        <v>23.88</v>
      </c>
      <c r="G6981" s="2">
        <v>6</v>
      </c>
      <c r="H6981" s="2">
        <v>8.1199999999999992</v>
      </c>
      <c r="I6981" t="str">
        <f t="shared" si="109"/>
        <v>Mar</v>
      </c>
      <c r="J6981">
        <f>YEAR(datas[[#This Row],[Order Date]])</f>
        <v>2024</v>
      </c>
    </row>
    <row r="6982" spans="1:10" ht="14.25" customHeight="1" x14ac:dyDescent="0.3">
      <c r="A6982" s="1">
        <v>45357</v>
      </c>
      <c r="B6982" s="2" t="s">
        <v>731</v>
      </c>
      <c r="C6982" s="2" t="s">
        <v>21</v>
      </c>
      <c r="D6982" s="2" t="s">
        <v>10</v>
      </c>
      <c r="E6982" s="2" t="s">
        <v>14</v>
      </c>
      <c r="F6982" s="2">
        <v>11.52</v>
      </c>
      <c r="G6982" s="2">
        <v>4</v>
      </c>
      <c r="H6982" s="2">
        <v>5.64</v>
      </c>
      <c r="I6982" t="str">
        <f t="shared" si="109"/>
        <v>Mar</v>
      </c>
      <c r="J6982">
        <f>YEAR(datas[[#This Row],[Order Date]])</f>
        <v>2024</v>
      </c>
    </row>
    <row r="6983" spans="1:10" ht="14.25" customHeight="1" x14ac:dyDescent="0.3">
      <c r="A6983" s="1">
        <v>45357</v>
      </c>
      <c r="B6983" s="2" t="s">
        <v>731</v>
      </c>
      <c r="C6983" s="2" t="s">
        <v>21</v>
      </c>
      <c r="D6983" s="2" t="s">
        <v>10</v>
      </c>
      <c r="E6983" s="2" t="s">
        <v>11</v>
      </c>
      <c r="F6983" s="2">
        <v>286.93</v>
      </c>
      <c r="G6983" s="2">
        <v>7</v>
      </c>
      <c r="H6983" s="2">
        <v>140.6</v>
      </c>
      <c r="I6983" t="str">
        <f t="shared" si="109"/>
        <v>Mar</v>
      </c>
      <c r="J6983">
        <f>YEAR(datas[[#This Row],[Order Date]])</f>
        <v>2024</v>
      </c>
    </row>
    <row r="6984" spans="1:10" ht="14.25" customHeight="1" x14ac:dyDescent="0.3">
      <c r="A6984" s="1">
        <v>45357</v>
      </c>
      <c r="B6984" s="2" t="s">
        <v>731</v>
      </c>
      <c r="C6984" s="2" t="s">
        <v>21</v>
      </c>
      <c r="D6984" s="2" t="s">
        <v>28</v>
      </c>
      <c r="E6984" s="2" t="s">
        <v>29</v>
      </c>
      <c r="F6984" s="2">
        <v>206.38</v>
      </c>
      <c r="G6984" s="2">
        <v>2</v>
      </c>
      <c r="H6984" s="2">
        <v>23.22</v>
      </c>
      <c r="I6984" t="str">
        <f t="shared" si="109"/>
        <v>Mar</v>
      </c>
      <c r="J6984">
        <f>YEAR(datas[[#This Row],[Order Date]])</f>
        <v>2024</v>
      </c>
    </row>
    <row r="6985" spans="1:10" ht="14.25" customHeight="1" x14ac:dyDescent="0.3">
      <c r="A6985" s="1">
        <v>45357</v>
      </c>
      <c r="B6985" s="2" t="s">
        <v>812</v>
      </c>
      <c r="C6985" s="2" t="s">
        <v>9</v>
      </c>
      <c r="D6985" s="2" t="s">
        <v>10</v>
      </c>
      <c r="E6985" s="2" t="s">
        <v>14</v>
      </c>
      <c r="F6985" s="2">
        <v>4.93</v>
      </c>
      <c r="G6985" s="2">
        <v>2</v>
      </c>
      <c r="H6985" s="2">
        <v>1.72</v>
      </c>
      <c r="I6985" t="str">
        <f t="shared" si="109"/>
        <v>Mar</v>
      </c>
      <c r="J6985">
        <f>YEAR(datas[[#This Row],[Order Date]])</f>
        <v>2024</v>
      </c>
    </row>
    <row r="6986" spans="1:10" ht="14.25" customHeight="1" x14ac:dyDescent="0.3">
      <c r="A6986" s="1">
        <v>45357</v>
      </c>
      <c r="B6986" s="2" t="s">
        <v>812</v>
      </c>
      <c r="C6986" s="2" t="s">
        <v>9</v>
      </c>
      <c r="D6986" s="2" t="s">
        <v>10</v>
      </c>
      <c r="E6986" s="2" t="s">
        <v>19</v>
      </c>
      <c r="F6986" s="2">
        <v>63.49</v>
      </c>
      <c r="G6986" s="2">
        <v>4</v>
      </c>
      <c r="H6986" s="2">
        <v>4.76</v>
      </c>
      <c r="I6986" t="str">
        <f t="shared" si="109"/>
        <v>Mar</v>
      </c>
      <c r="J6986">
        <f>YEAR(datas[[#This Row],[Order Date]])</f>
        <v>2024</v>
      </c>
    </row>
    <row r="6987" spans="1:10" ht="14.25" customHeight="1" x14ac:dyDescent="0.3">
      <c r="A6987" s="1">
        <v>45358</v>
      </c>
      <c r="B6987" s="2" t="s">
        <v>660</v>
      </c>
      <c r="C6987" s="2" t="s">
        <v>215</v>
      </c>
      <c r="D6987" s="2" t="s">
        <v>28</v>
      </c>
      <c r="E6987" s="2" t="s">
        <v>34</v>
      </c>
      <c r="F6987" s="2">
        <v>49.08</v>
      </c>
      <c r="G6987" s="2">
        <v>3</v>
      </c>
      <c r="H6987" s="2">
        <v>4.91</v>
      </c>
      <c r="I6987" t="str">
        <f t="shared" si="109"/>
        <v>Mar</v>
      </c>
      <c r="J6987">
        <f>YEAR(datas[[#This Row],[Order Date]])</f>
        <v>2024</v>
      </c>
    </row>
    <row r="6988" spans="1:10" ht="14.25" customHeight="1" x14ac:dyDescent="0.3">
      <c r="A6988" s="1">
        <v>45358</v>
      </c>
      <c r="B6988" s="2" t="s">
        <v>561</v>
      </c>
      <c r="C6988" s="2" t="s">
        <v>75</v>
      </c>
      <c r="D6988" s="2" t="s">
        <v>10</v>
      </c>
      <c r="E6988" s="2" t="s">
        <v>16</v>
      </c>
      <c r="F6988" s="2">
        <v>25.92</v>
      </c>
      <c r="G6988" s="2">
        <v>6</v>
      </c>
      <c r="H6988" s="2">
        <v>9.07</v>
      </c>
      <c r="I6988" t="str">
        <f t="shared" si="109"/>
        <v>Mar</v>
      </c>
      <c r="J6988">
        <f>YEAR(datas[[#This Row],[Order Date]])</f>
        <v>2024</v>
      </c>
    </row>
    <row r="6989" spans="1:10" ht="14.25" customHeight="1" x14ac:dyDescent="0.3">
      <c r="A6989" s="1">
        <v>45358</v>
      </c>
      <c r="B6989" s="2" t="s">
        <v>561</v>
      </c>
      <c r="C6989" s="2" t="s">
        <v>75</v>
      </c>
      <c r="D6989" s="2" t="s">
        <v>10</v>
      </c>
      <c r="E6989" s="2" t="s">
        <v>14</v>
      </c>
      <c r="F6989" s="2">
        <v>91.59</v>
      </c>
      <c r="G6989" s="2">
        <v>3</v>
      </c>
      <c r="H6989" s="2">
        <v>42.13</v>
      </c>
      <c r="I6989" t="str">
        <f t="shared" si="109"/>
        <v>Mar</v>
      </c>
      <c r="J6989">
        <f>YEAR(datas[[#This Row],[Order Date]])</f>
        <v>2024</v>
      </c>
    </row>
    <row r="6990" spans="1:10" ht="14.25" customHeight="1" x14ac:dyDescent="0.3">
      <c r="A6990" s="1">
        <v>45359</v>
      </c>
      <c r="B6990" s="2" t="s">
        <v>741</v>
      </c>
      <c r="C6990" s="2" t="s">
        <v>23</v>
      </c>
      <c r="D6990" s="2" t="s">
        <v>10</v>
      </c>
      <c r="E6990" s="2" t="s">
        <v>53</v>
      </c>
      <c r="F6990" s="2">
        <v>647.84</v>
      </c>
      <c r="G6990" s="2">
        <v>8</v>
      </c>
      <c r="H6990" s="2">
        <v>168.44</v>
      </c>
      <c r="I6990" t="str">
        <f t="shared" si="109"/>
        <v>Mar</v>
      </c>
      <c r="J6990">
        <f>YEAR(datas[[#This Row],[Order Date]])</f>
        <v>2024</v>
      </c>
    </row>
    <row r="6991" spans="1:10" ht="14.25" customHeight="1" x14ac:dyDescent="0.3">
      <c r="A6991" s="1">
        <v>45359</v>
      </c>
      <c r="B6991" s="2" t="s">
        <v>741</v>
      </c>
      <c r="C6991" s="2" t="s">
        <v>23</v>
      </c>
      <c r="D6991" s="2" t="s">
        <v>10</v>
      </c>
      <c r="E6991" s="2" t="s">
        <v>14</v>
      </c>
      <c r="F6991" s="2">
        <v>20.7</v>
      </c>
      <c r="G6991" s="2">
        <v>2</v>
      </c>
      <c r="H6991" s="2">
        <v>9.94</v>
      </c>
      <c r="I6991" t="str">
        <f t="shared" si="109"/>
        <v>Mar</v>
      </c>
      <c r="J6991">
        <f>YEAR(datas[[#This Row],[Order Date]])</f>
        <v>2024</v>
      </c>
    </row>
    <row r="6992" spans="1:10" ht="14.25" customHeight="1" x14ac:dyDescent="0.3">
      <c r="A6992" s="1">
        <v>45359</v>
      </c>
      <c r="B6992" s="2" t="s">
        <v>617</v>
      </c>
      <c r="C6992" s="2" t="s">
        <v>21</v>
      </c>
      <c r="D6992" s="2" t="s">
        <v>10</v>
      </c>
      <c r="E6992" s="2" t="s">
        <v>16</v>
      </c>
      <c r="F6992" s="2">
        <v>171.2</v>
      </c>
      <c r="G6992" s="2">
        <v>5</v>
      </c>
      <c r="H6992" s="2">
        <v>64.2</v>
      </c>
      <c r="I6992" t="str">
        <f t="shared" si="109"/>
        <v>Mar</v>
      </c>
      <c r="J6992">
        <f>YEAR(datas[[#This Row],[Order Date]])</f>
        <v>2024</v>
      </c>
    </row>
    <row r="6993" spans="1:10" ht="14.25" customHeight="1" x14ac:dyDescent="0.3">
      <c r="A6993" s="1">
        <v>45359</v>
      </c>
      <c r="B6993" s="2" t="s">
        <v>617</v>
      </c>
      <c r="C6993" s="2" t="s">
        <v>21</v>
      </c>
      <c r="D6993" s="2" t="s">
        <v>10</v>
      </c>
      <c r="E6993" s="2" t="s">
        <v>19</v>
      </c>
      <c r="F6993" s="2">
        <v>3.36</v>
      </c>
      <c r="G6993" s="2">
        <v>2</v>
      </c>
      <c r="H6993" s="2">
        <v>0.87</v>
      </c>
      <c r="I6993" t="str">
        <f t="shared" si="109"/>
        <v>Mar</v>
      </c>
      <c r="J6993">
        <f>YEAR(datas[[#This Row],[Order Date]])</f>
        <v>2024</v>
      </c>
    </row>
    <row r="6994" spans="1:10" ht="14.25" customHeight="1" x14ac:dyDescent="0.3">
      <c r="A6994" s="1">
        <v>45360</v>
      </c>
      <c r="B6994" s="2" t="s">
        <v>828</v>
      </c>
      <c r="C6994" s="2" t="s">
        <v>21</v>
      </c>
      <c r="D6994" s="2" t="s">
        <v>28</v>
      </c>
      <c r="E6994" s="2" t="s">
        <v>34</v>
      </c>
      <c r="F6994" s="2">
        <v>199.98</v>
      </c>
      <c r="G6994" s="2">
        <v>2</v>
      </c>
      <c r="H6994" s="2">
        <v>69.989999999999995</v>
      </c>
      <c r="I6994" t="str">
        <f t="shared" si="109"/>
        <v>Mar</v>
      </c>
      <c r="J6994">
        <f>YEAR(datas[[#This Row],[Order Date]])</f>
        <v>2024</v>
      </c>
    </row>
    <row r="6995" spans="1:10" ht="14.25" customHeight="1" x14ac:dyDescent="0.3">
      <c r="A6995" s="1">
        <v>45360</v>
      </c>
      <c r="B6995" s="2" t="s">
        <v>436</v>
      </c>
      <c r="C6995" s="2" t="s">
        <v>21</v>
      </c>
      <c r="D6995" s="2" t="s">
        <v>28</v>
      </c>
      <c r="E6995" s="2" t="s">
        <v>243</v>
      </c>
      <c r="F6995" s="2">
        <v>479.98</v>
      </c>
      <c r="G6995" s="2">
        <v>2</v>
      </c>
      <c r="H6995" s="2">
        <v>60</v>
      </c>
      <c r="I6995" t="str">
        <f t="shared" si="109"/>
        <v>Mar</v>
      </c>
      <c r="J6995">
        <f>YEAR(datas[[#This Row],[Order Date]])</f>
        <v>2024</v>
      </c>
    </row>
    <row r="6996" spans="1:10" ht="14.25" customHeight="1" x14ac:dyDescent="0.3">
      <c r="A6996" s="1">
        <v>45360</v>
      </c>
      <c r="B6996" s="2" t="s">
        <v>436</v>
      </c>
      <c r="C6996" s="2" t="s">
        <v>21</v>
      </c>
      <c r="D6996" s="2" t="s">
        <v>10</v>
      </c>
      <c r="E6996" s="2" t="s">
        <v>16</v>
      </c>
      <c r="F6996" s="2">
        <v>30.84</v>
      </c>
      <c r="G6996" s="2">
        <v>5</v>
      </c>
      <c r="H6996" s="2">
        <v>9.64</v>
      </c>
      <c r="I6996" t="str">
        <f t="shared" si="109"/>
        <v>Mar</v>
      </c>
      <c r="J6996">
        <f>YEAR(datas[[#This Row],[Order Date]])</f>
        <v>2024</v>
      </c>
    </row>
    <row r="6997" spans="1:10" ht="14.25" customHeight="1" x14ac:dyDescent="0.3">
      <c r="A6997" s="1">
        <v>45361</v>
      </c>
      <c r="B6997" s="2" t="s">
        <v>846</v>
      </c>
      <c r="C6997" s="2" t="s">
        <v>18</v>
      </c>
      <c r="D6997" s="2" t="s">
        <v>10</v>
      </c>
      <c r="E6997" s="2" t="s">
        <v>19</v>
      </c>
      <c r="F6997" s="2">
        <v>5.25</v>
      </c>
      <c r="G6997" s="2">
        <v>2</v>
      </c>
      <c r="H6997" s="2">
        <v>0.59</v>
      </c>
      <c r="I6997" t="str">
        <f t="shared" si="109"/>
        <v>Mar</v>
      </c>
      <c r="J6997">
        <f>YEAR(datas[[#This Row],[Order Date]])</f>
        <v>2024</v>
      </c>
    </row>
    <row r="6998" spans="1:10" ht="14.25" customHeight="1" x14ac:dyDescent="0.3">
      <c r="A6998" s="1">
        <v>45361</v>
      </c>
      <c r="B6998" s="2" t="s">
        <v>846</v>
      </c>
      <c r="C6998" s="2" t="s">
        <v>18</v>
      </c>
      <c r="D6998" s="2" t="s">
        <v>28</v>
      </c>
      <c r="E6998" s="2" t="s">
        <v>29</v>
      </c>
      <c r="F6998" s="2">
        <v>35.909999999999997</v>
      </c>
      <c r="G6998" s="2">
        <v>3</v>
      </c>
      <c r="H6998" s="2">
        <v>-8.3800000000000008</v>
      </c>
      <c r="I6998" t="str">
        <f t="shared" si="109"/>
        <v>Mar</v>
      </c>
      <c r="J6998">
        <f>YEAR(datas[[#This Row],[Order Date]])</f>
        <v>2024</v>
      </c>
    </row>
    <row r="6999" spans="1:10" ht="14.25" customHeight="1" x14ac:dyDescent="0.3">
      <c r="A6999" s="1">
        <v>45361</v>
      </c>
      <c r="B6999" s="2" t="s">
        <v>846</v>
      </c>
      <c r="C6999" s="2" t="s">
        <v>18</v>
      </c>
      <c r="D6999" s="2" t="s">
        <v>26</v>
      </c>
      <c r="E6999" s="2" t="s">
        <v>32</v>
      </c>
      <c r="F6999" s="2">
        <v>6.7</v>
      </c>
      <c r="G6999" s="2">
        <v>1</v>
      </c>
      <c r="H6999" s="2">
        <v>0.5</v>
      </c>
      <c r="I6999" t="str">
        <f t="shared" si="109"/>
        <v>Mar</v>
      </c>
      <c r="J6999">
        <f>YEAR(datas[[#This Row],[Order Date]])</f>
        <v>2024</v>
      </c>
    </row>
    <row r="7000" spans="1:10" ht="14.25" customHeight="1" x14ac:dyDescent="0.3">
      <c r="A7000" s="1">
        <v>45361</v>
      </c>
      <c r="B7000" s="2" t="s">
        <v>846</v>
      </c>
      <c r="C7000" s="2" t="s">
        <v>18</v>
      </c>
      <c r="D7000" s="2" t="s">
        <v>26</v>
      </c>
      <c r="E7000" s="2" t="s">
        <v>32</v>
      </c>
      <c r="F7000" s="2">
        <v>43.87</v>
      </c>
      <c r="G7000" s="2">
        <v>2</v>
      </c>
      <c r="H7000" s="2">
        <v>11.52</v>
      </c>
      <c r="I7000" t="str">
        <f t="shared" si="109"/>
        <v>Mar</v>
      </c>
      <c r="J7000">
        <f>YEAR(datas[[#This Row],[Order Date]])</f>
        <v>2024</v>
      </c>
    </row>
    <row r="7001" spans="1:10" ht="14.25" customHeight="1" x14ac:dyDescent="0.3">
      <c r="A7001" s="1">
        <v>45361</v>
      </c>
      <c r="B7001" s="2" t="s">
        <v>251</v>
      </c>
      <c r="C7001" s="2" t="s">
        <v>18</v>
      </c>
      <c r="D7001" s="2" t="s">
        <v>28</v>
      </c>
      <c r="E7001" s="2" t="s">
        <v>29</v>
      </c>
      <c r="F7001" s="2">
        <v>53.98</v>
      </c>
      <c r="G7001" s="2">
        <v>3</v>
      </c>
      <c r="H7001" s="2">
        <v>-10.8</v>
      </c>
      <c r="I7001" t="str">
        <f t="shared" si="109"/>
        <v>Mar</v>
      </c>
      <c r="J7001">
        <f>YEAR(datas[[#This Row],[Order Date]])</f>
        <v>2024</v>
      </c>
    </row>
    <row r="7002" spans="1:10" ht="14.25" customHeight="1" x14ac:dyDescent="0.3">
      <c r="A7002" s="1">
        <v>45361</v>
      </c>
      <c r="B7002" s="2" t="s">
        <v>672</v>
      </c>
      <c r="C7002" s="2" t="s">
        <v>115</v>
      </c>
      <c r="D7002" s="2" t="s">
        <v>10</v>
      </c>
      <c r="E7002" s="2" t="s">
        <v>53</v>
      </c>
      <c r="F7002" s="2">
        <v>48.78</v>
      </c>
      <c r="G7002" s="2">
        <v>1</v>
      </c>
      <c r="H7002" s="2">
        <v>3.66</v>
      </c>
      <c r="I7002" t="str">
        <f t="shared" si="109"/>
        <v>Mar</v>
      </c>
      <c r="J7002">
        <f>YEAR(datas[[#This Row],[Order Date]])</f>
        <v>2024</v>
      </c>
    </row>
    <row r="7003" spans="1:10" ht="14.25" customHeight="1" x14ac:dyDescent="0.3">
      <c r="A7003" s="1">
        <v>45361</v>
      </c>
      <c r="B7003" s="2" t="s">
        <v>672</v>
      </c>
      <c r="C7003" s="2" t="s">
        <v>115</v>
      </c>
      <c r="D7003" s="2" t="s">
        <v>10</v>
      </c>
      <c r="E7003" s="2" t="s">
        <v>16</v>
      </c>
      <c r="F7003" s="2">
        <v>13.09</v>
      </c>
      <c r="G7003" s="2">
        <v>4</v>
      </c>
      <c r="H7003" s="2">
        <v>-10.039999999999999</v>
      </c>
      <c r="I7003" t="str">
        <f t="shared" si="109"/>
        <v>Mar</v>
      </c>
      <c r="J7003">
        <f>YEAR(datas[[#This Row],[Order Date]])</f>
        <v>2024</v>
      </c>
    </row>
    <row r="7004" spans="1:10" ht="14.25" customHeight="1" x14ac:dyDescent="0.3">
      <c r="A7004" s="1">
        <v>45361</v>
      </c>
      <c r="B7004" s="2" t="s">
        <v>579</v>
      </c>
      <c r="C7004" s="2" t="s">
        <v>21</v>
      </c>
      <c r="D7004" s="2" t="s">
        <v>28</v>
      </c>
      <c r="E7004" s="2" t="s">
        <v>34</v>
      </c>
      <c r="F7004" s="2">
        <v>111.96</v>
      </c>
      <c r="G7004" s="2">
        <v>4</v>
      </c>
      <c r="H7004" s="2">
        <v>21.27</v>
      </c>
      <c r="I7004" t="str">
        <f t="shared" si="109"/>
        <v>Mar</v>
      </c>
      <c r="J7004">
        <f>YEAR(datas[[#This Row],[Order Date]])</f>
        <v>2024</v>
      </c>
    </row>
    <row r="7005" spans="1:10" ht="14.25" customHeight="1" x14ac:dyDescent="0.3">
      <c r="A7005" s="1">
        <v>45361</v>
      </c>
      <c r="B7005" s="2" t="s">
        <v>568</v>
      </c>
      <c r="C7005" s="2" t="s">
        <v>9</v>
      </c>
      <c r="D7005" s="2" t="s">
        <v>26</v>
      </c>
      <c r="E7005" s="2" t="s">
        <v>73</v>
      </c>
      <c r="F7005" s="2">
        <v>933.41</v>
      </c>
      <c r="G7005" s="2">
        <v>4</v>
      </c>
      <c r="H7005" s="2">
        <v>-173.35</v>
      </c>
      <c r="I7005" t="str">
        <f t="shared" si="109"/>
        <v>Mar</v>
      </c>
      <c r="J7005">
        <f>YEAR(datas[[#This Row],[Order Date]])</f>
        <v>2024</v>
      </c>
    </row>
    <row r="7006" spans="1:10" ht="14.25" customHeight="1" x14ac:dyDescent="0.3">
      <c r="A7006" s="1">
        <v>45362</v>
      </c>
      <c r="B7006" s="2" t="s">
        <v>728</v>
      </c>
      <c r="C7006" s="2" t="s">
        <v>60</v>
      </c>
      <c r="D7006" s="2" t="s">
        <v>10</v>
      </c>
      <c r="E7006" s="2" t="s">
        <v>16</v>
      </c>
      <c r="F7006" s="2">
        <v>895.92</v>
      </c>
      <c r="G7006" s="2">
        <v>4</v>
      </c>
      <c r="H7006" s="2">
        <v>421.08</v>
      </c>
      <c r="I7006" t="str">
        <f t="shared" si="109"/>
        <v>Mar</v>
      </c>
      <c r="J7006">
        <f>YEAR(datas[[#This Row],[Order Date]])</f>
        <v>2024</v>
      </c>
    </row>
    <row r="7007" spans="1:10" ht="14.25" customHeight="1" x14ac:dyDescent="0.3">
      <c r="A7007" s="1">
        <v>45362</v>
      </c>
      <c r="B7007" s="2" t="s">
        <v>231</v>
      </c>
      <c r="C7007" s="2" t="s">
        <v>18</v>
      </c>
      <c r="D7007" s="2" t="s">
        <v>28</v>
      </c>
      <c r="E7007" s="2" t="s">
        <v>29</v>
      </c>
      <c r="F7007" s="2">
        <v>776.85</v>
      </c>
      <c r="G7007" s="2">
        <v>5</v>
      </c>
      <c r="H7007" s="2">
        <v>-181.27</v>
      </c>
      <c r="I7007" t="str">
        <f t="shared" si="109"/>
        <v>Mar</v>
      </c>
      <c r="J7007">
        <f>YEAR(datas[[#This Row],[Order Date]])</f>
        <v>2024</v>
      </c>
    </row>
    <row r="7008" spans="1:10" ht="14.25" customHeight="1" x14ac:dyDescent="0.3">
      <c r="A7008" s="1">
        <v>45362</v>
      </c>
      <c r="B7008" s="2" t="s">
        <v>231</v>
      </c>
      <c r="C7008" s="2" t="s">
        <v>18</v>
      </c>
      <c r="D7008" s="2" t="s">
        <v>10</v>
      </c>
      <c r="E7008" s="2" t="s">
        <v>16</v>
      </c>
      <c r="F7008" s="2">
        <v>12.29</v>
      </c>
      <c r="G7008" s="2">
        <v>1</v>
      </c>
      <c r="H7008" s="2">
        <v>-8.61</v>
      </c>
      <c r="I7008" t="str">
        <f t="shared" si="109"/>
        <v>Mar</v>
      </c>
      <c r="J7008">
        <f>YEAR(datas[[#This Row],[Order Date]])</f>
        <v>2024</v>
      </c>
    </row>
    <row r="7009" spans="1:10" ht="14.25" customHeight="1" x14ac:dyDescent="0.3">
      <c r="A7009" s="1">
        <v>45362</v>
      </c>
      <c r="B7009" s="2" t="s">
        <v>231</v>
      </c>
      <c r="C7009" s="2" t="s">
        <v>18</v>
      </c>
      <c r="D7009" s="2" t="s">
        <v>26</v>
      </c>
      <c r="E7009" s="2" t="s">
        <v>73</v>
      </c>
      <c r="F7009" s="2">
        <v>154.76</v>
      </c>
      <c r="G7009" s="2">
        <v>3</v>
      </c>
      <c r="H7009" s="2">
        <v>-46.43</v>
      </c>
      <c r="I7009" t="str">
        <f t="shared" si="109"/>
        <v>Mar</v>
      </c>
      <c r="J7009">
        <f>YEAR(datas[[#This Row],[Order Date]])</f>
        <v>2024</v>
      </c>
    </row>
    <row r="7010" spans="1:10" ht="14.25" customHeight="1" x14ac:dyDescent="0.3">
      <c r="A7010" s="1">
        <v>45362</v>
      </c>
      <c r="B7010" s="2" t="s">
        <v>231</v>
      </c>
      <c r="C7010" s="2" t="s">
        <v>18</v>
      </c>
      <c r="D7010" s="2" t="s">
        <v>10</v>
      </c>
      <c r="E7010" s="2" t="s">
        <v>15</v>
      </c>
      <c r="F7010" s="2">
        <v>43.28</v>
      </c>
      <c r="G7010" s="2">
        <v>1</v>
      </c>
      <c r="H7010" s="2">
        <v>3.25</v>
      </c>
      <c r="I7010" t="str">
        <f t="shared" si="109"/>
        <v>Mar</v>
      </c>
      <c r="J7010">
        <f>YEAR(datas[[#This Row],[Order Date]])</f>
        <v>2024</v>
      </c>
    </row>
    <row r="7011" spans="1:10" ht="14.25" customHeight="1" x14ac:dyDescent="0.3">
      <c r="A7011" s="1">
        <v>45362</v>
      </c>
      <c r="B7011" s="2" t="s">
        <v>366</v>
      </c>
      <c r="C7011" s="2" t="s">
        <v>181</v>
      </c>
      <c r="D7011" s="2" t="s">
        <v>28</v>
      </c>
      <c r="E7011" s="2" t="s">
        <v>34</v>
      </c>
      <c r="F7011" s="2">
        <v>63.88</v>
      </c>
      <c r="G7011" s="2">
        <v>4</v>
      </c>
      <c r="H7011" s="2">
        <v>24.91</v>
      </c>
      <c r="I7011" t="str">
        <f t="shared" si="109"/>
        <v>Mar</v>
      </c>
      <c r="J7011">
        <f>YEAR(datas[[#This Row],[Order Date]])</f>
        <v>2024</v>
      </c>
    </row>
    <row r="7012" spans="1:10" ht="14.25" customHeight="1" x14ac:dyDescent="0.3">
      <c r="A7012" s="1">
        <v>45362</v>
      </c>
      <c r="B7012" s="2" t="s">
        <v>366</v>
      </c>
      <c r="C7012" s="2" t="s">
        <v>181</v>
      </c>
      <c r="D7012" s="2" t="s">
        <v>26</v>
      </c>
      <c r="E7012" s="2" t="s">
        <v>32</v>
      </c>
      <c r="F7012" s="2">
        <v>26.72</v>
      </c>
      <c r="G7012" s="2">
        <v>1</v>
      </c>
      <c r="H7012" s="2">
        <v>11.76</v>
      </c>
      <c r="I7012" t="str">
        <f t="shared" si="109"/>
        <v>Mar</v>
      </c>
      <c r="J7012">
        <f>YEAR(datas[[#This Row],[Order Date]])</f>
        <v>2024</v>
      </c>
    </row>
    <row r="7013" spans="1:10" ht="14.25" customHeight="1" x14ac:dyDescent="0.3">
      <c r="A7013" s="1">
        <v>45363</v>
      </c>
      <c r="B7013" s="2" t="s">
        <v>187</v>
      </c>
      <c r="C7013" s="2" t="s">
        <v>181</v>
      </c>
      <c r="D7013" s="2" t="s">
        <v>28</v>
      </c>
      <c r="E7013" s="2" t="s">
        <v>29</v>
      </c>
      <c r="F7013" s="2">
        <v>69.930000000000007</v>
      </c>
      <c r="G7013" s="2">
        <v>7</v>
      </c>
      <c r="H7013" s="2">
        <v>32.17</v>
      </c>
      <c r="I7013" t="str">
        <f t="shared" si="109"/>
        <v>Mar</v>
      </c>
      <c r="J7013">
        <f>YEAR(datas[[#This Row],[Order Date]])</f>
        <v>2024</v>
      </c>
    </row>
    <row r="7014" spans="1:10" ht="14.25" customHeight="1" x14ac:dyDescent="0.3">
      <c r="A7014" s="1">
        <v>45363</v>
      </c>
      <c r="B7014" s="2" t="s">
        <v>616</v>
      </c>
      <c r="C7014" s="2" t="s">
        <v>21</v>
      </c>
      <c r="D7014" s="2" t="s">
        <v>10</v>
      </c>
      <c r="E7014" s="2" t="s">
        <v>15</v>
      </c>
      <c r="F7014" s="2">
        <v>242.94</v>
      </c>
      <c r="G7014" s="2">
        <v>3</v>
      </c>
      <c r="H7014" s="2">
        <v>9.7200000000000006</v>
      </c>
      <c r="I7014" t="str">
        <f t="shared" si="109"/>
        <v>Mar</v>
      </c>
      <c r="J7014">
        <f>YEAR(datas[[#This Row],[Order Date]])</f>
        <v>2024</v>
      </c>
    </row>
    <row r="7015" spans="1:10" ht="14.25" customHeight="1" x14ac:dyDescent="0.3">
      <c r="A7015" s="1">
        <v>45363</v>
      </c>
      <c r="B7015" s="2" t="s">
        <v>90</v>
      </c>
      <c r="C7015" s="2" t="s">
        <v>57</v>
      </c>
      <c r="D7015" s="2" t="s">
        <v>10</v>
      </c>
      <c r="E7015" s="2" t="s">
        <v>16</v>
      </c>
      <c r="F7015" s="2">
        <v>40.409999999999997</v>
      </c>
      <c r="G7015" s="2">
        <v>9</v>
      </c>
      <c r="H7015" s="2">
        <v>18.59</v>
      </c>
      <c r="I7015" t="str">
        <f t="shared" si="109"/>
        <v>Mar</v>
      </c>
      <c r="J7015">
        <f>YEAR(datas[[#This Row],[Order Date]])</f>
        <v>2024</v>
      </c>
    </row>
    <row r="7016" spans="1:10" ht="14.25" customHeight="1" x14ac:dyDescent="0.3">
      <c r="A7016" s="1">
        <v>45364</v>
      </c>
      <c r="B7016" s="2" t="s">
        <v>503</v>
      </c>
      <c r="C7016" s="2" t="s">
        <v>21</v>
      </c>
      <c r="D7016" s="2" t="s">
        <v>10</v>
      </c>
      <c r="E7016" s="2" t="s">
        <v>11</v>
      </c>
      <c r="F7016" s="2">
        <v>314.55</v>
      </c>
      <c r="G7016" s="2">
        <v>3</v>
      </c>
      <c r="H7016" s="2">
        <v>150.97999999999999</v>
      </c>
      <c r="I7016" t="str">
        <f t="shared" si="109"/>
        <v>Mar</v>
      </c>
      <c r="J7016">
        <f>YEAR(datas[[#This Row],[Order Date]])</f>
        <v>2024</v>
      </c>
    </row>
    <row r="7017" spans="1:10" ht="14.25" customHeight="1" x14ac:dyDescent="0.3">
      <c r="A7017" s="1">
        <v>45364</v>
      </c>
      <c r="B7017" s="2" t="s">
        <v>571</v>
      </c>
      <c r="C7017" s="2" t="s">
        <v>167</v>
      </c>
      <c r="D7017" s="2" t="s">
        <v>10</v>
      </c>
      <c r="E7017" s="2" t="s">
        <v>15</v>
      </c>
      <c r="F7017" s="2">
        <v>90.8</v>
      </c>
      <c r="G7017" s="2">
        <v>8</v>
      </c>
      <c r="H7017" s="2">
        <v>25.42</v>
      </c>
      <c r="I7017" t="str">
        <f t="shared" si="109"/>
        <v>Mar</v>
      </c>
      <c r="J7017">
        <f>YEAR(datas[[#This Row],[Order Date]])</f>
        <v>2024</v>
      </c>
    </row>
    <row r="7018" spans="1:10" ht="14.25" customHeight="1" x14ac:dyDescent="0.3">
      <c r="A7018" s="1">
        <v>45364</v>
      </c>
      <c r="B7018" s="2" t="s">
        <v>571</v>
      </c>
      <c r="C7018" s="2" t="s">
        <v>167</v>
      </c>
      <c r="D7018" s="2" t="s">
        <v>28</v>
      </c>
      <c r="E7018" s="2" t="s">
        <v>29</v>
      </c>
      <c r="F7018" s="2">
        <v>140.74</v>
      </c>
      <c r="G7018" s="2">
        <v>8</v>
      </c>
      <c r="H7018" s="2">
        <v>49.26</v>
      </c>
      <c r="I7018" t="str">
        <f t="shared" si="109"/>
        <v>Mar</v>
      </c>
      <c r="J7018">
        <f>YEAR(datas[[#This Row],[Order Date]])</f>
        <v>2024</v>
      </c>
    </row>
    <row r="7019" spans="1:10" ht="14.25" customHeight="1" x14ac:dyDescent="0.3">
      <c r="A7019" s="1">
        <v>45364</v>
      </c>
      <c r="B7019" s="2" t="s">
        <v>571</v>
      </c>
      <c r="C7019" s="2" t="s">
        <v>167</v>
      </c>
      <c r="D7019" s="2" t="s">
        <v>28</v>
      </c>
      <c r="E7019" s="2" t="s">
        <v>34</v>
      </c>
      <c r="F7019" s="2">
        <v>214.95</v>
      </c>
      <c r="G7019" s="2">
        <v>5</v>
      </c>
      <c r="H7019" s="2">
        <v>88.13</v>
      </c>
      <c r="I7019" t="str">
        <f t="shared" si="109"/>
        <v>Mar</v>
      </c>
      <c r="J7019">
        <f>YEAR(datas[[#This Row],[Order Date]])</f>
        <v>2024</v>
      </c>
    </row>
    <row r="7020" spans="1:10" ht="14.25" customHeight="1" x14ac:dyDescent="0.3">
      <c r="A7020" s="1">
        <v>45364</v>
      </c>
      <c r="B7020" s="2" t="s">
        <v>571</v>
      </c>
      <c r="C7020" s="2" t="s">
        <v>167</v>
      </c>
      <c r="D7020" s="2" t="s">
        <v>10</v>
      </c>
      <c r="E7020" s="2" t="s">
        <v>11</v>
      </c>
      <c r="F7020" s="2">
        <v>45.36</v>
      </c>
      <c r="G7020" s="2">
        <v>7</v>
      </c>
      <c r="H7020" s="2">
        <v>21.77</v>
      </c>
      <c r="I7020" t="str">
        <f t="shared" si="109"/>
        <v>Mar</v>
      </c>
      <c r="J7020">
        <f>YEAR(datas[[#This Row],[Order Date]])</f>
        <v>2024</v>
      </c>
    </row>
    <row r="7021" spans="1:10" ht="14.25" customHeight="1" x14ac:dyDescent="0.3">
      <c r="A7021" s="1">
        <v>45364</v>
      </c>
      <c r="B7021" s="2" t="s">
        <v>571</v>
      </c>
      <c r="C7021" s="2" t="s">
        <v>167</v>
      </c>
      <c r="D7021" s="2" t="s">
        <v>10</v>
      </c>
      <c r="E7021" s="2" t="s">
        <v>11</v>
      </c>
      <c r="F7021" s="2">
        <v>288.24</v>
      </c>
      <c r="G7021" s="2">
        <v>6</v>
      </c>
      <c r="H7021" s="2">
        <v>138.36000000000001</v>
      </c>
      <c r="I7021" t="str">
        <f t="shared" si="109"/>
        <v>Mar</v>
      </c>
      <c r="J7021">
        <f>YEAR(datas[[#This Row],[Order Date]])</f>
        <v>2024</v>
      </c>
    </row>
    <row r="7022" spans="1:10" ht="14.25" customHeight="1" x14ac:dyDescent="0.3">
      <c r="A7022" s="1">
        <v>45364</v>
      </c>
      <c r="B7022" s="2" t="s">
        <v>206</v>
      </c>
      <c r="C7022" s="2" t="s">
        <v>126</v>
      </c>
      <c r="D7022" s="2" t="s">
        <v>10</v>
      </c>
      <c r="E7022" s="2" t="s">
        <v>95</v>
      </c>
      <c r="F7022" s="2">
        <v>1332.5</v>
      </c>
      <c r="G7022" s="2">
        <v>2</v>
      </c>
      <c r="H7022" s="2">
        <v>-299.81</v>
      </c>
      <c r="I7022" t="str">
        <f t="shared" si="109"/>
        <v>Mar</v>
      </c>
      <c r="J7022">
        <f>YEAR(datas[[#This Row],[Order Date]])</f>
        <v>2024</v>
      </c>
    </row>
    <row r="7023" spans="1:10" ht="14.25" customHeight="1" x14ac:dyDescent="0.3">
      <c r="A7023" s="1">
        <v>45364</v>
      </c>
      <c r="B7023" s="2" t="s">
        <v>794</v>
      </c>
      <c r="C7023" s="2" t="s">
        <v>13</v>
      </c>
      <c r="D7023" s="2" t="s">
        <v>10</v>
      </c>
      <c r="E7023" s="2" t="s">
        <v>19</v>
      </c>
      <c r="F7023" s="2">
        <v>19.46</v>
      </c>
      <c r="G7023" s="2">
        <v>4</v>
      </c>
      <c r="H7023" s="2">
        <v>2.19</v>
      </c>
      <c r="I7023" t="str">
        <f t="shared" si="109"/>
        <v>Mar</v>
      </c>
      <c r="J7023">
        <f>YEAR(datas[[#This Row],[Order Date]])</f>
        <v>2024</v>
      </c>
    </row>
    <row r="7024" spans="1:10" ht="14.25" customHeight="1" x14ac:dyDescent="0.3">
      <c r="A7024" s="1">
        <v>45364</v>
      </c>
      <c r="B7024" s="2" t="s">
        <v>794</v>
      </c>
      <c r="C7024" s="2" t="s">
        <v>13</v>
      </c>
      <c r="D7024" s="2" t="s">
        <v>28</v>
      </c>
      <c r="E7024" s="2" t="s">
        <v>136</v>
      </c>
      <c r="F7024" s="2">
        <v>209.99</v>
      </c>
      <c r="G7024" s="2">
        <v>2</v>
      </c>
      <c r="H7024" s="2">
        <v>9</v>
      </c>
      <c r="I7024" t="str">
        <f t="shared" si="109"/>
        <v>Mar</v>
      </c>
      <c r="J7024">
        <f>YEAR(datas[[#This Row],[Order Date]])</f>
        <v>2024</v>
      </c>
    </row>
    <row r="7025" spans="1:10" ht="14.25" customHeight="1" x14ac:dyDescent="0.3">
      <c r="A7025" s="1">
        <v>45364</v>
      </c>
      <c r="B7025" s="2" t="s">
        <v>794</v>
      </c>
      <c r="C7025" s="2" t="s">
        <v>13</v>
      </c>
      <c r="D7025" s="2" t="s">
        <v>10</v>
      </c>
      <c r="E7025" s="2" t="s">
        <v>19</v>
      </c>
      <c r="F7025" s="2">
        <v>29.76</v>
      </c>
      <c r="G7025" s="2">
        <v>5</v>
      </c>
      <c r="H7025" s="2">
        <v>1.86</v>
      </c>
      <c r="I7025" t="str">
        <f t="shared" si="109"/>
        <v>Mar</v>
      </c>
      <c r="J7025">
        <f>YEAR(datas[[#This Row],[Order Date]])</f>
        <v>2024</v>
      </c>
    </row>
    <row r="7026" spans="1:10" ht="14.25" customHeight="1" x14ac:dyDescent="0.3">
      <c r="A7026" s="1">
        <v>45364</v>
      </c>
      <c r="B7026" s="2" t="s">
        <v>794</v>
      </c>
      <c r="C7026" s="2" t="s">
        <v>13</v>
      </c>
      <c r="D7026" s="2" t="s">
        <v>26</v>
      </c>
      <c r="E7026" s="2" t="s">
        <v>27</v>
      </c>
      <c r="F7026" s="2">
        <v>89.77</v>
      </c>
      <c r="G7026" s="2">
        <v>1</v>
      </c>
      <c r="H7026" s="2">
        <v>-2.56</v>
      </c>
      <c r="I7026" t="str">
        <f t="shared" si="109"/>
        <v>Mar</v>
      </c>
      <c r="J7026">
        <f>YEAR(datas[[#This Row],[Order Date]])</f>
        <v>2024</v>
      </c>
    </row>
    <row r="7027" spans="1:10" ht="14.25" customHeight="1" x14ac:dyDescent="0.3">
      <c r="A7027" s="1">
        <v>45364</v>
      </c>
      <c r="B7027" s="2" t="s">
        <v>794</v>
      </c>
      <c r="C7027" s="2" t="s">
        <v>13</v>
      </c>
      <c r="D7027" s="2" t="s">
        <v>28</v>
      </c>
      <c r="E7027" s="2" t="s">
        <v>243</v>
      </c>
      <c r="F7027" s="2">
        <v>959.98</v>
      </c>
      <c r="G7027" s="2">
        <v>2</v>
      </c>
      <c r="H7027" s="2">
        <v>335.99</v>
      </c>
      <c r="I7027" t="str">
        <f t="shared" si="109"/>
        <v>Mar</v>
      </c>
      <c r="J7027">
        <f>YEAR(datas[[#This Row],[Order Date]])</f>
        <v>2024</v>
      </c>
    </row>
    <row r="7028" spans="1:10" ht="14.25" customHeight="1" x14ac:dyDescent="0.3">
      <c r="A7028" s="1">
        <v>45364</v>
      </c>
      <c r="B7028" s="2" t="s">
        <v>794</v>
      </c>
      <c r="C7028" s="2" t="s">
        <v>13</v>
      </c>
      <c r="D7028" s="2" t="s">
        <v>10</v>
      </c>
      <c r="E7028" s="2" t="s">
        <v>11</v>
      </c>
      <c r="F7028" s="2">
        <v>15.55</v>
      </c>
      <c r="G7028" s="2">
        <v>3</v>
      </c>
      <c r="H7028" s="2">
        <v>5.64</v>
      </c>
      <c r="I7028" t="str">
        <f t="shared" si="109"/>
        <v>Mar</v>
      </c>
      <c r="J7028">
        <f>YEAR(datas[[#This Row],[Order Date]])</f>
        <v>2024</v>
      </c>
    </row>
    <row r="7029" spans="1:10" ht="14.25" customHeight="1" x14ac:dyDescent="0.3">
      <c r="A7029" s="1">
        <v>45364</v>
      </c>
      <c r="B7029" s="2" t="s">
        <v>794</v>
      </c>
      <c r="C7029" s="2" t="s">
        <v>13</v>
      </c>
      <c r="D7029" s="2" t="s">
        <v>28</v>
      </c>
      <c r="E7029" s="2" t="s">
        <v>29</v>
      </c>
      <c r="F7029" s="2">
        <v>34.36</v>
      </c>
      <c r="G7029" s="2">
        <v>1</v>
      </c>
      <c r="H7029" s="2">
        <v>-7.3</v>
      </c>
      <c r="I7029" t="str">
        <f t="shared" si="109"/>
        <v>Mar</v>
      </c>
      <c r="J7029">
        <f>YEAR(datas[[#This Row],[Order Date]])</f>
        <v>2024</v>
      </c>
    </row>
    <row r="7030" spans="1:10" ht="14.25" customHeight="1" x14ac:dyDescent="0.3">
      <c r="A7030" s="1">
        <v>45364</v>
      </c>
      <c r="B7030" s="2" t="s">
        <v>110</v>
      </c>
      <c r="C7030" s="2" t="s">
        <v>248</v>
      </c>
      <c r="D7030" s="2" t="s">
        <v>10</v>
      </c>
      <c r="E7030" s="2" t="s">
        <v>16</v>
      </c>
      <c r="F7030" s="2">
        <v>30.88</v>
      </c>
      <c r="G7030" s="2">
        <v>2</v>
      </c>
      <c r="H7030" s="2">
        <v>15.44</v>
      </c>
      <c r="I7030" t="str">
        <f t="shared" si="109"/>
        <v>Mar</v>
      </c>
      <c r="J7030">
        <f>YEAR(datas[[#This Row],[Order Date]])</f>
        <v>2024</v>
      </c>
    </row>
    <row r="7031" spans="1:10" ht="14.25" customHeight="1" x14ac:dyDescent="0.3">
      <c r="A7031" s="1">
        <v>45364</v>
      </c>
      <c r="B7031" s="2" t="s">
        <v>110</v>
      </c>
      <c r="C7031" s="2" t="s">
        <v>248</v>
      </c>
      <c r="D7031" s="2" t="s">
        <v>10</v>
      </c>
      <c r="E7031" s="2" t="s">
        <v>53</v>
      </c>
      <c r="F7031" s="2">
        <v>465.16</v>
      </c>
      <c r="G7031" s="2">
        <v>2</v>
      </c>
      <c r="H7031" s="2">
        <v>120.94</v>
      </c>
      <c r="I7031" t="str">
        <f t="shared" si="109"/>
        <v>Mar</v>
      </c>
      <c r="J7031">
        <f>YEAR(datas[[#This Row],[Order Date]])</f>
        <v>2024</v>
      </c>
    </row>
    <row r="7032" spans="1:10" ht="14.25" customHeight="1" x14ac:dyDescent="0.3">
      <c r="A7032" s="1">
        <v>45364</v>
      </c>
      <c r="B7032" s="2" t="s">
        <v>110</v>
      </c>
      <c r="C7032" s="2" t="s">
        <v>248</v>
      </c>
      <c r="D7032" s="2" t="s">
        <v>10</v>
      </c>
      <c r="E7032" s="2" t="s">
        <v>11</v>
      </c>
      <c r="F7032" s="2">
        <v>27.12</v>
      </c>
      <c r="G7032" s="2">
        <v>4</v>
      </c>
      <c r="H7032" s="2">
        <v>12.48</v>
      </c>
      <c r="I7032" t="str">
        <f t="shared" si="109"/>
        <v>Mar</v>
      </c>
      <c r="J7032">
        <f>YEAR(datas[[#This Row],[Order Date]])</f>
        <v>2024</v>
      </c>
    </row>
    <row r="7033" spans="1:10" ht="14.25" customHeight="1" x14ac:dyDescent="0.3">
      <c r="A7033" s="1">
        <v>45364</v>
      </c>
      <c r="B7033" s="2" t="s">
        <v>807</v>
      </c>
      <c r="C7033" s="2" t="s">
        <v>215</v>
      </c>
      <c r="D7033" s="2" t="s">
        <v>10</v>
      </c>
      <c r="E7033" s="2" t="s">
        <v>16</v>
      </c>
      <c r="F7033" s="2">
        <v>174.3</v>
      </c>
      <c r="G7033" s="2">
        <v>3</v>
      </c>
      <c r="H7033" s="2">
        <v>81.92</v>
      </c>
      <c r="I7033" t="str">
        <f t="shared" si="109"/>
        <v>Mar</v>
      </c>
      <c r="J7033">
        <f>YEAR(datas[[#This Row],[Order Date]])</f>
        <v>2024</v>
      </c>
    </row>
    <row r="7034" spans="1:10" ht="14.25" customHeight="1" x14ac:dyDescent="0.3">
      <c r="A7034" s="1">
        <v>45364</v>
      </c>
      <c r="B7034" s="2" t="s">
        <v>784</v>
      </c>
      <c r="C7034" s="2" t="s">
        <v>75</v>
      </c>
      <c r="D7034" s="2" t="s">
        <v>28</v>
      </c>
      <c r="E7034" s="2" t="s">
        <v>29</v>
      </c>
      <c r="F7034" s="2">
        <v>299.89999999999998</v>
      </c>
      <c r="G7034" s="2">
        <v>2</v>
      </c>
      <c r="H7034" s="2">
        <v>74.98</v>
      </c>
      <c r="I7034" t="str">
        <f t="shared" si="109"/>
        <v>Mar</v>
      </c>
      <c r="J7034">
        <f>YEAR(datas[[#This Row],[Order Date]])</f>
        <v>2024</v>
      </c>
    </row>
    <row r="7035" spans="1:10" ht="14.25" customHeight="1" x14ac:dyDescent="0.3">
      <c r="A7035" s="1">
        <v>45364</v>
      </c>
      <c r="B7035" s="2" t="s">
        <v>196</v>
      </c>
      <c r="C7035" s="2" t="s">
        <v>13</v>
      </c>
      <c r="D7035" s="2" t="s">
        <v>28</v>
      </c>
      <c r="E7035" s="2" t="s">
        <v>29</v>
      </c>
      <c r="F7035" s="2">
        <v>7.99</v>
      </c>
      <c r="G7035" s="2">
        <v>1</v>
      </c>
      <c r="H7035" s="2">
        <v>2.6</v>
      </c>
      <c r="I7035" t="str">
        <f t="shared" si="109"/>
        <v>Mar</v>
      </c>
      <c r="J7035">
        <f>YEAR(datas[[#This Row],[Order Date]])</f>
        <v>2024</v>
      </c>
    </row>
    <row r="7036" spans="1:10" ht="14.25" customHeight="1" x14ac:dyDescent="0.3">
      <c r="A7036" s="1">
        <v>45365</v>
      </c>
      <c r="B7036" s="2" t="s">
        <v>466</v>
      </c>
      <c r="C7036" s="2" t="s">
        <v>13</v>
      </c>
      <c r="D7036" s="2" t="s">
        <v>28</v>
      </c>
      <c r="E7036" s="2" t="s">
        <v>29</v>
      </c>
      <c r="F7036" s="2">
        <v>49.62</v>
      </c>
      <c r="G7036" s="2">
        <v>2</v>
      </c>
      <c r="H7036" s="2">
        <v>4.96</v>
      </c>
      <c r="I7036" t="str">
        <f t="shared" si="109"/>
        <v>Mar</v>
      </c>
      <c r="J7036">
        <f>YEAR(datas[[#This Row],[Order Date]])</f>
        <v>2024</v>
      </c>
    </row>
    <row r="7037" spans="1:10" ht="14.25" customHeight="1" x14ac:dyDescent="0.3">
      <c r="A7037" s="1">
        <v>45367</v>
      </c>
      <c r="B7037" s="2" t="s">
        <v>200</v>
      </c>
      <c r="C7037" s="2" t="s">
        <v>82</v>
      </c>
      <c r="D7037" s="2" t="s">
        <v>10</v>
      </c>
      <c r="E7037" s="2" t="s">
        <v>11</v>
      </c>
      <c r="F7037" s="2">
        <v>6.48</v>
      </c>
      <c r="G7037" s="2">
        <v>1</v>
      </c>
      <c r="H7037" s="2">
        <v>3.11</v>
      </c>
      <c r="I7037" t="str">
        <f t="shared" si="109"/>
        <v>Mar</v>
      </c>
      <c r="J7037">
        <f>YEAR(datas[[#This Row],[Order Date]])</f>
        <v>2024</v>
      </c>
    </row>
    <row r="7038" spans="1:10" ht="14.25" customHeight="1" x14ac:dyDescent="0.3">
      <c r="A7038" s="1">
        <v>45367</v>
      </c>
      <c r="B7038" s="2" t="s">
        <v>200</v>
      </c>
      <c r="C7038" s="2" t="s">
        <v>82</v>
      </c>
      <c r="D7038" s="2" t="s">
        <v>10</v>
      </c>
      <c r="E7038" s="2" t="s">
        <v>15</v>
      </c>
      <c r="F7038" s="2">
        <v>46.51</v>
      </c>
      <c r="G7038" s="2">
        <v>1</v>
      </c>
      <c r="H7038" s="2">
        <v>1.86</v>
      </c>
      <c r="I7038" t="str">
        <f t="shared" si="109"/>
        <v>Mar</v>
      </c>
      <c r="J7038">
        <f>YEAR(datas[[#This Row],[Order Date]])</f>
        <v>2024</v>
      </c>
    </row>
    <row r="7039" spans="1:10" ht="14.25" customHeight="1" x14ac:dyDescent="0.3">
      <c r="A7039" s="1">
        <v>45367</v>
      </c>
      <c r="B7039" s="2" t="s">
        <v>200</v>
      </c>
      <c r="C7039" s="2" t="s">
        <v>82</v>
      </c>
      <c r="D7039" s="2" t="s">
        <v>28</v>
      </c>
      <c r="E7039" s="2" t="s">
        <v>29</v>
      </c>
      <c r="F7039" s="2">
        <v>659.98</v>
      </c>
      <c r="G7039" s="2">
        <v>3</v>
      </c>
      <c r="H7039" s="2">
        <v>49.5</v>
      </c>
      <c r="I7039" t="str">
        <f t="shared" si="109"/>
        <v>Mar</v>
      </c>
      <c r="J7039">
        <f>YEAR(datas[[#This Row],[Order Date]])</f>
        <v>2024</v>
      </c>
    </row>
    <row r="7040" spans="1:10" ht="14.25" customHeight="1" x14ac:dyDescent="0.3">
      <c r="A7040" s="1">
        <v>45367</v>
      </c>
      <c r="B7040" s="2" t="s">
        <v>412</v>
      </c>
      <c r="C7040" s="2" t="s">
        <v>47</v>
      </c>
      <c r="D7040" s="2" t="s">
        <v>28</v>
      </c>
      <c r="E7040" s="2" t="s">
        <v>29</v>
      </c>
      <c r="F7040" s="2">
        <v>445.44</v>
      </c>
      <c r="G7040" s="2">
        <v>8</v>
      </c>
      <c r="H7040" s="2">
        <v>-81.66</v>
      </c>
      <c r="I7040" t="str">
        <f t="shared" si="109"/>
        <v>Mar</v>
      </c>
      <c r="J7040">
        <f>YEAR(datas[[#This Row],[Order Date]])</f>
        <v>2024</v>
      </c>
    </row>
    <row r="7041" spans="1:10" ht="14.25" customHeight="1" x14ac:dyDescent="0.3">
      <c r="A7041" s="1">
        <v>45367</v>
      </c>
      <c r="B7041" s="2" t="s">
        <v>602</v>
      </c>
      <c r="C7041" s="2" t="s">
        <v>47</v>
      </c>
      <c r="D7041" s="2" t="s">
        <v>28</v>
      </c>
      <c r="E7041" s="2" t="s">
        <v>29</v>
      </c>
      <c r="F7041" s="2">
        <v>44.38</v>
      </c>
      <c r="G7041" s="2">
        <v>2</v>
      </c>
      <c r="H7041" s="2">
        <v>-7.4</v>
      </c>
      <c r="I7041" t="str">
        <f t="shared" si="109"/>
        <v>Mar</v>
      </c>
      <c r="J7041">
        <f>YEAR(datas[[#This Row],[Order Date]])</f>
        <v>2024</v>
      </c>
    </row>
    <row r="7042" spans="1:10" ht="14.25" customHeight="1" x14ac:dyDescent="0.3">
      <c r="A7042" s="1">
        <v>45367</v>
      </c>
      <c r="B7042" s="2" t="s">
        <v>602</v>
      </c>
      <c r="C7042" s="2" t="s">
        <v>47</v>
      </c>
      <c r="D7042" s="2" t="s">
        <v>26</v>
      </c>
      <c r="E7042" s="2" t="s">
        <v>32</v>
      </c>
      <c r="F7042" s="2">
        <v>51.26</v>
      </c>
      <c r="G7042" s="2">
        <v>6</v>
      </c>
      <c r="H7042" s="2">
        <v>7.69</v>
      </c>
      <c r="I7042" t="str">
        <f t="shared" si="109"/>
        <v>Mar</v>
      </c>
      <c r="J7042">
        <f>YEAR(datas[[#This Row],[Order Date]])</f>
        <v>2024</v>
      </c>
    </row>
    <row r="7043" spans="1:10" ht="14.25" customHeight="1" x14ac:dyDescent="0.3">
      <c r="A7043" s="1">
        <v>45367</v>
      </c>
      <c r="B7043" s="2" t="s">
        <v>602</v>
      </c>
      <c r="C7043" s="2" t="s">
        <v>47</v>
      </c>
      <c r="D7043" s="2" t="s">
        <v>10</v>
      </c>
      <c r="E7043" s="2" t="s">
        <v>16</v>
      </c>
      <c r="F7043" s="2">
        <v>5.19</v>
      </c>
      <c r="G7043" s="2">
        <v>3</v>
      </c>
      <c r="H7043" s="2">
        <v>-3.46</v>
      </c>
      <c r="I7043" t="str">
        <f t="shared" ref="I7043:I7106" si="110">TEXT(A7043,"mmm")</f>
        <v>Mar</v>
      </c>
      <c r="J7043">
        <f>YEAR(datas[[#This Row],[Order Date]])</f>
        <v>2024</v>
      </c>
    </row>
    <row r="7044" spans="1:10" ht="14.25" customHeight="1" x14ac:dyDescent="0.3">
      <c r="A7044" s="1">
        <v>45367</v>
      </c>
      <c r="B7044" s="2" t="s">
        <v>602</v>
      </c>
      <c r="C7044" s="2" t="s">
        <v>47</v>
      </c>
      <c r="D7044" s="2" t="s">
        <v>28</v>
      </c>
      <c r="E7044" s="2" t="s">
        <v>34</v>
      </c>
      <c r="F7044" s="2">
        <v>159.97999999999999</v>
      </c>
      <c r="G7044" s="2">
        <v>2</v>
      </c>
      <c r="H7044" s="2">
        <v>44</v>
      </c>
      <c r="I7044" t="str">
        <f t="shared" si="110"/>
        <v>Mar</v>
      </c>
      <c r="J7044">
        <f>YEAR(datas[[#This Row],[Order Date]])</f>
        <v>2024</v>
      </c>
    </row>
    <row r="7045" spans="1:10" ht="14.25" customHeight="1" x14ac:dyDescent="0.3">
      <c r="A7045" s="1">
        <v>45367</v>
      </c>
      <c r="B7045" s="2" t="s">
        <v>602</v>
      </c>
      <c r="C7045" s="2" t="s">
        <v>47</v>
      </c>
      <c r="D7045" s="2" t="s">
        <v>10</v>
      </c>
      <c r="E7045" s="2" t="s">
        <v>15</v>
      </c>
      <c r="F7045" s="2">
        <v>54.22</v>
      </c>
      <c r="G7045" s="2">
        <v>2</v>
      </c>
      <c r="H7045" s="2">
        <v>3.39</v>
      </c>
      <c r="I7045" t="str">
        <f t="shared" si="110"/>
        <v>Mar</v>
      </c>
      <c r="J7045">
        <f>YEAR(datas[[#This Row],[Order Date]])</f>
        <v>2024</v>
      </c>
    </row>
    <row r="7046" spans="1:10" ht="14.25" customHeight="1" x14ac:dyDescent="0.3">
      <c r="A7046" s="1">
        <v>45367</v>
      </c>
      <c r="B7046" s="2" t="s">
        <v>760</v>
      </c>
      <c r="C7046" s="2" t="s">
        <v>21</v>
      </c>
      <c r="D7046" s="2" t="s">
        <v>10</v>
      </c>
      <c r="E7046" s="2" t="s">
        <v>15</v>
      </c>
      <c r="F7046" s="2">
        <v>310.12</v>
      </c>
      <c r="G7046" s="2">
        <v>2</v>
      </c>
      <c r="H7046" s="2">
        <v>80.63</v>
      </c>
      <c r="I7046" t="str">
        <f t="shared" si="110"/>
        <v>Mar</v>
      </c>
      <c r="J7046">
        <f>YEAR(datas[[#This Row],[Order Date]])</f>
        <v>2024</v>
      </c>
    </row>
    <row r="7047" spans="1:10" ht="14.25" customHeight="1" x14ac:dyDescent="0.3">
      <c r="A7047" s="1">
        <v>45367</v>
      </c>
      <c r="B7047" s="2" t="s">
        <v>760</v>
      </c>
      <c r="C7047" s="2" t="s">
        <v>21</v>
      </c>
      <c r="D7047" s="2" t="s">
        <v>10</v>
      </c>
      <c r="E7047" s="2" t="s">
        <v>16</v>
      </c>
      <c r="F7047" s="2">
        <v>70.459999999999994</v>
      </c>
      <c r="G7047" s="2">
        <v>6</v>
      </c>
      <c r="H7047" s="2">
        <v>22.9</v>
      </c>
      <c r="I7047" t="str">
        <f t="shared" si="110"/>
        <v>Mar</v>
      </c>
      <c r="J7047">
        <f>YEAR(datas[[#This Row],[Order Date]])</f>
        <v>2024</v>
      </c>
    </row>
    <row r="7048" spans="1:10" ht="14.25" customHeight="1" x14ac:dyDescent="0.3">
      <c r="A7048" s="1">
        <v>45367</v>
      </c>
      <c r="B7048" s="2" t="s">
        <v>760</v>
      </c>
      <c r="C7048" s="2" t="s">
        <v>21</v>
      </c>
      <c r="D7048" s="2" t="s">
        <v>10</v>
      </c>
      <c r="E7048" s="2" t="s">
        <v>16</v>
      </c>
      <c r="F7048" s="2">
        <v>19.68</v>
      </c>
      <c r="G7048" s="2">
        <v>5</v>
      </c>
      <c r="H7048" s="2">
        <v>6.89</v>
      </c>
      <c r="I7048" t="str">
        <f t="shared" si="110"/>
        <v>Mar</v>
      </c>
      <c r="J7048">
        <f>YEAR(datas[[#This Row],[Order Date]])</f>
        <v>2024</v>
      </c>
    </row>
    <row r="7049" spans="1:10" ht="14.25" customHeight="1" x14ac:dyDescent="0.3">
      <c r="A7049" s="1">
        <v>45367</v>
      </c>
      <c r="B7049" s="2" t="s">
        <v>760</v>
      </c>
      <c r="C7049" s="2" t="s">
        <v>21</v>
      </c>
      <c r="D7049" s="2" t="s">
        <v>10</v>
      </c>
      <c r="E7049" s="2" t="s">
        <v>53</v>
      </c>
      <c r="F7049" s="2">
        <v>140.66999999999999</v>
      </c>
      <c r="G7049" s="2">
        <v>3</v>
      </c>
      <c r="H7049" s="2">
        <v>54.86</v>
      </c>
      <c r="I7049" t="str">
        <f t="shared" si="110"/>
        <v>Mar</v>
      </c>
      <c r="J7049">
        <f>YEAR(datas[[#This Row],[Order Date]])</f>
        <v>2024</v>
      </c>
    </row>
    <row r="7050" spans="1:10" ht="14.25" customHeight="1" x14ac:dyDescent="0.3">
      <c r="A7050" s="1">
        <v>45368</v>
      </c>
      <c r="B7050" s="2" t="s">
        <v>120</v>
      </c>
      <c r="C7050" s="2" t="s">
        <v>21</v>
      </c>
      <c r="D7050" s="2" t="s">
        <v>10</v>
      </c>
      <c r="E7050" s="2" t="s">
        <v>16</v>
      </c>
      <c r="F7050" s="2">
        <v>17.46</v>
      </c>
      <c r="G7050" s="2">
        <v>2</v>
      </c>
      <c r="H7050" s="2">
        <v>5.89</v>
      </c>
      <c r="I7050" t="str">
        <f t="shared" si="110"/>
        <v>Mar</v>
      </c>
      <c r="J7050">
        <f>YEAR(datas[[#This Row],[Order Date]])</f>
        <v>2024</v>
      </c>
    </row>
    <row r="7051" spans="1:10" ht="14.25" customHeight="1" x14ac:dyDescent="0.3">
      <c r="A7051" s="1">
        <v>45368</v>
      </c>
      <c r="B7051" s="2" t="s">
        <v>747</v>
      </c>
      <c r="C7051" s="2" t="s">
        <v>75</v>
      </c>
      <c r="D7051" s="2" t="s">
        <v>10</v>
      </c>
      <c r="E7051" s="2" t="s">
        <v>14</v>
      </c>
      <c r="F7051" s="2">
        <v>18.75</v>
      </c>
      <c r="G7051" s="2">
        <v>5</v>
      </c>
      <c r="H7051" s="2">
        <v>9</v>
      </c>
      <c r="I7051" t="str">
        <f t="shared" si="110"/>
        <v>Mar</v>
      </c>
      <c r="J7051">
        <f>YEAR(datas[[#This Row],[Order Date]])</f>
        <v>2024</v>
      </c>
    </row>
    <row r="7052" spans="1:10" ht="14.25" customHeight="1" x14ac:dyDescent="0.3">
      <c r="A7052" s="1">
        <v>45368</v>
      </c>
      <c r="B7052" s="2" t="s">
        <v>747</v>
      </c>
      <c r="C7052" s="2" t="s">
        <v>75</v>
      </c>
      <c r="D7052" s="2" t="s">
        <v>28</v>
      </c>
      <c r="E7052" s="2" t="s">
        <v>29</v>
      </c>
      <c r="F7052" s="2">
        <v>119.7</v>
      </c>
      <c r="G7052" s="2">
        <v>6</v>
      </c>
      <c r="H7052" s="2">
        <v>31.12</v>
      </c>
      <c r="I7052" t="str">
        <f t="shared" si="110"/>
        <v>Mar</v>
      </c>
      <c r="J7052">
        <f>YEAR(datas[[#This Row],[Order Date]])</f>
        <v>2024</v>
      </c>
    </row>
    <row r="7053" spans="1:10" ht="14.25" customHeight="1" x14ac:dyDescent="0.3">
      <c r="A7053" s="1">
        <v>45368</v>
      </c>
      <c r="B7053" s="2" t="s">
        <v>747</v>
      </c>
      <c r="C7053" s="2" t="s">
        <v>75</v>
      </c>
      <c r="D7053" s="2" t="s">
        <v>10</v>
      </c>
      <c r="E7053" s="2" t="s">
        <v>16</v>
      </c>
      <c r="F7053" s="2">
        <v>9.14</v>
      </c>
      <c r="G7053" s="2">
        <v>3</v>
      </c>
      <c r="H7053" s="2">
        <v>3.09</v>
      </c>
      <c r="I7053" t="str">
        <f t="shared" si="110"/>
        <v>Mar</v>
      </c>
      <c r="J7053">
        <f>YEAR(datas[[#This Row],[Order Date]])</f>
        <v>2024</v>
      </c>
    </row>
    <row r="7054" spans="1:10" ht="14.25" customHeight="1" x14ac:dyDescent="0.3">
      <c r="A7054" s="1">
        <v>45368</v>
      </c>
      <c r="B7054" s="2" t="s">
        <v>747</v>
      </c>
      <c r="C7054" s="2" t="s">
        <v>75</v>
      </c>
      <c r="D7054" s="2" t="s">
        <v>28</v>
      </c>
      <c r="E7054" s="2" t="s">
        <v>34</v>
      </c>
      <c r="F7054" s="2">
        <v>57.06</v>
      </c>
      <c r="G7054" s="2">
        <v>3</v>
      </c>
      <c r="H7054" s="2">
        <v>18.260000000000002</v>
      </c>
      <c r="I7054" t="str">
        <f t="shared" si="110"/>
        <v>Mar</v>
      </c>
      <c r="J7054">
        <f>YEAR(datas[[#This Row],[Order Date]])</f>
        <v>2024</v>
      </c>
    </row>
    <row r="7055" spans="1:10" ht="14.25" customHeight="1" x14ac:dyDescent="0.3">
      <c r="A7055" s="1">
        <v>45368</v>
      </c>
      <c r="B7055" s="2" t="s">
        <v>747</v>
      </c>
      <c r="C7055" s="2" t="s">
        <v>75</v>
      </c>
      <c r="D7055" s="2" t="s">
        <v>28</v>
      </c>
      <c r="E7055" s="2" t="s">
        <v>34</v>
      </c>
      <c r="F7055" s="2">
        <v>71.599999999999994</v>
      </c>
      <c r="G7055" s="2">
        <v>8</v>
      </c>
      <c r="H7055" s="2">
        <v>13.6</v>
      </c>
      <c r="I7055" t="str">
        <f t="shared" si="110"/>
        <v>Mar</v>
      </c>
      <c r="J7055">
        <f>YEAR(datas[[#This Row],[Order Date]])</f>
        <v>2024</v>
      </c>
    </row>
    <row r="7056" spans="1:10" ht="14.25" customHeight="1" x14ac:dyDescent="0.3">
      <c r="A7056" s="1">
        <v>45368</v>
      </c>
      <c r="B7056" s="2" t="s">
        <v>747</v>
      </c>
      <c r="C7056" s="2" t="s">
        <v>75</v>
      </c>
      <c r="D7056" s="2" t="s">
        <v>10</v>
      </c>
      <c r="E7056" s="2" t="s">
        <v>15</v>
      </c>
      <c r="F7056" s="2">
        <v>107.44</v>
      </c>
      <c r="G7056" s="2">
        <v>8</v>
      </c>
      <c r="H7056" s="2">
        <v>27.93</v>
      </c>
      <c r="I7056" t="str">
        <f t="shared" si="110"/>
        <v>Mar</v>
      </c>
      <c r="J7056">
        <f>YEAR(datas[[#This Row],[Order Date]])</f>
        <v>2024</v>
      </c>
    </row>
    <row r="7057" spans="1:10" ht="14.25" customHeight="1" x14ac:dyDescent="0.3">
      <c r="A7057" s="1">
        <v>45368</v>
      </c>
      <c r="B7057" s="2" t="s">
        <v>747</v>
      </c>
      <c r="C7057" s="2" t="s">
        <v>75</v>
      </c>
      <c r="D7057" s="2" t="s">
        <v>10</v>
      </c>
      <c r="E7057" s="2" t="s">
        <v>14</v>
      </c>
      <c r="F7057" s="2">
        <v>7.31</v>
      </c>
      <c r="G7057" s="2">
        <v>1</v>
      </c>
      <c r="H7057" s="2">
        <v>3.44</v>
      </c>
      <c r="I7057" t="str">
        <f t="shared" si="110"/>
        <v>Mar</v>
      </c>
      <c r="J7057">
        <f>YEAR(datas[[#This Row],[Order Date]])</f>
        <v>2024</v>
      </c>
    </row>
    <row r="7058" spans="1:10" ht="14.25" customHeight="1" x14ac:dyDescent="0.3">
      <c r="A7058" s="1">
        <v>45368</v>
      </c>
      <c r="B7058" s="2" t="s">
        <v>747</v>
      </c>
      <c r="C7058" s="2" t="s">
        <v>75</v>
      </c>
      <c r="D7058" s="2" t="s">
        <v>10</v>
      </c>
      <c r="E7058" s="2" t="s">
        <v>19</v>
      </c>
      <c r="F7058" s="2">
        <v>59.1</v>
      </c>
      <c r="G7058" s="2">
        <v>6</v>
      </c>
      <c r="H7058" s="2">
        <v>22.46</v>
      </c>
      <c r="I7058" t="str">
        <f t="shared" si="110"/>
        <v>Mar</v>
      </c>
      <c r="J7058">
        <f>YEAR(datas[[#This Row],[Order Date]])</f>
        <v>2024</v>
      </c>
    </row>
    <row r="7059" spans="1:10" ht="14.25" customHeight="1" x14ac:dyDescent="0.3">
      <c r="A7059" s="1">
        <v>45368</v>
      </c>
      <c r="B7059" s="2" t="s">
        <v>747</v>
      </c>
      <c r="C7059" s="2" t="s">
        <v>75</v>
      </c>
      <c r="D7059" s="2" t="s">
        <v>10</v>
      </c>
      <c r="E7059" s="2" t="s">
        <v>15</v>
      </c>
      <c r="F7059" s="2">
        <v>46.53</v>
      </c>
      <c r="G7059" s="2">
        <v>3</v>
      </c>
      <c r="H7059" s="2">
        <v>12.1</v>
      </c>
      <c r="I7059" t="str">
        <f t="shared" si="110"/>
        <v>Mar</v>
      </c>
      <c r="J7059">
        <f>YEAR(datas[[#This Row],[Order Date]])</f>
        <v>2024</v>
      </c>
    </row>
    <row r="7060" spans="1:10" ht="14.25" customHeight="1" x14ac:dyDescent="0.3">
      <c r="A7060" s="1">
        <v>45368</v>
      </c>
      <c r="B7060" s="2" t="s">
        <v>748</v>
      </c>
      <c r="C7060" s="2" t="s">
        <v>9</v>
      </c>
      <c r="D7060" s="2" t="s">
        <v>10</v>
      </c>
      <c r="E7060" s="2" t="s">
        <v>16</v>
      </c>
      <c r="F7060" s="2">
        <v>13.78</v>
      </c>
      <c r="G7060" s="2">
        <v>6</v>
      </c>
      <c r="H7060" s="2">
        <v>-22.04</v>
      </c>
      <c r="I7060" t="str">
        <f t="shared" si="110"/>
        <v>Mar</v>
      </c>
      <c r="J7060">
        <f>YEAR(datas[[#This Row],[Order Date]])</f>
        <v>2024</v>
      </c>
    </row>
    <row r="7061" spans="1:10" ht="14.25" customHeight="1" x14ac:dyDescent="0.3">
      <c r="A7061" s="1">
        <v>45368</v>
      </c>
      <c r="B7061" s="2" t="s">
        <v>748</v>
      </c>
      <c r="C7061" s="2" t="s">
        <v>9</v>
      </c>
      <c r="D7061" s="2" t="s">
        <v>10</v>
      </c>
      <c r="E7061" s="2" t="s">
        <v>11</v>
      </c>
      <c r="F7061" s="2">
        <v>10.27</v>
      </c>
      <c r="G7061" s="2">
        <v>3</v>
      </c>
      <c r="H7061" s="2">
        <v>3.21</v>
      </c>
      <c r="I7061" t="str">
        <f t="shared" si="110"/>
        <v>Mar</v>
      </c>
      <c r="J7061">
        <f>YEAR(datas[[#This Row],[Order Date]])</f>
        <v>2024</v>
      </c>
    </row>
    <row r="7062" spans="1:10" ht="14.25" customHeight="1" x14ac:dyDescent="0.3">
      <c r="A7062" s="1">
        <v>45368</v>
      </c>
      <c r="B7062" s="2" t="s">
        <v>395</v>
      </c>
      <c r="C7062" s="2" t="s">
        <v>62</v>
      </c>
      <c r="D7062" s="2" t="s">
        <v>10</v>
      </c>
      <c r="E7062" s="2" t="s">
        <v>14</v>
      </c>
      <c r="F7062" s="2">
        <v>4.6100000000000003</v>
      </c>
      <c r="G7062" s="2">
        <v>2</v>
      </c>
      <c r="H7062" s="2">
        <v>1.67</v>
      </c>
      <c r="I7062" t="str">
        <f t="shared" si="110"/>
        <v>Mar</v>
      </c>
      <c r="J7062">
        <f>YEAR(datas[[#This Row],[Order Date]])</f>
        <v>2024</v>
      </c>
    </row>
    <row r="7063" spans="1:10" ht="14.25" customHeight="1" x14ac:dyDescent="0.3">
      <c r="A7063" s="1">
        <v>45369</v>
      </c>
      <c r="B7063" s="2" t="s">
        <v>853</v>
      </c>
      <c r="C7063" s="2" t="s">
        <v>9</v>
      </c>
      <c r="D7063" s="2" t="s">
        <v>10</v>
      </c>
      <c r="E7063" s="2" t="s">
        <v>53</v>
      </c>
      <c r="F7063" s="2">
        <v>2.69</v>
      </c>
      <c r="G7063" s="2">
        <v>3</v>
      </c>
      <c r="H7063" s="2">
        <v>-7.39</v>
      </c>
      <c r="I7063" t="str">
        <f t="shared" si="110"/>
        <v>Mar</v>
      </c>
      <c r="J7063">
        <f>YEAR(datas[[#This Row],[Order Date]])</f>
        <v>2024</v>
      </c>
    </row>
    <row r="7064" spans="1:10" ht="14.25" customHeight="1" x14ac:dyDescent="0.3">
      <c r="A7064" s="1">
        <v>45369</v>
      </c>
      <c r="B7064" s="2" t="s">
        <v>853</v>
      </c>
      <c r="C7064" s="2" t="s">
        <v>9</v>
      </c>
      <c r="D7064" s="2" t="s">
        <v>28</v>
      </c>
      <c r="E7064" s="2" t="s">
        <v>34</v>
      </c>
      <c r="F7064" s="2">
        <v>27.82</v>
      </c>
      <c r="G7064" s="2">
        <v>3</v>
      </c>
      <c r="H7064" s="2">
        <v>4.5199999999999996</v>
      </c>
      <c r="I7064" t="str">
        <f t="shared" si="110"/>
        <v>Mar</v>
      </c>
      <c r="J7064">
        <f>YEAR(datas[[#This Row],[Order Date]])</f>
        <v>2024</v>
      </c>
    </row>
    <row r="7065" spans="1:10" ht="14.25" customHeight="1" x14ac:dyDescent="0.3">
      <c r="A7065" s="1">
        <v>45369</v>
      </c>
      <c r="B7065" s="2" t="s">
        <v>853</v>
      </c>
      <c r="C7065" s="2" t="s">
        <v>9</v>
      </c>
      <c r="D7065" s="2" t="s">
        <v>26</v>
      </c>
      <c r="E7065" s="2" t="s">
        <v>32</v>
      </c>
      <c r="F7065" s="2">
        <v>82.52</v>
      </c>
      <c r="G7065" s="2">
        <v>3</v>
      </c>
      <c r="H7065" s="2">
        <v>-41.26</v>
      </c>
      <c r="I7065" t="str">
        <f t="shared" si="110"/>
        <v>Mar</v>
      </c>
      <c r="J7065">
        <f>YEAR(datas[[#This Row],[Order Date]])</f>
        <v>2024</v>
      </c>
    </row>
    <row r="7066" spans="1:10" ht="14.25" customHeight="1" x14ac:dyDescent="0.3">
      <c r="A7066" s="1">
        <v>45369</v>
      </c>
      <c r="B7066" s="2" t="s">
        <v>853</v>
      </c>
      <c r="C7066" s="2" t="s">
        <v>9</v>
      </c>
      <c r="D7066" s="2" t="s">
        <v>10</v>
      </c>
      <c r="E7066" s="2" t="s">
        <v>16</v>
      </c>
      <c r="F7066" s="2">
        <v>182.99</v>
      </c>
      <c r="G7066" s="2">
        <v>3</v>
      </c>
      <c r="H7066" s="2">
        <v>-320.24</v>
      </c>
      <c r="I7066" t="str">
        <f t="shared" si="110"/>
        <v>Mar</v>
      </c>
      <c r="J7066">
        <f>YEAR(datas[[#This Row],[Order Date]])</f>
        <v>2024</v>
      </c>
    </row>
    <row r="7067" spans="1:10" ht="14.25" customHeight="1" x14ac:dyDescent="0.3">
      <c r="A7067" s="1">
        <v>45369</v>
      </c>
      <c r="B7067" s="2" t="s">
        <v>720</v>
      </c>
      <c r="C7067" s="2" t="s">
        <v>9</v>
      </c>
      <c r="D7067" s="2" t="s">
        <v>10</v>
      </c>
      <c r="E7067" s="2" t="s">
        <v>19</v>
      </c>
      <c r="F7067" s="2">
        <v>23.83</v>
      </c>
      <c r="G7067" s="2">
        <v>3</v>
      </c>
      <c r="H7067" s="2">
        <v>6.55</v>
      </c>
      <c r="I7067" t="str">
        <f t="shared" si="110"/>
        <v>Mar</v>
      </c>
      <c r="J7067">
        <f>YEAR(datas[[#This Row],[Order Date]])</f>
        <v>2024</v>
      </c>
    </row>
    <row r="7068" spans="1:10" ht="14.25" customHeight="1" x14ac:dyDescent="0.3">
      <c r="A7068" s="1">
        <v>45369</v>
      </c>
      <c r="B7068" s="2" t="s">
        <v>124</v>
      </c>
      <c r="C7068" s="2" t="s">
        <v>82</v>
      </c>
      <c r="D7068" s="2" t="s">
        <v>10</v>
      </c>
      <c r="E7068" s="2" t="s">
        <v>19</v>
      </c>
      <c r="F7068" s="2">
        <v>46.2</v>
      </c>
      <c r="G7068" s="2">
        <v>4</v>
      </c>
      <c r="H7068" s="2">
        <v>21.25</v>
      </c>
      <c r="I7068" t="str">
        <f t="shared" si="110"/>
        <v>Mar</v>
      </c>
      <c r="J7068">
        <f>YEAR(datas[[#This Row],[Order Date]])</f>
        <v>2024</v>
      </c>
    </row>
    <row r="7069" spans="1:10" ht="14.25" customHeight="1" x14ac:dyDescent="0.3">
      <c r="A7069" s="1">
        <v>45369</v>
      </c>
      <c r="B7069" s="2" t="s">
        <v>497</v>
      </c>
      <c r="C7069" s="2" t="s">
        <v>9</v>
      </c>
      <c r="D7069" s="2" t="s">
        <v>28</v>
      </c>
      <c r="E7069" s="2" t="s">
        <v>29</v>
      </c>
      <c r="F7069" s="2">
        <v>537.54</v>
      </c>
      <c r="G7069" s="2">
        <v>7</v>
      </c>
      <c r="H7069" s="2">
        <v>47.04</v>
      </c>
      <c r="I7069" t="str">
        <f t="shared" si="110"/>
        <v>Mar</v>
      </c>
      <c r="J7069">
        <f>YEAR(datas[[#This Row],[Order Date]])</f>
        <v>2024</v>
      </c>
    </row>
    <row r="7070" spans="1:10" ht="14.25" customHeight="1" x14ac:dyDescent="0.3">
      <c r="A7070" s="1">
        <v>45369</v>
      </c>
      <c r="B7070" s="2" t="s">
        <v>526</v>
      </c>
      <c r="C7070" s="2" t="s">
        <v>21</v>
      </c>
      <c r="D7070" s="2" t="s">
        <v>10</v>
      </c>
      <c r="E7070" s="2" t="s">
        <v>19</v>
      </c>
      <c r="F7070" s="2">
        <v>13.9</v>
      </c>
      <c r="G7070" s="2">
        <v>5</v>
      </c>
      <c r="H7070" s="2">
        <v>3.75</v>
      </c>
      <c r="I7070" t="str">
        <f t="shared" si="110"/>
        <v>Mar</v>
      </c>
      <c r="J7070">
        <f>YEAR(datas[[#This Row],[Order Date]])</f>
        <v>2024</v>
      </c>
    </row>
    <row r="7071" spans="1:10" ht="14.25" customHeight="1" x14ac:dyDescent="0.3">
      <c r="A7071" s="1">
        <v>45369</v>
      </c>
      <c r="B7071" s="2" t="s">
        <v>526</v>
      </c>
      <c r="C7071" s="2" t="s">
        <v>21</v>
      </c>
      <c r="D7071" s="2" t="s">
        <v>10</v>
      </c>
      <c r="E7071" s="2" t="s">
        <v>41</v>
      </c>
      <c r="F7071" s="2">
        <v>19.399999999999999</v>
      </c>
      <c r="G7071" s="2">
        <v>5</v>
      </c>
      <c r="H7071" s="2">
        <v>9.31</v>
      </c>
      <c r="I7071" t="str">
        <f t="shared" si="110"/>
        <v>Mar</v>
      </c>
      <c r="J7071">
        <f>YEAR(datas[[#This Row],[Order Date]])</f>
        <v>2024</v>
      </c>
    </row>
    <row r="7072" spans="1:10" ht="14.25" customHeight="1" x14ac:dyDescent="0.3">
      <c r="A7072" s="1">
        <v>45369</v>
      </c>
      <c r="B7072" s="2" t="s">
        <v>599</v>
      </c>
      <c r="C7072" s="2" t="s">
        <v>21</v>
      </c>
      <c r="D7072" s="2" t="s">
        <v>10</v>
      </c>
      <c r="E7072" s="2" t="s">
        <v>53</v>
      </c>
      <c r="F7072" s="2">
        <v>90.86</v>
      </c>
      <c r="G7072" s="2">
        <v>7</v>
      </c>
      <c r="H7072" s="2">
        <v>26.35</v>
      </c>
      <c r="I7072" t="str">
        <f t="shared" si="110"/>
        <v>Mar</v>
      </c>
      <c r="J7072">
        <f>YEAR(datas[[#This Row],[Order Date]])</f>
        <v>2024</v>
      </c>
    </row>
    <row r="7073" spans="1:10" ht="14.25" customHeight="1" x14ac:dyDescent="0.3">
      <c r="A7073" s="1">
        <v>45370</v>
      </c>
      <c r="B7073" s="2" t="s">
        <v>724</v>
      </c>
      <c r="C7073" s="2" t="s">
        <v>75</v>
      </c>
      <c r="D7073" s="2" t="s">
        <v>10</v>
      </c>
      <c r="E7073" s="2" t="s">
        <v>14</v>
      </c>
      <c r="F7073" s="2">
        <v>28.91</v>
      </c>
      <c r="G7073" s="2">
        <v>7</v>
      </c>
      <c r="H7073" s="2">
        <v>13.3</v>
      </c>
      <c r="I7073" t="str">
        <f t="shared" si="110"/>
        <v>Mar</v>
      </c>
      <c r="J7073">
        <f>YEAR(datas[[#This Row],[Order Date]])</f>
        <v>2024</v>
      </c>
    </row>
    <row r="7074" spans="1:10" ht="14.25" customHeight="1" x14ac:dyDescent="0.3">
      <c r="A7074" s="1">
        <v>45370</v>
      </c>
      <c r="B7074" s="2" t="s">
        <v>42</v>
      </c>
      <c r="C7074" s="2" t="s">
        <v>21</v>
      </c>
      <c r="D7074" s="2" t="s">
        <v>10</v>
      </c>
      <c r="E7074" s="2" t="s">
        <v>16</v>
      </c>
      <c r="F7074" s="2">
        <v>19.82</v>
      </c>
      <c r="G7074" s="2">
        <v>6</v>
      </c>
      <c r="H7074" s="2">
        <v>6.69</v>
      </c>
      <c r="I7074" t="str">
        <f t="shared" si="110"/>
        <v>Mar</v>
      </c>
      <c r="J7074">
        <f>YEAR(datas[[#This Row],[Order Date]])</f>
        <v>2024</v>
      </c>
    </row>
    <row r="7075" spans="1:10" ht="14.25" customHeight="1" x14ac:dyDescent="0.3">
      <c r="A7075" s="1">
        <v>45370</v>
      </c>
      <c r="B7075" s="2" t="s">
        <v>42</v>
      </c>
      <c r="C7075" s="2" t="s">
        <v>21</v>
      </c>
      <c r="D7075" s="2" t="s">
        <v>28</v>
      </c>
      <c r="E7075" s="2" t="s">
        <v>29</v>
      </c>
      <c r="F7075" s="2">
        <v>657.5</v>
      </c>
      <c r="G7075" s="2">
        <v>6</v>
      </c>
      <c r="H7075" s="2">
        <v>-131.5</v>
      </c>
      <c r="I7075" t="str">
        <f t="shared" si="110"/>
        <v>Mar</v>
      </c>
      <c r="J7075">
        <f>YEAR(datas[[#This Row],[Order Date]])</f>
        <v>2024</v>
      </c>
    </row>
    <row r="7076" spans="1:10" ht="14.25" customHeight="1" x14ac:dyDescent="0.3">
      <c r="A7076" s="1">
        <v>45370</v>
      </c>
      <c r="B7076" s="2" t="s">
        <v>42</v>
      </c>
      <c r="C7076" s="2" t="s">
        <v>21</v>
      </c>
      <c r="D7076" s="2" t="s">
        <v>28</v>
      </c>
      <c r="E7076" s="2" t="s">
        <v>34</v>
      </c>
      <c r="F7076" s="2">
        <v>99.54</v>
      </c>
      <c r="G7076" s="2">
        <v>2</v>
      </c>
      <c r="H7076" s="2">
        <v>10.95</v>
      </c>
      <c r="I7076" t="str">
        <f t="shared" si="110"/>
        <v>Mar</v>
      </c>
      <c r="J7076">
        <f>YEAR(datas[[#This Row],[Order Date]])</f>
        <v>2024</v>
      </c>
    </row>
    <row r="7077" spans="1:10" ht="14.25" customHeight="1" x14ac:dyDescent="0.3">
      <c r="A7077" s="1">
        <v>45370</v>
      </c>
      <c r="B7077" s="2" t="s">
        <v>42</v>
      </c>
      <c r="C7077" s="2" t="s">
        <v>21</v>
      </c>
      <c r="D7077" s="2" t="s">
        <v>28</v>
      </c>
      <c r="E7077" s="2" t="s">
        <v>34</v>
      </c>
      <c r="F7077" s="2">
        <v>199.96</v>
      </c>
      <c r="G7077" s="2">
        <v>4</v>
      </c>
      <c r="H7077" s="2">
        <v>85.98</v>
      </c>
      <c r="I7077" t="str">
        <f t="shared" si="110"/>
        <v>Mar</v>
      </c>
      <c r="J7077">
        <f>YEAR(datas[[#This Row],[Order Date]])</f>
        <v>2024</v>
      </c>
    </row>
    <row r="7078" spans="1:10" ht="14.25" customHeight="1" x14ac:dyDescent="0.3">
      <c r="A7078" s="1">
        <v>45370</v>
      </c>
      <c r="B7078" s="2" t="s">
        <v>103</v>
      </c>
      <c r="C7078" s="2" t="s">
        <v>21</v>
      </c>
      <c r="D7078" s="2" t="s">
        <v>10</v>
      </c>
      <c r="E7078" s="2" t="s">
        <v>16</v>
      </c>
      <c r="F7078" s="2">
        <v>14.62</v>
      </c>
      <c r="G7078" s="2">
        <v>2</v>
      </c>
      <c r="H7078" s="2">
        <v>5.12</v>
      </c>
      <c r="I7078" t="str">
        <f t="shared" si="110"/>
        <v>Mar</v>
      </c>
      <c r="J7078">
        <f>YEAR(datas[[#This Row],[Order Date]])</f>
        <v>2024</v>
      </c>
    </row>
    <row r="7079" spans="1:10" ht="14.25" customHeight="1" x14ac:dyDescent="0.3">
      <c r="A7079" s="1">
        <v>45370</v>
      </c>
      <c r="B7079" s="2" t="s">
        <v>103</v>
      </c>
      <c r="C7079" s="2" t="s">
        <v>21</v>
      </c>
      <c r="D7079" s="2" t="s">
        <v>26</v>
      </c>
      <c r="E7079" s="2" t="s">
        <v>73</v>
      </c>
      <c r="F7079" s="2">
        <v>697.16</v>
      </c>
      <c r="G7079" s="2">
        <v>5</v>
      </c>
      <c r="H7079" s="2">
        <v>8.7100000000000009</v>
      </c>
      <c r="I7079" t="str">
        <f t="shared" si="110"/>
        <v>Mar</v>
      </c>
      <c r="J7079">
        <f>YEAR(datas[[#This Row],[Order Date]])</f>
        <v>2024</v>
      </c>
    </row>
    <row r="7080" spans="1:10" ht="14.25" customHeight="1" x14ac:dyDescent="0.3">
      <c r="A7080" s="1">
        <v>45370</v>
      </c>
      <c r="B7080" s="2" t="s">
        <v>103</v>
      </c>
      <c r="C7080" s="2" t="s">
        <v>21</v>
      </c>
      <c r="D7080" s="2" t="s">
        <v>26</v>
      </c>
      <c r="E7080" s="2" t="s">
        <v>32</v>
      </c>
      <c r="F7080" s="2">
        <v>30.93</v>
      </c>
      <c r="G7080" s="2">
        <v>1</v>
      </c>
      <c r="H7080" s="2">
        <v>12.68</v>
      </c>
      <c r="I7080" t="str">
        <f t="shared" si="110"/>
        <v>Mar</v>
      </c>
      <c r="J7080">
        <f>YEAR(datas[[#This Row],[Order Date]])</f>
        <v>2024</v>
      </c>
    </row>
    <row r="7081" spans="1:10" ht="14.25" customHeight="1" x14ac:dyDescent="0.3">
      <c r="A7081" s="1">
        <v>45370</v>
      </c>
      <c r="B7081" s="2" t="s">
        <v>103</v>
      </c>
      <c r="C7081" s="2" t="s">
        <v>21</v>
      </c>
      <c r="D7081" s="2" t="s">
        <v>10</v>
      </c>
      <c r="E7081" s="2" t="s">
        <v>16</v>
      </c>
      <c r="F7081" s="2">
        <v>27.5</v>
      </c>
      <c r="G7081" s="2">
        <v>7</v>
      </c>
      <c r="H7081" s="2">
        <v>9.2799999999999994</v>
      </c>
      <c r="I7081" t="str">
        <f t="shared" si="110"/>
        <v>Mar</v>
      </c>
      <c r="J7081">
        <f>YEAR(datas[[#This Row],[Order Date]])</f>
        <v>2024</v>
      </c>
    </row>
    <row r="7082" spans="1:10" ht="14.25" customHeight="1" x14ac:dyDescent="0.3">
      <c r="A7082" s="1">
        <v>45370</v>
      </c>
      <c r="B7082" s="2" t="s">
        <v>505</v>
      </c>
      <c r="C7082" s="2" t="s">
        <v>21</v>
      </c>
      <c r="D7082" s="2" t="s">
        <v>10</v>
      </c>
      <c r="E7082" s="2" t="s">
        <v>53</v>
      </c>
      <c r="F7082" s="2">
        <v>381.36</v>
      </c>
      <c r="G7082" s="2">
        <v>7</v>
      </c>
      <c r="H7082" s="2">
        <v>106.78</v>
      </c>
      <c r="I7082" t="str">
        <f t="shared" si="110"/>
        <v>Mar</v>
      </c>
      <c r="J7082">
        <f>YEAR(datas[[#This Row],[Order Date]])</f>
        <v>2024</v>
      </c>
    </row>
    <row r="7083" spans="1:10" ht="14.25" customHeight="1" x14ac:dyDescent="0.3">
      <c r="A7083" s="1">
        <v>45370</v>
      </c>
      <c r="B7083" s="2" t="s">
        <v>493</v>
      </c>
      <c r="C7083" s="2" t="s">
        <v>87</v>
      </c>
      <c r="D7083" s="2" t="s">
        <v>10</v>
      </c>
      <c r="E7083" s="2" t="s">
        <v>19</v>
      </c>
      <c r="F7083" s="2">
        <v>8.94</v>
      </c>
      <c r="G7083" s="2">
        <v>3</v>
      </c>
      <c r="H7083" s="2">
        <v>2.41</v>
      </c>
      <c r="I7083" t="str">
        <f t="shared" si="110"/>
        <v>Mar</v>
      </c>
      <c r="J7083">
        <f>YEAR(datas[[#This Row],[Order Date]])</f>
        <v>2024</v>
      </c>
    </row>
    <row r="7084" spans="1:10" ht="14.25" customHeight="1" x14ac:dyDescent="0.3">
      <c r="A7084" s="1">
        <v>45371</v>
      </c>
      <c r="B7084" s="2" t="s">
        <v>98</v>
      </c>
      <c r="C7084" s="2" t="s">
        <v>68</v>
      </c>
      <c r="D7084" s="2" t="s">
        <v>26</v>
      </c>
      <c r="E7084" s="2" t="s">
        <v>32</v>
      </c>
      <c r="F7084" s="2">
        <v>2.91</v>
      </c>
      <c r="G7084" s="2">
        <v>1</v>
      </c>
      <c r="H7084" s="2">
        <v>1.37</v>
      </c>
      <c r="I7084" t="str">
        <f t="shared" si="110"/>
        <v>Mar</v>
      </c>
      <c r="J7084">
        <f>YEAR(datas[[#This Row],[Order Date]])</f>
        <v>2024</v>
      </c>
    </row>
    <row r="7085" spans="1:10" ht="14.25" customHeight="1" x14ac:dyDescent="0.3">
      <c r="A7085" s="1">
        <v>45371</v>
      </c>
      <c r="B7085" s="2" t="s">
        <v>771</v>
      </c>
      <c r="C7085" s="2" t="s">
        <v>82</v>
      </c>
      <c r="D7085" s="2" t="s">
        <v>28</v>
      </c>
      <c r="E7085" s="2" t="s">
        <v>34</v>
      </c>
      <c r="F7085" s="2">
        <v>265.93</v>
      </c>
      <c r="G7085" s="2">
        <v>7</v>
      </c>
      <c r="H7085" s="2">
        <v>63.82</v>
      </c>
      <c r="I7085" t="str">
        <f t="shared" si="110"/>
        <v>Mar</v>
      </c>
      <c r="J7085">
        <f>YEAR(datas[[#This Row],[Order Date]])</f>
        <v>2024</v>
      </c>
    </row>
    <row r="7086" spans="1:10" ht="14.25" customHeight="1" x14ac:dyDescent="0.3">
      <c r="A7086" s="1">
        <v>45371</v>
      </c>
      <c r="B7086" s="2" t="s">
        <v>378</v>
      </c>
      <c r="C7086" s="2" t="s">
        <v>248</v>
      </c>
      <c r="D7086" s="2" t="s">
        <v>28</v>
      </c>
      <c r="E7086" s="2" t="s">
        <v>34</v>
      </c>
      <c r="F7086" s="2">
        <v>238</v>
      </c>
      <c r="G7086" s="2">
        <v>2</v>
      </c>
      <c r="H7086" s="2">
        <v>38.08</v>
      </c>
      <c r="I7086" t="str">
        <f t="shared" si="110"/>
        <v>Mar</v>
      </c>
      <c r="J7086">
        <f>YEAR(datas[[#This Row],[Order Date]])</f>
        <v>2024</v>
      </c>
    </row>
    <row r="7087" spans="1:10" ht="14.25" customHeight="1" x14ac:dyDescent="0.3">
      <c r="A7087" s="1">
        <v>45371</v>
      </c>
      <c r="B7087" s="2" t="s">
        <v>378</v>
      </c>
      <c r="C7087" s="2" t="s">
        <v>248</v>
      </c>
      <c r="D7087" s="2" t="s">
        <v>10</v>
      </c>
      <c r="E7087" s="2" t="s">
        <v>11</v>
      </c>
      <c r="F7087" s="2">
        <v>61.96</v>
      </c>
      <c r="G7087" s="2">
        <v>2</v>
      </c>
      <c r="H7087" s="2">
        <v>27.88</v>
      </c>
      <c r="I7087" t="str">
        <f t="shared" si="110"/>
        <v>Mar</v>
      </c>
      <c r="J7087">
        <f>YEAR(datas[[#This Row],[Order Date]])</f>
        <v>2024</v>
      </c>
    </row>
    <row r="7088" spans="1:10" ht="14.25" customHeight="1" x14ac:dyDescent="0.3">
      <c r="A7088" s="1">
        <v>45371</v>
      </c>
      <c r="B7088" s="2" t="s">
        <v>237</v>
      </c>
      <c r="C7088" s="2" t="s">
        <v>9</v>
      </c>
      <c r="D7088" s="2" t="s">
        <v>10</v>
      </c>
      <c r="E7088" s="2" t="s">
        <v>11</v>
      </c>
      <c r="F7088" s="2">
        <v>56.7</v>
      </c>
      <c r="G7088" s="2">
        <v>2</v>
      </c>
      <c r="H7088" s="2">
        <v>19.14</v>
      </c>
      <c r="I7088" t="str">
        <f t="shared" si="110"/>
        <v>Mar</v>
      </c>
      <c r="J7088">
        <f>YEAR(datas[[#This Row],[Order Date]])</f>
        <v>2024</v>
      </c>
    </row>
    <row r="7089" spans="1:10" ht="14.25" customHeight="1" x14ac:dyDescent="0.3">
      <c r="A7089" s="1">
        <v>45371</v>
      </c>
      <c r="B7089" s="2" t="s">
        <v>237</v>
      </c>
      <c r="C7089" s="2" t="s">
        <v>9</v>
      </c>
      <c r="D7089" s="2" t="s">
        <v>10</v>
      </c>
      <c r="E7089" s="2" t="s">
        <v>11</v>
      </c>
      <c r="F7089" s="2">
        <v>274.06</v>
      </c>
      <c r="G7089" s="2">
        <v>7</v>
      </c>
      <c r="H7089" s="2">
        <v>102.77</v>
      </c>
      <c r="I7089" t="str">
        <f t="shared" si="110"/>
        <v>Mar</v>
      </c>
      <c r="J7089">
        <f>YEAR(datas[[#This Row],[Order Date]])</f>
        <v>2024</v>
      </c>
    </row>
    <row r="7090" spans="1:10" ht="14.25" customHeight="1" x14ac:dyDescent="0.3">
      <c r="A7090" s="1">
        <v>45372</v>
      </c>
      <c r="B7090" s="2" t="s">
        <v>832</v>
      </c>
      <c r="C7090" s="2" t="s">
        <v>68</v>
      </c>
      <c r="D7090" s="2" t="s">
        <v>10</v>
      </c>
      <c r="E7090" s="2" t="s">
        <v>11</v>
      </c>
      <c r="F7090" s="2">
        <v>277.39999999999998</v>
      </c>
      <c r="G7090" s="2">
        <v>5</v>
      </c>
      <c r="H7090" s="2">
        <v>133.15</v>
      </c>
      <c r="I7090" t="str">
        <f t="shared" si="110"/>
        <v>Mar</v>
      </c>
      <c r="J7090">
        <f>YEAR(datas[[#This Row],[Order Date]])</f>
        <v>2024</v>
      </c>
    </row>
    <row r="7091" spans="1:10" ht="14.25" customHeight="1" x14ac:dyDescent="0.3">
      <c r="A7091" s="1">
        <v>45372</v>
      </c>
      <c r="B7091" s="2" t="s">
        <v>832</v>
      </c>
      <c r="C7091" s="2" t="s">
        <v>68</v>
      </c>
      <c r="D7091" s="2" t="s">
        <v>10</v>
      </c>
      <c r="E7091" s="2" t="s">
        <v>11</v>
      </c>
      <c r="F7091" s="2">
        <v>5.78</v>
      </c>
      <c r="G7091" s="2">
        <v>1</v>
      </c>
      <c r="H7091" s="2">
        <v>2.83</v>
      </c>
      <c r="I7091" t="str">
        <f t="shared" si="110"/>
        <v>Mar</v>
      </c>
      <c r="J7091">
        <f>YEAR(datas[[#This Row],[Order Date]])</f>
        <v>2024</v>
      </c>
    </row>
    <row r="7092" spans="1:10" ht="14.25" customHeight="1" x14ac:dyDescent="0.3">
      <c r="A7092" s="1">
        <v>45372</v>
      </c>
      <c r="B7092" s="2" t="s">
        <v>120</v>
      </c>
      <c r="C7092" s="2" t="s">
        <v>329</v>
      </c>
      <c r="D7092" s="2" t="s">
        <v>26</v>
      </c>
      <c r="E7092" s="2" t="s">
        <v>27</v>
      </c>
      <c r="F7092" s="2">
        <v>1805.88</v>
      </c>
      <c r="G7092" s="2">
        <v>6</v>
      </c>
      <c r="H7092" s="2">
        <v>523.71</v>
      </c>
      <c r="I7092" t="str">
        <f t="shared" si="110"/>
        <v>Mar</v>
      </c>
      <c r="J7092">
        <f>YEAR(datas[[#This Row],[Order Date]])</f>
        <v>2024</v>
      </c>
    </row>
    <row r="7093" spans="1:10" ht="14.25" customHeight="1" x14ac:dyDescent="0.3">
      <c r="A7093" s="1">
        <v>45372</v>
      </c>
      <c r="B7093" s="2" t="s">
        <v>303</v>
      </c>
      <c r="C7093" s="2" t="s">
        <v>21</v>
      </c>
      <c r="D7093" s="2" t="s">
        <v>10</v>
      </c>
      <c r="E7093" s="2" t="s">
        <v>15</v>
      </c>
      <c r="F7093" s="2">
        <v>725.84</v>
      </c>
      <c r="G7093" s="2">
        <v>4</v>
      </c>
      <c r="H7093" s="2">
        <v>210.49</v>
      </c>
      <c r="I7093" t="str">
        <f t="shared" si="110"/>
        <v>Mar</v>
      </c>
      <c r="J7093">
        <f>YEAR(datas[[#This Row],[Order Date]])</f>
        <v>2024</v>
      </c>
    </row>
    <row r="7094" spans="1:10" ht="14.25" customHeight="1" x14ac:dyDescent="0.3">
      <c r="A7094" s="1">
        <v>45372</v>
      </c>
      <c r="B7094" s="2" t="s">
        <v>303</v>
      </c>
      <c r="C7094" s="2" t="s">
        <v>21</v>
      </c>
      <c r="D7094" s="2" t="s">
        <v>10</v>
      </c>
      <c r="E7094" s="2" t="s">
        <v>16</v>
      </c>
      <c r="F7094" s="2">
        <v>10.9</v>
      </c>
      <c r="G7094" s="2">
        <v>3</v>
      </c>
      <c r="H7094" s="2">
        <v>3.95</v>
      </c>
      <c r="I7094" t="str">
        <f t="shared" si="110"/>
        <v>Mar</v>
      </c>
      <c r="J7094">
        <f>YEAR(datas[[#This Row],[Order Date]])</f>
        <v>2024</v>
      </c>
    </row>
    <row r="7095" spans="1:10" ht="14.25" customHeight="1" x14ac:dyDescent="0.3">
      <c r="A7095" s="1">
        <v>45372</v>
      </c>
      <c r="B7095" s="2" t="s">
        <v>303</v>
      </c>
      <c r="C7095" s="2" t="s">
        <v>21</v>
      </c>
      <c r="D7095" s="2" t="s">
        <v>10</v>
      </c>
      <c r="E7095" s="2" t="s">
        <v>16</v>
      </c>
      <c r="F7095" s="2">
        <v>8.5399999999999991</v>
      </c>
      <c r="G7095" s="2">
        <v>2</v>
      </c>
      <c r="H7095" s="2">
        <v>2.88</v>
      </c>
      <c r="I7095" t="str">
        <f t="shared" si="110"/>
        <v>Mar</v>
      </c>
      <c r="J7095">
        <f>YEAR(datas[[#This Row],[Order Date]])</f>
        <v>2024</v>
      </c>
    </row>
    <row r="7096" spans="1:10" ht="14.25" customHeight="1" x14ac:dyDescent="0.3">
      <c r="A7096" s="1">
        <v>45372</v>
      </c>
      <c r="B7096" s="2" t="s">
        <v>269</v>
      </c>
      <c r="C7096" s="2" t="s">
        <v>64</v>
      </c>
      <c r="D7096" s="2" t="s">
        <v>10</v>
      </c>
      <c r="E7096" s="2" t="s">
        <v>53</v>
      </c>
      <c r="F7096" s="2">
        <v>64.38</v>
      </c>
      <c r="G7096" s="2">
        <v>1</v>
      </c>
      <c r="H7096" s="2">
        <v>8.0500000000000007</v>
      </c>
      <c r="I7096" t="str">
        <f t="shared" si="110"/>
        <v>Mar</v>
      </c>
      <c r="J7096">
        <f>YEAR(datas[[#This Row],[Order Date]])</f>
        <v>2024</v>
      </c>
    </row>
    <row r="7097" spans="1:10" ht="14.25" customHeight="1" x14ac:dyDescent="0.3">
      <c r="A7097" s="1">
        <v>45372</v>
      </c>
      <c r="B7097" s="2" t="s">
        <v>838</v>
      </c>
      <c r="C7097" s="2" t="s">
        <v>18</v>
      </c>
      <c r="D7097" s="2" t="s">
        <v>10</v>
      </c>
      <c r="E7097" s="2" t="s">
        <v>41</v>
      </c>
      <c r="F7097" s="2">
        <v>8.86</v>
      </c>
      <c r="G7097" s="2">
        <v>3</v>
      </c>
      <c r="H7097" s="2">
        <v>2.88</v>
      </c>
      <c r="I7097" t="str">
        <f t="shared" si="110"/>
        <v>Mar</v>
      </c>
      <c r="J7097">
        <f>YEAR(datas[[#This Row],[Order Date]])</f>
        <v>2024</v>
      </c>
    </row>
    <row r="7098" spans="1:10" ht="14.25" customHeight="1" x14ac:dyDescent="0.3">
      <c r="A7098" s="1">
        <v>45372</v>
      </c>
      <c r="B7098" s="2" t="s">
        <v>216</v>
      </c>
      <c r="C7098" s="2" t="s">
        <v>82</v>
      </c>
      <c r="D7098" s="2" t="s">
        <v>10</v>
      </c>
      <c r="E7098" s="2" t="s">
        <v>16</v>
      </c>
      <c r="F7098" s="2">
        <v>30.58</v>
      </c>
      <c r="G7098" s="2">
        <v>6</v>
      </c>
      <c r="H7098" s="2">
        <v>10.32</v>
      </c>
      <c r="I7098" t="str">
        <f t="shared" si="110"/>
        <v>Mar</v>
      </c>
      <c r="J7098">
        <f>YEAR(datas[[#This Row],[Order Date]])</f>
        <v>2024</v>
      </c>
    </row>
    <row r="7099" spans="1:10" ht="14.25" customHeight="1" x14ac:dyDescent="0.3">
      <c r="A7099" s="1">
        <v>45372</v>
      </c>
      <c r="B7099" s="2" t="s">
        <v>216</v>
      </c>
      <c r="C7099" s="2" t="s">
        <v>82</v>
      </c>
      <c r="D7099" s="2" t="s">
        <v>10</v>
      </c>
      <c r="E7099" s="2" t="s">
        <v>30</v>
      </c>
      <c r="F7099" s="2">
        <v>13.02</v>
      </c>
      <c r="G7099" s="2">
        <v>7</v>
      </c>
      <c r="H7099" s="2">
        <v>0.39</v>
      </c>
      <c r="I7099" t="str">
        <f t="shared" si="110"/>
        <v>Mar</v>
      </c>
      <c r="J7099">
        <f>YEAR(datas[[#This Row],[Order Date]])</f>
        <v>2024</v>
      </c>
    </row>
    <row r="7100" spans="1:10" ht="14.25" customHeight="1" x14ac:dyDescent="0.3">
      <c r="A7100" s="1">
        <v>45372</v>
      </c>
      <c r="B7100" s="2" t="s">
        <v>216</v>
      </c>
      <c r="C7100" s="2" t="s">
        <v>82</v>
      </c>
      <c r="D7100" s="2" t="s">
        <v>26</v>
      </c>
      <c r="E7100" s="2" t="s">
        <v>32</v>
      </c>
      <c r="F7100" s="2">
        <v>22.14</v>
      </c>
      <c r="G7100" s="2">
        <v>3</v>
      </c>
      <c r="H7100" s="2">
        <v>6.42</v>
      </c>
      <c r="I7100" t="str">
        <f t="shared" si="110"/>
        <v>Mar</v>
      </c>
      <c r="J7100">
        <f>YEAR(datas[[#This Row],[Order Date]])</f>
        <v>2024</v>
      </c>
    </row>
    <row r="7101" spans="1:10" ht="14.25" customHeight="1" x14ac:dyDescent="0.3">
      <c r="A7101" s="1">
        <v>45372</v>
      </c>
      <c r="B7101" s="2" t="s">
        <v>216</v>
      </c>
      <c r="C7101" s="2" t="s">
        <v>82</v>
      </c>
      <c r="D7101" s="2" t="s">
        <v>10</v>
      </c>
      <c r="E7101" s="2" t="s">
        <v>15</v>
      </c>
      <c r="F7101" s="2">
        <v>359.32</v>
      </c>
      <c r="G7101" s="2">
        <v>4</v>
      </c>
      <c r="H7101" s="2">
        <v>7.19</v>
      </c>
      <c r="I7101" t="str">
        <f t="shared" si="110"/>
        <v>Mar</v>
      </c>
      <c r="J7101">
        <f>YEAR(datas[[#This Row],[Order Date]])</f>
        <v>2024</v>
      </c>
    </row>
    <row r="7102" spans="1:10" ht="14.25" customHeight="1" x14ac:dyDescent="0.3">
      <c r="A7102" s="1">
        <v>45374</v>
      </c>
      <c r="B7102" s="2" t="s">
        <v>808</v>
      </c>
      <c r="C7102" s="2" t="s">
        <v>21</v>
      </c>
      <c r="D7102" s="2" t="s">
        <v>26</v>
      </c>
      <c r="E7102" s="2" t="s">
        <v>32</v>
      </c>
      <c r="F7102" s="2">
        <v>211.84</v>
      </c>
      <c r="G7102" s="2">
        <v>8</v>
      </c>
      <c r="H7102" s="2">
        <v>76.260000000000005</v>
      </c>
      <c r="I7102" t="str">
        <f t="shared" si="110"/>
        <v>Mar</v>
      </c>
      <c r="J7102">
        <f>YEAR(datas[[#This Row],[Order Date]])</f>
        <v>2024</v>
      </c>
    </row>
    <row r="7103" spans="1:10" ht="14.25" customHeight="1" x14ac:dyDescent="0.3">
      <c r="A7103" s="1">
        <v>45374</v>
      </c>
      <c r="B7103" s="2" t="s">
        <v>532</v>
      </c>
      <c r="C7103" s="2" t="s">
        <v>9</v>
      </c>
      <c r="D7103" s="2" t="s">
        <v>10</v>
      </c>
      <c r="E7103" s="2" t="s">
        <v>15</v>
      </c>
      <c r="F7103" s="2">
        <v>143.72999999999999</v>
      </c>
      <c r="G7103" s="2">
        <v>2</v>
      </c>
      <c r="H7103" s="2">
        <v>-32.340000000000003</v>
      </c>
      <c r="I7103" t="str">
        <f t="shared" si="110"/>
        <v>Mar</v>
      </c>
      <c r="J7103">
        <f>YEAR(datas[[#This Row],[Order Date]])</f>
        <v>2024</v>
      </c>
    </row>
    <row r="7104" spans="1:10" ht="14.25" customHeight="1" x14ac:dyDescent="0.3">
      <c r="A7104" s="1">
        <v>45374</v>
      </c>
      <c r="B7104" s="2" t="s">
        <v>646</v>
      </c>
      <c r="C7104" s="2" t="s">
        <v>75</v>
      </c>
      <c r="D7104" s="2" t="s">
        <v>10</v>
      </c>
      <c r="E7104" s="2" t="s">
        <v>11</v>
      </c>
      <c r="F7104" s="2">
        <v>25.68</v>
      </c>
      <c r="G7104" s="2">
        <v>6</v>
      </c>
      <c r="H7104" s="2">
        <v>11.56</v>
      </c>
      <c r="I7104" t="str">
        <f t="shared" si="110"/>
        <v>Mar</v>
      </c>
      <c r="J7104">
        <f>YEAR(datas[[#This Row],[Order Date]])</f>
        <v>2024</v>
      </c>
    </row>
    <row r="7105" spans="1:10" ht="14.25" customHeight="1" x14ac:dyDescent="0.3">
      <c r="A7105" s="1">
        <v>45374</v>
      </c>
      <c r="B7105" s="2" t="s">
        <v>186</v>
      </c>
      <c r="C7105" s="2" t="s">
        <v>75</v>
      </c>
      <c r="D7105" s="2" t="s">
        <v>10</v>
      </c>
      <c r="E7105" s="2" t="s">
        <v>95</v>
      </c>
      <c r="F7105" s="2">
        <v>347.58</v>
      </c>
      <c r="G7105" s="2">
        <v>3</v>
      </c>
      <c r="H7105" s="2">
        <v>17.38</v>
      </c>
      <c r="I7105" t="str">
        <f t="shared" si="110"/>
        <v>Mar</v>
      </c>
      <c r="J7105">
        <f>YEAR(datas[[#This Row],[Order Date]])</f>
        <v>2024</v>
      </c>
    </row>
    <row r="7106" spans="1:10" ht="14.25" customHeight="1" x14ac:dyDescent="0.3">
      <c r="A7106" s="1">
        <v>45374</v>
      </c>
      <c r="B7106" s="2" t="s">
        <v>767</v>
      </c>
      <c r="C7106" s="2" t="s">
        <v>82</v>
      </c>
      <c r="D7106" s="2" t="s">
        <v>10</v>
      </c>
      <c r="E7106" s="2" t="s">
        <v>16</v>
      </c>
      <c r="F7106" s="2">
        <v>34.76</v>
      </c>
      <c r="G7106" s="2">
        <v>5</v>
      </c>
      <c r="H7106" s="2">
        <v>11.3</v>
      </c>
      <c r="I7106" t="str">
        <f t="shared" si="110"/>
        <v>Mar</v>
      </c>
      <c r="J7106">
        <f>YEAR(datas[[#This Row],[Order Date]])</f>
        <v>2024</v>
      </c>
    </row>
    <row r="7107" spans="1:10" ht="14.25" customHeight="1" x14ac:dyDescent="0.3">
      <c r="A7107" s="1">
        <v>45374</v>
      </c>
      <c r="B7107" s="2" t="s">
        <v>819</v>
      </c>
      <c r="C7107" s="2" t="s">
        <v>82</v>
      </c>
      <c r="D7107" s="2" t="s">
        <v>10</v>
      </c>
      <c r="E7107" s="2" t="s">
        <v>15</v>
      </c>
      <c r="F7107" s="2">
        <v>32.479999999999997</v>
      </c>
      <c r="G7107" s="2">
        <v>2</v>
      </c>
      <c r="H7107" s="2">
        <v>4.87</v>
      </c>
      <c r="I7107" t="str">
        <f t="shared" ref="I7107:I7170" si="111">TEXT(A7107,"mmm")</f>
        <v>Mar</v>
      </c>
      <c r="J7107">
        <f>YEAR(datas[[#This Row],[Order Date]])</f>
        <v>2024</v>
      </c>
    </row>
    <row r="7108" spans="1:10" ht="14.25" customHeight="1" x14ac:dyDescent="0.3">
      <c r="A7108" s="1">
        <v>45374</v>
      </c>
      <c r="B7108" s="2" t="s">
        <v>819</v>
      </c>
      <c r="C7108" s="2" t="s">
        <v>82</v>
      </c>
      <c r="D7108" s="2" t="s">
        <v>10</v>
      </c>
      <c r="E7108" s="2" t="s">
        <v>11</v>
      </c>
      <c r="F7108" s="2">
        <v>20.04</v>
      </c>
      <c r="G7108" s="2">
        <v>3</v>
      </c>
      <c r="H7108" s="2">
        <v>9.6199999999999992</v>
      </c>
      <c r="I7108" t="str">
        <f t="shared" si="111"/>
        <v>Mar</v>
      </c>
      <c r="J7108">
        <f>YEAR(datas[[#This Row],[Order Date]])</f>
        <v>2024</v>
      </c>
    </row>
    <row r="7109" spans="1:10" ht="14.25" customHeight="1" x14ac:dyDescent="0.3">
      <c r="A7109" s="1">
        <v>45374</v>
      </c>
      <c r="B7109" s="2" t="s">
        <v>819</v>
      </c>
      <c r="C7109" s="2" t="s">
        <v>82</v>
      </c>
      <c r="D7109" s="2" t="s">
        <v>28</v>
      </c>
      <c r="E7109" s="2" t="s">
        <v>243</v>
      </c>
      <c r="F7109" s="2">
        <v>13999.96</v>
      </c>
      <c r="G7109" s="2">
        <v>4</v>
      </c>
      <c r="H7109" s="2">
        <v>6719.98</v>
      </c>
      <c r="I7109" t="str">
        <f t="shared" si="111"/>
        <v>Mar</v>
      </c>
      <c r="J7109">
        <f>YEAR(datas[[#This Row],[Order Date]])</f>
        <v>2024</v>
      </c>
    </row>
    <row r="7110" spans="1:10" ht="14.25" customHeight="1" x14ac:dyDescent="0.3">
      <c r="A7110" s="1">
        <v>45375</v>
      </c>
      <c r="B7110" s="2" t="s">
        <v>359</v>
      </c>
      <c r="C7110" s="2" t="s">
        <v>75</v>
      </c>
      <c r="D7110" s="2" t="s">
        <v>10</v>
      </c>
      <c r="E7110" s="2" t="s">
        <v>11</v>
      </c>
      <c r="F7110" s="2">
        <v>221.92</v>
      </c>
      <c r="G7110" s="2">
        <v>4</v>
      </c>
      <c r="H7110" s="2">
        <v>106.52</v>
      </c>
      <c r="I7110" t="str">
        <f t="shared" si="111"/>
        <v>Mar</v>
      </c>
      <c r="J7110">
        <f>YEAR(datas[[#This Row],[Order Date]])</f>
        <v>2024</v>
      </c>
    </row>
    <row r="7111" spans="1:10" ht="14.25" customHeight="1" x14ac:dyDescent="0.3">
      <c r="A7111" s="1">
        <v>45375</v>
      </c>
      <c r="B7111" s="2" t="s">
        <v>359</v>
      </c>
      <c r="C7111" s="2" t="s">
        <v>75</v>
      </c>
      <c r="D7111" s="2" t="s">
        <v>28</v>
      </c>
      <c r="E7111" s="2" t="s">
        <v>34</v>
      </c>
      <c r="F7111" s="2">
        <v>26</v>
      </c>
      <c r="G7111" s="2">
        <v>2</v>
      </c>
      <c r="H7111" s="2">
        <v>11.7</v>
      </c>
      <c r="I7111" t="str">
        <f t="shared" si="111"/>
        <v>Mar</v>
      </c>
      <c r="J7111">
        <f>YEAR(datas[[#This Row],[Order Date]])</f>
        <v>2024</v>
      </c>
    </row>
    <row r="7112" spans="1:10" ht="14.25" customHeight="1" x14ac:dyDescent="0.3">
      <c r="A7112" s="1">
        <v>45375</v>
      </c>
      <c r="B7112" s="2" t="s">
        <v>607</v>
      </c>
      <c r="C7112" s="2" t="s">
        <v>75</v>
      </c>
      <c r="D7112" s="2" t="s">
        <v>10</v>
      </c>
      <c r="E7112" s="2" t="s">
        <v>41</v>
      </c>
      <c r="F7112" s="2">
        <v>47.01</v>
      </c>
      <c r="G7112" s="2">
        <v>3</v>
      </c>
      <c r="H7112" s="2">
        <v>22.09</v>
      </c>
      <c r="I7112" t="str">
        <f t="shared" si="111"/>
        <v>Mar</v>
      </c>
      <c r="J7112">
        <f>YEAR(datas[[#This Row],[Order Date]])</f>
        <v>2024</v>
      </c>
    </row>
    <row r="7113" spans="1:10" ht="14.25" customHeight="1" x14ac:dyDescent="0.3">
      <c r="A7113" s="1">
        <v>45375</v>
      </c>
      <c r="B7113" s="2" t="s">
        <v>607</v>
      </c>
      <c r="C7113" s="2" t="s">
        <v>75</v>
      </c>
      <c r="D7113" s="2" t="s">
        <v>28</v>
      </c>
      <c r="E7113" s="2" t="s">
        <v>29</v>
      </c>
      <c r="F7113" s="2">
        <v>469.99</v>
      </c>
      <c r="G7113" s="2">
        <v>1</v>
      </c>
      <c r="H7113" s="2">
        <v>136.30000000000001</v>
      </c>
      <c r="I7113" t="str">
        <f t="shared" si="111"/>
        <v>Mar</v>
      </c>
      <c r="J7113">
        <f>YEAR(datas[[#This Row],[Order Date]])</f>
        <v>2024</v>
      </c>
    </row>
    <row r="7114" spans="1:10" ht="14.25" customHeight="1" x14ac:dyDescent="0.3">
      <c r="A7114" s="1">
        <v>45375</v>
      </c>
      <c r="B7114" s="2" t="s">
        <v>607</v>
      </c>
      <c r="C7114" s="2" t="s">
        <v>75</v>
      </c>
      <c r="D7114" s="2" t="s">
        <v>26</v>
      </c>
      <c r="E7114" s="2" t="s">
        <v>27</v>
      </c>
      <c r="F7114" s="2">
        <v>207.85</v>
      </c>
      <c r="G7114" s="2">
        <v>3</v>
      </c>
      <c r="H7114" s="2">
        <v>2.31</v>
      </c>
      <c r="I7114" t="str">
        <f t="shared" si="111"/>
        <v>Mar</v>
      </c>
      <c r="J7114">
        <f>YEAR(datas[[#This Row],[Order Date]])</f>
        <v>2024</v>
      </c>
    </row>
    <row r="7115" spans="1:10" ht="14.25" customHeight="1" x14ac:dyDescent="0.3">
      <c r="A7115" s="1">
        <v>45375</v>
      </c>
      <c r="B7115" s="2" t="s">
        <v>58</v>
      </c>
      <c r="C7115" s="2" t="s">
        <v>75</v>
      </c>
      <c r="D7115" s="2" t="s">
        <v>26</v>
      </c>
      <c r="E7115" s="2" t="s">
        <v>27</v>
      </c>
      <c r="F7115" s="2">
        <v>271.76</v>
      </c>
      <c r="G7115" s="2">
        <v>2</v>
      </c>
      <c r="H7115" s="2">
        <v>60.39</v>
      </c>
      <c r="I7115" t="str">
        <f t="shared" si="111"/>
        <v>Mar</v>
      </c>
      <c r="J7115">
        <f>YEAR(datas[[#This Row],[Order Date]])</f>
        <v>2024</v>
      </c>
    </row>
    <row r="7116" spans="1:10" ht="14.25" customHeight="1" x14ac:dyDescent="0.3">
      <c r="A7116" s="1">
        <v>45375</v>
      </c>
      <c r="B7116" s="2" t="s">
        <v>762</v>
      </c>
      <c r="C7116" s="2" t="s">
        <v>9</v>
      </c>
      <c r="D7116" s="2" t="s">
        <v>10</v>
      </c>
      <c r="E7116" s="2" t="s">
        <v>15</v>
      </c>
      <c r="F7116" s="2">
        <v>12.77</v>
      </c>
      <c r="G7116" s="2">
        <v>2</v>
      </c>
      <c r="H7116" s="2">
        <v>0.96</v>
      </c>
      <c r="I7116" t="str">
        <f t="shared" si="111"/>
        <v>Mar</v>
      </c>
      <c r="J7116">
        <f>YEAR(datas[[#This Row],[Order Date]])</f>
        <v>2024</v>
      </c>
    </row>
    <row r="7117" spans="1:10" ht="14.25" customHeight="1" x14ac:dyDescent="0.3">
      <c r="A7117" s="1">
        <v>45376</v>
      </c>
      <c r="B7117" s="2" t="s">
        <v>476</v>
      </c>
      <c r="C7117" s="2" t="s">
        <v>9</v>
      </c>
      <c r="D7117" s="2" t="s">
        <v>28</v>
      </c>
      <c r="E7117" s="2" t="s">
        <v>29</v>
      </c>
      <c r="F7117" s="2">
        <v>470.38</v>
      </c>
      <c r="G7117" s="2">
        <v>3</v>
      </c>
      <c r="H7117" s="2">
        <v>47.04</v>
      </c>
      <c r="I7117" t="str">
        <f t="shared" si="111"/>
        <v>Mar</v>
      </c>
      <c r="J7117">
        <f>YEAR(datas[[#This Row],[Order Date]])</f>
        <v>2024</v>
      </c>
    </row>
    <row r="7118" spans="1:10" ht="14.25" customHeight="1" x14ac:dyDescent="0.3">
      <c r="A7118" s="1">
        <v>45376</v>
      </c>
      <c r="B7118" s="2" t="s">
        <v>164</v>
      </c>
      <c r="C7118" s="2" t="s">
        <v>21</v>
      </c>
      <c r="D7118" s="2" t="s">
        <v>10</v>
      </c>
      <c r="E7118" s="2" t="s">
        <v>53</v>
      </c>
      <c r="F7118" s="2">
        <v>176.04</v>
      </c>
      <c r="G7118" s="2">
        <v>4</v>
      </c>
      <c r="H7118" s="2">
        <v>45.77</v>
      </c>
      <c r="I7118" t="str">
        <f t="shared" si="111"/>
        <v>Mar</v>
      </c>
      <c r="J7118">
        <f>YEAR(datas[[#This Row],[Order Date]])</f>
        <v>2024</v>
      </c>
    </row>
    <row r="7119" spans="1:10" ht="14.25" customHeight="1" x14ac:dyDescent="0.3">
      <c r="A7119" s="1">
        <v>45376</v>
      </c>
      <c r="B7119" s="2" t="s">
        <v>164</v>
      </c>
      <c r="C7119" s="2" t="s">
        <v>21</v>
      </c>
      <c r="D7119" s="2" t="s">
        <v>10</v>
      </c>
      <c r="E7119" s="2" t="s">
        <v>19</v>
      </c>
      <c r="F7119" s="2">
        <v>16.02</v>
      </c>
      <c r="G7119" s="2">
        <v>9</v>
      </c>
      <c r="H7119" s="2">
        <v>4.49</v>
      </c>
      <c r="I7119" t="str">
        <f t="shared" si="111"/>
        <v>Mar</v>
      </c>
      <c r="J7119">
        <f>YEAR(datas[[#This Row],[Order Date]])</f>
        <v>2024</v>
      </c>
    </row>
    <row r="7120" spans="1:10" ht="14.25" customHeight="1" x14ac:dyDescent="0.3">
      <c r="A7120" s="1">
        <v>45376</v>
      </c>
      <c r="B7120" s="2" t="s">
        <v>164</v>
      </c>
      <c r="C7120" s="2" t="s">
        <v>21</v>
      </c>
      <c r="D7120" s="2" t="s">
        <v>10</v>
      </c>
      <c r="E7120" s="2" t="s">
        <v>16</v>
      </c>
      <c r="F7120" s="2">
        <v>185.92</v>
      </c>
      <c r="G7120" s="2">
        <v>4</v>
      </c>
      <c r="H7120" s="2">
        <v>62.75</v>
      </c>
      <c r="I7120" t="str">
        <f t="shared" si="111"/>
        <v>Mar</v>
      </c>
      <c r="J7120">
        <f>YEAR(datas[[#This Row],[Order Date]])</f>
        <v>2024</v>
      </c>
    </row>
    <row r="7121" spans="1:10" ht="14.25" customHeight="1" x14ac:dyDescent="0.3">
      <c r="A7121" s="1">
        <v>45376</v>
      </c>
      <c r="B7121" s="2" t="s">
        <v>164</v>
      </c>
      <c r="C7121" s="2" t="s">
        <v>21</v>
      </c>
      <c r="D7121" s="2" t="s">
        <v>28</v>
      </c>
      <c r="E7121" s="2" t="s">
        <v>29</v>
      </c>
      <c r="F7121" s="2">
        <v>211.17</v>
      </c>
      <c r="G7121" s="2">
        <v>4</v>
      </c>
      <c r="H7121" s="2">
        <v>15.84</v>
      </c>
      <c r="I7121" t="str">
        <f t="shared" si="111"/>
        <v>Mar</v>
      </c>
      <c r="J7121">
        <f>YEAR(datas[[#This Row],[Order Date]])</f>
        <v>2024</v>
      </c>
    </row>
    <row r="7122" spans="1:10" ht="14.25" customHeight="1" x14ac:dyDescent="0.3">
      <c r="A7122" s="1">
        <v>45376</v>
      </c>
      <c r="B7122" s="2" t="s">
        <v>164</v>
      </c>
      <c r="C7122" s="2" t="s">
        <v>21</v>
      </c>
      <c r="D7122" s="2" t="s">
        <v>28</v>
      </c>
      <c r="E7122" s="2" t="s">
        <v>243</v>
      </c>
      <c r="F7122" s="2">
        <v>479.98</v>
      </c>
      <c r="G7122" s="2">
        <v>2</v>
      </c>
      <c r="H7122" s="2">
        <v>60</v>
      </c>
      <c r="I7122" t="str">
        <f t="shared" si="111"/>
        <v>Mar</v>
      </c>
      <c r="J7122">
        <f>YEAR(datas[[#This Row],[Order Date]])</f>
        <v>2024</v>
      </c>
    </row>
    <row r="7123" spans="1:10" ht="14.25" customHeight="1" x14ac:dyDescent="0.3">
      <c r="A7123" s="1">
        <v>45376</v>
      </c>
      <c r="B7123" s="2" t="s">
        <v>586</v>
      </c>
      <c r="C7123" s="2" t="s">
        <v>79</v>
      </c>
      <c r="D7123" s="2" t="s">
        <v>26</v>
      </c>
      <c r="E7123" s="2" t="s">
        <v>27</v>
      </c>
      <c r="F7123" s="2">
        <v>90.99</v>
      </c>
      <c r="G7123" s="2">
        <v>1</v>
      </c>
      <c r="H7123" s="2">
        <v>14.56</v>
      </c>
      <c r="I7123" t="str">
        <f t="shared" si="111"/>
        <v>Mar</v>
      </c>
      <c r="J7123">
        <f>YEAR(datas[[#This Row],[Order Date]])</f>
        <v>2024</v>
      </c>
    </row>
    <row r="7124" spans="1:10" ht="14.25" customHeight="1" x14ac:dyDescent="0.3">
      <c r="A7124" s="1">
        <v>45376</v>
      </c>
      <c r="B7124" s="2" t="s">
        <v>586</v>
      </c>
      <c r="C7124" s="2" t="s">
        <v>79</v>
      </c>
      <c r="D7124" s="2" t="s">
        <v>26</v>
      </c>
      <c r="E7124" s="2" t="s">
        <v>27</v>
      </c>
      <c r="F7124" s="2">
        <v>1526.56</v>
      </c>
      <c r="G7124" s="2">
        <v>7</v>
      </c>
      <c r="H7124" s="2">
        <v>427.44</v>
      </c>
      <c r="I7124" t="str">
        <f t="shared" si="111"/>
        <v>Mar</v>
      </c>
      <c r="J7124">
        <f>YEAR(datas[[#This Row],[Order Date]])</f>
        <v>2024</v>
      </c>
    </row>
    <row r="7125" spans="1:10" ht="14.25" customHeight="1" x14ac:dyDescent="0.3">
      <c r="A7125" s="1">
        <v>45376</v>
      </c>
      <c r="B7125" s="2" t="s">
        <v>586</v>
      </c>
      <c r="C7125" s="2" t="s">
        <v>79</v>
      </c>
      <c r="D7125" s="2" t="s">
        <v>26</v>
      </c>
      <c r="E7125" s="2" t="s">
        <v>27</v>
      </c>
      <c r="F7125" s="2">
        <v>368.97</v>
      </c>
      <c r="G7125" s="2">
        <v>3</v>
      </c>
      <c r="H7125" s="2">
        <v>40.590000000000003</v>
      </c>
      <c r="I7125" t="str">
        <f t="shared" si="111"/>
        <v>Mar</v>
      </c>
      <c r="J7125">
        <f>YEAR(datas[[#This Row],[Order Date]])</f>
        <v>2024</v>
      </c>
    </row>
    <row r="7126" spans="1:10" ht="14.25" customHeight="1" x14ac:dyDescent="0.3">
      <c r="A7126" s="1">
        <v>45376</v>
      </c>
      <c r="B7126" s="2" t="s">
        <v>324</v>
      </c>
      <c r="C7126" s="2" t="s">
        <v>9</v>
      </c>
      <c r="D7126" s="2" t="s">
        <v>10</v>
      </c>
      <c r="E7126" s="2" t="s">
        <v>11</v>
      </c>
      <c r="F7126" s="2">
        <v>6.85</v>
      </c>
      <c r="G7126" s="2">
        <v>2</v>
      </c>
      <c r="H7126" s="2">
        <v>2.14</v>
      </c>
      <c r="I7126" t="str">
        <f t="shared" si="111"/>
        <v>Mar</v>
      </c>
      <c r="J7126">
        <f>YEAR(datas[[#This Row],[Order Date]])</f>
        <v>2024</v>
      </c>
    </row>
    <row r="7127" spans="1:10" ht="14.25" customHeight="1" x14ac:dyDescent="0.3">
      <c r="A7127" s="1">
        <v>45376</v>
      </c>
      <c r="B7127" s="2" t="s">
        <v>129</v>
      </c>
      <c r="C7127" s="2" t="s">
        <v>82</v>
      </c>
      <c r="D7127" s="2" t="s">
        <v>10</v>
      </c>
      <c r="E7127" s="2" t="s">
        <v>19</v>
      </c>
      <c r="F7127" s="2">
        <v>23.1</v>
      </c>
      <c r="G7127" s="2">
        <v>2</v>
      </c>
      <c r="H7127" s="2">
        <v>6.93</v>
      </c>
      <c r="I7127" t="str">
        <f t="shared" si="111"/>
        <v>Mar</v>
      </c>
      <c r="J7127">
        <f>YEAR(datas[[#This Row],[Order Date]])</f>
        <v>2024</v>
      </c>
    </row>
    <row r="7128" spans="1:10" ht="14.25" customHeight="1" x14ac:dyDescent="0.3">
      <c r="A7128" s="1">
        <v>45376</v>
      </c>
      <c r="B7128" s="2" t="s">
        <v>218</v>
      </c>
      <c r="C7128" s="2" t="s">
        <v>75</v>
      </c>
      <c r="D7128" s="2" t="s">
        <v>10</v>
      </c>
      <c r="E7128" s="2" t="s">
        <v>19</v>
      </c>
      <c r="F7128" s="2">
        <v>11.05</v>
      </c>
      <c r="G7128" s="2">
        <v>5</v>
      </c>
      <c r="H7128" s="2">
        <v>2.98</v>
      </c>
      <c r="I7128" t="str">
        <f t="shared" si="111"/>
        <v>Mar</v>
      </c>
      <c r="J7128">
        <f>YEAR(datas[[#This Row],[Order Date]])</f>
        <v>2024</v>
      </c>
    </row>
    <row r="7129" spans="1:10" ht="14.25" customHeight="1" x14ac:dyDescent="0.3">
      <c r="A7129" s="1">
        <v>45377</v>
      </c>
      <c r="B7129" s="2" t="s">
        <v>152</v>
      </c>
      <c r="C7129" s="2" t="s">
        <v>75</v>
      </c>
      <c r="D7129" s="2" t="s">
        <v>26</v>
      </c>
      <c r="E7129" s="2" t="s">
        <v>45</v>
      </c>
      <c r="F7129" s="2">
        <v>257.57</v>
      </c>
      <c r="G7129" s="2">
        <v>2</v>
      </c>
      <c r="H7129" s="2">
        <v>-28.98</v>
      </c>
      <c r="I7129" t="str">
        <f t="shared" si="111"/>
        <v>Mar</v>
      </c>
      <c r="J7129">
        <f>YEAR(datas[[#This Row],[Order Date]])</f>
        <v>2024</v>
      </c>
    </row>
    <row r="7130" spans="1:10" ht="14.25" customHeight="1" x14ac:dyDescent="0.3">
      <c r="A7130" s="1">
        <v>45377</v>
      </c>
      <c r="B7130" s="2" t="s">
        <v>152</v>
      </c>
      <c r="C7130" s="2" t="s">
        <v>75</v>
      </c>
      <c r="D7130" s="2" t="s">
        <v>28</v>
      </c>
      <c r="E7130" s="2" t="s">
        <v>29</v>
      </c>
      <c r="F7130" s="2">
        <v>119.96</v>
      </c>
      <c r="G7130" s="2">
        <v>4</v>
      </c>
      <c r="H7130" s="2">
        <v>33.590000000000003</v>
      </c>
      <c r="I7130" t="str">
        <f t="shared" si="111"/>
        <v>Mar</v>
      </c>
      <c r="J7130">
        <f>YEAR(datas[[#This Row],[Order Date]])</f>
        <v>2024</v>
      </c>
    </row>
    <row r="7131" spans="1:10" ht="14.25" customHeight="1" x14ac:dyDescent="0.3">
      <c r="A7131" s="1">
        <v>45377</v>
      </c>
      <c r="B7131" s="2" t="s">
        <v>787</v>
      </c>
      <c r="C7131" s="2" t="s">
        <v>82</v>
      </c>
      <c r="D7131" s="2" t="s">
        <v>10</v>
      </c>
      <c r="E7131" s="2" t="s">
        <v>19</v>
      </c>
      <c r="F7131" s="2">
        <v>19.829999999999998</v>
      </c>
      <c r="G7131" s="2">
        <v>1</v>
      </c>
      <c r="H7131" s="2">
        <v>5.95</v>
      </c>
      <c r="I7131" t="str">
        <f t="shared" si="111"/>
        <v>Mar</v>
      </c>
      <c r="J7131">
        <f>YEAR(datas[[#This Row],[Order Date]])</f>
        <v>2024</v>
      </c>
    </row>
    <row r="7132" spans="1:10" ht="14.25" customHeight="1" x14ac:dyDescent="0.3">
      <c r="A7132" s="1">
        <v>45377</v>
      </c>
      <c r="B7132" s="2" t="s">
        <v>858</v>
      </c>
      <c r="C7132" s="2" t="s">
        <v>60</v>
      </c>
      <c r="D7132" s="2" t="s">
        <v>26</v>
      </c>
      <c r="E7132" s="2" t="s">
        <v>32</v>
      </c>
      <c r="F7132" s="2">
        <v>60.84</v>
      </c>
      <c r="G7132" s="2">
        <v>3</v>
      </c>
      <c r="H7132" s="2">
        <v>23.12</v>
      </c>
      <c r="I7132" t="str">
        <f t="shared" si="111"/>
        <v>Mar</v>
      </c>
      <c r="J7132">
        <f>YEAR(datas[[#This Row],[Order Date]])</f>
        <v>2024</v>
      </c>
    </row>
    <row r="7133" spans="1:10" ht="14.25" customHeight="1" x14ac:dyDescent="0.3">
      <c r="A7133" s="1">
        <v>45377</v>
      </c>
      <c r="B7133" s="2" t="s">
        <v>800</v>
      </c>
      <c r="C7133" s="2" t="s">
        <v>36</v>
      </c>
      <c r="D7133" s="2" t="s">
        <v>28</v>
      </c>
      <c r="E7133" s="2" t="s">
        <v>34</v>
      </c>
      <c r="F7133" s="2">
        <v>53.25</v>
      </c>
      <c r="G7133" s="2">
        <v>3</v>
      </c>
      <c r="H7133" s="2">
        <v>20.77</v>
      </c>
      <c r="I7133" t="str">
        <f t="shared" si="111"/>
        <v>Mar</v>
      </c>
      <c r="J7133">
        <f>YEAR(datas[[#This Row],[Order Date]])</f>
        <v>2024</v>
      </c>
    </row>
    <row r="7134" spans="1:10" ht="14.25" customHeight="1" x14ac:dyDescent="0.3">
      <c r="A7134" s="1">
        <v>45377</v>
      </c>
      <c r="B7134" s="2" t="s">
        <v>800</v>
      </c>
      <c r="C7134" s="2" t="s">
        <v>36</v>
      </c>
      <c r="D7134" s="2" t="s">
        <v>10</v>
      </c>
      <c r="E7134" s="2" t="s">
        <v>30</v>
      </c>
      <c r="F7134" s="2">
        <v>3.76</v>
      </c>
      <c r="G7134" s="2">
        <v>2</v>
      </c>
      <c r="H7134" s="2">
        <v>1.32</v>
      </c>
      <c r="I7134" t="str">
        <f t="shared" si="111"/>
        <v>Mar</v>
      </c>
      <c r="J7134">
        <f>YEAR(datas[[#This Row],[Order Date]])</f>
        <v>2024</v>
      </c>
    </row>
    <row r="7135" spans="1:10" ht="14.25" customHeight="1" x14ac:dyDescent="0.3">
      <c r="A7135" s="1">
        <v>45377</v>
      </c>
      <c r="B7135" s="2" t="s">
        <v>319</v>
      </c>
      <c r="C7135" s="2" t="s">
        <v>9</v>
      </c>
      <c r="D7135" s="2" t="s">
        <v>28</v>
      </c>
      <c r="E7135" s="2" t="s">
        <v>34</v>
      </c>
      <c r="F7135" s="2">
        <v>143.96</v>
      </c>
      <c r="G7135" s="2">
        <v>5</v>
      </c>
      <c r="H7135" s="2">
        <v>1.8</v>
      </c>
      <c r="I7135" t="str">
        <f t="shared" si="111"/>
        <v>Mar</v>
      </c>
      <c r="J7135">
        <f>YEAR(datas[[#This Row],[Order Date]])</f>
        <v>2024</v>
      </c>
    </row>
    <row r="7136" spans="1:10" ht="14.25" customHeight="1" x14ac:dyDescent="0.3">
      <c r="A7136" s="1">
        <v>45377</v>
      </c>
      <c r="B7136" s="2" t="s">
        <v>319</v>
      </c>
      <c r="C7136" s="2" t="s">
        <v>9</v>
      </c>
      <c r="D7136" s="2" t="s">
        <v>28</v>
      </c>
      <c r="E7136" s="2" t="s">
        <v>243</v>
      </c>
      <c r="F7136" s="2">
        <v>2399.96</v>
      </c>
      <c r="G7136" s="2">
        <v>5</v>
      </c>
      <c r="H7136" s="2">
        <v>569.99</v>
      </c>
      <c r="I7136" t="str">
        <f t="shared" si="111"/>
        <v>Mar</v>
      </c>
      <c r="J7136">
        <f>YEAR(datas[[#This Row],[Order Date]])</f>
        <v>2024</v>
      </c>
    </row>
    <row r="7137" spans="1:10" ht="14.25" customHeight="1" x14ac:dyDescent="0.3">
      <c r="A7137" s="1">
        <v>45377</v>
      </c>
      <c r="B7137" s="2" t="s">
        <v>319</v>
      </c>
      <c r="C7137" s="2" t="s">
        <v>9</v>
      </c>
      <c r="D7137" s="2" t="s">
        <v>10</v>
      </c>
      <c r="E7137" s="2" t="s">
        <v>11</v>
      </c>
      <c r="F7137" s="2">
        <v>74.349999999999994</v>
      </c>
      <c r="G7137" s="2">
        <v>3</v>
      </c>
      <c r="H7137" s="2">
        <v>23.24</v>
      </c>
      <c r="I7137" t="str">
        <f t="shared" si="111"/>
        <v>Mar</v>
      </c>
      <c r="J7137">
        <f>YEAR(datas[[#This Row],[Order Date]])</f>
        <v>2024</v>
      </c>
    </row>
    <row r="7138" spans="1:10" ht="14.25" customHeight="1" x14ac:dyDescent="0.3">
      <c r="A7138" s="1">
        <v>45377</v>
      </c>
      <c r="B7138" s="2" t="s">
        <v>319</v>
      </c>
      <c r="C7138" s="2" t="s">
        <v>9</v>
      </c>
      <c r="D7138" s="2" t="s">
        <v>10</v>
      </c>
      <c r="E7138" s="2" t="s">
        <v>53</v>
      </c>
      <c r="F7138" s="2">
        <v>87.17</v>
      </c>
      <c r="G7138" s="2">
        <v>8</v>
      </c>
      <c r="H7138" s="2">
        <v>-226.64</v>
      </c>
      <c r="I7138" t="str">
        <f t="shared" si="111"/>
        <v>Mar</v>
      </c>
      <c r="J7138">
        <f>YEAR(datas[[#This Row],[Order Date]])</f>
        <v>2024</v>
      </c>
    </row>
    <row r="7139" spans="1:10" ht="14.25" customHeight="1" x14ac:dyDescent="0.3">
      <c r="A7139" s="1">
        <v>45377</v>
      </c>
      <c r="B7139" s="2" t="s">
        <v>319</v>
      </c>
      <c r="C7139" s="2" t="s">
        <v>9</v>
      </c>
      <c r="D7139" s="2" t="s">
        <v>10</v>
      </c>
      <c r="E7139" s="2" t="s">
        <v>15</v>
      </c>
      <c r="F7139" s="2">
        <v>32.229999999999997</v>
      </c>
      <c r="G7139" s="2">
        <v>3</v>
      </c>
      <c r="H7139" s="2">
        <v>2.42</v>
      </c>
      <c r="I7139" t="str">
        <f t="shared" si="111"/>
        <v>Mar</v>
      </c>
      <c r="J7139">
        <f>YEAR(datas[[#This Row],[Order Date]])</f>
        <v>2024</v>
      </c>
    </row>
    <row r="7140" spans="1:10" ht="14.25" customHeight="1" x14ac:dyDescent="0.3">
      <c r="A7140" s="1">
        <v>45378</v>
      </c>
      <c r="B7140" s="2" t="s">
        <v>265</v>
      </c>
      <c r="C7140" s="2" t="s">
        <v>18</v>
      </c>
      <c r="D7140" s="2" t="s">
        <v>26</v>
      </c>
      <c r="E7140" s="2" t="s">
        <v>32</v>
      </c>
      <c r="F7140" s="2">
        <v>15.01</v>
      </c>
      <c r="G7140" s="2">
        <v>2</v>
      </c>
      <c r="H7140" s="2">
        <v>1.5</v>
      </c>
      <c r="I7140" t="str">
        <f t="shared" si="111"/>
        <v>Mar</v>
      </c>
      <c r="J7140">
        <f>YEAR(datas[[#This Row],[Order Date]])</f>
        <v>2024</v>
      </c>
    </row>
    <row r="7141" spans="1:10" ht="14.25" customHeight="1" x14ac:dyDescent="0.3">
      <c r="A7141" s="1">
        <v>45378</v>
      </c>
      <c r="B7141" s="2" t="s">
        <v>721</v>
      </c>
      <c r="C7141" s="2" t="s">
        <v>21</v>
      </c>
      <c r="D7141" s="2" t="s">
        <v>10</v>
      </c>
      <c r="E7141" s="2" t="s">
        <v>11</v>
      </c>
      <c r="F7141" s="2">
        <v>45.68</v>
      </c>
      <c r="G7141" s="2">
        <v>2</v>
      </c>
      <c r="H7141" s="2">
        <v>21.01</v>
      </c>
      <c r="I7141" t="str">
        <f t="shared" si="111"/>
        <v>Mar</v>
      </c>
      <c r="J7141">
        <f>YEAR(datas[[#This Row],[Order Date]])</f>
        <v>2024</v>
      </c>
    </row>
    <row r="7142" spans="1:10" ht="14.25" customHeight="1" x14ac:dyDescent="0.3">
      <c r="A7142" s="1">
        <v>45378</v>
      </c>
      <c r="B7142" s="2" t="s">
        <v>721</v>
      </c>
      <c r="C7142" s="2" t="s">
        <v>21</v>
      </c>
      <c r="D7142" s="2" t="s">
        <v>10</v>
      </c>
      <c r="E7142" s="2" t="s">
        <v>11</v>
      </c>
      <c r="F7142" s="2">
        <v>110.96</v>
      </c>
      <c r="G7142" s="2">
        <v>2</v>
      </c>
      <c r="H7142" s="2">
        <v>53.26</v>
      </c>
      <c r="I7142" t="str">
        <f t="shared" si="111"/>
        <v>Mar</v>
      </c>
      <c r="J7142">
        <f>YEAR(datas[[#This Row],[Order Date]])</f>
        <v>2024</v>
      </c>
    </row>
    <row r="7143" spans="1:10" ht="14.25" customHeight="1" x14ac:dyDescent="0.3">
      <c r="A7143" s="1">
        <v>45378</v>
      </c>
      <c r="B7143" s="2" t="s">
        <v>721</v>
      </c>
      <c r="C7143" s="2" t="s">
        <v>21</v>
      </c>
      <c r="D7143" s="2" t="s">
        <v>10</v>
      </c>
      <c r="E7143" s="2" t="s">
        <v>11</v>
      </c>
      <c r="F7143" s="2">
        <v>11.94</v>
      </c>
      <c r="G7143" s="2">
        <v>3</v>
      </c>
      <c r="H7143" s="2">
        <v>5.97</v>
      </c>
      <c r="I7143" t="str">
        <f t="shared" si="111"/>
        <v>Mar</v>
      </c>
      <c r="J7143">
        <f>YEAR(datas[[#This Row],[Order Date]])</f>
        <v>2024</v>
      </c>
    </row>
    <row r="7144" spans="1:10" ht="14.25" customHeight="1" x14ac:dyDescent="0.3">
      <c r="A7144" s="1">
        <v>45378</v>
      </c>
      <c r="B7144" s="2" t="s">
        <v>714</v>
      </c>
      <c r="C7144" s="2" t="s">
        <v>36</v>
      </c>
      <c r="D7144" s="2" t="s">
        <v>10</v>
      </c>
      <c r="E7144" s="2" t="s">
        <v>14</v>
      </c>
      <c r="F7144" s="2">
        <v>8.26</v>
      </c>
      <c r="G7144" s="2">
        <v>2</v>
      </c>
      <c r="H7144" s="2">
        <v>3.8</v>
      </c>
      <c r="I7144" t="str">
        <f t="shared" si="111"/>
        <v>Mar</v>
      </c>
      <c r="J7144">
        <f>YEAR(datas[[#This Row],[Order Date]])</f>
        <v>2024</v>
      </c>
    </row>
    <row r="7145" spans="1:10" ht="14.25" customHeight="1" x14ac:dyDescent="0.3">
      <c r="A7145" s="1">
        <v>45378</v>
      </c>
      <c r="B7145" s="2" t="s">
        <v>714</v>
      </c>
      <c r="C7145" s="2" t="s">
        <v>36</v>
      </c>
      <c r="D7145" s="2" t="s">
        <v>10</v>
      </c>
      <c r="E7145" s="2" t="s">
        <v>16</v>
      </c>
      <c r="F7145" s="2">
        <v>17.760000000000002</v>
      </c>
      <c r="G7145" s="2">
        <v>2</v>
      </c>
      <c r="H7145" s="2">
        <v>8.8800000000000008</v>
      </c>
      <c r="I7145" t="str">
        <f t="shared" si="111"/>
        <v>Mar</v>
      </c>
      <c r="J7145">
        <f>YEAR(datas[[#This Row],[Order Date]])</f>
        <v>2024</v>
      </c>
    </row>
    <row r="7146" spans="1:10" ht="14.25" customHeight="1" x14ac:dyDescent="0.3">
      <c r="A7146" s="1">
        <v>45378</v>
      </c>
      <c r="B7146" s="2" t="s">
        <v>714</v>
      </c>
      <c r="C7146" s="2" t="s">
        <v>36</v>
      </c>
      <c r="D7146" s="2" t="s">
        <v>10</v>
      </c>
      <c r="E7146" s="2" t="s">
        <v>15</v>
      </c>
      <c r="F7146" s="2">
        <v>332.94</v>
      </c>
      <c r="G7146" s="2">
        <v>3</v>
      </c>
      <c r="H7146" s="2">
        <v>9.99</v>
      </c>
      <c r="I7146" t="str">
        <f t="shared" si="111"/>
        <v>Mar</v>
      </c>
      <c r="J7146">
        <f>YEAR(datas[[#This Row],[Order Date]])</f>
        <v>2024</v>
      </c>
    </row>
    <row r="7147" spans="1:10" ht="14.25" customHeight="1" x14ac:dyDescent="0.3">
      <c r="A7147" s="1">
        <v>45378</v>
      </c>
      <c r="B7147" s="2" t="s">
        <v>714</v>
      </c>
      <c r="C7147" s="2" t="s">
        <v>36</v>
      </c>
      <c r="D7147" s="2" t="s">
        <v>26</v>
      </c>
      <c r="E7147" s="2" t="s">
        <v>73</v>
      </c>
      <c r="F7147" s="2">
        <v>292.10000000000002</v>
      </c>
      <c r="G7147" s="2">
        <v>2</v>
      </c>
      <c r="H7147" s="2">
        <v>58.42</v>
      </c>
      <c r="I7147" t="str">
        <f t="shared" si="111"/>
        <v>Mar</v>
      </c>
      <c r="J7147">
        <f>YEAR(datas[[#This Row],[Order Date]])</f>
        <v>2024</v>
      </c>
    </row>
    <row r="7148" spans="1:10" ht="14.25" customHeight="1" x14ac:dyDescent="0.3">
      <c r="A7148" s="1">
        <v>45378</v>
      </c>
      <c r="B7148" s="2" t="s">
        <v>714</v>
      </c>
      <c r="C7148" s="2" t="s">
        <v>36</v>
      </c>
      <c r="D7148" s="2" t="s">
        <v>28</v>
      </c>
      <c r="E7148" s="2" t="s">
        <v>29</v>
      </c>
      <c r="F7148" s="2">
        <v>206.1</v>
      </c>
      <c r="G7148" s="2">
        <v>5</v>
      </c>
      <c r="H7148" s="2">
        <v>55.65</v>
      </c>
      <c r="I7148" t="str">
        <f t="shared" si="111"/>
        <v>Mar</v>
      </c>
      <c r="J7148">
        <f>YEAR(datas[[#This Row],[Order Date]])</f>
        <v>2024</v>
      </c>
    </row>
    <row r="7149" spans="1:10" ht="14.25" customHeight="1" x14ac:dyDescent="0.3">
      <c r="A7149" s="1">
        <v>45378</v>
      </c>
      <c r="B7149" s="2" t="s">
        <v>714</v>
      </c>
      <c r="C7149" s="2" t="s">
        <v>36</v>
      </c>
      <c r="D7149" s="2" t="s">
        <v>10</v>
      </c>
      <c r="E7149" s="2" t="s">
        <v>11</v>
      </c>
      <c r="F7149" s="2">
        <v>17.64</v>
      </c>
      <c r="G7149" s="2">
        <v>4</v>
      </c>
      <c r="H7149" s="2">
        <v>8.11</v>
      </c>
      <c r="I7149" t="str">
        <f t="shared" si="111"/>
        <v>Mar</v>
      </c>
      <c r="J7149">
        <f>YEAR(datas[[#This Row],[Order Date]])</f>
        <v>2024</v>
      </c>
    </row>
    <row r="7150" spans="1:10" ht="14.25" customHeight="1" x14ac:dyDescent="0.3">
      <c r="A7150" s="1">
        <v>45378</v>
      </c>
      <c r="B7150" s="2" t="s">
        <v>814</v>
      </c>
      <c r="C7150" s="2" t="s">
        <v>9</v>
      </c>
      <c r="D7150" s="2" t="s">
        <v>26</v>
      </c>
      <c r="E7150" s="2" t="s">
        <v>45</v>
      </c>
      <c r="F7150" s="2">
        <v>1023.33</v>
      </c>
      <c r="G7150" s="2">
        <v>5</v>
      </c>
      <c r="H7150" s="2">
        <v>-30.1</v>
      </c>
      <c r="I7150" t="str">
        <f t="shared" si="111"/>
        <v>Mar</v>
      </c>
      <c r="J7150">
        <f>YEAR(datas[[#This Row],[Order Date]])</f>
        <v>2024</v>
      </c>
    </row>
    <row r="7151" spans="1:10" ht="14.25" customHeight="1" x14ac:dyDescent="0.3">
      <c r="A7151" s="1">
        <v>45378</v>
      </c>
      <c r="B7151" s="2" t="s">
        <v>814</v>
      </c>
      <c r="C7151" s="2" t="s">
        <v>9</v>
      </c>
      <c r="D7151" s="2" t="s">
        <v>26</v>
      </c>
      <c r="E7151" s="2" t="s">
        <v>27</v>
      </c>
      <c r="F7151" s="2">
        <v>600.55999999999995</v>
      </c>
      <c r="G7151" s="2">
        <v>3</v>
      </c>
      <c r="H7151" s="2">
        <v>-8.58</v>
      </c>
      <c r="I7151" t="str">
        <f t="shared" si="111"/>
        <v>Mar</v>
      </c>
      <c r="J7151">
        <f>YEAR(datas[[#This Row],[Order Date]])</f>
        <v>2024</v>
      </c>
    </row>
    <row r="7152" spans="1:10" ht="14.25" customHeight="1" x14ac:dyDescent="0.3">
      <c r="A7152" s="1">
        <v>45378</v>
      </c>
      <c r="B7152" s="2" t="s">
        <v>814</v>
      </c>
      <c r="C7152" s="2" t="s">
        <v>9</v>
      </c>
      <c r="D7152" s="2" t="s">
        <v>28</v>
      </c>
      <c r="E7152" s="2" t="s">
        <v>34</v>
      </c>
      <c r="F7152" s="2">
        <v>39.99</v>
      </c>
      <c r="G7152" s="2">
        <v>1</v>
      </c>
      <c r="H7152" s="2">
        <v>7</v>
      </c>
      <c r="I7152" t="str">
        <f t="shared" si="111"/>
        <v>Mar</v>
      </c>
      <c r="J7152">
        <f>YEAR(datas[[#This Row],[Order Date]])</f>
        <v>2024</v>
      </c>
    </row>
    <row r="7153" spans="1:10" ht="14.25" customHeight="1" x14ac:dyDescent="0.3">
      <c r="A7153" s="1">
        <v>45378</v>
      </c>
      <c r="B7153" s="2" t="s">
        <v>814</v>
      </c>
      <c r="C7153" s="2" t="s">
        <v>9</v>
      </c>
      <c r="D7153" s="2" t="s">
        <v>26</v>
      </c>
      <c r="E7153" s="2" t="s">
        <v>27</v>
      </c>
      <c r="F7153" s="2">
        <v>211.25</v>
      </c>
      <c r="G7153" s="2">
        <v>2</v>
      </c>
      <c r="H7153" s="2">
        <v>-66.39</v>
      </c>
      <c r="I7153" t="str">
        <f t="shared" si="111"/>
        <v>Mar</v>
      </c>
      <c r="J7153">
        <f>YEAR(datas[[#This Row],[Order Date]])</f>
        <v>2024</v>
      </c>
    </row>
    <row r="7154" spans="1:10" ht="14.25" customHeight="1" x14ac:dyDescent="0.3">
      <c r="A7154" s="1">
        <v>45379</v>
      </c>
      <c r="B7154" s="2" t="s">
        <v>86</v>
      </c>
      <c r="C7154" s="2" t="s">
        <v>64</v>
      </c>
      <c r="D7154" s="2" t="s">
        <v>10</v>
      </c>
      <c r="E7154" s="2" t="s">
        <v>16</v>
      </c>
      <c r="F7154" s="2">
        <v>68.739999999999995</v>
      </c>
      <c r="G7154" s="2">
        <v>9</v>
      </c>
      <c r="H7154" s="2">
        <v>-48.12</v>
      </c>
      <c r="I7154" t="str">
        <f t="shared" si="111"/>
        <v>Mar</v>
      </c>
      <c r="J7154">
        <f>YEAR(datas[[#This Row],[Order Date]])</f>
        <v>2024</v>
      </c>
    </row>
    <row r="7155" spans="1:10" ht="14.25" customHeight="1" x14ac:dyDescent="0.3">
      <c r="A7155" s="1">
        <v>45379</v>
      </c>
      <c r="B7155" s="2" t="s">
        <v>598</v>
      </c>
      <c r="C7155" s="2" t="s">
        <v>21</v>
      </c>
      <c r="D7155" s="2" t="s">
        <v>10</v>
      </c>
      <c r="E7155" s="2" t="s">
        <v>11</v>
      </c>
      <c r="F7155" s="2">
        <v>12.96</v>
      </c>
      <c r="G7155" s="2">
        <v>2</v>
      </c>
      <c r="H7155" s="2">
        <v>6.35</v>
      </c>
      <c r="I7155" t="str">
        <f t="shared" si="111"/>
        <v>Mar</v>
      </c>
      <c r="J7155">
        <f>YEAR(datas[[#This Row],[Order Date]])</f>
        <v>2024</v>
      </c>
    </row>
    <row r="7156" spans="1:10" ht="14.25" customHeight="1" x14ac:dyDescent="0.3">
      <c r="A7156" s="1">
        <v>45379</v>
      </c>
      <c r="B7156" s="2" t="s">
        <v>598</v>
      </c>
      <c r="C7156" s="2" t="s">
        <v>21</v>
      </c>
      <c r="D7156" s="2" t="s">
        <v>26</v>
      </c>
      <c r="E7156" s="2" t="s">
        <v>32</v>
      </c>
      <c r="F7156" s="2">
        <v>26.48</v>
      </c>
      <c r="G7156" s="2">
        <v>1</v>
      </c>
      <c r="H7156" s="2">
        <v>10.06</v>
      </c>
      <c r="I7156" t="str">
        <f t="shared" si="111"/>
        <v>Mar</v>
      </c>
      <c r="J7156">
        <f>YEAR(datas[[#This Row],[Order Date]])</f>
        <v>2024</v>
      </c>
    </row>
    <row r="7157" spans="1:10" ht="14.25" customHeight="1" x14ac:dyDescent="0.3">
      <c r="A7157" s="1">
        <v>45379</v>
      </c>
      <c r="B7157" s="2" t="s">
        <v>598</v>
      </c>
      <c r="C7157" s="2" t="s">
        <v>21</v>
      </c>
      <c r="D7157" s="2" t="s">
        <v>28</v>
      </c>
      <c r="E7157" s="2" t="s">
        <v>136</v>
      </c>
      <c r="F7157" s="2">
        <v>532.72</v>
      </c>
      <c r="G7157" s="2">
        <v>2</v>
      </c>
      <c r="H7157" s="2">
        <v>53.27</v>
      </c>
      <c r="I7157" t="str">
        <f t="shared" si="111"/>
        <v>Mar</v>
      </c>
      <c r="J7157">
        <f>YEAR(datas[[#This Row],[Order Date]])</f>
        <v>2024</v>
      </c>
    </row>
    <row r="7158" spans="1:10" ht="14.25" customHeight="1" x14ac:dyDescent="0.3">
      <c r="A7158" s="1">
        <v>45379</v>
      </c>
      <c r="B7158" s="2" t="s">
        <v>598</v>
      </c>
      <c r="C7158" s="2" t="s">
        <v>21</v>
      </c>
      <c r="D7158" s="2" t="s">
        <v>10</v>
      </c>
      <c r="E7158" s="2" t="s">
        <v>11</v>
      </c>
      <c r="F7158" s="2">
        <v>26.72</v>
      </c>
      <c r="G7158" s="2">
        <v>4</v>
      </c>
      <c r="H7158" s="2">
        <v>12.83</v>
      </c>
      <c r="I7158" t="str">
        <f t="shared" si="111"/>
        <v>Mar</v>
      </c>
      <c r="J7158">
        <f>YEAR(datas[[#This Row],[Order Date]])</f>
        <v>2024</v>
      </c>
    </row>
    <row r="7159" spans="1:10" ht="14.25" customHeight="1" x14ac:dyDescent="0.3">
      <c r="A7159" s="1">
        <v>45379</v>
      </c>
      <c r="B7159" s="2" t="s">
        <v>598</v>
      </c>
      <c r="C7159" s="2" t="s">
        <v>21</v>
      </c>
      <c r="D7159" s="2" t="s">
        <v>10</v>
      </c>
      <c r="E7159" s="2" t="s">
        <v>11</v>
      </c>
      <c r="F7159" s="2">
        <v>20.04</v>
      </c>
      <c r="G7159" s="2">
        <v>3</v>
      </c>
      <c r="H7159" s="2">
        <v>9.6199999999999992</v>
      </c>
      <c r="I7159" t="str">
        <f t="shared" si="111"/>
        <v>Mar</v>
      </c>
      <c r="J7159">
        <f>YEAR(datas[[#This Row],[Order Date]])</f>
        <v>2024</v>
      </c>
    </row>
    <row r="7160" spans="1:10" ht="14.25" customHeight="1" x14ac:dyDescent="0.3">
      <c r="A7160" s="1">
        <v>45379</v>
      </c>
      <c r="B7160" s="2" t="s">
        <v>598</v>
      </c>
      <c r="C7160" s="2" t="s">
        <v>21</v>
      </c>
      <c r="D7160" s="2" t="s">
        <v>10</v>
      </c>
      <c r="E7160" s="2" t="s">
        <v>15</v>
      </c>
      <c r="F7160" s="2">
        <v>795.48</v>
      </c>
      <c r="G7160" s="2">
        <v>7</v>
      </c>
      <c r="H7160" s="2">
        <v>7.95</v>
      </c>
      <c r="I7160" t="str">
        <f t="shared" si="111"/>
        <v>Mar</v>
      </c>
      <c r="J7160">
        <f>YEAR(datas[[#This Row],[Order Date]])</f>
        <v>2024</v>
      </c>
    </row>
    <row r="7161" spans="1:10" ht="14.25" customHeight="1" x14ac:dyDescent="0.3">
      <c r="A7161" s="1">
        <v>45379</v>
      </c>
      <c r="B7161" s="2" t="s">
        <v>598</v>
      </c>
      <c r="C7161" s="2" t="s">
        <v>21</v>
      </c>
      <c r="D7161" s="2" t="s">
        <v>26</v>
      </c>
      <c r="E7161" s="2" t="s">
        <v>32</v>
      </c>
      <c r="F7161" s="2">
        <v>21.56</v>
      </c>
      <c r="G7161" s="2">
        <v>7</v>
      </c>
      <c r="H7161" s="2">
        <v>6.9</v>
      </c>
      <c r="I7161" t="str">
        <f t="shared" si="111"/>
        <v>Mar</v>
      </c>
      <c r="J7161">
        <f>YEAR(datas[[#This Row],[Order Date]])</f>
        <v>2024</v>
      </c>
    </row>
    <row r="7162" spans="1:10" ht="14.25" customHeight="1" x14ac:dyDescent="0.3">
      <c r="A7162" s="1">
        <v>45380</v>
      </c>
      <c r="B7162" s="2" t="s">
        <v>378</v>
      </c>
      <c r="C7162" s="2" t="s">
        <v>68</v>
      </c>
      <c r="D7162" s="2" t="s">
        <v>10</v>
      </c>
      <c r="E7162" s="2" t="s">
        <v>15</v>
      </c>
      <c r="F7162" s="2">
        <v>81.400000000000006</v>
      </c>
      <c r="G7162" s="2">
        <v>5</v>
      </c>
      <c r="H7162" s="2">
        <v>21.16</v>
      </c>
      <c r="I7162" t="str">
        <f t="shared" si="111"/>
        <v>Mar</v>
      </c>
      <c r="J7162">
        <f>YEAR(datas[[#This Row],[Order Date]])</f>
        <v>2024</v>
      </c>
    </row>
    <row r="7163" spans="1:10" ht="14.25" customHeight="1" x14ac:dyDescent="0.3">
      <c r="A7163" s="1">
        <v>45381</v>
      </c>
      <c r="B7163" s="2" t="s">
        <v>859</v>
      </c>
      <c r="C7163" s="2" t="s">
        <v>329</v>
      </c>
      <c r="D7163" s="2" t="s">
        <v>10</v>
      </c>
      <c r="E7163" s="2" t="s">
        <v>41</v>
      </c>
      <c r="F7163" s="2">
        <v>325.86</v>
      </c>
      <c r="G7163" s="2">
        <v>2</v>
      </c>
      <c r="H7163" s="2">
        <v>149.9</v>
      </c>
      <c r="I7163" t="str">
        <f t="shared" si="111"/>
        <v>Mar</v>
      </c>
      <c r="J7163">
        <f>YEAR(datas[[#This Row],[Order Date]])</f>
        <v>2024</v>
      </c>
    </row>
    <row r="7164" spans="1:10" ht="14.25" customHeight="1" x14ac:dyDescent="0.3">
      <c r="A7164" s="1">
        <v>45381</v>
      </c>
      <c r="B7164" s="2" t="s">
        <v>725</v>
      </c>
      <c r="C7164" s="2" t="s">
        <v>18</v>
      </c>
      <c r="D7164" s="2" t="s">
        <v>10</v>
      </c>
      <c r="E7164" s="2" t="s">
        <v>16</v>
      </c>
      <c r="F7164" s="2">
        <v>5.72</v>
      </c>
      <c r="G7164" s="2">
        <v>5</v>
      </c>
      <c r="H7164" s="2">
        <v>-4.76</v>
      </c>
      <c r="I7164" t="str">
        <f t="shared" si="111"/>
        <v>Mar</v>
      </c>
      <c r="J7164">
        <f>YEAR(datas[[#This Row],[Order Date]])</f>
        <v>2024</v>
      </c>
    </row>
    <row r="7165" spans="1:10" ht="14.25" customHeight="1" x14ac:dyDescent="0.3">
      <c r="A7165" s="1">
        <v>45381</v>
      </c>
      <c r="B7165" s="2" t="s">
        <v>24</v>
      </c>
      <c r="C7165" s="2" t="s">
        <v>23</v>
      </c>
      <c r="D7165" s="2" t="s">
        <v>10</v>
      </c>
      <c r="E7165" s="2" t="s">
        <v>15</v>
      </c>
      <c r="F7165" s="2">
        <v>59.76</v>
      </c>
      <c r="G7165" s="2">
        <v>1</v>
      </c>
      <c r="H7165" s="2">
        <v>16.73</v>
      </c>
      <c r="I7165" t="str">
        <f t="shared" si="111"/>
        <v>Mar</v>
      </c>
      <c r="J7165">
        <f>YEAR(datas[[#This Row],[Order Date]])</f>
        <v>2024</v>
      </c>
    </row>
    <row r="7166" spans="1:10" ht="14.25" customHeight="1" x14ac:dyDescent="0.3">
      <c r="A7166" s="1">
        <v>45381</v>
      </c>
      <c r="B7166" s="2" t="s">
        <v>63</v>
      </c>
      <c r="C7166" s="2" t="s">
        <v>21</v>
      </c>
      <c r="D7166" s="2" t="s">
        <v>10</v>
      </c>
      <c r="E7166" s="2" t="s">
        <v>19</v>
      </c>
      <c r="F7166" s="2">
        <v>6.08</v>
      </c>
      <c r="G7166" s="2">
        <v>2</v>
      </c>
      <c r="H7166" s="2">
        <v>2.0699999999999998</v>
      </c>
      <c r="I7166" t="str">
        <f t="shared" si="111"/>
        <v>Mar</v>
      </c>
      <c r="J7166">
        <f>YEAR(datas[[#This Row],[Order Date]])</f>
        <v>2024</v>
      </c>
    </row>
    <row r="7167" spans="1:10" ht="14.25" customHeight="1" x14ac:dyDescent="0.3">
      <c r="A7167" s="1">
        <v>45381</v>
      </c>
      <c r="B7167" s="2" t="s">
        <v>63</v>
      </c>
      <c r="C7167" s="2" t="s">
        <v>21</v>
      </c>
      <c r="D7167" s="2" t="s">
        <v>28</v>
      </c>
      <c r="E7167" s="2" t="s">
        <v>29</v>
      </c>
      <c r="F7167" s="2">
        <v>164.79</v>
      </c>
      <c r="G7167" s="2">
        <v>1</v>
      </c>
      <c r="H7167" s="2">
        <v>18.54</v>
      </c>
      <c r="I7167" t="str">
        <f t="shared" si="111"/>
        <v>Mar</v>
      </c>
      <c r="J7167">
        <f>YEAR(datas[[#This Row],[Order Date]])</f>
        <v>2024</v>
      </c>
    </row>
    <row r="7168" spans="1:10" ht="14.25" customHeight="1" x14ac:dyDescent="0.3">
      <c r="A7168" s="1">
        <v>45381</v>
      </c>
      <c r="B7168" s="2" t="s">
        <v>585</v>
      </c>
      <c r="C7168" s="2" t="s">
        <v>21</v>
      </c>
      <c r="D7168" s="2" t="s">
        <v>26</v>
      </c>
      <c r="E7168" s="2" t="s">
        <v>32</v>
      </c>
      <c r="F7168" s="2">
        <v>94.2</v>
      </c>
      <c r="G7168" s="2">
        <v>5</v>
      </c>
      <c r="H7168" s="2">
        <v>39.56</v>
      </c>
      <c r="I7168" t="str">
        <f t="shared" si="111"/>
        <v>Mar</v>
      </c>
      <c r="J7168">
        <f>YEAR(datas[[#This Row],[Order Date]])</f>
        <v>2024</v>
      </c>
    </row>
    <row r="7169" spans="1:10" ht="14.25" customHeight="1" x14ac:dyDescent="0.3">
      <c r="A7169" s="1">
        <v>45382</v>
      </c>
      <c r="B7169" s="2" t="s">
        <v>235</v>
      </c>
      <c r="C7169" s="2" t="s">
        <v>9</v>
      </c>
      <c r="D7169" s="2" t="s">
        <v>26</v>
      </c>
      <c r="E7169" s="2" t="s">
        <v>45</v>
      </c>
      <c r="F7169" s="2">
        <v>205.33</v>
      </c>
      <c r="G7169" s="2">
        <v>2</v>
      </c>
      <c r="H7169" s="2">
        <v>-36.24</v>
      </c>
      <c r="I7169" t="str">
        <f t="shared" si="111"/>
        <v>Mar</v>
      </c>
      <c r="J7169">
        <f>YEAR(datas[[#This Row],[Order Date]])</f>
        <v>2024</v>
      </c>
    </row>
    <row r="7170" spans="1:10" ht="14.25" customHeight="1" x14ac:dyDescent="0.3">
      <c r="A7170" s="1">
        <v>45382</v>
      </c>
      <c r="B7170" s="2" t="s">
        <v>698</v>
      </c>
      <c r="C7170" s="2" t="s">
        <v>75</v>
      </c>
      <c r="D7170" s="2" t="s">
        <v>26</v>
      </c>
      <c r="E7170" s="2" t="s">
        <v>32</v>
      </c>
      <c r="F7170" s="2">
        <v>29.78</v>
      </c>
      <c r="G7170" s="2">
        <v>2</v>
      </c>
      <c r="H7170" s="2">
        <v>8.0399999999999991</v>
      </c>
      <c r="I7170" t="str">
        <f t="shared" si="111"/>
        <v>Mar</v>
      </c>
      <c r="J7170">
        <f>YEAR(datas[[#This Row],[Order Date]])</f>
        <v>2024</v>
      </c>
    </row>
    <row r="7171" spans="1:10" ht="14.25" customHeight="1" x14ac:dyDescent="0.3">
      <c r="A7171" s="1">
        <v>45382</v>
      </c>
      <c r="B7171" s="2" t="s">
        <v>698</v>
      </c>
      <c r="C7171" s="2" t="s">
        <v>75</v>
      </c>
      <c r="D7171" s="2" t="s">
        <v>28</v>
      </c>
      <c r="E7171" s="2" t="s">
        <v>29</v>
      </c>
      <c r="F7171" s="2">
        <v>677.58</v>
      </c>
      <c r="G7171" s="2">
        <v>3</v>
      </c>
      <c r="H7171" s="2">
        <v>176.17</v>
      </c>
      <c r="I7171" t="str">
        <f t="shared" ref="I7171:I7234" si="112">TEXT(A7171,"mmm")</f>
        <v>Mar</v>
      </c>
      <c r="J7171">
        <f>YEAR(datas[[#This Row],[Order Date]])</f>
        <v>2024</v>
      </c>
    </row>
    <row r="7172" spans="1:10" ht="14.25" customHeight="1" x14ac:dyDescent="0.3">
      <c r="A7172" s="1">
        <v>45382</v>
      </c>
      <c r="B7172" s="2" t="s">
        <v>698</v>
      </c>
      <c r="C7172" s="2" t="s">
        <v>75</v>
      </c>
      <c r="D7172" s="2" t="s">
        <v>10</v>
      </c>
      <c r="E7172" s="2" t="s">
        <v>11</v>
      </c>
      <c r="F7172" s="2">
        <v>75.040000000000006</v>
      </c>
      <c r="G7172" s="2">
        <v>8</v>
      </c>
      <c r="H7172" s="2">
        <v>36.020000000000003</v>
      </c>
      <c r="I7172" t="str">
        <f t="shared" si="112"/>
        <v>Mar</v>
      </c>
      <c r="J7172">
        <f>YEAR(datas[[#This Row],[Order Date]])</f>
        <v>2024</v>
      </c>
    </row>
    <row r="7173" spans="1:10" ht="14.25" customHeight="1" x14ac:dyDescent="0.3">
      <c r="A7173" s="1">
        <v>45382</v>
      </c>
      <c r="B7173" s="2" t="s">
        <v>516</v>
      </c>
      <c r="C7173" s="2" t="s">
        <v>75</v>
      </c>
      <c r="D7173" s="2" t="s">
        <v>28</v>
      </c>
      <c r="E7173" s="2" t="s">
        <v>29</v>
      </c>
      <c r="F7173" s="2">
        <v>84.95</v>
      </c>
      <c r="G7173" s="2">
        <v>5</v>
      </c>
      <c r="H7173" s="2">
        <v>22.09</v>
      </c>
      <c r="I7173" t="str">
        <f t="shared" si="112"/>
        <v>Mar</v>
      </c>
      <c r="J7173">
        <f>YEAR(datas[[#This Row],[Order Date]])</f>
        <v>2024</v>
      </c>
    </row>
    <row r="7174" spans="1:10" ht="14.25" customHeight="1" x14ac:dyDescent="0.3">
      <c r="A7174" s="1">
        <v>45382</v>
      </c>
      <c r="B7174" s="2" t="s">
        <v>545</v>
      </c>
      <c r="C7174" s="2" t="s">
        <v>25</v>
      </c>
      <c r="D7174" s="2" t="s">
        <v>26</v>
      </c>
      <c r="E7174" s="2" t="s">
        <v>32</v>
      </c>
      <c r="F7174" s="2">
        <v>61</v>
      </c>
      <c r="G7174" s="2">
        <v>5</v>
      </c>
      <c r="H7174" s="2">
        <v>25.62</v>
      </c>
      <c r="I7174" t="str">
        <f t="shared" si="112"/>
        <v>Mar</v>
      </c>
      <c r="J7174">
        <f>YEAR(datas[[#This Row],[Order Date]])</f>
        <v>2024</v>
      </c>
    </row>
    <row r="7175" spans="1:10" ht="14.25" customHeight="1" x14ac:dyDescent="0.3">
      <c r="A7175" s="1">
        <v>45382</v>
      </c>
      <c r="B7175" s="2" t="s">
        <v>545</v>
      </c>
      <c r="C7175" s="2" t="s">
        <v>25</v>
      </c>
      <c r="D7175" s="2" t="s">
        <v>28</v>
      </c>
      <c r="E7175" s="2" t="s">
        <v>29</v>
      </c>
      <c r="F7175" s="2">
        <v>671.93</v>
      </c>
      <c r="G7175" s="2">
        <v>7</v>
      </c>
      <c r="H7175" s="2">
        <v>188.14</v>
      </c>
      <c r="I7175" t="str">
        <f t="shared" si="112"/>
        <v>Mar</v>
      </c>
      <c r="J7175">
        <f>YEAR(datas[[#This Row],[Order Date]])</f>
        <v>2024</v>
      </c>
    </row>
    <row r="7176" spans="1:10" ht="14.25" customHeight="1" x14ac:dyDescent="0.3">
      <c r="A7176" s="1">
        <v>45382</v>
      </c>
      <c r="B7176" s="2" t="s">
        <v>782</v>
      </c>
      <c r="C7176" s="2" t="s">
        <v>13</v>
      </c>
      <c r="D7176" s="2" t="s">
        <v>10</v>
      </c>
      <c r="E7176" s="2" t="s">
        <v>16</v>
      </c>
      <c r="F7176" s="2">
        <v>13.47</v>
      </c>
      <c r="G7176" s="2">
        <v>13</v>
      </c>
      <c r="H7176" s="2">
        <v>-22.9</v>
      </c>
      <c r="I7176" t="str">
        <f t="shared" si="112"/>
        <v>Mar</v>
      </c>
      <c r="J7176">
        <f>YEAR(datas[[#This Row],[Order Date]])</f>
        <v>2024</v>
      </c>
    </row>
    <row r="7177" spans="1:10" ht="14.25" customHeight="1" x14ac:dyDescent="0.3">
      <c r="A7177" s="1">
        <v>45382</v>
      </c>
      <c r="B7177" s="2" t="s">
        <v>529</v>
      </c>
      <c r="C7177" s="2" t="s">
        <v>23</v>
      </c>
      <c r="D7177" s="2" t="s">
        <v>10</v>
      </c>
      <c r="E7177" s="2" t="s">
        <v>16</v>
      </c>
      <c r="F7177" s="2">
        <v>34.54</v>
      </c>
      <c r="G7177" s="2">
        <v>1</v>
      </c>
      <c r="H7177" s="2">
        <v>17.27</v>
      </c>
      <c r="I7177" t="str">
        <f t="shared" si="112"/>
        <v>Mar</v>
      </c>
      <c r="J7177">
        <f>YEAR(datas[[#This Row],[Order Date]])</f>
        <v>2024</v>
      </c>
    </row>
    <row r="7178" spans="1:10" ht="14.25" customHeight="1" x14ac:dyDescent="0.3">
      <c r="A7178" s="1">
        <v>45382</v>
      </c>
      <c r="B7178" s="2" t="s">
        <v>529</v>
      </c>
      <c r="C7178" s="2" t="s">
        <v>23</v>
      </c>
      <c r="D7178" s="2" t="s">
        <v>28</v>
      </c>
      <c r="E7178" s="2" t="s">
        <v>243</v>
      </c>
      <c r="F7178" s="2">
        <v>2999.95</v>
      </c>
      <c r="G7178" s="2">
        <v>5</v>
      </c>
      <c r="H7178" s="2">
        <v>1439.98</v>
      </c>
      <c r="I7178" t="str">
        <f t="shared" si="112"/>
        <v>Mar</v>
      </c>
      <c r="J7178">
        <f>YEAR(datas[[#This Row],[Order Date]])</f>
        <v>2024</v>
      </c>
    </row>
    <row r="7179" spans="1:10" ht="14.25" customHeight="1" x14ac:dyDescent="0.3">
      <c r="A7179" s="1">
        <v>45382</v>
      </c>
      <c r="B7179" s="2" t="s">
        <v>529</v>
      </c>
      <c r="C7179" s="2" t="s">
        <v>23</v>
      </c>
      <c r="D7179" s="2" t="s">
        <v>10</v>
      </c>
      <c r="E7179" s="2" t="s">
        <v>16</v>
      </c>
      <c r="F7179" s="2">
        <v>64.12</v>
      </c>
      <c r="G7179" s="2">
        <v>4</v>
      </c>
      <c r="H7179" s="2">
        <v>30.78</v>
      </c>
      <c r="I7179" t="str">
        <f t="shared" si="112"/>
        <v>Mar</v>
      </c>
      <c r="J7179">
        <f>YEAR(datas[[#This Row],[Order Date]])</f>
        <v>2024</v>
      </c>
    </row>
    <row r="7180" spans="1:10" ht="14.25" customHeight="1" x14ac:dyDescent="0.3">
      <c r="A7180" s="1">
        <v>45382</v>
      </c>
      <c r="B7180" s="2" t="s">
        <v>194</v>
      </c>
      <c r="C7180" s="2" t="s">
        <v>9</v>
      </c>
      <c r="D7180" s="2" t="s">
        <v>10</v>
      </c>
      <c r="E7180" s="2" t="s">
        <v>53</v>
      </c>
      <c r="F7180" s="2">
        <v>33.619999999999997</v>
      </c>
      <c r="G7180" s="2">
        <v>5</v>
      </c>
      <c r="H7180" s="2">
        <v>-90.77</v>
      </c>
      <c r="I7180" t="str">
        <f t="shared" si="112"/>
        <v>Mar</v>
      </c>
      <c r="J7180">
        <f>YEAR(datas[[#This Row],[Order Date]])</f>
        <v>2024</v>
      </c>
    </row>
    <row r="7181" spans="1:10" ht="14.25" customHeight="1" x14ac:dyDescent="0.3">
      <c r="A7181" s="1">
        <v>45382</v>
      </c>
      <c r="B7181" s="2" t="s">
        <v>489</v>
      </c>
      <c r="C7181" s="2" t="s">
        <v>21</v>
      </c>
      <c r="D7181" s="2" t="s">
        <v>10</v>
      </c>
      <c r="E7181" s="2" t="s">
        <v>95</v>
      </c>
      <c r="F7181" s="2">
        <v>29.7</v>
      </c>
      <c r="G7181" s="2">
        <v>3</v>
      </c>
      <c r="H7181" s="2">
        <v>8.02</v>
      </c>
      <c r="I7181" t="str">
        <f t="shared" si="112"/>
        <v>Mar</v>
      </c>
      <c r="J7181">
        <f>YEAR(datas[[#This Row],[Order Date]])</f>
        <v>2024</v>
      </c>
    </row>
    <row r="7182" spans="1:10" ht="14.25" customHeight="1" x14ac:dyDescent="0.3">
      <c r="A7182" s="1">
        <v>45383</v>
      </c>
      <c r="B7182" s="2" t="s">
        <v>494</v>
      </c>
      <c r="C7182" s="2" t="s">
        <v>91</v>
      </c>
      <c r="D7182" s="2" t="s">
        <v>10</v>
      </c>
      <c r="E7182" s="2" t="s">
        <v>15</v>
      </c>
      <c r="F7182" s="2">
        <v>94.2</v>
      </c>
      <c r="G7182" s="2">
        <v>6</v>
      </c>
      <c r="H7182" s="2">
        <v>23.55</v>
      </c>
      <c r="I7182" t="str">
        <f t="shared" si="112"/>
        <v>Apr</v>
      </c>
      <c r="J7182">
        <f>YEAR(datas[[#This Row],[Order Date]])</f>
        <v>2024</v>
      </c>
    </row>
    <row r="7183" spans="1:10" ht="14.25" customHeight="1" x14ac:dyDescent="0.3">
      <c r="A7183" s="1">
        <v>45383</v>
      </c>
      <c r="B7183" s="2" t="s">
        <v>494</v>
      </c>
      <c r="C7183" s="2" t="s">
        <v>91</v>
      </c>
      <c r="D7183" s="2" t="s">
        <v>10</v>
      </c>
      <c r="E7183" s="2" t="s">
        <v>41</v>
      </c>
      <c r="F7183" s="2">
        <v>28.4</v>
      </c>
      <c r="G7183" s="2">
        <v>5</v>
      </c>
      <c r="H7183" s="2">
        <v>13.35</v>
      </c>
      <c r="I7183" t="str">
        <f t="shared" si="112"/>
        <v>Apr</v>
      </c>
      <c r="J7183">
        <f>YEAR(datas[[#This Row],[Order Date]])</f>
        <v>2024</v>
      </c>
    </row>
    <row r="7184" spans="1:10" ht="14.25" customHeight="1" x14ac:dyDescent="0.3">
      <c r="A7184" s="1">
        <v>45383</v>
      </c>
      <c r="B7184" s="2" t="s">
        <v>459</v>
      </c>
      <c r="C7184" s="2" t="s">
        <v>21</v>
      </c>
      <c r="D7184" s="2" t="s">
        <v>10</v>
      </c>
      <c r="E7184" s="2" t="s">
        <v>14</v>
      </c>
      <c r="F7184" s="2">
        <v>5.78</v>
      </c>
      <c r="G7184" s="2">
        <v>2</v>
      </c>
      <c r="H7184" s="2">
        <v>2.72</v>
      </c>
      <c r="I7184" t="str">
        <f t="shared" si="112"/>
        <v>Apr</v>
      </c>
      <c r="J7184">
        <f>YEAR(datas[[#This Row],[Order Date]])</f>
        <v>2024</v>
      </c>
    </row>
    <row r="7185" spans="1:10" ht="14.25" customHeight="1" x14ac:dyDescent="0.3">
      <c r="A7185" s="1">
        <v>45383</v>
      </c>
      <c r="B7185" s="2" t="s">
        <v>459</v>
      </c>
      <c r="C7185" s="2" t="s">
        <v>21</v>
      </c>
      <c r="D7185" s="2" t="s">
        <v>10</v>
      </c>
      <c r="E7185" s="2" t="s">
        <v>16</v>
      </c>
      <c r="F7185" s="2">
        <v>121.68</v>
      </c>
      <c r="G7185" s="2">
        <v>13</v>
      </c>
      <c r="H7185" s="2">
        <v>38.03</v>
      </c>
      <c r="I7185" t="str">
        <f t="shared" si="112"/>
        <v>Apr</v>
      </c>
      <c r="J7185">
        <f>YEAR(datas[[#This Row],[Order Date]])</f>
        <v>2024</v>
      </c>
    </row>
    <row r="7186" spans="1:10" ht="14.25" customHeight="1" x14ac:dyDescent="0.3">
      <c r="A7186" s="1">
        <v>45383</v>
      </c>
      <c r="B7186" s="2" t="s">
        <v>386</v>
      </c>
      <c r="C7186" s="2" t="s">
        <v>21</v>
      </c>
      <c r="D7186" s="2" t="s">
        <v>26</v>
      </c>
      <c r="E7186" s="2" t="s">
        <v>45</v>
      </c>
      <c r="F7186" s="2">
        <v>482.66</v>
      </c>
      <c r="G7186" s="2">
        <v>8</v>
      </c>
      <c r="H7186" s="2">
        <v>85.18</v>
      </c>
      <c r="I7186" t="str">
        <f t="shared" si="112"/>
        <v>Apr</v>
      </c>
      <c r="J7186">
        <f>YEAR(datas[[#This Row],[Order Date]])</f>
        <v>2024</v>
      </c>
    </row>
    <row r="7187" spans="1:10" ht="14.25" customHeight="1" x14ac:dyDescent="0.3">
      <c r="A7187" s="1">
        <v>45383</v>
      </c>
      <c r="B7187" s="2" t="s">
        <v>386</v>
      </c>
      <c r="C7187" s="2" t="s">
        <v>21</v>
      </c>
      <c r="D7187" s="2" t="s">
        <v>28</v>
      </c>
      <c r="E7187" s="2" t="s">
        <v>136</v>
      </c>
      <c r="F7187" s="2">
        <v>4799.9799999999996</v>
      </c>
      <c r="G7187" s="2">
        <v>2</v>
      </c>
      <c r="H7187" s="2">
        <v>360</v>
      </c>
      <c r="I7187" t="str">
        <f t="shared" si="112"/>
        <v>Apr</v>
      </c>
      <c r="J7187">
        <f>YEAR(datas[[#This Row],[Order Date]])</f>
        <v>2024</v>
      </c>
    </row>
    <row r="7188" spans="1:10" ht="14.25" customHeight="1" x14ac:dyDescent="0.3">
      <c r="A7188" s="1">
        <v>45383</v>
      </c>
      <c r="B7188" s="2" t="s">
        <v>476</v>
      </c>
      <c r="C7188" s="2" t="s">
        <v>75</v>
      </c>
      <c r="D7188" s="2" t="s">
        <v>10</v>
      </c>
      <c r="E7188" s="2" t="s">
        <v>11</v>
      </c>
      <c r="F7188" s="2">
        <v>42.93</v>
      </c>
      <c r="G7188" s="2">
        <v>9</v>
      </c>
      <c r="H7188" s="2">
        <v>19.32</v>
      </c>
      <c r="I7188" t="str">
        <f t="shared" si="112"/>
        <v>Apr</v>
      </c>
      <c r="J7188">
        <f>YEAR(datas[[#This Row],[Order Date]])</f>
        <v>2024</v>
      </c>
    </row>
    <row r="7189" spans="1:10" ht="14.25" customHeight="1" x14ac:dyDescent="0.3">
      <c r="A7189" s="1">
        <v>45383</v>
      </c>
      <c r="B7189" s="2" t="s">
        <v>96</v>
      </c>
      <c r="C7189" s="2" t="s">
        <v>64</v>
      </c>
      <c r="D7189" s="2" t="s">
        <v>28</v>
      </c>
      <c r="E7189" s="2" t="s">
        <v>29</v>
      </c>
      <c r="F7189" s="2">
        <v>23.98</v>
      </c>
      <c r="G7189" s="2">
        <v>3</v>
      </c>
      <c r="H7189" s="2">
        <v>-5.69</v>
      </c>
      <c r="I7189" t="str">
        <f t="shared" si="112"/>
        <v>Apr</v>
      </c>
      <c r="J7189">
        <f>YEAR(datas[[#This Row],[Order Date]])</f>
        <v>2024</v>
      </c>
    </row>
    <row r="7190" spans="1:10" ht="14.25" customHeight="1" x14ac:dyDescent="0.3">
      <c r="A7190" s="1">
        <v>45383</v>
      </c>
      <c r="B7190" s="2" t="s">
        <v>96</v>
      </c>
      <c r="C7190" s="2" t="s">
        <v>64</v>
      </c>
      <c r="D7190" s="2" t="s">
        <v>10</v>
      </c>
      <c r="E7190" s="2" t="s">
        <v>14</v>
      </c>
      <c r="F7190" s="2">
        <v>6.26</v>
      </c>
      <c r="G7190" s="2">
        <v>3</v>
      </c>
      <c r="H7190" s="2">
        <v>2.04</v>
      </c>
      <c r="I7190" t="str">
        <f t="shared" si="112"/>
        <v>Apr</v>
      </c>
      <c r="J7190">
        <f>YEAR(datas[[#This Row],[Order Date]])</f>
        <v>2024</v>
      </c>
    </row>
    <row r="7191" spans="1:10" ht="14.25" customHeight="1" x14ac:dyDescent="0.3">
      <c r="A7191" s="1">
        <v>45383</v>
      </c>
      <c r="B7191" s="2" t="s">
        <v>96</v>
      </c>
      <c r="C7191" s="2" t="s">
        <v>64</v>
      </c>
      <c r="D7191" s="2" t="s">
        <v>10</v>
      </c>
      <c r="E7191" s="2" t="s">
        <v>53</v>
      </c>
      <c r="F7191" s="2">
        <v>20.81</v>
      </c>
      <c r="G7191" s="2">
        <v>3</v>
      </c>
      <c r="H7191" s="2">
        <v>1.82</v>
      </c>
      <c r="I7191" t="str">
        <f t="shared" si="112"/>
        <v>Apr</v>
      </c>
      <c r="J7191">
        <f>YEAR(datas[[#This Row],[Order Date]])</f>
        <v>2024</v>
      </c>
    </row>
    <row r="7192" spans="1:10" ht="14.25" customHeight="1" x14ac:dyDescent="0.3">
      <c r="A7192" s="1">
        <v>45383</v>
      </c>
      <c r="B7192" s="2" t="s">
        <v>96</v>
      </c>
      <c r="C7192" s="2" t="s">
        <v>64</v>
      </c>
      <c r="D7192" s="2" t="s">
        <v>26</v>
      </c>
      <c r="E7192" s="2" t="s">
        <v>27</v>
      </c>
      <c r="F7192" s="2">
        <v>218.35</v>
      </c>
      <c r="G7192" s="2">
        <v>3</v>
      </c>
      <c r="H7192" s="2">
        <v>-19.11</v>
      </c>
      <c r="I7192" t="str">
        <f t="shared" si="112"/>
        <v>Apr</v>
      </c>
      <c r="J7192">
        <f>YEAR(datas[[#This Row],[Order Date]])</f>
        <v>2024</v>
      </c>
    </row>
    <row r="7193" spans="1:10" ht="14.25" customHeight="1" x14ac:dyDescent="0.3">
      <c r="A7193" s="1">
        <v>45383</v>
      </c>
      <c r="B7193" s="2" t="s">
        <v>233</v>
      </c>
      <c r="C7193" s="2" t="s">
        <v>43</v>
      </c>
      <c r="D7193" s="2" t="s">
        <v>26</v>
      </c>
      <c r="E7193" s="2" t="s">
        <v>32</v>
      </c>
      <c r="F7193" s="2">
        <v>127.95</v>
      </c>
      <c r="G7193" s="2">
        <v>3</v>
      </c>
      <c r="H7193" s="2">
        <v>21.75</v>
      </c>
      <c r="I7193" t="str">
        <f t="shared" si="112"/>
        <v>Apr</v>
      </c>
      <c r="J7193">
        <f>YEAR(datas[[#This Row],[Order Date]])</f>
        <v>2024</v>
      </c>
    </row>
    <row r="7194" spans="1:10" ht="14.25" customHeight="1" x14ac:dyDescent="0.3">
      <c r="A7194" s="1">
        <v>45384</v>
      </c>
      <c r="B7194" s="2" t="s">
        <v>581</v>
      </c>
      <c r="C7194" s="2" t="s">
        <v>21</v>
      </c>
      <c r="D7194" s="2" t="s">
        <v>26</v>
      </c>
      <c r="E7194" s="2" t="s">
        <v>32</v>
      </c>
      <c r="F7194" s="2">
        <v>25.11</v>
      </c>
      <c r="G7194" s="2">
        <v>3</v>
      </c>
      <c r="H7194" s="2">
        <v>6.53</v>
      </c>
      <c r="I7194" t="str">
        <f t="shared" si="112"/>
        <v>Apr</v>
      </c>
      <c r="J7194">
        <f>YEAR(datas[[#This Row],[Order Date]])</f>
        <v>2024</v>
      </c>
    </row>
    <row r="7195" spans="1:10" ht="14.25" customHeight="1" x14ac:dyDescent="0.3">
      <c r="A7195" s="1">
        <v>45384</v>
      </c>
      <c r="B7195" s="2" t="s">
        <v>601</v>
      </c>
      <c r="C7195" s="2" t="s">
        <v>23</v>
      </c>
      <c r="D7195" s="2" t="s">
        <v>26</v>
      </c>
      <c r="E7195" s="2" t="s">
        <v>73</v>
      </c>
      <c r="F7195" s="2">
        <v>411.8</v>
      </c>
      <c r="G7195" s="2">
        <v>2</v>
      </c>
      <c r="H7195" s="2">
        <v>70.010000000000005</v>
      </c>
      <c r="I7195" t="str">
        <f t="shared" si="112"/>
        <v>Apr</v>
      </c>
      <c r="J7195">
        <f>YEAR(datas[[#This Row],[Order Date]])</f>
        <v>2024</v>
      </c>
    </row>
    <row r="7196" spans="1:10" ht="14.25" customHeight="1" x14ac:dyDescent="0.3">
      <c r="A7196" s="1">
        <v>45384</v>
      </c>
      <c r="B7196" s="2" t="s">
        <v>601</v>
      </c>
      <c r="C7196" s="2" t="s">
        <v>23</v>
      </c>
      <c r="D7196" s="2" t="s">
        <v>28</v>
      </c>
      <c r="E7196" s="2" t="s">
        <v>34</v>
      </c>
      <c r="F7196" s="2">
        <v>360</v>
      </c>
      <c r="G7196" s="2">
        <v>4</v>
      </c>
      <c r="H7196" s="2">
        <v>129.6</v>
      </c>
      <c r="I7196" t="str">
        <f t="shared" si="112"/>
        <v>Apr</v>
      </c>
      <c r="J7196">
        <f>YEAR(datas[[#This Row],[Order Date]])</f>
        <v>2024</v>
      </c>
    </row>
    <row r="7197" spans="1:10" ht="14.25" customHeight="1" x14ac:dyDescent="0.3">
      <c r="A7197" s="1">
        <v>45384</v>
      </c>
      <c r="B7197" s="2" t="s">
        <v>610</v>
      </c>
      <c r="C7197" s="2" t="s">
        <v>248</v>
      </c>
      <c r="D7197" s="2" t="s">
        <v>10</v>
      </c>
      <c r="E7197" s="2" t="s">
        <v>19</v>
      </c>
      <c r="F7197" s="2">
        <v>11.12</v>
      </c>
      <c r="G7197" s="2">
        <v>4</v>
      </c>
      <c r="H7197" s="2">
        <v>2.89</v>
      </c>
      <c r="I7197" t="str">
        <f t="shared" si="112"/>
        <v>Apr</v>
      </c>
      <c r="J7197">
        <f>YEAR(datas[[#This Row],[Order Date]])</f>
        <v>2024</v>
      </c>
    </row>
    <row r="7198" spans="1:10" ht="14.25" customHeight="1" x14ac:dyDescent="0.3">
      <c r="A7198" s="1">
        <v>45384</v>
      </c>
      <c r="B7198" s="2" t="s">
        <v>668</v>
      </c>
      <c r="C7198" s="2" t="s">
        <v>198</v>
      </c>
      <c r="D7198" s="2" t="s">
        <v>10</v>
      </c>
      <c r="E7198" s="2" t="s">
        <v>14</v>
      </c>
      <c r="F7198" s="2">
        <v>14.94</v>
      </c>
      <c r="G7198" s="2">
        <v>3</v>
      </c>
      <c r="H7198" s="2">
        <v>6.87</v>
      </c>
      <c r="I7198" t="str">
        <f t="shared" si="112"/>
        <v>Apr</v>
      </c>
      <c r="J7198">
        <f>YEAR(datas[[#This Row],[Order Date]])</f>
        <v>2024</v>
      </c>
    </row>
    <row r="7199" spans="1:10" ht="14.25" customHeight="1" x14ac:dyDescent="0.3">
      <c r="A7199" s="1">
        <v>45385</v>
      </c>
      <c r="B7199" s="2" t="s">
        <v>239</v>
      </c>
      <c r="C7199" s="2" t="s">
        <v>18</v>
      </c>
      <c r="D7199" s="2" t="s">
        <v>26</v>
      </c>
      <c r="E7199" s="2" t="s">
        <v>32</v>
      </c>
      <c r="F7199" s="2">
        <v>25.47</v>
      </c>
      <c r="G7199" s="2">
        <v>4</v>
      </c>
      <c r="H7199" s="2">
        <v>7.64</v>
      </c>
      <c r="I7199" t="str">
        <f t="shared" si="112"/>
        <v>Apr</v>
      </c>
      <c r="J7199">
        <f>YEAR(datas[[#This Row],[Order Date]])</f>
        <v>2024</v>
      </c>
    </row>
    <row r="7200" spans="1:10" ht="14.25" customHeight="1" x14ac:dyDescent="0.3">
      <c r="A7200" s="1">
        <v>45385</v>
      </c>
      <c r="B7200" s="2" t="s">
        <v>103</v>
      </c>
      <c r="C7200" s="2" t="s">
        <v>13</v>
      </c>
      <c r="D7200" s="2" t="s">
        <v>10</v>
      </c>
      <c r="E7200" s="2" t="s">
        <v>19</v>
      </c>
      <c r="F7200" s="2">
        <v>7.06</v>
      </c>
      <c r="G7200" s="2">
        <v>3</v>
      </c>
      <c r="H7200" s="2">
        <v>2.21</v>
      </c>
      <c r="I7200" t="str">
        <f t="shared" si="112"/>
        <v>Apr</v>
      </c>
      <c r="J7200">
        <f>YEAR(datas[[#This Row],[Order Date]])</f>
        <v>2024</v>
      </c>
    </row>
    <row r="7201" spans="1:10" ht="14.25" customHeight="1" x14ac:dyDescent="0.3">
      <c r="A7201" s="1">
        <v>45386</v>
      </c>
      <c r="B7201" s="2" t="s">
        <v>552</v>
      </c>
      <c r="C7201" s="2" t="s">
        <v>13</v>
      </c>
      <c r="D7201" s="2" t="s">
        <v>28</v>
      </c>
      <c r="E7201" s="2" t="s">
        <v>29</v>
      </c>
      <c r="F7201" s="2">
        <v>383.84</v>
      </c>
      <c r="G7201" s="2">
        <v>4</v>
      </c>
      <c r="H7201" s="2">
        <v>47.98</v>
      </c>
      <c r="I7201" t="str">
        <f t="shared" si="112"/>
        <v>Apr</v>
      </c>
      <c r="J7201">
        <f>YEAR(datas[[#This Row],[Order Date]])</f>
        <v>2024</v>
      </c>
    </row>
    <row r="7202" spans="1:10" ht="14.25" customHeight="1" x14ac:dyDescent="0.3">
      <c r="A7202" s="1">
        <v>45386</v>
      </c>
      <c r="B7202" s="2" t="s">
        <v>361</v>
      </c>
      <c r="C7202" s="2" t="s">
        <v>75</v>
      </c>
      <c r="D7202" s="2" t="s">
        <v>28</v>
      </c>
      <c r="E7202" s="2" t="s">
        <v>29</v>
      </c>
      <c r="F7202" s="2">
        <v>41.22</v>
      </c>
      <c r="G7202" s="2">
        <v>1</v>
      </c>
      <c r="H7202" s="2">
        <v>11.13</v>
      </c>
      <c r="I7202" t="str">
        <f t="shared" si="112"/>
        <v>Apr</v>
      </c>
      <c r="J7202">
        <f>YEAR(datas[[#This Row],[Order Date]])</f>
        <v>2024</v>
      </c>
    </row>
    <row r="7203" spans="1:10" ht="14.25" customHeight="1" x14ac:dyDescent="0.3">
      <c r="A7203" s="1">
        <v>45386</v>
      </c>
      <c r="B7203" s="2" t="s">
        <v>361</v>
      </c>
      <c r="C7203" s="2" t="s">
        <v>75</v>
      </c>
      <c r="D7203" s="2" t="s">
        <v>10</v>
      </c>
      <c r="E7203" s="2" t="s">
        <v>95</v>
      </c>
      <c r="F7203" s="2">
        <v>240.37</v>
      </c>
      <c r="G7203" s="2">
        <v>1</v>
      </c>
      <c r="H7203" s="2">
        <v>7.21</v>
      </c>
      <c r="I7203" t="str">
        <f t="shared" si="112"/>
        <v>Apr</v>
      </c>
      <c r="J7203">
        <f>YEAR(datas[[#This Row],[Order Date]])</f>
        <v>2024</v>
      </c>
    </row>
    <row r="7204" spans="1:10" ht="14.25" customHeight="1" x14ac:dyDescent="0.3">
      <c r="A7204" s="1">
        <v>45386</v>
      </c>
      <c r="B7204" s="2" t="s">
        <v>361</v>
      </c>
      <c r="C7204" s="2" t="s">
        <v>75</v>
      </c>
      <c r="D7204" s="2" t="s">
        <v>28</v>
      </c>
      <c r="E7204" s="2" t="s">
        <v>29</v>
      </c>
      <c r="F7204" s="2">
        <v>119.02</v>
      </c>
      <c r="G7204" s="2">
        <v>2</v>
      </c>
      <c r="H7204" s="2">
        <v>33.33</v>
      </c>
      <c r="I7204" t="str">
        <f t="shared" si="112"/>
        <v>Apr</v>
      </c>
      <c r="J7204">
        <f>YEAR(datas[[#This Row],[Order Date]])</f>
        <v>2024</v>
      </c>
    </row>
    <row r="7205" spans="1:10" ht="14.25" customHeight="1" x14ac:dyDescent="0.3">
      <c r="A7205" s="1">
        <v>45386</v>
      </c>
      <c r="B7205" s="2" t="s">
        <v>649</v>
      </c>
      <c r="C7205" s="2" t="s">
        <v>75</v>
      </c>
      <c r="D7205" s="2" t="s">
        <v>10</v>
      </c>
      <c r="E7205" s="2" t="s">
        <v>41</v>
      </c>
      <c r="F7205" s="2">
        <v>16.98</v>
      </c>
      <c r="G7205" s="2">
        <v>1</v>
      </c>
      <c r="H7205" s="2">
        <v>8.49</v>
      </c>
      <c r="I7205" t="str">
        <f t="shared" si="112"/>
        <v>Apr</v>
      </c>
      <c r="J7205">
        <f>YEAR(datas[[#This Row],[Order Date]])</f>
        <v>2024</v>
      </c>
    </row>
    <row r="7206" spans="1:10" ht="14.25" customHeight="1" x14ac:dyDescent="0.3">
      <c r="A7206" s="1">
        <v>45386</v>
      </c>
      <c r="B7206" s="2" t="s">
        <v>468</v>
      </c>
      <c r="C7206" s="2" t="s">
        <v>75</v>
      </c>
      <c r="D7206" s="2" t="s">
        <v>10</v>
      </c>
      <c r="E7206" s="2" t="s">
        <v>19</v>
      </c>
      <c r="F7206" s="2">
        <v>7.04</v>
      </c>
      <c r="G7206" s="2">
        <v>4</v>
      </c>
      <c r="H7206" s="2">
        <v>2.04</v>
      </c>
      <c r="I7206" t="str">
        <f t="shared" si="112"/>
        <v>Apr</v>
      </c>
      <c r="J7206">
        <f>YEAR(datas[[#This Row],[Order Date]])</f>
        <v>2024</v>
      </c>
    </row>
    <row r="7207" spans="1:10" ht="14.25" customHeight="1" x14ac:dyDescent="0.3">
      <c r="A7207" s="1">
        <v>45388</v>
      </c>
      <c r="B7207" s="2" t="s">
        <v>844</v>
      </c>
      <c r="C7207" s="2" t="s">
        <v>165</v>
      </c>
      <c r="D7207" s="2" t="s">
        <v>10</v>
      </c>
      <c r="E7207" s="2" t="s">
        <v>11</v>
      </c>
      <c r="F7207" s="2">
        <v>106.32</v>
      </c>
      <c r="G7207" s="2">
        <v>3</v>
      </c>
      <c r="H7207" s="2">
        <v>49.97</v>
      </c>
      <c r="I7207" t="str">
        <f t="shared" si="112"/>
        <v>Apr</v>
      </c>
      <c r="J7207">
        <f>YEAR(datas[[#This Row],[Order Date]])</f>
        <v>2024</v>
      </c>
    </row>
    <row r="7208" spans="1:10" ht="14.25" customHeight="1" x14ac:dyDescent="0.3">
      <c r="A7208" s="1">
        <v>45388</v>
      </c>
      <c r="B7208" s="2" t="s">
        <v>415</v>
      </c>
      <c r="C7208" s="2" t="s">
        <v>62</v>
      </c>
      <c r="D7208" s="2" t="s">
        <v>10</v>
      </c>
      <c r="E7208" s="2" t="s">
        <v>16</v>
      </c>
      <c r="F7208" s="2">
        <v>8.1</v>
      </c>
      <c r="G7208" s="2">
        <v>5</v>
      </c>
      <c r="H7208" s="2">
        <v>-5.94</v>
      </c>
      <c r="I7208" t="str">
        <f t="shared" si="112"/>
        <v>Apr</v>
      </c>
      <c r="J7208">
        <f>YEAR(datas[[#This Row],[Order Date]])</f>
        <v>2024</v>
      </c>
    </row>
    <row r="7209" spans="1:10" ht="14.25" customHeight="1" x14ac:dyDescent="0.3">
      <c r="A7209" s="1">
        <v>45389</v>
      </c>
      <c r="B7209" s="2" t="s">
        <v>502</v>
      </c>
      <c r="C7209" s="2" t="s">
        <v>64</v>
      </c>
      <c r="D7209" s="2" t="s">
        <v>26</v>
      </c>
      <c r="E7209" s="2" t="s">
        <v>73</v>
      </c>
      <c r="F7209" s="2">
        <v>233.86</v>
      </c>
      <c r="G7209" s="2">
        <v>2</v>
      </c>
      <c r="H7209" s="2">
        <v>-102.05</v>
      </c>
      <c r="I7209" t="str">
        <f t="shared" si="112"/>
        <v>Apr</v>
      </c>
      <c r="J7209">
        <f>YEAR(datas[[#This Row],[Order Date]])</f>
        <v>2024</v>
      </c>
    </row>
    <row r="7210" spans="1:10" ht="14.25" customHeight="1" x14ac:dyDescent="0.3">
      <c r="A7210" s="1">
        <v>45389</v>
      </c>
      <c r="B7210" s="2" t="s">
        <v>502</v>
      </c>
      <c r="C7210" s="2" t="s">
        <v>64</v>
      </c>
      <c r="D7210" s="2" t="s">
        <v>26</v>
      </c>
      <c r="E7210" s="2" t="s">
        <v>73</v>
      </c>
      <c r="F7210" s="2">
        <v>620.61</v>
      </c>
      <c r="G7210" s="2">
        <v>3</v>
      </c>
      <c r="H7210" s="2">
        <v>-248.25</v>
      </c>
      <c r="I7210" t="str">
        <f t="shared" si="112"/>
        <v>Apr</v>
      </c>
      <c r="J7210">
        <f>YEAR(datas[[#This Row],[Order Date]])</f>
        <v>2024</v>
      </c>
    </row>
    <row r="7211" spans="1:10" ht="14.25" customHeight="1" x14ac:dyDescent="0.3">
      <c r="A7211" s="1">
        <v>45389</v>
      </c>
      <c r="B7211" s="2" t="s">
        <v>502</v>
      </c>
      <c r="C7211" s="2" t="s">
        <v>64</v>
      </c>
      <c r="D7211" s="2" t="s">
        <v>10</v>
      </c>
      <c r="E7211" s="2" t="s">
        <v>16</v>
      </c>
      <c r="F7211" s="2">
        <v>5.33</v>
      </c>
      <c r="G7211" s="2">
        <v>2</v>
      </c>
      <c r="H7211" s="2">
        <v>-3.55</v>
      </c>
      <c r="I7211" t="str">
        <f t="shared" si="112"/>
        <v>Apr</v>
      </c>
      <c r="J7211">
        <f>YEAR(datas[[#This Row],[Order Date]])</f>
        <v>2024</v>
      </c>
    </row>
    <row r="7212" spans="1:10" ht="14.25" customHeight="1" x14ac:dyDescent="0.3">
      <c r="A7212" s="1">
        <v>45389</v>
      </c>
      <c r="B7212" s="2" t="s">
        <v>502</v>
      </c>
      <c r="C7212" s="2" t="s">
        <v>64</v>
      </c>
      <c r="D7212" s="2" t="s">
        <v>26</v>
      </c>
      <c r="E7212" s="2" t="s">
        <v>32</v>
      </c>
      <c r="F7212" s="2">
        <v>258.07</v>
      </c>
      <c r="G7212" s="2">
        <v>3</v>
      </c>
      <c r="H7212" s="2">
        <v>0</v>
      </c>
      <c r="I7212" t="str">
        <f t="shared" si="112"/>
        <v>Apr</v>
      </c>
      <c r="J7212">
        <f>YEAR(datas[[#This Row],[Order Date]])</f>
        <v>2024</v>
      </c>
    </row>
    <row r="7213" spans="1:10" ht="14.25" customHeight="1" x14ac:dyDescent="0.3">
      <c r="A7213" s="1">
        <v>45389</v>
      </c>
      <c r="B7213" s="2" t="s">
        <v>502</v>
      </c>
      <c r="C7213" s="2" t="s">
        <v>64</v>
      </c>
      <c r="D7213" s="2" t="s">
        <v>28</v>
      </c>
      <c r="E7213" s="2" t="s">
        <v>34</v>
      </c>
      <c r="F7213" s="2">
        <v>617.98</v>
      </c>
      <c r="G7213" s="2">
        <v>3</v>
      </c>
      <c r="H7213" s="2">
        <v>-7.72</v>
      </c>
      <c r="I7213" t="str">
        <f t="shared" si="112"/>
        <v>Apr</v>
      </c>
      <c r="J7213">
        <f>YEAR(datas[[#This Row],[Order Date]])</f>
        <v>2024</v>
      </c>
    </row>
    <row r="7214" spans="1:10" ht="14.25" customHeight="1" x14ac:dyDescent="0.3">
      <c r="A7214" s="1">
        <v>45389</v>
      </c>
      <c r="B7214" s="2" t="s">
        <v>108</v>
      </c>
      <c r="C7214" s="2" t="s">
        <v>64</v>
      </c>
      <c r="D7214" s="2" t="s">
        <v>10</v>
      </c>
      <c r="E7214" s="2" t="s">
        <v>19</v>
      </c>
      <c r="F7214" s="2">
        <v>16.260000000000002</v>
      </c>
      <c r="G7214" s="2">
        <v>2</v>
      </c>
      <c r="H7214" s="2">
        <v>1.22</v>
      </c>
      <c r="I7214" t="str">
        <f t="shared" si="112"/>
        <v>Apr</v>
      </c>
      <c r="J7214">
        <f>YEAR(datas[[#This Row],[Order Date]])</f>
        <v>2024</v>
      </c>
    </row>
    <row r="7215" spans="1:10" ht="14.25" customHeight="1" x14ac:dyDescent="0.3">
      <c r="A7215" s="1">
        <v>45389</v>
      </c>
      <c r="B7215" s="2" t="s">
        <v>108</v>
      </c>
      <c r="C7215" s="2" t="s">
        <v>64</v>
      </c>
      <c r="D7215" s="2" t="s">
        <v>28</v>
      </c>
      <c r="E7215" s="2" t="s">
        <v>29</v>
      </c>
      <c r="F7215" s="2">
        <v>219.18</v>
      </c>
      <c r="G7215" s="2">
        <v>2</v>
      </c>
      <c r="H7215" s="2">
        <v>19.18</v>
      </c>
      <c r="I7215" t="str">
        <f t="shared" si="112"/>
        <v>Apr</v>
      </c>
      <c r="J7215">
        <f>YEAR(datas[[#This Row],[Order Date]])</f>
        <v>2024</v>
      </c>
    </row>
    <row r="7216" spans="1:10" ht="14.25" customHeight="1" x14ac:dyDescent="0.3">
      <c r="A7216" s="1">
        <v>45390</v>
      </c>
      <c r="B7216" s="2" t="s">
        <v>563</v>
      </c>
      <c r="C7216" s="2" t="s">
        <v>23</v>
      </c>
      <c r="D7216" s="2" t="s">
        <v>26</v>
      </c>
      <c r="E7216" s="2" t="s">
        <v>32</v>
      </c>
      <c r="F7216" s="2">
        <v>56.28</v>
      </c>
      <c r="G7216" s="2">
        <v>6</v>
      </c>
      <c r="H7216" s="2">
        <v>15.76</v>
      </c>
      <c r="I7216" t="str">
        <f t="shared" si="112"/>
        <v>Apr</v>
      </c>
      <c r="J7216">
        <f>YEAR(datas[[#This Row],[Order Date]])</f>
        <v>2024</v>
      </c>
    </row>
    <row r="7217" spans="1:10" ht="14.25" customHeight="1" x14ac:dyDescent="0.3">
      <c r="A7217" s="1">
        <v>45390</v>
      </c>
      <c r="B7217" s="2" t="s">
        <v>563</v>
      </c>
      <c r="C7217" s="2" t="s">
        <v>23</v>
      </c>
      <c r="D7217" s="2" t="s">
        <v>10</v>
      </c>
      <c r="E7217" s="2" t="s">
        <v>16</v>
      </c>
      <c r="F7217" s="2">
        <v>2690.97</v>
      </c>
      <c r="G7217" s="2">
        <v>3</v>
      </c>
      <c r="H7217" s="2">
        <v>1264.76</v>
      </c>
      <c r="I7217" t="str">
        <f t="shared" si="112"/>
        <v>Apr</v>
      </c>
      <c r="J7217">
        <f>YEAR(datas[[#This Row],[Order Date]])</f>
        <v>2024</v>
      </c>
    </row>
    <row r="7218" spans="1:10" ht="14.25" customHeight="1" x14ac:dyDescent="0.3">
      <c r="A7218" s="1">
        <v>45390</v>
      </c>
      <c r="B7218" s="2" t="s">
        <v>503</v>
      </c>
      <c r="C7218" s="2" t="s">
        <v>87</v>
      </c>
      <c r="D7218" s="2" t="s">
        <v>10</v>
      </c>
      <c r="E7218" s="2" t="s">
        <v>15</v>
      </c>
      <c r="F7218" s="2">
        <v>2591.56</v>
      </c>
      <c r="G7218" s="2">
        <v>4</v>
      </c>
      <c r="H7218" s="2">
        <v>621.97</v>
      </c>
      <c r="I7218" t="str">
        <f t="shared" si="112"/>
        <v>Apr</v>
      </c>
      <c r="J7218">
        <f>YEAR(datas[[#This Row],[Order Date]])</f>
        <v>2024</v>
      </c>
    </row>
    <row r="7219" spans="1:10" ht="14.25" customHeight="1" x14ac:dyDescent="0.3">
      <c r="A7219" s="1">
        <v>45390</v>
      </c>
      <c r="B7219" s="2" t="s">
        <v>503</v>
      </c>
      <c r="C7219" s="2" t="s">
        <v>87</v>
      </c>
      <c r="D7219" s="2" t="s">
        <v>10</v>
      </c>
      <c r="E7219" s="2" t="s">
        <v>53</v>
      </c>
      <c r="F7219" s="2">
        <v>41.95</v>
      </c>
      <c r="G7219" s="2">
        <v>5</v>
      </c>
      <c r="H7219" s="2">
        <v>10.49</v>
      </c>
      <c r="I7219" t="str">
        <f t="shared" si="112"/>
        <v>Apr</v>
      </c>
      <c r="J7219">
        <f>YEAR(datas[[#This Row],[Order Date]])</f>
        <v>2024</v>
      </c>
    </row>
    <row r="7220" spans="1:10" ht="14.25" customHeight="1" x14ac:dyDescent="0.3">
      <c r="A7220" s="1">
        <v>45390</v>
      </c>
      <c r="B7220" s="2" t="s">
        <v>371</v>
      </c>
      <c r="C7220" s="2" t="s">
        <v>21</v>
      </c>
      <c r="D7220" s="2" t="s">
        <v>10</v>
      </c>
      <c r="E7220" s="2" t="s">
        <v>11</v>
      </c>
      <c r="F7220" s="2">
        <v>244.55</v>
      </c>
      <c r="G7220" s="2">
        <v>5</v>
      </c>
      <c r="H7220" s="2">
        <v>114.94</v>
      </c>
      <c r="I7220" t="str">
        <f t="shared" si="112"/>
        <v>Apr</v>
      </c>
      <c r="J7220">
        <f>YEAR(datas[[#This Row],[Order Date]])</f>
        <v>2024</v>
      </c>
    </row>
    <row r="7221" spans="1:10" ht="14.25" customHeight="1" x14ac:dyDescent="0.3">
      <c r="A7221" s="1">
        <v>45390</v>
      </c>
      <c r="B7221" s="2" t="s">
        <v>371</v>
      </c>
      <c r="C7221" s="2" t="s">
        <v>21</v>
      </c>
      <c r="D7221" s="2" t="s">
        <v>10</v>
      </c>
      <c r="E7221" s="2" t="s">
        <v>11</v>
      </c>
      <c r="F7221" s="2">
        <v>195.76</v>
      </c>
      <c r="G7221" s="2">
        <v>4</v>
      </c>
      <c r="H7221" s="2">
        <v>97.88</v>
      </c>
      <c r="I7221" t="str">
        <f t="shared" si="112"/>
        <v>Apr</v>
      </c>
      <c r="J7221">
        <f>YEAR(datas[[#This Row],[Order Date]])</f>
        <v>2024</v>
      </c>
    </row>
    <row r="7222" spans="1:10" ht="14.25" customHeight="1" x14ac:dyDescent="0.3">
      <c r="A7222" s="1">
        <v>45390</v>
      </c>
      <c r="B7222" s="2" t="s">
        <v>113</v>
      </c>
      <c r="C7222" s="2" t="s">
        <v>60</v>
      </c>
      <c r="D7222" s="2" t="s">
        <v>26</v>
      </c>
      <c r="E7222" s="2" t="s">
        <v>32</v>
      </c>
      <c r="F7222" s="2">
        <v>273.95999999999998</v>
      </c>
      <c r="G7222" s="2">
        <v>2</v>
      </c>
      <c r="H7222" s="2">
        <v>71.23</v>
      </c>
      <c r="I7222" t="str">
        <f t="shared" si="112"/>
        <v>Apr</v>
      </c>
      <c r="J7222">
        <f>YEAR(datas[[#This Row],[Order Date]])</f>
        <v>2024</v>
      </c>
    </row>
    <row r="7223" spans="1:10" ht="14.25" customHeight="1" x14ac:dyDescent="0.3">
      <c r="A7223" s="1">
        <v>45390</v>
      </c>
      <c r="B7223" s="2" t="s">
        <v>113</v>
      </c>
      <c r="C7223" s="2" t="s">
        <v>60</v>
      </c>
      <c r="D7223" s="2" t="s">
        <v>26</v>
      </c>
      <c r="E7223" s="2" t="s">
        <v>32</v>
      </c>
      <c r="F7223" s="2">
        <v>306.89999999999998</v>
      </c>
      <c r="G7223" s="2">
        <v>3</v>
      </c>
      <c r="H7223" s="2">
        <v>79.790000000000006</v>
      </c>
      <c r="I7223" t="str">
        <f t="shared" si="112"/>
        <v>Apr</v>
      </c>
      <c r="J7223">
        <f>YEAR(datas[[#This Row],[Order Date]])</f>
        <v>2024</v>
      </c>
    </row>
    <row r="7224" spans="1:10" ht="14.25" customHeight="1" x14ac:dyDescent="0.3">
      <c r="A7224" s="1">
        <v>45391</v>
      </c>
      <c r="B7224" s="2" t="s">
        <v>770</v>
      </c>
      <c r="C7224" s="2" t="s">
        <v>75</v>
      </c>
      <c r="D7224" s="2" t="s">
        <v>10</v>
      </c>
      <c r="E7224" s="2" t="s">
        <v>14</v>
      </c>
      <c r="F7224" s="2">
        <v>9.82</v>
      </c>
      <c r="G7224" s="2">
        <v>2</v>
      </c>
      <c r="H7224" s="2">
        <v>4.8099999999999996</v>
      </c>
      <c r="I7224" t="str">
        <f t="shared" si="112"/>
        <v>Apr</v>
      </c>
      <c r="J7224">
        <f>YEAR(datas[[#This Row],[Order Date]])</f>
        <v>2024</v>
      </c>
    </row>
    <row r="7225" spans="1:10" ht="14.25" customHeight="1" x14ac:dyDescent="0.3">
      <c r="A7225" s="1">
        <v>45391</v>
      </c>
      <c r="B7225" s="2" t="s">
        <v>770</v>
      </c>
      <c r="C7225" s="2" t="s">
        <v>75</v>
      </c>
      <c r="D7225" s="2" t="s">
        <v>10</v>
      </c>
      <c r="E7225" s="2" t="s">
        <v>19</v>
      </c>
      <c r="F7225" s="2">
        <v>35.97</v>
      </c>
      <c r="G7225" s="2">
        <v>3</v>
      </c>
      <c r="H7225" s="2">
        <v>9.7100000000000009</v>
      </c>
      <c r="I7225" t="str">
        <f t="shared" si="112"/>
        <v>Apr</v>
      </c>
      <c r="J7225">
        <f>YEAR(datas[[#This Row],[Order Date]])</f>
        <v>2024</v>
      </c>
    </row>
    <row r="7226" spans="1:10" ht="14.25" customHeight="1" x14ac:dyDescent="0.3">
      <c r="A7226" s="1">
        <v>45391</v>
      </c>
      <c r="B7226" s="2" t="s">
        <v>770</v>
      </c>
      <c r="C7226" s="2" t="s">
        <v>75</v>
      </c>
      <c r="D7226" s="2" t="s">
        <v>10</v>
      </c>
      <c r="E7226" s="2" t="s">
        <v>11</v>
      </c>
      <c r="F7226" s="2">
        <v>12.96</v>
      </c>
      <c r="G7226" s="2">
        <v>2</v>
      </c>
      <c r="H7226" s="2">
        <v>6.22</v>
      </c>
      <c r="I7226" t="str">
        <f t="shared" si="112"/>
        <v>Apr</v>
      </c>
      <c r="J7226">
        <f>YEAR(datas[[#This Row],[Order Date]])</f>
        <v>2024</v>
      </c>
    </row>
    <row r="7227" spans="1:10" ht="14.25" customHeight="1" x14ac:dyDescent="0.3">
      <c r="A7227" s="1">
        <v>45391</v>
      </c>
      <c r="B7227" s="2" t="s">
        <v>770</v>
      </c>
      <c r="C7227" s="2" t="s">
        <v>75</v>
      </c>
      <c r="D7227" s="2" t="s">
        <v>10</v>
      </c>
      <c r="E7227" s="2" t="s">
        <v>11</v>
      </c>
      <c r="F7227" s="2">
        <v>191.6</v>
      </c>
      <c r="G7227" s="2">
        <v>4</v>
      </c>
      <c r="H7227" s="2">
        <v>91.97</v>
      </c>
      <c r="I7227" t="str">
        <f t="shared" si="112"/>
        <v>Apr</v>
      </c>
      <c r="J7227">
        <f>YEAR(datas[[#This Row],[Order Date]])</f>
        <v>2024</v>
      </c>
    </row>
    <row r="7228" spans="1:10" ht="14.25" customHeight="1" x14ac:dyDescent="0.3">
      <c r="A7228" s="1">
        <v>45391</v>
      </c>
      <c r="B7228" s="2" t="s">
        <v>770</v>
      </c>
      <c r="C7228" s="2" t="s">
        <v>75</v>
      </c>
      <c r="D7228" s="2" t="s">
        <v>10</v>
      </c>
      <c r="E7228" s="2" t="s">
        <v>14</v>
      </c>
      <c r="F7228" s="2">
        <v>8.64</v>
      </c>
      <c r="G7228" s="2">
        <v>3</v>
      </c>
      <c r="H7228" s="2">
        <v>4.2300000000000004</v>
      </c>
      <c r="I7228" t="str">
        <f t="shared" si="112"/>
        <v>Apr</v>
      </c>
      <c r="J7228">
        <f>YEAR(datas[[#This Row],[Order Date]])</f>
        <v>2024</v>
      </c>
    </row>
    <row r="7229" spans="1:10" ht="14.25" customHeight="1" x14ac:dyDescent="0.3">
      <c r="A7229" s="1">
        <v>45391</v>
      </c>
      <c r="B7229" s="2" t="s">
        <v>770</v>
      </c>
      <c r="C7229" s="2" t="s">
        <v>75</v>
      </c>
      <c r="D7229" s="2" t="s">
        <v>10</v>
      </c>
      <c r="E7229" s="2" t="s">
        <v>15</v>
      </c>
      <c r="F7229" s="2">
        <v>501.81</v>
      </c>
      <c r="G7229" s="2">
        <v>3</v>
      </c>
      <c r="H7229" s="2">
        <v>0</v>
      </c>
      <c r="I7229" t="str">
        <f t="shared" si="112"/>
        <v>Apr</v>
      </c>
      <c r="J7229">
        <f>YEAR(datas[[#This Row],[Order Date]])</f>
        <v>2024</v>
      </c>
    </row>
    <row r="7230" spans="1:10" ht="14.25" customHeight="1" x14ac:dyDescent="0.3">
      <c r="A7230" s="1">
        <v>45391</v>
      </c>
      <c r="B7230" s="2" t="s">
        <v>103</v>
      </c>
      <c r="C7230" s="2" t="s">
        <v>64</v>
      </c>
      <c r="D7230" s="2" t="s">
        <v>10</v>
      </c>
      <c r="E7230" s="2" t="s">
        <v>14</v>
      </c>
      <c r="F7230" s="2">
        <v>15.12</v>
      </c>
      <c r="G7230" s="2">
        <v>3</v>
      </c>
      <c r="H7230" s="2">
        <v>4.91</v>
      </c>
      <c r="I7230" t="str">
        <f t="shared" si="112"/>
        <v>Apr</v>
      </c>
      <c r="J7230">
        <f>YEAR(datas[[#This Row],[Order Date]])</f>
        <v>2024</v>
      </c>
    </row>
    <row r="7231" spans="1:10" ht="14.25" customHeight="1" x14ac:dyDescent="0.3">
      <c r="A7231" s="1">
        <v>45391</v>
      </c>
      <c r="B7231" s="2" t="s">
        <v>103</v>
      </c>
      <c r="C7231" s="2" t="s">
        <v>64</v>
      </c>
      <c r="D7231" s="2" t="s">
        <v>10</v>
      </c>
      <c r="E7231" s="2" t="s">
        <v>16</v>
      </c>
      <c r="F7231" s="2">
        <v>17.43</v>
      </c>
      <c r="G7231" s="2">
        <v>1</v>
      </c>
      <c r="H7231" s="2">
        <v>-13.36</v>
      </c>
      <c r="I7231" t="str">
        <f t="shared" si="112"/>
        <v>Apr</v>
      </c>
      <c r="J7231">
        <f>YEAR(datas[[#This Row],[Order Date]])</f>
        <v>2024</v>
      </c>
    </row>
    <row r="7232" spans="1:10" ht="14.25" customHeight="1" x14ac:dyDescent="0.3">
      <c r="A7232" s="1">
        <v>45391</v>
      </c>
      <c r="B7232" s="2" t="s">
        <v>103</v>
      </c>
      <c r="C7232" s="2" t="s">
        <v>64</v>
      </c>
      <c r="D7232" s="2" t="s">
        <v>10</v>
      </c>
      <c r="E7232" s="2" t="s">
        <v>11</v>
      </c>
      <c r="F7232" s="2">
        <v>251.64</v>
      </c>
      <c r="G7232" s="2">
        <v>3</v>
      </c>
      <c r="H7232" s="2">
        <v>88.07</v>
      </c>
      <c r="I7232" t="str">
        <f t="shared" si="112"/>
        <v>Apr</v>
      </c>
      <c r="J7232">
        <f>YEAR(datas[[#This Row],[Order Date]])</f>
        <v>2024</v>
      </c>
    </row>
    <row r="7233" spans="1:10" ht="14.25" customHeight="1" x14ac:dyDescent="0.3">
      <c r="A7233" s="1">
        <v>45391</v>
      </c>
      <c r="B7233" s="2" t="s">
        <v>387</v>
      </c>
      <c r="C7233" s="2" t="s">
        <v>60</v>
      </c>
      <c r="D7233" s="2" t="s">
        <v>10</v>
      </c>
      <c r="E7233" s="2" t="s">
        <v>16</v>
      </c>
      <c r="F7233" s="2">
        <v>478.24</v>
      </c>
      <c r="G7233" s="2">
        <v>8</v>
      </c>
      <c r="H7233" s="2">
        <v>219.99</v>
      </c>
      <c r="I7233" t="str">
        <f t="shared" si="112"/>
        <v>Apr</v>
      </c>
      <c r="J7233">
        <f>YEAR(datas[[#This Row],[Order Date]])</f>
        <v>2024</v>
      </c>
    </row>
    <row r="7234" spans="1:10" ht="14.25" customHeight="1" x14ac:dyDescent="0.3">
      <c r="A7234" s="1">
        <v>45391</v>
      </c>
      <c r="B7234" s="2" t="s">
        <v>550</v>
      </c>
      <c r="C7234" s="2" t="s">
        <v>18</v>
      </c>
      <c r="D7234" s="2" t="s">
        <v>10</v>
      </c>
      <c r="E7234" s="2" t="s">
        <v>16</v>
      </c>
      <c r="F7234" s="2">
        <v>37.9</v>
      </c>
      <c r="G7234" s="2">
        <v>4</v>
      </c>
      <c r="H7234" s="2">
        <v>-29.05</v>
      </c>
      <c r="I7234" t="str">
        <f t="shared" si="112"/>
        <v>Apr</v>
      </c>
      <c r="J7234">
        <f>YEAR(datas[[#This Row],[Order Date]])</f>
        <v>2024</v>
      </c>
    </row>
    <row r="7235" spans="1:10" ht="14.25" customHeight="1" x14ac:dyDescent="0.3">
      <c r="A7235" s="1">
        <v>45391</v>
      </c>
      <c r="B7235" s="2" t="s">
        <v>550</v>
      </c>
      <c r="C7235" s="2" t="s">
        <v>18</v>
      </c>
      <c r="D7235" s="2" t="s">
        <v>10</v>
      </c>
      <c r="E7235" s="2" t="s">
        <v>11</v>
      </c>
      <c r="F7235" s="2">
        <v>65.58</v>
      </c>
      <c r="G7235" s="2">
        <v>2</v>
      </c>
      <c r="H7235" s="2">
        <v>23.77</v>
      </c>
      <c r="I7235" t="str">
        <f t="shared" ref="I7235:I7298" si="113">TEXT(A7235,"mmm")</f>
        <v>Apr</v>
      </c>
      <c r="J7235">
        <f>YEAR(datas[[#This Row],[Order Date]])</f>
        <v>2024</v>
      </c>
    </row>
    <row r="7236" spans="1:10" ht="14.25" customHeight="1" x14ac:dyDescent="0.3">
      <c r="A7236" s="1">
        <v>45392</v>
      </c>
      <c r="B7236" s="2" t="s">
        <v>767</v>
      </c>
      <c r="C7236" s="2" t="s">
        <v>87</v>
      </c>
      <c r="D7236" s="2" t="s">
        <v>10</v>
      </c>
      <c r="E7236" s="2" t="s">
        <v>11</v>
      </c>
      <c r="F7236" s="2">
        <v>7.61</v>
      </c>
      <c r="G7236" s="2">
        <v>1</v>
      </c>
      <c r="H7236" s="2">
        <v>3.58</v>
      </c>
      <c r="I7236" t="str">
        <f t="shared" si="113"/>
        <v>Apr</v>
      </c>
      <c r="J7236">
        <f>YEAR(datas[[#This Row],[Order Date]])</f>
        <v>2024</v>
      </c>
    </row>
    <row r="7237" spans="1:10" ht="14.25" customHeight="1" x14ac:dyDescent="0.3">
      <c r="A7237" s="1">
        <v>45392</v>
      </c>
      <c r="B7237" s="2" t="s">
        <v>767</v>
      </c>
      <c r="C7237" s="2" t="s">
        <v>87</v>
      </c>
      <c r="D7237" s="2" t="s">
        <v>10</v>
      </c>
      <c r="E7237" s="2" t="s">
        <v>30</v>
      </c>
      <c r="F7237" s="2">
        <v>7.16</v>
      </c>
      <c r="G7237" s="2">
        <v>2</v>
      </c>
      <c r="H7237" s="2">
        <v>3.58</v>
      </c>
      <c r="I7237" t="str">
        <f t="shared" si="113"/>
        <v>Apr</v>
      </c>
      <c r="J7237">
        <f>YEAR(datas[[#This Row],[Order Date]])</f>
        <v>2024</v>
      </c>
    </row>
    <row r="7238" spans="1:10" ht="14.25" customHeight="1" x14ac:dyDescent="0.3">
      <c r="A7238" s="1">
        <v>45392</v>
      </c>
      <c r="B7238" s="2" t="s">
        <v>517</v>
      </c>
      <c r="C7238" s="2" t="s">
        <v>9</v>
      </c>
      <c r="D7238" s="2" t="s">
        <v>10</v>
      </c>
      <c r="E7238" s="2" t="s">
        <v>11</v>
      </c>
      <c r="F7238" s="2">
        <v>10.37</v>
      </c>
      <c r="G7238" s="2">
        <v>2</v>
      </c>
      <c r="H7238" s="2">
        <v>3.63</v>
      </c>
      <c r="I7238" t="str">
        <f t="shared" si="113"/>
        <v>Apr</v>
      </c>
      <c r="J7238">
        <f>YEAR(datas[[#This Row],[Order Date]])</f>
        <v>2024</v>
      </c>
    </row>
    <row r="7239" spans="1:10" ht="14.25" customHeight="1" x14ac:dyDescent="0.3">
      <c r="A7239" s="1">
        <v>45392</v>
      </c>
      <c r="B7239" s="2" t="s">
        <v>517</v>
      </c>
      <c r="C7239" s="2" t="s">
        <v>9</v>
      </c>
      <c r="D7239" s="2" t="s">
        <v>28</v>
      </c>
      <c r="E7239" s="2" t="s">
        <v>34</v>
      </c>
      <c r="F7239" s="2">
        <v>95.74</v>
      </c>
      <c r="G7239" s="2">
        <v>3</v>
      </c>
      <c r="H7239" s="2">
        <v>20.34</v>
      </c>
      <c r="I7239" t="str">
        <f t="shared" si="113"/>
        <v>Apr</v>
      </c>
      <c r="J7239">
        <f>YEAR(datas[[#This Row],[Order Date]])</f>
        <v>2024</v>
      </c>
    </row>
    <row r="7240" spans="1:10" ht="14.25" customHeight="1" x14ac:dyDescent="0.3">
      <c r="A7240" s="1">
        <v>45392</v>
      </c>
      <c r="B7240" s="2" t="s">
        <v>860</v>
      </c>
      <c r="C7240" s="2" t="s">
        <v>64</v>
      </c>
      <c r="D7240" s="2" t="s">
        <v>26</v>
      </c>
      <c r="E7240" s="2" t="s">
        <v>32</v>
      </c>
      <c r="F7240" s="2">
        <v>12.32</v>
      </c>
      <c r="G7240" s="2">
        <v>5</v>
      </c>
      <c r="H7240" s="2">
        <v>1.85</v>
      </c>
      <c r="I7240" t="str">
        <f t="shared" si="113"/>
        <v>Apr</v>
      </c>
      <c r="J7240">
        <f>YEAR(datas[[#This Row],[Order Date]])</f>
        <v>2024</v>
      </c>
    </row>
    <row r="7241" spans="1:10" ht="14.25" customHeight="1" x14ac:dyDescent="0.3">
      <c r="A7241" s="1">
        <v>45392</v>
      </c>
      <c r="B7241" s="2" t="s">
        <v>860</v>
      </c>
      <c r="C7241" s="2" t="s">
        <v>64</v>
      </c>
      <c r="D7241" s="2" t="s">
        <v>10</v>
      </c>
      <c r="E7241" s="2" t="s">
        <v>16</v>
      </c>
      <c r="F7241" s="2">
        <v>4.42</v>
      </c>
      <c r="G7241" s="2">
        <v>3</v>
      </c>
      <c r="H7241" s="2">
        <v>-3.09</v>
      </c>
      <c r="I7241" t="str">
        <f t="shared" si="113"/>
        <v>Apr</v>
      </c>
      <c r="J7241">
        <f>YEAR(datas[[#This Row],[Order Date]])</f>
        <v>2024</v>
      </c>
    </row>
    <row r="7242" spans="1:10" ht="14.25" customHeight="1" x14ac:dyDescent="0.3">
      <c r="A7242" s="1">
        <v>45392</v>
      </c>
      <c r="B7242" s="2" t="s">
        <v>596</v>
      </c>
      <c r="C7242" s="2" t="s">
        <v>248</v>
      </c>
      <c r="D7242" s="2" t="s">
        <v>28</v>
      </c>
      <c r="E7242" s="2" t="s">
        <v>34</v>
      </c>
      <c r="F7242" s="2">
        <v>99.99</v>
      </c>
      <c r="G7242" s="2">
        <v>1</v>
      </c>
      <c r="H7242" s="2">
        <v>42</v>
      </c>
      <c r="I7242" t="str">
        <f t="shared" si="113"/>
        <v>Apr</v>
      </c>
      <c r="J7242">
        <f>YEAR(datas[[#This Row],[Order Date]])</f>
        <v>2024</v>
      </c>
    </row>
    <row r="7243" spans="1:10" ht="14.25" customHeight="1" x14ac:dyDescent="0.3">
      <c r="A7243" s="1">
        <v>45392</v>
      </c>
      <c r="B7243" s="2" t="s">
        <v>596</v>
      </c>
      <c r="C7243" s="2" t="s">
        <v>248</v>
      </c>
      <c r="D7243" s="2" t="s">
        <v>10</v>
      </c>
      <c r="E7243" s="2" t="s">
        <v>15</v>
      </c>
      <c r="F7243" s="2">
        <v>286.14999999999998</v>
      </c>
      <c r="G7243" s="2">
        <v>5</v>
      </c>
      <c r="H7243" s="2">
        <v>71.540000000000006</v>
      </c>
      <c r="I7243" t="str">
        <f t="shared" si="113"/>
        <v>Apr</v>
      </c>
      <c r="J7243">
        <f>YEAR(datas[[#This Row],[Order Date]])</f>
        <v>2024</v>
      </c>
    </row>
    <row r="7244" spans="1:10" ht="14.25" customHeight="1" x14ac:dyDescent="0.3">
      <c r="A7244" s="1">
        <v>45392</v>
      </c>
      <c r="B7244" s="2" t="s">
        <v>272</v>
      </c>
      <c r="C7244" s="2" t="s">
        <v>18</v>
      </c>
      <c r="D7244" s="2" t="s">
        <v>10</v>
      </c>
      <c r="E7244" s="2" t="s">
        <v>53</v>
      </c>
      <c r="F7244" s="2">
        <v>195.1</v>
      </c>
      <c r="G7244" s="2">
        <v>4</v>
      </c>
      <c r="H7244" s="2">
        <v>21.95</v>
      </c>
      <c r="I7244" t="str">
        <f t="shared" si="113"/>
        <v>Apr</v>
      </c>
      <c r="J7244">
        <f>YEAR(datas[[#This Row],[Order Date]])</f>
        <v>2024</v>
      </c>
    </row>
    <row r="7245" spans="1:10" ht="14.25" customHeight="1" x14ac:dyDescent="0.3">
      <c r="A7245" s="1">
        <v>45392</v>
      </c>
      <c r="B7245" s="2" t="s">
        <v>272</v>
      </c>
      <c r="C7245" s="2" t="s">
        <v>18</v>
      </c>
      <c r="D7245" s="2" t="s">
        <v>26</v>
      </c>
      <c r="E7245" s="2" t="s">
        <v>32</v>
      </c>
      <c r="F7245" s="2">
        <v>36.67</v>
      </c>
      <c r="G7245" s="2">
        <v>3</v>
      </c>
      <c r="H7245" s="2">
        <v>6.42</v>
      </c>
      <c r="I7245" t="str">
        <f t="shared" si="113"/>
        <v>Apr</v>
      </c>
      <c r="J7245">
        <f>YEAR(datas[[#This Row],[Order Date]])</f>
        <v>2024</v>
      </c>
    </row>
    <row r="7246" spans="1:10" ht="14.25" customHeight="1" x14ac:dyDescent="0.3">
      <c r="A7246" s="1">
        <v>45393</v>
      </c>
      <c r="B7246" s="2" t="s">
        <v>470</v>
      </c>
      <c r="C7246" s="2" t="s">
        <v>21</v>
      </c>
      <c r="D7246" s="2" t="s">
        <v>28</v>
      </c>
      <c r="E7246" s="2" t="s">
        <v>34</v>
      </c>
      <c r="F7246" s="2">
        <v>199.95</v>
      </c>
      <c r="G7246" s="2">
        <v>5</v>
      </c>
      <c r="H7246" s="2">
        <v>21.99</v>
      </c>
      <c r="I7246" t="str">
        <f t="shared" si="113"/>
        <v>Apr</v>
      </c>
      <c r="J7246">
        <f>YEAR(datas[[#This Row],[Order Date]])</f>
        <v>2024</v>
      </c>
    </row>
    <row r="7247" spans="1:10" ht="14.25" customHeight="1" x14ac:dyDescent="0.3">
      <c r="A7247" s="1">
        <v>45393</v>
      </c>
      <c r="B7247" s="2" t="s">
        <v>470</v>
      </c>
      <c r="C7247" s="2" t="s">
        <v>21</v>
      </c>
      <c r="D7247" s="2" t="s">
        <v>10</v>
      </c>
      <c r="E7247" s="2" t="s">
        <v>19</v>
      </c>
      <c r="F7247" s="2">
        <v>41.86</v>
      </c>
      <c r="G7247" s="2">
        <v>7</v>
      </c>
      <c r="H7247" s="2">
        <v>14.23</v>
      </c>
      <c r="I7247" t="str">
        <f t="shared" si="113"/>
        <v>Apr</v>
      </c>
      <c r="J7247">
        <f>YEAR(datas[[#This Row],[Order Date]])</f>
        <v>2024</v>
      </c>
    </row>
    <row r="7248" spans="1:10" ht="14.25" customHeight="1" x14ac:dyDescent="0.3">
      <c r="A7248" s="1">
        <v>45393</v>
      </c>
      <c r="B7248" s="2" t="s">
        <v>147</v>
      </c>
      <c r="C7248" s="2" t="s">
        <v>9</v>
      </c>
      <c r="D7248" s="2" t="s">
        <v>10</v>
      </c>
      <c r="E7248" s="2" t="s">
        <v>16</v>
      </c>
      <c r="F7248" s="2">
        <v>11.36</v>
      </c>
      <c r="G7248" s="2">
        <v>3</v>
      </c>
      <c r="H7248" s="2">
        <v>-17.05</v>
      </c>
      <c r="I7248" t="str">
        <f t="shared" si="113"/>
        <v>Apr</v>
      </c>
      <c r="J7248">
        <f>YEAR(datas[[#This Row],[Order Date]])</f>
        <v>2024</v>
      </c>
    </row>
    <row r="7249" spans="1:10" ht="14.25" customHeight="1" x14ac:dyDescent="0.3">
      <c r="A7249" s="1">
        <v>45393</v>
      </c>
      <c r="B7249" s="2" t="s">
        <v>372</v>
      </c>
      <c r="C7249" s="2" t="s">
        <v>47</v>
      </c>
      <c r="D7249" s="2" t="s">
        <v>10</v>
      </c>
      <c r="E7249" s="2" t="s">
        <v>15</v>
      </c>
      <c r="F7249" s="2">
        <v>16.77</v>
      </c>
      <c r="G7249" s="2">
        <v>2</v>
      </c>
      <c r="H7249" s="2">
        <v>1.47</v>
      </c>
      <c r="I7249" t="str">
        <f t="shared" si="113"/>
        <v>Apr</v>
      </c>
      <c r="J7249">
        <f>YEAR(datas[[#This Row],[Order Date]])</f>
        <v>2024</v>
      </c>
    </row>
    <row r="7250" spans="1:10" ht="14.25" customHeight="1" x14ac:dyDescent="0.3">
      <c r="A7250" s="1">
        <v>45393</v>
      </c>
      <c r="B7250" s="2" t="s">
        <v>372</v>
      </c>
      <c r="C7250" s="2" t="s">
        <v>47</v>
      </c>
      <c r="D7250" s="2" t="s">
        <v>28</v>
      </c>
      <c r="E7250" s="2" t="s">
        <v>34</v>
      </c>
      <c r="F7250" s="2">
        <v>27.12</v>
      </c>
      <c r="G7250" s="2">
        <v>2</v>
      </c>
      <c r="H7250" s="2">
        <v>-4.75</v>
      </c>
      <c r="I7250" t="str">
        <f t="shared" si="113"/>
        <v>Apr</v>
      </c>
      <c r="J7250">
        <f>YEAR(datas[[#This Row],[Order Date]])</f>
        <v>2024</v>
      </c>
    </row>
    <row r="7251" spans="1:10" ht="14.25" customHeight="1" x14ac:dyDescent="0.3">
      <c r="A7251" s="1">
        <v>45393</v>
      </c>
      <c r="B7251" s="2" t="s">
        <v>773</v>
      </c>
      <c r="C7251" s="2" t="s">
        <v>115</v>
      </c>
      <c r="D7251" s="2" t="s">
        <v>10</v>
      </c>
      <c r="E7251" s="2" t="s">
        <v>19</v>
      </c>
      <c r="F7251" s="2">
        <v>1.75</v>
      </c>
      <c r="G7251" s="2">
        <v>1</v>
      </c>
      <c r="H7251" s="2">
        <v>0.15</v>
      </c>
      <c r="I7251" t="str">
        <f t="shared" si="113"/>
        <v>Apr</v>
      </c>
      <c r="J7251">
        <f>YEAR(datas[[#This Row],[Order Date]])</f>
        <v>2024</v>
      </c>
    </row>
    <row r="7252" spans="1:10" ht="14.25" customHeight="1" x14ac:dyDescent="0.3">
      <c r="A7252" s="1">
        <v>45393</v>
      </c>
      <c r="B7252" s="2" t="s">
        <v>773</v>
      </c>
      <c r="C7252" s="2" t="s">
        <v>115</v>
      </c>
      <c r="D7252" s="2" t="s">
        <v>10</v>
      </c>
      <c r="E7252" s="2" t="s">
        <v>19</v>
      </c>
      <c r="F7252" s="2">
        <v>20.99</v>
      </c>
      <c r="G7252" s="2">
        <v>8</v>
      </c>
      <c r="H7252" s="2">
        <v>2.36</v>
      </c>
      <c r="I7252" t="str">
        <f t="shared" si="113"/>
        <v>Apr</v>
      </c>
      <c r="J7252">
        <f>YEAR(datas[[#This Row],[Order Date]])</f>
        <v>2024</v>
      </c>
    </row>
    <row r="7253" spans="1:10" ht="14.25" customHeight="1" x14ac:dyDescent="0.3">
      <c r="A7253" s="1">
        <v>45394</v>
      </c>
      <c r="B7253" s="2" t="s">
        <v>722</v>
      </c>
      <c r="C7253" s="2" t="s">
        <v>553</v>
      </c>
      <c r="D7253" s="2" t="s">
        <v>10</v>
      </c>
      <c r="E7253" s="2" t="s">
        <v>16</v>
      </c>
      <c r="F7253" s="2">
        <v>29.7</v>
      </c>
      <c r="G7253" s="2">
        <v>5</v>
      </c>
      <c r="H7253" s="2">
        <v>13.37</v>
      </c>
      <c r="I7253" t="str">
        <f t="shared" si="113"/>
        <v>Apr</v>
      </c>
      <c r="J7253">
        <f>YEAR(datas[[#This Row],[Order Date]])</f>
        <v>2024</v>
      </c>
    </row>
    <row r="7254" spans="1:10" ht="14.25" customHeight="1" x14ac:dyDescent="0.3">
      <c r="A7254" s="1">
        <v>45394</v>
      </c>
      <c r="B7254" s="2" t="s">
        <v>722</v>
      </c>
      <c r="C7254" s="2" t="s">
        <v>553</v>
      </c>
      <c r="D7254" s="2" t="s">
        <v>10</v>
      </c>
      <c r="E7254" s="2" t="s">
        <v>11</v>
      </c>
      <c r="F7254" s="2">
        <v>39.96</v>
      </c>
      <c r="G7254" s="2">
        <v>4</v>
      </c>
      <c r="H7254" s="2">
        <v>17.98</v>
      </c>
      <c r="I7254" t="str">
        <f t="shared" si="113"/>
        <v>Apr</v>
      </c>
      <c r="J7254">
        <f>YEAR(datas[[#This Row],[Order Date]])</f>
        <v>2024</v>
      </c>
    </row>
    <row r="7255" spans="1:10" ht="14.25" customHeight="1" x14ac:dyDescent="0.3">
      <c r="A7255" s="1">
        <v>45395</v>
      </c>
      <c r="B7255" s="2" t="s">
        <v>342</v>
      </c>
      <c r="C7255" s="2" t="s">
        <v>82</v>
      </c>
      <c r="D7255" s="2" t="s">
        <v>10</v>
      </c>
      <c r="E7255" s="2" t="s">
        <v>11</v>
      </c>
      <c r="F7255" s="2">
        <v>5.28</v>
      </c>
      <c r="G7255" s="2">
        <v>1</v>
      </c>
      <c r="H7255" s="2">
        <v>2.38</v>
      </c>
      <c r="I7255" t="str">
        <f t="shared" si="113"/>
        <v>Apr</v>
      </c>
      <c r="J7255">
        <f>YEAR(datas[[#This Row],[Order Date]])</f>
        <v>2024</v>
      </c>
    </row>
    <row r="7256" spans="1:10" ht="14.25" customHeight="1" x14ac:dyDescent="0.3">
      <c r="A7256" s="1">
        <v>45395</v>
      </c>
      <c r="B7256" s="2" t="s">
        <v>342</v>
      </c>
      <c r="C7256" s="2" t="s">
        <v>82</v>
      </c>
      <c r="D7256" s="2" t="s">
        <v>10</v>
      </c>
      <c r="E7256" s="2" t="s">
        <v>16</v>
      </c>
      <c r="F7256" s="2">
        <v>895.92</v>
      </c>
      <c r="G7256" s="2">
        <v>5</v>
      </c>
      <c r="H7256" s="2">
        <v>302.37</v>
      </c>
      <c r="I7256" t="str">
        <f t="shared" si="113"/>
        <v>Apr</v>
      </c>
      <c r="J7256">
        <f>YEAR(datas[[#This Row],[Order Date]])</f>
        <v>2024</v>
      </c>
    </row>
    <row r="7257" spans="1:10" ht="14.25" customHeight="1" x14ac:dyDescent="0.3">
      <c r="A7257" s="1">
        <v>45395</v>
      </c>
      <c r="B7257" s="2" t="s">
        <v>670</v>
      </c>
      <c r="C7257" s="2" t="s">
        <v>21</v>
      </c>
      <c r="D7257" s="2" t="s">
        <v>26</v>
      </c>
      <c r="E7257" s="2" t="s">
        <v>27</v>
      </c>
      <c r="F7257" s="2">
        <v>436.7</v>
      </c>
      <c r="G7257" s="2">
        <v>6</v>
      </c>
      <c r="H7257" s="2">
        <v>-38.21</v>
      </c>
      <c r="I7257" t="str">
        <f t="shared" si="113"/>
        <v>Apr</v>
      </c>
      <c r="J7257">
        <f>YEAR(datas[[#This Row],[Order Date]])</f>
        <v>2024</v>
      </c>
    </row>
    <row r="7258" spans="1:10" ht="14.25" customHeight="1" x14ac:dyDescent="0.3">
      <c r="A7258" s="1">
        <v>45395</v>
      </c>
      <c r="B7258" s="2" t="s">
        <v>752</v>
      </c>
      <c r="C7258" s="2" t="s">
        <v>18</v>
      </c>
      <c r="D7258" s="2" t="s">
        <v>10</v>
      </c>
      <c r="E7258" s="2" t="s">
        <v>30</v>
      </c>
      <c r="F7258" s="2">
        <v>7.92</v>
      </c>
      <c r="G7258" s="2">
        <v>5</v>
      </c>
      <c r="H7258" s="2">
        <v>1.68</v>
      </c>
      <c r="I7258" t="str">
        <f t="shared" si="113"/>
        <v>Apr</v>
      </c>
      <c r="J7258">
        <f>YEAR(datas[[#This Row],[Order Date]])</f>
        <v>2024</v>
      </c>
    </row>
    <row r="7259" spans="1:10" ht="14.25" customHeight="1" x14ac:dyDescent="0.3">
      <c r="A7259" s="1">
        <v>45396</v>
      </c>
      <c r="B7259" s="2" t="s">
        <v>585</v>
      </c>
      <c r="C7259" s="2" t="s">
        <v>47</v>
      </c>
      <c r="D7259" s="2" t="s">
        <v>10</v>
      </c>
      <c r="E7259" s="2" t="s">
        <v>19</v>
      </c>
      <c r="F7259" s="2">
        <v>14.59</v>
      </c>
      <c r="G7259" s="2">
        <v>3</v>
      </c>
      <c r="H7259" s="2">
        <v>2.5499999999999998</v>
      </c>
      <c r="I7259" t="str">
        <f t="shared" si="113"/>
        <v>Apr</v>
      </c>
      <c r="J7259">
        <f>YEAR(datas[[#This Row],[Order Date]])</f>
        <v>2024</v>
      </c>
    </row>
    <row r="7260" spans="1:10" ht="14.25" customHeight="1" x14ac:dyDescent="0.3">
      <c r="A7260" s="1">
        <v>45396</v>
      </c>
      <c r="B7260" s="2" t="s">
        <v>585</v>
      </c>
      <c r="C7260" s="2" t="s">
        <v>47</v>
      </c>
      <c r="D7260" s="2" t="s">
        <v>10</v>
      </c>
      <c r="E7260" s="2" t="s">
        <v>19</v>
      </c>
      <c r="F7260" s="2">
        <v>89.86</v>
      </c>
      <c r="G7260" s="2">
        <v>3</v>
      </c>
      <c r="H7260" s="2">
        <v>21.34</v>
      </c>
      <c r="I7260" t="str">
        <f t="shared" si="113"/>
        <v>Apr</v>
      </c>
      <c r="J7260">
        <f>YEAR(datas[[#This Row],[Order Date]])</f>
        <v>2024</v>
      </c>
    </row>
    <row r="7261" spans="1:10" ht="14.25" customHeight="1" x14ac:dyDescent="0.3">
      <c r="A7261" s="1">
        <v>45396</v>
      </c>
      <c r="B7261" s="2" t="s">
        <v>585</v>
      </c>
      <c r="C7261" s="2" t="s">
        <v>47</v>
      </c>
      <c r="D7261" s="2" t="s">
        <v>10</v>
      </c>
      <c r="E7261" s="2" t="s">
        <v>11</v>
      </c>
      <c r="F7261" s="2">
        <v>13.87</v>
      </c>
      <c r="G7261" s="2">
        <v>3</v>
      </c>
      <c r="H7261" s="2">
        <v>5.03</v>
      </c>
      <c r="I7261" t="str">
        <f t="shared" si="113"/>
        <v>Apr</v>
      </c>
      <c r="J7261">
        <f>YEAR(datas[[#This Row],[Order Date]])</f>
        <v>2024</v>
      </c>
    </row>
    <row r="7262" spans="1:10" ht="14.25" customHeight="1" x14ac:dyDescent="0.3">
      <c r="A7262" s="1">
        <v>45396</v>
      </c>
      <c r="B7262" s="2" t="s">
        <v>824</v>
      </c>
      <c r="C7262" s="2" t="s">
        <v>91</v>
      </c>
      <c r="D7262" s="2" t="s">
        <v>10</v>
      </c>
      <c r="E7262" s="2" t="s">
        <v>16</v>
      </c>
      <c r="F7262" s="2">
        <v>8.76</v>
      </c>
      <c r="G7262" s="2">
        <v>2</v>
      </c>
      <c r="H7262" s="2">
        <v>4.2</v>
      </c>
      <c r="I7262" t="str">
        <f t="shared" si="113"/>
        <v>Apr</v>
      </c>
      <c r="J7262">
        <f>YEAR(datas[[#This Row],[Order Date]])</f>
        <v>2024</v>
      </c>
    </row>
    <row r="7263" spans="1:10" ht="14.25" customHeight="1" x14ac:dyDescent="0.3">
      <c r="A7263" s="1">
        <v>45396</v>
      </c>
      <c r="B7263" s="2" t="s">
        <v>419</v>
      </c>
      <c r="C7263" s="2" t="s">
        <v>75</v>
      </c>
      <c r="D7263" s="2" t="s">
        <v>10</v>
      </c>
      <c r="E7263" s="2" t="s">
        <v>16</v>
      </c>
      <c r="F7263" s="2">
        <v>10.78</v>
      </c>
      <c r="G7263" s="2">
        <v>3</v>
      </c>
      <c r="H7263" s="2">
        <v>3.5</v>
      </c>
      <c r="I7263" t="str">
        <f t="shared" si="113"/>
        <v>Apr</v>
      </c>
      <c r="J7263">
        <f>YEAR(datas[[#This Row],[Order Date]])</f>
        <v>2024</v>
      </c>
    </row>
    <row r="7264" spans="1:10" ht="14.25" customHeight="1" x14ac:dyDescent="0.3">
      <c r="A7264" s="1">
        <v>45396</v>
      </c>
      <c r="B7264" s="2" t="s">
        <v>419</v>
      </c>
      <c r="C7264" s="2" t="s">
        <v>75</v>
      </c>
      <c r="D7264" s="2" t="s">
        <v>26</v>
      </c>
      <c r="E7264" s="2" t="s">
        <v>45</v>
      </c>
      <c r="F7264" s="2">
        <v>242.35</v>
      </c>
      <c r="G7264" s="2">
        <v>3</v>
      </c>
      <c r="H7264" s="2">
        <v>9.09</v>
      </c>
      <c r="I7264" t="str">
        <f t="shared" si="113"/>
        <v>Apr</v>
      </c>
      <c r="J7264">
        <f>YEAR(datas[[#This Row],[Order Date]])</f>
        <v>2024</v>
      </c>
    </row>
    <row r="7265" spans="1:10" ht="14.25" customHeight="1" x14ac:dyDescent="0.3">
      <c r="A7265" s="1">
        <v>45396</v>
      </c>
      <c r="B7265" s="2" t="s">
        <v>430</v>
      </c>
      <c r="C7265" s="2" t="s">
        <v>115</v>
      </c>
      <c r="D7265" s="2" t="s">
        <v>26</v>
      </c>
      <c r="E7265" s="2" t="s">
        <v>45</v>
      </c>
      <c r="F7265" s="2">
        <v>198.27</v>
      </c>
      <c r="G7265" s="2">
        <v>8</v>
      </c>
      <c r="H7265" s="2">
        <v>-32.22</v>
      </c>
      <c r="I7265" t="str">
        <f t="shared" si="113"/>
        <v>Apr</v>
      </c>
      <c r="J7265">
        <f>YEAR(datas[[#This Row],[Order Date]])</f>
        <v>2024</v>
      </c>
    </row>
    <row r="7266" spans="1:10" ht="14.25" customHeight="1" x14ac:dyDescent="0.3">
      <c r="A7266" s="1">
        <v>45396</v>
      </c>
      <c r="B7266" s="2" t="s">
        <v>380</v>
      </c>
      <c r="C7266" s="2" t="s">
        <v>87</v>
      </c>
      <c r="D7266" s="2" t="s">
        <v>26</v>
      </c>
      <c r="E7266" s="2" t="s">
        <v>32</v>
      </c>
      <c r="F7266" s="2">
        <v>74.45</v>
      </c>
      <c r="G7266" s="2">
        <v>5</v>
      </c>
      <c r="H7266" s="2">
        <v>20.100000000000001</v>
      </c>
      <c r="I7266" t="str">
        <f t="shared" si="113"/>
        <v>Apr</v>
      </c>
      <c r="J7266">
        <f>YEAR(datas[[#This Row],[Order Date]])</f>
        <v>2024</v>
      </c>
    </row>
    <row r="7267" spans="1:10" ht="14.25" customHeight="1" x14ac:dyDescent="0.3">
      <c r="A7267" s="1">
        <v>45397</v>
      </c>
      <c r="B7267" s="2" t="s">
        <v>247</v>
      </c>
      <c r="C7267" s="2" t="s">
        <v>115</v>
      </c>
      <c r="D7267" s="2" t="s">
        <v>10</v>
      </c>
      <c r="E7267" s="2" t="s">
        <v>11</v>
      </c>
      <c r="F7267" s="2">
        <v>15.55</v>
      </c>
      <c r="G7267" s="2">
        <v>3</v>
      </c>
      <c r="H7267" s="2">
        <v>5.44</v>
      </c>
      <c r="I7267" t="str">
        <f t="shared" si="113"/>
        <v>Apr</v>
      </c>
      <c r="J7267">
        <f>YEAR(datas[[#This Row],[Order Date]])</f>
        <v>2024</v>
      </c>
    </row>
    <row r="7268" spans="1:10" ht="14.25" customHeight="1" x14ac:dyDescent="0.3">
      <c r="A7268" s="1">
        <v>45397</v>
      </c>
      <c r="B7268" s="2" t="s">
        <v>561</v>
      </c>
      <c r="C7268" s="2" t="s">
        <v>36</v>
      </c>
      <c r="D7268" s="2" t="s">
        <v>10</v>
      </c>
      <c r="E7268" s="2" t="s">
        <v>19</v>
      </c>
      <c r="F7268" s="2">
        <v>4.8899999999999997</v>
      </c>
      <c r="G7268" s="2">
        <v>1</v>
      </c>
      <c r="H7268" s="2">
        <v>2</v>
      </c>
      <c r="I7268" t="str">
        <f t="shared" si="113"/>
        <v>Apr</v>
      </c>
      <c r="J7268">
        <f>YEAR(datas[[#This Row],[Order Date]])</f>
        <v>2024</v>
      </c>
    </row>
    <row r="7269" spans="1:10" ht="14.25" customHeight="1" x14ac:dyDescent="0.3">
      <c r="A7269" s="1">
        <v>45397</v>
      </c>
      <c r="B7269" s="2" t="s">
        <v>584</v>
      </c>
      <c r="C7269" s="2" t="s">
        <v>66</v>
      </c>
      <c r="D7269" s="2" t="s">
        <v>26</v>
      </c>
      <c r="E7269" s="2" t="s">
        <v>32</v>
      </c>
      <c r="F7269" s="2">
        <v>196.45</v>
      </c>
      <c r="G7269" s="2">
        <v>5</v>
      </c>
      <c r="H7269" s="2">
        <v>70.72</v>
      </c>
      <c r="I7269" t="str">
        <f t="shared" si="113"/>
        <v>Apr</v>
      </c>
      <c r="J7269">
        <f>YEAR(datas[[#This Row],[Order Date]])</f>
        <v>2024</v>
      </c>
    </row>
    <row r="7270" spans="1:10" ht="14.25" customHeight="1" x14ac:dyDescent="0.3">
      <c r="A7270" s="1">
        <v>45397</v>
      </c>
      <c r="B7270" s="2" t="s">
        <v>338</v>
      </c>
      <c r="C7270" s="2" t="s">
        <v>21</v>
      </c>
      <c r="D7270" s="2" t="s">
        <v>10</v>
      </c>
      <c r="E7270" s="2" t="s">
        <v>11</v>
      </c>
      <c r="F7270" s="2">
        <v>79.14</v>
      </c>
      <c r="G7270" s="2">
        <v>3</v>
      </c>
      <c r="H7270" s="2">
        <v>36.4</v>
      </c>
      <c r="I7270" t="str">
        <f t="shared" si="113"/>
        <v>Apr</v>
      </c>
      <c r="J7270">
        <f>YEAR(datas[[#This Row],[Order Date]])</f>
        <v>2024</v>
      </c>
    </row>
    <row r="7271" spans="1:10" ht="14.25" customHeight="1" x14ac:dyDescent="0.3">
      <c r="A7271" s="1">
        <v>45397</v>
      </c>
      <c r="B7271" s="2" t="s">
        <v>69</v>
      </c>
      <c r="C7271" s="2" t="s">
        <v>9</v>
      </c>
      <c r="D7271" s="2" t="s">
        <v>10</v>
      </c>
      <c r="E7271" s="2" t="s">
        <v>11</v>
      </c>
      <c r="F7271" s="2">
        <v>20.74</v>
      </c>
      <c r="G7271" s="2">
        <v>4</v>
      </c>
      <c r="H7271" s="2">
        <v>7.26</v>
      </c>
      <c r="I7271" t="str">
        <f t="shared" si="113"/>
        <v>Apr</v>
      </c>
      <c r="J7271">
        <f>YEAR(datas[[#This Row],[Order Date]])</f>
        <v>2024</v>
      </c>
    </row>
    <row r="7272" spans="1:10" ht="14.25" customHeight="1" x14ac:dyDescent="0.3">
      <c r="A7272" s="1">
        <v>45397</v>
      </c>
      <c r="B7272" s="2" t="s">
        <v>311</v>
      </c>
      <c r="C7272" s="2" t="s">
        <v>64</v>
      </c>
      <c r="D7272" s="2" t="s">
        <v>10</v>
      </c>
      <c r="E7272" s="2" t="s">
        <v>16</v>
      </c>
      <c r="F7272" s="2">
        <v>15.57</v>
      </c>
      <c r="G7272" s="2">
        <v>3</v>
      </c>
      <c r="H7272" s="2">
        <v>-11.94</v>
      </c>
      <c r="I7272" t="str">
        <f t="shared" si="113"/>
        <v>Apr</v>
      </c>
      <c r="J7272">
        <f>YEAR(datas[[#This Row],[Order Date]])</f>
        <v>2024</v>
      </c>
    </row>
    <row r="7273" spans="1:10" ht="14.25" customHeight="1" x14ac:dyDescent="0.3">
      <c r="A7273" s="1">
        <v>45398</v>
      </c>
      <c r="B7273" s="2" t="s">
        <v>557</v>
      </c>
      <c r="C7273" s="2" t="s">
        <v>13</v>
      </c>
      <c r="D7273" s="2" t="s">
        <v>10</v>
      </c>
      <c r="E7273" s="2" t="s">
        <v>19</v>
      </c>
      <c r="F7273" s="2">
        <v>16.52</v>
      </c>
      <c r="G7273" s="2">
        <v>5</v>
      </c>
      <c r="H7273" s="2">
        <v>2.0699999999999998</v>
      </c>
      <c r="I7273" t="str">
        <f t="shared" si="113"/>
        <v>Apr</v>
      </c>
      <c r="J7273">
        <f>YEAR(datas[[#This Row],[Order Date]])</f>
        <v>2024</v>
      </c>
    </row>
    <row r="7274" spans="1:10" ht="14.25" customHeight="1" x14ac:dyDescent="0.3">
      <c r="A7274" s="1">
        <v>45398</v>
      </c>
      <c r="B7274" s="2" t="s">
        <v>575</v>
      </c>
      <c r="C7274" s="2" t="s">
        <v>47</v>
      </c>
      <c r="D7274" s="2" t="s">
        <v>10</v>
      </c>
      <c r="E7274" s="2" t="s">
        <v>16</v>
      </c>
      <c r="F7274" s="2">
        <v>13.71</v>
      </c>
      <c r="G7274" s="2">
        <v>5</v>
      </c>
      <c r="H7274" s="2">
        <v>-10.050000000000001</v>
      </c>
      <c r="I7274" t="str">
        <f t="shared" si="113"/>
        <v>Apr</v>
      </c>
      <c r="J7274">
        <f>YEAR(datas[[#This Row],[Order Date]])</f>
        <v>2024</v>
      </c>
    </row>
    <row r="7275" spans="1:10" ht="14.25" customHeight="1" x14ac:dyDescent="0.3">
      <c r="A7275" s="1">
        <v>45398</v>
      </c>
      <c r="B7275" s="2" t="s">
        <v>332</v>
      </c>
      <c r="C7275" s="2" t="s">
        <v>21</v>
      </c>
      <c r="D7275" s="2" t="s">
        <v>10</v>
      </c>
      <c r="E7275" s="2" t="s">
        <v>15</v>
      </c>
      <c r="F7275" s="2">
        <v>205.92</v>
      </c>
      <c r="G7275" s="2">
        <v>4</v>
      </c>
      <c r="H7275" s="2">
        <v>2.06</v>
      </c>
      <c r="I7275" t="str">
        <f t="shared" si="113"/>
        <v>Apr</v>
      </c>
      <c r="J7275">
        <f>YEAR(datas[[#This Row],[Order Date]])</f>
        <v>2024</v>
      </c>
    </row>
    <row r="7276" spans="1:10" ht="14.25" customHeight="1" x14ac:dyDescent="0.3">
      <c r="A7276" s="1">
        <v>45398</v>
      </c>
      <c r="B7276" s="2" t="s">
        <v>332</v>
      </c>
      <c r="C7276" s="2" t="s">
        <v>21</v>
      </c>
      <c r="D7276" s="2" t="s">
        <v>26</v>
      </c>
      <c r="E7276" s="2" t="s">
        <v>45</v>
      </c>
      <c r="F7276" s="2">
        <v>102.83</v>
      </c>
      <c r="G7276" s="2">
        <v>1</v>
      </c>
      <c r="H7276" s="2">
        <v>-6.05</v>
      </c>
      <c r="I7276" t="str">
        <f t="shared" si="113"/>
        <v>Apr</v>
      </c>
      <c r="J7276">
        <f>YEAR(datas[[#This Row],[Order Date]])</f>
        <v>2024</v>
      </c>
    </row>
    <row r="7277" spans="1:10" ht="14.25" customHeight="1" x14ac:dyDescent="0.3">
      <c r="A7277" s="1">
        <v>45398</v>
      </c>
      <c r="B7277" s="2" t="s">
        <v>687</v>
      </c>
      <c r="C7277" s="2" t="s">
        <v>198</v>
      </c>
      <c r="D7277" s="2" t="s">
        <v>10</v>
      </c>
      <c r="E7277" s="2" t="s">
        <v>95</v>
      </c>
      <c r="F7277" s="2">
        <v>477.24</v>
      </c>
      <c r="G7277" s="2">
        <v>4</v>
      </c>
      <c r="H7277" s="2">
        <v>9.5399999999999991</v>
      </c>
      <c r="I7277" t="str">
        <f t="shared" si="113"/>
        <v>Apr</v>
      </c>
      <c r="J7277">
        <f>YEAR(datas[[#This Row],[Order Date]])</f>
        <v>2024</v>
      </c>
    </row>
    <row r="7278" spans="1:10" ht="14.25" customHeight="1" x14ac:dyDescent="0.3">
      <c r="A7278" s="1">
        <v>45398</v>
      </c>
      <c r="B7278" s="2" t="s">
        <v>687</v>
      </c>
      <c r="C7278" s="2" t="s">
        <v>198</v>
      </c>
      <c r="D7278" s="2" t="s">
        <v>28</v>
      </c>
      <c r="E7278" s="2" t="s">
        <v>34</v>
      </c>
      <c r="F7278" s="2">
        <v>25.98</v>
      </c>
      <c r="G7278" s="2">
        <v>2</v>
      </c>
      <c r="H7278" s="2">
        <v>1.56</v>
      </c>
      <c r="I7278" t="str">
        <f t="shared" si="113"/>
        <v>Apr</v>
      </c>
      <c r="J7278">
        <f>YEAR(datas[[#This Row],[Order Date]])</f>
        <v>2024</v>
      </c>
    </row>
    <row r="7279" spans="1:10" ht="14.25" customHeight="1" x14ac:dyDescent="0.3">
      <c r="A7279" s="1">
        <v>45398</v>
      </c>
      <c r="B7279" s="2" t="s">
        <v>42</v>
      </c>
      <c r="C7279" s="2" t="s">
        <v>9</v>
      </c>
      <c r="D7279" s="2" t="s">
        <v>10</v>
      </c>
      <c r="E7279" s="2" t="s">
        <v>16</v>
      </c>
      <c r="F7279" s="2">
        <v>26.05</v>
      </c>
      <c r="G7279" s="2">
        <v>3</v>
      </c>
      <c r="H7279" s="2">
        <v>-44.28</v>
      </c>
      <c r="I7279" t="str">
        <f t="shared" si="113"/>
        <v>Apr</v>
      </c>
      <c r="J7279">
        <f>YEAR(datas[[#This Row],[Order Date]])</f>
        <v>2024</v>
      </c>
    </row>
    <row r="7280" spans="1:10" ht="14.25" customHeight="1" x14ac:dyDescent="0.3">
      <c r="A7280" s="1">
        <v>45398</v>
      </c>
      <c r="B7280" s="2" t="s">
        <v>42</v>
      </c>
      <c r="C7280" s="2" t="s">
        <v>9</v>
      </c>
      <c r="D7280" s="2" t="s">
        <v>10</v>
      </c>
      <c r="E7280" s="2" t="s">
        <v>16</v>
      </c>
      <c r="F7280" s="2">
        <v>2.9</v>
      </c>
      <c r="G7280" s="2">
        <v>1</v>
      </c>
      <c r="H7280" s="2">
        <v>-4.78</v>
      </c>
      <c r="I7280" t="str">
        <f t="shared" si="113"/>
        <v>Apr</v>
      </c>
      <c r="J7280">
        <f>YEAR(datas[[#This Row],[Order Date]])</f>
        <v>2024</v>
      </c>
    </row>
    <row r="7281" spans="1:10" ht="14.25" customHeight="1" x14ac:dyDescent="0.3">
      <c r="A7281" s="1">
        <v>45398</v>
      </c>
      <c r="B7281" s="2" t="s">
        <v>42</v>
      </c>
      <c r="C7281" s="2" t="s">
        <v>9</v>
      </c>
      <c r="D7281" s="2" t="s">
        <v>10</v>
      </c>
      <c r="E7281" s="2" t="s">
        <v>15</v>
      </c>
      <c r="F7281" s="2">
        <v>32.54</v>
      </c>
      <c r="G7281" s="2">
        <v>2</v>
      </c>
      <c r="H7281" s="2">
        <v>-7.73</v>
      </c>
      <c r="I7281" t="str">
        <f t="shared" si="113"/>
        <v>Apr</v>
      </c>
      <c r="J7281">
        <f>YEAR(datas[[#This Row],[Order Date]])</f>
        <v>2024</v>
      </c>
    </row>
    <row r="7282" spans="1:10" ht="14.25" customHeight="1" x14ac:dyDescent="0.3">
      <c r="A7282" s="1">
        <v>45398</v>
      </c>
      <c r="B7282" s="2" t="s">
        <v>690</v>
      </c>
      <c r="C7282" s="2" t="s">
        <v>21</v>
      </c>
      <c r="D7282" s="2" t="s">
        <v>10</v>
      </c>
      <c r="E7282" s="2" t="s">
        <v>53</v>
      </c>
      <c r="F7282" s="2">
        <v>40.74</v>
      </c>
      <c r="G7282" s="2">
        <v>3</v>
      </c>
      <c r="H7282" s="2">
        <v>12.22</v>
      </c>
      <c r="I7282" t="str">
        <f t="shared" si="113"/>
        <v>Apr</v>
      </c>
      <c r="J7282">
        <f>YEAR(datas[[#This Row],[Order Date]])</f>
        <v>2024</v>
      </c>
    </row>
    <row r="7283" spans="1:10" ht="14.25" customHeight="1" x14ac:dyDescent="0.3">
      <c r="A7283" s="1">
        <v>45399</v>
      </c>
      <c r="B7283" s="2" t="s">
        <v>320</v>
      </c>
      <c r="C7283" s="2" t="s">
        <v>126</v>
      </c>
      <c r="D7283" s="2" t="s">
        <v>10</v>
      </c>
      <c r="E7283" s="2" t="s">
        <v>16</v>
      </c>
      <c r="F7283" s="2">
        <v>12.03</v>
      </c>
      <c r="G7283" s="2">
        <v>5</v>
      </c>
      <c r="H7283" s="2">
        <v>-9.2200000000000006</v>
      </c>
      <c r="I7283" t="str">
        <f t="shared" si="113"/>
        <v>Apr</v>
      </c>
      <c r="J7283">
        <f>YEAR(datas[[#This Row],[Order Date]])</f>
        <v>2024</v>
      </c>
    </row>
    <row r="7284" spans="1:10" ht="14.25" customHeight="1" x14ac:dyDescent="0.3">
      <c r="A7284" s="1">
        <v>45399</v>
      </c>
      <c r="B7284" s="2" t="s">
        <v>320</v>
      </c>
      <c r="C7284" s="2" t="s">
        <v>126</v>
      </c>
      <c r="D7284" s="2" t="s">
        <v>28</v>
      </c>
      <c r="E7284" s="2" t="s">
        <v>136</v>
      </c>
      <c r="F7284" s="2">
        <v>2549.9899999999998</v>
      </c>
      <c r="G7284" s="2">
        <v>5</v>
      </c>
      <c r="H7284" s="2">
        <v>-3399.98</v>
      </c>
      <c r="I7284" t="str">
        <f t="shared" si="113"/>
        <v>Apr</v>
      </c>
      <c r="J7284">
        <f>YEAR(datas[[#This Row],[Order Date]])</f>
        <v>2024</v>
      </c>
    </row>
    <row r="7285" spans="1:10" ht="14.25" customHeight="1" x14ac:dyDescent="0.3">
      <c r="A7285" s="1">
        <v>45399</v>
      </c>
      <c r="B7285" s="2" t="s">
        <v>320</v>
      </c>
      <c r="C7285" s="2" t="s">
        <v>126</v>
      </c>
      <c r="D7285" s="2" t="s">
        <v>10</v>
      </c>
      <c r="E7285" s="2" t="s">
        <v>16</v>
      </c>
      <c r="F7285" s="2">
        <v>21.59</v>
      </c>
      <c r="G7285" s="2">
        <v>2</v>
      </c>
      <c r="H7285" s="2">
        <v>-15.84</v>
      </c>
      <c r="I7285" t="str">
        <f t="shared" si="113"/>
        <v>Apr</v>
      </c>
      <c r="J7285">
        <f>YEAR(datas[[#This Row],[Order Date]])</f>
        <v>2024</v>
      </c>
    </row>
    <row r="7286" spans="1:10" ht="14.25" customHeight="1" x14ac:dyDescent="0.3">
      <c r="A7286" s="1">
        <v>45399</v>
      </c>
      <c r="B7286" s="2" t="s">
        <v>320</v>
      </c>
      <c r="C7286" s="2" t="s">
        <v>126</v>
      </c>
      <c r="D7286" s="2" t="s">
        <v>10</v>
      </c>
      <c r="E7286" s="2" t="s">
        <v>16</v>
      </c>
      <c r="F7286" s="2">
        <v>8.9600000000000009</v>
      </c>
      <c r="G7286" s="2">
        <v>6</v>
      </c>
      <c r="H7286" s="2">
        <v>-6.57</v>
      </c>
      <c r="I7286" t="str">
        <f t="shared" si="113"/>
        <v>Apr</v>
      </c>
      <c r="J7286">
        <f>YEAR(datas[[#This Row],[Order Date]])</f>
        <v>2024</v>
      </c>
    </row>
    <row r="7287" spans="1:10" ht="14.25" customHeight="1" x14ac:dyDescent="0.3">
      <c r="A7287" s="1">
        <v>45399</v>
      </c>
      <c r="B7287" s="2" t="s">
        <v>320</v>
      </c>
      <c r="C7287" s="2" t="s">
        <v>126</v>
      </c>
      <c r="D7287" s="2" t="s">
        <v>10</v>
      </c>
      <c r="E7287" s="2" t="s">
        <v>11</v>
      </c>
      <c r="F7287" s="2">
        <v>20.74</v>
      </c>
      <c r="G7287" s="2">
        <v>4</v>
      </c>
      <c r="H7287" s="2">
        <v>7.26</v>
      </c>
      <c r="I7287" t="str">
        <f t="shared" si="113"/>
        <v>Apr</v>
      </c>
      <c r="J7287">
        <f>YEAR(datas[[#This Row],[Order Date]])</f>
        <v>2024</v>
      </c>
    </row>
    <row r="7288" spans="1:10" ht="14.25" customHeight="1" x14ac:dyDescent="0.3">
      <c r="A7288" s="1">
        <v>45399</v>
      </c>
      <c r="B7288" s="2" t="s">
        <v>157</v>
      </c>
      <c r="C7288" s="2" t="s">
        <v>18</v>
      </c>
      <c r="D7288" s="2" t="s">
        <v>26</v>
      </c>
      <c r="E7288" s="2" t="s">
        <v>32</v>
      </c>
      <c r="F7288" s="2">
        <v>60.31</v>
      </c>
      <c r="G7288" s="2">
        <v>3</v>
      </c>
      <c r="H7288" s="2">
        <v>5.28</v>
      </c>
      <c r="I7288" t="str">
        <f t="shared" si="113"/>
        <v>Apr</v>
      </c>
      <c r="J7288">
        <f>YEAR(datas[[#This Row],[Order Date]])</f>
        <v>2024</v>
      </c>
    </row>
    <row r="7289" spans="1:10" ht="14.25" customHeight="1" x14ac:dyDescent="0.3">
      <c r="A7289" s="1">
        <v>45399</v>
      </c>
      <c r="B7289" s="2" t="s">
        <v>322</v>
      </c>
      <c r="C7289" s="2" t="s">
        <v>21</v>
      </c>
      <c r="D7289" s="2" t="s">
        <v>10</v>
      </c>
      <c r="E7289" s="2" t="s">
        <v>11</v>
      </c>
      <c r="F7289" s="2">
        <v>28.14</v>
      </c>
      <c r="G7289" s="2">
        <v>3</v>
      </c>
      <c r="H7289" s="2">
        <v>13.51</v>
      </c>
      <c r="I7289" t="str">
        <f t="shared" si="113"/>
        <v>Apr</v>
      </c>
      <c r="J7289">
        <f>YEAR(datas[[#This Row],[Order Date]])</f>
        <v>2024</v>
      </c>
    </row>
    <row r="7290" spans="1:10" ht="14.25" customHeight="1" x14ac:dyDescent="0.3">
      <c r="A7290" s="1">
        <v>45399</v>
      </c>
      <c r="B7290" s="2" t="s">
        <v>322</v>
      </c>
      <c r="C7290" s="2" t="s">
        <v>21</v>
      </c>
      <c r="D7290" s="2" t="s">
        <v>10</v>
      </c>
      <c r="E7290" s="2" t="s">
        <v>14</v>
      </c>
      <c r="F7290" s="2">
        <v>7.38</v>
      </c>
      <c r="G7290" s="2">
        <v>2</v>
      </c>
      <c r="H7290" s="2">
        <v>3.47</v>
      </c>
      <c r="I7290" t="str">
        <f t="shared" si="113"/>
        <v>Apr</v>
      </c>
      <c r="J7290">
        <f>YEAR(datas[[#This Row],[Order Date]])</f>
        <v>2024</v>
      </c>
    </row>
    <row r="7291" spans="1:10" ht="14.25" customHeight="1" x14ac:dyDescent="0.3">
      <c r="A7291" s="1">
        <v>45399</v>
      </c>
      <c r="B7291" s="2" t="s">
        <v>322</v>
      </c>
      <c r="C7291" s="2" t="s">
        <v>21</v>
      </c>
      <c r="D7291" s="2" t="s">
        <v>10</v>
      </c>
      <c r="E7291" s="2" t="s">
        <v>30</v>
      </c>
      <c r="F7291" s="2">
        <v>10.9</v>
      </c>
      <c r="G7291" s="2">
        <v>5</v>
      </c>
      <c r="H7291" s="2">
        <v>3.6</v>
      </c>
      <c r="I7291" t="str">
        <f t="shared" si="113"/>
        <v>Apr</v>
      </c>
      <c r="J7291">
        <f>YEAR(datas[[#This Row],[Order Date]])</f>
        <v>2024</v>
      </c>
    </row>
    <row r="7292" spans="1:10" ht="14.25" customHeight="1" x14ac:dyDescent="0.3">
      <c r="A7292" s="1">
        <v>45399</v>
      </c>
      <c r="B7292" s="2" t="s">
        <v>322</v>
      </c>
      <c r="C7292" s="2" t="s">
        <v>21</v>
      </c>
      <c r="D7292" s="2" t="s">
        <v>28</v>
      </c>
      <c r="E7292" s="2" t="s">
        <v>34</v>
      </c>
      <c r="F7292" s="2">
        <v>274.89</v>
      </c>
      <c r="G7292" s="2">
        <v>11</v>
      </c>
      <c r="H7292" s="2">
        <v>46.73</v>
      </c>
      <c r="I7292" t="str">
        <f t="shared" si="113"/>
        <v>Apr</v>
      </c>
      <c r="J7292">
        <f>YEAR(datas[[#This Row],[Order Date]])</f>
        <v>2024</v>
      </c>
    </row>
    <row r="7293" spans="1:10" ht="14.25" customHeight="1" x14ac:dyDescent="0.3">
      <c r="A7293" s="1">
        <v>45399</v>
      </c>
      <c r="B7293" s="2" t="s">
        <v>322</v>
      </c>
      <c r="C7293" s="2" t="s">
        <v>21</v>
      </c>
      <c r="D7293" s="2" t="s">
        <v>10</v>
      </c>
      <c r="E7293" s="2" t="s">
        <v>14</v>
      </c>
      <c r="F7293" s="2">
        <v>23.04</v>
      </c>
      <c r="G7293" s="2">
        <v>8</v>
      </c>
      <c r="H7293" s="2">
        <v>11.29</v>
      </c>
      <c r="I7293" t="str">
        <f t="shared" si="113"/>
        <v>Apr</v>
      </c>
      <c r="J7293">
        <f>YEAR(datas[[#This Row],[Order Date]])</f>
        <v>2024</v>
      </c>
    </row>
    <row r="7294" spans="1:10" ht="14.25" customHeight="1" x14ac:dyDescent="0.3">
      <c r="A7294" s="1">
        <v>45399</v>
      </c>
      <c r="B7294" s="2" t="s">
        <v>322</v>
      </c>
      <c r="C7294" s="2" t="s">
        <v>21</v>
      </c>
      <c r="D7294" s="2" t="s">
        <v>26</v>
      </c>
      <c r="E7294" s="2" t="s">
        <v>27</v>
      </c>
      <c r="F7294" s="2">
        <v>218.35</v>
      </c>
      <c r="G7294" s="2">
        <v>3</v>
      </c>
      <c r="H7294" s="2">
        <v>-19.11</v>
      </c>
      <c r="I7294" t="str">
        <f t="shared" si="113"/>
        <v>Apr</v>
      </c>
      <c r="J7294">
        <f>YEAR(datas[[#This Row],[Order Date]])</f>
        <v>2024</v>
      </c>
    </row>
    <row r="7295" spans="1:10" ht="14.25" customHeight="1" x14ac:dyDescent="0.3">
      <c r="A7295" s="1">
        <v>45399</v>
      </c>
      <c r="B7295" s="2" t="s">
        <v>761</v>
      </c>
      <c r="C7295" s="2" t="s">
        <v>13</v>
      </c>
      <c r="D7295" s="2" t="s">
        <v>10</v>
      </c>
      <c r="E7295" s="2" t="s">
        <v>15</v>
      </c>
      <c r="F7295" s="2">
        <v>195.14</v>
      </c>
      <c r="G7295" s="2">
        <v>4</v>
      </c>
      <c r="H7295" s="2">
        <v>-43.91</v>
      </c>
      <c r="I7295" t="str">
        <f t="shared" si="113"/>
        <v>Apr</v>
      </c>
      <c r="J7295">
        <f>YEAR(datas[[#This Row],[Order Date]])</f>
        <v>2024</v>
      </c>
    </row>
    <row r="7296" spans="1:10" ht="14.25" customHeight="1" x14ac:dyDescent="0.3">
      <c r="A7296" s="1">
        <v>45402</v>
      </c>
      <c r="B7296" s="2" t="s">
        <v>767</v>
      </c>
      <c r="C7296" s="2" t="s">
        <v>13</v>
      </c>
      <c r="D7296" s="2" t="s">
        <v>26</v>
      </c>
      <c r="E7296" s="2" t="s">
        <v>32</v>
      </c>
      <c r="F7296" s="2">
        <v>44.4</v>
      </c>
      <c r="G7296" s="2">
        <v>2</v>
      </c>
      <c r="H7296" s="2">
        <v>-52.17</v>
      </c>
      <c r="I7296" t="str">
        <f t="shared" si="113"/>
        <v>Apr</v>
      </c>
      <c r="J7296">
        <f>YEAR(datas[[#This Row],[Order Date]])</f>
        <v>2024</v>
      </c>
    </row>
    <row r="7297" spans="1:10" ht="14.25" customHeight="1" x14ac:dyDescent="0.3">
      <c r="A7297" s="1">
        <v>45402</v>
      </c>
      <c r="B7297" s="2" t="s">
        <v>829</v>
      </c>
      <c r="C7297" s="2" t="s">
        <v>18</v>
      </c>
      <c r="D7297" s="2" t="s">
        <v>26</v>
      </c>
      <c r="E7297" s="2" t="s">
        <v>32</v>
      </c>
      <c r="F7297" s="2">
        <v>51.97</v>
      </c>
      <c r="G7297" s="2">
        <v>2</v>
      </c>
      <c r="H7297" s="2">
        <v>10.39</v>
      </c>
      <c r="I7297" t="str">
        <f t="shared" si="113"/>
        <v>Apr</v>
      </c>
      <c r="J7297">
        <f>YEAR(datas[[#This Row],[Order Date]])</f>
        <v>2024</v>
      </c>
    </row>
    <row r="7298" spans="1:10" ht="14.25" customHeight="1" x14ac:dyDescent="0.3">
      <c r="A7298" s="1">
        <v>45402</v>
      </c>
      <c r="B7298" s="2" t="s">
        <v>829</v>
      </c>
      <c r="C7298" s="2" t="s">
        <v>18</v>
      </c>
      <c r="D7298" s="2" t="s">
        <v>10</v>
      </c>
      <c r="E7298" s="2" t="s">
        <v>15</v>
      </c>
      <c r="F7298" s="2">
        <v>51.34</v>
      </c>
      <c r="G7298" s="2">
        <v>3</v>
      </c>
      <c r="H7298" s="2">
        <v>5.78</v>
      </c>
      <c r="I7298" t="str">
        <f t="shared" si="113"/>
        <v>Apr</v>
      </c>
      <c r="J7298">
        <f>YEAR(datas[[#This Row],[Order Date]])</f>
        <v>2024</v>
      </c>
    </row>
    <row r="7299" spans="1:10" ht="14.25" customHeight="1" x14ac:dyDescent="0.3">
      <c r="A7299" s="1">
        <v>45402</v>
      </c>
      <c r="B7299" s="2" t="s">
        <v>829</v>
      </c>
      <c r="C7299" s="2" t="s">
        <v>18</v>
      </c>
      <c r="D7299" s="2" t="s">
        <v>10</v>
      </c>
      <c r="E7299" s="2" t="s">
        <v>15</v>
      </c>
      <c r="F7299" s="2">
        <v>332.7</v>
      </c>
      <c r="G7299" s="2">
        <v>1</v>
      </c>
      <c r="H7299" s="2">
        <v>33.270000000000003</v>
      </c>
      <c r="I7299" t="str">
        <f t="shared" ref="I7299:I7362" si="114">TEXT(A7299,"mmm")</f>
        <v>Apr</v>
      </c>
      <c r="J7299">
        <f>YEAR(datas[[#This Row],[Order Date]])</f>
        <v>2024</v>
      </c>
    </row>
    <row r="7300" spans="1:10" ht="14.25" customHeight="1" x14ac:dyDescent="0.3">
      <c r="A7300" s="1">
        <v>45402</v>
      </c>
      <c r="B7300" s="2" t="s">
        <v>829</v>
      </c>
      <c r="C7300" s="2" t="s">
        <v>18</v>
      </c>
      <c r="D7300" s="2" t="s">
        <v>26</v>
      </c>
      <c r="E7300" s="2" t="s">
        <v>32</v>
      </c>
      <c r="F7300" s="2">
        <v>42.41</v>
      </c>
      <c r="G7300" s="2">
        <v>3</v>
      </c>
      <c r="H7300" s="2">
        <v>9.5399999999999991</v>
      </c>
      <c r="I7300" t="str">
        <f t="shared" si="114"/>
        <v>Apr</v>
      </c>
      <c r="J7300">
        <f>YEAR(datas[[#This Row],[Order Date]])</f>
        <v>2024</v>
      </c>
    </row>
    <row r="7301" spans="1:10" ht="14.25" customHeight="1" x14ac:dyDescent="0.3">
      <c r="A7301" s="1">
        <v>45402</v>
      </c>
      <c r="B7301" s="2" t="s">
        <v>677</v>
      </c>
      <c r="C7301" s="2" t="s">
        <v>13</v>
      </c>
      <c r="D7301" s="2" t="s">
        <v>26</v>
      </c>
      <c r="E7301" s="2" t="s">
        <v>27</v>
      </c>
      <c r="F7301" s="2">
        <v>317.06</v>
      </c>
      <c r="G7301" s="2">
        <v>3</v>
      </c>
      <c r="H7301" s="2">
        <v>-18.12</v>
      </c>
      <c r="I7301" t="str">
        <f t="shared" si="114"/>
        <v>Apr</v>
      </c>
      <c r="J7301">
        <f>YEAR(datas[[#This Row],[Order Date]])</f>
        <v>2024</v>
      </c>
    </row>
    <row r="7302" spans="1:10" ht="14.25" customHeight="1" x14ac:dyDescent="0.3">
      <c r="A7302" s="1">
        <v>45402</v>
      </c>
      <c r="B7302" s="2" t="s">
        <v>677</v>
      </c>
      <c r="C7302" s="2" t="s">
        <v>13</v>
      </c>
      <c r="D7302" s="2" t="s">
        <v>10</v>
      </c>
      <c r="E7302" s="2" t="s">
        <v>19</v>
      </c>
      <c r="F7302" s="2">
        <v>15.76</v>
      </c>
      <c r="G7302" s="2">
        <v>2</v>
      </c>
      <c r="H7302" s="2">
        <v>3.55</v>
      </c>
      <c r="I7302" t="str">
        <f t="shared" si="114"/>
        <v>Apr</v>
      </c>
      <c r="J7302">
        <f>YEAR(datas[[#This Row],[Order Date]])</f>
        <v>2024</v>
      </c>
    </row>
    <row r="7303" spans="1:10" ht="14.25" customHeight="1" x14ac:dyDescent="0.3">
      <c r="A7303" s="1">
        <v>45402</v>
      </c>
      <c r="B7303" s="2" t="s">
        <v>677</v>
      </c>
      <c r="C7303" s="2" t="s">
        <v>13</v>
      </c>
      <c r="D7303" s="2" t="s">
        <v>26</v>
      </c>
      <c r="E7303" s="2" t="s">
        <v>32</v>
      </c>
      <c r="F7303" s="2">
        <v>14.56</v>
      </c>
      <c r="G7303" s="2">
        <v>5</v>
      </c>
      <c r="H7303" s="2">
        <v>-6.19</v>
      </c>
      <c r="I7303" t="str">
        <f t="shared" si="114"/>
        <v>Apr</v>
      </c>
      <c r="J7303">
        <f>YEAR(datas[[#This Row],[Order Date]])</f>
        <v>2024</v>
      </c>
    </row>
    <row r="7304" spans="1:10" ht="14.25" customHeight="1" x14ac:dyDescent="0.3">
      <c r="A7304" s="1">
        <v>45402</v>
      </c>
      <c r="B7304" s="2" t="s">
        <v>164</v>
      </c>
      <c r="C7304" s="2" t="s">
        <v>60</v>
      </c>
      <c r="D7304" s="2" t="s">
        <v>10</v>
      </c>
      <c r="E7304" s="2" t="s">
        <v>16</v>
      </c>
      <c r="F7304" s="2">
        <v>146.86000000000001</v>
      </c>
      <c r="G7304" s="2">
        <v>7</v>
      </c>
      <c r="H7304" s="2">
        <v>70.489999999999995</v>
      </c>
      <c r="I7304" t="str">
        <f t="shared" si="114"/>
        <v>Apr</v>
      </c>
      <c r="J7304">
        <f>YEAR(datas[[#This Row],[Order Date]])</f>
        <v>2024</v>
      </c>
    </row>
    <row r="7305" spans="1:10" ht="14.25" customHeight="1" x14ac:dyDescent="0.3">
      <c r="A7305" s="1">
        <v>45402</v>
      </c>
      <c r="B7305" s="2" t="s">
        <v>164</v>
      </c>
      <c r="C7305" s="2" t="s">
        <v>60</v>
      </c>
      <c r="D7305" s="2" t="s">
        <v>10</v>
      </c>
      <c r="E7305" s="2" t="s">
        <v>16</v>
      </c>
      <c r="F7305" s="2">
        <v>36.56</v>
      </c>
      <c r="G7305" s="2">
        <v>4</v>
      </c>
      <c r="H7305" s="2">
        <v>18.28</v>
      </c>
      <c r="I7305" t="str">
        <f t="shared" si="114"/>
        <v>Apr</v>
      </c>
      <c r="J7305">
        <f>YEAR(datas[[#This Row],[Order Date]])</f>
        <v>2024</v>
      </c>
    </row>
    <row r="7306" spans="1:10" ht="14.25" customHeight="1" x14ac:dyDescent="0.3">
      <c r="A7306" s="1">
        <v>45402</v>
      </c>
      <c r="B7306" s="2" t="s">
        <v>744</v>
      </c>
      <c r="C7306" s="2" t="s">
        <v>47</v>
      </c>
      <c r="D7306" s="2" t="s">
        <v>10</v>
      </c>
      <c r="E7306" s="2" t="s">
        <v>15</v>
      </c>
      <c r="F7306" s="2">
        <v>848.54</v>
      </c>
      <c r="G7306" s="2">
        <v>4</v>
      </c>
      <c r="H7306" s="2">
        <v>-21.21</v>
      </c>
      <c r="I7306" t="str">
        <f t="shared" si="114"/>
        <v>Apr</v>
      </c>
      <c r="J7306">
        <f>YEAR(datas[[#This Row],[Order Date]])</f>
        <v>2024</v>
      </c>
    </row>
    <row r="7307" spans="1:10" ht="14.25" customHeight="1" x14ac:dyDescent="0.3">
      <c r="A7307" s="1">
        <v>45402</v>
      </c>
      <c r="B7307" s="2" t="s">
        <v>744</v>
      </c>
      <c r="C7307" s="2" t="s">
        <v>47</v>
      </c>
      <c r="D7307" s="2" t="s">
        <v>10</v>
      </c>
      <c r="E7307" s="2" t="s">
        <v>16</v>
      </c>
      <c r="F7307" s="2">
        <v>8.6999999999999993</v>
      </c>
      <c r="G7307" s="2">
        <v>5</v>
      </c>
      <c r="H7307" s="2">
        <v>-6.38</v>
      </c>
      <c r="I7307" t="str">
        <f t="shared" si="114"/>
        <v>Apr</v>
      </c>
      <c r="J7307">
        <f>YEAR(datas[[#This Row],[Order Date]])</f>
        <v>2024</v>
      </c>
    </row>
    <row r="7308" spans="1:10" ht="14.25" customHeight="1" x14ac:dyDescent="0.3">
      <c r="A7308" s="1">
        <v>45402</v>
      </c>
      <c r="B7308" s="2" t="s">
        <v>744</v>
      </c>
      <c r="C7308" s="2" t="s">
        <v>47</v>
      </c>
      <c r="D7308" s="2" t="s">
        <v>28</v>
      </c>
      <c r="E7308" s="2" t="s">
        <v>29</v>
      </c>
      <c r="F7308" s="2">
        <v>122.38</v>
      </c>
      <c r="G7308" s="2">
        <v>3</v>
      </c>
      <c r="H7308" s="2">
        <v>-24.48</v>
      </c>
      <c r="I7308" t="str">
        <f t="shared" si="114"/>
        <v>Apr</v>
      </c>
      <c r="J7308">
        <f>YEAR(datas[[#This Row],[Order Date]])</f>
        <v>2024</v>
      </c>
    </row>
    <row r="7309" spans="1:10" ht="14.25" customHeight="1" x14ac:dyDescent="0.3">
      <c r="A7309" s="1">
        <v>45403</v>
      </c>
      <c r="B7309" s="2" t="s">
        <v>443</v>
      </c>
      <c r="C7309" s="2" t="s">
        <v>9</v>
      </c>
      <c r="D7309" s="2" t="s">
        <v>10</v>
      </c>
      <c r="E7309" s="2" t="s">
        <v>53</v>
      </c>
      <c r="F7309" s="2">
        <v>97.26</v>
      </c>
      <c r="G7309" s="2">
        <v>4</v>
      </c>
      <c r="H7309" s="2">
        <v>-243.16</v>
      </c>
      <c r="I7309" t="str">
        <f t="shared" si="114"/>
        <v>Apr</v>
      </c>
      <c r="J7309">
        <f>YEAR(datas[[#This Row],[Order Date]])</f>
        <v>2024</v>
      </c>
    </row>
    <row r="7310" spans="1:10" ht="14.25" customHeight="1" x14ac:dyDescent="0.3">
      <c r="A7310" s="1">
        <v>45403</v>
      </c>
      <c r="B7310" s="2" t="s">
        <v>285</v>
      </c>
      <c r="C7310" s="2" t="s">
        <v>9</v>
      </c>
      <c r="D7310" s="2" t="s">
        <v>10</v>
      </c>
      <c r="E7310" s="2" t="s">
        <v>16</v>
      </c>
      <c r="F7310" s="2">
        <v>2.69</v>
      </c>
      <c r="G7310" s="2">
        <v>3</v>
      </c>
      <c r="H7310" s="2">
        <v>-4.71</v>
      </c>
      <c r="I7310" t="str">
        <f t="shared" si="114"/>
        <v>Apr</v>
      </c>
      <c r="J7310">
        <f>YEAR(datas[[#This Row],[Order Date]])</f>
        <v>2024</v>
      </c>
    </row>
    <row r="7311" spans="1:10" ht="14.25" customHeight="1" x14ac:dyDescent="0.3">
      <c r="A7311" s="1">
        <v>45403</v>
      </c>
      <c r="B7311" s="2" t="s">
        <v>285</v>
      </c>
      <c r="C7311" s="2" t="s">
        <v>9</v>
      </c>
      <c r="D7311" s="2" t="s">
        <v>10</v>
      </c>
      <c r="E7311" s="2" t="s">
        <v>16</v>
      </c>
      <c r="F7311" s="2">
        <v>2.93</v>
      </c>
      <c r="G7311" s="2">
        <v>3</v>
      </c>
      <c r="H7311" s="2">
        <v>-4.99</v>
      </c>
      <c r="I7311" t="str">
        <f t="shared" si="114"/>
        <v>Apr</v>
      </c>
      <c r="J7311">
        <f>YEAR(datas[[#This Row],[Order Date]])</f>
        <v>2024</v>
      </c>
    </row>
    <row r="7312" spans="1:10" ht="14.25" customHeight="1" x14ac:dyDescent="0.3">
      <c r="A7312" s="1">
        <v>45403</v>
      </c>
      <c r="B7312" s="2" t="s">
        <v>750</v>
      </c>
      <c r="C7312" s="2" t="s">
        <v>82</v>
      </c>
      <c r="D7312" s="2" t="s">
        <v>28</v>
      </c>
      <c r="E7312" s="2" t="s">
        <v>34</v>
      </c>
      <c r="F7312" s="2">
        <v>11.54</v>
      </c>
      <c r="G7312" s="2">
        <v>1</v>
      </c>
      <c r="H7312" s="2">
        <v>3.46</v>
      </c>
      <c r="I7312" t="str">
        <f t="shared" si="114"/>
        <v>Apr</v>
      </c>
      <c r="J7312">
        <f>YEAR(datas[[#This Row],[Order Date]])</f>
        <v>2024</v>
      </c>
    </row>
    <row r="7313" spans="1:10" ht="14.25" customHeight="1" x14ac:dyDescent="0.3">
      <c r="A7313" s="1">
        <v>45403</v>
      </c>
      <c r="B7313" s="2" t="s">
        <v>750</v>
      </c>
      <c r="C7313" s="2" t="s">
        <v>82</v>
      </c>
      <c r="D7313" s="2" t="s">
        <v>26</v>
      </c>
      <c r="E7313" s="2" t="s">
        <v>32</v>
      </c>
      <c r="F7313" s="2">
        <v>162.6</v>
      </c>
      <c r="G7313" s="2">
        <v>3</v>
      </c>
      <c r="H7313" s="2">
        <v>34.15</v>
      </c>
      <c r="I7313" t="str">
        <f t="shared" si="114"/>
        <v>Apr</v>
      </c>
      <c r="J7313">
        <f>YEAR(datas[[#This Row],[Order Date]])</f>
        <v>2024</v>
      </c>
    </row>
    <row r="7314" spans="1:10" ht="14.25" customHeight="1" x14ac:dyDescent="0.3">
      <c r="A7314" s="1">
        <v>45403</v>
      </c>
      <c r="B7314" s="2" t="s">
        <v>818</v>
      </c>
      <c r="C7314" s="2" t="s">
        <v>215</v>
      </c>
      <c r="D7314" s="2" t="s">
        <v>26</v>
      </c>
      <c r="E7314" s="2" t="s">
        <v>27</v>
      </c>
      <c r="F7314" s="2">
        <v>908.82</v>
      </c>
      <c r="G7314" s="2">
        <v>9</v>
      </c>
      <c r="H7314" s="2">
        <v>227.21</v>
      </c>
      <c r="I7314" t="str">
        <f t="shared" si="114"/>
        <v>Apr</v>
      </c>
      <c r="J7314">
        <f>YEAR(datas[[#This Row],[Order Date]])</f>
        <v>2024</v>
      </c>
    </row>
    <row r="7315" spans="1:10" ht="14.25" customHeight="1" x14ac:dyDescent="0.3">
      <c r="A7315" s="1">
        <v>45403</v>
      </c>
      <c r="B7315" s="2" t="s">
        <v>621</v>
      </c>
      <c r="C7315" s="2" t="s">
        <v>9</v>
      </c>
      <c r="D7315" s="2" t="s">
        <v>28</v>
      </c>
      <c r="E7315" s="2" t="s">
        <v>34</v>
      </c>
      <c r="F7315" s="2">
        <v>47.98</v>
      </c>
      <c r="G7315" s="2">
        <v>3</v>
      </c>
      <c r="H7315" s="2">
        <v>8.4</v>
      </c>
      <c r="I7315" t="str">
        <f t="shared" si="114"/>
        <v>Apr</v>
      </c>
      <c r="J7315">
        <f>YEAR(datas[[#This Row],[Order Date]])</f>
        <v>2024</v>
      </c>
    </row>
    <row r="7316" spans="1:10" ht="14.25" customHeight="1" x14ac:dyDescent="0.3">
      <c r="A7316" s="1">
        <v>45403</v>
      </c>
      <c r="B7316" s="2" t="s">
        <v>621</v>
      </c>
      <c r="C7316" s="2" t="s">
        <v>9</v>
      </c>
      <c r="D7316" s="2" t="s">
        <v>10</v>
      </c>
      <c r="E7316" s="2" t="s">
        <v>11</v>
      </c>
      <c r="F7316" s="2">
        <v>20.74</v>
      </c>
      <c r="G7316" s="2">
        <v>4</v>
      </c>
      <c r="H7316" s="2">
        <v>7.26</v>
      </c>
      <c r="I7316" t="str">
        <f t="shared" si="114"/>
        <v>Apr</v>
      </c>
      <c r="J7316">
        <f>YEAR(datas[[#This Row],[Order Date]])</f>
        <v>2024</v>
      </c>
    </row>
    <row r="7317" spans="1:10" ht="14.25" customHeight="1" x14ac:dyDescent="0.3">
      <c r="A7317" s="1">
        <v>45404</v>
      </c>
      <c r="B7317" s="2" t="s">
        <v>152</v>
      </c>
      <c r="C7317" s="2" t="s">
        <v>21</v>
      </c>
      <c r="D7317" s="2" t="s">
        <v>26</v>
      </c>
      <c r="E7317" s="2" t="s">
        <v>32</v>
      </c>
      <c r="F7317" s="2">
        <v>18.28</v>
      </c>
      <c r="G7317" s="2">
        <v>2</v>
      </c>
      <c r="H7317" s="2">
        <v>6.22</v>
      </c>
      <c r="I7317" t="str">
        <f t="shared" si="114"/>
        <v>Apr</v>
      </c>
      <c r="J7317">
        <f>YEAR(datas[[#This Row],[Order Date]])</f>
        <v>2024</v>
      </c>
    </row>
    <row r="7318" spans="1:10" ht="14.25" customHeight="1" x14ac:dyDescent="0.3">
      <c r="A7318" s="1">
        <v>45404</v>
      </c>
      <c r="B7318" s="2" t="s">
        <v>763</v>
      </c>
      <c r="C7318" s="2" t="s">
        <v>18</v>
      </c>
      <c r="D7318" s="2" t="s">
        <v>26</v>
      </c>
      <c r="E7318" s="2" t="s">
        <v>32</v>
      </c>
      <c r="F7318" s="2">
        <v>254.35</v>
      </c>
      <c r="G7318" s="2">
        <v>3</v>
      </c>
      <c r="H7318" s="2">
        <v>0</v>
      </c>
      <c r="I7318" t="str">
        <f t="shared" si="114"/>
        <v>Apr</v>
      </c>
      <c r="J7318">
        <f>YEAR(datas[[#This Row],[Order Date]])</f>
        <v>2024</v>
      </c>
    </row>
    <row r="7319" spans="1:10" ht="14.25" customHeight="1" x14ac:dyDescent="0.3">
      <c r="A7319" s="1">
        <v>45404</v>
      </c>
      <c r="B7319" s="2" t="s">
        <v>737</v>
      </c>
      <c r="C7319" s="2" t="s">
        <v>23</v>
      </c>
      <c r="D7319" s="2" t="s">
        <v>10</v>
      </c>
      <c r="E7319" s="2" t="s">
        <v>15</v>
      </c>
      <c r="F7319" s="2">
        <v>675.06</v>
      </c>
      <c r="G7319" s="2">
        <v>3</v>
      </c>
      <c r="H7319" s="2">
        <v>87.76</v>
      </c>
      <c r="I7319" t="str">
        <f t="shared" si="114"/>
        <v>Apr</v>
      </c>
      <c r="J7319">
        <f>YEAR(datas[[#This Row],[Order Date]])</f>
        <v>2024</v>
      </c>
    </row>
    <row r="7320" spans="1:10" ht="14.25" customHeight="1" x14ac:dyDescent="0.3">
      <c r="A7320" s="1">
        <v>45405</v>
      </c>
      <c r="B7320" s="2" t="s">
        <v>854</v>
      </c>
      <c r="C7320" s="2" t="s">
        <v>75</v>
      </c>
      <c r="D7320" s="2" t="s">
        <v>10</v>
      </c>
      <c r="E7320" s="2" t="s">
        <v>53</v>
      </c>
      <c r="F7320" s="2">
        <v>121.94</v>
      </c>
      <c r="G7320" s="2">
        <v>2</v>
      </c>
      <c r="H7320" s="2">
        <v>35.36</v>
      </c>
      <c r="I7320" t="str">
        <f t="shared" si="114"/>
        <v>Apr</v>
      </c>
      <c r="J7320">
        <f>YEAR(datas[[#This Row],[Order Date]])</f>
        <v>2024</v>
      </c>
    </row>
    <row r="7321" spans="1:10" ht="14.25" customHeight="1" x14ac:dyDescent="0.3">
      <c r="A7321" s="1">
        <v>45405</v>
      </c>
      <c r="B7321" s="2" t="s">
        <v>854</v>
      </c>
      <c r="C7321" s="2" t="s">
        <v>75</v>
      </c>
      <c r="D7321" s="2" t="s">
        <v>10</v>
      </c>
      <c r="E7321" s="2" t="s">
        <v>95</v>
      </c>
      <c r="F7321" s="2">
        <v>122.71</v>
      </c>
      <c r="G7321" s="2">
        <v>7</v>
      </c>
      <c r="H7321" s="2">
        <v>36.81</v>
      </c>
      <c r="I7321" t="str">
        <f t="shared" si="114"/>
        <v>Apr</v>
      </c>
      <c r="J7321">
        <f>YEAR(datas[[#This Row],[Order Date]])</f>
        <v>2024</v>
      </c>
    </row>
    <row r="7322" spans="1:10" ht="14.25" customHeight="1" x14ac:dyDescent="0.3">
      <c r="A7322" s="1">
        <v>45405</v>
      </c>
      <c r="B7322" s="2" t="s">
        <v>645</v>
      </c>
      <c r="C7322" s="2" t="s">
        <v>68</v>
      </c>
      <c r="D7322" s="2" t="s">
        <v>28</v>
      </c>
      <c r="E7322" s="2" t="s">
        <v>34</v>
      </c>
      <c r="F7322" s="2">
        <v>155.34</v>
      </c>
      <c r="G7322" s="2">
        <v>6</v>
      </c>
      <c r="H7322" s="2">
        <v>55.92</v>
      </c>
      <c r="I7322" t="str">
        <f t="shared" si="114"/>
        <v>Apr</v>
      </c>
      <c r="J7322">
        <f>YEAR(datas[[#This Row],[Order Date]])</f>
        <v>2024</v>
      </c>
    </row>
    <row r="7323" spans="1:10" ht="14.25" customHeight="1" x14ac:dyDescent="0.3">
      <c r="A7323" s="1">
        <v>45405</v>
      </c>
      <c r="B7323" s="2" t="s">
        <v>276</v>
      </c>
      <c r="C7323" s="2" t="s">
        <v>75</v>
      </c>
      <c r="D7323" s="2" t="s">
        <v>10</v>
      </c>
      <c r="E7323" s="2" t="s">
        <v>95</v>
      </c>
      <c r="F7323" s="2">
        <v>54.9</v>
      </c>
      <c r="G7323" s="2">
        <v>5</v>
      </c>
      <c r="H7323" s="2">
        <v>15.37</v>
      </c>
      <c r="I7323" t="str">
        <f t="shared" si="114"/>
        <v>Apr</v>
      </c>
      <c r="J7323">
        <f>YEAR(datas[[#This Row],[Order Date]])</f>
        <v>2024</v>
      </c>
    </row>
    <row r="7324" spans="1:10" ht="14.25" customHeight="1" x14ac:dyDescent="0.3">
      <c r="A7324" s="1">
        <v>45405</v>
      </c>
      <c r="B7324" s="2" t="s">
        <v>551</v>
      </c>
      <c r="C7324" s="2" t="s">
        <v>47</v>
      </c>
      <c r="D7324" s="2" t="s">
        <v>10</v>
      </c>
      <c r="E7324" s="2" t="s">
        <v>16</v>
      </c>
      <c r="F7324" s="2">
        <v>11.76</v>
      </c>
      <c r="G7324" s="2">
        <v>5</v>
      </c>
      <c r="H7324" s="2">
        <v>-7.84</v>
      </c>
      <c r="I7324" t="str">
        <f t="shared" si="114"/>
        <v>Apr</v>
      </c>
      <c r="J7324">
        <f>YEAR(datas[[#This Row],[Order Date]])</f>
        <v>2024</v>
      </c>
    </row>
    <row r="7325" spans="1:10" ht="14.25" customHeight="1" x14ac:dyDescent="0.3">
      <c r="A7325" s="1">
        <v>45405</v>
      </c>
      <c r="B7325" s="2" t="s">
        <v>551</v>
      </c>
      <c r="C7325" s="2" t="s">
        <v>47</v>
      </c>
      <c r="D7325" s="2" t="s">
        <v>10</v>
      </c>
      <c r="E7325" s="2" t="s">
        <v>11</v>
      </c>
      <c r="F7325" s="2">
        <v>5.34</v>
      </c>
      <c r="G7325" s="2">
        <v>1</v>
      </c>
      <c r="H7325" s="2">
        <v>1.87</v>
      </c>
      <c r="I7325" t="str">
        <f t="shared" si="114"/>
        <v>Apr</v>
      </c>
      <c r="J7325">
        <f>YEAR(datas[[#This Row],[Order Date]])</f>
        <v>2024</v>
      </c>
    </row>
    <row r="7326" spans="1:10" ht="14.25" customHeight="1" x14ac:dyDescent="0.3">
      <c r="A7326" s="1">
        <v>45405</v>
      </c>
      <c r="B7326" s="2" t="s">
        <v>778</v>
      </c>
      <c r="C7326" s="2" t="s">
        <v>21</v>
      </c>
      <c r="D7326" s="2" t="s">
        <v>26</v>
      </c>
      <c r="E7326" s="2" t="s">
        <v>32</v>
      </c>
      <c r="F7326" s="2">
        <v>66.36</v>
      </c>
      <c r="G7326" s="2">
        <v>7</v>
      </c>
      <c r="H7326" s="2">
        <v>26.54</v>
      </c>
      <c r="I7326" t="str">
        <f t="shared" si="114"/>
        <v>Apr</v>
      </c>
      <c r="J7326">
        <f>YEAR(datas[[#This Row],[Order Date]])</f>
        <v>2024</v>
      </c>
    </row>
    <row r="7327" spans="1:10" ht="14.25" customHeight="1" x14ac:dyDescent="0.3">
      <c r="A7327" s="1">
        <v>45405</v>
      </c>
      <c r="B7327" s="2" t="s">
        <v>778</v>
      </c>
      <c r="C7327" s="2" t="s">
        <v>21</v>
      </c>
      <c r="D7327" s="2" t="s">
        <v>10</v>
      </c>
      <c r="E7327" s="2" t="s">
        <v>16</v>
      </c>
      <c r="F7327" s="2">
        <v>92.88</v>
      </c>
      <c r="G7327" s="2">
        <v>6</v>
      </c>
      <c r="H7327" s="2">
        <v>30.19</v>
      </c>
      <c r="I7327" t="str">
        <f t="shared" si="114"/>
        <v>Apr</v>
      </c>
      <c r="J7327">
        <f>YEAR(datas[[#This Row],[Order Date]])</f>
        <v>2024</v>
      </c>
    </row>
    <row r="7328" spans="1:10" ht="14.25" customHeight="1" x14ac:dyDescent="0.3">
      <c r="A7328" s="1">
        <v>45405</v>
      </c>
      <c r="B7328" s="2" t="s">
        <v>778</v>
      </c>
      <c r="C7328" s="2" t="s">
        <v>21</v>
      </c>
      <c r="D7328" s="2" t="s">
        <v>26</v>
      </c>
      <c r="E7328" s="2" t="s">
        <v>32</v>
      </c>
      <c r="F7328" s="2">
        <v>24.14</v>
      </c>
      <c r="G7328" s="2">
        <v>2</v>
      </c>
      <c r="H7328" s="2">
        <v>7.97</v>
      </c>
      <c r="I7328" t="str">
        <f t="shared" si="114"/>
        <v>Apr</v>
      </c>
      <c r="J7328">
        <f>YEAR(datas[[#This Row],[Order Date]])</f>
        <v>2024</v>
      </c>
    </row>
    <row r="7329" spans="1:10" ht="14.25" customHeight="1" x14ac:dyDescent="0.3">
      <c r="A7329" s="1">
        <v>45405</v>
      </c>
      <c r="B7329" s="2" t="s">
        <v>745</v>
      </c>
      <c r="C7329" s="2" t="s">
        <v>62</v>
      </c>
      <c r="D7329" s="2" t="s">
        <v>26</v>
      </c>
      <c r="E7329" s="2" t="s">
        <v>45</v>
      </c>
      <c r="F7329" s="2">
        <v>387.14</v>
      </c>
      <c r="G7329" s="2">
        <v>4</v>
      </c>
      <c r="H7329" s="2">
        <v>-14.52</v>
      </c>
      <c r="I7329" t="str">
        <f t="shared" si="114"/>
        <v>Apr</v>
      </c>
      <c r="J7329">
        <f>YEAR(datas[[#This Row],[Order Date]])</f>
        <v>2024</v>
      </c>
    </row>
    <row r="7330" spans="1:10" ht="14.25" customHeight="1" x14ac:dyDescent="0.3">
      <c r="A7330" s="1">
        <v>45405</v>
      </c>
      <c r="B7330" s="2" t="s">
        <v>745</v>
      </c>
      <c r="C7330" s="2" t="s">
        <v>62</v>
      </c>
      <c r="D7330" s="2" t="s">
        <v>28</v>
      </c>
      <c r="E7330" s="2" t="s">
        <v>34</v>
      </c>
      <c r="F7330" s="2">
        <v>45.41</v>
      </c>
      <c r="G7330" s="2">
        <v>2</v>
      </c>
      <c r="H7330" s="2">
        <v>11.92</v>
      </c>
      <c r="I7330" t="str">
        <f t="shared" si="114"/>
        <v>Apr</v>
      </c>
      <c r="J7330">
        <f>YEAR(datas[[#This Row],[Order Date]])</f>
        <v>2024</v>
      </c>
    </row>
    <row r="7331" spans="1:10" ht="14.25" customHeight="1" x14ac:dyDescent="0.3">
      <c r="A7331" s="1">
        <v>45405</v>
      </c>
      <c r="B7331" s="2" t="s">
        <v>745</v>
      </c>
      <c r="C7331" s="2" t="s">
        <v>62</v>
      </c>
      <c r="D7331" s="2" t="s">
        <v>26</v>
      </c>
      <c r="E7331" s="2" t="s">
        <v>32</v>
      </c>
      <c r="F7331" s="2">
        <v>77.95</v>
      </c>
      <c r="G7331" s="2">
        <v>3</v>
      </c>
      <c r="H7331" s="2">
        <v>-11.69</v>
      </c>
      <c r="I7331" t="str">
        <f t="shared" si="114"/>
        <v>Apr</v>
      </c>
      <c r="J7331">
        <f>YEAR(datas[[#This Row],[Order Date]])</f>
        <v>2024</v>
      </c>
    </row>
    <row r="7332" spans="1:10" ht="14.25" customHeight="1" x14ac:dyDescent="0.3">
      <c r="A7332" s="1">
        <v>45405</v>
      </c>
      <c r="B7332" s="2" t="s">
        <v>745</v>
      </c>
      <c r="C7332" s="2" t="s">
        <v>62</v>
      </c>
      <c r="D7332" s="2" t="s">
        <v>10</v>
      </c>
      <c r="E7332" s="2" t="s">
        <v>14</v>
      </c>
      <c r="F7332" s="2">
        <v>3</v>
      </c>
      <c r="G7332" s="2">
        <v>1</v>
      </c>
      <c r="H7332" s="2">
        <v>1.05</v>
      </c>
      <c r="I7332" t="str">
        <f t="shared" si="114"/>
        <v>Apr</v>
      </c>
      <c r="J7332">
        <f>YEAR(datas[[#This Row],[Order Date]])</f>
        <v>2024</v>
      </c>
    </row>
    <row r="7333" spans="1:10" ht="14.25" customHeight="1" x14ac:dyDescent="0.3">
      <c r="A7333" s="1">
        <v>45405</v>
      </c>
      <c r="B7333" s="2" t="s">
        <v>776</v>
      </c>
      <c r="C7333" s="2" t="s">
        <v>126</v>
      </c>
      <c r="D7333" s="2" t="s">
        <v>10</v>
      </c>
      <c r="E7333" s="2" t="s">
        <v>41</v>
      </c>
      <c r="F7333" s="2">
        <v>18.690000000000001</v>
      </c>
      <c r="G7333" s="2">
        <v>2</v>
      </c>
      <c r="H7333" s="2">
        <v>7.01</v>
      </c>
      <c r="I7333" t="str">
        <f t="shared" si="114"/>
        <v>Apr</v>
      </c>
      <c r="J7333">
        <f>YEAR(datas[[#This Row],[Order Date]])</f>
        <v>2024</v>
      </c>
    </row>
    <row r="7334" spans="1:10" ht="14.25" customHeight="1" x14ac:dyDescent="0.3">
      <c r="A7334" s="1">
        <v>45405</v>
      </c>
      <c r="B7334" s="2" t="s">
        <v>776</v>
      </c>
      <c r="C7334" s="2" t="s">
        <v>126</v>
      </c>
      <c r="D7334" s="2" t="s">
        <v>26</v>
      </c>
      <c r="E7334" s="2" t="s">
        <v>32</v>
      </c>
      <c r="F7334" s="2">
        <v>11.66</v>
      </c>
      <c r="G7334" s="2">
        <v>3</v>
      </c>
      <c r="H7334" s="2">
        <v>3.35</v>
      </c>
      <c r="I7334" t="str">
        <f t="shared" si="114"/>
        <v>Apr</v>
      </c>
      <c r="J7334">
        <f>YEAR(datas[[#This Row],[Order Date]])</f>
        <v>2024</v>
      </c>
    </row>
    <row r="7335" spans="1:10" ht="14.25" customHeight="1" x14ac:dyDescent="0.3">
      <c r="A7335" s="1">
        <v>45406</v>
      </c>
      <c r="B7335" s="2" t="s">
        <v>162</v>
      </c>
      <c r="C7335" s="2" t="s">
        <v>18</v>
      </c>
      <c r="D7335" s="2" t="s">
        <v>10</v>
      </c>
      <c r="E7335" s="2" t="s">
        <v>53</v>
      </c>
      <c r="F7335" s="2">
        <v>99.28</v>
      </c>
      <c r="G7335" s="2">
        <v>2</v>
      </c>
      <c r="H7335" s="2">
        <v>12.41</v>
      </c>
      <c r="I7335" t="str">
        <f t="shared" si="114"/>
        <v>Apr</v>
      </c>
      <c r="J7335">
        <f>YEAR(datas[[#This Row],[Order Date]])</f>
        <v>2024</v>
      </c>
    </row>
    <row r="7336" spans="1:10" ht="14.25" customHeight="1" x14ac:dyDescent="0.3">
      <c r="A7336" s="1">
        <v>45406</v>
      </c>
      <c r="B7336" s="2" t="s">
        <v>162</v>
      </c>
      <c r="C7336" s="2" t="s">
        <v>18</v>
      </c>
      <c r="D7336" s="2" t="s">
        <v>10</v>
      </c>
      <c r="E7336" s="2" t="s">
        <v>16</v>
      </c>
      <c r="F7336" s="2">
        <v>1.19</v>
      </c>
      <c r="G7336" s="2">
        <v>2</v>
      </c>
      <c r="H7336" s="2">
        <v>-0.99</v>
      </c>
      <c r="I7336" t="str">
        <f t="shared" si="114"/>
        <v>Apr</v>
      </c>
      <c r="J7336">
        <f>YEAR(datas[[#This Row],[Order Date]])</f>
        <v>2024</v>
      </c>
    </row>
    <row r="7337" spans="1:10" ht="14.25" customHeight="1" x14ac:dyDescent="0.3">
      <c r="A7337" s="1">
        <v>45406</v>
      </c>
      <c r="B7337" s="2" t="s">
        <v>162</v>
      </c>
      <c r="C7337" s="2" t="s">
        <v>18</v>
      </c>
      <c r="D7337" s="2" t="s">
        <v>10</v>
      </c>
      <c r="E7337" s="2" t="s">
        <v>16</v>
      </c>
      <c r="F7337" s="2">
        <v>7.52</v>
      </c>
      <c r="G7337" s="2">
        <v>2</v>
      </c>
      <c r="H7337" s="2">
        <v>-5.76</v>
      </c>
      <c r="I7337" t="str">
        <f t="shared" si="114"/>
        <v>Apr</v>
      </c>
      <c r="J7337">
        <f>YEAR(datas[[#This Row],[Order Date]])</f>
        <v>2024</v>
      </c>
    </row>
    <row r="7338" spans="1:10" ht="14.25" customHeight="1" x14ac:dyDescent="0.3">
      <c r="A7338" s="1">
        <v>45406</v>
      </c>
      <c r="B7338" s="2" t="s">
        <v>141</v>
      </c>
      <c r="C7338" s="2" t="s">
        <v>64</v>
      </c>
      <c r="D7338" s="2" t="s">
        <v>10</v>
      </c>
      <c r="E7338" s="2" t="s">
        <v>15</v>
      </c>
      <c r="F7338" s="2">
        <v>113.57</v>
      </c>
      <c r="G7338" s="2">
        <v>2</v>
      </c>
      <c r="H7338" s="2">
        <v>-21.29</v>
      </c>
      <c r="I7338" t="str">
        <f t="shared" si="114"/>
        <v>Apr</v>
      </c>
      <c r="J7338">
        <f>YEAR(datas[[#This Row],[Order Date]])</f>
        <v>2024</v>
      </c>
    </row>
    <row r="7339" spans="1:10" ht="14.25" customHeight="1" x14ac:dyDescent="0.3">
      <c r="A7339" s="1">
        <v>45406</v>
      </c>
      <c r="B7339" s="2" t="s">
        <v>660</v>
      </c>
      <c r="C7339" s="2" t="s">
        <v>21</v>
      </c>
      <c r="D7339" s="2" t="s">
        <v>10</v>
      </c>
      <c r="E7339" s="2" t="s">
        <v>30</v>
      </c>
      <c r="F7339" s="2">
        <v>1.81</v>
      </c>
      <c r="G7339" s="2">
        <v>1</v>
      </c>
      <c r="H7339" s="2">
        <v>0.65</v>
      </c>
      <c r="I7339" t="str">
        <f t="shared" si="114"/>
        <v>Apr</v>
      </c>
      <c r="J7339">
        <f>YEAR(datas[[#This Row],[Order Date]])</f>
        <v>2024</v>
      </c>
    </row>
    <row r="7340" spans="1:10" ht="14.25" customHeight="1" x14ac:dyDescent="0.3">
      <c r="A7340" s="1">
        <v>45406</v>
      </c>
      <c r="B7340" s="2" t="s">
        <v>817</v>
      </c>
      <c r="C7340" s="2" t="s">
        <v>55</v>
      </c>
      <c r="D7340" s="2" t="s">
        <v>28</v>
      </c>
      <c r="E7340" s="2" t="s">
        <v>29</v>
      </c>
      <c r="F7340" s="2">
        <v>552</v>
      </c>
      <c r="G7340" s="2">
        <v>10</v>
      </c>
      <c r="H7340" s="2">
        <v>34.5</v>
      </c>
      <c r="I7340" t="str">
        <f t="shared" si="114"/>
        <v>Apr</v>
      </c>
      <c r="J7340">
        <f>YEAR(datas[[#This Row],[Order Date]])</f>
        <v>2024</v>
      </c>
    </row>
    <row r="7341" spans="1:10" ht="14.25" customHeight="1" x14ac:dyDescent="0.3">
      <c r="A7341" s="1">
        <v>45406</v>
      </c>
      <c r="B7341" s="2" t="s">
        <v>709</v>
      </c>
      <c r="C7341" s="2" t="s">
        <v>553</v>
      </c>
      <c r="D7341" s="2" t="s">
        <v>28</v>
      </c>
      <c r="E7341" s="2" t="s">
        <v>34</v>
      </c>
      <c r="F7341" s="2">
        <v>69.98</v>
      </c>
      <c r="G7341" s="2">
        <v>2</v>
      </c>
      <c r="H7341" s="2">
        <v>4.9000000000000004</v>
      </c>
      <c r="I7341" t="str">
        <f t="shared" si="114"/>
        <v>Apr</v>
      </c>
      <c r="J7341">
        <f>YEAR(datas[[#This Row],[Order Date]])</f>
        <v>2024</v>
      </c>
    </row>
    <row r="7342" spans="1:10" ht="14.25" customHeight="1" x14ac:dyDescent="0.3">
      <c r="A7342" s="1">
        <v>45406</v>
      </c>
      <c r="B7342" s="2" t="s">
        <v>795</v>
      </c>
      <c r="C7342" s="2" t="s">
        <v>13</v>
      </c>
      <c r="D7342" s="2" t="s">
        <v>10</v>
      </c>
      <c r="E7342" s="2" t="s">
        <v>16</v>
      </c>
      <c r="F7342" s="2">
        <v>10.43</v>
      </c>
      <c r="G7342" s="2">
        <v>5</v>
      </c>
      <c r="H7342" s="2">
        <v>-18.25</v>
      </c>
      <c r="I7342" t="str">
        <f t="shared" si="114"/>
        <v>Apr</v>
      </c>
      <c r="J7342">
        <f>YEAR(datas[[#This Row],[Order Date]])</f>
        <v>2024</v>
      </c>
    </row>
    <row r="7343" spans="1:10" ht="14.25" customHeight="1" x14ac:dyDescent="0.3">
      <c r="A7343" s="1">
        <v>45406</v>
      </c>
      <c r="B7343" s="2" t="s">
        <v>795</v>
      </c>
      <c r="C7343" s="2" t="s">
        <v>13</v>
      </c>
      <c r="D7343" s="2" t="s">
        <v>10</v>
      </c>
      <c r="E7343" s="2" t="s">
        <v>15</v>
      </c>
      <c r="F7343" s="2">
        <v>72.78</v>
      </c>
      <c r="G7343" s="2">
        <v>1</v>
      </c>
      <c r="H7343" s="2">
        <v>-18.2</v>
      </c>
      <c r="I7343" t="str">
        <f t="shared" si="114"/>
        <v>Apr</v>
      </c>
      <c r="J7343">
        <f>YEAR(datas[[#This Row],[Order Date]])</f>
        <v>2024</v>
      </c>
    </row>
    <row r="7344" spans="1:10" ht="14.25" customHeight="1" x14ac:dyDescent="0.3">
      <c r="A7344" s="1">
        <v>45407</v>
      </c>
      <c r="B7344" s="2" t="s">
        <v>17</v>
      </c>
      <c r="C7344" s="2" t="s">
        <v>21</v>
      </c>
      <c r="D7344" s="2" t="s">
        <v>10</v>
      </c>
      <c r="E7344" s="2" t="s">
        <v>16</v>
      </c>
      <c r="F7344" s="2">
        <v>13.9</v>
      </c>
      <c r="G7344" s="2">
        <v>2</v>
      </c>
      <c r="H7344" s="2">
        <v>4.5199999999999996</v>
      </c>
      <c r="I7344" t="str">
        <f t="shared" si="114"/>
        <v>Apr</v>
      </c>
      <c r="J7344">
        <f>YEAR(datas[[#This Row],[Order Date]])</f>
        <v>2024</v>
      </c>
    </row>
    <row r="7345" spans="1:10" ht="14.25" customHeight="1" x14ac:dyDescent="0.3">
      <c r="A7345" s="1">
        <v>45407</v>
      </c>
      <c r="B7345" s="2" t="s">
        <v>745</v>
      </c>
      <c r="C7345" s="2" t="s">
        <v>62</v>
      </c>
      <c r="D7345" s="2" t="s">
        <v>10</v>
      </c>
      <c r="E7345" s="2" t="s">
        <v>19</v>
      </c>
      <c r="F7345" s="2">
        <v>42.05</v>
      </c>
      <c r="G7345" s="2">
        <v>9</v>
      </c>
      <c r="H7345" s="2">
        <v>5.26</v>
      </c>
      <c r="I7345" t="str">
        <f t="shared" si="114"/>
        <v>Apr</v>
      </c>
      <c r="J7345">
        <f>YEAR(datas[[#This Row],[Order Date]])</f>
        <v>2024</v>
      </c>
    </row>
    <row r="7346" spans="1:10" ht="14.25" customHeight="1" x14ac:dyDescent="0.3">
      <c r="A7346" s="1">
        <v>45407</v>
      </c>
      <c r="B7346" s="2" t="s">
        <v>745</v>
      </c>
      <c r="C7346" s="2" t="s">
        <v>62</v>
      </c>
      <c r="D7346" s="2" t="s">
        <v>10</v>
      </c>
      <c r="E7346" s="2" t="s">
        <v>19</v>
      </c>
      <c r="F7346" s="2">
        <v>67.92</v>
      </c>
      <c r="G7346" s="2">
        <v>5</v>
      </c>
      <c r="H7346" s="2">
        <v>6.79</v>
      </c>
      <c r="I7346" t="str">
        <f t="shared" si="114"/>
        <v>Apr</v>
      </c>
      <c r="J7346">
        <f>YEAR(datas[[#This Row],[Order Date]])</f>
        <v>2024</v>
      </c>
    </row>
    <row r="7347" spans="1:10" ht="14.25" customHeight="1" x14ac:dyDescent="0.3">
      <c r="A7347" s="1">
        <v>45407</v>
      </c>
      <c r="B7347" s="2" t="s">
        <v>491</v>
      </c>
      <c r="C7347" s="2" t="s">
        <v>55</v>
      </c>
      <c r="D7347" s="2" t="s">
        <v>10</v>
      </c>
      <c r="E7347" s="2" t="s">
        <v>19</v>
      </c>
      <c r="F7347" s="2">
        <v>8.9</v>
      </c>
      <c r="G7347" s="2">
        <v>4</v>
      </c>
      <c r="H7347" s="2">
        <v>0.67</v>
      </c>
      <c r="I7347" t="str">
        <f t="shared" si="114"/>
        <v>Apr</v>
      </c>
      <c r="J7347">
        <f>YEAR(datas[[#This Row],[Order Date]])</f>
        <v>2024</v>
      </c>
    </row>
    <row r="7348" spans="1:10" ht="14.25" customHeight="1" x14ac:dyDescent="0.3">
      <c r="A7348" s="1">
        <v>45407</v>
      </c>
      <c r="B7348" s="2" t="s">
        <v>236</v>
      </c>
      <c r="C7348" s="2" t="s">
        <v>21</v>
      </c>
      <c r="D7348" s="2" t="s">
        <v>10</v>
      </c>
      <c r="E7348" s="2" t="s">
        <v>11</v>
      </c>
      <c r="F7348" s="2">
        <v>19.05</v>
      </c>
      <c r="G7348" s="2">
        <v>3</v>
      </c>
      <c r="H7348" s="2">
        <v>8.76</v>
      </c>
      <c r="I7348" t="str">
        <f t="shared" si="114"/>
        <v>Apr</v>
      </c>
      <c r="J7348">
        <f>YEAR(datas[[#This Row],[Order Date]])</f>
        <v>2024</v>
      </c>
    </row>
    <row r="7349" spans="1:10" ht="14.25" customHeight="1" x14ac:dyDescent="0.3">
      <c r="A7349" s="1">
        <v>45407</v>
      </c>
      <c r="B7349" s="2" t="s">
        <v>236</v>
      </c>
      <c r="C7349" s="2" t="s">
        <v>21</v>
      </c>
      <c r="D7349" s="2" t="s">
        <v>10</v>
      </c>
      <c r="E7349" s="2" t="s">
        <v>16</v>
      </c>
      <c r="F7349" s="2">
        <v>73.34</v>
      </c>
      <c r="G7349" s="2">
        <v>3</v>
      </c>
      <c r="H7349" s="2">
        <v>27.5</v>
      </c>
      <c r="I7349" t="str">
        <f t="shared" si="114"/>
        <v>Apr</v>
      </c>
      <c r="J7349">
        <f>YEAR(datas[[#This Row],[Order Date]])</f>
        <v>2024</v>
      </c>
    </row>
    <row r="7350" spans="1:10" ht="14.25" customHeight="1" x14ac:dyDescent="0.3">
      <c r="A7350" s="1">
        <v>45407</v>
      </c>
      <c r="B7350" s="2" t="s">
        <v>67</v>
      </c>
      <c r="C7350" s="2" t="s">
        <v>21</v>
      </c>
      <c r="D7350" s="2" t="s">
        <v>28</v>
      </c>
      <c r="E7350" s="2" t="s">
        <v>34</v>
      </c>
      <c r="F7350" s="2">
        <v>107.97</v>
      </c>
      <c r="G7350" s="2">
        <v>3</v>
      </c>
      <c r="H7350" s="2">
        <v>22.67</v>
      </c>
      <c r="I7350" t="str">
        <f t="shared" si="114"/>
        <v>Apr</v>
      </c>
      <c r="J7350">
        <f>YEAR(datas[[#This Row],[Order Date]])</f>
        <v>2024</v>
      </c>
    </row>
    <row r="7351" spans="1:10" ht="14.25" customHeight="1" x14ac:dyDescent="0.3">
      <c r="A7351" s="1">
        <v>45407</v>
      </c>
      <c r="B7351" s="2" t="s">
        <v>628</v>
      </c>
      <c r="C7351" s="2" t="s">
        <v>21</v>
      </c>
      <c r="D7351" s="2" t="s">
        <v>26</v>
      </c>
      <c r="E7351" s="2" t="s">
        <v>45</v>
      </c>
      <c r="F7351" s="2">
        <v>344.98</v>
      </c>
      <c r="G7351" s="2">
        <v>7</v>
      </c>
      <c r="H7351" s="2">
        <v>28.41</v>
      </c>
      <c r="I7351" t="str">
        <f t="shared" si="114"/>
        <v>Apr</v>
      </c>
      <c r="J7351">
        <f>YEAR(datas[[#This Row],[Order Date]])</f>
        <v>2024</v>
      </c>
    </row>
    <row r="7352" spans="1:10" ht="14.25" customHeight="1" x14ac:dyDescent="0.3">
      <c r="A7352" s="1">
        <v>45408</v>
      </c>
      <c r="B7352" s="2" t="s">
        <v>842</v>
      </c>
      <c r="C7352" s="2" t="s">
        <v>9</v>
      </c>
      <c r="D7352" s="2" t="s">
        <v>26</v>
      </c>
      <c r="E7352" s="2" t="s">
        <v>32</v>
      </c>
      <c r="F7352" s="2">
        <v>1.99</v>
      </c>
      <c r="G7352" s="2">
        <v>1</v>
      </c>
      <c r="H7352" s="2">
        <v>-1.44</v>
      </c>
      <c r="I7352" t="str">
        <f t="shared" si="114"/>
        <v>Apr</v>
      </c>
      <c r="J7352">
        <f>YEAR(datas[[#This Row],[Order Date]])</f>
        <v>2024</v>
      </c>
    </row>
    <row r="7353" spans="1:10" ht="14.25" customHeight="1" x14ac:dyDescent="0.3">
      <c r="A7353" s="1">
        <v>45408</v>
      </c>
      <c r="B7353" s="2" t="s">
        <v>748</v>
      </c>
      <c r="C7353" s="2" t="s">
        <v>82</v>
      </c>
      <c r="D7353" s="2" t="s">
        <v>10</v>
      </c>
      <c r="E7353" s="2" t="s">
        <v>11</v>
      </c>
      <c r="F7353" s="2">
        <v>20.34</v>
      </c>
      <c r="G7353" s="2">
        <v>3</v>
      </c>
      <c r="H7353" s="2">
        <v>9.36</v>
      </c>
      <c r="I7353" t="str">
        <f t="shared" si="114"/>
        <v>Apr</v>
      </c>
      <c r="J7353">
        <f>YEAR(datas[[#This Row],[Order Date]])</f>
        <v>2024</v>
      </c>
    </row>
    <row r="7354" spans="1:10" ht="14.25" customHeight="1" x14ac:dyDescent="0.3">
      <c r="A7354" s="1">
        <v>45408</v>
      </c>
      <c r="B7354" s="2" t="s">
        <v>748</v>
      </c>
      <c r="C7354" s="2" t="s">
        <v>82</v>
      </c>
      <c r="D7354" s="2" t="s">
        <v>10</v>
      </c>
      <c r="E7354" s="2" t="s">
        <v>14</v>
      </c>
      <c r="F7354" s="2">
        <v>39.28</v>
      </c>
      <c r="G7354" s="2">
        <v>8</v>
      </c>
      <c r="H7354" s="2">
        <v>19.25</v>
      </c>
      <c r="I7354" t="str">
        <f t="shared" si="114"/>
        <v>Apr</v>
      </c>
      <c r="J7354">
        <f>YEAR(datas[[#This Row],[Order Date]])</f>
        <v>2024</v>
      </c>
    </row>
    <row r="7355" spans="1:10" ht="14.25" customHeight="1" x14ac:dyDescent="0.3">
      <c r="A7355" s="1">
        <v>45409</v>
      </c>
      <c r="B7355" s="2" t="s">
        <v>829</v>
      </c>
      <c r="C7355" s="2" t="s">
        <v>9</v>
      </c>
      <c r="D7355" s="2" t="s">
        <v>10</v>
      </c>
      <c r="E7355" s="2" t="s">
        <v>14</v>
      </c>
      <c r="F7355" s="2">
        <v>33.119999999999997</v>
      </c>
      <c r="G7355" s="2">
        <v>4</v>
      </c>
      <c r="H7355" s="2">
        <v>11.59</v>
      </c>
      <c r="I7355" t="str">
        <f t="shared" si="114"/>
        <v>Apr</v>
      </c>
      <c r="J7355">
        <f>YEAR(datas[[#This Row],[Order Date]])</f>
        <v>2024</v>
      </c>
    </row>
    <row r="7356" spans="1:10" ht="14.25" customHeight="1" x14ac:dyDescent="0.3">
      <c r="A7356" s="1">
        <v>45409</v>
      </c>
      <c r="B7356" s="2" t="s">
        <v>829</v>
      </c>
      <c r="C7356" s="2" t="s">
        <v>9</v>
      </c>
      <c r="D7356" s="2" t="s">
        <v>26</v>
      </c>
      <c r="E7356" s="2" t="s">
        <v>45</v>
      </c>
      <c r="F7356" s="2">
        <v>220.27</v>
      </c>
      <c r="G7356" s="2">
        <v>4</v>
      </c>
      <c r="H7356" s="2">
        <v>-42.11</v>
      </c>
      <c r="I7356" t="str">
        <f t="shared" si="114"/>
        <v>Apr</v>
      </c>
      <c r="J7356">
        <f>YEAR(datas[[#This Row],[Order Date]])</f>
        <v>2024</v>
      </c>
    </row>
    <row r="7357" spans="1:10" ht="14.25" customHeight="1" x14ac:dyDescent="0.3">
      <c r="A7357" s="1">
        <v>45409</v>
      </c>
      <c r="B7357" s="2" t="s">
        <v>428</v>
      </c>
      <c r="C7357" s="2" t="s">
        <v>21</v>
      </c>
      <c r="D7357" s="2" t="s">
        <v>10</v>
      </c>
      <c r="E7357" s="2" t="s">
        <v>19</v>
      </c>
      <c r="F7357" s="2">
        <v>123.92</v>
      </c>
      <c r="G7357" s="2">
        <v>4</v>
      </c>
      <c r="H7357" s="2">
        <v>33.46</v>
      </c>
      <c r="I7357" t="str">
        <f t="shared" si="114"/>
        <v>Apr</v>
      </c>
      <c r="J7357">
        <f>YEAR(datas[[#This Row],[Order Date]])</f>
        <v>2024</v>
      </c>
    </row>
    <row r="7358" spans="1:10" ht="14.25" customHeight="1" x14ac:dyDescent="0.3">
      <c r="A7358" s="1">
        <v>45409</v>
      </c>
      <c r="B7358" s="2" t="s">
        <v>428</v>
      </c>
      <c r="C7358" s="2" t="s">
        <v>21</v>
      </c>
      <c r="D7358" s="2" t="s">
        <v>10</v>
      </c>
      <c r="E7358" s="2" t="s">
        <v>19</v>
      </c>
      <c r="F7358" s="2">
        <v>12.39</v>
      </c>
      <c r="G7358" s="2">
        <v>3</v>
      </c>
      <c r="H7358" s="2">
        <v>5.7</v>
      </c>
      <c r="I7358" t="str">
        <f t="shared" si="114"/>
        <v>Apr</v>
      </c>
      <c r="J7358">
        <f>YEAR(datas[[#This Row],[Order Date]])</f>
        <v>2024</v>
      </c>
    </row>
    <row r="7359" spans="1:10" ht="14.25" customHeight="1" x14ac:dyDescent="0.3">
      <c r="A7359" s="1">
        <v>45409</v>
      </c>
      <c r="B7359" s="2" t="s">
        <v>428</v>
      </c>
      <c r="C7359" s="2" t="s">
        <v>21</v>
      </c>
      <c r="D7359" s="2" t="s">
        <v>10</v>
      </c>
      <c r="E7359" s="2" t="s">
        <v>19</v>
      </c>
      <c r="F7359" s="2">
        <v>47.3</v>
      </c>
      <c r="G7359" s="2">
        <v>2</v>
      </c>
      <c r="H7359" s="2">
        <v>12.3</v>
      </c>
      <c r="I7359" t="str">
        <f t="shared" si="114"/>
        <v>Apr</v>
      </c>
      <c r="J7359">
        <f>YEAR(datas[[#This Row],[Order Date]])</f>
        <v>2024</v>
      </c>
    </row>
    <row r="7360" spans="1:10" ht="14.25" customHeight="1" x14ac:dyDescent="0.3">
      <c r="A7360" s="1">
        <v>45409</v>
      </c>
      <c r="B7360" s="2" t="s">
        <v>773</v>
      </c>
      <c r="C7360" s="2" t="s">
        <v>82</v>
      </c>
      <c r="D7360" s="2" t="s">
        <v>26</v>
      </c>
      <c r="E7360" s="2" t="s">
        <v>32</v>
      </c>
      <c r="F7360" s="2">
        <v>139.58000000000001</v>
      </c>
      <c r="G7360" s="2">
        <v>7</v>
      </c>
      <c r="H7360" s="2">
        <v>39.08</v>
      </c>
      <c r="I7360" t="str">
        <f t="shared" si="114"/>
        <v>Apr</v>
      </c>
      <c r="J7360">
        <f>YEAR(datas[[#This Row],[Order Date]])</f>
        <v>2024</v>
      </c>
    </row>
    <row r="7361" spans="1:10" ht="14.25" customHeight="1" x14ac:dyDescent="0.3">
      <c r="A7361" s="1">
        <v>45410</v>
      </c>
      <c r="B7361" s="2" t="s">
        <v>148</v>
      </c>
      <c r="C7361" s="2" t="s">
        <v>18</v>
      </c>
      <c r="D7361" s="2" t="s">
        <v>10</v>
      </c>
      <c r="E7361" s="2" t="s">
        <v>15</v>
      </c>
      <c r="F7361" s="2">
        <v>8.3800000000000008</v>
      </c>
      <c r="G7361" s="2">
        <v>1</v>
      </c>
      <c r="H7361" s="2">
        <v>0.73</v>
      </c>
      <c r="I7361" t="str">
        <f t="shared" si="114"/>
        <v>Apr</v>
      </c>
      <c r="J7361">
        <f>YEAR(datas[[#This Row],[Order Date]])</f>
        <v>2024</v>
      </c>
    </row>
    <row r="7362" spans="1:10" ht="14.25" customHeight="1" x14ac:dyDescent="0.3">
      <c r="A7362" s="1">
        <v>45410</v>
      </c>
      <c r="B7362" s="2" t="s">
        <v>148</v>
      </c>
      <c r="C7362" s="2" t="s">
        <v>18</v>
      </c>
      <c r="D7362" s="2" t="s">
        <v>10</v>
      </c>
      <c r="E7362" s="2" t="s">
        <v>19</v>
      </c>
      <c r="F7362" s="2">
        <v>6.85</v>
      </c>
      <c r="G7362" s="2">
        <v>2</v>
      </c>
      <c r="H7362" s="2">
        <v>0.77</v>
      </c>
      <c r="I7362" t="str">
        <f t="shared" si="114"/>
        <v>Apr</v>
      </c>
      <c r="J7362">
        <f>YEAR(datas[[#This Row],[Order Date]])</f>
        <v>2024</v>
      </c>
    </row>
    <row r="7363" spans="1:10" ht="14.25" customHeight="1" x14ac:dyDescent="0.3">
      <c r="A7363" s="1">
        <v>45410</v>
      </c>
      <c r="B7363" s="2" t="s">
        <v>372</v>
      </c>
      <c r="C7363" s="2" t="s">
        <v>115</v>
      </c>
      <c r="D7363" s="2" t="s">
        <v>10</v>
      </c>
      <c r="E7363" s="2" t="s">
        <v>53</v>
      </c>
      <c r="F7363" s="2">
        <v>28.08</v>
      </c>
      <c r="G7363" s="2">
        <v>3</v>
      </c>
      <c r="H7363" s="2">
        <v>5.27</v>
      </c>
      <c r="I7363" t="str">
        <f t="shared" ref="I7363:I7426" si="115">TEXT(A7363,"mmm")</f>
        <v>Apr</v>
      </c>
      <c r="J7363">
        <f>YEAR(datas[[#This Row],[Order Date]])</f>
        <v>2024</v>
      </c>
    </row>
    <row r="7364" spans="1:10" ht="14.25" customHeight="1" x14ac:dyDescent="0.3">
      <c r="A7364" s="1">
        <v>45410</v>
      </c>
      <c r="B7364" s="2" t="s">
        <v>286</v>
      </c>
      <c r="C7364" s="2" t="s">
        <v>64</v>
      </c>
      <c r="D7364" s="2" t="s">
        <v>28</v>
      </c>
      <c r="E7364" s="2" t="s">
        <v>29</v>
      </c>
      <c r="F7364" s="2">
        <v>751.98</v>
      </c>
      <c r="G7364" s="2">
        <v>2</v>
      </c>
      <c r="H7364" s="2">
        <v>84.6</v>
      </c>
      <c r="I7364" t="str">
        <f t="shared" si="115"/>
        <v>Apr</v>
      </c>
      <c r="J7364">
        <f>YEAR(datas[[#This Row],[Order Date]])</f>
        <v>2024</v>
      </c>
    </row>
    <row r="7365" spans="1:10" ht="14.25" customHeight="1" x14ac:dyDescent="0.3">
      <c r="A7365" s="1">
        <v>45411</v>
      </c>
      <c r="B7365" s="2" t="s">
        <v>129</v>
      </c>
      <c r="C7365" s="2" t="s">
        <v>47</v>
      </c>
      <c r="D7365" s="2" t="s">
        <v>26</v>
      </c>
      <c r="E7365" s="2" t="s">
        <v>73</v>
      </c>
      <c r="F7365" s="2">
        <v>1048.3499999999999</v>
      </c>
      <c r="G7365" s="2">
        <v>5</v>
      </c>
      <c r="H7365" s="2">
        <v>-69.89</v>
      </c>
      <c r="I7365" t="str">
        <f t="shared" si="115"/>
        <v>Apr</v>
      </c>
      <c r="J7365">
        <f>YEAR(datas[[#This Row],[Order Date]])</f>
        <v>2024</v>
      </c>
    </row>
    <row r="7366" spans="1:10" ht="14.25" customHeight="1" x14ac:dyDescent="0.3">
      <c r="A7366" s="1">
        <v>45411</v>
      </c>
      <c r="B7366" s="2" t="s">
        <v>125</v>
      </c>
      <c r="C7366" s="2" t="s">
        <v>87</v>
      </c>
      <c r="D7366" s="2" t="s">
        <v>10</v>
      </c>
      <c r="E7366" s="2" t="s">
        <v>14</v>
      </c>
      <c r="F7366" s="2">
        <v>4.91</v>
      </c>
      <c r="G7366" s="2">
        <v>1</v>
      </c>
      <c r="H7366" s="2">
        <v>2.41</v>
      </c>
      <c r="I7366" t="str">
        <f t="shared" si="115"/>
        <v>Apr</v>
      </c>
      <c r="J7366">
        <f>YEAR(datas[[#This Row],[Order Date]])</f>
        <v>2024</v>
      </c>
    </row>
    <row r="7367" spans="1:10" ht="14.25" customHeight="1" x14ac:dyDescent="0.3">
      <c r="A7367" s="1">
        <v>45412</v>
      </c>
      <c r="B7367" s="2" t="s">
        <v>803</v>
      </c>
      <c r="C7367" s="2" t="s">
        <v>75</v>
      </c>
      <c r="D7367" s="2" t="s">
        <v>10</v>
      </c>
      <c r="E7367" s="2" t="s">
        <v>41</v>
      </c>
      <c r="F7367" s="2">
        <v>62.96</v>
      </c>
      <c r="G7367" s="2">
        <v>4</v>
      </c>
      <c r="H7367" s="2">
        <v>28.33</v>
      </c>
      <c r="I7367" t="str">
        <f t="shared" si="115"/>
        <v>Apr</v>
      </c>
      <c r="J7367">
        <f>YEAR(datas[[#This Row],[Order Date]])</f>
        <v>2024</v>
      </c>
    </row>
    <row r="7368" spans="1:10" ht="14.25" customHeight="1" x14ac:dyDescent="0.3">
      <c r="A7368" s="1">
        <v>45412</v>
      </c>
      <c r="B7368" s="2" t="s">
        <v>144</v>
      </c>
      <c r="C7368" s="2" t="s">
        <v>18</v>
      </c>
      <c r="D7368" s="2" t="s">
        <v>28</v>
      </c>
      <c r="E7368" s="2" t="s">
        <v>29</v>
      </c>
      <c r="F7368" s="2">
        <v>677.58</v>
      </c>
      <c r="G7368" s="2">
        <v>5</v>
      </c>
      <c r="H7368" s="2">
        <v>-158.1</v>
      </c>
      <c r="I7368" t="str">
        <f t="shared" si="115"/>
        <v>Apr</v>
      </c>
      <c r="J7368">
        <f>YEAR(datas[[#This Row],[Order Date]])</f>
        <v>2024</v>
      </c>
    </row>
    <row r="7369" spans="1:10" ht="14.25" customHeight="1" x14ac:dyDescent="0.3">
      <c r="A7369" s="1">
        <v>45412</v>
      </c>
      <c r="B7369" s="2" t="s">
        <v>144</v>
      </c>
      <c r="C7369" s="2" t="s">
        <v>18</v>
      </c>
      <c r="D7369" s="2" t="s">
        <v>10</v>
      </c>
      <c r="E7369" s="2" t="s">
        <v>16</v>
      </c>
      <c r="F7369" s="2">
        <v>13.9</v>
      </c>
      <c r="G7369" s="2">
        <v>3</v>
      </c>
      <c r="H7369" s="2">
        <v>-9.26</v>
      </c>
      <c r="I7369" t="str">
        <f t="shared" si="115"/>
        <v>Apr</v>
      </c>
      <c r="J7369">
        <f>YEAR(datas[[#This Row],[Order Date]])</f>
        <v>2024</v>
      </c>
    </row>
    <row r="7370" spans="1:10" ht="14.25" customHeight="1" x14ac:dyDescent="0.3">
      <c r="A7370" s="1">
        <v>45412</v>
      </c>
      <c r="B7370" s="2" t="s">
        <v>395</v>
      </c>
      <c r="C7370" s="2" t="s">
        <v>64</v>
      </c>
      <c r="D7370" s="2" t="s">
        <v>10</v>
      </c>
      <c r="E7370" s="2" t="s">
        <v>14</v>
      </c>
      <c r="F7370" s="2">
        <v>4.6100000000000003</v>
      </c>
      <c r="G7370" s="2">
        <v>2</v>
      </c>
      <c r="H7370" s="2">
        <v>1.67</v>
      </c>
      <c r="I7370" t="str">
        <f t="shared" si="115"/>
        <v>Apr</v>
      </c>
      <c r="J7370">
        <f>YEAR(datas[[#This Row],[Order Date]])</f>
        <v>2024</v>
      </c>
    </row>
    <row r="7371" spans="1:10" ht="14.25" customHeight="1" x14ac:dyDescent="0.3">
      <c r="A7371" s="1">
        <v>45412</v>
      </c>
      <c r="B7371" s="2" t="s">
        <v>395</v>
      </c>
      <c r="C7371" s="2" t="s">
        <v>64</v>
      </c>
      <c r="D7371" s="2" t="s">
        <v>10</v>
      </c>
      <c r="E7371" s="2" t="s">
        <v>19</v>
      </c>
      <c r="F7371" s="2">
        <v>15.53</v>
      </c>
      <c r="G7371" s="2">
        <v>3</v>
      </c>
      <c r="H7371" s="2">
        <v>4.8499999999999996</v>
      </c>
      <c r="I7371" t="str">
        <f t="shared" si="115"/>
        <v>Apr</v>
      </c>
      <c r="J7371">
        <f>YEAR(datas[[#This Row],[Order Date]])</f>
        <v>2024</v>
      </c>
    </row>
    <row r="7372" spans="1:10" ht="14.25" customHeight="1" x14ac:dyDescent="0.3">
      <c r="A7372" s="1">
        <v>45412</v>
      </c>
      <c r="B7372" s="2" t="s">
        <v>395</v>
      </c>
      <c r="C7372" s="2" t="s">
        <v>64</v>
      </c>
      <c r="D7372" s="2" t="s">
        <v>10</v>
      </c>
      <c r="E7372" s="2" t="s">
        <v>14</v>
      </c>
      <c r="F7372" s="2">
        <v>11.95</v>
      </c>
      <c r="G7372" s="2">
        <v>3</v>
      </c>
      <c r="H7372" s="2">
        <v>3.88</v>
      </c>
      <c r="I7372" t="str">
        <f t="shared" si="115"/>
        <v>Apr</v>
      </c>
      <c r="J7372">
        <f>YEAR(datas[[#This Row],[Order Date]])</f>
        <v>2024</v>
      </c>
    </row>
    <row r="7373" spans="1:10" ht="14.25" customHeight="1" x14ac:dyDescent="0.3">
      <c r="A7373" s="1">
        <v>45412</v>
      </c>
      <c r="B7373" s="2" t="s">
        <v>603</v>
      </c>
      <c r="C7373" s="2" t="s">
        <v>64</v>
      </c>
      <c r="D7373" s="2" t="s">
        <v>26</v>
      </c>
      <c r="E7373" s="2" t="s">
        <v>32</v>
      </c>
      <c r="F7373" s="2">
        <v>23.68</v>
      </c>
      <c r="G7373" s="2">
        <v>8</v>
      </c>
      <c r="H7373" s="2">
        <v>6.22</v>
      </c>
      <c r="I7373" t="str">
        <f t="shared" si="115"/>
        <v>Apr</v>
      </c>
      <c r="J7373">
        <f>YEAR(datas[[#This Row],[Order Date]])</f>
        <v>2024</v>
      </c>
    </row>
    <row r="7374" spans="1:10" ht="14.25" customHeight="1" x14ac:dyDescent="0.3">
      <c r="A7374" s="1">
        <v>45412</v>
      </c>
      <c r="B7374" s="2" t="s">
        <v>603</v>
      </c>
      <c r="C7374" s="2" t="s">
        <v>64</v>
      </c>
      <c r="D7374" s="2" t="s">
        <v>28</v>
      </c>
      <c r="E7374" s="2" t="s">
        <v>34</v>
      </c>
      <c r="F7374" s="2">
        <v>2.38</v>
      </c>
      <c r="G7374" s="2">
        <v>3</v>
      </c>
      <c r="H7374" s="2">
        <v>0.74</v>
      </c>
      <c r="I7374" t="str">
        <f t="shared" si="115"/>
        <v>Apr</v>
      </c>
      <c r="J7374">
        <f>YEAR(datas[[#This Row],[Order Date]])</f>
        <v>2024</v>
      </c>
    </row>
    <row r="7375" spans="1:10" ht="14.25" customHeight="1" x14ac:dyDescent="0.3">
      <c r="A7375" s="1">
        <v>45412</v>
      </c>
      <c r="B7375" s="2" t="s">
        <v>538</v>
      </c>
      <c r="C7375" s="2" t="s">
        <v>47</v>
      </c>
      <c r="D7375" s="2" t="s">
        <v>10</v>
      </c>
      <c r="E7375" s="2" t="s">
        <v>11</v>
      </c>
      <c r="F7375" s="2">
        <v>10.37</v>
      </c>
      <c r="G7375" s="2">
        <v>2</v>
      </c>
      <c r="H7375" s="2">
        <v>3.63</v>
      </c>
      <c r="I7375" t="str">
        <f t="shared" si="115"/>
        <v>Apr</v>
      </c>
      <c r="J7375">
        <f>YEAR(datas[[#This Row],[Order Date]])</f>
        <v>2024</v>
      </c>
    </row>
    <row r="7376" spans="1:10" ht="14.25" customHeight="1" x14ac:dyDescent="0.3">
      <c r="A7376" s="1">
        <v>45412</v>
      </c>
      <c r="B7376" s="2" t="s">
        <v>758</v>
      </c>
      <c r="C7376" s="2" t="s">
        <v>248</v>
      </c>
      <c r="D7376" s="2" t="s">
        <v>10</v>
      </c>
      <c r="E7376" s="2" t="s">
        <v>14</v>
      </c>
      <c r="F7376" s="2">
        <v>5.76</v>
      </c>
      <c r="G7376" s="2">
        <v>2</v>
      </c>
      <c r="H7376" s="2">
        <v>2.82</v>
      </c>
      <c r="I7376" t="str">
        <f t="shared" si="115"/>
        <v>Apr</v>
      </c>
      <c r="J7376">
        <f>YEAR(datas[[#This Row],[Order Date]])</f>
        <v>2024</v>
      </c>
    </row>
    <row r="7377" spans="1:10" ht="14.25" customHeight="1" x14ac:dyDescent="0.3">
      <c r="A7377" s="1">
        <v>45412</v>
      </c>
      <c r="B7377" s="2" t="s">
        <v>601</v>
      </c>
      <c r="C7377" s="2" t="s">
        <v>13</v>
      </c>
      <c r="D7377" s="2" t="s">
        <v>10</v>
      </c>
      <c r="E7377" s="2" t="s">
        <v>16</v>
      </c>
      <c r="F7377" s="2">
        <v>43.37</v>
      </c>
      <c r="G7377" s="2">
        <v>7</v>
      </c>
      <c r="H7377" s="2">
        <v>-69.400000000000006</v>
      </c>
      <c r="I7377" t="str">
        <f t="shared" si="115"/>
        <v>Apr</v>
      </c>
      <c r="J7377">
        <f>YEAR(datas[[#This Row],[Order Date]])</f>
        <v>2024</v>
      </c>
    </row>
    <row r="7378" spans="1:10" ht="14.25" customHeight="1" x14ac:dyDescent="0.3">
      <c r="A7378" s="1">
        <v>45412</v>
      </c>
      <c r="B7378" s="2" t="s">
        <v>597</v>
      </c>
      <c r="C7378" s="2" t="s">
        <v>21</v>
      </c>
      <c r="D7378" s="2" t="s">
        <v>10</v>
      </c>
      <c r="E7378" s="2" t="s">
        <v>11</v>
      </c>
      <c r="F7378" s="2">
        <v>163.96</v>
      </c>
      <c r="G7378" s="2">
        <v>4</v>
      </c>
      <c r="H7378" s="2">
        <v>80.34</v>
      </c>
      <c r="I7378" t="str">
        <f t="shared" si="115"/>
        <v>Apr</v>
      </c>
      <c r="J7378">
        <f>YEAR(datas[[#This Row],[Order Date]])</f>
        <v>2024</v>
      </c>
    </row>
    <row r="7379" spans="1:10" ht="14.25" customHeight="1" x14ac:dyDescent="0.3">
      <c r="A7379" s="1">
        <v>45412</v>
      </c>
      <c r="B7379" s="2" t="s">
        <v>421</v>
      </c>
      <c r="C7379" s="2" t="s">
        <v>21</v>
      </c>
      <c r="D7379" s="2" t="s">
        <v>26</v>
      </c>
      <c r="E7379" s="2" t="s">
        <v>32</v>
      </c>
      <c r="F7379" s="2">
        <v>64.959999999999994</v>
      </c>
      <c r="G7379" s="2">
        <v>2</v>
      </c>
      <c r="H7379" s="2">
        <v>21.44</v>
      </c>
      <c r="I7379" t="str">
        <f t="shared" si="115"/>
        <v>Apr</v>
      </c>
      <c r="J7379">
        <f>YEAR(datas[[#This Row],[Order Date]])</f>
        <v>2024</v>
      </c>
    </row>
    <row r="7380" spans="1:10" ht="14.25" customHeight="1" x14ac:dyDescent="0.3">
      <c r="A7380" s="1">
        <v>45412</v>
      </c>
      <c r="B7380" s="2" t="s">
        <v>421</v>
      </c>
      <c r="C7380" s="2" t="s">
        <v>21</v>
      </c>
      <c r="D7380" s="2" t="s">
        <v>10</v>
      </c>
      <c r="E7380" s="2" t="s">
        <v>41</v>
      </c>
      <c r="F7380" s="2">
        <v>30.56</v>
      </c>
      <c r="G7380" s="2">
        <v>4</v>
      </c>
      <c r="H7380" s="2">
        <v>14.97</v>
      </c>
      <c r="I7380" t="str">
        <f t="shared" si="115"/>
        <v>Apr</v>
      </c>
      <c r="J7380">
        <f>YEAR(datas[[#This Row],[Order Date]])</f>
        <v>2024</v>
      </c>
    </row>
    <row r="7381" spans="1:10" ht="14.25" customHeight="1" x14ac:dyDescent="0.3">
      <c r="A7381" s="1">
        <v>45412</v>
      </c>
      <c r="B7381" s="2" t="s">
        <v>471</v>
      </c>
      <c r="C7381" s="2" t="s">
        <v>21</v>
      </c>
      <c r="D7381" s="2" t="s">
        <v>10</v>
      </c>
      <c r="E7381" s="2" t="s">
        <v>19</v>
      </c>
      <c r="F7381" s="2">
        <v>9.7799999999999994</v>
      </c>
      <c r="G7381" s="2">
        <v>2</v>
      </c>
      <c r="H7381" s="2">
        <v>4.01</v>
      </c>
      <c r="I7381" t="str">
        <f t="shared" si="115"/>
        <v>Apr</v>
      </c>
      <c r="J7381">
        <f>YEAR(datas[[#This Row],[Order Date]])</f>
        <v>2024</v>
      </c>
    </row>
    <row r="7382" spans="1:10" ht="14.25" customHeight="1" x14ac:dyDescent="0.3">
      <c r="A7382" s="1">
        <v>45412</v>
      </c>
      <c r="B7382" s="2" t="s">
        <v>396</v>
      </c>
      <c r="C7382" s="2" t="s">
        <v>21</v>
      </c>
      <c r="D7382" s="2" t="s">
        <v>10</v>
      </c>
      <c r="E7382" s="2" t="s">
        <v>16</v>
      </c>
      <c r="F7382" s="2">
        <v>23.24</v>
      </c>
      <c r="G7382" s="2">
        <v>5</v>
      </c>
      <c r="H7382" s="2">
        <v>7.55</v>
      </c>
      <c r="I7382" t="str">
        <f t="shared" si="115"/>
        <v>Apr</v>
      </c>
      <c r="J7382">
        <f>YEAR(datas[[#This Row],[Order Date]])</f>
        <v>2024</v>
      </c>
    </row>
    <row r="7383" spans="1:10" ht="14.25" customHeight="1" x14ac:dyDescent="0.3">
      <c r="A7383" s="1">
        <v>45412</v>
      </c>
      <c r="B7383" s="2" t="s">
        <v>846</v>
      </c>
      <c r="C7383" s="2" t="s">
        <v>64</v>
      </c>
      <c r="D7383" s="2" t="s">
        <v>10</v>
      </c>
      <c r="E7383" s="2" t="s">
        <v>16</v>
      </c>
      <c r="F7383" s="2">
        <v>4.84</v>
      </c>
      <c r="G7383" s="2">
        <v>3</v>
      </c>
      <c r="H7383" s="2">
        <v>-3.55</v>
      </c>
      <c r="I7383" t="str">
        <f t="shared" si="115"/>
        <v>Apr</v>
      </c>
      <c r="J7383">
        <f>YEAR(datas[[#This Row],[Order Date]])</f>
        <v>2024</v>
      </c>
    </row>
    <row r="7384" spans="1:10" ht="14.25" customHeight="1" x14ac:dyDescent="0.3">
      <c r="A7384" s="1">
        <v>45412</v>
      </c>
      <c r="B7384" s="2" t="s">
        <v>846</v>
      </c>
      <c r="C7384" s="2" t="s">
        <v>64</v>
      </c>
      <c r="D7384" s="2" t="s">
        <v>26</v>
      </c>
      <c r="E7384" s="2" t="s">
        <v>32</v>
      </c>
      <c r="F7384" s="2">
        <v>220.7</v>
      </c>
      <c r="G7384" s="2">
        <v>6</v>
      </c>
      <c r="H7384" s="2">
        <v>-8.2799999999999994</v>
      </c>
      <c r="I7384" t="str">
        <f t="shared" si="115"/>
        <v>Apr</v>
      </c>
      <c r="J7384">
        <f>YEAR(datas[[#This Row],[Order Date]])</f>
        <v>2024</v>
      </c>
    </row>
    <row r="7385" spans="1:10" ht="14.25" customHeight="1" x14ac:dyDescent="0.3">
      <c r="A7385" s="1">
        <v>45413</v>
      </c>
      <c r="B7385" s="2" t="s">
        <v>767</v>
      </c>
      <c r="C7385" s="2" t="s">
        <v>57</v>
      </c>
      <c r="D7385" s="2" t="s">
        <v>28</v>
      </c>
      <c r="E7385" s="2" t="s">
        <v>34</v>
      </c>
      <c r="F7385" s="2">
        <v>48.9</v>
      </c>
      <c r="G7385" s="2">
        <v>5</v>
      </c>
      <c r="H7385" s="2">
        <v>18.09</v>
      </c>
      <c r="I7385" t="str">
        <f t="shared" si="115"/>
        <v>May</v>
      </c>
      <c r="J7385">
        <f>YEAR(datas[[#This Row],[Order Date]])</f>
        <v>2024</v>
      </c>
    </row>
    <row r="7386" spans="1:10" ht="14.25" customHeight="1" x14ac:dyDescent="0.3">
      <c r="A7386" s="1">
        <v>45413</v>
      </c>
      <c r="B7386" s="2" t="s">
        <v>814</v>
      </c>
      <c r="C7386" s="2" t="s">
        <v>64</v>
      </c>
      <c r="D7386" s="2" t="s">
        <v>10</v>
      </c>
      <c r="E7386" s="2" t="s">
        <v>95</v>
      </c>
      <c r="F7386" s="2">
        <v>3.33</v>
      </c>
      <c r="G7386" s="2">
        <v>2</v>
      </c>
      <c r="H7386" s="2">
        <v>0.42</v>
      </c>
      <c r="I7386" t="str">
        <f t="shared" si="115"/>
        <v>May</v>
      </c>
      <c r="J7386">
        <f>YEAR(datas[[#This Row],[Order Date]])</f>
        <v>2024</v>
      </c>
    </row>
    <row r="7387" spans="1:10" ht="14.25" customHeight="1" x14ac:dyDescent="0.3">
      <c r="A7387" s="1">
        <v>45413</v>
      </c>
      <c r="B7387" s="2" t="s">
        <v>814</v>
      </c>
      <c r="C7387" s="2" t="s">
        <v>64</v>
      </c>
      <c r="D7387" s="2" t="s">
        <v>26</v>
      </c>
      <c r="E7387" s="2" t="s">
        <v>73</v>
      </c>
      <c r="F7387" s="2">
        <v>933.26</v>
      </c>
      <c r="G7387" s="2">
        <v>4</v>
      </c>
      <c r="H7387" s="2">
        <v>-458.15</v>
      </c>
      <c r="I7387" t="str">
        <f t="shared" si="115"/>
        <v>May</v>
      </c>
      <c r="J7387">
        <f>YEAR(datas[[#This Row],[Order Date]])</f>
        <v>2024</v>
      </c>
    </row>
    <row r="7388" spans="1:10" ht="14.25" customHeight="1" x14ac:dyDescent="0.3">
      <c r="A7388" s="1">
        <v>45413</v>
      </c>
      <c r="B7388" s="2" t="s">
        <v>814</v>
      </c>
      <c r="C7388" s="2" t="s">
        <v>64</v>
      </c>
      <c r="D7388" s="2" t="s">
        <v>26</v>
      </c>
      <c r="E7388" s="2" t="s">
        <v>27</v>
      </c>
      <c r="F7388" s="2">
        <v>2803.92</v>
      </c>
      <c r="G7388" s="2">
        <v>5</v>
      </c>
      <c r="H7388" s="2">
        <v>0</v>
      </c>
      <c r="I7388" t="str">
        <f t="shared" si="115"/>
        <v>May</v>
      </c>
      <c r="J7388">
        <f>YEAR(datas[[#This Row],[Order Date]])</f>
        <v>2024</v>
      </c>
    </row>
    <row r="7389" spans="1:10" ht="14.25" customHeight="1" x14ac:dyDescent="0.3">
      <c r="A7389" s="1">
        <v>45413</v>
      </c>
      <c r="B7389" s="2" t="s">
        <v>385</v>
      </c>
      <c r="C7389" s="2" t="s">
        <v>64</v>
      </c>
      <c r="D7389" s="2" t="s">
        <v>26</v>
      </c>
      <c r="E7389" s="2" t="s">
        <v>45</v>
      </c>
      <c r="F7389" s="2">
        <v>314.35000000000002</v>
      </c>
      <c r="G7389" s="2">
        <v>3</v>
      </c>
      <c r="H7389" s="2">
        <v>-15.72</v>
      </c>
      <c r="I7389" t="str">
        <f t="shared" si="115"/>
        <v>May</v>
      </c>
      <c r="J7389">
        <f>YEAR(datas[[#This Row],[Order Date]])</f>
        <v>2024</v>
      </c>
    </row>
    <row r="7390" spans="1:10" ht="14.25" customHeight="1" x14ac:dyDescent="0.3">
      <c r="A7390" s="1">
        <v>45413</v>
      </c>
      <c r="B7390" s="2" t="s">
        <v>385</v>
      </c>
      <c r="C7390" s="2" t="s">
        <v>64</v>
      </c>
      <c r="D7390" s="2" t="s">
        <v>10</v>
      </c>
      <c r="E7390" s="2" t="s">
        <v>14</v>
      </c>
      <c r="F7390" s="2">
        <v>4.6100000000000003</v>
      </c>
      <c r="G7390" s="2">
        <v>2</v>
      </c>
      <c r="H7390" s="2">
        <v>1.5</v>
      </c>
      <c r="I7390" t="str">
        <f t="shared" si="115"/>
        <v>May</v>
      </c>
      <c r="J7390">
        <f>YEAR(datas[[#This Row],[Order Date]])</f>
        <v>2024</v>
      </c>
    </row>
    <row r="7391" spans="1:10" ht="14.25" customHeight="1" x14ac:dyDescent="0.3">
      <c r="A7391" s="1">
        <v>45414</v>
      </c>
      <c r="B7391" s="2" t="s">
        <v>430</v>
      </c>
      <c r="C7391" s="2" t="s">
        <v>87</v>
      </c>
      <c r="D7391" s="2" t="s">
        <v>26</v>
      </c>
      <c r="E7391" s="2" t="s">
        <v>32</v>
      </c>
      <c r="F7391" s="2">
        <v>129.93</v>
      </c>
      <c r="G7391" s="2">
        <v>3</v>
      </c>
      <c r="H7391" s="2">
        <v>12.99</v>
      </c>
      <c r="I7391" t="str">
        <f t="shared" si="115"/>
        <v>May</v>
      </c>
      <c r="J7391">
        <f>YEAR(datas[[#This Row],[Order Date]])</f>
        <v>2024</v>
      </c>
    </row>
    <row r="7392" spans="1:10" ht="14.25" customHeight="1" x14ac:dyDescent="0.3">
      <c r="A7392" s="1">
        <v>45414</v>
      </c>
      <c r="B7392" s="2" t="s">
        <v>623</v>
      </c>
      <c r="C7392" s="2" t="s">
        <v>21</v>
      </c>
      <c r="D7392" s="2" t="s">
        <v>28</v>
      </c>
      <c r="E7392" s="2" t="s">
        <v>34</v>
      </c>
      <c r="F7392" s="2">
        <v>159.56</v>
      </c>
      <c r="G7392" s="2">
        <v>4</v>
      </c>
      <c r="H7392" s="2">
        <v>59.04</v>
      </c>
      <c r="I7392" t="str">
        <f t="shared" si="115"/>
        <v>May</v>
      </c>
      <c r="J7392">
        <f>YEAR(datas[[#This Row],[Order Date]])</f>
        <v>2024</v>
      </c>
    </row>
    <row r="7393" spans="1:10" ht="14.25" customHeight="1" x14ac:dyDescent="0.3">
      <c r="A7393" s="1">
        <v>45414</v>
      </c>
      <c r="B7393" s="2" t="s">
        <v>177</v>
      </c>
      <c r="C7393" s="2" t="s">
        <v>21</v>
      </c>
      <c r="D7393" s="2" t="s">
        <v>10</v>
      </c>
      <c r="E7393" s="2" t="s">
        <v>11</v>
      </c>
      <c r="F7393" s="2">
        <v>15.7</v>
      </c>
      <c r="G7393" s="2">
        <v>5</v>
      </c>
      <c r="H7393" s="2">
        <v>7.07</v>
      </c>
      <c r="I7393" t="str">
        <f t="shared" si="115"/>
        <v>May</v>
      </c>
      <c r="J7393">
        <f>YEAR(datas[[#This Row],[Order Date]])</f>
        <v>2024</v>
      </c>
    </row>
    <row r="7394" spans="1:10" ht="14.25" customHeight="1" x14ac:dyDescent="0.3">
      <c r="A7394" s="1">
        <v>45414</v>
      </c>
      <c r="B7394" s="2" t="s">
        <v>177</v>
      </c>
      <c r="C7394" s="2" t="s">
        <v>21</v>
      </c>
      <c r="D7394" s="2" t="s">
        <v>10</v>
      </c>
      <c r="E7394" s="2" t="s">
        <v>19</v>
      </c>
      <c r="F7394" s="2">
        <v>59.52</v>
      </c>
      <c r="G7394" s="2">
        <v>3</v>
      </c>
      <c r="H7394" s="2">
        <v>15.48</v>
      </c>
      <c r="I7394" t="str">
        <f t="shared" si="115"/>
        <v>May</v>
      </c>
      <c r="J7394">
        <f>YEAR(datas[[#This Row],[Order Date]])</f>
        <v>2024</v>
      </c>
    </row>
    <row r="7395" spans="1:10" ht="14.25" customHeight="1" x14ac:dyDescent="0.3">
      <c r="A7395" s="1">
        <v>45414</v>
      </c>
      <c r="B7395" s="2" t="s">
        <v>177</v>
      </c>
      <c r="C7395" s="2" t="s">
        <v>21</v>
      </c>
      <c r="D7395" s="2" t="s">
        <v>10</v>
      </c>
      <c r="E7395" s="2" t="s">
        <v>11</v>
      </c>
      <c r="F7395" s="2">
        <v>34.4</v>
      </c>
      <c r="G7395" s="2">
        <v>5</v>
      </c>
      <c r="H7395" s="2">
        <v>15.82</v>
      </c>
      <c r="I7395" t="str">
        <f t="shared" si="115"/>
        <v>May</v>
      </c>
      <c r="J7395">
        <f>YEAR(datas[[#This Row],[Order Date]])</f>
        <v>2024</v>
      </c>
    </row>
    <row r="7396" spans="1:10" ht="14.25" customHeight="1" x14ac:dyDescent="0.3">
      <c r="A7396" s="1">
        <v>45415</v>
      </c>
      <c r="B7396" s="2" t="s">
        <v>576</v>
      </c>
      <c r="C7396" s="2" t="s">
        <v>21</v>
      </c>
      <c r="D7396" s="2" t="s">
        <v>10</v>
      </c>
      <c r="E7396" s="2" t="s">
        <v>15</v>
      </c>
      <c r="F7396" s="2">
        <v>69.52</v>
      </c>
      <c r="G7396" s="2">
        <v>2</v>
      </c>
      <c r="H7396" s="2">
        <v>19.47</v>
      </c>
      <c r="I7396" t="str">
        <f t="shared" si="115"/>
        <v>May</v>
      </c>
      <c r="J7396">
        <f>YEAR(datas[[#This Row],[Order Date]])</f>
        <v>2024</v>
      </c>
    </row>
    <row r="7397" spans="1:10" ht="14.25" customHeight="1" x14ac:dyDescent="0.3">
      <c r="A7397" s="1">
        <v>45415</v>
      </c>
      <c r="B7397" s="2" t="s">
        <v>576</v>
      </c>
      <c r="C7397" s="2" t="s">
        <v>21</v>
      </c>
      <c r="D7397" s="2" t="s">
        <v>10</v>
      </c>
      <c r="E7397" s="2" t="s">
        <v>15</v>
      </c>
      <c r="F7397" s="2">
        <v>763.44</v>
      </c>
      <c r="G7397" s="2">
        <v>8</v>
      </c>
      <c r="H7397" s="2">
        <v>45.81</v>
      </c>
      <c r="I7397" t="str">
        <f t="shared" si="115"/>
        <v>May</v>
      </c>
      <c r="J7397">
        <f>YEAR(datas[[#This Row],[Order Date]])</f>
        <v>2024</v>
      </c>
    </row>
    <row r="7398" spans="1:10" ht="14.25" customHeight="1" x14ac:dyDescent="0.3">
      <c r="A7398" s="1">
        <v>45415</v>
      </c>
      <c r="B7398" s="2" t="s">
        <v>647</v>
      </c>
      <c r="C7398" s="2" t="s">
        <v>21</v>
      </c>
      <c r="D7398" s="2" t="s">
        <v>10</v>
      </c>
      <c r="E7398" s="2" t="s">
        <v>11</v>
      </c>
      <c r="F7398" s="2">
        <v>25.92</v>
      </c>
      <c r="G7398" s="2">
        <v>4</v>
      </c>
      <c r="H7398" s="2">
        <v>12.44</v>
      </c>
      <c r="I7398" t="str">
        <f t="shared" si="115"/>
        <v>May</v>
      </c>
      <c r="J7398">
        <f>YEAR(datas[[#This Row],[Order Date]])</f>
        <v>2024</v>
      </c>
    </row>
    <row r="7399" spans="1:10" ht="14.25" customHeight="1" x14ac:dyDescent="0.3">
      <c r="A7399" s="1">
        <v>45415</v>
      </c>
      <c r="B7399" s="2" t="s">
        <v>647</v>
      </c>
      <c r="C7399" s="2" t="s">
        <v>21</v>
      </c>
      <c r="D7399" s="2" t="s">
        <v>10</v>
      </c>
      <c r="E7399" s="2" t="s">
        <v>19</v>
      </c>
      <c r="F7399" s="2">
        <v>22.96</v>
      </c>
      <c r="G7399" s="2">
        <v>7</v>
      </c>
      <c r="H7399" s="2">
        <v>6.66</v>
      </c>
      <c r="I7399" t="str">
        <f t="shared" si="115"/>
        <v>May</v>
      </c>
      <c r="J7399">
        <f>YEAR(datas[[#This Row],[Order Date]])</f>
        <v>2024</v>
      </c>
    </row>
    <row r="7400" spans="1:10" ht="14.25" customHeight="1" x14ac:dyDescent="0.3">
      <c r="A7400" s="1">
        <v>45415</v>
      </c>
      <c r="B7400" s="2" t="s">
        <v>805</v>
      </c>
      <c r="C7400" s="2" t="s">
        <v>18</v>
      </c>
      <c r="D7400" s="2" t="s">
        <v>26</v>
      </c>
      <c r="E7400" s="2" t="s">
        <v>32</v>
      </c>
      <c r="F7400" s="2">
        <v>32.450000000000003</v>
      </c>
      <c r="G7400" s="2">
        <v>2</v>
      </c>
      <c r="H7400" s="2">
        <v>7.3</v>
      </c>
      <c r="I7400" t="str">
        <f t="shared" si="115"/>
        <v>May</v>
      </c>
      <c r="J7400">
        <f>YEAR(datas[[#This Row],[Order Date]])</f>
        <v>2024</v>
      </c>
    </row>
    <row r="7401" spans="1:10" ht="14.25" customHeight="1" x14ac:dyDescent="0.3">
      <c r="A7401" s="1">
        <v>45415</v>
      </c>
      <c r="B7401" s="2" t="s">
        <v>805</v>
      </c>
      <c r="C7401" s="2" t="s">
        <v>18</v>
      </c>
      <c r="D7401" s="2" t="s">
        <v>10</v>
      </c>
      <c r="E7401" s="2" t="s">
        <v>16</v>
      </c>
      <c r="F7401" s="2">
        <v>26.39</v>
      </c>
      <c r="G7401" s="2">
        <v>4</v>
      </c>
      <c r="H7401" s="2">
        <v>-17.59</v>
      </c>
      <c r="I7401" t="str">
        <f t="shared" si="115"/>
        <v>May</v>
      </c>
      <c r="J7401">
        <f>YEAR(datas[[#This Row],[Order Date]])</f>
        <v>2024</v>
      </c>
    </row>
    <row r="7402" spans="1:10" ht="14.25" customHeight="1" x14ac:dyDescent="0.3">
      <c r="A7402" s="1">
        <v>45415</v>
      </c>
      <c r="B7402" s="2" t="s">
        <v>805</v>
      </c>
      <c r="C7402" s="2" t="s">
        <v>18</v>
      </c>
      <c r="D7402" s="2" t="s">
        <v>26</v>
      </c>
      <c r="E7402" s="2" t="s">
        <v>73</v>
      </c>
      <c r="F7402" s="2">
        <v>373.47</v>
      </c>
      <c r="G7402" s="2">
        <v>5</v>
      </c>
      <c r="H7402" s="2">
        <v>-112.04</v>
      </c>
      <c r="I7402" t="str">
        <f t="shared" si="115"/>
        <v>May</v>
      </c>
      <c r="J7402">
        <f>YEAR(datas[[#This Row],[Order Date]])</f>
        <v>2024</v>
      </c>
    </row>
    <row r="7403" spans="1:10" ht="14.25" customHeight="1" x14ac:dyDescent="0.3">
      <c r="A7403" s="1">
        <v>45415</v>
      </c>
      <c r="B7403" s="2" t="s">
        <v>805</v>
      </c>
      <c r="C7403" s="2" t="s">
        <v>18</v>
      </c>
      <c r="D7403" s="2" t="s">
        <v>10</v>
      </c>
      <c r="E7403" s="2" t="s">
        <v>16</v>
      </c>
      <c r="F7403" s="2">
        <v>64.2</v>
      </c>
      <c r="G7403" s="2">
        <v>5</v>
      </c>
      <c r="H7403" s="2">
        <v>-44.94</v>
      </c>
      <c r="I7403" t="str">
        <f t="shared" si="115"/>
        <v>May</v>
      </c>
      <c r="J7403">
        <f>YEAR(datas[[#This Row],[Order Date]])</f>
        <v>2024</v>
      </c>
    </row>
    <row r="7404" spans="1:10" ht="14.25" customHeight="1" x14ac:dyDescent="0.3">
      <c r="A7404" s="1">
        <v>45415</v>
      </c>
      <c r="B7404" s="2" t="s">
        <v>805</v>
      </c>
      <c r="C7404" s="2" t="s">
        <v>18</v>
      </c>
      <c r="D7404" s="2" t="s">
        <v>10</v>
      </c>
      <c r="E7404" s="2" t="s">
        <v>30</v>
      </c>
      <c r="F7404" s="2">
        <v>8</v>
      </c>
      <c r="G7404" s="2">
        <v>2</v>
      </c>
      <c r="H7404" s="2">
        <v>2.8</v>
      </c>
      <c r="I7404" t="str">
        <f t="shared" si="115"/>
        <v>May</v>
      </c>
      <c r="J7404">
        <f>YEAR(datas[[#This Row],[Order Date]])</f>
        <v>2024</v>
      </c>
    </row>
    <row r="7405" spans="1:10" ht="14.25" customHeight="1" x14ac:dyDescent="0.3">
      <c r="A7405" s="1">
        <v>45416</v>
      </c>
      <c r="B7405" s="2" t="s">
        <v>828</v>
      </c>
      <c r="C7405" s="2" t="s">
        <v>21</v>
      </c>
      <c r="D7405" s="2" t="s">
        <v>28</v>
      </c>
      <c r="E7405" s="2" t="s">
        <v>29</v>
      </c>
      <c r="F7405" s="2">
        <v>183.96</v>
      </c>
      <c r="G7405" s="2">
        <v>5</v>
      </c>
      <c r="H7405" s="2">
        <v>20.7</v>
      </c>
      <c r="I7405" t="str">
        <f t="shared" si="115"/>
        <v>May</v>
      </c>
      <c r="J7405">
        <f>YEAR(datas[[#This Row],[Order Date]])</f>
        <v>2024</v>
      </c>
    </row>
    <row r="7406" spans="1:10" ht="14.25" customHeight="1" x14ac:dyDescent="0.3">
      <c r="A7406" s="1">
        <v>45416</v>
      </c>
      <c r="B7406" s="2" t="s">
        <v>828</v>
      </c>
      <c r="C7406" s="2" t="s">
        <v>21</v>
      </c>
      <c r="D7406" s="2" t="s">
        <v>10</v>
      </c>
      <c r="E7406" s="2" t="s">
        <v>11</v>
      </c>
      <c r="F7406" s="2">
        <v>17.61</v>
      </c>
      <c r="G7406" s="2">
        <v>3</v>
      </c>
      <c r="H7406" s="2">
        <v>8.4499999999999993</v>
      </c>
      <c r="I7406" t="str">
        <f t="shared" si="115"/>
        <v>May</v>
      </c>
      <c r="J7406">
        <f>YEAR(datas[[#This Row],[Order Date]])</f>
        <v>2024</v>
      </c>
    </row>
    <row r="7407" spans="1:10" ht="14.25" customHeight="1" x14ac:dyDescent="0.3">
      <c r="A7407" s="1">
        <v>45416</v>
      </c>
      <c r="B7407" s="2" t="s">
        <v>828</v>
      </c>
      <c r="C7407" s="2" t="s">
        <v>21</v>
      </c>
      <c r="D7407" s="2" t="s">
        <v>26</v>
      </c>
      <c r="E7407" s="2" t="s">
        <v>73</v>
      </c>
      <c r="F7407" s="2">
        <v>300.89999999999998</v>
      </c>
      <c r="G7407" s="2">
        <v>1</v>
      </c>
      <c r="H7407" s="2">
        <v>11.28</v>
      </c>
      <c r="I7407" t="str">
        <f t="shared" si="115"/>
        <v>May</v>
      </c>
      <c r="J7407">
        <f>YEAR(datas[[#This Row],[Order Date]])</f>
        <v>2024</v>
      </c>
    </row>
    <row r="7408" spans="1:10" ht="14.25" customHeight="1" x14ac:dyDescent="0.3">
      <c r="A7408" s="1">
        <v>45416</v>
      </c>
      <c r="B7408" s="2" t="s">
        <v>647</v>
      </c>
      <c r="C7408" s="2" t="s">
        <v>36</v>
      </c>
      <c r="D7408" s="2" t="s">
        <v>10</v>
      </c>
      <c r="E7408" s="2" t="s">
        <v>11</v>
      </c>
      <c r="F7408" s="2">
        <v>9.11</v>
      </c>
      <c r="G7408" s="2">
        <v>1</v>
      </c>
      <c r="H7408" s="2">
        <v>4.0999999999999996</v>
      </c>
      <c r="I7408" t="str">
        <f t="shared" si="115"/>
        <v>May</v>
      </c>
      <c r="J7408">
        <f>YEAR(datas[[#This Row],[Order Date]])</f>
        <v>2024</v>
      </c>
    </row>
    <row r="7409" spans="1:10" ht="14.25" customHeight="1" x14ac:dyDescent="0.3">
      <c r="A7409" s="1">
        <v>45416</v>
      </c>
      <c r="B7409" s="2" t="s">
        <v>647</v>
      </c>
      <c r="C7409" s="2" t="s">
        <v>36</v>
      </c>
      <c r="D7409" s="2" t="s">
        <v>10</v>
      </c>
      <c r="E7409" s="2" t="s">
        <v>15</v>
      </c>
      <c r="F7409" s="2">
        <v>571.44000000000005</v>
      </c>
      <c r="G7409" s="2">
        <v>4</v>
      </c>
      <c r="H7409" s="2">
        <v>165.72</v>
      </c>
      <c r="I7409" t="str">
        <f t="shared" si="115"/>
        <v>May</v>
      </c>
      <c r="J7409">
        <f>YEAR(datas[[#This Row],[Order Date]])</f>
        <v>2024</v>
      </c>
    </row>
    <row r="7410" spans="1:10" ht="14.25" customHeight="1" x14ac:dyDescent="0.3">
      <c r="A7410" s="1">
        <v>45416</v>
      </c>
      <c r="B7410" s="2" t="s">
        <v>647</v>
      </c>
      <c r="C7410" s="2" t="s">
        <v>36</v>
      </c>
      <c r="D7410" s="2" t="s">
        <v>10</v>
      </c>
      <c r="E7410" s="2" t="s">
        <v>11</v>
      </c>
      <c r="F7410" s="2">
        <v>32.4</v>
      </c>
      <c r="G7410" s="2">
        <v>5</v>
      </c>
      <c r="H7410" s="2">
        <v>15.55</v>
      </c>
      <c r="I7410" t="str">
        <f t="shared" si="115"/>
        <v>May</v>
      </c>
      <c r="J7410">
        <f>YEAR(datas[[#This Row],[Order Date]])</f>
        <v>2024</v>
      </c>
    </row>
    <row r="7411" spans="1:10" ht="14.25" customHeight="1" x14ac:dyDescent="0.3">
      <c r="A7411" s="1">
        <v>45416</v>
      </c>
      <c r="B7411" s="2" t="s">
        <v>647</v>
      </c>
      <c r="C7411" s="2" t="s">
        <v>36</v>
      </c>
      <c r="D7411" s="2" t="s">
        <v>10</v>
      </c>
      <c r="E7411" s="2" t="s">
        <v>15</v>
      </c>
      <c r="F7411" s="2">
        <v>16.91</v>
      </c>
      <c r="G7411" s="2">
        <v>1</v>
      </c>
      <c r="H7411" s="2">
        <v>4.57</v>
      </c>
      <c r="I7411" t="str">
        <f t="shared" si="115"/>
        <v>May</v>
      </c>
      <c r="J7411">
        <f>YEAR(datas[[#This Row],[Order Date]])</f>
        <v>2024</v>
      </c>
    </row>
    <row r="7412" spans="1:10" ht="14.25" customHeight="1" x14ac:dyDescent="0.3">
      <c r="A7412" s="1">
        <v>45416</v>
      </c>
      <c r="B7412" s="2" t="s">
        <v>561</v>
      </c>
      <c r="C7412" s="2" t="s">
        <v>47</v>
      </c>
      <c r="D7412" s="2" t="s">
        <v>10</v>
      </c>
      <c r="E7412" s="2" t="s">
        <v>16</v>
      </c>
      <c r="F7412" s="2">
        <v>2.31</v>
      </c>
      <c r="G7412" s="2">
        <v>1</v>
      </c>
      <c r="H7412" s="2">
        <v>-1.93</v>
      </c>
      <c r="I7412" t="str">
        <f t="shared" si="115"/>
        <v>May</v>
      </c>
      <c r="J7412">
        <f>YEAR(datas[[#This Row],[Order Date]])</f>
        <v>2024</v>
      </c>
    </row>
    <row r="7413" spans="1:10" ht="14.25" customHeight="1" x14ac:dyDescent="0.3">
      <c r="A7413" s="1">
        <v>45416</v>
      </c>
      <c r="B7413" s="2" t="s">
        <v>232</v>
      </c>
      <c r="C7413" s="2" t="s">
        <v>18</v>
      </c>
      <c r="D7413" s="2" t="s">
        <v>10</v>
      </c>
      <c r="E7413" s="2" t="s">
        <v>16</v>
      </c>
      <c r="F7413" s="2">
        <v>2.2000000000000002</v>
      </c>
      <c r="G7413" s="2">
        <v>2</v>
      </c>
      <c r="H7413" s="2">
        <v>-1.54</v>
      </c>
      <c r="I7413" t="str">
        <f t="shared" si="115"/>
        <v>May</v>
      </c>
      <c r="J7413">
        <f>YEAR(datas[[#This Row],[Order Date]])</f>
        <v>2024</v>
      </c>
    </row>
    <row r="7414" spans="1:10" ht="14.25" customHeight="1" x14ac:dyDescent="0.3">
      <c r="A7414" s="1">
        <v>45416</v>
      </c>
      <c r="B7414" s="2" t="s">
        <v>232</v>
      </c>
      <c r="C7414" s="2" t="s">
        <v>18</v>
      </c>
      <c r="D7414" s="2" t="s">
        <v>10</v>
      </c>
      <c r="E7414" s="2" t="s">
        <v>16</v>
      </c>
      <c r="F7414" s="2">
        <v>9.4</v>
      </c>
      <c r="G7414" s="2">
        <v>3</v>
      </c>
      <c r="H7414" s="2">
        <v>-7.52</v>
      </c>
      <c r="I7414" t="str">
        <f t="shared" si="115"/>
        <v>May</v>
      </c>
      <c r="J7414">
        <f>YEAR(datas[[#This Row],[Order Date]])</f>
        <v>2024</v>
      </c>
    </row>
    <row r="7415" spans="1:10" ht="14.25" customHeight="1" x14ac:dyDescent="0.3">
      <c r="A7415" s="1">
        <v>45416</v>
      </c>
      <c r="B7415" s="2" t="s">
        <v>463</v>
      </c>
      <c r="C7415" s="2" t="s">
        <v>21</v>
      </c>
      <c r="D7415" s="2" t="s">
        <v>10</v>
      </c>
      <c r="E7415" s="2" t="s">
        <v>53</v>
      </c>
      <c r="F7415" s="2">
        <v>243.16</v>
      </c>
      <c r="G7415" s="2">
        <v>2</v>
      </c>
      <c r="H7415" s="2">
        <v>72.95</v>
      </c>
      <c r="I7415" t="str">
        <f t="shared" si="115"/>
        <v>May</v>
      </c>
      <c r="J7415">
        <f>YEAR(datas[[#This Row],[Order Date]])</f>
        <v>2024</v>
      </c>
    </row>
    <row r="7416" spans="1:10" ht="14.25" customHeight="1" x14ac:dyDescent="0.3">
      <c r="A7416" s="1">
        <v>45417</v>
      </c>
      <c r="B7416" s="2" t="s">
        <v>608</v>
      </c>
      <c r="C7416" s="2" t="s">
        <v>21</v>
      </c>
      <c r="D7416" s="2" t="s">
        <v>10</v>
      </c>
      <c r="E7416" s="2" t="s">
        <v>41</v>
      </c>
      <c r="F7416" s="2">
        <v>23.16</v>
      </c>
      <c r="G7416" s="2">
        <v>2</v>
      </c>
      <c r="H7416" s="2">
        <v>11.58</v>
      </c>
      <c r="I7416" t="str">
        <f t="shared" si="115"/>
        <v>May</v>
      </c>
      <c r="J7416">
        <f>YEAR(datas[[#This Row],[Order Date]])</f>
        <v>2024</v>
      </c>
    </row>
    <row r="7417" spans="1:10" ht="14.25" customHeight="1" x14ac:dyDescent="0.3">
      <c r="A7417" s="1">
        <v>45417</v>
      </c>
      <c r="B7417" s="2" t="s">
        <v>454</v>
      </c>
      <c r="C7417" s="2" t="s">
        <v>126</v>
      </c>
      <c r="D7417" s="2" t="s">
        <v>10</v>
      </c>
      <c r="E7417" s="2" t="s">
        <v>41</v>
      </c>
      <c r="F7417" s="2">
        <v>21.24</v>
      </c>
      <c r="G7417" s="2">
        <v>9</v>
      </c>
      <c r="H7417" s="2">
        <v>7.43</v>
      </c>
      <c r="I7417" t="str">
        <f t="shared" si="115"/>
        <v>May</v>
      </c>
      <c r="J7417">
        <f>YEAR(datas[[#This Row],[Order Date]])</f>
        <v>2024</v>
      </c>
    </row>
    <row r="7418" spans="1:10" ht="14.25" customHeight="1" x14ac:dyDescent="0.3">
      <c r="A7418" s="1">
        <v>45417</v>
      </c>
      <c r="B7418" s="2" t="s">
        <v>454</v>
      </c>
      <c r="C7418" s="2" t="s">
        <v>126</v>
      </c>
      <c r="D7418" s="2" t="s">
        <v>10</v>
      </c>
      <c r="E7418" s="2" t="s">
        <v>16</v>
      </c>
      <c r="F7418" s="2">
        <v>9.5500000000000007</v>
      </c>
      <c r="G7418" s="2">
        <v>8</v>
      </c>
      <c r="H7418" s="2">
        <v>-7.32</v>
      </c>
      <c r="I7418" t="str">
        <f t="shared" si="115"/>
        <v>May</v>
      </c>
      <c r="J7418">
        <f>YEAR(datas[[#This Row],[Order Date]])</f>
        <v>2024</v>
      </c>
    </row>
    <row r="7419" spans="1:10" ht="14.25" customHeight="1" x14ac:dyDescent="0.3">
      <c r="A7419" s="1">
        <v>45417</v>
      </c>
      <c r="B7419" s="2" t="s">
        <v>454</v>
      </c>
      <c r="C7419" s="2" t="s">
        <v>126</v>
      </c>
      <c r="D7419" s="2" t="s">
        <v>26</v>
      </c>
      <c r="E7419" s="2" t="s">
        <v>45</v>
      </c>
      <c r="F7419" s="2">
        <v>89.99</v>
      </c>
      <c r="G7419" s="2">
        <v>3</v>
      </c>
      <c r="H7419" s="2">
        <v>-152.97999999999999</v>
      </c>
      <c r="I7419" t="str">
        <f t="shared" si="115"/>
        <v>May</v>
      </c>
      <c r="J7419">
        <f>YEAR(datas[[#This Row],[Order Date]])</f>
        <v>2024</v>
      </c>
    </row>
    <row r="7420" spans="1:10" ht="14.25" customHeight="1" x14ac:dyDescent="0.3">
      <c r="A7420" s="1">
        <v>45417</v>
      </c>
      <c r="B7420" s="2" t="s">
        <v>670</v>
      </c>
      <c r="C7420" s="2" t="s">
        <v>23</v>
      </c>
      <c r="D7420" s="2" t="s">
        <v>10</v>
      </c>
      <c r="E7420" s="2" t="s">
        <v>16</v>
      </c>
      <c r="F7420" s="2">
        <v>34.5</v>
      </c>
      <c r="G7420" s="2">
        <v>3</v>
      </c>
      <c r="H7420" s="2">
        <v>15.53</v>
      </c>
      <c r="I7420" t="str">
        <f t="shared" si="115"/>
        <v>May</v>
      </c>
      <c r="J7420">
        <f>YEAR(datas[[#This Row],[Order Date]])</f>
        <v>2024</v>
      </c>
    </row>
    <row r="7421" spans="1:10" ht="14.25" customHeight="1" x14ac:dyDescent="0.3">
      <c r="A7421" s="1">
        <v>45417</v>
      </c>
      <c r="B7421" s="2" t="s">
        <v>234</v>
      </c>
      <c r="C7421" s="2" t="s">
        <v>75</v>
      </c>
      <c r="D7421" s="2" t="s">
        <v>10</v>
      </c>
      <c r="E7421" s="2" t="s">
        <v>11</v>
      </c>
      <c r="F7421" s="2">
        <v>6.68</v>
      </c>
      <c r="G7421" s="2">
        <v>1</v>
      </c>
      <c r="H7421" s="2">
        <v>3.21</v>
      </c>
      <c r="I7421" t="str">
        <f t="shared" si="115"/>
        <v>May</v>
      </c>
      <c r="J7421">
        <f>YEAR(datas[[#This Row],[Order Date]])</f>
        <v>2024</v>
      </c>
    </row>
    <row r="7422" spans="1:10" ht="14.25" customHeight="1" x14ac:dyDescent="0.3">
      <c r="A7422" s="1">
        <v>45418</v>
      </c>
      <c r="B7422" s="2" t="s">
        <v>844</v>
      </c>
      <c r="C7422" s="2" t="s">
        <v>13</v>
      </c>
      <c r="D7422" s="2" t="s">
        <v>10</v>
      </c>
      <c r="E7422" s="2" t="s">
        <v>19</v>
      </c>
      <c r="F7422" s="2">
        <v>6.41</v>
      </c>
      <c r="G7422" s="2">
        <v>3</v>
      </c>
      <c r="H7422" s="2">
        <v>0.64</v>
      </c>
      <c r="I7422" t="str">
        <f t="shared" si="115"/>
        <v>May</v>
      </c>
      <c r="J7422">
        <f>YEAR(datas[[#This Row],[Order Date]])</f>
        <v>2024</v>
      </c>
    </row>
    <row r="7423" spans="1:10" ht="14.25" customHeight="1" x14ac:dyDescent="0.3">
      <c r="A7423" s="1">
        <v>45418</v>
      </c>
      <c r="B7423" s="2" t="s">
        <v>844</v>
      </c>
      <c r="C7423" s="2" t="s">
        <v>13</v>
      </c>
      <c r="D7423" s="2" t="s">
        <v>28</v>
      </c>
      <c r="E7423" s="2" t="s">
        <v>34</v>
      </c>
      <c r="F7423" s="2">
        <v>408.74</v>
      </c>
      <c r="G7423" s="2">
        <v>7</v>
      </c>
      <c r="H7423" s="2">
        <v>76.64</v>
      </c>
      <c r="I7423" t="str">
        <f t="shared" si="115"/>
        <v>May</v>
      </c>
      <c r="J7423">
        <f>YEAR(datas[[#This Row],[Order Date]])</f>
        <v>2024</v>
      </c>
    </row>
    <row r="7424" spans="1:10" ht="14.25" customHeight="1" x14ac:dyDescent="0.3">
      <c r="A7424" s="1">
        <v>45418</v>
      </c>
      <c r="B7424" s="2" t="s">
        <v>531</v>
      </c>
      <c r="C7424" s="2" t="s">
        <v>75</v>
      </c>
      <c r="D7424" s="2" t="s">
        <v>10</v>
      </c>
      <c r="E7424" s="2" t="s">
        <v>14</v>
      </c>
      <c r="F7424" s="2">
        <v>59.2</v>
      </c>
      <c r="G7424" s="2">
        <v>4</v>
      </c>
      <c r="H7424" s="2">
        <v>29.6</v>
      </c>
      <c r="I7424" t="str">
        <f t="shared" si="115"/>
        <v>May</v>
      </c>
      <c r="J7424">
        <f>YEAR(datas[[#This Row],[Order Date]])</f>
        <v>2024</v>
      </c>
    </row>
    <row r="7425" spans="1:10" ht="14.25" customHeight="1" x14ac:dyDescent="0.3">
      <c r="A7425" s="1">
        <v>45418</v>
      </c>
      <c r="B7425" s="2" t="s">
        <v>403</v>
      </c>
      <c r="C7425" s="2" t="s">
        <v>36</v>
      </c>
      <c r="D7425" s="2" t="s">
        <v>10</v>
      </c>
      <c r="E7425" s="2" t="s">
        <v>19</v>
      </c>
      <c r="F7425" s="2">
        <v>54.66</v>
      </c>
      <c r="G7425" s="2">
        <v>6</v>
      </c>
      <c r="H7425" s="2">
        <v>18.04</v>
      </c>
      <c r="I7425" t="str">
        <f t="shared" si="115"/>
        <v>May</v>
      </c>
      <c r="J7425">
        <f>YEAR(datas[[#This Row],[Order Date]])</f>
        <v>2024</v>
      </c>
    </row>
    <row r="7426" spans="1:10" ht="14.25" customHeight="1" x14ac:dyDescent="0.3">
      <c r="A7426" s="1">
        <v>45418</v>
      </c>
      <c r="B7426" s="2" t="s">
        <v>223</v>
      </c>
      <c r="C7426" s="2" t="s">
        <v>9</v>
      </c>
      <c r="D7426" s="2" t="s">
        <v>10</v>
      </c>
      <c r="E7426" s="2" t="s">
        <v>16</v>
      </c>
      <c r="F7426" s="2">
        <v>11.06</v>
      </c>
      <c r="G7426" s="2">
        <v>10</v>
      </c>
      <c r="H7426" s="2">
        <v>-18.8</v>
      </c>
      <c r="I7426" t="str">
        <f t="shared" si="115"/>
        <v>May</v>
      </c>
      <c r="J7426">
        <f>YEAR(datas[[#This Row],[Order Date]])</f>
        <v>2024</v>
      </c>
    </row>
    <row r="7427" spans="1:10" ht="14.25" customHeight="1" x14ac:dyDescent="0.3">
      <c r="A7427" s="1">
        <v>45418</v>
      </c>
      <c r="B7427" s="2" t="s">
        <v>223</v>
      </c>
      <c r="C7427" s="2" t="s">
        <v>9</v>
      </c>
      <c r="D7427" s="2" t="s">
        <v>26</v>
      </c>
      <c r="E7427" s="2" t="s">
        <v>45</v>
      </c>
      <c r="F7427" s="2">
        <v>623.46</v>
      </c>
      <c r="G7427" s="2">
        <v>7</v>
      </c>
      <c r="H7427" s="2">
        <v>-119.19</v>
      </c>
      <c r="I7427" t="str">
        <f t="shared" ref="I7427:I7490" si="116">TEXT(A7427,"mmm")</f>
        <v>May</v>
      </c>
      <c r="J7427">
        <f>YEAR(datas[[#This Row],[Order Date]])</f>
        <v>2024</v>
      </c>
    </row>
    <row r="7428" spans="1:10" ht="14.25" customHeight="1" x14ac:dyDescent="0.3">
      <c r="A7428" s="1">
        <v>45418</v>
      </c>
      <c r="B7428" s="2" t="s">
        <v>223</v>
      </c>
      <c r="C7428" s="2" t="s">
        <v>9</v>
      </c>
      <c r="D7428" s="2" t="s">
        <v>10</v>
      </c>
      <c r="E7428" s="2" t="s">
        <v>15</v>
      </c>
      <c r="F7428" s="2">
        <v>772.68</v>
      </c>
      <c r="G7428" s="2">
        <v>5</v>
      </c>
      <c r="H7428" s="2">
        <v>-57.95</v>
      </c>
      <c r="I7428" t="str">
        <f t="shared" si="116"/>
        <v>May</v>
      </c>
      <c r="J7428">
        <f>YEAR(datas[[#This Row],[Order Date]])</f>
        <v>2024</v>
      </c>
    </row>
    <row r="7429" spans="1:10" ht="14.25" customHeight="1" x14ac:dyDescent="0.3">
      <c r="A7429" s="1">
        <v>45418</v>
      </c>
      <c r="B7429" s="2" t="s">
        <v>17</v>
      </c>
      <c r="C7429" s="2" t="s">
        <v>115</v>
      </c>
      <c r="D7429" s="2" t="s">
        <v>10</v>
      </c>
      <c r="E7429" s="2" t="s">
        <v>16</v>
      </c>
      <c r="F7429" s="2">
        <v>68.540000000000006</v>
      </c>
      <c r="G7429" s="2">
        <v>11</v>
      </c>
      <c r="H7429" s="2">
        <v>-52.55</v>
      </c>
      <c r="I7429" t="str">
        <f t="shared" si="116"/>
        <v>May</v>
      </c>
      <c r="J7429">
        <f>YEAR(datas[[#This Row],[Order Date]])</f>
        <v>2024</v>
      </c>
    </row>
    <row r="7430" spans="1:10" ht="14.25" customHeight="1" x14ac:dyDescent="0.3">
      <c r="A7430" s="1">
        <v>45418</v>
      </c>
      <c r="B7430" s="2" t="s">
        <v>17</v>
      </c>
      <c r="C7430" s="2" t="s">
        <v>115</v>
      </c>
      <c r="D7430" s="2" t="s">
        <v>28</v>
      </c>
      <c r="E7430" s="2" t="s">
        <v>29</v>
      </c>
      <c r="F7430" s="2">
        <v>627.16999999999996</v>
      </c>
      <c r="G7430" s="2">
        <v>4</v>
      </c>
      <c r="H7430" s="2">
        <v>70.56</v>
      </c>
      <c r="I7430" t="str">
        <f t="shared" si="116"/>
        <v>May</v>
      </c>
      <c r="J7430">
        <f>YEAR(datas[[#This Row],[Order Date]])</f>
        <v>2024</v>
      </c>
    </row>
    <row r="7431" spans="1:10" ht="14.25" customHeight="1" x14ac:dyDescent="0.3">
      <c r="A7431" s="1">
        <v>45418</v>
      </c>
      <c r="B7431" s="2" t="s">
        <v>17</v>
      </c>
      <c r="C7431" s="2" t="s">
        <v>115</v>
      </c>
      <c r="D7431" s="2" t="s">
        <v>10</v>
      </c>
      <c r="E7431" s="2" t="s">
        <v>14</v>
      </c>
      <c r="F7431" s="2">
        <v>122.12</v>
      </c>
      <c r="G7431" s="2">
        <v>5</v>
      </c>
      <c r="H7431" s="2">
        <v>39.69</v>
      </c>
      <c r="I7431" t="str">
        <f t="shared" si="116"/>
        <v>May</v>
      </c>
      <c r="J7431">
        <f>YEAR(datas[[#This Row],[Order Date]])</f>
        <v>2024</v>
      </c>
    </row>
    <row r="7432" spans="1:10" ht="14.25" customHeight="1" x14ac:dyDescent="0.3">
      <c r="A7432" s="1">
        <v>45418</v>
      </c>
      <c r="B7432" s="2" t="s">
        <v>675</v>
      </c>
      <c r="C7432" s="2" t="s">
        <v>21</v>
      </c>
      <c r="D7432" s="2" t="s">
        <v>10</v>
      </c>
      <c r="E7432" s="2" t="s">
        <v>53</v>
      </c>
      <c r="F7432" s="2">
        <v>152.94</v>
      </c>
      <c r="G7432" s="2">
        <v>3</v>
      </c>
      <c r="H7432" s="2">
        <v>41.29</v>
      </c>
      <c r="I7432" t="str">
        <f t="shared" si="116"/>
        <v>May</v>
      </c>
      <c r="J7432">
        <f>YEAR(datas[[#This Row],[Order Date]])</f>
        <v>2024</v>
      </c>
    </row>
    <row r="7433" spans="1:10" ht="14.25" customHeight="1" x14ac:dyDescent="0.3">
      <c r="A7433" s="1">
        <v>45418</v>
      </c>
      <c r="B7433" s="2" t="s">
        <v>511</v>
      </c>
      <c r="C7433" s="2" t="s">
        <v>55</v>
      </c>
      <c r="D7433" s="2" t="s">
        <v>10</v>
      </c>
      <c r="E7433" s="2" t="s">
        <v>11</v>
      </c>
      <c r="F7433" s="2">
        <v>84.42</v>
      </c>
      <c r="G7433" s="2">
        <v>4</v>
      </c>
      <c r="H7433" s="2">
        <v>27.44</v>
      </c>
      <c r="I7433" t="str">
        <f t="shared" si="116"/>
        <v>May</v>
      </c>
      <c r="J7433">
        <f>YEAR(datas[[#This Row],[Order Date]])</f>
        <v>2024</v>
      </c>
    </row>
    <row r="7434" spans="1:10" ht="14.25" customHeight="1" x14ac:dyDescent="0.3">
      <c r="A7434" s="1">
        <v>45418</v>
      </c>
      <c r="B7434" s="2" t="s">
        <v>538</v>
      </c>
      <c r="C7434" s="2" t="s">
        <v>13</v>
      </c>
      <c r="D7434" s="2" t="s">
        <v>28</v>
      </c>
      <c r="E7434" s="2" t="s">
        <v>34</v>
      </c>
      <c r="F7434" s="2">
        <v>191.97</v>
      </c>
      <c r="G7434" s="2">
        <v>4</v>
      </c>
      <c r="H7434" s="2">
        <v>28.8</v>
      </c>
      <c r="I7434" t="str">
        <f t="shared" si="116"/>
        <v>May</v>
      </c>
      <c r="J7434">
        <f>YEAR(datas[[#This Row],[Order Date]])</f>
        <v>2024</v>
      </c>
    </row>
    <row r="7435" spans="1:10" ht="14.25" customHeight="1" x14ac:dyDescent="0.3">
      <c r="A7435" s="1">
        <v>45419</v>
      </c>
      <c r="B7435" s="2" t="s">
        <v>674</v>
      </c>
      <c r="C7435" s="2" t="s">
        <v>60</v>
      </c>
      <c r="D7435" s="2" t="s">
        <v>26</v>
      </c>
      <c r="E7435" s="2" t="s">
        <v>27</v>
      </c>
      <c r="F7435" s="2">
        <v>1458.65</v>
      </c>
      <c r="G7435" s="2">
        <v>5</v>
      </c>
      <c r="H7435" s="2">
        <v>423.01</v>
      </c>
      <c r="I7435" t="str">
        <f t="shared" si="116"/>
        <v>May</v>
      </c>
      <c r="J7435">
        <f>YEAR(datas[[#This Row],[Order Date]])</f>
        <v>2024</v>
      </c>
    </row>
    <row r="7436" spans="1:10" ht="14.25" customHeight="1" x14ac:dyDescent="0.3">
      <c r="A7436" s="1">
        <v>45419</v>
      </c>
      <c r="B7436" s="2" t="s">
        <v>674</v>
      </c>
      <c r="C7436" s="2" t="s">
        <v>60</v>
      </c>
      <c r="D7436" s="2" t="s">
        <v>26</v>
      </c>
      <c r="E7436" s="2" t="s">
        <v>27</v>
      </c>
      <c r="F7436" s="2">
        <v>26.64</v>
      </c>
      <c r="G7436" s="2">
        <v>1</v>
      </c>
      <c r="H7436" s="2">
        <v>7.46</v>
      </c>
      <c r="I7436" t="str">
        <f t="shared" si="116"/>
        <v>May</v>
      </c>
      <c r="J7436">
        <f>YEAR(datas[[#This Row],[Order Date]])</f>
        <v>2024</v>
      </c>
    </row>
    <row r="7437" spans="1:10" ht="14.25" customHeight="1" x14ac:dyDescent="0.3">
      <c r="A7437" s="1">
        <v>45419</v>
      </c>
      <c r="B7437" s="2" t="s">
        <v>674</v>
      </c>
      <c r="C7437" s="2" t="s">
        <v>60</v>
      </c>
      <c r="D7437" s="2" t="s">
        <v>26</v>
      </c>
      <c r="E7437" s="2" t="s">
        <v>27</v>
      </c>
      <c r="F7437" s="2">
        <v>476.8</v>
      </c>
      <c r="G7437" s="2">
        <v>2</v>
      </c>
      <c r="H7437" s="2">
        <v>119.2</v>
      </c>
      <c r="I7437" t="str">
        <f t="shared" si="116"/>
        <v>May</v>
      </c>
      <c r="J7437">
        <f>YEAR(datas[[#This Row],[Order Date]])</f>
        <v>2024</v>
      </c>
    </row>
    <row r="7438" spans="1:10" ht="14.25" customHeight="1" x14ac:dyDescent="0.3">
      <c r="A7438" s="1">
        <v>45419</v>
      </c>
      <c r="B7438" s="2" t="s">
        <v>674</v>
      </c>
      <c r="C7438" s="2" t="s">
        <v>60</v>
      </c>
      <c r="D7438" s="2" t="s">
        <v>10</v>
      </c>
      <c r="E7438" s="2" t="s">
        <v>53</v>
      </c>
      <c r="F7438" s="2">
        <v>87.44</v>
      </c>
      <c r="G7438" s="2">
        <v>2</v>
      </c>
      <c r="H7438" s="2">
        <v>18.46</v>
      </c>
      <c r="I7438" t="str">
        <f t="shared" si="116"/>
        <v>May</v>
      </c>
      <c r="J7438">
        <f>YEAR(datas[[#This Row],[Order Date]])</f>
        <v>2024</v>
      </c>
    </row>
    <row r="7439" spans="1:10" ht="14.25" customHeight="1" x14ac:dyDescent="0.3">
      <c r="A7439" s="1">
        <v>45419</v>
      </c>
      <c r="B7439" s="2" t="s">
        <v>765</v>
      </c>
      <c r="C7439" s="2" t="s">
        <v>21</v>
      </c>
      <c r="D7439" s="2" t="s">
        <v>28</v>
      </c>
      <c r="E7439" s="2" t="s">
        <v>34</v>
      </c>
      <c r="F7439" s="2">
        <v>79.989999999999995</v>
      </c>
      <c r="G7439" s="2">
        <v>1</v>
      </c>
      <c r="H7439" s="2">
        <v>28.8</v>
      </c>
      <c r="I7439" t="str">
        <f t="shared" si="116"/>
        <v>May</v>
      </c>
      <c r="J7439">
        <f>YEAR(datas[[#This Row],[Order Date]])</f>
        <v>2024</v>
      </c>
    </row>
    <row r="7440" spans="1:10" ht="14.25" customHeight="1" x14ac:dyDescent="0.3">
      <c r="A7440" s="1">
        <v>45419</v>
      </c>
      <c r="B7440" s="2" t="s">
        <v>313</v>
      </c>
      <c r="C7440" s="2" t="s">
        <v>21</v>
      </c>
      <c r="D7440" s="2" t="s">
        <v>28</v>
      </c>
      <c r="E7440" s="2" t="s">
        <v>29</v>
      </c>
      <c r="F7440" s="2">
        <v>419.94</v>
      </c>
      <c r="G7440" s="2">
        <v>7</v>
      </c>
      <c r="H7440" s="2">
        <v>52.49</v>
      </c>
      <c r="I7440" t="str">
        <f t="shared" si="116"/>
        <v>May</v>
      </c>
      <c r="J7440">
        <f>YEAR(datas[[#This Row],[Order Date]])</f>
        <v>2024</v>
      </c>
    </row>
    <row r="7441" spans="1:10" ht="14.25" customHeight="1" x14ac:dyDescent="0.3">
      <c r="A7441" s="1">
        <v>45420</v>
      </c>
      <c r="B7441" s="2" t="s">
        <v>568</v>
      </c>
      <c r="C7441" s="2" t="s">
        <v>47</v>
      </c>
      <c r="D7441" s="2" t="s">
        <v>26</v>
      </c>
      <c r="E7441" s="2" t="s">
        <v>27</v>
      </c>
      <c r="F7441" s="2">
        <v>47.99</v>
      </c>
      <c r="G7441" s="2">
        <v>2</v>
      </c>
      <c r="H7441" s="2">
        <v>-2.06</v>
      </c>
      <c r="I7441" t="str">
        <f t="shared" si="116"/>
        <v>May</v>
      </c>
      <c r="J7441">
        <f>YEAR(datas[[#This Row],[Order Date]])</f>
        <v>2024</v>
      </c>
    </row>
    <row r="7442" spans="1:10" ht="14.25" customHeight="1" x14ac:dyDescent="0.3">
      <c r="A7442" s="1">
        <v>45420</v>
      </c>
      <c r="B7442" s="2" t="s">
        <v>649</v>
      </c>
      <c r="C7442" s="2" t="s">
        <v>21</v>
      </c>
      <c r="D7442" s="2" t="s">
        <v>28</v>
      </c>
      <c r="E7442" s="2" t="s">
        <v>243</v>
      </c>
      <c r="F7442" s="2">
        <v>3359.95</v>
      </c>
      <c r="G7442" s="2">
        <v>6</v>
      </c>
      <c r="H7442" s="2">
        <v>1049.99</v>
      </c>
      <c r="I7442" t="str">
        <f t="shared" si="116"/>
        <v>May</v>
      </c>
      <c r="J7442">
        <f>YEAR(datas[[#This Row],[Order Date]])</f>
        <v>2024</v>
      </c>
    </row>
    <row r="7443" spans="1:10" ht="14.25" customHeight="1" x14ac:dyDescent="0.3">
      <c r="A7443" s="1">
        <v>45420</v>
      </c>
      <c r="B7443" s="2" t="s">
        <v>421</v>
      </c>
      <c r="C7443" s="2" t="s">
        <v>18</v>
      </c>
      <c r="D7443" s="2" t="s">
        <v>26</v>
      </c>
      <c r="E7443" s="2" t="s">
        <v>27</v>
      </c>
      <c r="F7443" s="2">
        <v>128.06</v>
      </c>
      <c r="G7443" s="2">
        <v>3</v>
      </c>
      <c r="H7443" s="2">
        <v>-23.78</v>
      </c>
      <c r="I7443" t="str">
        <f t="shared" si="116"/>
        <v>May</v>
      </c>
      <c r="J7443">
        <f>YEAR(datas[[#This Row],[Order Date]])</f>
        <v>2024</v>
      </c>
    </row>
    <row r="7444" spans="1:10" ht="14.25" customHeight="1" x14ac:dyDescent="0.3">
      <c r="A7444" s="1">
        <v>45420</v>
      </c>
      <c r="B7444" s="2" t="s">
        <v>209</v>
      </c>
      <c r="C7444" s="2" t="s">
        <v>21</v>
      </c>
      <c r="D7444" s="2" t="s">
        <v>10</v>
      </c>
      <c r="E7444" s="2" t="s">
        <v>53</v>
      </c>
      <c r="F7444" s="2">
        <v>81.08</v>
      </c>
      <c r="G7444" s="2">
        <v>4</v>
      </c>
      <c r="H7444" s="2">
        <v>22.7</v>
      </c>
      <c r="I7444" t="str">
        <f t="shared" si="116"/>
        <v>May</v>
      </c>
      <c r="J7444">
        <f>YEAR(datas[[#This Row],[Order Date]])</f>
        <v>2024</v>
      </c>
    </row>
    <row r="7445" spans="1:10" ht="14.25" customHeight="1" x14ac:dyDescent="0.3">
      <c r="A7445" s="1">
        <v>45420</v>
      </c>
      <c r="B7445" s="2" t="s">
        <v>358</v>
      </c>
      <c r="C7445" s="2" t="s">
        <v>9</v>
      </c>
      <c r="D7445" s="2" t="s">
        <v>10</v>
      </c>
      <c r="E7445" s="2" t="s">
        <v>11</v>
      </c>
      <c r="F7445" s="2">
        <v>41.47</v>
      </c>
      <c r="G7445" s="2">
        <v>8</v>
      </c>
      <c r="H7445" s="2">
        <v>14.52</v>
      </c>
      <c r="I7445" t="str">
        <f t="shared" si="116"/>
        <v>May</v>
      </c>
      <c r="J7445">
        <f>YEAR(datas[[#This Row],[Order Date]])</f>
        <v>2024</v>
      </c>
    </row>
    <row r="7446" spans="1:10" ht="14.25" customHeight="1" x14ac:dyDescent="0.3">
      <c r="A7446" s="1">
        <v>45421</v>
      </c>
      <c r="B7446" s="2" t="s">
        <v>148</v>
      </c>
      <c r="C7446" s="2" t="s">
        <v>115</v>
      </c>
      <c r="D7446" s="2" t="s">
        <v>10</v>
      </c>
      <c r="E7446" s="2" t="s">
        <v>41</v>
      </c>
      <c r="F7446" s="2">
        <v>65.23</v>
      </c>
      <c r="G7446" s="2">
        <v>3</v>
      </c>
      <c r="H7446" s="2">
        <v>22.02</v>
      </c>
      <c r="I7446" t="str">
        <f t="shared" si="116"/>
        <v>May</v>
      </c>
      <c r="J7446">
        <f>YEAR(datas[[#This Row],[Order Date]])</f>
        <v>2024</v>
      </c>
    </row>
    <row r="7447" spans="1:10" ht="14.25" customHeight="1" x14ac:dyDescent="0.3">
      <c r="A7447" s="1">
        <v>45421</v>
      </c>
      <c r="B7447" s="2" t="s">
        <v>148</v>
      </c>
      <c r="C7447" s="2" t="s">
        <v>115</v>
      </c>
      <c r="D7447" s="2" t="s">
        <v>26</v>
      </c>
      <c r="E7447" s="2" t="s">
        <v>27</v>
      </c>
      <c r="F7447" s="2">
        <v>207</v>
      </c>
      <c r="G7447" s="2">
        <v>3</v>
      </c>
      <c r="H7447" s="2">
        <v>25.88</v>
      </c>
      <c r="I7447" t="str">
        <f t="shared" si="116"/>
        <v>May</v>
      </c>
      <c r="J7447">
        <f>YEAR(datas[[#This Row],[Order Date]])</f>
        <v>2024</v>
      </c>
    </row>
    <row r="7448" spans="1:10" ht="14.25" customHeight="1" x14ac:dyDescent="0.3">
      <c r="A7448" s="1">
        <v>45421</v>
      </c>
      <c r="B7448" s="2" t="s">
        <v>226</v>
      </c>
      <c r="C7448" s="2" t="s">
        <v>82</v>
      </c>
      <c r="D7448" s="2" t="s">
        <v>10</v>
      </c>
      <c r="E7448" s="2" t="s">
        <v>16</v>
      </c>
      <c r="F7448" s="2">
        <v>147.91999999999999</v>
      </c>
      <c r="G7448" s="2">
        <v>5</v>
      </c>
      <c r="H7448" s="2">
        <v>46.23</v>
      </c>
      <c r="I7448" t="str">
        <f t="shared" si="116"/>
        <v>May</v>
      </c>
      <c r="J7448">
        <f>YEAR(datas[[#This Row],[Order Date]])</f>
        <v>2024</v>
      </c>
    </row>
    <row r="7449" spans="1:10" ht="14.25" customHeight="1" x14ac:dyDescent="0.3">
      <c r="A7449" s="1">
        <v>45421</v>
      </c>
      <c r="B7449" s="2" t="s">
        <v>226</v>
      </c>
      <c r="C7449" s="2" t="s">
        <v>82</v>
      </c>
      <c r="D7449" s="2" t="s">
        <v>10</v>
      </c>
      <c r="E7449" s="2" t="s">
        <v>15</v>
      </c>
      <c r="F7449" s="2">
        <v>104.28</v>
      </c>
      <c r="G7449" s="2">
        <v>3</v>
      </c>
      <c r="H7449" s="2">
        <v>26.07</v>
      </c>
      <c r="I7449" t="str">
        <f t="shared" si="116"/>
        <v>May</v>
      </c>
      <c r="J7449">
        <f>YEAR(datas[[#This Row],[Order Date]])</f>
        <v>2024</v>
      </c>
    </row>
    <row r="7450" spans="1:10" ht="14.25" customHeight="1" x14ac:dyDescent="0.3">
      <c r="A7450" s="1">
        <v>45421</v>
      </c>
      <c r="B7450" s="2" t="s">
        <v>226</v>
      </c>
      <c r="C7450" s="2" t="s">
        <v>82</v>
      </c>
      <c r="D7450" s="2" t="s">
        <v>26</v>
      </c>
      <c r="E7450" s="2" t="s">
        <v>73</v>
      </c>
      <c r="F7450" s="2">
        <v>286.85000000000002</v>
      </c>
      <c r="G7450" s="2">
        <v>1</v>
      </c>
      <c r="H7450" s="2">
        <v>63.11</v>
      </c>
      <c r="I7450" t="str">
        <f t="shared" si="116"/>
        <v>May</v>
      </c>
      <c r="J7450">
        <f>YEAR(datas[[#This Row],[Order Date]])</f>
        <v>2024</v>
      </c>
    </row>
    <row r="7451" spans="1:10" ht="14.25" customHeight="1" x14ac:dyDescent="0.3">
      <c r="A7451" s="1">
        <v>45421</v>
      </c>
      <c r="B7451" s="2" t="s">
        <v>226</v>
      </c>
      <c r="C7451" s="2" t="s">
        <v>82</v>
      </c>
      <c r="D7451" s="2" t="s">
        <v>10</v>
      </c>
      <c r="E7451" s="2" t="s">
        <v>15</v>
      </c>
      <c r="F7451" s="2">
        <v>66.959999999999994</v>
      </c>
      <c r="G7451" s="2">
        <v>4</v>
      </c>
      <c r="H7451" s="2">
        <v>2.68</v>
      </c>
      <c r="I7451" t="str">
        <f t="shared" si="116"/>
        <v>May</v>
      </c>
      <c r="J7451">
        <f>YEAR(datas[[#This Row],[Order Date]])</f>
        <v>2024</v>
      </c>
    </row>
    <row r="7452" spans="1:10" ht="14.25" customHeight="1" x14ac:dyDescent="0.3">
      <c r="A7452" s="1">
        <v>45421</v>
      </c>
      <c r="B7452" s="2" t="s">
        <v>226</v>
      </c>
      <c r="C7452" s="2" t="s">
        <v>82</v>
      </c>
      <c r="D7452" s="2" t="s">
        <v>28</v>
      </c>
      <c r="E7452" s="2" t="s">
        <v>34</v>
      </c>
      <c r="F7452" s="2">
        <v>199.98</v>
      </c>
      <c r="G7452" s="2">
        <v>2</v>
      </c>
      <c r="H7452" s="2">
        <v>87.99</v>
      </c>
      <c r="I7452" t="str">
        <f t="shared" si="116"/>
        <v>May</v>
      </c>
      <c r="J7452">
        <f>YEAR(datas[[#This Row],[Order Date]])</f>
        <v>2024</v>
      </c>
    </row>
    <row r="7453" spans="1:10" ht="14.25" customHeight="1" x14ac:dyDescent="0.3">
      <c r="A7453" s="1">
        <v>45423</v>
      </c>
      <c r="B7453" s="2" t="s">
        <v>337</v>
      </c>
      <c r="C7453" s="2" t="s">
        <v>82</v>
      </c>
      <c r="D7453" s="2" t="s">
        <v>10</v>
      </c>
      <c r="E7453" s="2" t="s">
        <v>11</v>
      </c>
      <c r="F7453" s="2">
        <v>37.44</v>
      </c>
      <c r="G7453" s="2">
        <v>6</v>
      </c>
      <c r="H7453" s="2">
        <v>16.850000000000001</v>
      </c>
      <c r="I7453" t="str">
        <f t="shared" si="116"/>
        <v>May</v>
      </c>
      <c r="J7453">
        <f>YEAR(datas[[#This Row],[Order Date]])</f>
        <v>2024</v>
      </c>
    </row>
    <row r="7454" spans="1:10" ht="14.25" customHeight="1" x14ac:dyDescent="0.3">
      <c r="A7454" s="1">
        <v>45423</v>
      </c>
      <c r="B7454" s="2" t="s">
        <v>337</v>
      </c>
      <c r="C7454" s="2" t="s">
        <v>82</v>
      </c>
      <c r="D7454" s="2" t="s">
        <v>10</v>
      </c>
      <c r="E7454" s="2" t="s">
        <v>14</v>
      </c>
      <c r="F7454" s="2">
        <v>37.590000000000003</v>
      </c>
      <c r="G7454" s="2">
        <v>3</v>
      </c>
      <c r="H7454" s="2">
        <v>17.670000000000002</v>
      </c>
      <c r="I7454" t="str">
        <f t="shared" si="116"/>
        <v>May</v>
      </c>
      <c r="J7454">
        <f>YEAR(datas[[#This Row],[Order Date]])</f>
        <v>2024</v>
      </c>
    </row>
    <row r="7455" spans="1:10" ht="14.25" customHeight="1" x14ac:dyDescent="0.3">
      <c r="A7455" s="1">
        <v>45423</v>
      </c>
      <c r="B7455" s="2" t="s">
        <v>337</v>
      </c>
      <c r="C7455" s="2" t="s">
        <v>82</v>
      </c>
      <c r="D7455" s="2" t="s">
        <v>10</v>
      </c>
      <c r="E7455" s="2" t="s">
        <v>16</v>
      </c>
      <c r="F7455" s="2">
        <v>26.03</v>
      </c>
      <c r="G7455" s="2">
        <v>2</v>
      </c>
      <c r="H7455" s="2">
        <v>9.44</v>
      </c>
      <c r="I7455" t="str">
        <f t="shared" si="116"/>
        <v>May</v>
      </c>
      <c r="J7455">
        <f>YEAR(datas[[#This Row],[Order Date]])</f>
        <v>2024</v>
      </c>
    </row>
    <row r="7456" spans="1:10" ht="14.25" customHeight="1" x14ac:dyDescent="0.3">
      <c r="A7456" s="1">
        <v>45423</v>
      </c>
      <c r="B7456" s="2" t="s">
        <v>560</v>
      </c>
      <c r="C7456" s="2" t="s">
        <v>9</v>
      </c>
      <c r="D7456" s="2" t="s">
        <v>10</v>
      </c>
      <c r="E7456" s="2" t="s">
        <v>19</v>
      </c>
      <c r="F7456" s="2">
        <v>5.25</v>
      </c>
      <c r="G7456" s="2">
        <v>2</v>
      </c>
      <c r="H7456" s="2">
        <v>0.59</v>
      </c>
      <c r="I7456" t="str">
        <f t="shared" si="116"/>
        <v>May</v>
      </c>
      <c r="J7456">
        <f>YEAR(datas[[#This Row],[Order Date]])</f>
        <v>2024</v>
      </c>
    </row>
    <row r="7457" spans="1:10" ht="14.25" customHeight="1" x14ac:dyDescent="0.3">
      <c r="A7457" s="1">
        <v>45423</v>
      </c>
      <c r="B7457" s="2" t="s">
        <v>560</v>
      </c>
      <c r="C7457" s="2" t="s">
        <v>9</v>
      </c>
      <c r="D7457" s="2" t="s">
        <v>10</v>
      </c>
      <c r="E7457" s="2" t="s">
        <v>15</v>
      </c>
      <c r="F7457" s="2">
        <v>74.42</v>
      </c>
      <c r="G7457" s="2">
        <v>2</v>
      </c>
      <c r="H7457" s="2">
        <v>-14.88</v>
      </c>
      <c r="I7457" t="str">
        <f t="shared" si="116"/>
        <v>May</v>
      </c>
      <c r="J7457">
        <f>YEAR(datas[[#This Row],[Order Date]])</f>
        <v>2024</v>
      </c>
    </row>
    <row r="7458" spans="1:10" ht="14.25" customHeight="1" x14ac:dyDescent="0.3">
      <c r="A7458" s="1">
        <v>45423</v>
      </c>
      <c r="B7458" s="2" t="s">
        <v>560</v>
      </c>
      <c r="C7458" s="2" t="s">
        <v>9</v>
      </c>
      <c r="D7458" s="2" t="s">
        <v>10</v>
      </c>
      <c r="E7458" s="2" t="s">
        <v>11</v>
      </c>
      <c r="F7458" s="2">
        <v>6.85</v>
      </c>
      <c r="G7458" s="2">
        <v>2</v>
      </c>
      <c r="H7458" s="2">
        <v>2.14</v>
      </c>
      <c r="I7458" t="str">
        <f t="shared" si="116"/>
        <v>May</v>
      </c>
      <c r="J7458">
        <f>YEAR(datas[[#This Row],[Order Date]])</f>
        <v>2024</v>
      </c>
    </row>
    <row r="7459" spans="1:10" ht="14.25" customHeight="1" x14ac:dyDescent="0.3">
      <c r="A7459" s="1">
        <v>45423</v>
      </c>
      <c r="B7459" s="2" t="s">
        <v>560</v>
      </c>
      <c r="C7459" s="2" t="s">
        <v>9</v>
      </c>
      <c r="D7459" s="2" t="s">
        <v>26</v>
      </c>
      <c r="E7459" s="2" t="s">
        <v>32</v>
      </c>
      <c r="F7459" s="2">
        <v>8</v>
      </c>
      <c r="G7459" s="2">
        <v>1</v>
      </c>
      <c r="H7459" s="2">
        <v>-7</v>
      </c>
      <c r="I7459" t="str">
        <f t="shared" si="116"/>
        <v>May</v>
      </c>
      <c r="J7459">
        <f>YEAR(datas[[#This Row],[Order Date]])</f>
        <v>2024</v>
      </c>
    </row>
    <row r="7460" spans="1:10" ht="14.25" customHeight="1" x14ac:dyDescent="0.3">
      <c r="A7460" s="1">
        <v>45423</v>
      </c>
      <c r="B7460" s="2" t="s">
        <v>548</v>
      </c>
      <c r="C7460" s="2" t="s">
        <v>55</v>
      </c>
      <c r="D7460" s="2" t="s">
        <v>26</v>
      </c>
      <c r="E7460" s="2" t="s">
        <v>45</v>
      </c>
      <c r="F7460" s="2">
        <v>209.98</v>
      </c>
      <c r="G7460" s="2">
        <v>7</v>
      </c>
      <c r="H7460" s="2">
        <v>-356.96</v>
      </c>
      <c r="I7460" t="str">
        <f t="shared" si="116"/>
        <v>May</v>
      </c>
      <c r="J7460">
        <f>YEAR(datas[[#This Row],[Order Date]])</f>
        <v>2024</v>
      </c>
    </row>
    <row r="7461" spans="1:10" ht="14.25" customHeight="1" x14ac:dyDescent="0.3">
      <c r="A7461" s="1">
        <v>45423</v>
      </c>
      <c r="B7461" s="2" t="s">
        <v>527</v>
      </c>
      <c r="C7461" s="2" t="s">
        <v>75</v>
      </c>
      <c r="D7461" s="2" t="s">
        <v>10</v>
      </c>
      <c r="E7461" s="2" t="s">
        <v>19</v>
      </c>
      <c r="F7461" s="2">
        <v>43.92</v>
      </c>
      <c r="G7461" s="2">
        <v>3</v>
      </c>
      <c r="H7461" s="2">
        <v>12.74</v>
      </c>
      <c r="I7461" t="str">
        <f t="shared" si="116"/>
        <v>May</v>
      </c>
      <c r="J7461">
        <f>YEAR(datas[[#This Row],[Order Date]])</f>
        <v>2024</v>
      </c>
    </row>
    <row r="7462" spans="1:10" ht="14.25" customHeight="1" x14ac:dyDescent="0.3">
      <c r="A7462" s="1">
        <v>45424</v>
      </c>
      <c r="B7462" s="2" t="s">
        <v>364</v>
      </c>
      <c r="C7462" s="2" t="s">
        <v>9</v>
      </c>
      <c r="D7462" s="2" t="s">
        <v>10</v>
      </c>
      <c r="E7462" s="2" t="s">
        <v>15</v>
      </c>
      <c r="F7462" s="2">
        <v>127.92</v>
      </c>
      <c r="G7462" s="2">
        <v>5</v>
      </c>
      <c r="H7462" s="2">
        <v>-15.99</v>
      </c>
      <c r="I7462" t="str">
        <f t="shared" si="116"/>
        <v>May</v>
      </c>
      <c r="J7462">
        <f>YEAR(datas[[#This Row],[Order Date]])</f>
        <v>2024</v>
      </c>
    </row>
    <row r="7463" spans="1:10" ht="14.25" customHeight="1" x14ac:dyDescent="0.3">
      <c r="A7463" s="1">
        <v>45424</v>
      </c>
      <c r="B7463" s="2" t="s">
        <v>364</v>
      </c>
      <c r="C7463" s="2" t="s">
        <v>9</v>
      </c>
      <c r="D7463" s="2" t="s">
        <v>10</v>
      </c>
      <c r="E7463" s="2" t="s">
        <v>16</v>
      </c>
      <c r="F7463" s="2">
        <v>34.24</v>
      </c>
      <c r="G7463" s="2">
        <v>4</v>
      </c>
      <c r="H7463" s="2">
        <v>-53.07</v>
      </c>
      <c r="I7463" t="str">
        <f t="shared" si="116"/>
        <v>May</v>
      </c>
      <c r="J7463">
        <f>YEAR(datas[[#This Row],[Order Date]])</f>
        <v>2024</v>
      </c>
    </row>
    <row r="7464" spans="1:10" ht="14.25" customHeight="1" x14ac:dyDescent="0.3">
      <c r="A7464" s="1">
        <v>45424</v>
      </c>
      <c r="B7464" s="2" t="s">
        <v>127</v>
      </c>
      <c r="C7464" s="2" t="s">
        <v>181</v>
      </c>
      <c r="D7464" s="2" t="s">
        <v>10</v>
      </c>
      <c r="E7464" s="2" t="s">
        <v>11</v>
      </c>
      <c r="F7464" s="2">
        <v>87.6</v>
      </c>
      <c r="G7464" s="2">
        <v>5</v>
      </c>
      <c r="H7464" s="2">
        <v>42.05</v>
      </c>
      <c r="I7464" t="str">
        <f t="shared" si="116"/>
        <v>May</v>
      </c>
      <c r="J7464">
        <f>YEAR(datas[[#This Row],[Order Date]])</f>
        <v>2024</v>
      </c>
    </row>
    <row r="7465" spans="1:10" ht="14.25" customHeight="1" x14ac:dyDescent="0.3">
      <c r="A7465" s="1">
        <v>45424</v>
      </c>
      <c r="B7465" s="2" t="s">
        <v>496</v>
      </c>
      <c r="C7465" s="2" t="s">
        <v>47</v>
      </c>
      <c r="D7465" s="2" t="s">
        <v>10</v>
      </c>
      <c r="E7465" s="2" t="s">
        <v>19</v>
      </c>
      <c r="F7465" s="2">
        <v>10.27</v>
      </c>
      <c r="G7465" s="2">
        <v>3</v>
      </c>
      <c r="H7465" s="2">
        <v>1.1599999999999999</v>
      </c>
      <c r="I7465" t="str">
        <f t="shared" si="116"/>
        <v>May</v>
      </c>
      <c r="J7465">
        <f>YEAR(datas[[#This Row],[Order Date]])</f>
        <v>2024</v>
      </c>
    </row>
    <row r="7466" spans="1:10" ht="14.25" customHeight="1" x14ac:dyDescent="0.3">
      <c r="A7466" s="1">
        <v>45424</v>
      </c>
      <c r="B7466" s="2" t="s">
        <v>415</v>
      </c>
      <c r="C7466" s="2" t="s">
        <v>21</v>
      </c>
      <c r="D7466" s="2" t="s">
        <v>10</v>
      </c>
      <c r="E7466" s="2" t="s">
        <v>95</v>
      </c>
      <c r="F7466" s="2">
        <v>238.62</v>
      </c>
      <c r="G7466" s="2">
        <v>2</v>
      </c>
      <c r="H7466" s="2">
        <v>4.7699999999999996</v>
      </c>
      <c r="I7466" t="str">
        <f t="shared" si="116"/>
        <v>May</v>
      </c>
      <c r="J7466">
        <f>YEAR(datas[[#This Row],[Order Date]])</f>
        <v>2024</v>
      </c>
    </row>
    <row r="7467" spans="1:10" ht="14.25" customHeight="1" x14ac:dyDescent="0.3">
      <c r="A7467" s="1">
        <v>45424</v>
      </c>
      <c r="B7467" s="2" t="s">
        <v>415</v>
      </c>
      <c r="C7467" s="2" t="s">
        <v>21</v>
      </c>
      <c r="D7467" s="2" t="s">
        <v>10</v>
      </c>
      <c r="E7467" s="2" t="s">
        <v>53</v>
      </c>
      <c r="F7467" s="2">
        <v>7.77</v>
      </c>
      <c r="G7467" s="2">
        <v>1</v>
      </c>
      <c r="H7467" s="2">
        <v>2.1</v>
      </c>
      <c r="I7467" t="str">
        <f t="shared" si="116"/>
        <v>May</v>
      </c>
      <c r="J7467">
        <f>YEAR(datas[[#This Row],[Order Date]])</f>
        <v>2024</v>
      </c>
    </row>
    <row r="7468" spans="1:10" ht="14.25" customHeight="1" x14ac:dyDescent="0.3">
      <c r="A7468" s="1">
        <v>45424</v>
      </c>
      <c r="B7468" s="2" t="s">
        <v>415</v>
      </c>
      <c r="C7468" s="2" t="s">
        <v>21</v>
      </c>
      <c r="D7468" s="2" t="s">
        <v>26</v>
      </c>
      <c r="E7468" s="2" t="s">
        <v>73</v>
      </c>
      <c r="F7468" s="2">
        <v>285.48</v>
      </c>
      <c r="G7468" s="2">
        <v>5</v>
      </c>
      <c r="H7468" s="2">
        <v>-10.71</v>
      </c>
      <c r="I7468" t="str">
        <f t="shared" si="116"/>
        <v>May</v>
      </c>
      <c r="J7468">
        <f>YEAR(datas[[#This Row],[Order Date]])</f>
        <v>2024</v>
      </c>
    </row>
    <row r="7469" spans="1:10" ht="14.25" customHeight="1" x14ac:dyDescent="0.3">
      <c r="A7469" s="1">
        <v>45424</v>
      </c>
      <c r="B7469" s="2" t="s">
        <v>415</v>
      </c>
      <c r="C7469" s="2" t="s">
        <v>21</v>
      </c>
      <c r="D7469" s="2" t="s">
        <v>10</v>
      </c>
      <c r="E7469" s="2" t="s">
        <v>16</v>
      </c>
      <c r="F7469" s="2">
        <v>19.170000000000002</v>
      </c>
      <c r="G7469" s="2">
        <v>4</v>
      </c>
      <c r="H7469" s="2">
        <v>6.47</v>
      </c>
      <c r="I7469" t="str">
        <f t="shared" si="116"/>
        <v>May</v>
      </c>
      <c r="J7469">
        <f>YEAR(datas[[#This Row],[Order Date]])</f>
        <v>2024</v>
      </c>
    </row>
    <row r="7470" spans="1:10" ht="14.25" customHeight="1" x14ac:dyDescent="0.3">
      <c r="A7470" s="1">
        <v>45424</v>
      </c>
      <c r="B7470" s="2" t="s">
        <v>730</v>
      </c>
      <c r="C7470" s="2" t="s">
        <v>47</v>
      </c>
      <c r="D7470" s="2" t="s">
        <v>10</v>
      </c>
      <c r="E7470" s="2" t="s">
        <v>14</v>
      </c>
      <c r="F7470" s="2">
        <v>5.9</v>
      </c>
      <c r="G7470" s="2">
        <v>2</v>
      </c>
      <c r="H7470" s="2">
        <v>1.99</v>
      </c>
      <c r="I7470" t="str">
        <f t="shared" si="116"/>
        <v>May</v>
      </c>
      <c r="J7470">
        <f>YEAR(datas[[#This Row],[Order Date]])</f>
        <v>2024</v>
      </c>
    </row>
    <row r="7471" spans="1:10" ht="14.25" customHeight="1" x14ac:dyDescent="0.3">
      <c r="A7471" s="1">
        <v>45424</v>
      </c>
      <c r="B7471" s="2" t="s">
        <v>341</v>
      </c>
      <c r="C7471" s="2" t="s">
        <v>87</v>
      </c>
      <c r="D7471" s="2" t="s">
        <v>26</v>
      </c>
      <c r="E7471" s="2" t="s">
        <v>32</v>
      </c>
      <c r="F7471" s="2">
        <v>42.85</v>
      </c>
      <c r="G7471" s="2">
        <v>5</v>
      </c>
      <c r="H7471" s="2">
        <v>15.43</v>
      </c>
      <c r="I7471" t="str">
        <f t="shared" si="116"/>
        <v>May</v>
      </c>
      <c r="J7471">
        <f>YEAR(datas[[#This Row],[Order Date]])</f>
        <v>2024</v>
      </c>
    </row>
    <row r="7472" spans="1:10" ht="14.25" customHeight="1" x14ac:dyDescent="0.3">
      <c r="A7472" s="1">
        <v>45424</v>
      </c>
      <c r="B7472" s="2" t="s">
        <v>341</v>
      </c>
      <c r="C7472" s="2" t="s">
        <v>87</v>
      </c>
      <c r="D7472" s="2" t="s">
        <v>10</v>
      </c>
      <c r="E7472" s="2" t="s">
        <v>14</v>
      </c>
      <c r="F7472" s="2">
        <v>6.16</v>
      </c>
      <c r="G7472" s="2">
        <v>2</v>
      </c>
      <c r="H7472" s="2">
        <v>2.96</v>
      </c>
      <c r="I7472" t="str">
        <f t="shared" si="116"/>
        <v>May</v>
      </c>
      <c r="J7472">
        <f>YEAR(datas[[#This Row],[Order Date]])</f>
        <v>2024</v>
      </c>
    </row>
    <row r="7473" spans="1:10" ht="14.25" customHeight="1" x14ac:dyDescent="0.3">
      <c r="A7473" s="1">
        <v>45424</v>
      </c>
      <c r="B7473" s="2" t="s">
        <v>341</v>
      </c>
      <c r="C7473" s="2" t="s">
        <v>87</v>
      </c>
      <c r="D7473" s="2" t="s">
        <v>10</v>
      </c>
      <c r="E7473" s="2" t="s">
        <v>95</v>
      </c>
      <c r="F7473" s="2">
        <v>17</v>
      </c>
      <c r="G7473" s="2">
        <v>2</v>
      </c>
      <c r="H7473" s="2">
        <v>4.42</v>
      </c>
      <c r="I7473" t="str">
        <f t="shared" si="116"/>
        <v>May</v>
      </c>
      <c r="J7473">
        <f>YEAR(datas[[#This Row],[Order Date]])</f>
        <v>2024</v>
      </c>
    </row>
    <row r="7474" spans="1:10" ht="14.25" customHeight="1" x14ac:dyDescent="0.3">
      <c r="A7474" s="1">
        <v>45424</v>
      </c>
      <c r="B7474" s="2" t="s">
        <v>341</v>
      </c>
      <c r="C7474" s="2" t="s">
        <v>87</v>
      </c>
      <c r="D7474" s="2" t="s">
        <v>28</v>
      </c>
      <c r="E7474" s="2" t="s">
        <v>34</v>
      </c>
      <c r="F7474" s="2">
        <v>87.4</v>
      </c>
      <c r="G7474" s="2">
        <v>5</v>
      </c>
      <c r="H7474" s="2">
        <v>34.96</v>
      </c>
      <c r="I7474" t="str">
        <f t="shared" si="116"/>
        <v>May</v>
      </c>
      <c r="J7474">
        <f>YEAR(datas[[#This Row],[Order Date]])</f>
        <v>2024</v>
      </c>
    </row>
    <row r="7475" spans="1:10" ht="14.25" customHeight="1" x14ac:dyDescent="0.3">
      <c r="A7475" s="1">
        <v>45425</v>
      </c>
      <c r="B7475" s="2" t="s">
        <v>304</v>
      </c>
      <c r="C7475" s="2" t="s">
        <v>21</v>
      </c>
      <c r="D7475" s="2" t="s">
        <v>10</v>
      </c>
      <c r="E7475" s="2" t="s">
        <v>14</v>
      </c>
      <c r="F7475" s="2">
        <v>58.48</v>
      </c>
      <c r="G7475" s="2">
        <v>8</v>
      </c>
      <c r="H7475" s="2">
        <v>27.49</v>
      </c>
      <c r="I7475" t="str">
        <f t="shared" si="116"/>
        <v>May</v>
      </c>
      <c r="J7475">
        <f>YEAR(datas[[#This Row],[Order Date]])</f>
        <v>2024</v>
      </c>
    </row>
    <row r="7476" spans="1:10" ht="14.25" customHeight="1" x14ac:dyDescent="0.3">
      <c r="A7476" s="1">
        <v>45425</v>
      </c>
      <c r="B7476" s="2" t="s">
        <v>359</v>
      </c>
      <c r="C7476" s="2" t="s">
        <v>68</v>
      </c>
      <c r="D7476" s="2" t="s">
        <v>10</v>
      </c>
      <c r="E7476" s="2" t="s">
        <v>41</v>
      </c>
      <c r="F7476" s="2">
        <v>180.96</v>
      </c>
      <c r="G7476" s="2">
        <v>2</v>
      </c>
      <c r="H7476" s="2">
        <v>81.430000000000007</v>
      </c>
      <c r="I7476" t="str">
        <f t="shared" si="116"/>
        <v>May</v>
      </c>
      <c r="J7476">
        <f>YEAR(datas[[#This Row],[Order Date]])</f>
        <v>2024</v>
      </c>
    </row>
    <row r="7477" spans="1:10" ht="14.25" customHeight="1" x14ac:dyDescent="0.3">
      <c r="A7477" s="1">
        <v>45425</v>
      </c>
      <c r="B7477" s="2" t="s">
        <v>359</v>
      </c>
      <c r="C7477" s="2" t="s">
        <v>68</v>
      </c>
      <c r="D7477" s="2" t="s">
        <v>10</v>
      </c>
      <c r="E7477" s="2" t="s">
        <v>16</v>
      </c>
      <c r="F7477" s="2">
        <v>914.97</v>
      </c>
      <c r="G7477" s="2">
        <v>3</v>
      </c>
      <c r="H7477" s="2">
        <v>411.74</v>
      </c>
      <c r="I7477" t="str">
        <f t="shared" si="116"/>
        <v>May</v>
      </c>
      <c r="J7477">
        <f>YEAR(datas[[#This Row],[Order Date]])</f>
        <v>2024</v>
      </c>
    </row>
    <row r="7478" spans="1:10" ht="14.25" customHeight="1" x14ac:dyDescent="0.3">
      <c r="A7478" s="1">
        <v>45425</v>
      </c>
      <c r="B7478" s="2" t="s">
        <v>359</v>
      </c>
      <c r="C7478" s="2" t="s">
        <v>68</v>
      </c>
      <c r="D7478" s="2" t="s">
        <v>28</v>
      </c>
      <c r="E7478" s="2" t="s">
        <v>29</v>
      </c>
      <c r="F7478" s="2">
        <v>587.97</v>
      </c>
      <c r="G7478" s="2">
        <v>3</v>
      </c>
      <c r="H7478" s="2">
        <v>158.75</v>
      </c>
      <c r="I7478" t="str">
        <f t="shared" si="116"/>
        <v>May</v>
      </c>
      <c r="J7478">
        <f>YEAR(datas[[#This Row],[Order Date]])</f>
        <v>2024</v>
      </c>
    </row>
    <row r="7479" spans="1:10" ht="14.25" customHeight="1" x14ac:dyDescent="0.3">
      <c r="A7479" s="1">
        <v>45425</v>
      </c>
      <c r="B7479" s="2" t="s">
        <v>359</v>
      </c>
      <c r="C7479" s="2" t="s">
        <v>68</v>
      </c>
      <c r="D7479" s="2" t="s">
        <v>10</v>
      </c>
      <c r="E7479" s="2" t="s">
        <v>15</v>
      </c>
      <c r="F7479" s="2">
        <v>530.34</v>
      </c>
      <c r="G7479" s="2">
        <v>2</v>
      </c>
      <c r="H7479" s="2">
        <v>95.46</v>
      </c>
      <c r="I7479" t="str">
        <f t="shared" si="116"/>
        <v>May</v>
      </c>
      <c r="J7479">
        <f>YEAR(datas[[#This Row],[Order Date]])</f>
        <v>2024</v>
      </c>
    </row>
    <row r="7480" spans="1:10" ht="14.25" customHeight="1" x14ac:dyDescent="0.3">
      <c r="A7480" s="1">
        <v>45425</v>
      </c>
      <c r="B7480" s="2" t="s">
        <v>359</v>
      </c>
      <c r="C7480" s="2" t="s">
        <v>68</v>
      </c>
      <c r="D7480" s="2" t="s">
        <v>10</v>
      </c>
      <c r="E7480" s="2" t="s">
        <v>11</v>
      </c>
      <c r="F7480" s="2">
        <v>14.94</v>
      </c>
      <c r="G7480" s="2">
        <v>3</v>
      </c>
      <c r="H7480" s="2">
        <v>7.32</v>
      </c>
      <c r="I7480" t="str">
        <f t="shared" si="116"/>
        <v>May</v>
      </c>
      <c r="J7480">
        <f>YEAR(datas[[#This Row],[Order Date]])</f>
        <v>2024</v>
      </c>
    </row>
    <row r="7481" spans="1:10" ht="14.25" customHeight="1" x14ac:dyDescent="0.3">
      <c r="A7481" s="1">
        <v>45425</v>
      </c>
      <c r="B7481" s="2" t="s">
        <v>316</v>
      </c>
      <c r="C7481" s="2" t="s">
        <v>38</v>
      </c>
      <c r="D7481" s="2" t="s">
        <v>10</v>
      </c>
      <c r="E7481" s="2" t="s">
        <v>16</v>
      </c>
      <c r="F7481" s="2">
        <v>299.52</v>
      </c>
      <c r="G7481" s="2">
        <v>9</v>
      </c>
      <c r="H7481" s="2">
        <v>149.76</v>
      </c>
      <c r="I7481" t="str">
        <f t="shared" si="116"/>
        <v>May</v>
      </c>
      <c r="J7481">
        <f>YEAR(datas[[#This Row],[Order Date]])</f>
        <v>2024</v>
      </c>
    </row>
    <row r="7482" spans="1:10" ht="14.25" customHeight="1" x14ac:dyDescent="0.3">
      <c r="A7482" s="1">
        <v>45425</v>
      </c>
      <c r="B7482" s="2" t="s">
        <v>196</v>
      </c>
      <c r="C7482" s="2" t="s">
        <v>62</v>
      </c>
      <c r="D7482" s="2" t="s">
        <v>10</v>
      </c>
      <c r="E7482" s="2" t="s">
        <v>53</v>
      </c>
      <c r="F7482" s="2">
        <v>20.77</v>
      </c>
      <c r="G7482" s="2">
        <v>2</v>
      </c>
      <c r="H7482" s="2">
        <v>2.34</v>
      </c>
      <c r="I7482" t="str">
        <f t="shared" si="116"/>
        <v>May</v>
      </c>
      <c r="J7482">
        <f>YEAR(datas[[#This Row],[Order Date]])</f>
        <v>2024</v>
      </c>
    </row>
    <row r="7483" spans="1:10" ht="14.25" customHeight="1" x14ac:dyDescent="0.3">
      <c r="A7483" s="1">
        <v>45425</v>
      </c>
      <c r="B7483" s="2" t="s">
        <v>846</v>
      </c>
      <c r="C7483" s="2" t="s">
        <v>18</v>
      </c>
      <c r="D7483" s="2" t="s">
        <v>26</v>
      </c>
      <c r="E7483" s="2" t="s">
        <v>27</v>
      </c>
      <c r="F7483" s="2">
        <v>458.43</v>
      </c>
      <c r="G7483" s="2">
        <v>5</v>
      </c>
      <c r="H7483" s="2">
        <v>-124.43</v>
      </c>
      <c r="I7483" t="str">
        <f t="shared" si="116"/>
        <v>May</v>
      </c>
      <c r="J7483">
        <f>YEAR(datas[[#This Row],[Order Date]])</f>
        <v>2024</v>
      </c>
    </row>
    <row r="7484" spans="1:10" ht="14.25" customHeight="1" x14ac:dyDescent="0.3">
      <c r="A7484" s="1">
        <v>45426</v>
      </c>
      <c r="B7484" s="2" t="s">
        <v>197</v>
      </c>
      <c r="C7484" s="2" t="s">
        <v>21</v>
      </c>
      <c r="D7484" s="2" t="s">
        <v>26</v>
      </c>
      <c r="E7484" s="2" t="s">
        <v>32</v>
      </c>
      <c r="F7484" s="2">
        <v>18.28</v>
      </c>
      <c r="G7484" s="2">
        <v>2</v>
      </c>
      <c r="H7484" s="2">
        <v>6.22</v>
      </c>
      <c r="I7484" t="str">
        <f t="shared" si="116"/>
        <v>May</v>
      </c>
      <c r="J7484">
        <f>YEAR(datas[[#This Row],[Order Date]])</f>
        <v>2024</v>
      </c>
    </row>
    <row r="7485" spans="1:10" ht="14.25" customHeight="1" x14ac:dyDescent="0.3">
      <c r="A7485" s="1">
        <v>45426</v>
      </c>
      <c r="B7485" s="2" t="s">
        <v>197</v>
      </c>
      <c r="C7485" s="2" t="s">
        <v>21</v>
      </c>
      <c r="D7485" s="2" t="s">
        <v>28</v>
      </c>
      <c r="E7485" s="2" t="s">
        <v>34</v>
      </c>
      <c r="F7485" s="2">
        <v>1399.93</v>
      </c>
      <c r="G7485" s="2">
        <v>7</v>
      </c>
      <c r="H7485" s="2">
        <v>601.97</v>
      </c>
      <c r="I7485" t="str">
        <f t="shared" si="116"/>
        <v>May</v>
      </c>
      <c r="J7485">
        <f>YEAR(datas[[#This Row],[Order Date]])</f>
        <v>2024</v>
      </c>
    </row>
    <row r="7486" spans="1:10" ht="14.25" customHeight="1" x14ac:dyDescent="0.3">
      <c r="A7486" s="1">
        <v>45426</v>
      </c>
      <c r="B7486" s="2" t="s">
        <v>119</v>
      </c>
      <c r="C7486" s="2" t="s">
        <v>143</v>
      </c>
      <c r="D7486" s="2" t="s">
        <v>10</v>
      </c>
      <c r="E7486" s="2" t="s">
        <v>41</v>
      </c>
      <c r="F7486" s="2">
        <v>48.69</v>
      </c>
      <c r="G7486" s="2">
        <v>9</v>
      </c>
      <c r="H7486" s="2">
        <v>23.86</v>
      </c>
      <c r="I7486" t="str">
        <f t="shared" si="116"/>
        <v>May</v>
      </c>
      <c r="J7486">
        <f>YEAR(datas[[#This Row],[Order Date]])</f>
        <v>2024</v>
      </c>
    </row>
    <row r="7487" spans="1:10" ht="14.25" customHeight="1" x14ac:dyDescent="0.3">
      <c r="A7487" s="1">
        <v>45426</v>
      </c>
      <c r="B7487" s="2" t="s">
        <v>668</v>
      </c>
      <c r="C7487" s="2" t="s">
        <v>75</v>
      </c>
      <c r="D7487" s="2" t="s">
        <v>28</v>
      </c>
      <c r="E7487" s="2" t="s">
        <v>29</v>
      </c>
      <c r="F7487" s="2">
        <v>539.97</v>
      </c>
      <c r="G7487" s="2">
        <v>3</v>
      </c>
      <c r="H7487" s="2">
        <v>134.99</v>
      </c>
      <c r="I7487" t="str">
        <f t="shared" si="116"/>
        <v>May</v>
      </c>
      <c r="J7487">
        <f>YEAR(datas[[#This Row],[Order Date]])</f>
        <v>2024</v>
      </c>
    </row>
    <row r="7488" spans="1:10" ht="14.25" customHeight="1" x14ac:dyDescent="0.3">
      <c r="A7488" s="1">
        <v>45426</v>
      </c>
      <c r="B7488" s="2" t="s">
        <v>668</v>
      </c>
      <c r="C7488" s="2" t="s">
        <v>75</v>
      </c>
      <c r="D7488" s="2" t="s">
        <v>10</v>
      </c>
      <c r="E7488" s="2" t="s">
        <v>15</v>
      </c>
      <c r="F7488" s="2">
        <v>22.58</v>
      </c>
      <c r="G7488" s="2">
        <v>2</v>
      </c>
      <c r="H7488" s="2">
        <v>5.87</v>
      </c>
      <c r="I7488" t="str">
        <f t="shared" si="116"/>
        <v>May</v>
      </c>
      <c r="J7488">
        <f>YEAR(datas[[#This Row],[Order Date]])</f>
        <v>2024</v>
      </c>
    </row>
    <row r="7489" spans="1:10" ht="14.25" customHeight="1" x14ac:dyDescent="0.3">
      <c r="A7489" s="1">
        <v>45426</v>
      </c>
      <c r="B7489" s="2" t="s">
        <v>187</v>
      </c>
      <c r="C7489" s="2" t="s">
        <v>82</v>
      </c>
      <c r="D7489" s="2" t="s">
        <v>10</v>
      </c>
      <c r="E7489" s="2" t="s">
        <v>11</v>
      </c>
      <c r="F7489" s="2">
        <v>440.19</v>
      </c>
      <c r="G7489" s="2">
        <v>9</v>
      </c>
      <c r="H7489" s="2">
        <v>206.89</v>
      </c>
      <c r="I7489" t="str">
        <f t="shared" si="116"/>
        <v>May</v>
      </c>
      <c r="J7489">
        <f>YEAR(datas[[#This Row],[Order Date]])</f>
        <v>2024</v>
      </c>
    </row>
    <row r="7490" spans="1:10" ht="14.25" customHeight="1" x14ac:dyDescent="0.3">
      <c r="A7490" s="1">
        <v>45426</v>
      </c>
      <c r="B7490" s="2" t="s">
        <v>187</v>
      </c>
      <c r="C7490" s="2" t="s">
        <v>82</v>
      </c>
      <c r="D7490" s="2" t="s">
        <v>10</v>
      </c>
      <c r="E7490" s="2" t="s">
        <v>95</v>
      </c>
      <c r="F7490" s="2">
        <v>64.400000000000006</v>
      </c>
      <c r="G7490" s="2">
        <v>5</v>
      </c>
      <c r="H7490" s="2">
        <v>1.93</v>
      </c>
      <c r="I7490" t="str">
        <f t="shared" si="116"/>
        <v>May</v>
      </c>
      <c r="J7490">
        <f>YEAR(datas[[#This Row],[Order Date]])</f>
        <v>2024</v>
      </c>
    </row>
    <row r="7491" spans="1:10" ht="14.25" customHeight="1" x14ac:dyDescent="0.3">
      <c r="A7491" s="1">
        <v>45426</v>
      </c>
      <c r="B7491" s="2" t="s">
        <v>284</v>
      </c>
      <c r="C7491" s="2" t="s">
        <v>9</v>
      </c>
      <c r="D7491" s="2" t="s">
        <v>26</v>
      </c>
      <c r="E7491" s="2" t="s">
        <v>27</v>
      </c>
      <c r="F7491" s="2">
        <v>899.43</v>
      </c>
      <c r="G7491" s="2">
        <v>5</v>
      </c>
      <c r="H7491" s="2">
        <v>-12.85</v>
      </c>
      <c r="I7491" t="str">
        <f t="shared" ref="I7491:I7554" si="117">TEXT(A7491,"mmm")</f>
        <v>May</v>
      </c>
      <c r="J7491">
        <f>YEAR(datas[[#This Row],[Order Date]])</f>
        <v>2024</v>
      </c>
    </row>
    <row r="7492" spans="1:10" ht="14.25" customHeight="1" x14ac:dyDescent="0.3">
      <c r="A7492" s="1">
        <v>45426</v>
      </c>
      <c r="B7492" s="2" t="s">
        <v>284</v>
      </c>
      <c r="C7492" s="2" t="s">
        <v>9</v>
      </c>
      <c r="D7492" s="2" t="s">
        <v>10</v>
      </c>
      <c r="E7492" s="2" t="s">
        <v>19</v>
      </c>
      <c r="F7492" s="2">
        <v>46.2</v>
      </c>
      <c r="G7492" s="2">
        <v>5</v>
      </c>
      <c r="H7492" s="2">
        <v>5.78</v>
      </c>
      <c r="I7492" t="str">
        <f t="shared" si="117"/>
        <v>May</v>
      </c>
      <c r="J7492">
        <f>YEAR(datas[[#This Row],[Order Date]])</f>
        <v>2024</v>
      </c>
    </row>
    <row r="7493" spans="1:10" ht="14.25" customHeight="1" x14ac:dyDescent="0.3">
      <c r="A7493" s="1">
        <v>45426</v>
      </c>
      <c r="B7493" s="2" t="s">
        <v>284</v>
      </c>
      <c r="C7493" s="2" t="s">
        <v>9</v>
      </c>
      <c r="D7493" s="2" t="s">
        <v>10</v>
      </c>
      <c r="E7493" s="2" t="s">
        <v>11</v>
      </c>
      <c r="F7493" s="2">
        <v>47.95</v>
      </c>
      <c r="G7493" s="2">
        <v>3</v>
      </c>
      <c r="H7493" s="2">
        <v>16.18</v>
      </c>
      <c r="I7493" t="str">
        <f t="shared" si="117"/>
        <v>May</v>
      </c>
      <c r="J7493">
        <f>YEAR(datas[[#This Row],[Order Date]])</f>
        <v>2024</v>
      </c>
    </row>
    <row r="7494" spans="1:10" ht="14.25" customHeight="1" x14ac:dyDescent="0.3">
      <c r="A7494" s="1">
        <v>45426</v>
      </c>
      <c r="B7494" s="2" t="s">
        <v>284</v>
      </c>
      <c r="C7494" s="2" t="s">
        <v>9</v>
      </c>
      <c r="D7494" s="2" t="s">
        <v>28</v>
      </c>
      <c r="E7494" s="2" t="s">
        <v>29</v>
      </c>
      <c r="F7494" s="2">
        <v>7.99</v>
      </c>
      <c r="G7494" s="2">
        <v>1</v>
      </c>
      <c r="H7494" s="2">
        <v>0.7</v>
      </c>
      <c r="I7494" t="str">
        <f t="shared" si="117"/>
        <v>May</v>
      </c>
      <c r="J7494">
        <f>YEAR(datas[[#This Row],[Order Date]])</f>
        <v>2024</v>
      </c>
    </row>
    <row r="7495" spans="1:10" ht="14.25" customHeight="1" x14ac:dyDescent="0.3">
      <c r="A7495" s="1">
        <v>45426</v>
      </c>
      <c r="B7495" s="2" t="s">
        <v>284</v>
      </c>
      <c r="C7495" s="2" t="s">
        <v>9</v>
      </c>
      <c r="D7495" s="2" t="s">
        <v>10</v>
      </c>
      <c r="E7495" s="2" t="s">
        <v>11</v>
      </c>
      <c r="F7495" s="2">
        <v>76.86</v>
      </c>
      <c r="G7495" s="2">
        <v>2</v>
      </c>
      <c r="H7495" s="2">
        <v>26.9</v>
      </c>
      <c r="I7495" t="str">
        <f t="shared" si="117"/>
        <v>May</v>
      </c>
      <c r="J7495">
        <f>YEAR(datas[[#This Row],[Order Date]])</f>
        <v>2024</v>
      </c>
    </row>
    <row r="7496" spans="1:10" ht="14.25" customHeight="1" x14ac:dyDescent="0.3">
      <c r="A7496" s="1">
        <v>45426</v>
      </c>
      <c r="B7496" s="2" t="s">
        <v>35</v>
      </c>
      <c r="C7496" s="2" t="s">
        <v>215</v>
      </c>
      <c r="D7496" s="2" t="s">
        <v>10</v>
      </c>
      <c r="E7496" s="2" t="s">
        <v>19</v>
      </c>
      <c r="F7496" s="2">
        <v>3.76</v>
      </c>
      <c r="G7496" s="2">
        <v>2</v>
      </c>
      <c r="H7496" s="2">
        <v>1.0900000000000001</v>
      </c>
      <c r="I7496" t="str">
        <f t="shared" si="117"/>
        <v>May</v>
      </c>
      <c r="J7496">
        <f>YEAR(datas[[#This Row],[Order Date]])</f>
        <v>2024</v>
      </c>
    </row>
    <row r="7497" spans="1:10" ht="14.25" customHeight="1" x14ac:dyDescent="0.3">
      <c r="A7497" s="1">
        <v>45426</v>
      </c>
      <c r="B7497" s="2" t="s">
        <v>35</v>
      </c>
      <c r="C7497" s="2" t="s">
        <v>215</v>
      </c>
      <c r="D7497" s="2" t="s">
        <v>10</v>
      </c>
      <c r="E7497" s="2" t="s">
        <v>19</v>
      </c>
      <c r="F7497" s="2">
        <v>14.7</v>
      </c>
      <c r="G7497" s="2">
        <v>5</v>
      </c>
      <c r="H7497" s="2">
        <v>6.62</v>
      </c>
      <c r="I7497" t="str">
        <f t="shared" si="117"/>
        <v>May</v>
      </c>
      <c r="J7497">
        <f>YEAR(datas[[#This Row],[Order Date]])</f>
        <v>2024</v>
      </c>
    </row>
    <row r="7498" spans="1:10" ht="14.25" customHeight="1" x14ac:dyDescent="0.3">
      <c r="A7498" s="1">
        <v>45426</v>
      </c>
      <c r="B7498" s="2" t="s">
        <v>35</v>
      </c>
      <c r="C7498" s="2" t="s">
        <v>215</v>
      </c>
      <c r="D7498" s="2" t="s">
        <v>10</v>
      </c>
      <c r="E7498" s="2" t="s">
        <v>19</v>
      </c>
      <c r="F7498" s="2">
        <v>37.200000000000003</v>
      </c>
      <c r="G7498" s="2">
        <v>5</v>
      </c>
      <c r="H7498" s="2">
        <v>9.3000000000000007</v>
      </c>
      <c r="I7498" t="str">
        <f t="shared" si="117"/>
        <v>May</v>
      </c>
      <c r="J7498">
        <f>YEAR(datas[[#This Row],[Order Date]])</f>
        <v>2024</v>
      </c>
    </row>
    <row r="7499" spans="1:10" ht="14.25" customHeight="1" x14ac:dyDescent="0.3">
      <c r="A7499" s="1">
        <v>45426</v>
      </c>
      <c r="B7499" s="2" t="s">
        <v>35</v>
      </c>
      <c r="C7499" s="2" t="s">
        <v>215</v>
      </c>
      <c r="D7499" s="2" t="s">
        <v>28</v>
      </c>
      <c r="E7499" s="2" t="s">
        <v>34</v>
      </c>
      <c r="F7499" s="2">
        <v>89.97</v>
      </c>
      <c r="G7499" s="2">
        <v>3</v>
      </c>
      <c r="H7499" s="2">
        <v>18.89</v>
      </c>
      <c r="I7499" t="str">
        <f t="shared" si="117"/>
        <v>May</v>
      </c>
      <c r="J7499">
        <f>YEAR(datas[[#This Row],[Order Date]])</f>
        <v>2024</v>
      </c>
    </row>
    <row r="7500" spans="1:10" ht="14.25" customHeight="1" x14ac:dyDescent="0.3">
      <c r="A7500" s="1">
        <v>45426</v>
      </c>
      <c r="B7500" s="2" t="s">
        <v>35</v>
      </c>
      <c r="C7500" s="2" t="s">
        <v>215</v>
      </c>
      <c r="D7500" s="2" t="s">
        <v>26</v>
      </c>
      <c r="E7500" s="2" t="s">
        <v>27</v>
      </c>
      <c r="F7500" s="2">
        <v>261.95999999999998</v>
      </c>
      <c r="G7500" s="2">
        <v>2</v>
      </c>
      <c r="H7500" s="2">
        <v>23.58</v>
      </c>
      <c r="I7500" t="str">
        <f t="shared" si="117"/>
        <v>May</v>
      </c>
      <c r="J7500">
        <f>YEAR(datas[[#This Row],[Order Date]])</f>
        <v>2024</v>
      </c>
    </row>
    <row r="7501" spans="1:10" ht="14.25" customHeight="1" x14ac:dyDescent="0.3">
      <c r="A7501" s="1">
        <v>45426</v>
      </c>
      <c r="B7501" s="2" t="s">
        <v>35</v>
      </c>
      <c r="C7501" s="2" t="s">
        <v>215</v>
      </c>
      <c r="D7501" s="2" t="s">
        <v>10</v>
      </c>
      <c r="E7501" s="2" t="s">
        <v>14</v>
      </c>
      <c r="F7501" s="2">
        <v>74</v>
      </c>
      <c r="G7501" s="2">
        <v>5</v>
      </c>
      <c r="H7501" s="2">
        <v>37</v>
      </c>
      <c r="I7501" t="str">
        <f t="shared" si="117"/>
        <v>May</v>
      </c>
      <c r="J7501">
        <f>YEAR(datas[[#This Row],[Order Date]])</f>
        <v>2024</v>
      </c>
    </row>
    <row r="7502" spans="1:10" ht="14.25" customHeight="1" x14ac:dyDescent="0.3">
      <c r="A7502" s="1">
        <v>45426</v>
      </c>
      <c r="B7502" s="2" t="s">
        <v>8</v>
      </c>
      <c r="C7502" s="2" t="s">
        <v>47</v>
      </c>
      <c r="D7502" s="2" t="s">
        <v>10</v>
      </c>
      <c r="E7502" s="2" t="s">
        <v>16</v>
      </c>
      <c r="F7502" s="2">
        <v>58.17</v>
      </c>
      <c r="G7502" s="2">
        <v>5</v>
      </c>
      <c r="H7502" s="2">
        <v>-46.54</v>
      </c>
      <c r="I7502" t="str">
        <f t="shared" si="117"/>
        <v>May</v>
      </c>
      <c r="J7502">
        <f>YEAR(datas[[#This Row],[Order Date]])</f>
        <v>2024</v>
      </c>
    </row>
    <row r="7503" spans="1:10" ht="14.25" customHeight="1" x14ac:dyDescent="0.3">
      <c r="A7503" s="1">
        <v>45426</v>
      </c>
      <c r="B7503" s="2" t="s">
        <v>8</v>
      </c>
      <c r="C7503" s="2" t="s">
        <v>47</v>
      </c>
      <c r="D7503" s="2" t="s">
        <v>10</v>
      </c>
      <c r="E7503" s="2" t="s">
        <v>14</v>
      </c>
      <c r="F7503" s="2">
        <v>5.04</v>
      </c>
      <c r="G7503" s="2">
        <v>2</v>
      </c>
      <c r="H7503" s="2">
        <v>1.76</v>
      </c>
      <c r="I7503" t="str">
        <f t="shared" si="117"/>
        <v>May</v>
      </c>
      <c r="J7503">
        <f>YEAR(datas[[#This Row],[Order Date]])</f>
        <v>2024</v>
      </c>
    </row>
    <row r="7504" spans="1:10" ht="14.25" customHeight="1" x14ac:dyDescent="0.3">
      <c r="A7504" s="1">
        <v>45426</v>
      </c>
      <c r="B7504" s="2" t="s">
        <v>8</v>
      </c>
      <c r="C7504" s="2" t="s">
        <v>47</v>
      </c>
      <c r="D7504" s="2" t="s">
        <v>10</v>
      </c>
      <c r="E7504" s="2" t="s">
        <v>11</v>
      </c>
      <c r="F7504" s="2">
        <v>24.78</v>
      </c>
      <c r="G7504" s="2">
        <v>1</v>
      </c>
      <c r="H7504" s="2">
        <v>7.75</v>
      </c>
      <c r="I7504" t="str">
        <f t="shared" si="117"/>
        <v>May</v>
      </c>
      <c r="J7504">
        <f>YEAR(datas[[#This Row],[Order Date]])</f>
        <v>2024</v>
      </c>
    </row>
    <row r="7505" spans="1:10" ht="14.25" customHeight="1" x14ac:dyDescent="0.3">
      <c r="A7505" s="1">
        <v>45427</v>
      </c>
      <c r="B7505" s="2" t="s">
        <v>480</v>
      </c>
      <c r="C7505" s="2" t="s">
        <v>55</v>
      </c>
      <c r="D7505" s="2" t="s">
        <v>28</v>
      </c>
      <c r="E7505" s="2" t="s">
        <v>29</v>
      </c>
      <c r="F7505" s="2">
        <v>29.59</v>
      </c>
      <c r="G7505" s="2">
        <v>1</v>
      </c>
      <c r="H7505" s="2">
        <v>2.59</v>
      </c>
      <c r="I7505" t="str">
        <f t="shared" si="117"/>
        <v>May</v>
      </c>
      <c r="J7505">
        <f>YEAR(datas[[#This Row],[Order Date]])</f>
        <v>2024</v>
      </c>
    </row>
    <row r="7506" spans="1:10" ht="14.25" customHeight="1" x14ac:dyDescent="0.3">
      <c r="A7506" s="1">
        <v>45427</v>
      </c>
      <c r="B7506" s="2" t="s">
        <v>480</v>
      </c>
      <c r="C7506" s="2" t="s">
        <v>55</v>
      </c>
      <c r="D7506" s="2" t="s">
        <v>10</v>
      </c>
      <c r="E7506" s="2" t="s">
        <v>16</v>
      </c>
      <c r="F7506" s="2">
        <v>4.75</v>
      </c>
      <c r="G7506" s="2">
        <v>2</v>
      </c>
      <c r="H7506" s="2">
        <v>-3.17</v>
      </c>
      <c r="I7506" t="str">
        <f t="shared" si="117"/>
        <v>May</v>
      </c>
      <c r="J7506">
        <f>YEAR(datas[[#This Row],[Order Date]])</f>
        <v>2024</v>
      </c>
    </row>
    <row r="7507" spans="1:10" ht="14.25" customHeight="1" x14ac:dyDescent="0.3">
      <c r="A7507" s="1">
        <v>45427</v>
      </c>
      <c r="B7507" s="2" t="s">
        <v>480</v>
      </c>
      <c r="C7507" s="2" t="s">
        <v>55</v>
      </c>
      <c r="D7507" s="2" t="s">
        <v>10</v>
      </c>
      <c r="E7507" s="2" t="s">
        <v>11</v>
      </c>
      <c r="F7507" s="2">
        <v>15.55</v>
      </c>
      <c r="G7507" s="2">
        <v>3</v>
      </c>
      <c r="H7507" s="2">
        <v>5.64</v>
      </c>
      <c r="I7507" t="str">
        <f t="shared" si="117"/>
        <v>May</v>
      </c>
      <c r="J7507">
        <f>YEAR(datas[[#This Row],[Order Date]])</f>
        <v>2024</v>
      </c>
    </row>
    <row r="7508" spans="1:10" ht="14.25" customHeight="1" x14ac:dyDescent="0.3">
      <c r="A7508" s="1">
        <v>45427</v>
      </c>
      <c r="B7508" s="2" t="s">
        <v>133</v>
      </c>
      <c r="C7508" s="2" t="s">
        <v>82</v>
      </c>
      <c r="D7508" s="2" t="s">
        <v>26</v>
      </c>
      <c r="E7508" s="2" t="s">
        <v>32</v>
      </c>
      <c r="F7508" s="2">
        <v>39.96</v>
      </c>
      <c r="G7508" s="2">
        <v>2</v>
      </c>
      <c r="H7508" s="2">
        <v>17.18</v>
      </c>
      <c r="I7508" t="str">
        <f t="shared" si="117"/>
        <v>May</v>
      </c>
      <c r="J7508">
        <f>YEAR(datas[[#This Row],[Order Date]])</f>
        <v>2024</v>
      </c>
    </row>
    <row r="7509" spans="1:10" ht="14.25" customHeight="1" x14ac:dyDescent="0.3">
      <c r="A7509" s="1">
        <v>45427</v>
      </c>
      <c r="B7509" s="2" t="s">
        <v>133</v>
      </c>
      <c r="C7509" s="2" t="s">
        <v>82</v>
      </c>
      <c r="D7509" s="2" t="s">
        <v>26</v>
      </c>
      <c r="E7509" s="2" t="s">
        <v>27</v>
      </c>
      <c r="F7509" s="2">
        <v>42.62</v>
      </c>
      <c r="G7509" s="2">
        <v>2</v>
      </c>
      <c r="H7509" s="2">
        <v>4.26</v>
      </c>
      <c r="I7509" t="str">
        <f t="shared" si="117"/>
        <v>May</v>
      </c>
      <c r="J7509">
        <f>YEAR(datas[[#This Row],[Order Date]])</f>
        <v>2024</v>
      </c>
    </row>
    <row r="7510" spans="1:10" ht="14.25" customHeight="1" x14ac:dyDescent="0.3">
      <c r="A7510" s="1">
        <v>45427</v>
      </c>
      <c r="B7510" s="2" t="s">
        <v>133</v>
      </c>
      <c r="C7510" s="2" t="s">
        <v>82</v>
      </c>
      <c r="D7510" s="2" t="s">
        <v>26</v>
      </c>
      <c r="E7510" s="2" t="s">
        <v>27</v>
      </c>
      <c r="F7510" s="2">
        <v>220.96</v>
      </c>
      <c r="G7510" s="2">
        <v>1</v>
      </c>
      <c r="H7510" s="2">
        <v>24.86</v>
      </c>
      <c r="I7510" t="str">
        <f t="shared" si="117"/>
        <v>May</v>
      </c>
      <c r="J7510">
        <f>YEAR(datas[[#This Row],[Order Date]])</f>
        <v>2024</v>
      </c>
    </row>
    <row r="7511" spans="1:10" ht="14.25" customHeight="1" x14ac:dyDescent="0.3">
      <c r="A7511" s="1">
        <v>45427</v>
      </c>
      <c r="B7511" s="2" t="s">
        <v>519</v>
      </c>
      <c r="C7511" s="2" t="s">
        <v>13</v>
      </c>
      <c r="D7511" s="2" t="s">
        <v>10</v>
      </c>
      <c r="E7511" s="2" t="s">
        <v>11</v>
      </c>
      <c r="F7511" s="2">
        <v>56.7</v>
      </c>
      <c r="G7511" s="2">
        <v>2</v>
      </c>
      <c r="H7511" s="2">
        <v>19.14</v>
      </c>
      <c r="I7511" t="str">
        <f t="shared" si="117"/>
        <v>May</v>
      </c>
      <c r="J7511">
        <f>YEAR(datas[[#This Row],[Order Date]])</f>
        <v>2024</v>
      </c>
    </row>
    <row r="7512" spans="1:10" ht="14.25" customHeight="1" x14ac:dyDescent="0.3">
      <c r="A7512" s="1">
        <v>45427</v>
      </c>
      <c r="B7512" s="2" t="s">
        <v>519</v>
      </c>
      <c r="C7512" s="2" t="s">
        <v>13</v>
      </c>
      <c r="D7512" s="2" t="s">
        <v>28</v>
      </c>
      <c r="E7512" s="2" t="s">
        <v>29</v>
      </c>
      <c r="F7512" s="2">
        <v>11.12</v>
      </c>
      <c r="G7512" s="2">
        <v>2</v>
      </c>
      <c r="H7512" s="2">
        <v>3.48</v>
      </c>
      <c r="I7512" t="str">
        <f t="shared" si="117"/>
        <v>May</v>
      </c>
      <c r="J7512">
        <f>YEAR(datas[[#This Row],[Order Date]])</f>
        <v>2024</v>
      </c>
    </row>
    <row r="7513" spans="1:10" ht="14.25" customHeight="1" x14ac:dyDescent="0.3">
      <c r="A7513" s="1">
        <v>45428</v>
      </c>
      <c r="B7513" s="2" t="s">
        <v>594</v>
      </c>
      <c r="C7513" s="2" t="s">
        <v>47</v>
      </c>
      <c r="D7513" s="2" t="s">
        <v>10</v>
      </c>
      <c r="E7513" s="2" t="s">
        <v>15</v>
      </c>
      <c r="F7513" s="2">
        <v>221.02</v>
      </c>
      <c r="G7513" s="2">
        <v>2</v>
      </c>
      <c r="H7513" s="2">
        <v>-55.26</v>
      </c>
      <c r="I7513" t="str">
        <f t="shared" si="117"/>
        <v>May</v>
      </c>
      <c r="J7513">
        <f>YEAR(datas[[#This Row],[Order Date]])</f>
        <v>2024</v>
      </c>
    </row>
    <row r="7514" spans="1:10" ht="14.25" customHeight="1" x14ac:dyDescent="0.3">
      <c r="A7514" s="1">
        <v>45430</v>
      </c>
      <c r="B7514" s="2" t="s">
        <v>315</v>
      </c>
      <c r="C7514" s="2" t="s">
        <v>18</v>
      </c>
      <c r="D7514" s="2" t="s">
        <v>28</v>
      </c>
      <c r="E7514" s="2" t="s">
        <v>34</v>
      </c>
      <c r="F7514" s="2">
        <v>36.049999999999997</v>
      </c>
      <c r="G7514" s="2">
        <v>3</v>
      </c>
      <c r="H7514" s="2">
        <v>-0.9</v>
      </c>
      <c r="I7514" t="str">
        <f t="shared" si="117"/>
        <v>May</v>
      </c>
      <c r="J7514">
        <f>YEAR(datas[[#This Row],[Order Date]])</f>
        <v>2024</v>
      </c>
    </row>
    <row r="7515" spans="1:10" ht="14.25" customHeight="1" x14ac:dyDescent="0.3">
      <c r="A7515" s="1">
        <v>45430</v>
      </c>
      <c r="B7515" s="2" t="s">
        <v>54</v>
      </c>
      <c r="C7515" s="2" t="s">
        <v>75</v>
      </c>
      <c r="D7515" s="2" t="s">
        <v>26</v>
      </c>
      <c r="E7515" s="2" t="s">
        <v>32</v>
      </c>
      <c r="F7515" s="2">
        <v>14.56</v>
      </c>
      <c r="G7515" s="2">
        <v>2</v>
      </c>
      <c r="H7515" s="2">
        <v>6.26</v>
      </c>
      <c r="I7515" t="str">
        <f t="shared" si="117"/>
        <v>May</v>
      </c>
      <c r="J7515">
        <f>YEAR(datas[[#This Row],[Order Date]])</f>
        <v>2024</v>
      </c>
    </row>
    <row r="7516" spans="1:10" ht="14.25" customHeight="1" x14ac:dyDescent="0.3">
      <c r="A7516" s="1">
        <v>45430</v>
      </c>
      <c r="B7516" s="2" t="s">
        <v>54</v>
      </c>
      <c r="C7516" s="2" t="s">
        <v>75</v>
      </c>
      <c r="D7516" s="2" t="s">
        <v>10</v>
      </c>
      <c r="E7516" s="2" t="s">
        <v>16</v>
      </c>
      <c r="F7516" s="2">
        <v>3.05</v>
      </c>
      <c r="G7516" s="2">
        <v>1</v>
      </c>
      <c r="H7516" s="2">
        <v>1.03</v>
      </c>
      <c r="I7516" t="str">
        <f t="shared" si="117"/>
        <v>May</v>
      </c>
      <c r="J7516">
        <f>YEAR(datas[[#This Row],[Order Date]])</f>
        <v>2024</v>
      </c>
    </row>
    <row r="7517" spans="1:10" ht="14.25" customHeight="1" x14ac:dyDescent="0.3">
      <c r="A7517" s="1">
        <v>45430</v>
      </c>
      <c r="B7517" s="2" t="s">
        <v>172</v>
      </c>
      <c r="C7517" s="2" t="s">
        <v>9</v>
      </c>
      <c r="D7517" s="2" t="s">
        <v>10</v>
      </c>
      <c r="E7517" s="2" t="s">
        <v>16</v>
      </c>
      <c r="F7517" s="2">
        <v>6.87</v>
      </c>
      <c r="G7517" s="2">
        <v>7</v>
      </c>
      <c r="H7517" s="2">
        <v>-10.65</v>
      </c>
      <c r="I7517" t="str">
        <f t="shared" si="117"/>
        <v>May</v>
      </c>
      <c r="J7517">
        <f>YEAR(datas[[#This Row],[Order Date]])</f>
        <v>2024</v>
      </c>
    </row>
    <row r="7518" spans="1:10" ht="14.25" customHeight="1" x14ac:dyDescent="0.3">
      <c r="A7518" s="1">
        <v>45430</v>
      </c>
      <c r="B7518" s="2" t="s">
        <v>172</v>
      </c>
      <c r="C7518" s="2" t="s">
        <v>9</v>
      </c>
      <c r="D7518" s="2" t="s">
        <v>10</v>
      </c>
      <c r="E7518" s="2" t="s">
        <v>16</v>
      </c>
      <c r="F7518" s="2">
        <v>2</v>
      </c>
      <c r="G7518" s="2">
        <v>1</v>
      </c>
      <c r="H7518" s="2">
        <v>-3.29</v>
      </c>
      <c r="I7518" t="str">
        <f t="shared" si="117"/>
        <v>May</v>
      </c>
      <c r="J7518">
        <f>YEAR(datas[[#This Row],[Order Date]])</f>
        <v>2024</v>
      </c>
    </row>
    <row r="7519" spans="1:10" ht="14.25" customHeight="1" x14ac:dyDescent="0.3">
      <c r="A7519" s="1">
        <v>45430</v>
      </c>
      <c r="B7519" s="2" t="s">
        <v>172</v>
      </c>
      <c r="C7519" s="2" t="s">
        <v>9</v>
      </c>
      <c r="D7519" s="2" t="s">
        <v>10</v>
      </c>
      <c r="E7519" s="2" t="s">
        <v>15</v>
      </c>
      <c r="F7519" s="2">
        <v>8.93</v>
      </c>
      <c r="G7519" s="2">
        <v>2</v>
      </c>
      <c r="H7519" s="2">
        <v>0.67</v>
      </c>
      <c r="I7519" t="str">
        <f t="shared" si="117"/>
        <v>May</v>
      </c>
      <c r="J7519">
        <f>YEAR(datas[[#This Row],[Order Date]])</f>
        <v>2024</v>
      </c>
    </row>
    <row r="7520" spans="1:10" ht="14.25" customHeight="1" x14ac:dyDescent="0.3">
      <c r="A7520" s="1">
        <v>45430</v>
      </c>
      <c r="B7520" s="2" t="s">
        <v>809</v>
      </c>
      <c r="C7520" s="2" t="s">
        <v>23</v>
      </c>
      <c r="D7520" s="2" t="s">
        <v>10</v>
      </c>
      <c r="E7520" s="2" t="s">
        <v>53</v>
      </c>
      <c r="F7520" s="2">
        <v>17.239999999999998</v>
      </c>
      <c r="G7520" s="2">
        <v>2</v>
      </c>
      <c r="H7520" s="2">
        <v>4.4800000000000004</v>
      </c>
      <c r="I7520" t="str">
        <f t="shared" si="117"/>
        <v>May</v>
      </c>
      <c r="J7520">
        <f>YEAR(datas[[#This Row],[Order Date]])</f>
        <v>2024</v>
      </c>
    </row>
    <row r="7521" spans="1:10" ht="14.25" customHeight="1" x14ac:dyDescent="0.3">
      <c r="A7521" s="1">
        <v>45430</v>
      </c>
      <c r="B7521" s="2" t="s">
        <v>809</v>
      </c>
      <c r="C7521" s="2" t="s">
        <v>23</v>
      </c>
      <c r="D7521" s="2" t="s">
        <v>26</v>
      </c>
      <c r="E7521" s="2" t="s">
        <v>45</v>
      </c>
      <c r="F7521" s="2">
        <v>302.94</v>
      </c>
      <c r="G7521" s="2">
        <v>3</v>
      </c>
      <c r="H7521" s="2">
        <v>75.739999999999995</v>
      </c>
      <c r="I7521" t="str">
        <f t="shared" si="117"/>
        <v>May</v>
      </c>
      <c r="J7521">
        <f>YEAR(datas[[#This Row],[Order Date]])</f>
        <v>2024</v>
      </c>
    </row>
    <row r="7522" spans="1:10" ht="14.25" customHeight="1" x14ac:dyDescent="0.3">
      <c r="A7522" s="1">
        <v>45430</v>
      </c>
      <c r="B7522" s="2" t="s">
        <v>809</v>
      </c>
      <c r="C7522" s="2" t="s">
        <v>23</v>
      </c>
      <c r="D7522" s="2" t="s">
        <v>28</v>
      </c>
      <c r="E7522" s="2" t="s">
        <v>29</v>
      </c>
      <c r="F7522" s="2">
        <v>34.75</v>
      </c>
      <c r="G7522" s="2">
        <v>5</v>
      </c>
      <c r="H7522" s="2">
        <v>15.64</v>
      </c>
      <c r="I7522" t="str">
        <f t="shared" si="117"/>
        <v>May</v>
      </c>
      <c r="J7522">
        <f>YEAR(datas[[#This Row],[Order Date]])</f>
        <v>2024</v>
      </c>
    </row>
    <row r="7523" spans="1:10" ht="14.25" customHeight="1" x14ac:dyDescent="0.3">
      <c r="A7523" s="1">
        <v>45430</v>
      </c>
      <c r="B7523" s="2" t="s">
        <v>809</v>
      </c>
      <c r="C7523" s="2" t="s">
        <v>23</v>
      </c>
      <c r="D7523" s="2" t="s">
        <v>10</v>
      </c>
      <c r="E7523" s="2" t="s">
        <v>16</v>
      </c>
      <c r="F7523" s="2">
        <v>113.94</v>
      </c>
      <c r="G7523" s="2">
        <v>6</v>
      </c>
      <c r="H7523" s="2">
        <v>54.69</v>
      </c>
      <c r="I7523" t="str">
        <f t="shared" si="117"/>
        <v>May</v>
      </c>
      <c r="J7523">
        <f>YEAR(datas[[#This Row],[Order Date]])</f>
        <v>2024</v>
      </c>
    </row>
    <row r="7524" spans="1:10" ht="14.25" customHeight="1" x14ac:dyDescent="0.3">
      <c r="A7524" s="1">
        <v>45430</v>
      </c>
      <c r="B7524" s="2" t="s">
        <v>809</v>
      </c>
      <c r="C7524" s="2" t="s">
        <v>23</v>
      </c>
      <c r="D7524" s="2" t="s">
        <v>28</v>
      </c>
      <c r="E7524" s="2" t="s">
        <v>29</v>
      </c>
      <c r="F7524" s="2">
        <v>55.98</v>
      </c>
      <c r="G7524" s="2">
        <v>2</v>
      </c>
      <c r="H7524" s="2">
        <v>15.67</v>
      </c>
      <c r="I7524" t="str">
        <f t="shared" si="117"/>
        <v>May</v>
      </c>
      <c r="J7524">
        <f>YEAR(datas[[#This Row],[Order Date]])</f>
        <v>2024</v>
      </c>
    </row>
    <row r="7525" spans="1:10" ht="14.25" customHeight="1" x14ac:dyDescent="0.3">
      <c r="A7525" s="1">
        <v>45430</v>
      </c>
      <c r="B7525" s="2" t="s">
        <v>651</v>
      </c>
      <c r="C7525" s="2" t="s">
        <v>52</v>
      </c>
      <c r="D7525" s="2" t="s">
        <v>28</v>
      </c>
      <c r="E7525" s="2" t="s">
        <v>29</v>
      </c>
      <c r="F7525" s="2">
        <v>344.7</v>
      </c>
      <c r="G7525" s="2">
        <v>2</v>
      </c>
      <c r="H7525" s="2">
        <v>38.78</v>
      </c>
      <c r="I7525" t="str">
        <f t="shared" si="117"/>
        <v>May</v>
      </c>
      <c r="J7525">
        <f>YEAR(datas[[#This Row],[Order Date]])</f>
        <v>2024</v>
      </c>
    </row>
    <row r="7526" spans="1:10" ht="14.25" customHeight="1" x14ac:dyDescent="0.3">
      <c r="A7526" s="1">
        <v>45430</v>
      </c>
      <c r="B7526" s="2" t="s">
        <v>437</v>
      </c>
      <c r="C7526" s="2" t="s">
        <v>91</v>
      </c>
      <c r="D7526" s="2" t="s">
        <v>10</v>
      </c>
      <c r="E7526" s="2" t="s">
        <v>53</v>
      </c>
      <c r="F7526" s="2">
        <v>706.86</v>
      </c>
      <c r="G7526" s="2">
        <v>7</v>
      </c>
      <c r="H7526" s="2">
        <v>197.92</v>
      </c>
      <c r="I7526" t="str">
        <f t="shared" si="117"/>
        <v>May</v>
      </c>
      <c r="J7526">
        <f>YEAR(datas[[#This Row],[Order Date]])</f>
        <v>2024</v>
      </c>
    </row>
    <row r="7527" spans="1:10" ht="14.25" customHeight="1" x14ac:dyDescent="0.3">
      <c r="A7527" s="1">
        <v>45430</v>
      </c>
      <c r="B7527" s="2" t="s">
        <v>437</v>
      </c>
      <c r="C7527" s="2" t="s">
        <v>91</v>
      </c>
      <c r="D7527" s="2" t="s">
        <v>28</v>
      </c>
      <c r="E7527" s="2" t="s">
        <v>29</v>
      </c>
      <c r="F7527" s="2">
        <v>114.95</v>
      </c>
      <c r="G7527" s="2">
        <v>5</v>
      </c>
      <c r="H7527" s="2">
        <v>2.2999999999999998</v>
      </c>
      <c r="I7527" t="str">
        <f t="shared" si="117"/>
        <v>May</v>
      </c>
      <c r="J7527">
        <f>YEAR(datas[[#This Row],[Order Date]])</f>
        <v>2024</v>
      </c>
    </row>
    <row r="7528" spans="1:10" ht="14.25" customHeight="1" x14ac:dyDescent="0.3">
      <c r="A7528" s="1">
        <v>45430</v>
      </c>
      <c r="B7528" s="2" t="s">
        <v>437</v>
      </c>
      <c r="C7528" s="2" t="s">
        <v>91</v>
      </c>
      <c r="D7528" s="2" t="s">
        <v>10</v>
      </c>
      <c r="E7528" s="2" t="s">
        <v>16</v>
      </c>
      <c r="F7528" s="2">
        <v>43.19</v>
      </c>
      <c r="G7528" s="2">
        <v>7</v>
      </c>
      <c r="H7528" s="2">
        <v>20.73</v>
      </c>
      <c r="I7528" t="str">
        <f t="shared" si="117"/>
        <v>May</v>
      </c>
      <c r="J7528">
        <f>YEAR(datas[[#This Row],[Order Date]])</f>
        <v>2024</v>
      </c>
    </row>
    <row r="7529" spans="1:10" ht="14.25" customHeight="1" x14ac:dyDescent="0.3">
      <c r="A7529" s="1">
        <v>45430</v>
      </c>
      <c r="B7529" s="2" t="s">
        <v>761</v>
      </c>
      <c r="C7529" s="2" t="s">
        <v>13</v>
      </c>
      <c r="D7529" s="2" t="s">
        <v>26</v>
      </c>
      <c r="E7529" s="2" t="s">
        <v>32</v>
      </c>
      <c r="F7529" s="2">
        <v>22.61</v>
      </c>
      <c r="G7529" s="2">
        <v>3</v>
      </c>
      <c r="H7529" s="2">
        <v>-10.17</v>
      </c>
      <c r="I7529" t="str">
        <f t="shared" si="117"/>
        <v>May</v>
      </c>
      <c r="J7529">
        <f>YEAR(datas[[#This Row],[Order Date]])</f>
        <v>2024</v>
      </c>
    </row>
    <row r="7530" spans="1:10" ht="14.25" customHeight="1" x14ac:dyDescent="0.3">
      <c r="A7530" s="1">
        <v>45430</v>
      </c>
      <c r="B7530" s="2" t="s">
        <v>761</v>
      </c>
      <c r="C7530" s="2" t="s">
        <v>13</v>
      </c>
      <c r="D7530" s="2" t="s">
        <v>26</v>
      </c>
      <c r="E7530" s="2" t="s">
        <v>32</v>
      </c>
      <c r="F7530" s="2">
        <v>1.89</v>
      </c>
      <c r="G7530" s="2">
        <v>1</v>
      </c>
      <c r="H7530" s="2">
        <v>-0.99</v>
      </c>
      <c r="I7530" t="str">
        <f t="shared" si="117"/>
        <v>May</v>
      </c>
      <c r="J7530">
        <f>YEAR(datas[[#This Row],[Order Date]])</f>
        <v>2024</v>
      </c>
    </row>
    <row r="7531" spans="1:10" ht="14.25" customHeight="1" x14ac:dyDescent="0.3">
      <c r="A7531" s="1">
        <v>45431</v>
      </c>
      <c r="B7531" s="2" t="s">
        <v>442</v>
      </c>
      <c r="C7531" s="2" t="s">
        <v>82</v>
      </c>
      <c r="D7531" s="2" t="s">
        <v>10</v>
      </c>
      <c r="E7531" s="2" t="s">
        <v>53</v>
      </c>
      <c r="F7531" s="2">
        <v>97.16</v>
      </c>
      <c r="G7531" s="2">
        <v>2</v>
      </c>
      <c r="H7531" s="2">
        <v>28.18</v>
      </c>
      <c r="I7531" t="str">
        <f t="shared" si="117"/>
        <v>May</v>
      </c>
      <c r="J7531">
        <f>YEAR(datas[[#This Row],[Order Date]])</f>
        <v>2024</v>
      </c>
    </row>
    <row r="7532" spans="1:10" ht="14.25" customHeight="1" x14ac:dyDescent="0.3">
      <c r="A7532" s="1">
        <v>45431</v>
      </c>
      <c r="B7532" s="2" t="s">
        <v>199</v>
      </c>
      <c r="C7532" s="2" t="s">
        <v>75</v>
      </c>
      <c r="D7532" s="2" t="s">
        <v>10</v>
      </c>
      <c r="E7532" s="2" t="s">
        <v>53</v>
      </c>
      <c r="F7532" s="2">
        <v>281.33999999999997</v>
      </c>
      <c r="G7532" s="2">
        <v>6</v>
      </c>
      <c r="H7532" s="2">
        <v>109.72</v>
      </c>
      <c r="I7532" t="str">
        <f t="shared" si="117"/>
        <v>May</v>
      </c>
      <c r="J7532">
        <f>YEAR(datas[[#This Row],[Order Date]])</f>
        <v>2024</v>
      </c>
    </row>
    <row r="7533" spans="1:10" ht="14.25" customHeight="1" x14ac:dyDescent="0.3">
      <c r="A7533" s="1">
        <v>45431</v>
      </c>
      <c r="B7533" s="2" t="s">
        <v>199</v>
      </c>
      <c r="C7533" s="2" t="s">
        <v>75</v>
      </c>
      <c r="D7533" s="2" t="s">
        <v>28</v>
      </c>
      <c r="E7533" s="2" t="s">
        <v>29</v>
      </c>
      <c r="F7533" s="2">
        <v>307.98</v>
      </c>
      <c r="G7533" s="2">
        <v>2</v>
      </c>
      <c r="H7533" s="2">
        <v>89.31</v>
      </c>
      <c r="I7533" t="str">
        <f t="shared" si="117"/>
        <v>May</v>
      </c>
      <c r="J7533">
        <f>YEAR(datas[[#This Row],[Order Date]])</f>
        <v>2024</v>
      </c>
    </row>
    <row r="7534" spans="1:10" ht="14.25" customHeight="1" x14ac:dyDescent="0.3">
      <c r="A7534" s="1">
        <v>45431</v>
      </c>
      <c r="B7534" s="2" t="s">
        <v>199</v>
      </c>
      <c r="C7534" s="2" t="s">
        <v>75</v>
      </c>
      <c r="D7534" s="2" t="s">
        <v>28</v>
      </c>
      <c r="E7534" s="2" t="s">
        <v>34</v>
      </c>
      <c r="F7534" s="2">
        <v>299.97000000000003</v>
      </c>
      <c r="G7534" s="2">
        <v>3</v>
      </c>
      <c r="H7534" s="2">
        <v>113.99</v>
      </c>
      <c r="I7534" t="str">
        <f t="shared" si="117"/>
        <v>May</v>
      </c>
      <c r="J7534">
        <f>YEAR(datas[[#This Row],[Order Date]])</f>
        <v>2024</v>
      </c>
    </row>
    <row r="7535" spans="1:10" ht="14.25" customHeight="1" x14ac:dyDescent="0.3">
      <c r="A7535" s="1">
        <v>45431</v>
      </c>
      <c r="B7535" s="2" t="s">
        <v>110</v>
      </c>
      <c r="C7535" s="2" t="s">
        <v>23</v>
      </c>
      <c r="D7535" s="2" t="s">
        <v>28</v>
      </c>
      <c r="E7535" s="2" t="s">
        <v>34</v>
      </c>
      <c r="F7535" s="2">
        <v>67.8</v>
      </c>
      <c r="G7535" s="2">
        <v>4</v>
      </c>
      <c r="H7535" s="2">
        <v>4.07</v>
      </c>
      <c r="I7535" t="str">
        <f t="shared" si="117"/>
        <v>May</v>
      </c>
      <c r="J7535">
        <f>YEAR(datas[[#This Row],[Order Date]])</f>
        <v>2024</v>
      </c>
    </row>
    <row r="7536" spans="1:10" ht="14.25" customHeight="1" x14ac:dyDescent="0.3">
      <c r="A7536" s="1">
        <v>45431</v>
      </c>
      <c r="B7536" s="2" t="s">
        <v>110</v>
      </c>
      <c r="C7536" s="2" t="s">
        <v>23</v>
      </c>
      <c r="D7536" s="2" t="s">
        <v>28</v>
      </c>
      <c r="E7536" s="2" t="s">
        <v>29</v>
      </c>
      <c r="F7536" s="2">
        <v>377.97</v>
      </c>
      <c r="G7536" s="2">
        <v>3</v>
      </c>
      <c r="H7536" s="2">
        <v>98.27</v>
      </c>
      <c r="I7536" t="str">
        <f t="shared" si="117"/>
        <v>May</v>
      </c>
      <c r="J7536">
        <f>YEAR(datas[[#This Row],[Order Date]])</f>
        <v>2024</v>
      </c>
    </row>
    <row r="7537" spans="1:10" ht="14.25" customHeight="1" x14ac:dyDescent="0.3">
      <c r="A7537" s="1">
        <v>45431</v>
      </c>
      <c r="B7537" s="2" t="s">
        <v>110</v>
      </c>
      <c r="C7537" s="2" t="s">
        <v>23</v>
      </c>
      <c r="D7537" s="2" t="s">
        <v>26</v>
      </c>
      <c r="E7537" s="2" t="s">
        <v>45</v>
      </c>
      <c r="F7537" s="2">
        <v>1628.82</v>
      </c>
      <c r="G7537" s="2">
        <v>9</v>
      </c>
      <c r="H7537" s="2">
        <v>374.63</v>
      </c>
      <c r="I7537" t="str">
        <f t="shared" si="117"/>
        <v>May</v>
      </c>
      <c r="J7537">
        <f>YEAR(datas[[#This Row],[Order Date]])</f>
        <v>2024</v>
      </c>
    </row>
    <row r="7538" spans="1:10" ht="14.25" customHeight="1" x14ac:dyDescent="0.3">
      <c r="A7538" s="1">
        <v>45431</v>
      </c>
      <c r="B7538" s="2" t="s">
        <v>110</v>
      </c>
      <c r="C7538" s="2" t="s">
        <v>23</v>
      </c>
      <c r="D7538" s="2" t="s">
        <v>10</v>
      </c>
      <c r="E7538" s="2" t="s">
        <v>11</v>
      </c>
      <c r="F7538" s="2">
        <v>286.93</v>
      </c>
      <c r="G7538" s="2">
        <v>7</v>
      </c>
      <c r="H7538" s="2">
        <v>140.6</v>
      </c>
      <c r="I7538" t="str">
        <f t="shared" si="117"/>
        <v>May</v>
      </c>
      <c r="J7538">
        <f>YEAR(datas[[#This Row],[Order Date]])</f>
        <v>2024</v>
      </c>
    </row>
    <row r="7539" spans="1:10" ht="14.25" customHeight="1" x14ac:dyDescent="0.3">
      <c r="A7539" s="1">
        <v>45431</v>
      </c>
      <c r="B7539" s="2" t="s">
        <v>356</v>
      </c>
      <c r="C7539" s="2" t="s">
        <v>21</v>
      </c>
      <c r="D7539" s="2" t="s">
        <v>26</v>
      </c>
      <c r="E7539" s="2" t="s">
        <v>27</v>
      </c>
      <c r="F7539" s="2">
        <v>681.41</v>
      </c>
      <c r="G7539" s="2">
        <v>12</v>
      </c>
      <c r="H7539" s="2">
        <v>42.59</v>
      </c>
      <c r="I7539" t="str">
        <f t="shared" si="117"/>
        <v>May</v>
      </c>
      <c r="J7539">
        <f>YEAR(datas[[#This Row],[Order Date]])</f>
        <v>2024</v>
      </c>
    </row>
    <row r="7540" spans="1:10" ht="14.25" customHeight="1" x14ac:dyDescent="0.3">
      <c r="A7540" s="1">
        <v>45431</v>
      </c>
      <c r="B7540" s="2" t="s">
        <v>356</v>
      </c>
      <c r="C7540" s="2" t="s">
        <v>21</v>
      </c>
      <c r="D7540" s="2" t="s">
        <v>10</v>
      </c>
      <c r="E7540" s="2" t="s">
        <v>19</v>
      </c>
      <c r="F7540" s="2">
        <v>3.52</v>
      </c>
      <c r="G7540" s="2">
        <v>2</v>
      </c>
      <c r="H7540" s="2">
        <v>1.02</v>
      </c>
      <c r="I7540" t="str">
        <f t="shared" si="117"/>
        <v>May</v>
      </c>
      <c r="J7540">
        <f>YEAR(datas[[#This Row],[Order Date]])</f>
        <v>2024</v>
      </c>
    </row>
    <row r="7541" spans="1:10" ht="14.25" customHeight="1" x14ac:dyDescent="0.3">
      <c r="A7541" s="1">
        <v>45431</v>
      </c>
      <c r="B7541" s="2" t="s">
        <v>356</v>
      </c>
      <c r="C7541" s="2" t="s">
        <v>21</v>
      </c>
      <c r="D7541" s="2" t="s">
        <v>10</v>
      </c>
      <c r="E7541" s="2" t="s">
        <v>19</v>
      </c>
      <c r="F7541" s="2">
        <v>5.58</v>
      </c>
      <c r="G7541" s="2">
        <v>1</v>
      </c>
      <c r="H7541" s="2">
        <v>1.4</v>
      </c>
      <c r="I7541" t="str">
        <f t="shared" si="117"/>
        <v>May</v>
      </c>
      <c r="J7541">
        <f>YEAR(datas[[#This Row],[Order Date]])</f>
        <v>2024</v>
      </c>
    </row>
    <row r="7542" spans="1:10" ht="14.25" customHeight="1" x14ac:dyDescent="0.3">
      <c r="A7542" s="1">
        <v>45431</v>
      </c>
      <c r="B7542" s="2" t="s">
        <v>356</v>
      </c>
      <c r="C7542" s="2" t="s">
        <v>21</v>
      </c>
      <c r="D7542" s="2" t="s">
        <v>28</v>
      </c>
      <c r="E7542" s="2" t="s">
        <v>34</v>
      </c>
      <c r="F7542" s="2">
        <v>36.32</v>
      </c>
      <c r="G7542" s="2">
        <v>1</v>
      </c>
      <c r="H7542" s="2">
        <v>10.9</v>
      </c>
      <c r="I7542" t="str">
        <f t="shared" si="117"/>
        <v>May</v>
      </c>
      <c r="J7542">
        <f>YEAR(datas[[#This Row],[Order Date]])</f>
        <v>2024</v>
      </c>
    </row>
    <row r="7543" spans="1:10" ht="14.25" customHeight="1" x14ac:dyDescent="0.3">
      <c r="A7543" s="1">
        <v>45431</v>
      </c>
      <c r="B7543" s="2" t="s">
        <v>476</v>
      </c>
      <c r="C7543" s="2" t="s">
        <v>23</v>
      </c>
      <c r="D7543" s="2" t="s">
        <v>10</v>
      </c>
      <c r="E7543" s="2" t="s">
        <v>11</v>
      </c>
      <c r="F7543" s="2">
        <v>195.64</v>
      </c>
      <c r="G7543" s="2">
        <v>4</v>
      </c>
      <c r="H7543" s="2">
        <v>91.95</v>
      </c>
      <c r="I7543" t="str">
        <f t="shared" si="117"/>
        <v>May</v>
      </c>
      <c r="J7543">
        <f>YEAR(datas[[#This Row],[Order Date]])</f>
        <v>2024</v>
      </c>
    </row>
    <row r="7544" spans="1:10" ht="14.25" customHeight="1" x14ac:dyDescent="0.3">
      <c r="A7544" s="1">
        <v>45431</v>
      </c>
      <c r="B7544" s="2" t="s">
        <v>292</v>
      </c>
      <c r="C7544" s="2" t="s">
        <v>13</v>
      </c>
      <c r="D7544" s="2" t="s">
        <v>10</v>
      </c>
      <c r="E7544" s="2" t="s">
        <v>11</v>
      </c>
      <c r="F7544" s="2">
        <v>38.020000000000003</v>
      </c>
      <c r="G7544" s="2">
        <v>6</v>
      </c>
      <c r="H7544" s="2">
        <v>13.78</v>
      </c>
      <c r="I7544" t="str">
        <f t="shared" si="117"/>
        <v>May</v>
      </c>
      <c r="J7544">
        <f>YEAR(datas[[#This Row],[Order Date]])</f>
        <v>2024</v>
      </c>
    </row>
    <row r="7545" spans="1:10" ht="14.25" customHeight="1" x14ac:dyDescent="0.3">
      <c r="A7545" s="1">
        <v>45431</v>
      </c>
      <c r="B7545" s="2" t="s">
        <v>133</v>
      </c>
      <c r="C7545" s="2" t="s">
        <v>9</v>
      </c>
      <c r="D7545" s="2" t="s">
        <v>28</v>
      </c>
      <c r="E7545" s="2" t="s">
        <v>29</v>
      </c>
      <c r="F7545" s="2">
        <v>95.99</v>
      </c>
      <c r="G7545" s="2">
        <v>1</v>
      </c>
      <c r="H7545" s="2">
        <v>9.6</v>
      </c>
      <c r="I7545" t="str">
        <f t="shared" si="117"/>
        <v>May</v>
      </c>
      <c r="J7545">
        <f>YEAR(datas[[#This Row],[Order Date]])</f>
        <v>2024</v>
      </c>
    </row>
    <row r="7546" spans="1:10" ht="14.25" customHeight="1" x14ac:dyDescent="0.3">
      <c r="A7546" s="1">
        <v>45431</v>
      </c>
      <c r="B7546" s="2" t="s">
        <v>133</v>
      </c>
      <c r="C7546" s="2" t="s">
        <v>9</v>
      </c>
      <c r="D7546" s="2" t="s">
        <v>10</v>
      </c>
      <c r="E7546" s="2" t="s">
        <v>14</v>
      </c>
      <c r="F7546" s="2">
        <v>13.22</v>
      </c>
      <c r="G7546" s="2">
        <v>4</v>
      </c>
      <c r="H7546" s="2">
        <v>4.3</v>
      </c>
      <c r="I7546" t="str">
        <f t="shared" si="117"/>
        <v>May</v>
      </c>
      <c r="J7546">
        <f>YEAR(datas[[#This Row],[Order Date]])</f>
        <v>2024</v>
      </c>
    </row>
    <row r="7547" spans="1:10" ht="14.25" customHeight="1" x14ac:dyDescent="0.3">
      <c r="A7547" s="1">
        <v>45431</v>
      </c>
      <c r="B7547" s="2" t="s">
        <v>584</v>
      </c>
      <c r="C7547" s="2" t="s">
        <v>62</v>
      </c>
      <c r="D7547" s="2" t="s">
        <v>26</v>
      </c>
      <c r="E7547" s="2" t="s">
        <v>27</v>
      </c>
      <c r="F7547" s="2">
        <v>314.35000000000002</v>
      </c>
      <c r="G7547" s="2">
        <v>3</v>
      </c>
      <c r="H7547" s="2">
        <v>-35.36</v>
      </c>
      <c r="I7547" t="str">
        <f t="shared" si="117"/>
        <v>May</v>
      </c>
      <c r="J7547">
        <f>YEAR(datas[[#This Row],[Order Date]])</f>
        <v>2024</v>
      </c>
    </row>
    <row r="7548" spans="1:10" ht="14.25" customHeight="1" x14ac:dyDescent="0.3">
      <c r="A7548" s="1">
        <v>45431</v>
      </c>
      <c r="B7548" s="2" t="s">
        <v>584</v>
      </c>
      <c r="C7548" s="2" t="s">
        <v>62</v>
      </c>
      <c r="D7548" s="2" t="s">
        <v>10</v>
      </c>
      <c r="E7548" s="2" t="s">
        <v>11</v>
      </c>
      <c r="F7548" s="2">
        <v>27.89</v>
      </c>
      <c r="G7548" s="2">
        <v>7</v>
      </c>
      <c r="H7548" s="2">
        <v>10.11</v>
      </c>
      <c r="I7548" t="str">
        <f t="shared" si="117"/>
        <v>May</v>
      </c>
      <c r="J7548">
        <f>YEAR(datas[[#This Row],[Order Date]])</f>
        <v>2024</v>
      </c>
    </row>
    <row r="7549" spans="1:10" ht="14.25" customHeight="1" x14ac:dyDescent="0.3">
      <c r="A7549" s="1">
        <v>45431</v>
      </c>
      <c r="B7549" s="2" t="s">
        <v>103</v>
      </c>
      <c r="C7549" s="2" t="s">
        <v>21</v>
      </c>
      <c r="D7549" s="2" t="s">
        <v>10</v>
      </c>
      <c r="E7549" s="2" t="s">
        <v>16</v>
      </c>
      <c r="F7549" s="2">
        <v>133.12</v>
      </c>
      <c r="G7549" s="2">
        <v>5</v>
      </c>
      <c r="H7549" s="2">
        <v>49.92</v>
      </c>
      <c r="I7549" t="str">
        <f t="shared" si="117"/>
        <v>May</v>
      </c>
      <c r="J7549">
        <f>YEAR(datas[[#This Row],[Order Date]])</f>
        <v>2024</v>
      </c>
    </row>
    <row r="7550" spans="1:10" ht="14.25" customHeight="1" x14ac:dyDescent="0.3">
      <c r="A7550" s="1">
        <v>45431</v>
      </c>
      <c r="B7550" s="2" t="s">
        <v>85</v>
      </c>
      <c r="C7550" s="2" t="s">
        <v>198</v>
      </c>
      <c r="D7550" s="2" t="s">
        <v>10</v>
      </c>
      <c r="E7550" s="2" t="s">
        <v>16</v>
      </c>
      <c r="F7550" s="2">
        <v>26.16</v>
      </c>
      <c r="G7550" s="2">
        <v>4</v>
      </c>
      <c r="H7550" s="2">
        <v>12.82</v>
      </c>
      <c r="I7550" t="str">
        <f t="shared" si="117"/>
        <v>May</v>
      </c>
      <c r="J7550">
        <f>YEAR(datas[[#This Row],[Order Date]])</f>
        <v>2024</v>
      </c>
    </row>
    <row r="7551" spans="1:10" ht="14.25" customHeight="1" x14ac:dyDescent="0.3">
      <c r="A7551" s="1">
        <v>45432</v>
      </c>
      <c r="B7551" s="2" t="s">
        <v>174</v>
      </c>
      <c r="C7551" s="2" t="s">
        <v>861</v>
      </c>
      <c r="D7551" s="2" t="s">
        <v>10</v>
      </c>
      <c r="E7551" s="2" t="s">
        <v>19</v>
      </c>
      <c r="F7551" s="2">
        <v>131.94</v>
      </c>
      <c r="G7551" s="2">
        <v>3</v>
      </c>
      <c r="H7551" s="2">
        <v>35.619999999999997</v>
      </c>
      <c r="I7551" t="str">
        <f t="shared" si="117"/>
        <v>May</v>
      </c>
      <c r="J7551">
        <f>YEAR(datas[[#This Row],[Order Date]])</f>
        <v>2024</v>
      </c>
    </row>
    <row r="7552" spans="1:10" ht="14.25" customHeight="1" x14ac:dyDescent="0.3">
      <c r="A7552" s="1">
        <v>45432</v>
      </c>
      <c r="B7552" s="2" t="s">
        <v>174</v>
      </c>
      <c r="C7552" s="2" t="s">
        <v>861</v>
      </c>
      <c r="D7552" s="2" t="s">
        <v>10</v>
      </c>
      <c r="E7552" s="2" t="s">
        <v>19</v>
      </c>
      <c r="F7552" s="2">
        <v>25.92</v>
      </c>
      <c r="G7552" s="2">
        <v>4</v>
      </c>
      <c r="H7552" s="2">
        <v>8.2899999999999991</v>
      </c>
      <c r="I7552" t="str">
        <f t="shared" si="117"/>
        <v>May</v>
      </c>
      <c r="J7552">
        <f>YEAR(datas[[#This Row],[Order Date]])</f>
        <v>2024</v>
      </c>
    </row>
    <row r="7553" spans="1:10" ht="14.25" customHeight="1" x14ac:dyDescent="0.3">
      <c r="A7553" s="1">
        <v>45432</v>
      </c>
      <c r="B7553" s="2" t="s">
        <v>174</v>
      </c>
      <c r="C7553" s="2" t="s">
        <v>861</v>
      </c>
      <c r="D7553" s="2" t="s">
        <v>10</v>
      </c>
      <c r="E7553" s="2" t="s">
        <v>15</v>
      </c>
      <c r="F7553" s="2">
        <v>704.76</v>
      </c>
      <c r="G7553" s="2">
        <v>4</v>
      </c>
      <c r="H7553" s="2">
        <v>162.09</v>
      </c>
      <c r="I7553" t="str">
        <f t="shared" si="117"/>
        <v>May</v>
      </c>
      <c r="J7553">
        <f>YEAR(datas[[#This Row],[Order Date]])</f>
        <v>2024</v>
      </c>
    </row>
    <row r="7554" spans="1:10" ht="14.25" customHeight="1" x14ac:dyDescent="0.3">
      <c r="A7554" s="1">
        <v>45432</v>
      </c>
      <c r="B7554" s="2" t="s">
        <v>174</v>
      </c>
      <c r="C7554" s="2" t="s">
        <v>861</v>
      </c>
      <c r="D7554" s="2" t="s">
        <v>10</v>
      </c>
      <c r="E7554" s="2" t="s">
        <v>30</v>
      </c>
      <c r="F7554" s="2">
        <v>7.41</v>
      </c>
      <c r="G7554" s="2">
        <v>3</v>
      </c>
      <c r="H7554" s="2">
        <v>3.48</v>
      </c>
      <c r="I7554" t="str">
        <f t="shared" si="117"/>
        <v>May</v>
      </c>
      <c r="J7554">
        <f>YEAR(datas[[#This Row],[Order Date]])</f>
        <v>2024</v>
      </c>
    </row>
    <row r="7555" spans="1:10" ht="14.25" customHeight="1" x14ac:dyDescent="0.3">
      <c r="A7555" s="1">
        <v>45432</v>
      </c>
      <c r="B7555" s="2" t="s">
        <v>174</v>
      </c>
      <c r="C7555" s="2" t="s">
        <v>861</v>
      </c>
      <c r="D7555" s="2" t="s">
        <v>10</v>
      </c>
      <c r="E7555" s="2" t="s">
        <v>19</v>
      </c>
      <c r="F7555" s="2">
        <v>21.5</v>
      </c>
      <c r="G7555" s="2">
        <v>10</v>
      </c>
      <c r="H7555" s="2">
        <v>7.1</v>
      </c>
      <c r="I7555" t="str">
        <f t="shared" ref="I7555:I7618" si="118">TEXT(A7555,"mmm")</f>
        <v>May</v>
      </c>
      <c r="J7555">
        <f>YEAR(datas[[#This Row],[Order Date]])</f>
        <v>2024</v>
      </c>
    </row>
    <row r="7556" spans="1:10" ht="14.25" customHeight="1" x14ac:dyDescent="0.3">
      <c r="A7556" s="1">
        <v>45432</v>
      </c>
      <c r="B7556" s="2" t="s">
        <v>757</v>
      </c>
      <c r="C7556" s="2" t="s">
        <v>21</v>
      </c>
      <c r="D7556" s="2" t="s">
        <v>26</v>
      </c>
      <c r="E7556" s="2" t="s">
        <v>27</v>
      </c>
      <c r="F7556" s="2">
        <v>518.27</v>
      </c>
      <c r="G7556" s="2">
        <v>8</v>
      </c>
      <c r="H7556" s="2">
        <v>-97.18</v>
      </c>
      <c r="I7556" t="str">
        <f t="shared" si="118"/>
        <v>May</v>
      </c>
      <c r="J7556">
        <f>YEAR(datas[[#This Row],[Order Date]])</f>
        <v>2024</v>
      </c>
    </row>
    <row r="7557" spans="1:10" ht="14.25" customHeight="1" x14ac:dyDescent="0.3">
      <c r="A7557" s="1">
        <v>45432</v>
      </c>
      <c r="B7557" s="2" t="s">
        <v>757</v>
      </c>
      <c r="C7557" s="2" t="s">
        <v>21</v>
      </c>
      <c r="D7557" s="2" t="s">
        <v>26</v>
      </c>
      <c r="E7557" s="2" t="s">
        <v>32</v>
      </c>
      <c r="F7557" s="2">
        <v>6.98</v>
      </c>
      <c r="G7557" s="2">
        <v>1</v>
      </c>
      <c r="H7557" s="2">
        <v>3.35</v>
      </c>
      <c r="I7557" t="str">
        <f t="shared" si="118"/>
        <v>May</v>
      </c>
      <c r="J7557">
        <f>YEAR(datas[[#This Row],[Order Date]])</f>
        <v>2024</v>
      </c>
    </row>
    <row r="7558" spans="1:10" ht="14.25" customHeight="1" x14ac:dyDescent="0.3">
      <c r="A7558" s="1">
        <v>45432</v>
      </c>
      <c r="B7558" s="2" t="s">
        <v>757</v>
      </c>
      <c r="C7558" s="2" t="s">
        <v>21</v>
      </c>
      <c r="D7558" s="2" t="s">
        <v>28</v>
      </c>
      <c r="E7558" s="2" t="s">
        <v>136</v>
      </c>
      <c r="F7558" s="2">
        <v>343.2</v>
      </c>
      <c r="G7558" s="2">
        <v>1</v>
      </c>
      <c r="H7558" s="2">
        <v>38.61</v>
      </c>
      <c r="I7558" t="str">
        <f t="shared" si="118"/>
        <v>May</v>
      </c>
      <c r="J7558">
        <f>YEAR(datas[[#This Row],[Order Date]])</f>
        <v>2024</v>
      </c>
    </row>
    <row r="7559" spans="1:10" ht="14.25" customHeight="1" x14ac:dyDescent="0.3">
      <c r="A7559" s="1">
        <v>45432</v>
      </c>
      <c r="B7559" s="2" t="s">
        <v>515</v>
      </c>
      <c r="C7559" s="2" t="s">
        <v>60</v>
      </c>
      <c r="D7559" s="2" t="s">
        <v>10</v>
      </c>
      <c r="E7559" s="2" t="s">
        <v>16</v>
      </c>
      <c r="F7559" s="2">
        <v>41.28</v>
      </c>
      <c r="G7559" s="2">
        <v>2</v>
      </c>
      <c r="H7559" s="2">
        <v>19.809999999999999</v>
      </c>
      <c r="I7559" t="str">
        <f t="shared" si="118"/>
        <v>May</v>
      </c>
      <c r="J7559">
        <f>YEAR(datas[[#This Row],[Order Date]])</f>
        <v>2024</v>
      </c>
    </row>
    <row r="7560" spans="1:10" ht="14.25" customHeight="1" x14ac:dyDescent="0.3">
      <c r="A7560" s="1">
        <v>45432</v>
      </c>
      <c r="B7560" s="2" t="s">
        <v>314</v>
      </c>
      <c r="C7560" s="2" t="s">
        <v>66</v>
      </c>
      <c r="D7560" s="2" t="s">
        <v>10</v>
      </c>
      <c r="E7560" s="2" t="s">
        <v>16</v>
      </c>
      <c r="F7560" s="2">
        <v>8.2899999999999991</v>
      </c>
      <c r="G7560" s="2">
        <v>2</v>
      </c>
      <c r="H7560" s="2">
        <v>3</v>
      </c>
      <c r="I7560" t="str">
        <f t="shared" si="118"/>
        <v>May</v>
      </c>
      <c r="J7560">
        <f>YEAR(datas[[#This Row],[Order Date]])</f>
        <v>2024</v>
      </c>
    </row>
    <row r="7561" spans="1:10" ht="14.25" customHeight="1" x14ac:dyDescent="0.3">
      <c r="A7561" s="1">
        <v>45432</v>
      </c>
      <c r="B7561" s="2" t="s">
        <v>314</v>
      </c>
      <c r="C7561" s="2" t="s">
        <v>66</v>
      </c>
      <c r="D7561" s="2" t="s">
        <v>28</v>
      </c>
      <c r="E7561" s="2" t="s">
        <v>29</v>
      </c>
      <c r="F7561" s="2">
        <v>1123.1300000000001</v>
      </c>
      <c r="G7561" s="2">
        <v>9</v>
      </c>
      <c r="H7561" s="2">
        <v>70.2</v>
      </c>
      <c r="I7561" t="str">
        <f t="shared" si="118"/>
        <v>May</v>
      </c>
      <c r="J7561">
        <f>YEAR(datas[[#This Row],[Order Date]])</f>
        <v>2024</v>
      </c>
    </row>
    <row r="7562" spans="1:10" ht="14.25" customHeight="1" x14ac:dyDescent="0.3">
      <c r="A7562" s="1">
        <v>45432</v>
      </c>
      <c r="B7562" s="2" t="s">
        <v>314</v>
      </c>
      <c r="C7562" s="2" t="s">
        <v>66</v>
      </c>
      <c r="D7562" s="2" t="s">
        <v>10</v>
      </c>
      <c r="E7562" s="2" t="s">
        <v>53</v>
      </c>
      <c r="F7562" s="2">
        <v>64.900000000000006</v>
      </c>
      <c r="G7562" s="2">
        <v>5</v>
      </c>
      <c r="H7562" s="2">
        <v>18.82</v>
      </c>
      <c r="I7562" t="str">
        <f t="shared" si="118"/>
        <v>May</v>
      </c>
      <c r="J7562">
        <f>YEAR(datas[[#This Row],[Order Date]])</f>
        <v>2024</v>
      </c>
    </row>
    <row r="7563" spans="1:10" ht="14.25" customHeight="1" x14ac:dyDescent="0.3">
      <c r="A7563" s="1">
        <v>45433</v>
      </c>
      <c r="B7563" s="2" t="s">
        <v>190</v>
      </c>
      <c r="C7563" s="2" t="s">
        <v>75</v>
      </c>
      <c r="D7563" s="2" t="s">
        <v>26</v>
      </c>
      <c r="E7563" s="2" t="s">
        <v>32</v>
      </c>
      <c r="F7563" s="2">
        <v>520.04999999999995</v>
      </c>
      <c r="G7563" s="2">
        <v>5</v>
      </c>
      <c r="H7563" s="2">
        <v>72.81</v>
      </c>
      <c r="I7563" t="str">
        <f t="shared" si="118"/>
        <v>May</v>
      </c>
      <c r="J7563">
        <f>YEAR(datas[[#This Row],[Order Date]])</f>
        <v>2024</v>
      </c>
    </row>
    <row r="7564" spans="1:10" ht="14.25" customHeight="1" x14ac:dyDescent="0.3">
      <c r="A7564" s="1">
        <v>45433</v>
      </c>
      <c r="B7564" s="2" t="s">
        <v>190</v>
      </c>
      <c r="C7564" s="2" t="s">
        <v>75</v>
      </c>
      <c r="D7564" s="2" t="s">
        <v>10</v>
      </c>
      <c r="E7564" s="2" t="s">
        <v>19</v>
      </c>
      <c r="F7564" s="2">
        <v>17.97</v>
      </c>
      <c r="G7564" s="2">
        <v>3</v>
      </c>
      <c r="H7564" s="2">
        <v>5.21</v>
      </c>
      <c r="I7564" t="str">
        <f t="shared" si="118"/>
        <v>May</v>
      </c>
      <c r="J7564">
        <f>YEAR(datas[[#This Row],[Order Date]])</f>
        <v>2024</v>
      </c>
    </row>
    <row r="7565" spans="1:10" ht="14.25" customHeight="1" x14ac:dyDescent="0.3">
      <c r="A7565" s="1">
        <v>45434</v>
      </c>
      <c r="B7565" s="2" t="s">
        <v>291</v>
      </c>
      <c r="C7565" s="2" t="s">
        <v>13</v>
      </c>
      <c r="D7565" s="2" t="s">
        <v>26</v>
      </c>
      <c r="E7565" s="2" t="s">
        <v>27</v>
      </c>
      <c r="F7565" s="2">
        <v>181.99</v>
      </c>
      <c r="G7565" s="2">
        <v>2</v>
      </c>
      <c r="H7565" s="2">
        <v>-54.6</v>
      </c>
      <c r="I7565" t="str">
        <f t="shared" si="118"/>
        <v>May</v>
      </c>
      <c r="J7565">
        <f>YEAR(datas[[#This Row],[Order Date]])</f>
        <v>2024</v>
      </c>
    </row>
    <row r="7566" spans="1:10" ht="14.25" customHeight="1" x14ac:dyDescent="0.3">
      <c r="A7566" s="1">
        <v>45434</v>
      </c>
      <c r="B7566" s="2" t="s">
        <v>291</v>
      </c>
      <c r="C7566" s="2" t="s">
        <v>13</v>
      </c>
      <c r="D7566" s="2" t="s">
        <v>10</v>
      </c>
      <c r="E7566" s="2" t="s">
        <v>16</v>
      </c>
      <c r="F7566" s="2">
        <v>1.59</v>
      </c>
      <c r="G7566" s="2">
        <v>2</v>
      </c>
      <c r="H7566" s="2">
        <v>-2.63</v>
      </c>
      <c r="I7566" t="str">
        <f t="shared" si="118"/>
        <v>May</v>
      </c>
      <c r="J7566">
        <f>YEAR(datas[[#This Row],[Order Date]])</f>
        <v>2024</v>
      </c>
    </row>
    <row r="7567" spans="1:10" ht="14.25" customHeight="1" x14ac:dyDescent="0.3">
      <c r="A7567" s="1">
        <v>45434</v>
      </c>
      <c r="B7567" s="2" t="s">
        <v>291</v>
      </c>
      <c r="C7567" s="2" t="s">
        <v>13</v>
      </c>
      <c r="D7567" s="2" t="s">
        <v>10</v>
      </c>
      <c r="E7567" s="2" t="s">
        <v>95</v>
      </c>
      <c r="F7567" s="2">
        <v>22.34</v>
      </c>
      <c r="G7567" s="2">
        <v>3</v>
      </c>
      <c r="H7567" s="2">
        <v>2.5099999999999998</v>
      </c>
      <c r="I7567" t="str">
        <f t="shared" si="118"/>
        <v>May</v>
      </c>
      <c r="J7567">
        <f>YEAR(datas[[#This Row],[Order Date]])</f>
        <v>2024</v>
      </c>
    </row>
    <row r="7568" spans="1:10" ht="14.25" customHeight="1" x14ac:dyDescent="0.3">
      <c r="A7568" s="1">
        <v>45434</v>
      </c>
      <c r="B7568" s="2" t="s">
        <v>349</v>
      </c>
      <c r="C7568" s="2" t="s">
        <v>21</v>
      </c>
      <c r="D7568" s="2" t="s">
        <v>28</v>
      </c>
      <c r="E7568" s="2" t="s">
        <v>34</v>
      </c>
      <c r="F7568" s="2">
        <v>68.459999999999994</v>
      </c>
      <c r="G7568" s="2">
        <v>7</v>
      </c>
      <c r="H7568" s="2">
        <v>25.33</v>
      </c>
      <c r="I7568" t="str">
        <f t="shared" si="118"/>
        <v>May</v>
      </c>
      <c r="J7568">
        <f>YEAR(datas[[#This Row],[Order Date]])</f>
        <v>2024</v>
      </c>
    </row>
    <row r="7569" spans="1:10" ht="14.25" customHeight="1" x14ac:dyDescent="0.3">
      <c r="A7569" s="1">
        <v>45434</v>
      </c>
      <c r="B7569" s="2" t="s">
        <v>628</v>
      </c>
      <c r="C7569" s="2" t="s">
        <v>21</v>
      </c>
      <c r="D7569" s="2" t="s">
        <v>10</v>
      </c>
      <c r="E7569" s="2" t="s">
        <v>19</v>
      </c>
      <c r="F7569" s="2">
        <v>49.56</v>
      </c>
      <c r="G7569" s="2">
        <v>7</v>
      </c>
      <c r="H7569" s="2">
        <v>18.829999999999998</v>
      </c>
      <c r="I7569" t="str">
        <f t="shared" si="118"/>
        <v>May</v>
      </c>
      <c r="J7569">
        <f>YEAR(datas[[#This Row],[Order Date]])</f>
        <v>2024</v>
      </c>
    </row>
    <row r="7570" spans="1:10" ht="14.25" customHeight="1" x14ac:dyDescent="0.3">
      <c r="A7570" s="1">
        <v>45434</v>
      </c>
      <c r="B7570" s="2" t="s">
        <v>109</v>
      </c>
      <c r="C7570" s="2" t="s">
        <v>21</v>
      </c>
      <c r="D7570" s="2" t="s">
        <v>10</v>
      </c>
      <c r="E7570" s="2" t="s">
        <v>19</v>
      </c>
      <c r="F7570" s="2">
        <v>9.84</v>
      </c>
      <c r="G7570" s="2">
        <v>3</v>
      </c>
      <c r="H7570" s="2">
        <v>2.85</v>
      </c>
      <c r="I7570" t="str">
        <f t="shared" si="118"/>
        <v>May</v>
      </c>
      <c r="J7570">
        <f>YEAR(datas[[#This Row],[Order Date]])</f>
        <v>2024</v>
      </c>
    </row>
    <row r="7571" spans="1:10" ht="14.25" customHeight="1" x14ac:dyDescent="0.3">
      <c r="A7571" s="1">
        <v>45434</v>
      </c>
      <c r="B7571" s="2" t="s">
        <v>109</v>
      </c>
      <c r="C7571" s="2" t="s">
        <v>21</v>
      </c>
      <c r="D7571" s="2" t="s">
        <v>10</v>
      </c>
      <c r="E7571" s="2" t="s">
        <v>19</v>
      </c>
      <c r="F7571" s="2">
        <v>2.78</v>
      </c>
      <c r="G7571" s="2">
        <v>1</v>
      </c>
      <c r="H7571" s="2">
        <v>0.72</v>
      </c>
      <c r="I7571" t="str">
        <f t="shared" si="118"/>
        <v>May</v>
      </c>
      <c r="J7571">
        <f>YEAR(datas[[#This Row],[Order Date]])</f>
        <v>2024</v>
      </c>
    </row>
    <row r="7572" spans="1:10" ht="14.25" customHeight="1" x14ac:dyDescent="0.3">
      <c r="A7572" s="1">
        <v>45435</v>
      </c>
      <c r="B7572" s="2" t="s">
        <v>31</v>
      </c>
      <c r="C7572" s="2" t="s">
        <v>21</v>
      </c>
      <c r="D7572" s="2" t="s">
        <v>26</v>
      </c>
      <c r="E7572" s="2" t="s">
        <v>73</v>
      </c>
      <c r="F7572" s="2">
        <v>171.29</v>
      </c>
      <c r="G7572" s="2">
        <v>3</v>
      </c>
      <c r="H7572" s="2">
        <v>-6.42</v>
      </c>
      <c r="I7572" t="str">
        <f t="shared" si="118"/>
        <v>May</v>
      </c>
      <c r="J7572">
        <f>YEAR(datas[[#This Row],[Order Date]])</f>
        <v>2024</v>
      </c>
    </row>
    <row r="7573" spans="1:10" ht="14.25" customHeight="1" x14ac:dyDescent="0.3">
      <c r="A7573" s="1">
        <v>45435</v>
      </c>
      <c r="B7573" s="2" t="s">
        <v>387</v>
      </c>
      <c r="C7573" s="2" t="s">
        <v>9</v>
      </c>
      <c r="D7573" s="2" t="s">
        <v>10</v>
      </c>
      <c r="E7573" s="2" t="s">
        <v>30</v>
      </c>
      <c r="F7573" s="2">
        <v>1.82</v>
      </c>
      <c r="G7573" s="2">
        <v>2</v>
      </c>
      <c r="H7573" s="2">
        <v>0.62</v>
      </c>
      <c r="I7573" t="str">
        <f t="shared" si="118"/>
        <v>May</v>
      </c>
      <c r="J7573">
        <f>YEAR(datas[[#This Row],[Order Date]])</f>
        <v>2024</v>
      </c>
    </row>
    <row r="7574" spans="1:10" ht="14.25" customHeight="1" x14ac:dyDescent="0.3">
      <c r="A7574" s="1">
        <v>45435</v>
      </c>
      <c r="B7574" s="2" t="s">
        <v>387</v>
      </c>
      <c r="C7574" s="2" t="s">
        <v>9</v>
      </c>
      <c r="D7574" s="2" t="s">
        <v>10</v>
      </c>
      <c r="E7574" s="2" t="s">
        <v>53</v>
      </c>
      <c r="F7574" s="2">
        <v>18.32</v>
      </c>
      <c r="G7574" s="2">
        <v>5</v>
      </c>
      <c r="H7574" s="2">
        <v>-46.72</v>
      </c>
      <c r="I7574" t="str">
        <f t="shared" si="118"/>
        <v>May</v>
      </c>
      <c r="J7574">
        <f>YEAR(datas[[#This Row],[Order Date]])</f>
        <v>2024</v>
      </c>
    </row>
    <row r="7575" spans="1:10" ht="14.25" customHeight="1" x14ac:dyDescent="0.3">
      <c r="A7575" s="1">
        <v>45435</v>
      </c>
      <c r="B7575" s="2" t="s">
        <v>387</v>
      </c>
      <c r="C7575" s="2" t="s">
        <v>9</v>
      </c>
      <c r="D7575" s="2" t="s">
        <v>10</v>
      </c>
      <c r="E7575" s="2" t="s">
        <v>15</v>
      </c>
      <c r="F7575" s="2">
        <v>48.82</v>
      </c>
      <c r="G7575" s="2">
        <v>3</v>
      </c>
      <c r="H7575" s="2">
        <v>-11.59</v>
      </c>
      <c r="I7575" t="str">
        <f t="shared" si="118"/>
        <v>May</v>
      </c>
      <c r="J7575">
        <f>YEAR(datas[[#This Row],[Order Date]])</f>
        <v>2024</v>
      </c>
    </row>
    <row r="7576" spans="1:10" ht="14.25" customHeight="1" x14ac:dyDescent="0.3">
      <c r="A7576" s="1">
        <v>45435</v>
      </c>
      <c r="B7576" s="2" t="s">
        <v>387</v>
      </c>
      <c r="C7576" s="2" t="s">
        <v>9</v>
      </c>
      <c r="D7576" s="2" t="s">
        <v>10</v>
      </c>
      <c r="E7576" s="2" t="s">
        <v>16</v>
      </c>
      <c r="F7576" s="2">
        <v>1.19</v>
      </c>
      <c r="G7576" s="2">
        <v>1</v>
      </c>
      <c r="H7576" s="2">
        <v>-1.96</v>
      </c>
      <c r="I7576" t="str">
        <f t="shared" si="118"/>
        <v>May</v>
      </c>
      <c r="J7576">
        <f>YEAR(datas[[#This Row],[Order Date]])</f>
        <v>2024</v>
      </c>
    </row>
    <row r="7577" spans="1:10" ht="14.25" customHeight="1" x14ac:dyDescent="0.3">
      <c r="A7577" s="1">
        <v>45437</v>
      </c>
      <c r="B7577" s="2" t="s">
        <v>846</v>
      </c>
      <c r="C7577" s="2" t="s">
        <v>23</v>
      </c>
      <c r="D7577" s="2" t="s">
        <v>10</v>
      </c>
      <c r="E7577" s="2" t="s">
        <v>16</v>
      </c>
      <c r="F7577" s="2">
        <v>29.84</v>
      </c>
      <c r="G7577" s="2">
        <v>2</v>
      </c>
      <c r="H7577" s="2">
        <v>13.43</v>
      </c>
      <c r="I7577" t="str">
        <f t="shared" si="118"/>
        <v>May</v>
      </c>
      <c r="J7577">
        <f>YEAR(datas[[#This Row],[Order Date]])</f>
        <v>2024</v>
      </c>
    </row>
    <row r="7578" spans="1:10" ht="14.25" customHeight="1" x14ac:dyDescent="0.3">
      <c r="A7578" s="1">
        <v>45437</v>
      </c>
      <c r="B7578" s="2" t="s">
        <v>405</v>
      </c>
      <c r="C7578" s="2" t="s">
        <v>75</v>
      </c>
      <c r="D7578" s="2" t="s">
        <v>10</v>
      </c>
      <c r="E7578" s="2" t="s">
        <v>16</v>
      </c>
      <c r="F7578" s="2">
        <v>663.92</v>
      </c>
      <c r="G7578" s="2">
        <v>5</v>
      </c>
      <c r="H7578" s="2">
        <v>207.48</v>
      </c>
      <c r="I7578" t="str">
        <f t="shared" si="118"/>
        <v>May</v>
      </c>
      <c r="J7578">
        <f>YEAR(datas[[#This Row],[Order Date]])</f>
        <v>2024</v>
      </c>
    </row>
    <row r="7579" spans="1:10" ht="14.25" customHeight="1" x14ac:dyDescent="0.3">
      <c r="A7579" s="1">
        <v>45437</v>
      </c>
      <c r="B7579" s="2" t="s">
        <v>405</v>
      </c>
      <c r="C7579" s="2" t="s">
        <v>75</v>
      </c>
      <c r="D7579" s="2" t="s">
        <v>28</v>
      </c>
      <c r="E7579" s="2" t="s">
        <v>34</v>
      </c>
      <c r="F7579" s="2">
        <v>120</v>
      </c>
      <c r="G7579" s="2">
        <v>8</v>
      </c>
      <c r="H7579" s="2">
        <v>13.2</v>
      </c>
      <c r="I7579" t="str">
        <f t="shared" si="118"/>
        <v>May</v>
      </c>
      <c r="J7579">
        <f>YEAR(datas[[#This Row],[Order Date]])</f>
        <v>2024</v>
      </c>
    </row>
    <row r="7580" spans="1:10" ht="14.25" customHeight="1" x14ac:dyDescent="0.3">
      <c r="A7580" s="1">
        <v>45437</v>
      </c>
      <c r="B7580" s="2" t="s">
        <v>405</v>
      </c>
      <c r="C7580" s="2" t="s">
        <v>75</v>
      </c>
      <c r="D7580" s="2" t="s">
        <v>10</v>
      </c>
      <c r="E7580" s="2" t="s">
        <v>30</v>
      </c>
      <c r="F7580" s="2">
        <v>3.29</v>
      </c>
      <c r="G7580" s="2">
        <v>1</v>
      </c>
      <c r="H7580" s="2">
        <v>1.48</v>
      </c>
      <c r="I7580" t="str">
        <f t="shared" si="118"/>
        <v>May</v>
      </c>
      <c r="J7580">
        <f>YEAR(datas[[#This Row],[Order Date]])</f>
        <v>2024</v>
      </c>
    </row>
    <row r="7581" spans="1:10" ht="14.25" customHeight="1" x14ac:dyDescent="0.3">
      <c r="A7581" s="1">
        <v>45437</v>
      </c>
      <c r="B7581" s="2" t="s">
        <v>405</v>
      </c>
      <c r="C7581" s="2" t="s">
        <v>75</v>
      </c>
      <c r="D7581" s="2" t="s">
        <v>26</v>
      </c>
      <c r="E7581" s="2" t="s">
        <v>32</v>
      </c>
      <c r="F7581" s="2">
        <v>18.84</v>
      </c>
      <c r="G7581" s="2">
        <v>3</v>
      </c>
      <c r="H7581" s="2">
        <v>6.03</v>
      </c>
      <c r="I7581" t="str">
        <f t="shared" si="118"/>
        <v>May</v>
      </c>
      <c r="J7581">
        <f>YEAR(datas[[#This Row],[Order Date]])</f>
        <v>2024</v>
      </c>
    </row>
    <row r="7582" spans="1:10" ht="14.25" customHeight="1" x14ac:dyDescent="0.3">
      <c r="A7582" s="1">
        <v>45437</v>
      </c>
      <c r="B7582" s="2" t="s">
        <v>578</v>
      </c>
      <c r="C7582" s="2" t="s">
        <v>9</v>
      </c>
      <c r="D7582" s="2" t="s">
        <v>10</v>
      </c>
      <c r="E7582" s="2" t="s">
        <v>15</v>
      </c>
      <c r="F7582" s="2">
        <v>50.14</v>
      </c>
      <c r="G7582" s="2">
        <v>3</v>
      </c>
      <c r="H7582" s="2">
        <v>-11.28</v>
      </c>
      <c r="I7582" t="str">
        <f t="shared" si="118"/>
        <v>May</v>
      </c>
      <c r="J7582">
        <f>YEAR(datas[[#This Row],[Order Date]])</f>
        <v>2024</v>
      </c>
    </row>
    <row r="7583" spans="1:10" ht="14.25" customHeight="1" x14ac:dyDescent="0.3">
      <c r="A7583" s="1">
        <v>45438</v>
      </c>
      <c r="B7583" s="2" t="s">
        <v>638</v>
      </c>
      <c r="C7583" s="2" t="s">
        <v>25</v>
      </c>
      <c r="D7583" s="2" t="s">
        <v>10</v>
      </c>
      <c r="E7583" s="2" t="s">
        <v>53</v>
      </c>
      <c r="F7583" s="2">
        <v>208.44</v>
      </c>
      <c r="G7583" s="2">
        <v>3</v>
      </c>
      <c r="H7583" s="2">
        <v>62.53</v>
      </c>
      <c r="I7583" t="str">
        <f t="shared" si="118"/>
        <v>May</v>
      </c>
      <c r="J7583">
        <f>YEAR(datas[[#This Row],[Order Date]])</f>
        <v>2024</v>
      </c>
    </row>
    <row r="7584" spans="1:10" ht="14.25" customHeight="1" x14ac:dyDescent="0.3">
      <c r="A7584" s="1">
        <v>45438</v>
      </c>
      <c r="B7584" s="2" t="s">
        <v>638</v>
      </c>
      <c r="C7584" s="2" t="s">
        <v>25</v>
      </c>
      <c r="D7584" s="2" t="s">
        <v>10</v>
      </c>
      <c r="E7584" s="2" t="s">
        <v>95</v>
      </c>
      <c r="F7584" s="2">
        <v>25.76</v>
      </c>
      <c r="G7584" s="2">
        <v>2</v>
      </c>
      <c r="H7584" s="2">
        <v>0.77</v>
      </c>
      <c r="I7584" t="str">
        <f t="shared" si="118"/>
        <v>May</v>
      </c>
      <c r="J7584">
        <f>YEAR(datas[[#This Row],[Order Date]])</f>
        <v>2024</v>
      </c>
    </row>
    <row r="7585" spans="1:10" ht="14.25" customHeight="1" x14ac:dyDescent="0.3">
      <c r="A7585" s="1">
        <v>45438</v>
      </c>
      <c r="B7585" s="2" t="s">
        <v>307</v>
      </c>
      <c r="C7585" s="2" t="s">
        <v>36</v>
      </c>
      <c r="D7585" s="2" t="s">
        <v>28</v>
      </c>
      <c r="E7585" s="2" t="s">
        <v>34</v>
      </c>
      <c r="F7585" s="2">
        <v>23.08</v>
      </c>
      <c r="G7585" s="2">
        <v>2</v>
      </c>
      <c r="H7585" s="2">
        <v>6.92</v>
      </c>
      <c r="I7585" t="str">
        <f t="shared" si="118"/>
        <v>May</v>
      </c>
      <c r="J7585">
        <f>YEAR(datas[[#This Row],[Order Date]])</f>
        <v>2024</v>
      </c>
    </row>
    <row r="7586" spans="1:10" ht="14.25" customHeight="1" x14ac:dyDescent="0.3">
      <c r="A7586" s="1">
        <v>45438</v>
      </c>
      <c r="B7586" s="2" t="s">
        <v>158</v>
      </c>
      <c r="C7586" s="2" t="s">
        <v>21</v>
      </c>
      <c r="D7586" s="2" t="s">
        <v>10</v>
      </c>
      <c r="E7586" s="2" t="s">
        <v>11</v>
      </c>
      <c r="F7586" s="2">
        <v>12.96</v>
      </c>
      <c r="G7586" s="2">
        <v>2</v>
      </c>
      <c r="H7586" s="2">
        <v>6.22</v>
      </c>
      <c r="I7586" t="str">
        <f t="shared" si="118"/>
        <v>May</v>
      </c>
      <c r="J7586">
        <f>YEAR(datas[[#This Row],[Order Date]])</f>
        <v>2024</v>
      </c>
    </row>
    <row r="7587" spans="1:10" ht="14.25" customHeight="1" x14ac:dyDescent="0.3">
      <c r="A7587" s="1">
        <v>45439</v>
      </c>
      <c r="B7587" s="2" t="s">
        <v>300</v>
      </c>
      <c r="C7587" s="2" t="s">
        <v>25</v>
      </c>
      <c r="D7587" s="2" t="s">
        <v>10</v>
      </c>
      <c r="E7587" s="2" t="s">
        <v>16</v>
      </c>
      <c r="F7587" s="2">
        <v>58.34</v>
      </c>
      <c r="G7587" s="2">
        <v>2</v>
      </c>
      <c r="H7587" s="2">
        <v>28</v>
      </c>
      <c r="I7587" t="str">
        <f t="shared" si="118"/>
        <v>May</v>
      </c>
      <c r="J7587">
        <f>YEAR(datas[[#This Row],[Order Date]])</f>
        <v>2024</v>
      </c>
    </row>
    <row r="7588" spans="1:10" ht="14.25" customHeight="1" x14ac:dyDescent="0.3">
      <c r="A7588" s="1">
        <v>45439</v>
      </c>
      <c r="B7588" s="2" t="s">
        <v>300</v>
      </c>
      <c r="C7588" s="2" t="s">
        <v>25</v>
      </c>
      <c r="D7588" s="2" t="s">
        <v>28</v>
      </c>
      <c r="E7588" s="2" t="s">
        <v>29</v>
      </c>
      <c r="F7588" s="2">
        <v>539.97</v>
      </c>
      <c r="G7588" s="2">
        <v>3</v>
      </c>
      <c r="H7588" s="2">
        <v>134.99</v>
      </c>
      <c r="I7588" t="str">
        <f t="shared" si="118"/>
        <v>May</v>
      </c>
      <c r="J7588">
        <f>YEAR(datas[[#This Row],[Order Date]])</f>
        <v>2024</v>
      </c>
    </row>
    <row r="7589" spans="1:10" ht="14.25" customHeight="1" x14ac:dyDescent="0.3">
      <c r="A7589" s="1">
        <v>45439</v>
      </c>
      <c r="B7589" s="2" t="s">
        <v>349</v>
      </c>
      <c r="C7589" s="2" t="s">
        <v>62</v>
      </c>
      <c r="D7589" s="2" t="s">
        <v>10</v>
      </c>
      <c r="E7589" s="2" t="s">
        <v>11</v>
      </c>
      <c r="F7589" s="2">
        <v>25.92</v>
      </c>
      <c r="G7589" s="2">
        <v>5</v>
      </c>
      <c r="H7589" s="2">
        <v>9.07</v>
      </c>
      <c r="I7589" t="str">
        <f t="shared" si="118"/>
        <v>May</v>
      </c>
      <c r="J7589">
        <f>YEAR(datas[[#This Row],[Order Date]])</f>
        <v>2024</v>
      </c>
    </row>
    <row r="7590" spans="1:10" ht="14.25" customHeight="1" x14ac:dyDescent="0.3">
      <c r="A7590" s="1">
        <v>45439</v>
      </c>
      <c r="B7590" s="2" t="s">
        <v>192</v>
      </c>
      <c r="C7590" s="2" t="s">
        <v>82</v>
      </c>
      <c r="D7590" s="2" t="s">
        <v>28</v>
      </c>
      <c r="E7590" s="2" t="s">
        <v>34</v>
      </c>
      <c r="F7590" s="2">
        <v>98.16</v>
      </c>
      <c r="G7590" s="2">
        <v>6</v>
      </c>
      <c r="H7590" s="2">
        <v>9.82</v>
      </c>
      <c r="I7590" t="str">
        <f t="shared" si="118"/>
        <v>May</v>
      </c>
      <c r="J7590">
        <f>YEAR(datas[[#This Row],[Order Date]])</f>
        <v>2024</v>
      </c>
    </row>
    <row r="7591" spans="1:10" ht="14.25" customHeight="1" x14ac:dyDescent="0.3">
      <c r="A7591" s="1">
        <v>45439</v>
      </c>
      <c r="B7591" s="2" t="s">
        <v>192</v>
      </c>
      <c r="C7591" s="2" t="s">
        <v>82</v>
      </c>
      <c r="D7591" s="2" t="s">
        <v>10</v>
      </c>
      <c r="E7591" s="2" t="s">
        <v>19</v>
      </c>
      <c r="F7591" s="2">
        <v>31.44</v>
      </c>
      <c r="G7591" s="2">
        <v>3</v>
      </c>
      <c r="H7591" s="2">
        <v>7.86</v>
      </c>
      <c r="I7591" t="str">
        <f t="shared" si="118"/>
        <v>May</v>
      </c>
      <c r="J7591">
        <f>YEAR(datas[[#This Row],[Order Date]])</f>
        <v>2024</v>
      </c>
    </row>
    <row r="7592" spans="1:10" ht="14.25" customHeight="1" x14ac:dyDescent="0.3">
      <c r="A7592" s="1">
        <v>45439</v>
      </c>
      <c r="B7592" s="2" t="s">
        <v>296</v>
      </c>
      <c r="C7592" s="2" t="s">
        <v>207</v>
      </c>
      <c r="D7592" s="2" t="s">
        <v>26</v>
      </c>
      <c r="E7592" s="2" t="s">
        <v>32</v>
      </c>
      <c r="F7592" s="2">
        <v>35</v>
      </c>
      <c r="G7592" s="2">
        <v>4</v>
      </c>
      <c r="H7592" s="2">
        <v>14.7</v>
      </c>
      <c r="I7592" t="str">
        <f t="shared" si="118"/>
        <v>May</v>
      </c>
      <c r="J7592">
        <f>YEAR(datas[[#This Row],[Order Date]])</f>
        <v>2024</v>
      </c>
    </row>
    <row r="7593" spans="1:10" ht="14.25" customHeight="1" x14ac:dyDescent="0.3">
      <c r="A7593" s="1">
        <v>45439</v>
      </c>
      <c r="B7593" s="2" t="s">
        <v>296</v>
      </c>
      <c r="C7593" s="2" t="s">
        <v>207</v>
      </c>
      <c r="D7593" s="2" t="s">
        <v>10</v>
      </c>
      <c r="E7593" s="2" t="s">
        <v>15</v>
      </c>
      <c r="F7593" s="2">
        <v>477.15</v>
      </c>
      <c r="G7593" s="2">
        <v>5</v>
      </c>
      <c r="H7593" s="2">
        <v>28.63</v>
      </c>
      <c r="I7593" t="str">
        <f t="shared" si="118"/>
        <v>May</v>
      </c>
      <c r="J7593">
        <f>YEAR(datas[[#This Row],[Order Date]])</f>
        <v>2024</v>
      </c>
    </row>
    <row r="7594" spans="1:10" ht="14.25" customHeight="1" x14ac:dyDescent="0.3">
      <c r="A7594" s="1">
        <v>45439</v>
      </c>
      <c r="B7594" s="2" t="s">
        <v>296</v>
      </c>
      <c r="C7594" s="2" t="s">
        <v>207</v>
      </c>
      <c r="D7594" s="2" t="s">
        <v>28</v>
      </c>
      <c r="E7594" s="2" t="s">
        <v>29</v>
      </c>
      <c r="F7594" s="2">
        <v>302.38</v>
      </c>
      <c r="G7594" s="2">
        <v>3</v>
      </c>
      <c r="H7594" s="2">
        <v>22.68</v>
      </c>
      <c r="I7594" t="str">
        <f t="shared" si="118"/>
        <v>May</v>
      </c>
      <c r="J7594">
        <f>YEAR(datas[[#This Row],[Order Date]])</f>
        <v>2024</v>
      </c>
    </row>
    <row r="7595" spans="1:10" ht="14.25" customHeight="1" x14ac:dyDescent="0.3">
      <c r="A7595" s="1">
        <v>45439</v>
      </c>
      <c r="B7595" s="2" t="s">
        <v>487</v>
      </c>
      <c r="C7595" s="2" t="s">
        <v>329</v>
      </c>
      <c r="D7595" s="2" t="s">
        <v>26</v>
      </c>
      <c r="E7595" s="2" t="s">
        <v>32</v>
      </c>
      <c r="F7595" s="2">
        <v>477.3</v>
      </c>
      <c r="G7595" s="2">
        <v>5</v>
      </c>
      <c r="H7595" s="2">
        <v>138.41999999999999</v>
      </c>
      <c r="I7595" t="str">
        <f t="shared" si="118"/>
        <v>May</v>
      </c>
      <c r="J7595">
        <f>YEAR(datas[[#This Row],[Order Date]])</f>
        <v>2024</v>
      </c>
    </row>
    <row r="7596" spans="1:10" ht="14.25" customHeight="1" x14ac:dyDescent="0.3">
      <c r="A7596" s="1">
        <v>45439</v>
      </c>
      <c r="B7596" s="2" t="s">
        <v>692</v>
      </c>
      <c r="C7596" s="2" t="s">
        <v>115</v>
      </c>
      <c r="D7596" s="2" t="s">
        <v>28</v>
      </c>
      <c r="E7596" s="2" t="s">
        <v>34</v>
      </c>
      <c r="F7596" s="2">
        <v>27.19</v>
      </c>
      <c r="G7596" s="2">
        <v>3</v>
      </c>
      <c r="H7596" s="2">
        <v>0.34</v>
      </c>
      <c r="I7596" t="str">
        <f t="shared" si="118"/>
        <v>May</v>
      </c>
      <c r="J7596">
        <f>YEAR(datas[[#This Row],[Order Date]])</f>
        <v>2024</v>
      </c>
    </row>
    <row r="7597" spans="1:10" ht="14.25" customHeight="1" x14ac:dyDescent="0.3">
      <c r="A7597" s="1">
        <v>45439</v>
      </c>
      <c r="B7597" s="2" t="s">
        <v>692</v>
      </c>
      <c r="C7597" s="2" t="s">
        <v>115</v>
      </c>
      <c r="D7597" s="2" t="s">
        <v>10</v>
      </c>
      <c r="E7597" s="2" t="s">
        <v>16</v>
      </c>
      <c r="F7597" s="2">
        <v>12.06</v>
      </c>
      <c r="G7597" s="2">
        <v>5</v>
      </c>
      <c r="H7597" s="2">
        <v>-10.050000000000001</v>
      </c>
      <c r="I7597" t="str">
        <f t="shared" si="118"/>
        <v>May</v>
      </c>
      <c r="J7597">
        <f>YEAR(datas[[#This Row],[Order Date]])</f>
        <v>2024</v>
      </c>
    </row>
    <row r="7598" spans="1:10" ht="14.25" customHeight="1" x14ac:dyDescent="0.3">
      <c r="A7598" s="1">
        <v>45440</v>
      </c>
      <c r="B7598" s="2" t="s">
        <v>156</v>
      </c>
      <c r="C7598" s="2" t="s">
        <v>43</v>
      </c>
      <c r="D7598" s="2" t="s">
        <v>26</v>
      </c>
      <c r="E7598" s="2" t="s">
        <v>27</v>
      </c>
      <c r="F7598" s="2">
        <v>301.95999999999998</v>
      </c>
      <c r="G7598" s="2">
        <v>2</v>
      </c>
      <c r="H7598" s="2">
        <v>33.22</v>
      </c>
      <c r="I7598" t="str">
        <f t="shared" si="118"/>
        <v>May</v>
      </c>
      <c r="J7598">
        <f>YEAR(datas[[#This Row],[Order Date]])</f>
        <v>2024</v>
      </c>
    </row>
    <row r="7599" spans="1:10" ht="14.25" customHeight="1" x14ac:dyDescent="0.3">
      <c r="A7599" s="1">
        <v>45440</v>
      </c>
      <c r="B7599" s="2" t="s">
        <v>730</v>
      </c>
      <c r="C7599" s="2" t="s">
        <v>9</v>
      </c>
      <c r="D7599" s="2" t="s">
        <v>28</v>
      </c>
      <c r="E7599" s="2" t="s">
        <v>29</v>
      </c>
      <c r="F7599" s="2">
        <v>54.37</v>
      </c>
      <c r="G7599" s="2">
        <v>4</v>
      </c>
      <c r="H7599" s="2">
        <v>4.08</v>
      </c>
      <c r="I7599" t="str">
        <f t="shared" si="118"/>
        <v>May</v>
      </c>
      <c r="J7599">
        <f>YEAR(datas[[#This Row],[Order Date]])</f>
        <v>2024</v>
      </c>
    </row>
    <row r="7600" spans="1:10" ht="14.25" customHeight="1" x14ac:dyDescent="0.3">
      <c r="A7600" s="1">
        <v>45440</v>
      </c>
      <c r="B7600" s="2" t="s">
        <v>676</v>
      </c>
      <c r="C7600" s="2" t="s">
        <v>278</v>
      </c>
      <c r="D7600" s="2" t="s">
        <v>26</v>
      </c>
      <c r="E7600" s="2" t="s">
        <v>32</v>
      </c>
      <c r="F7600" s="2">
        <v>247.44</v>
      </c>
      <c r="G7600" s="2">
        <v>8</v>
      </c>
      <c r="H7600" s="2">
        <v>101.45</v>
      </c>
      <c r="I7600" t="str">
        <f t="shared" si="118"/>
        <v>May</v>
      </c>
      <c r="J7600">
        <f>YEAR(datas[[#This Row],[Order Date]])</f>
        <v>2024</v>
      </c>
    </row>
    <row r="7601" spans="1:10" ht="14.25" customHeight="1" x14ac:dyDescent="0.3">
      <c r="A7601" s="1">
        <v>45440</v>
      </c>
      <c r="B7601" s="2" t="s">
        <v>567</v>
      </c>
      <c r="C7601" s="2" t="s">
        <v>13</v>
      </c>
      <c r="D7601" s="2" t="s">
        <v>26</v>
      </c>
      <c r="E7601" s="2" t="s">
        <v>27</v>
      </c>
      <c r="F7601" s="2">
        <v>106.87</v>
      </c>
      <c r="G7601" s="2">
        <v>3</v>
      </c>
      <c r="H7601" s="2">
        <v>-29.01</v>
      </c>
      <c r="I7601" t="str">
        <f t="shared" si="118"/>
        <v>May</v>
      </c>
      <c r="J7601">
        <f>YEAR(datas[[#This Row],[Order Date]])</f>
        <v>2024</v>
      </c>
    </row>
    <row r="7602" spans="1:10" ht="14.25" customHeight="1" x14ac:dyDescent="0.3">
      <c r="A7602" s="1">
        <v>45440</v>
      </c>
      <c r="B7602" s="2" t="s">
        <v>567</v>
      </c>
      <c r="C7602" s="2" t="s">
        <v>13</v>
      </c>
      <c r="D7602" s="2" t="s">
        <v>10</v>
      </c>
      <c r="E7602" s="2" t="s">
        <v>16</v>
      </c>
      <c r="F7602" s="2">
        <v>3.56</v>
      </c>
      <c r="G7602" s="2">
        <v>3</v>
      </c>
      <c r="H7602" s="2">
        <v>-6.24</v>
      </c>
      <c r="I7602" t="str">
        <f t="shared" si="118"/>
        <v>May</v>
      </c>
      <c r="J7602">
        <f>YEAR(datas[[#This Row],[Order Date]])</f>
        <v>2024</v>
      </c>
    </row>
    <row r="7603" spans="1:10" ht="14.25" customHeight="1" x14ac:dyDescent="0.3">
      <c r="A7603" s="1">
        <v>45440</v>
      </c>
      <c r="B7603" s="2" t="s">
        <v>579</v>
      </c>
      <c r="C7603" s="2" t="s">
        <v>55</v>
      </c>
      <c r="D7603" s="2" t="s">
        <v>28</v>
      </c>
      <c r="E7603" s="2" t="s">
        <v>29</v>
      </c>
      <c r="F7603" s="2">
        <v>195.96</v>
      </c>
      <c r="G7603" s="2">
        <v>5</v>
      </c>
      <c r="H7603" s="2">
        <v>19.600000000000001</v>
      </c>
      <c r="I7603" t="str">
        <f t="shared" si="118"/>
        <v>May</v>
      </c>
      <c r="J7603">
        <f>YEAR(datas[[#This Row],[Order Date]])</f>
        <v>2024</v>
      </c>
    </row>
    <row r="7604" spans="1:10" ht="14.25" customHeight="1" x14ac:dyDescent="0.3">
      <c r="A7604" s="1">
        <v>45440</v>
      </c>
      <c r="B7604" s="2" t="s">
        <v>579</v>
      </c>
      <c r="C7604" s="2" t="s">
        <v>55</v>
      </c>
      <c r="D7604" s="2" t="s">
        <v>10</v>
      </c>
      <c r="E7604" s="2" t="s">
        <v>11</v>
      </c>
      <c r="F7604" s="2">
        <v>15.55</v>
      </c>
      <c r="G7604" s="2">
        <v>3</v>
      </c>
      <c r="H7604" s="2">
        <v>5.44</v>
      </c>
      <c r="I7604" t="str">
        <f t="shared" si="118"/>
        <v>May</v>
      </c>
      <c r="J7604">
        <f>YEAR(datas[[#This Row],[Order Date]])</f>
        <v>2024</v>
      </c>
    </row>
    <row r="7605" spans="1:10" ht="14.25" customHeight="1" x14ac:dyDescent="0.3">
      <c r="A7605" s="1">
        <v>45440</v>
      </c>
      <c r="B7605" s="2" t="s">
        <v>579</v>
      </c>
      <c r="C7605" s="2" t="s">
        <v>55</v>
      </c>
      <c r="D7605" s="2" t="s">
        <v>28</v>
      </c>
      <c r="E7605" s="2" t="s">
        <v>34</v>
      </c>
      <c r="F7605" s="2">
        <v>271.97000000000003</v>
      </c>
      <c r="G7605" s="2">
        <v>4</v>
      </c>
      <c r="H7605" s="2">
        <v>54.39</v>
      </c>
      <c r="I7605" t="str">
        <f t="shared" si="118"/>
        <v>May</v>
      </c>
      <c r="J7605">
        <f>YEAR(datas[[#This Row],[Order Date]])</f>
        <v>2024</v>
      </c>
    </row>
    <row r="7606" spans="1:10" ht="14.25" customHeight="1" x14ac:dyDescent="0.3">
      <c r="A7606" s="1">
        <v>45440</v>
      </c>
      <c r="B7606" s="2" t="s">
        <v>620</v>
      </c>
      <c r="C7606" s="2" t="s">
        <v>215</v>
      </c>
      <c r="D7606" s="2" t="s">
        <v>26</v>
      </c>
      <c r="E7606" s="2" t="s">
        <v>32</v>
      </c>
      <c r="F7606" s="2">
        <v>27.46</v>
      </c>
      <c r="G7606" s="2">
        <v>2</v>
      </c>
      <c r="H7606" s="2">
        <v>9.89</v>
      </c>
      <c r="I7606" t="str">
        <f t="shared" si="118"/>
        <v>May</v>
      </c>
      <c r="J7606">
        <f>YEAR(datas[[#This Row],[Order Date]])</f>
        <v>2024</v>
      </c>
    </row>
    <row r="7607" spans="1:10" ht="14.25" customHeight="1" x14ac:dyDescent="0.3">
      <c r="A7607" s="1">
        <v>45440</v>
      </c>
      <c r="B7607" s="2" t="s">
        <v>620</v>
      </c>
      <c r="C7607" s="2" t="s">
        <v>215</v>
      </c>
      <c r="D7607" s="2" t="s">
        <v>10</v>
      </c>
      <c r="E7607" s="2" t="s">
        <v>53</v>
      </c>
      <c r="F7607" s="2">
        <v>125.13</v>
      </c>
      <c r="G7607" s="2">
        <v>3</v>
      </c>
      <c r="H7607" s="2">
        <v>36.29</v>
      </c>
      <c r="I7607" t="str">
        <f t="shared" si="118"/>
        <v>May</v>
      </c>
      <c r="J7607">
        <f>YEAR(datas[[#This Row],[Order Date]])</f>
        <v>2024</v>
      </c>
    </row>
    <row r="7608" spans="1:10" ht="14.25" customHeight="1" x14ac:dyDescent="0.3">
      <c r="A7608" s="1">
        <v>45440</v>
      </c>
      <c r="B7608" s="2" t="s">
        <v>521</v>
      </c>
      <c r="C7608" s="2" t="s">
        <v>47</v>
      </c>
      <c r="D7608" s="2" t="s">
        <v>10</v>
      </c>
      <c r="E7608" s="2" t="s">
        <v>11</v>
      </c>
      <c r="F7608" s="2">
        <v>13.87</v>
      </c>
      <c r="G7608" s="2">
        <v>3</v>
      </c>
      <c r="H7608" s="2">
        <v>5.03</v>
      </c>
      <c r="I7608" t="str">
        <f t="shared" si="118"/>
        <v>May</v>
      </c>
      <c r="J7608">
        <f>YEAR(datas[[#This Row],[Order Date]])</f>
        <v>2024</v>
      </c>
    </row>
    <row r="7609" spans="1:10" ht="14.25" customHeight="1" x14ac:dyDescent="0.3">
      <c r="A7609" s="1">
        <v>45440</v>
      </c>
      <c r="B7609" s="2" t="s">
        <v>521</v>
      </c>
      <c r="C7609" s="2" t="s">
        <v>47</v>
      </c>
      <c r="D7609" s="2" t="s">
        <v>26</v>
      </c>
      <c r="E7609" s="2" t="s">
        <v>45</v>
      </c>
      <c r="F7609" s="2">
        <v>115.96</v>
      </c>
      <c r="G7609" s="2">
        <v>4</v>
      </c>
      <c r="H7609" s="2">
        <v>-64.94</v>
      </c>
      <c r="I7609" t="str">
        <f t="shared" si="118"/>
        <v>May</v>
      </c>
      <c r="J7609">
        <f>YEAR(datas[[#This Row],[Order Date]])</f>
        <v>2024</v>
      </c>
    </row>
    <row r="7610" spans="1:10" ht="14.25" customHeight="1" x14ac:dyDescent="0.3">
      <c r="A7610" s="1">
        <v>45441</v>
      </c>
      <c r="B7610" s="2" t="s">
        <v>678</v>
      </c>
      <c r="C7610" s="2" t="s">
        <v>9</v>
      </c>
      <c r="D7610" s="2" t="s">
        <v>10</v>
      </c>
      <c r="E7610" s="2" t="s">
        <v>11</v>
      </c>
      <c r="F7610" s="2">
        <v>25.92</v>
      </c>
      <c r="G7610" s="2">
        <v>5</v>
      </c>
      <c r="H7610" s="2">
        <v>9.4</v>
      </c>
      <c r="I7610" t="str">
        <f t="shared" si="118"/>
        <v>May</v>
      </c>
      <c r="J7610">
        <f>YEAR(datas[[#This Row],[Order Date]])</f>
        <v>2024</v>
      </c>
    </row>
    <row r="7611" spans="1:10" ht="14.25" customHeight="1" x14ac:dyDescent="0.3">
      <c r="A7611" s="1">
        <v>45441</v>
      </c>
      <c r="B7611" s="2" t="s">
        <v>678</v>
      </c>
      <c r="C7611" s="2" t="s">
        <v>9</v>
      </c>
      <c r="D7611" s="2" t="s">
        <v>10</v>
      </c>
      <c r="E7611" s="2" t="s">
        <v>15</v>
      </c>
      <c r="F7611" s="2">
        <v>53.42</v>
      </c>
      <c r="G7611" s="2">
        <v>3</v>
      </c>
      <c r="H7611" s="2">
        <v>4.67</v>
      </c>
      <c r="I7611" t="str">
        <f t="shared" si="118"/>
        <v>May</v>
      </c>
      <c r="J7611">
        <f>YEAR(datas[[#This Row],[Order Date]])</f>
        <v>2024</v>
      </c>
    </row>
    <row r="7612" spans="1:10" ht="14.25" customHeight="1" x14ac:dyDescent="0.3">
      <c r="A7612" s="1">
        <v>45441</v>
      </c>
      <c r="B7612" s="2" t="s">
        <v>816</v>
      </c>
      <c r="C7612" s="2" t="s">
        <v>9</v>
      </c>
      <c r="D7612" s="2" t="s">
        <v>26</v>
      </c>
      <c r="E7612" s="2" t="s">
        <v>32</v>
      </c>
      <c r="F7612" s="2">
        <v>65.42</v>
      </c>
      <c r="G7612" s="2">
        <v>4</v>
      </c>
      <c r="H7612" s="2">
        <v>-52.34</v>
      </c>
      <c r="I7612" t="str">
        <f t="shared" si="118"/>
        <v>May</v>
      </c>
      <c r="J7612">
        <f>YEAR(datas[[#This Row],[Order Date]])</f>
        <v>2024</v>
      </c>
    </row>
    <row r="7613" spans="1:10" ht="14.25" customHeight="1" x14ac:dyDescent="0.3">
      <c r="A7613" s="1">
        <v>45441</v>
      </c>
      <c r="B7613" s="2" t="s">
        <v>690</v>
      </c>
      <c r="C7613" s="2" t="s">
        <v>381</v>
      </c>
      <c r="D7613" s="2" t="s">
        <v>10</v>
      </c>
      <c r="E7613" s="2" t="s">
        <v>30</v>
      </c>
      <c r="F7613" s="2">
        <v>23.55</v>
      </c>
      <c r="G7613" s="2">
        <v>5</v>
      </c>
      <c r="H7613" s="2">
        <v>1.18</v>
      </c>
      <c r="I7613" t="str">
        <f t="shared" si="118"/>
        <v>May</v>
      </c>
      <c r="J7613">
        <f>YEAR(datas[[#This Row],[Order Date]])</f>
        <v>2024</v>
      </c>
    </row>
    <row r="7614" spans="1:10" ht="14.25" customHeight="1" x14ac:dyDescent="0.3">
      <c r="A7614" s="1">
        <v>45441</v>
      </c>
      <c r="B7614" s="2" t="s">
        <v>577</v>
      </c>
      <c r="C7614" s="2" t="s">
        <v>68</v>
      </c>
      <c r="D7614" s="2" t="s">
        <v>10</v>
      </c>
      <c r="E7614" s="2" t="s">
        <v>16</v>
      </c>
      <c r="F7614" s="2">
        <v>43.41</v>
      </c>
      <c r="G7614" s="2">
        <v>1</v>
      </c>
      <c r="H7614" s="2">
        <v>19.97</v>
      </c>
      <c r="I7614" t="str">
        <f t="shared" si="118"/>
        <v>May</v>
      </c>
      <c r="J7614">
        <f>YEAR(datas[[#This Row],[Order Date]])</f>
        <v>2024</v>
      </c>
    </row>
    <row r="7615" spans="1:10" ht="14.25" customHeight="1" x14ac:dyDescent="0.3">
      <c r="A7615" s="1">
        <v>45441</v>
      </c>
      <c r="B7615" s="2" t="s">
        <v>577</v>
      </c>
      <c r="C7615" s="2" t="s">
        <v>68</v>
      </c>
      <c r="D7615" s="2" t="s">
        <v>26</v>
      </c>
      <c r="E7615" s="2" t="s">
        <v>32</v>
      </c>
      <c r="F7615" s="2">
        <v>6.24</v>
      </c>
      <c r="G7615" s="2">
        <v>3</v>
      </c>
      <c r="H7615" s="2">
        <v>2.62</v>
      </c>
      <c r="I7615" t="str">
        <f t="shared" si="118"/>
        <v>May</v>
      </c>
      <c r="J7615">
        <f>YEAR(datas[[#This Row],[Order Date]])</f>
        <v>2024</v>
      </c>
    </row>
    <row r="7616" spans="1:10" ht="14.25" customHeight="1" x14ac:dyDescent="0.3">
      <c r="A7616" s="1">
        <v>45441</v>
      </c>
      <c r="B7616" s="2" t="s">
        <v>577</v>
      </c>
      <c r="C7616" s="2" t="s">
        <v>68</v>
      </c>
      <c r="D7616" s="2" t="s">
        <v>10</v>
      </c>
      <c r="E7616" s="2" t="s">
        <v>53</v>
      </c>
      <c r="F7616" s="2">
        <v>465.16</v>
      </c>
      <c r="G7616" s="2">
        <v>2</v>
      </c>
      <c r="H7616" s="2">
        <v>120.94</v>
      </c>
      <c r="I7616" t="str">
        <f t="shared" si="118"/>
        <v>May</v>
      </c>
      <c r="J7616">
        <f>YEAR(datas[[#This Row],[Order Date]])</f>
        <v>2024</v>
      </c>
    </row>
    <row r="7617" spans="1:10" ht="14.25" customHeight="1" x14ac:dyDescent="0.3">
      <c r="A7617" s="1">
        <v>45441</v>
      </c>
      <c r="B7617" s="2" t="s">
        <v>577</v>
      </c>
      <c r="C7617" s="2" t="s">
        <v>68</v>
      </c>
      <c r="D7617" s="2" t="s">
        <v>10</v>
      </c>
      <c r="E7617" s="2" t="s">
        <v>11</v>
      </c>
      <c r="F7617" s="2">
        <v>7.98</v>
      </c>
      <c r="G7617" s="2">
        <v>1</v>
      </c>
      <c r="H7617" s="2">
        <v>3.99</v>
      </c>
      <c r="I7617" t="str">
        <f t="shared" si="118"/>
        <v>May</v>
      </c>
      <c r="J7617">
        <f>YEAR(datas[[#This Row],[Order Date]])</f>
        <v>2024</v>
      </c>
    </row>
    <row r="7618" spans="1:10" ht="14.25" customHeight="1" x14ac:dyDescent="0.3">
      <c r="A7618" s="1">
        <v>45442</v>
      </c>
      <c r="B7618" s="2" t="s">
        <v>737</v>
      </c>
      <c r="C7618" s="2" t="s">
        <v>40</v>
      </c>
      <c r="D7618" s="2" t="s">
        <v>26</v>
      </c>
      <c r="E7618" s="2" t="s">
        <v>45</v>
      </c>
      <c r="F7618" s="2">
        <v>241.96</v>
      </c>
      <c r="G7618" s="2">
        <v>2</v>
      </c>
      <c r="H7618" s="2">
        <v>33.869999999999997</v>
      </c>
      <c r="I7618" t="str">
        <f t="shared" si="118"/>
        <v>May</v>
      </c>
      <c r="J7618">
        <f>YEAR(datas[[#This Row],[Order Date]])</f>
        <v>2024</v>
      </c>
    </row>
    <row r="7619" spans="1:10" ht="14.25" customHeight="1" x14ac:dyDescent="0.3">
      <c r="A7619" s="1">
        <v>45442</v>
      </c>
      <c r="B7619" s="2" t="s">
        <v>737</v>
      </c>
      <c r="C7619" s="2" t="s">
        <v>40</v>
      </c>
      <c r="D7619" s="2" t="s">
        <v>10</v>
      </c>
      <c r="E7619" s="2" t="s">
        <v>16</v>
      </c>
      <c r="F7619" s="2">
        <v>3.89</v>
      </c>
      <c r="G7619" s="2">
        <v>1</v>
      </c>
      <c r="H7619" s="2">
        <v>1.87</v>
      </c>
      <c r="I7619" t="str">
        <f t="shared" ref="I7619:I7682" si="119">TEXT(A7619,"mmm")</f>
        <v>May</v>
      </c>
      <c r="J7619">
        <f>YEAR(datas[[#This Row],[Order Date]])</f>
        <v>2024</v>
      </c>
    </row>
    <row r="7620" spans="1:10" ht="14.25" customHeight="1" x14ac:dyDescent="0.3">
      <c r="A7620" s="1">
        <v>45442</v>
      </c>
      <c r="B7620" s="2" t="s">
        <v>737</v>
      </c>
      <c r="C7620" s="2" t="s">
        <v>40</v>
      </c>
      <c r="D7620" s="2" t="s">
        <v>26</v>
      </c>
      <c r="E7620" s="2" t="s">
        <v>32</v>
      </c>
      <c r="F7620" s="2">
        <v>8.01</v>
      </c>
      <c r="G7620" s="2">
        <v>3</v>
      </c>
      <c r="H7620" s="2">
        <v>3.04</v>
      </c>
      <c r="I7620" t="str">
        <f t="shared" si="119"/>
        <v>May</v>
      </c>
      <c r="J7620">
        <f>YEAR(datas[[#This Row],[Order Date]])</f>
        <v>2024</v>
      </c>
    </row>
    <row r="7621" spans="1:10" ht="14.25" customHeight="1" x14ac:dyDescent="0.3">
      <c r="A7621" s="1">
        <v>45442</v>
      </c>
      <c r="B7621" s="2" t="s">
        <v>660</v>
      </c>
      <c r="C7621" s="2" t="s">
        <v>52</v>
      </c>
      <c r="D7621" s="2" t="s">
        <v>28</v>
      </c>
      <c r="E7621" s="2" t="s">
        <v>29</v>
      </c>
      <c r="F7621" s="2">
        <v>156.79</v>
      </c>
      <c r="G7621" s="2">
        <v>1</v>
      </c>
      <c r="H7621" s="2">
        <v>17.64</v>
      </c>
      <c r="I7621" t="str">
        <f t="shared" si="119"/>
        <v>May</v>
      </c>
      <c r="J7621">
        <f>YEAR(datas[[#This Row],[Order Date]])</f>
        <v>2024</v>
      </c>
    </row>
    <row r="7622" spans="1:10" ht="14.25" customHeight="1" x14ac:dyDescent="0.3">
      <c r="A7622" s="1">
        <v>45442</v>
      </c>
      <c r="B7622" s="2" t="s">
        <v>660</v>
      </c>
      <c r="C7622" s="2" t="s">
        <v>52</v>
      </c>
      <c r="D7622" s="2" t="s">
        <v>28</v>
      </c>
      <c r="E7622" s="2" t="s">
        <v>34</v>
      </c>
      <c r="F7622" s="2">
        <v>35.36</v>
      </c>
      <c r="G7622" s="2">
        <v>2</v>
      </c>
      <c r="H7622" s="2">
        <v>-3.09</v>
      </c>
      <c r="I7622" t="str">
        <f t="shared" si="119"/>
        <v>May</v>
      </c>
      <c r="J7622">
        <f>YEAR(datas[[#This Row],[Order Date]])</f>
        <v>2024</v>
      </c>
    </row>
    <row r="7623" spans="1:10" ht="14.25" customHeight="1" x14ac:dyDescent="0.3">
      <c r="A7623" s="1">
        <v>45442</v>
      </c>
      <c r="B7623" s="2" t="s">
        <v>660</v>
      </c>
      <c r="C7623" s="2" t="s">
        <v>52</v>
      </c>
      <c r="D7623" s="2" t="s">
        <v>26</v>
      </c>
      <c r="E7623" s="2" t="s">
        <v>32</v>
      </c>
      <c r="F7623" s="2">
        <v>13.59</v>
      </c>
      <c r="G7623" s="2">
        <v>1</v>
      </c>
      <c r="H7623" s="2">
        <v>-0.34</v>
      </c>
      <c r="I7623" t="str">
        <f t="shared" si="119"/>
        <v>May</v>
      </c>
      <c r="J7623">
        <f>YEAR(datas[[#This Row],[Order Date]])</f>
        <v>2024</v>
      </c>
    </row>
    <row r="7624" spans="1:10" ht="14.25" customHeight="1" x14ac:dyDescent="0.3">
      <c r="A7624" s="1">
        <v>45442</v>
      </c>
      <c r="B7624" s="2" t="s">
        <v>507</v>
      </c>
      <c r="C7624" s="2" t="s">
        <v>21</v>
      </c>
      <c r="D7624" s="2" t="s">
        <v>10</v>
      </c>
      <c r="E7624" s="2" t="s">
        <v>11</v>
      </c>
      <c r="F7624" s="2">
        <v>37.520000000000003</v>
      </c>
      <c r="G7624" s="2">
        <v>4</v>
      </c>
      <c r="H7624" s="2">
        <v>18.010000000000002</v>
      </c>
      <c r="I7624" t="str">
        <f t="shared" si="119"/>
        <v>May</v>
      </c>
      <c r="J7624">
        <f>YEAR(datas[[#This Row],[Order Date]])</f>
        <v>2024</v>
      </c>
    </row>
    <row r="7625" spans="1:10" ht="14.25" customHeight="1" x14ac:dyDescent="0.3">
      <c r="A7625" s="1">
        <v>45442</v>
      </c>
      <c r="B7625" s="2" t="s">
        <v>125</v>
      </c>
      <c r="C7625" s="2" t="s">
        <v>9</v>
      </c>
      <c r="D7625" s="2" t="s">
        <v>26</v>
      </c>
      <c r="E7625" s="2" t="s">
        <v>45</v>
      </c>
      <c r="F7625" s="2">
        <v>204.67</v>
      </c>
      <c r="G7625" s="2">
        <v>1</v>
      </c>
      <c r="H7625" s="2">
        <v>-6.02</v>
      </c>
      <c r="I7625" t="str">
        <f t="shared" si="119"/>
        <v>May</v>
      </c>
      <c r="J7625">
        <f>YEAR(datas[[#This Row],[Order Date]])</f>
        <v>2024</v>
      </c>
    </row>
    <row r="7626" spans="1:10" ht="14.25" customHeight="1" x14ac:dyDescent="0.3">
      <c r="A7626" s="1">
        <v>45442</v>
      </c>
      <c r="B7626" s="2" t="s">
        <v>128</v>
      </c>
      <c r="C7626" s="2" t="s">
        <v>21</v>
      </c>
      <c r="D7626" s="2" t="s">
        <v>10</v>
      </c>
      <c r="E7626" s="2" t="s">
        <v>19</v>
      </c>
      <c r="F7626" s="2">
        <v>35.1</v>
      </c>
      <c r="G7626" s="2">
        <v>6</v>
      </c>
      <c r="H7626" s="2">
        <v>10.18</v>
      </c>
      <c r="I7626" t="str">
        <f t="shared" si="119"/>
        <v>May</v>
      </c>
      <c r="J7626">
        <f>YEAR(datas[[#This Row],[Order Date]])</f>
        <v>2024</v>
      </c>
    </row>
    <row r="7627" spans="1:10" ht="14.25" customHeight="1" x14ac:dyDescent="0.3">
      <c r="A7627" s="1">
        <v>45444</v>
      </c>
      <c r="B7627" s="2" t="s">
        <v>392</v>
      </c>
      <c r="C7627" s="2" t="s">
        <v>47</v>
      </c>
      <c r="D7627" s="2" t="s">
        <v>10</v>
      </c>
      <c r="E7627" s="2" t="s">
        <v>53</v>
      </c>
      <c r="F7627" s="2">
        <v>17.48</v>
      </c>
      <c r="G7627" s="2">
        <v>5</v>
      </c>
      <c r="H7627" s="2">
        <v>1.31</v>
      </c>
      <c r="I7627" t="str">
        <f t="shared" si="119"/>
        <v>Jun</v>
      </c>
      <c r="J7627">
        <f>YEAR(datas[[#This Row],[Order Date]])</f>
        <v>2024</v>
      </c>
    </row>
    <row r="7628" spans="1:10" ht="14.25" customHeight="1" x14ac:dyDescent="0.3">
      <c r="A7628" s="1">
        <v>45444</v>
      </c>
      <c r="B7628" s="2" t="s">
        <v>754</v>
      </c>
      <c r="C7628" s="2" t="s">
        <v>47</v>
      </c>
      <c r="D7628" s="2" t="s">
        <v>10</v>
      </c>
      <c r="E7628" s="2" t="s">
        <v>16</v>
      </c>
      <c r="F7628" s="2">
        <v>3.8</v>
      </c>
      <c r="G7628" s="2">
        <v>2</v>
      </c>
      <c r="H7628" s="2">
        <v>-2.66</v>
      </c>
      <c r="I7628" t="str">
        <f t="shared" si="119"/>
        <v>Jun</v>
      </c>
      <c r="J7628">
        <f>YEAR(datas[[#This Row],[Order Date]])</f>
        <v>2024</v>
      </c>
    </row>
    <row r="7629" spans="1:10" ht="14.25" customHeight="1" x14ac:dyDescent="0.3">
      <c r="A7629" s="1">
        <v>45444</v>
      </c>
      <c r="B7629" s="2" t="s">
        <v>754</v>
      </c>
      <c r="C7629" s="2" t="s">
        <v>47</v>
      </c>
      <c r="D7629" s="2" t="s">
        <v>10</v>
      </c>
      <c r="E7629" s="2" t="s">
        <v>11</v>
      </c>
      <c r="F7629" s="2">
        <v>27.74</v>
      </c>
      <c r="G7629" s="2">
        <v>6</v>
      </c>
      <c r="H7629" s="2">
        <v>10.06</v>
      </c>
      <c r="I7629" t="str">
        <f t="shared" si="119"/>
        <v>Jun</v>
      </c>
      <c r="J7629">
        <f>YEAR(datas[[#This Row],[Order Date]])</f>
        <v>2024</v>
      </c>
    </row>
    <row r="7630" spans="1:10" ht="14.25" customHeight="1" x14ac:dyDescent="0.3">
      <c r="A7630" s="1">
        <v>45444</v>
      </c>
      <c r="B7630" s="2" t="s">
        <v>754</v>
      </c>
      <c r="C7630" s="2" t="s">
        <v>47</v>
      </c>
      <c r="D7630" s="2" t="s">
        <v>28</v>
      </c>
      <c r="E7630" s="2" t="s">
        <v>29</v>
      </c>
      <c r="F7630" s="2">
        <v>158.38</v>
      </c>
      <c r="G7630" s="2">
        <v>4</v>
      </c>
      <c r="H7630" s="2">
        <v>-34.31</v>
      </c>
      <c r="I7630" t="str">
        <f t="shared" si="119"/>
        <v>Jun</v>
      </c>
      <c r="J7630">
        <f>YEAR(datas[[#This Row],[Order Date]])</f>
        <v>2024</v>
      </c>
    </row>
    <row r="7631" spans="1:10" ht="14.25" customHeight="1" x14ac:dyDescent="0.3">
      <c r="A7631" s="1">
        <v>45444</v>
      </c>
      <c r="B7631" s="2" t="s">
        <v>829</v>
      </c>
      <c r="C7631" s="2" t="s">
        <v>381</v>
      </c>
      <c r="D7631" s="2" t="s">
        <v>10</v>
      </c>
      <c r="E7631" s="2" t="s">
        <v>16</v>
      </c>
      <c r="F7631" s="2">
        <v>53.9</v>
      </c>
      <c r="G7631" s="2">
        <v>5</v>
      </c>
      <c r="H7631" s="2">
        <v>25.87</v>
      </c>
      <c r="I7631" t="str">
        <f t="shared" si="119"/>
        <v>Jun</v>
      </c>
      <c r="J7631">
        <f>YEAR(datas[[#This Row],[Order Date]])</f>
        <v>2024</v>
      </c>
    </row>
    <row r="7632" spans="1:10" ht="14.25" customHeight="1" x14ac:dyDescent="0.3">
      <c r="A7632" s="1">
        <v>45444</v>
      </c>
      <c r="B7632" s="2" t="s">
        <v>287</v>
      </c>
      <c r="C7632" s="2" t="s">
        <v>18</v>
      </c>
      <c r="D7632" s="2" t="s">
        <v>10</v>
      </c>
      <c r="E7632" s="2" t="s">
        <v>15</v>
      </c>
      <c r="F7632" s="2">
        <v>324.74</v>
      </c>
      <c r="G7632" s="2">
        <v>3</v>
      </c>
      <c r="H7632" s="2">
        <v>-77.13</v>
      </c>
      <c r="I7632" t="str">
        <f t="shared" si="119"/>
        <v>Jun</v>
      </c>
      <c r="J7632">
        <f>YEAR(datas[[#This Row],[Order Date]])</f>
        <v>2024</v>
      </c>
    </row>
    <row r="7633" spans="1:10" ht="14.25" customHeight="1" x14ac:dyDescent="0.3">
      <c r="A7633" s="1">
        <v>45444</v>
      </c>
      <c r="B7633" s="2" t="s">
        <v>771</v>
      </c>
      <c r="C7633" s="2" t="s">
        <v>68</v>
      </c>
      <c r="D7633" s="2" t="s">
        <v>26</v>
      </c>
      <c r="E7633" s="2" t="s">
        <v>27</v>
      </c>
      <c r="F7633" s="2">
        <v>1925.88</v>
      </c>
      <c r="G7633" s="2">
        <v>6</v>
      </c>
      <c r="H7633" s="2">
        <v>539.25</v>
      </c>
      <c r="I7633" t="str">
        <f t="shared" si="119"/>
        <v>Jun</v>
      </c>
      <c r="J7633">
        <f>YEAR(datas[[#This Row],[Order Date]])</f>
        <v>2024</v>
      </c>
    </row>
    <row r="7634" spans="1:10" ht="14.25" customHeight="1" x14ac:dyDescent="0.3">
      <c r="A7634" s="1">
        <v>45444</v>
      </c>
      <c r="B7634" s="2" t="s">
        <v>771</v>
      </c>
      <c r="C7634" s="2" t="s">
        <v>68</v>
      </c>
      <c r="D7634" s="2" t="s">
        <v>10</v>
      </c>
      <c r="E7634" s="2" t="s">
        <v>53</v>
      </c>
      <c r="F7634" s="2">
        <v>2405.1999999999998</v>
      </c>
      <c r="G7634" s="2">
        <v>8</v>
      </c>
      <c r="H7634" s="2">
        <v>793.72</v>
      </c>
      <c r="I7634" t="str">
        <f t="shared" si="119"/>
        <v>Jun</v>
      </c>
      <c r="J7634">
        <f>YEAR(datas[[#This Row],[Order Date]])</f>
        <v>2024</v>
      </c>
    </row>
    <row r="7635" spans="1:10" ht="14.25" customHeight="1" x14ac:dyDescent="0.3">
      <c r="A7635" s="1">
        <v>45444</v>
      </c>
      <c r="B7635" s="2" t="s">
        <v>771</v>
      </c>
      <c r="C7635" s="2" t="s">
        <v>68</v>
      </c>
      <c r="D7635" s="2" t="s">
        <v>28</v>
      </c>
      <c r="E7635" s="2" t="s">
        <v>34</v>
      </c>
      <c r="F7635" s="2">
        <v>83.97</v>
      </c>
      <c r="G7635" s="2">
        <v>3</v>
      </c>
      <c r="H7635" s="2">
        <v>15.95</v>
      </c>
      <c r="I7635" t="str">
        <f t="shared" si="119"/>
        <v>Jun</v>
      </c>
      <c r="J7635">
        <f>YEAR(datas[[#This Row],[Order Date]])</f>
        <v>2024</v>
      </c>
    </row>
    <row r="7636" spans="1:10" ht="14.25" customHeight="1" x14ac:dyDescent="0.3">
      <c r="A7636" s="1">
        <v>45444</v>
      </c>
      <c r="B7636" s="2" t="s">
        <v>771</v>
      </c>
      <c r="C7636" s="2" t="s">
        <v>68</v>
      </c>
      <c r="D7636" s="2" t="s">
        <v>28</v>
      </c>
      <c r="E7636" s="2" t="s">
        <v>34</v>
      </c>
      <c r="F7636" s="2">
        <v>39.89</v>
      </c>
      <c r="G7636" s="2">
        <v>1</v>
      </c>
      <c r="H7636" s="2">
        <v>14.76</v>
      </c>
      <c r="I7636" t="str">
        <f t="shared" si="119"/>
        <v>Jun</v>
      </c>
      <c r="J7636">
        <f>YEAR(datas[[#This Row],[Order Date]])</f>
        <v>2024</v>
      </c>
    </row>
    <row r="7637" spans="1:10" ht="14.25" customHeight="1" x14ac:dyDescent="0.3">
      <c r="A7637" s="1">
        <v>45444</v>
      </c>
      <c r="B7637" s="2" t="s">
        <v>771</v>
      </c>
      <c r="C7637" s="2" t="s">
        <v>68</v>
      </c>
      <c r="D7637" s="2" t="s">
        <v>10</v>
      </c>
      <c r="E7637" s="2" t="s">
        <v>16</v>
      </c>
      <c r="F7637" s="2">
        <v>17.38</v>
      </c>
      <c r="G7637" s="2">
        <v>2</v>
      </c>
      <c r="H7637" s="2">
        <v>8.69</v>
      </c>
      <c r="I7637" t="str">
        <f t="shared" si="119"/>
        <v>Jun</v>
      </c>
      <c r="J7637">
        <f>YEAR(datas[[#This Row],[Order Date]])</f>
        <v>2024</v>
      </c>
    </row>
    <row r="7638" spans="1:10" ht="14.25" customHeight="1" x14ac:dyDescent="0.3">
      <c r="A7638" s="1">
        <v>45445</v>
      </c>
      <c r="B7638" s="2" t="s">
        <v>383</v>
      </c>
      <c r="C7638" s="2" t="s">
        <v>47</v>
      </c>
      <c r="D7638" s="2" t="s">
        <v>28</v>
      </c>
      <c r="E7638" s="2" t="s">
        <v>29</v>
      </c>
      <c r="F7638" s="2">
        <v>2.97</v>
      </c>
      <c r="G7638" s="2">
        <v>1</v>
      </c>
      <c r="H7638" s="2">
        <v>-0.64</v>
      </c>
      <c r="I7638" t="str">
        <f t="shared" si="119"/>
        <v>Jun</v>
      </c>
      <c r="J7638">
        <f>YEAR(datas[[#This Row],[Order Date]])</f>
        <v>2024</v>
      </c>
    </row>
    <row r="7639" spans="1:10" ht="14.25" customHeight="1" x14ac:dyDescent="0.3">
      <c r="A7639" s="1">
        <v>45445</v>
      </c>
      <c r="B7639" s="2" t="s">
        <v>383</v>
      </c>
      <c r="C7639" s="2" t="s">
        <v>47</v>
      </c>
      <c r="D7639" s="2" t="s">
        <v>10</v>
      </c>
      <c r="E7639" s="2" t="s">
        <v>15</v>
      </c>
      <c r="F7639" s="2">
        <v>27.44</v>
      </c>
      <c r="G7639" s="2">
        <v>2</v>
      </c>
      <c r="H7639" s="2">
        <v>2.4</v>
      </c>
      <c r="I7639" t="str">
        <f t="shared" si="119"/>
        <v>Jun</v>
      </c>
      <c r="J7639">
        <f>YEAR(datas[[#This Row],[Order Date]])</f>
        <v>2024</v>
      </c>
    </row>
    <row r="7640" spans="1:10" ht="14.25" customHeight="1" x14ac:dyDescent="0.3">
      <c r="A7640" s="1">
        <v>45445</v>
      </c>
      <c r="B7640" s="2" t="s">
        <v>516</v>
      </c>
      <c r="C7640" s="2" t="s">
        <v>55</v>
      </c>
      <c r="D7640" s="2" t="s">
        <v>10</v>
      </c>
      <c r="E7640" s="2" t="s">
        <v>11</v>
      </c>
      <c r="F7640" s="2">
        <v>25.34</v>
      </c>
      <c r="G7640" s="2">
        <v>6</v>
      </c>
      <c r="H7640" s="2">
        <v>7.92</v>
      </c>
      <c r="I7640" t="str">
        <f t="shared" si="119"/>
        <v>Jun</v>
      </c>
      <c r="J7640">
        <f>YEAR(datas[[#This Row],[Order Date]])</f>
        <v>2024</v>
      </c>
    </row>
    <row r="7641" spans="1:10" ht="14.25" customHeight="1" x14ac:dyDescent="0.3">
      <c r="A7641" s="1">
        <v>45445</v>
      </c>
      <c r="B7641" s="2" t="s">
        <v>516</v>
      </c>
      <c r="C7641" s="2" t="s">
        <v>55</v>
      </c>
      <c r="D7641" s="2" t="s">
        <v>10</v>
      </c>
      <c r="E7641" s="2" t="s">
        <v>41</v>
      </c>
      <c r="F7641" s="2">
        <v>43.92</v>
      </c>
      <c r="G7641" s="2">
        <v>5</v>
      </c>
      <c r="H7641" s="2">
        <v>15.92</v>
      </c>
      <c r="I7641" t="str">
        <f t="shared" si="119"/>
        <v>Jun</v>
      </c>
      <c r="J7641">
        <f>YEAR(datas[[#This Row],[Order Date]])</f>
        <v>2024</v>
      </c>
    </row>
    <row r="7642" spans="1:10" ht="14.25" customHeight="1" x14ac:dyDescent="0.3">
      <c r="A7642" s="1">
        <v>45445</v>
      </c>
      <c r="B7642" s="2" t="s">
        <v>242</v>
      </c>
      <c r="C7642" s="2" t="s">
        <v>115</v>
      </c>
      <c r="D7642" s="2" t="s">
        <v>10</v>
      </c>
      <c r="E7642" s="2" t="s">
        <v>11</v>
      </c>
      <c r="F7642" s="2">
        <v>25.34</v>
      </c>
      <c r="G7642" s="2">
        <v>4</v>
      </c>
      <c r="H7642" s="2">
        <v>9.19</v>
      </c>
      <c r="I7642" t="str">
        <f t="shared" si="119"/>
        <v>Jun</v>
      </c>
      <c r="J7642">
        <f>YEAR(datas[[#This Row],[Order Date]])</f>
        <v>2024</v>
      </c>
    </row>
    <row r="7643" spans="1:10" ht="14.25" customHeight="1" x14ac:dyDescent="0.3">
      <c r="A7643" s="1">
        <v>45445</v>
      </c>
      <c r="B7643" s="2" t="s">
        <v>700</v>
      </c>
      <c r="C7643" s="2" t="s">
        <v>9</v>
      </c>
      <c r="D7643" s="2" t="s">
        <v>10</v>
      </c>
      <c r="E7643" s="2" t="s">
        <v>11</v>
      </c>
      <c r="F7643" s="2">
        <v>10.69</v>
      </c>
      <c r="G7643" s="2">
        <v>2</v>
      </c>
      <c r="H7643" s="2">
        <v>3.74</v>
      </c>
      <c r="I7643" t="str">
        <f t="shared" si="119"/>
        <v>Jun</v>
      </c>
      <c r="J7643">
        <f>YEAR(datas[[#This Row],[Order Date]])</f>
        <v>2024</v>
      </c>
    </row>
    <row r="7644" spans="1:10" ht="14.25" customHeight="1" x14ac:dyDescent="0.3">
      <c r="A7644" s="1">
        <v>45446</v>
      </c>
      <c r="B7644" s="2" t="s">
        <v>319</v>
      </c>
      <c r="C7644" s="2" t="s">
        <v>62</v>
      </c>
      <c r="D7644" s="2" t="s">
        <v>26</v>
      </c>
      <c r="E7644" s="2" t="s">
        <v>32</v>
      </c>
      <c r="F7644" s="2">
        <v>35.17</v>
      </c>
      <c r="G7644" s="2">
        <v>7</v>
      </c>
      <c r="H7644" s="2">
        <v>9.67</v>
      </c>
      <c r="I7644" t="str">
        <f t="shared" si="119"/>
        <v>Jun</v>
      </c>
      <c r="J7644">
        <f>YEAR(datas[[#This Row],[Order Date]])</f>
        <v>2024</v>
      </c>
    </row>
    <row r="7645" spans="1:10" ht="14.25" customHeight="1" x14ac:dyDescent="0.3">
      <c r="A7645" s="1">
        <v>45446</v>
      </c>
      <c r="B7645" s="2" t="s">
        <v>252</v>
      </c>
      <c r="C7645" s="2" t="s">
        <v>82</v>
      </c>
      <c r="D7645" s="2" t="s">
        <v>28</v>
      </c>
      <c r="E7645" s="2" t="s">
        <v>34</v>
      </c>
      <c r="F7645" s="2">
        <v>1099.5</v>
      </c>
      <c r="G7645" s="2">
        <v>10</v>
      </c>
      <c r="H7645" s="2">
        <v>362.84</v>
      </c>
      <c r="I7645" t="str">
        <f t="shared" si="119"/>
        <v>Jun</v>
      </c>
      <c r="J7645">
        <f>YEAR(datas[[#This Row],[Order Date]])</f>
        <v>2024</v>
      </c>
    </row>
    <row r="7646" spans="1:10" ht="14.25" customHeight="1" x14ac:dyDescent="0.3">
      <c r="A7646" s="1">
        <v>45446</v>
      </c>
      <c r="B7646" s="2" t="s">
        <v>603</v>
      </c>
      <c r="C7646" s="2" t="s">
        <v>21</v>
      </c>
      <c r="D7646" s="2" t="s">
        <v>28</v>
      </c>
      <c r="E7646" s="2" t="s">
        <v>34</v>
      </c>
      <c r="F7646" s="2">
        <v>44.75</v>
      </c>
      <c r="G7646" s="2">
        <v>5</v>
      </c>
      <c r="H7646" s="2">
        <v>8.5</v>
      </c>
      <c r="I7646" t="str">
        <f t="shared" si="119"/>
        <v>Jun</v>
      </c>
      <c r="J7646">
        <f>YEAR(datas[[#This Row],[Order Date]])</f>
        <v>2024</v>
      </c>
    </row>
    <row r="7647" spans="1:10" ht="14.25" customHeight="1" x14ac:dyDescent="0.3">
      <c r="A7647" s="1">
        <v>45446</v>
      </c>
      <c r="B7647" s="2" t="s">
        <v>603</v>
      </c>
      <c r="C7647" s="2" t="s">
        <v>21</v>
      </c>
      <c r="D7647" s="2" t="s">
        <v>10</v>
      </c>
      <c r="E7647" s="2" t="s">
        <v>11</v>
      </c>
      <c r="F7647" s="2">
        <v>11.96</v>
      </c>
      <c r="G7647" s="2">
        <v>2</v>
      </c>
      <c r="H7647" s="2">
        <v>5.38</v>
      </c>
      <c r="I7647" t="str">
        <f t="shared" si="119"/>
        <v>Jun</v>
      </c>
      <c r="J7647">
        <f>YEAR(datas[[#This Row],[Order Date]])</f>
        <v>2024</v>
      </c>
    </row>
    <row r="7648" spans="1:10" ht="14.25" customHeight="1" x14ac:dyDescent="0.3">
      <c r="A7648" s="1">
        <v>45446</v>
      </c>
      <c r="B7648" s="2" t="s">
        <v>603</v>
      </c>
      <c r="C7648" s="2" t="s">
        <v>21</v>
      </c>
      <c r="D7648" s="2" t="s">
        <v>10</v>
      </c>
      <c r="E7648" s="2" t="s">
        <v>16</v>
      </c>
      <c r="F7648" s="2">
        <v>3.91</v>
      </c>
      <c r="G7648" s="2">
        <v>1</v>
      </c>
      <c r="H7648" s="2">
        <v>1.27</v>
      </c>
      <c r="I7648" t="str">
        <f t="shared" si="119"/>
        <v>Jun</v>
      </c>
      <c r="J7648">
        <f>YEAR(datas[[#This Row],[Order Date]])</f>
        <v>2024</v>
      </c>
    </row>
    <row r="7649" spans="1:10" ht="14.25" customHeight="1" x14ac:dyDescent="0.3">
      <c r="A7649" s="1">
        <v>45446</v>
      </c>
      <c r="B7649" s="2" t="s">
        <v>312</v>
      </c>
      <c r="C7649" s="2" t="s">
        <v>64</v>
      </c>
      <c r="D7649" s="2" t="s">
        <v>10</v>
      </c>
      <c r="E7649" s="2" t="s">
        <v>16</v>
      </c>
      <c r="F7649" s="2">
        <v>4.55</v>
      </c>
      <c r="G7649" s="2">
        <v>3</v>
      </c>
      <c r="H7649" s="2">
        <v>-3.49</v>
      </c>
      <c r="I7649" t="str">
        <f t="shared" si="119"/>
        <v>Jun</v>
      </c>
      <c r="J7649">
        <f>YEAR(datas[[#This Row],[Order Date]])</f>
        <v>2024</v>
      </c>
    </row>
    <row r="7650" spans="1:10" ht="14.25" customHeight="1" x14ac:dyDescent="0.3">
      <c r="A7650" s="1">
        <v>45446</v>
      </c>
      <c r="B7650" s="2" t="s">
        <v>312</v>
      </c>
      <c r="C7650" s="2" t="s">
        <v>64</v>
      </c>
      <c r="D7650" s="2" t="s">
        <v>10</v>
      </c>
      <c r="E7650" s="2" t="s">
        <v>53</v>
      </c>
      <c r="F7650" s="2">
        <v>5.2</v>
      </c>
      <c r="G7650" s="2">
        <v>2</v>
      </c>
      <c r="H7650" s="2">
        <v>0.59</v>
      </c>
      <c r="I7650" t="str">
        <f t="shared" si="119"/>
        <v>Jun</v>
      </c>
      <c r="J7650">
        <f>YEAR(datas[[#This Row],[Order Date]])</f>
        <v>2024</v>
      </c>
    </row>
    <row r="7651" spans="1:10" ht="14.25" customHeight="1" x14ac:dyDescent="0.3">
      <c r="A7651" s="1">
        <v>45446</v>
      </c>
      <c r="B7651" s="2" t="s">
        <v>312</v>
      </c>
      <c r="C7651" s="2" t="s">
        <v>64</v>
      </c>
      <c r="D7651" s="2" t="s">
        <v>28</v>
      </c>
      <c r="E7651" s="2" t="s">
        <v>34</v>
      </c>
      <c r="F7651" s="2">
        <v>205.99</v>
      </c>
      <c r="G7651" s="2">
        <v>1</v>
      </c>
      <c r="H7651" s="2">
        <v>-2.57</v>
      </c>
      <c r="I7651" t="str">
        <f t="shared" si="119"/>
        <v>Jun</v>
      </c>
      <c r="J7651">
        <f>YEAR(datas[[#This Row],[Order Date]])</f>
        <v>2024</v>
      </c>
    </row>
    <row r="7652" spans="1:10" ht="14.25" customHeight="1" x14ac:dyDescent="0.3">
      <c r="A7652" s="1">
        <v>45446</v>
      </c>
      <c r="B7652" s="2" t="s">
        <v>312</v>
      </c>
      <c r="C7652" s="2" t="s">
        <v>64</v>
      </c>
      <c r="D7652" s="2" t="s">
        <v>10</v>
      </c>
      <c r="E7652" s="2" t="s">
        <v>11</v>
      </c>
      <c r="F7652" s="2">
        <v>15.55</v>
      </c>
      <c r="G7652" s="2">
        <v>3</v>
      </c>
      <c r="H7652" s="2">
        <v>5.44</v>
      </c>
      <c r="I7652" t="str">
        <f t="shared" si="119"/>
        <v>Jun</v>
      </c>
      <c r="J7652">
        <f>YEAR(datas[[#This Row],[Order Date]])</f>
        <v>2024</v>
      </c>
    </row>
    <row r="7653" spans="1:10" ht="14.25" customHeight="1" x14ac:dyDescent="0.3">
      <c r="A7653" s="1">
        <v>45446</v>
      </c>
      <c r="B7653" s="2" t="s">
        <v>312</v>
      </c>
      <c r="C7653" s="2" t="s">
        <v>64</v>
      </c>
      <c r="D7653" s="2" t="s">
        <v>28</v>
      </c>
      <c r="E7653" s="2" t="s">
        <v>29</v>
      </c>
      <c r="F7653" s="2">
        <v>503.96</v>
      </c>
      <c r="G7653" s="2">
        <v>5</v>
      </c>
      <c r="H7653" s="2">
        <v>50.4</v>
      </c>
      <c r="I7653" t="str">
        <f t="shared" si="119"/>
        <v>Jun</v>
      </c>
      <c r="J7653">
        <f>YEAR(datas[[#This Row],[Order Date]])</f>
        <v>2024</v>
      </c>
    </row>
    <row r="7654" spans="1:10" ht="14.25" customHeight="1" x14ac:dyDescent="0.3">
      <c r="A7654" s="1">
        <v>45446</v>
      </c>
      <c r="B7654" s="2" t="s">
        <v>312</v>
      </c>
      <c r="C7654" s="2" t="s">
        <v>64</v>
      </c>
      <c r="D7654" s="2" t="s">
        <v>10</v>
      </c>
      <c r="E7654" s="2" t="s">
        <v>53</v>
      </c>
      <c r="F7654" s="2">
        <v>24.47</v>
      </c>
      <c r="G7654" s="2">
        <v>7</v>
      </c>
      <c r="H7654" s="2">
        <v>1.84</v>
      </c>
      <c r="I7654" t="str">
        <f t="shared" si="119"/>
        <v>Jun</v>
      </c>
      <c r="J7654">
        <f>YEAR(datas[[#This Row],[Order Date]])</f>
        <v>2024</v>
      </c>
    </row>
    <row r="7655" spans="1:10" ht="14.25" customHeight="1" x14ac:dyDescent="0.3">
      <c r="A7655" s="1">
        <v>45446</v>
      </c>
      <c r="B7655" s="2" t="s">
        <v>312</v>
      </c>
      <c r="C7655" s="2" t="s">
        <v>64</v>
      </c>
      <c r="D7655" s="2" t="s">
        <v>26</v>
      </c>
      <c r="E7655" s="2" t="s">
        <v>45</v>
      </c>
      <c r="F7655" s="2">
        <v>241.57</v>
      </c>
      <c r="G7655" s="2">
        <v>2</v>
      </c>
      <c r="H7655" s="2">
        <v>0</v>
      </c>
      <c r="I7655" t="str">
        <f t="shared" si="119"/>
        <v>Jun</v>
      </c>
      <c r="J7655">
        <f>YEAR(datas[[#This Row],[Order Date]])</f>
        <v>2024</v>
      </c>
    </row>
    <row r="7656" spans="1:10" ht="14.25" customHeight="1" x14ac:dyDescent="0.3">
      <c r="A7656" s="1">
        <v>45446</v>
      </c>
      <c r="B7656" s="2" t="s">
        <v>312</v>
      </c>
      <c r="C7656" s="2" t="s">
        <v>64</v>
      </c>
      <c r="D7656" s="2" t="s">
        <v>28</v>
      </c>
      <c r="E7656" s="2" t="s">
        <v>34</v>
      </c>
      <c r="F7656" s="2">
        <v>110.4</v>
      </c>
      <c r="G7656" s="2">
        <v>2</v>
      </c>
      <c r="H7656" s="2">
        <v>-4.1399999999999997</v>
      </c>
      <c r="I7656" t="str">
        <f t="shared" si="119"/>
        <v>Jun</v>
      </c>
      <c r="J7656">
        <f>YEAR(datas[[#This Row],[Order Date]])</f>
        <v>2024</v>
      </c>
    </row>
    <row r="7657" spans="1:10" ht="14.25" customHeight="1" x14ac:dyDescent="0.3">
      <c r="A7657" s="1">
        <v>45446</v>
      </c>
      <c r="B7657" s="2" t="s">
        <v>621</v>
      </c>
      <c r="C7657" s="2" t="s">
        <v>75</v>
      </c>
      <c r="D7657" s="2" t="s">
        <v>26</v>
      </c>
      <c r="E7657" s="2" t="s">
        <v>73</v>
      </c>
      <c r="F7657" s="2">
        <v>384.77</v>
      </c>
      <c r="G7657" s="2">
        <v>2</v>
      </c>
      <c r="H7657" s="2">
        <v>-115.43</v>
      </c>
      <c r="I7657" t="str">
        <f t="shared" si="119"/>
        <v>Jun</v>
      </c>
      <c r="J7657">
        <f>YEAR(datas[[#This Row],[Order Date]])</f>
        <v>2024</v>
      </c>
    </row>
    <row r="7658" spans="1:10" ht="14.25" customHeight="1" x14ac:dyDescent="0.3">
      <c r="A7658" s="1">
        <v>45446</v>
      </c>
      <c r="B7658" s="2" t="s">
        <v>621</v>
      </c>
      <c r="C7658" s="2" t="s">
        <v>75</v>
      </c>
      <c r="D7658" s="2" t="s">
        <v>28</v>
      </c>
      <c r="E7658" s="2" t="s">
        <v>136</v>
      </c>
      <c r="F7658" s="2">
        <v>78.66</v>
      </c>
      <c r="G7658" s="2">
        <v>6</v>
      </c>
      <c r="H7658" s="2">
        <v>36.18</v>
      </c>
      <c r="I7658" t="str">
        <f t="shared" si="119"/>
        <v>Jun</v>
      </c>
      <c r="J7658">
        <f>YEAR(datas[[#This Row],[Order Date]])</f>
        <v>2024</v>
      </c>
    </row>
    <row r="7659" spans="1:10" ht="14.25" customHeight="1" x14ac:dyDescent="0.3">
      <c r="A7659" s="1">
        <v>45446</v>
      </c>
      <c r="B7659" s="2" t="s">
        <v>621</v>
      </c>
      <c r="C7659" s="2" t="s">
        <v>75</v>
      </c>
      <c r="D7659" s="2" t="s">
        <v>10</v>
      </c>
      <c r="E7659" s="2" t="s">
        <v>11</v>
      </c>
      <c r="F7659" s="2">
        <v>45.36</v>
      </c>
      <c r="G7659" s="2">
        <v>4</v>
      </c>
      <c r="H7659" s="2">
        <v>22.23</v>
      </c>
      <c r="I7659" t="str">
        <f t="shared" si="119"/>
        <v>Jun</v>
      </c>
      <c r="J7659">
        <f>YEAR(datas[[#This Row],[Order Date]])</f>
        <v>2024</v>
      </c>
    </row>
    <row r="7660" spans="1:10" ht="14.25" customHeight="1" x14ac:dyDescent="0.3">
      <c r="A7660" s="1">
        <v>45446</v>
      </c>
      <c r="B7660" s="2" t="s">
        <v>763</v>
      </c>
      <c r="C7660" s="2" t="s">
        <v>82</v>
      </c>
      <c r="D7660" s="2" t="s">
        <v>10</v>
      </c>
      <c r="E7660" s="2" t="s">
        <v>15</v>
      </c>
      <c r="F7660" s="2">
        <v>136.26</v>
      </c>
      <c r="G7660" s="2">
        <v>9</v>
      </c>
      <c r="H7660" s="2">
        <v>5.45</v>
      </c>
      <c r="I7660" t="str">
        <f t="shared" si="119"/>
        <v>Jun</v>
      </c>
      <c r="J7660">
        <f>YEAR(datas[[#This Row],[Order Date]])</f>
        <v>2024</v>
      </c>
    </row>
    <row r="7661" spans="1:10" ht="14.25" customHeight="1" x14ac:dyDescent="0.3">
      <c r="A7661" s="1">
        <v>45447</v>
      </c>
      <c r="B7661" s="2" t="s">
        <v>828</v>
      </c>
      <c r="C7661" s="2" t="s">
        <v>115</v>
      </c>
      <c r="D7661" s="2" t="s">
        <v>26</v>
      </c>
      <c r="E7661" s="2" t="s">
        <v>32</v>
      </c>
      <c r="F7661" s="2">
        <v>31.98</v>
      </c>
      <c r="G7661" s="2">
        <v>2</v>
      </c>
      <c r="H7661" s="2">
        <v>2</v>
      </c>
      <c r="I7661" t="str">
        <f t="shared" si="119"/>
        <v>Jun</v>
      </c>
      <c r="J7661">
        <f>YEAR(datas[[#This Row],[Order Date]])</f>
        <v>2024</v>
      </c>
    </row>
    <row r="7662" spans="1:10" ht="14.25" customHeight="1" x14ac:dyDescent="0.3">
      <c r="A7662" s="1">
        <v>45447</v>
      </c>
      <c r="B7662" s="2" t="s">
        <v>828</v>
      </c>
      <c r="C7662" s="2" t="s">
        <v>115</v>
      </c>
      <c r="D7662" s="2" t="s">
        <v>28</v>
      </c>
      <c r="E7662" s="2" t="s">
        <v>29</v>
      </c>
      <c r="F7662" s="2">
        <v>71.98</v>
      </c>
      <c r="G7662" s="2">
        <v>2</v>
      </c>
      <c r="H7662" s="2">
        <v>25.19</v>
      </c>
      <c r="I7662" t="str">
        <f t="shared" si="119"/>
        <v>Jun</v>
      </c>
      <c r="J7662">
        <f>YEAR(datas[[#This Row],[Order Date]])</f>
        <v>2024</v>
      </c>
    </row>
    <row r="7663" spans="1:10" ht="14.25" customHeight="1" x14ac:dyDescent="0.3">
      <c r="A7663" s="1">
        <v>45447</v>
      </c>
      <c r="B7663" s="2" t="s">
        <v>352</v>
      </c>
      <c r="C7663" s="2" t="s">
        <v>198</v>
      </c>
      <c r="D7663" s="2" t="s">
        <v>10</v>
      </c>
      <c r="E7663" s="2" t="s">
        <v>11</v>
      </c>
      <c r="F7663" s="2">
        <v>12.48</v>
      </c>
      <c r="G7663" s="2">
        <v>2</v>
      </c>
      <c r="H7663" s="2">
        <v>5.62</v>
      </c>
      <c r="I7663" t="str">
        <f t="shared" si="119"/>
        <v>Jun</v>
      </c>
      <c r="J7663">
        <f>YEAR(datas[[#This Row],[Order Date]])</f>
        <v>2024</v>
      </c>
    </row>
    <row r="7664" spans="1:10" ht="14.25" customHeight="1" x14ac:dyDescent="0.3">
      <c r="A7664" s="1">
        <v>45447</v>
      </c>
      <c r="B7664" s="2" t="s">
        <v>255</v>
      </c>
      <c r="C7664" s="2" t="s">
        <v>140</v>
      </c>
      <c r="D7664" s="2" t="s">
        <v>10</v>
      </c>
      <c r="E7664" s="2" t="s">
        <v>19</v>
      </c>
      <c r="F7664" s="2">
        <v>8.64</v>
      </c>
      <c r="G7664" s="2">
        <v>3</v>
      </c>
      <c r="H7664" s="2">
        <v>2.5099999999999998</v>
      </c>
      <c r="I7664" t="str">
        <f t="shared" si="119"/>
        <v>Jun</v>
      </c>
      <c r="J7664">
        <f>YEAR(datas[[#This Row],[Order Date]])</f>
        <v>2024</v>
      </c>
    </row>
    <row r="7665" spans="1:10" ht="14.25" customHeight="1" x14ac:dyDescent="0.3">
      <c r="A7665" s="1">
        <v>45447</v>
      </c>
      <c r="B7665" s="2" t="s">
        <v>858</v>
      </c>
      <c r="C7665" s="2" t="s">
        <v>9</v>
      </c>
      <c r="D7665" s="2" t="s">
        <v>10</v>
      </c>
      <c r="E7665" s="2" t="s">
        <v>16</v>
      </c>
      <c r="F7665" s="2">
        <v>6.37</v>
      </c>
      <c r="G7665" s="2">
        <v>7</v>
      </c>
      <c r="H7665" s="2">
        <v>-9.56</v>
      </c>
      <c r="I7665" t="str">
        <f t="shared" si="119"/>
        <v>Jun</v>
      </c>
      <c r="J7665">
        <f>YEAR(datas[[#This Row],[Order Date]])</f>
        <v>2024</v>
      </c>
    </row>
    <row r="7666" spans="1:10" ht="14.25" customHeight="1" x14ac:dyDescent="0.3">
      <c r="A7666" s="1">
        <v>45447</v>
      </c>
      <c r="B7666" s="2" t="s">
        <v>266</v>
      </c>
      <c r="C7666" s="2" t="s">
        <v>57</v>
      </c>
      <c r="D7666" s="2" t="s">
        <v>10</v>
      </c>
      <c r="E7666" s="2" t="s">
        <v>16</v>
      </c>
      <c r="F7666" s="2">
        <v>108.08</v>
      </c>
      <c r="G7666" s="2">
        <v>7</v>
      </c>
      <c r="H7666" s="2">
        <v>54.04</v>
      </c>
      <c r="I7666" t="str">
        <f t="shared" si="119"/>
        <v>Jun</v>
      </c>
      <c r="J7666">
        <f>YEAR(datas[[#This Row],[Order Date]])</f>
        <v>2024</v>
      </c>
    </row>
    <row r="7667" spans="1:10" ht="14.25" customHeight="1" x14ac:dyDescent="0.3">
      <c r="A7667" s="1">
        <v>45447</v>
      </c>
      <c r="B7667" s="2" t="s">
        <v>266</v>
      </c>
      <c r="C7667" s="2" t="s">
        <v>57</v>
      </c>
      <c r="D7667" s="2" t="s">
        <v>10</v>
      </c>
      <c r="E7667" s="2" t="s">
        <v>16</v>
      </c>
      <c r="F7667" s="2">
        <v>9.5399999999999991</v>
      </c>
      <c r="G7667" s="2">
        <v>3</v>
      </c>
      <c r="H7667" s="2">
        <v>4.3899999999999997</v>
      </c>
      <c r="I7667" t="str">
        <f t="shared" si="119"/>
        <v>Jun</v>
      </c>
      <c r="J7667">
        <f>YEAR(datas[[#This Row],[Order Date]])</f>
        <v>2024</v>
      </c>
    </row>
    <row r="7668" spans="1:10" ht="14.25" customHeight="1" x14ac:dyDescent="0.3">
      <c r="A7668" s="1">
        <v>45447</v>
      </c>
      <c r="B7668" s="2" t="s">
        <v>382</v>
      </c>
      <c r="C7668" s="2" t="s">
        <v>9</v>
      </c>
      <c r="D7668" s="2" t="s">
        <v>26</v>
      </c>
      <c r="E7668" s="2" t="s">
        <v>32</v>
      </c>
      <c r="F7668" s="2">
        <v>30.34</v>
      </c>
      <c r="G7668" s="2">
        <v>6</v>
      </c>
      <c r="H7668" s="2">
        <v>-17.440000000000001</v>
      </c>
      <c r="I7668" t="str">
        <f t="shared" si="119"/>
        <v>Jun</v>
      </c>
      <c r="J7668">
        <f>YEAR(datas[[#This Row],[Order Date]])</f>
        <v>2024</v>
      </c>
    </row>
    <row r="7669" spans="1:10" ht="14.25" customHeight="1" x14ac:dyDescent="0.3">
      <c r="A7669" s="1">
        <v>45448</v>
      </c>
      <c r="B7669" s="2" t="s">
        <v>651</v>
      </c>
      <c r="C7669" s="2" t="s">
        <v>9</v>
      </c>
      <c r="D7669" s="2" t="s">
        <v>28</v>
      </c>
      <c r="E7669" s="2" t="s">
        <v>29</v>
      </c>
      <c r="F7669" s="2">
        <v>470.38</v>
      </c>
      <c r="G7669" s="2">
        <v>3</v>
      </c>
      <c r="H7669" s="2">
        <v>52.92</v>
      </c>
      <c r="I7669" t="str">
        <f t="shared" si="119"/>
        <v>Jun</v>
      </c>
      <c r="J7669">
        <f>YEAR(datas[[#This Row],[Order Date]])</f>
        <v>2024</v>
      </c>
    </row>
    <row r="7670" spans="1:10" ht="14.25" customHeight="1" x14ac:dyDescent="0.3">
      <c r="A7670" s="1">
        <v>45448</v>
      </c>
      <c r="B7670" s="2" t="s">
        <v>338</v>
      </c>
      <c r="C7670" s="2" t="s">
        <v>64</v>
      </c>
      <c r="D7670" s="2" t="s">
        <v>10</v>
      </c>
      <c r="E7670" s="2" t="s">
        <v>11</v>
      </c>
      <c r="F7670" s="2">
        <v>20.74</v>
      </c>
      <c r="G7670" s="2">
        <v>4</v>
      </c>
      <c r="H7670" s="2">
        <v>7.26</v>
      </c>
      <c r="I7670" t="str">
        <f t="shared" si="119"/>
        <v>Jun</v>
      </c>
      <c r="J7670">
        <f>YEAR(datas[[#This Row],[Order Date]])</f>
        <v>2024</v>
      </c>
    </row>
    <row r="7671" spans="1:10" ht="14.25" customHeight="1" x14ac:dyDescent="0.3">
      <c r="A7671" s="1">
        <v>45449</v>
      </c>
      <c r="B7671" s="2" t="s">
        <v>360</v>
      </c>
      <c r="C7671" s="2" t="s">
        <v>21</v>
      </c>
      <c r="D7671" s="2" t="s">
        <v>26</v>
      </c>
      <c r="E7671" s="2" t="s">
        <v>32</v>
      </c>
      <c r="F7671" s="2">
        <v>4.95</v>
      </c>
      <c r="G7671" s="2">
        <v>1</v>
      </c>
      <c r="H7671" s="2">
        <v>2.1800000000000002</v>
      </c>
      <c r="I7671" t="str">
        <f t="shared" si="119"/>
        <v>Jun</v>
      </c>
      <c r="J7671">
        <f>YEAR(datas[[#This Row],[Order Date]])</f>
        <v>2024</v>
      </c>
    </row>
    <row r="7672" spans="1:10" ht="14.25" customHeight="1" x14ac:dyDescent="0.3">
      <c r="A7672" s="1">
        <v>45449</v>
      </c>
      <c r="B7672" s="2" t="s">
        <v>360</v>
      </c>
      <c r="C7672" s="2" t="s">
        <v>21</v>
      </c>
      <c r="D7672" s="2" t="s">
        <v>10</v>
      </c>
      <c r="E7672" s="2" t="s">
        <v>15</v>
      </c>
      <c r="F7672" s="2">
        <v>26.4</v>
      </c>
      <c r="G7672" s="2">
        <v>5</v>
      </c>
      <c r="H7672" s="2">
        <v>0</v>
      </c>
      <c r="I7672" t="str">
        <f t="shared" si="119"/>
        <v>Jun</v>
      </c>
      <c r="J7672">
        <f>YEAR(datas[[#This Row],[Order Date]])</f>
        <v>2024</v>
      </c>
    </row>
    <row r="7673" spans="1:10" ht="14.25" customHeight="1" x14ac:dyDescent="0.3">
      <c r="A7673" s="1">
        <v>45451</v>
      </c>
      <c r="B7673" s="2" t="s">
        <v>171</v>
      </c>
      <c r="C7673" s="2" t="s">
        <v>9</v>
      </c>
      <c r="D7673" s="2" t="s">
        <v>10</v>
      </c>
      <c r="E7673" s="2" t="s">
        <v>53</v>
      </c>
      <c r="F7673" s="2">
        <v>1.62</v>
      </c>
      <c r="G7673" s="2">
        <v>2</v>
      </c>
      <c r="H7673" s="2">
        <v>-4.47</v>
      </c>
      <c r="I7673" t="str">
        <f t="shared" si="119"/>
        <v>Jun</v>
      </c>
      <c r="J7673">
        <f>YEAR(datas[[#This Row],[Order Date]])</f>
        <v>2024</v>
      </c>
    </row>
    <row r="7674" spans="1:10" ht="14.25" customHeight="1" x14ac:dyDescent="0.3">
      <c r="A7674" s="1">
        <v>45451</v>
      </c>
      <c r="B7674" s="2" t="s">
        <v>567</v>
      </c>
      <c r="C7674" s="2" t="s">
        <v>9</v>
      </c>
      <c r="D7674" s="2" t="s">
        <v>10</v>
      </c>
      <c r="E7674" s="2" t="s">
        <v>95</v>
      </c>
      <c r="F7674" s="2">
        <v>23.76</v>
      </c>
      <c r="G7674" s="2">
        <v>3</v>
      </c>
      <c r="H7674" s="2">
        <v>2.08</v>
      </c>
      <c r="I7674" t="str">
        <f t="shared" si="119"/>
        <v>Jun</v>
      </c>
      <c r="J7674">
        <f>YEAR(datas[[#This Row],[Order Date]])</f>
        <v>2024</v>
      </c>
    </row>
    <row r="7675" spans="1:10" ht="14.25" customHeight="1" x14ac:dyDescent="0.3">
      <c r="A7675" s="1">
        <v>45451</v>
      </c>
      <c r="B7675" s="2" t="s">
        <v>567</v>
      </c>
      <c r="C7675" s="2" t="s">
        <v>9</v>
      </c>
      <c r="D7675" s="2" t="s">
        <v>10</v>
      </c>
      <c r="E7675" s="2" t="s">
        <v>11</v>
      </c>
      <c r="F7675" s="2">
        <v>85.06</v>
      </c>
      <c r="G7675" s="2">
        <v>3</v>
      </c>
      <c r="H7675" s="2">
        <v>28.71</v>
      </c>
      <c r="I7675" t="str">
        <f t="shared" si="119"/>
        <v>Jun</v>
      </c>
      <c r="J7675">
        <f>YEAR(datas[[#This Row],[Order Date]])</f>
        <v>2024</v>
      </c>
    </row>
    <row r="7676" spans="1:10" ht="14.25" customHeight="1" x14ac:dyDescent="0.3">
      <c r="A7676" s="1">
        <v>45451</v>
      </c>
      <c r="B7676" s="2" t="s">
        <v>567</v>
      </c>
      <c r="C7676" s="2" t="s">
        <v>9</v>
      </c>
      <c r="D7676" s="2" t="s">
        <v>28</v>
      </c>
      <c r="E7676" s="2" t="s">
        <v>29</v>
      </c>
      <c r="F7676" s="2">
        <v>381.58</v>
      </c>
      <c r="G7676" s="2">
        <v>3</v>
      </c>
      <c r="H7676" s="2">
        <v>28.62</v>
      </c>
      <c r="I7676" t="str">
        <f t="shared" si="119"/>
        <v>Jun</v>
      </c>
      <c r="J7676">
        <f>YEAR(datas[[#This Row],[Order Date]])</f>
        <v>2024</v>
      </c>
    </row>
    <row r="7677" spans="1:10" ht="14.25" customHeight="1" x14ac:dyDescent="0.3">
      <c r="A7677" s="1">
        <v>45451</v>
      </c>
      <c r="B7677" s="2" t="s">
        <v>465</v>
      </c>
      <c r="C7677" s="2" t="s">
        <v>248</v>
      </c>
      <c r="D7677" s="2" t="s">
        <v>10</v>
      </c>
      <c r="E7677" s="2" t="s">
        <v>16</v>
      </c>
      <c r="F7677" s="2">
        <v>10.36</v>
      </c>
      <c r="G7677" s="2">
        <v>2</v>
      </c>
      <c r="H7677" s="2">
        <v>5.08</v>
      </c>
      <c r="I7677" t="str">
        <f t="shared" si="119"/>
        <v>Jun</v>
      </c>
      <c r="J7677">
        <f>YEAR(datas[[#This Row],[Order Date]])</f>
        <v>2024</v>
      </c>
    </row>
    <row r="7678" spans="1:10" ht="14.25" customHeight="1" x14ac:dyDescent="0.3">
      <c r="A7678" s="1">
        <v>45451</v>
      </c>
      <c r="B7678" s="2" t="s">
        <v>416</v>
      </c>
      <c r="C7678" s="2" t="s">
        <v>13</v>
      </c>
      <c r="D7678" s="2" t="s">
        <v>10</v>
      </c>
      <c r="E7678" s="2" t="s">
        <v>16</v>
      </c>
      <c r="F7678" s="2">
        <v>12.18</v>
      </c>
      <c r="G7678" s="2">
        <v>4</v>
      </c>
      <c r="H7678" s="2">
        <v>-18.87</v>
      </c>
      <c r="I7678" t="str">
        <f t="shared" si="119"/>
        <v>Jun</v>
      </c>
      <c r="J7678">
        <f>YEAR(datas[[#This Row],[Order Date]])</f>
        <v>2024</v>
      </c>
    </row>
    <row r="7679" spans="1:10" ht="14.25" customHeight="1" x14ac:dyDescent="0.3">
      <c r="A7679" s="1">
        <v>45451</v>
      </c>
      <c r="B7679" s="2" t="s">
        <v>544</v>
      </c>
      <c r="C7679" s="2" t="s">
        <v>21</v>
      </c>
      <c r="D7679" s="2" t="s">
        <v>26</v>
      </c>
      <c r="E7679" s="2" t="s">
        <v>45</v>
      </c>
      <c r="F7679" s="2">
        <v>1497.67</v>
      </c>
      <c r="G7679" s="2">
        <v>2</v>
      </c>
      <c r="H7679" s="2">
        <v>140.96</v>
      </c>
      <c r="I7679" t="str">
        <f t="shared" si="119"/>
        <v>Jun</v>
      </c>
      <c r="J7679">
        <f>YEAR(datas[[#This Row],[Order Date]])</f>
        <v>2024</v>
      </c>
    </row>
    <row r="7680" spans="1:10" ht="14.25" customHeight="1" x14ac:dyDescent="0.3">
      <c r="A7680" s="1">
        <v>45451</v>
      </c>
      <c r="B7680" s="2" t="s">
        <v>544</v>
      </c>
      <c r="C7680" s="2" t="s">
        <v>21</v>
      </c>
      <c r="D7680" s="2" t="s">
        <v>28</v>
      </c>
      <c r="E7680" s="2" t="s">
        <v>29</v>
      </c>
      <c r="F7680" s="2">
        <v>17.52</v>
      </c>
      <c r="G7680" s="2">
        <v>2</v>
      </c>
      <c r="H7680" s="2">
        <v>-3.5</v>
      </c>
      <c r="I7680" t="str">
        <f t="shared" si="119"/>
        <v>Jun</v>
      </c>
      <c r="J7680">
        <f>YEAR(datas[[#This Row],[Order Date]])</f>
        <v>2024</v>
      </c>
    </row>
    <row r="7681" spans="1:10" ht="14.25" customHeight="1" x14ac:dyDescent="0.3">
      <c r="A7681" s="1">
        <v>45451</v>
      </c>
      <c r="B7681" s="2" t="s">
        <v>318</v>
      </c>
      <c r="C7681" s="2" t="s">
        <v>55</v>
      </c>
      <c r="D7681" s="2" t="s">
        <v>28</v>
      </c>
      <c r="E7681" s="2" t="s">
        <v>34</v>
      </c>
      <c r="F7681" s="2">
        <v>89.54</v>
      </c>
      <c r="G7681" s="2">
        <v>7</v>
      </c>
      <c r="H7681" s="2">
        <v>12.31</v>
      </c>
      <c r="I7681" t="str">
        <f t="shared" si="119"/>
        <v>Jun</v>
      </c>
      <c r="J7681">
        <f>YEAR(datas[[#This Row],[Order Date]])</f>
        <v>2024</v>
      </c>
    </row>
    <row r="7682" spans="1:10" ht="14.25" customHeight="1" x14ac:dyDescent="0.3">
      <c r="A7682" s="1">
        <v>45451</v>
      </c>
      <c r="B7682" s="2" t="s">
        <v>318</v>
      </c>
      <c r="C7682" s="2" t="s">
        <v>55</v>
      </c>
      <c r="D7682" s="2" t="s">
        <v>10</v>
      </c>
      <c r="E7682" s="2" t="s">
        <v>15</v>
      </c>
      <c r="F7682" s="2">
        <v>35.17</v>
      </c>
      <c r="G7682" s="2">
        <v>2</v>
      </c>
      <c r="H7682" s="2">
        <v>-8.35</v>
      </c>
      <c r="I7682" t="str">
        <f t="shared" si="119"/>
        <v>Jun</v>
      </c>
      <c r="J7682">
        <f>YEAR(datas[[#This Row],[Order Date]])</f>
        <v>2024</v>
      </c>
    </row>
    <row r="7683" spans="1:10" ht="14.25" customHeight="1" x14ac:dyDescent="0.3">
      <c r="A7683" s="1">
        <v>45451</v>
      </c>
      <c r="B7683" s="2" t="s">
        <v>318</v>
      </c>
      <c r="C7683" s="2" t="s">
        <v>55</v>
      </c>
      <c r="D7683" s="2" t="s">
        <v>10</v>
      </c>
      <c r="E7683" s="2" t="s">
        <v>16</v>
      </c>
      <c r="F7683" s="2">
        <v>72.59</v>
      </c>
      <c r="G7683" s="2">
        <v>2</v>
      </c>
      <c r="H7683" s="2">
        <v>-48.39</v>
      </c>
      <c r="I7683" t="str">
        <f t="shared" ref="I7683:I7746" si="120">TEXT(A7683,"mmm")</f>
        <v>Jun</v>
      </c>
      <c r="J7683">
        <f>YEAR(datas[[#This Row],[Order Date]])</f>
        <v>2024</v>
      </c>
    </row>
    <row r="7684" spans="1:10" ht="14.25" customHeight="1" x14ac:dyDescent="0.3">
      <c r="A7684" s="1">
        <v>45452</v>
      </c>
      <c r="B7684" s="2" t="s">
        <v>763</v>
      </c>
      <c r="C7684" s="2" t="s">
        <v>13</v>
      </c>
      <c r="D7684" s="2" t="s">
        <v>26</v>
      </c>
      <c r="E7684" s="2" t="s">
        <v>32</v>
      </c>
      <c r="F7684" s="2">
        <v>23.98</v>
      </c>
      <c r="G7684" s="2">
        <v>3</v>
      </c>
      <c r="H7684" s="2">
        <v>-14.39</v>
      </c>
      <c r="I7684" t="str">
        <f t="shared" si="120"/>
        <v>Jun</v>
      </c>
      <c r="J7684">
        <f>YEAR(datas[[#This Row],[Order Date]])</f>
        <v>2024</v>
      </c>
    </row>
    <row r="7685" spans="1:10" ht="14.25" customHeight="1" x14ac:dyDescent="0.3">
      <c r="A7685" s="1">
        <v>45452</v>
      </c>
      <c r="B7685" s="2" t="s">
        <v>763</v>
      </c>
      <c r="C7685" s="2" t="s">
        <v>13</v>
      </c>
      <c r="D7685" s="2" t="s">
        <v>26</v>
      </c>
      <c r="E7685" s="2" t="s">
        <v>73</v>
      </c>
      <c r="F7685" s="2">
        <v>108.93</v>
      </c>
      <c r="G7685" s="2">
        <v>1</v>
      </c>
      <c r="H7685" s="2">
        <v>-71.89</v>
      </c>
      <c r="I7685" t="str">
        <f t="shared" si="120"/>
        <v>Jun</v>
      </c>
      <c r="J7685">
        <f>YEAR(datas[[#This Row],[Order Date]])</f>
        <v>2024</v>
      </c>
    </row>
    <row r="7686" spans="1:10" ht="14.25" customHeight="1" x14ac:dyDescent="0.3">
      <c r="A7686" s="1">
        <v>45452</v>
      </c>
      <c r="B7686" s="2" t="s">
        <v>763</v>
      </c>
      <c r="C7686" s="2" t="s">
        <v>13</v>
      </c>
      <c r="D7686" s="2" t="s">
        <v>10</v>
      </c>
      <c r="E7686" s="2" t="s">
        <v>11</v>
      </c>
      <c r="F7686" s="2">
        <v>36.35</v>
      </c>
      <c r="G7686" s="2">
        <v>8</v>
      </c>
      <c r="H7686" s="2">
        <v>11.36</v>
      </c>
      <c r="I7686" t="str">
        <f t="shared" si="120"/>
        <v>Jun</v>
      </c>
      <c r="J7686">
        <f>YEAR(datas[[#This Row],[Order Date]])</f>
        <v>2024</v>
      </c>
    </row>
    <row r="7687" spans="1:10" ht="14.25" customHeight="1" x14ac:dyDescent="0.3">
      <c r="A7687" s="1">
        <v>45452</v>
      </c>
      <c r="B7687" s="2" t="s">
        <v>550</v>
      </c>
      <c r="C7687" s="2" t="s">
        <v>9</v>
      </c>
      <c r="D7687" s="2" t="s">
        <v>10</v>
      </c>
      <c r="E7687" s="2" t="s">
        <v>15</v>
      </c>
      <c r="F7687" s="2">
        <v>720.76</v>
      </c>
      <c r="G7687" s="2">
        <v>5</v>
      </c>
      <c r="H7687" s="2">
        <v>54.06</v>
      </c>
      <c r="I7687" t="str">
        <f t="shared" si="120"/>
        <v>Jun</v>
      </c>
      <c r="J7687">
        <f>YEAR(datas[[#This Row],[Order Date]])</f>
        <v>2024</v>
      </c>
    </row>
    <row r="7688" spans="1:10" ht="14.25" customHeight="1" x14ac:dyDescent="0.3">
      <c r="A7688" s="1">
        <v>45452</v>
      </c>
      <c r="B7688" s="2" t="s">
        <v>716</v>
      </c>
      <c r="C7688" s="2" t="s">
        <v>36</v>
      </c>
      <c r="D7688" s="2" t="s">
        <v>10</v>
      </c>
      <c r="E7688" s="2" t="s">
        <v>11</v>
      </c>
      <c r="F7688" s="2">
        <v>49.12</v>
      </c>
      <c r="G7688" s="2">
        <v>4</v>
      </c>
      <c r="H7688" s="2">
        <v>23.09</v>
      </c>
      <c r="I7688" t="str">
        <f t="shared" si="120"/>
        <v>Jun</v>
      </c>
      <c r="J7688">
        <f>YEAR(datas[[#This Row],[Order Date]])</f>
        <v>2024</v>
      </c>
    </row>
    <row r="7689" spans="1:10" ht="14.25" customHeight="1" x14ac:dyDescent="0.3">
      <c r="A7689" s="1">
        <v>45453</v>
      </c>
      <c r="B7689" s="2" t="s">
        <v>499</v>
      </c>
      <c r="C7689" s="2" t="s">
        <v>21</v>
      </c>
      <c r="D7689" s="2" t="s">
        <v>10</v>
      </c>
      <c r="E7689" s="2" t="s">
        <v>14</v>
      </c>
      <c r="F7689" s="2">
        <v>29.6</v>
      </c>
      <c r="G7689" s="2">
        <v>2</v>
      </c>
      <c r="H7689" s="2">
        <v>14.8</v>
      </c>
      <c r="I7689" t="str">
        <f t="shared" si="120"/>
        <v>Jun</v>
      </c>
      <c r="J7689">
        <f>YEAR(datas[[#This Row],[Order Date]])</f>
        <v>2024</v>
      </c>
    </row>
    <row r="7690" spans="1:10" ht="14.25" customHeight="1" x14ac:dyDescent="0.3">
      <c r="A7690" s="1">
        <v>45453</v>
      </c>
      <c r="B7690" s="2" t="s">
        <v>499</v>
      </c>
      <c r="C7690" s="2" t="s">
        <v>21</v>
      </c>
      <c r="D7690" s="2" t="s">
        <v>26</v>
      </c>
      <c r="E7690" s="2" t="s">
        <v>45</v>
      </c>
      <c r="F7690" s="2">
        <v>514.16999999999996</v>
      </c>
      <c r="G7690" s="2">
        <v>5</v>
      </c>
      <c r="H7690" s="2">
        <v>-30.25</v>
      </c>
      <c r="I7690" t="str">
        <f t="shared" si="120"/>
        <v>Jun</v>
      </c>
      <c r="J7690">
        <f>YEAR(datas[[#This Row],[Order Date]])</f>
        <v>2024</v>
      </c>
    </row>
    <row r="7691" spans="1:10" ht="14.25" customHeight="1" x14ac:dyDescent="0.3">
      <c r="A7691" s="1">
        <v>45453</v>
      </c>
      <c r="B7691" s="2" t="s">
        <v>499</v>
      </c>
      <c r="C7691" s="2" t="s">
        <v>21</v>
      </c>
      <c r="D7691" s="2" t="s">
        <v>28</v>
      </c>
      <c r="E7691" s="2" t="s">
        <v>29</v>
      </c>
      <c r="F7691" s="2">
        <v>279.95999999999998</v>
      </c>
      <c r="G7691" s="2">
        <v>5</v>
      </c>
      <c r="H7691" s="2">
        <v>17.5</v>
      </c>
      <c r="I7691" t="str">
        <f t="shared" si="120"/>
        <v>Jun</v>
      </c>
      <c r="J7691">
        <f>YEAR(datas[[#This Row],[Order Date]])</f>
        <v>2024</v>
      </c>
    </row>
    <row r="7692" spans="1:10" ht="14.25" customHeight="1" x14ac:dyDescent="0.3">
      <c r="A7692" s="1">
        <v>45453</v>
      </c>
      <c r="B7692" s="2" t="s">
        <v>645</v>
      </c>
      <c r="C7692" s="2" t="s">
        <v>60</v>
      </c>
      <c r="D7692" s="2" t="s">
        <v>28</v>
      </c>
      <c r="E7692" s="2" t="s">
        <v>34</v>
      </c>
      <c r="F7692" s="2">
        <v>132.52000000000001</v>
      </c>
      <c r="G7692" s="2">
        <v>4</v>
      </c>
      <c r="H7692" s="2">
        <v>54.33</v>
      </c>
      <c r="I7692" t="str">
        <f t="shared" si="120"/>
        <v>Jun</v>
      </c>
      <c r="J7692">
        <f>YEAR(datas[[#This Row],[Order Date]])</f>
        <v>2024</v>
      </c>
    </row>
    <row r="7693" spans="1:10" ht="14.25" customHeight="1" x14ac:dyDescent="0.3">
      <c r="A7693" s="1">
        <v>45453</v>
      </c>
      <c r="B7693" s="2" t="s">
        <v>416</v>
      </c>
      <c r="C7693" s="2" t="s">
        <v>21</v>
      </c>
      <c r="D7693" s="2" t="s">
        <v>10</v>
      </c>
      <c r="E7693" s="2" t="s">
        <v>19</v>
      </c>
      <c r="F7693" s="2">
        <v>16.399999999999999</v>
      </c>
      <c r="G7693" s="2">
        <v>5</v>
      </c>
      <c r="H7693" s="2">
        <v>4.76</v>
      </c>
      <c r="I7693" t="str">
        <f t="shared" si="120"/>
        <v>Jun</v>
      </c>
      <c r="J7693">
        <f>YEAR(datas[[#This Row],[Order Date]])</f>
        <v>2024</v>
      </c>
    </row>
    <row r="7694" spans="1:10" ht="14.25" customHeight="1" x14ac:dyDescent="0.3">
      <c r="A7694" s="1">
        <v>45453</v>
      </c>
      <c r="B7694" s="2" t="s">
        <v>388</v>
      </c>
      <c r="C7694" s="2" t="s">
        <v>18</v>
      </c>
      <c r="D7694" s="2" t="s">
        <v>10</v>
      </c>
      <c r="E7694" s="2" t="s">
        <v>11</v>
      </c>
      <c r="F7694" s="2">
        <v>40.03</v>
      </c>
      <c r="G7694" s="2">
        <v>6</v>
      </c>
      <c r="H7694" s="2">
        <v>15.01</v>
      </c>
      <c r="I7694" t="str">
        <f t="shared" si="120"/>
        <v>Jun</v>
      </c>
      <c r="J7694">
        <f>YEAR(datas[[#This Row],[Order Date]])</f>
        <v>2024</v>
      </c>
    </row>
    <row r="7695" spans="1:10" ht="14.25" customHeight="1" x14ac:dyDescent="0.3">
      <c r="A7695" s="1">
        <v>45453</v>
      </c>
      <c r="B7695" s="2" t="s">
        <v>85</v>
      </c>
      <c r="C7695" s="2" t="s">
        <v>64</v>
      </c>
      <c r="D7695" s="2" t="s">
        <v>10</v>
      </c>
      <c r="E7695" s="2" t="s">
        <v>15</v>
      </c>
      <c r="F7695" s="2">
        <v>1347.52</v>
      </c>
      <c r="G7695" s="2">
        <v>8</v>
      </c>
      <c r="H7695" s="2">
        <v>84.22</v>
      </c>
      <c r="I7695" t="str">
        <f t="shared" si="120"/>
        <v>Jun</v>
      </c>
      <c r="J7695">
        <f>YEAR(datas[[#This Row],[Order Date]])</f>
        <v>2024</v>
      </c>
    </row>
    <row r="7696" spans="1:10" ht="14.25" customHeight="1" x14ac:dyDescent="0.3">
      <c r="A7696" s="1">
        <v>45453</v>
      </c>
      <c r="B7696" s="2" t="s">
        <v>100</v>
      </c>
      <c r="C7696" s="2" t="s">
        <v>75</v>
      </c>
      <c r="D7696" s="2" t="s">
        <v>10</v>
      </c>
      <c r="E7696" s="2" t="s">
        <v>19</v>
      </c>
      <c r="F7696" s="2">
        <v>8.4</v>
      </c>
      <c r="G7696" s="2">
        <v>5</v>
      </c>
      <c r="H7696" s="2">
        <v>4.2</v>
      </c>
      <c r="I7696" t="str">
        <f t="shared" si="120"/>
        <v>Jun</v>
      </c>
      <c r="J7696">
        <f>YEAR(datas[[#This Row],[Order Date]])</f>
        <v>2024</v>
      </c>
    </row>
    <row r="7697" spans="1:10" ht="14.25" customHeight="1" x14ac:dyDescent="0.3">
      <c r="A7697" s="1">
        <v>45453</v>
      </c>
      <c r="B7697" s="2" t="s">
        <v>722</v>
      </c>
      <c r="C7697" s="2" t="s">
        <v>82</v>
      </c>
      <c r="D7697" s="2" t="s">
        <v>28</v>
      </c>
      <c r="E7697" s="2" t="s">
        <v>29</v>
      </c>
      <c r="F7697" s="2">
        <v>88.78</v>
      </c>
      <c r="G7697" s="2">
        <v>3</v>
      </c>
      <c r="H7697" s="2">
        <v>7.77</v>
      </c>
      <c r="I7697" t="str">
        <f t="shared" si="120"/>
        <v>Jun</v>
      </c>
      <c r="J7697">
        <f>YEAR(datas[[#This Row],[Order Date]])</f>
        <v>2024</v>
      </c>
    </row>
    <row r="7698" spans="1:10" ht="14.25" customHeight="1" x14ac:dyDescent="0.3">
      <c r="A7698" s="1">
        <v>45453</v>
      </c>
      <c r="B7698" s="2" t="s">
        <v>722</v>
      </c>
      <c r="C7698" s="2" t="s">
        <v>82</v>
      </c>
      <c r="D7698" s="2" t="s">
        <v>10</v>
      </c>
      <c r="E7698" s="2" t="s">
        <v>14</v>
      </c>
      <c r="F7698" s="2">
        <v>11.56</v>
      </c>
      <c r="G7698" s="2">
        <v>4</v>
      </c>
      <c r="H7698" s="2">
        <v>5.43</v>
      </c>
      <c r="I7698" t="str">
        <f t="shared" si="120"/>
        <v>Jun</v>
      </c>
      <c r="J7698">
        <f>YEAR(datas[[#This Row],[Order Date]])</f>
        <v>2024</v>
      </c>
    </row>
    <row r="7699" spans="1:10" ht="14.25" customHeight="1" x14ac:dyDescent="0.3">
      <c r="A7699" s="1">
        <v>45453</v>
      </c>
      <c r="B7699" s="2" t="s">
        <v>722</v>
      </c>
      <c r="C7699" s="2" t="s">
        <v>82</v>
      </c>
      <c r="D7699" s="2" t="s">
        <v>10</v>
      </c>
      <c r="E7699" s="2" t="s">
        <v>15</v>
      </c>
      <c r="F7699" s="2">
        <v>15.58</v>
      </c>
      <c r="G7699" s="2">
        <v>1</v>
      </c>
      <c r="H7699" s="2">
        <v>3.9</v>
      </c>
      <c r="I7699" t="str">
        <f t="shared" si="120"/>
        <v>Jun</v>
      </c>
      <c r="J7699">
        <f>YEAR(datas[[#This Row],[Order Date]])</f>
        <v>2024</v>
      </c>
    </row>
    <row r="7700" spans="1:10" ht="14.25" customHeight="1" x14ac:dyDescent="0.3">
      <c r="A7700" s="1">
        <v>45453</v>
      </c>
      <c r="B7700" s="2" t="s">
        <v>505</v>
      </c>
      <c r="C7700" s="2" t="s">
        <v>21</v>
      </c>
      <c r="D7700" s="2" t="s">
        <v>10</v>
      </c>
      <c r="E7700" s="2" t="s">
        <v>19</v>
      </c>
      <c r="F7700" s="2">
        <v>14.7</v>
      </c>
      <c r="G7700" s="2">
        <v>7</v>
      </c>
      <c r="H7700" s="2">
        <v>4.12</v>
      </c>
      <c r="I7700" t="str">
        <f t="shared" si="120"/>
        <v>Jun</v>
      </c>
      <c r="J7700">
        <f>YEAR(datas[[#This Row],[Order Date]])</f>
        <v>2024</v>
      </c>
    </row>
    <row r="7701" spans="1:10" ht="14.25" customHeight="1" x14ac:dyDescent="0.3">
      <c r="A7701" s="1">
        <v>45453</v>
      </c>
      <c r="B7701" s="2" t="s">
        <v>61</v>
      </c>
      <c r="C7701" s="2" t="s">
        <v>75</v>
      </c>
      <c r="D7701" s="2" t="s">
        <v>10</v>
      </c>
      <c r="E7701" s="2" t="s">
        <v>30</v>
      </c>
      <c r="F7701" s="2">
        <v>14.13</v>
      </c>
      <c r="G7701" s="2">
        <v>3</v>
      </c>
      <c r="H7701" s="2">
        <v>0.71</v>
      </c>
      <c r="I7701" t="str">
        <f t="shared" si="120"/>
        <v>Jun</v>
      </c>
      <c r="J7701">
        <f>YEAR(datas[[#This Row],[Order Date]])</f>
        <v>2024</v>
      </c>
    </row>
    <row r="7702" spans="1:10" ht="14.25" customHeight="1" x14ac:dyDescent="0.3">
      <c r="A7702" s="1">
        <v>45454</v>
      </c>
      <c r="B7702" s="2" t="s">
        <v>333</v>
      </c>
      <c r="C7702" s="2" t="s">
        <v>21</v>
      </c>
      <c r="D7702" s="2" t="s">
        <v>10</v>
      </c>
      <c r="E7702" s="2" t="s">
        <v>11</v>
      </c>
      <c r="F7702" s="2">
        <v>122.97</v>
      </c>
      <c r="G7702" s="2">
        <v>3</v>
      </c>
      <c r="H7702" s="2">
        <v>60.26</v>
      </c>
      <c r="I7702" t="str">
        <f t="shared" si="120"/>
        <v>Jun</v>
      </c>
      <c r="J7702">
        <f>YEAR(datas[[#This Row],[Order Date]])</f>
        <v>2024</v>
      </c>
    </row>
    <row r="7703" spans="1:10" ht="14.25" customHeight="1" x14ac:dyDescent="0.3">
      <c r="A7703" s="1">
        <v>45454</v>
      </c>
      <c r="B7703" s="2" t="s">
        <v>356</v>
      </c>
      <c r="C7703" s="2" t="s">
        <v>55</v>
      </c>
      <c r="D7703" s="2" t="s">
        <v>26</v>
      </c>
      <c r="E7703" s="2" t="s">
        <v>27</v>
      </c>
      <c r="F7703" s="2">
        <v>280.79000000000002</v>
      </c>
      <c r="G7703" s="2">
        <v>1</v>
      </c>
      <c r="H7703" s="2">
        <v>35.1</v>
      </c>
      <c r="I7703" t="str">
        <f t="shared" si="120"/>
        <v>Jun</v>
      </c>
      <c r="J7703">
        <f>YEAR(datas[[#This Row],[Order Date]])</f>
        <v>2024</v>
      </c>
    </row>
    <row r="7704" spans="1:10" ht="14.25" customHeight="1" x14ac:dyDescent="0.3">
      <c r="A7704" s="1">
        <v>45454</v>
      </c>
      <c r="B7704" s="2" t="s">
        <v>356</v>
      </c>
      <c r="C7704" s="2" t="s">
        <v>55</v>
      </c>
      <c r="D7704" s="2" t="s">
        <v>10</v>
      </c>
      <c r="E7704" s="2" t="s">
        <v>15</v>
      </c>
      <c r="F7704" s="2">
        <v>68.45</v>
      </c>
      <c r="G7704" s="2">
        <v>4</v>
      </c>
      <c r="H7704" s="2">
        <v>7.7</v>
      </c>
      <c r="I7704" t="str">
        <f t="shared" si="120"/>
        <v>Jun</v>
      </c>
      <c r="J7704">
        <f>YEAR(datas[[#This Row],[Order Date]])</f>
        <v>2024</v>
      </c>
    </row>
    <row r="7705" spans="1:10" ht="14.25" customHeight="1" x14ac:dyDescent="0.3">
      <c r="A7705" s="1">
        <v>45454</v>
      </c>
      <c r="B7705" s="2" t="s">
        <v>356</v>
      </c>
      <c r="C7705" s="2" t="s">
        <v>55</v>
      </c>
      <c r="D7705" s="2" t="s">
        <v>10</v>
      </c>
      <c r="E7705" s="2" t="s">
        <v>19</v>
      </c>
      <c r="F7705" s="2">
        <v>88.04</v>
      </c>
      <c r="G7705" s="2">
        <v>5</v>
      </c>
      <c r="H7705" s="2">
        <v>6.6</v>
      </c>
      <c r="I7705" t="str">
        <f t="shared" si="120"/>
        <v>Jun</v>
      </c>
      <c r="J7705">
        <f>YEAR(datas[[#This Row],[Order Date]])</f>
        <v>2024</v>
      </c>
    </row>
    <row r="7706" spans="1:10" ht="14.25" customHeight="1" x14ac:dyDescent="0.3">
      <c r="A7706" s="1">
        <v>45454</v>
      </c>
      <c r="B7706" s="2" t="s">
        <v>356</v>
      </c>
      <c r="C7706" s="2" t="s">
        <v>55</v>
      </c>
      <c r="D7706" s="2" t="s">
        <v>10</v>
      </c>
      <c r="E7706" s="2" t="s">
        <v>19</v>
      </c>
      <c r="F7706" s="2">
        <v>15.87</v>
      </c>
      <c r="G7706" s="2">
        <v>1</v>
      </c>
      <c r="H7706" s="2">
        <v>1.98</v>
      </c>
      <c r="I7706" t="str">
        <f t="shared" si="120"/>
        <v>Jun</v>
      </c>
      <c r="J7706">
        <f>YEAR(datas[[#This Row],[Order Date]])</f>
        <v>2024</v>
      </c>
    </row>
    <row r="7707" spans="1:10" ht="14.25" customHeight="1" x14ac:dyDescent="0.3">
      <c r="A7707" s="1">
        <v>45454</v>
      </c>
      <c r="B7707" s="2" t="s">
        <v>356</v>
      </c>
      <c r="C7707" s="2" t="s">
        <v>55</v>
      </c>
      <c r="D7707" s="2" t="s">
        <v>10</v>
      </c>
      <c r="E7707" s="2" t="s">
        <v>15</v>
      </c>
      <c r="F7707" s="2">
        <v>215.59</v>
      </c>
      <c r="G7707" s="2">
        <v>3</v>
      </c>
      <c r="H7707" s="2">
        <v>-48.51</v>
      </c>
      <c r="I7707" t="str">
        <f t="shared" si="120"/>
        <v>Jun</v>
      </c>
      <c r="J7707">
        <f>YEAR(datas[[#This Row],[Order Date]])</f>
        <v>2024</v>
      </c>
    </row>
    <row r="7708" spans="1:10" ht="14.25" customHeight="1" x14ac:dyDescent="0.3">
      <c r="A7708" s="1">
        <v>45454</v>
      </c>
      <c r="B7708" s="2" t="s">
        <v>112</v>
      </c>
      <c r="C7708" s="2" t="s">
        <v>198</v>
      </c>
      <c r="D7708" s="2" t="s">
        <v>10</v>
      </c>
      <c r="E7708" s="2" t="s">
        <v>19</v>
      </c>
      <c r="F7708" s="2">
        <v>3.76</v>
      </c>
      <c r="G7708" s="2">
        <v>2</v>
      </c>
      <c r="H7708" s="2">
        <v>1.0900000000000001</v>
      </c>
      <c r="I7708" t="str">
        <f t="shared" si="120"/>
        <v>Jun</v>
      </c>
      <c r="J7708">
        <f>YEAR(datas[[#This Row],[Order Date]])</f>
        <v>2024</v>
      </c>
    </row>
    <row r="7709" spans="1:10" ht="14.25" customHeight="1" x14ac:dyDescent="0.3">
      <c r="A7709" s="1">
        <v>45454</v>
      </c>
      <c r="B7709" s="2" t="s">
        <v>63</v>
      </c>
      <c r="C7709" s="2" t="s">
        <v>82</v>
      </c>
      <c r="D7709" s="2" t="s">
        <v>10</v>
      </c>
      <c r="E7709" s="2" t="s">
        <v>11</v>
      </c>
      <c r="F7709" s="2">
        <v>37.94</v>
      </c>
      <c r="G7709" s="2">
        <v>2</v>
      </c>
      <c r="H7709" s="2">
        <v>18.21</v>
      </c>
      <c r="I7709" t="str">
        <f t="shared" si="120"/>
        <v>Jun</v>
      </c>
      <c r="J7709">
        <f>YEAR(datas[[#This Row],[Order Date]])</f>
        <v>2024</v>
      </c>
    </row>
    <row r="7710" spans="1:10" ht="14.25" customHeight="1" x14ac:dyDescent="0.3">
      <c r="A7710" s="1">
        <v>45454</v>
      </c>
      <c r="B7710" s="2" t="s">
        <v>63</v>
      </c>
      <c r="C7710" s="2" t="s">
        <v>82</v>
      </c>
      <c r="D7710" s="2" t="s">
        <v>10</v>
      </c>
      <c r="E7710" s="2" t="s">
        <v>16</v>
      </c>
      <c r="F7710" s="2">
        <v>18.29</v>
      </c>
      <c r="G7710" s="2">
        <v>6</v>
      </c>
      <c r="H7710" s="2">
        <v>6.63</v>
      </c>
      <c r="I7710" t="str">
        <f t="shared" si="120"/>
        <v>Jun</v>
      </c>
      <c r="J7710">
        <f>YEAR(datas[[#This Row],[Order Date]])</f>
        <v>2024</v>
      </c>
    </row>
    <row r="7711" spans="1:10" ht="14.25" customHeight="1" x14ac:dyDescent="0.3">
      <c r="A7711" s="1">
        <v>45454</v>
      </c>
      <c r="B7711" s="2" t="s">
        <v>63</v>
      </c>
      <c r="C7711" s="2" t="s">
        <v>82</v>
      </c>
      <c r="D7711" s="2" t="s">
        <v>28</v>
      </c>
      <c r="E7711" s="2" t="s">
        <v>136</v>
      </c>
      <c r="F7711" s="2">
        <v>385.8</v>
      </c>
      <c r="G7711" s="2">
        <v>5</v>
      </c>
      <c r="H7711" s="2">
        <v>130.21</v>
      </c>
      <c r="I7711" t="str">
        <f t="shared" si="120"/>
        <v>Jun</v>
      </c>
      <c r="J7711">
        <f>YEAR(datas[[#This Row],[Order Date]])</f>
        <v>2024</v>
      </c>
    </row>
    <row r="7712" spans="1:10" ht="14.25" customHeight="1" x14ac:dyDescent="0.3">
      <c r="A7712" s="1">
        <v>45454</v>
      </c>
      <c r="B7712" s="2" t="s">
        <v>63</v>
      </c>
      <c r="C7712" s="2" t="s">
        <v>82</v>
      </c>
      <c r="D7712" s="2" t="s">
        <v>10</v>
      </c>
      <c r="E7712" s="2" t="s">
        <v>15</v>
      </c>
      <c r="F7712" s="2">
        <v>102.96</v>
      </c>
      <c r="G7712" s="2">
        <v>2</v>
      </c>
      <c r="H7712" s="2">
        <v>1.03</v>
      </c>
      <c r="I7712" t="str">
        <f t="shared" si="120"/>
        <v>Jun</v>
      </c>
      <c r="J7712">
        <f>YEAR(datas[[#This Row],[Order Date]])</f>
        <v>2024</v>
      </c>
    </row>
    <row r="7713" spans="1:10" ht="14.25" customHeight="1" x14ac:dyDescent="0.3">
      <c r="A7713" s="1">
        <v>45454</v>
      </c>
      <c r="B7713" s="2" t="s">
        <v>63</v>
      </c>
      <c r="C7713" s="2" t="s">
        <v>82</v>
      </c>
      <c r="D7713" s="2" t="s">
        <v>26</v>
      </c>
      <c r="E7713" s="2" t="s">
        <v>45</v>
      </c>
      <c r="F7713" s="2">
        <v>174.42</v>
      </c>
      <c r="G7713" s="2">
        <v>3</v>
      </c>
      <c r="H7713" s="2">
        <v>41.86</v>
      </c>
      <c r="I7713" t="str">
        <f t="shared" si="120"/>
        <v>Jun</v>
      </c>
      <c r="J7713">
        <f>YEAR(datas[[#This Row],[Order Date]])</f>
        <v>2024</v>
      </c>
    </row>
    <row r="7714" spans="1:10" ht="14.25" customHeight="1" x14ac:dyDescent="0.3">
      <c r="A7714" s="1">
        <v>45454</v>
      </c>
      <c r="B7714" s="2" t="s">
        <v>438</v>
      </c>
      <c r="C7714" s="2" t="s">
        <v>21</v>
      </c>
      <c r="D7714" s="2" t="s">
        <v>10</v>
      </c>
      <c r="E7714" s="2" t="s">
        <v>53</v>
      </c>
      <c r="F7714" s="2">
        <v>61.44</v>
      </c>
      <c r="G7714" s="2">
        <v>3</v>
      </c>
      <c r="H7714" s="2">
        <v>16.59</v>
      </c>
      <c r="I7714" t="str">
        <f t="shared" si="120"/>
        <v>Jun</v>
      </c>
      <c r="J7714">
        <f>YEAR(datas[[#This Row],[Order Date]])</f>
        <v>2024</v>
      </c>
    </row>
    <row r="7715" spans="1:10" ht="14.25" customHeight="1" x14ac:dyDescent="0.3">
      <c r="A7715" s="1">
        <v>45454</v>
      </c>
      <c r="B7715" s="2" t="s">
        <v>527</v>
      </c>
      <c r="C7715" s="2" t="s">
        <v>115</v>
      </c>
      <c r="D7715" s="2" t="s">
        <v>10</v>
      </c>
      <c r="E7715" s="2" t="s">
        <v>16</v>
      </c>
      <c r="F7715" s="2">
        <v>4.57</v>
      </c>
      <c r="G7715" s="2">
        <v>4</v>
      </c>
      <c r="H7715" s="2">
        <v>-3.81</v>
      </c>
      <c r="I7715" t="str">
        <f t="shared" si="120"/>
        <v>Jun</v>
      </c>
      <c r="J7715">
        <f>YEAR(datas[[#This Row],[Order Date]])</f>
        <v>2024</v>
      </c>
    </row>
    <row r="7716" spans="1:10" ht="14.25" customHeight="1" x14ac:dyDescent="0.3">
      <c r="A7716" s="1">
        <v>45455</v>
      </c>
      <c r="B7716" s="2" t="s">
        <v>24</v>
      </c>
      <c r="C7716" s="2" t="s">
        <v>23</v>
      </c>
      <c r="D7716" s="2" t="s">
        <v>10</v>
      </c>
      <c r="E7716" s="2" t="s">
        <v>16</v>
      </c>
      <c r="F7716" s="2">
        <v>91.2</v>
      </c>
      <c r="G7716" s="2">
        <v>3</v>
      </c>
      <c r="H7716" s="2">
        <v>41.95</v>
      </c>
      <c r="I7716" t="str">
        <f t="shared" si="120"/>
        <v>Jun</v>
      </c>
      <c r="J7716">
        <f>YEAR(datas[[#This Row],[Order Date]])</f>
        <v>2024</v>
      </c>
    </row>
    <row r="7717" spans="1:10" ht="14.25" customHeight="1" x14ac:dyDescent="0.3">
      <c r="A7717" s="1">
        <v>45455</v>
      </c>
      <c r="B7717" s="2" t="s">
        <v>24</v>
      </c>
      <c r="C7717" s="2" t="s">
        <v>23</v>
      </c>
      <c r="D7717" s="2" t="s">
        <v>26</v>
      </c>
      <c r="E7717" s="2" t="s">
        <v>73</v>
      </c>
      <c r="F7717" s="2">
        <v>452.94</v>
      </c>
      <c r="G7717" s="2">
        <v>3</v>
      </c>
      <c r="H7717" s="2">
        <v>67.94</v>
      </c>
      <c r="I7717" t="str">
        <f t="shared" si="120"/>
        <v>Jun</v>
      </c>
      <c r="J7717">
        <f>YEAR(datas[[#This Row],[Order Date]])</f>
        <v>2024</v>
      </c>
    </row>
    <row r="7718" spans="1:10" ht="14.25" customHeight="1" x14ac:dyDescent="0.3">
      <c r="A7718" s="1">
        <v>45455</v>
      </c>
      <c r="B7718" s="2" t="s">
        <v>309</v>
      </c>
      <c r="C7718" s="2" t="s">
        <v>75</v>
      </c>
      <c r="D7718" s="2" t="s">
        <v>10</v>
      </c>
      <c r="E7718" s="2" t="s">
        <v>11</v>
      </c>
      <c r="F7718" s="2">
        <v>19.04</v>
      </c>
      <c r="G7718" s="2">
        <v>4</v>
      </c>
      <c r="H7718" s="2">
        <v>9.33</v>
      </c>
      <c r="I7718" t="str">
        <f t="shared" si="120"/>
        <v>Jun</v>
      </c>
      <c r="J7718">
        <f>YEAR(datas[[#This Row],[Order Date]])</f>
        <v>2024</v>
      </c>
    </row>
    <row r="7719" spans="1:10" ht="14.25" customHeight="1" x14ac:dyDescent="0.3">
      <c r="A7719" s="1">
        <v>45455</v>
      </c>
      <c r="B7719" s="2" t="s">
        <v>309</v>
      </c>
      <c r="C7719" s="2" t="s">
        <v>75</v>
      </c>
      <c r="D7719" s="2" t="s">
        <v>10</v>
      </c>
      <c r="E7719" s="2" t="s">
        <v>16</v>
      </c>
      <c r="F7719" s="2">
        <v>13.13</v>
      </c>
      <c r="G7719" s="2">
        <v>3</v>
      </c>
      <c r="H7719" s="2">
        <v>4.2699999999999996</v>
      </c>
      <c r="I7719" t="str">
        <f t="shared" si="120"/>
        <v>Jun</v>
      </c>
      <c r="J7719">
        <f>YEAR(datas[[#This Row],[Order Date]])</f>
        <v>2024</v>
      </c>
    </row>
    <row r="7720" spans="1:10" ht="14.25" customHeight="1" x14ac:dyDescent="0.3">
      <c r="A7720" s="1">
        <v>45455</v>
      </c>
      <c r="B7720" s="2" t="s">
        <v>309</v>
      </c>
      <c r="C7720" s="2" t="s">
        <v>75</v>
      </c>
      <c r="D7720" s="2" t="s">
        <v>10</v>
      </c>
      <c r="E7720" s="2" t="s">
        <v>19</v>
      </c>
      <c r="F7720" s="2">
        <v>64.14</v>
      </c>
      <c r="G7720" s="2">
        <v>3</v>
      </c>
      <c r="H7720" s="2">
        <v>16.68</v>
      </c>
      <c r="I7720" t="str">
        <f t="shared" si="120"/>
        <v>Jun</v>
      </c>
      <c r="J7720">
        <f>YEAR(datas[[#This Row],[Order Date]])</f>
        <v>2024</v>
      </c>
    </row>
    <row r="7721" spans="1:10" ht="14.25" customHeight="1" x14ac:dyDescent="0.3">
      <c r="A7721" s="1">
        <v>45455</v>
      </c>
      <c r="B7721" s="2" t="s">
        <v>309</v>
      </c>
      <c r="C7721" s="2" t="s">
        <v>75</v>
      </c>
      <c r="D7721" s="2" t="s">
        <v>26</v>
      </c>
      <c r="E7721" s="2" t="s">
        <v>27</v>
      </c>
      <c r="F7721" s="2">
        <v>858.24</v>
      </c>
      <c r="G7721" s="2">
        <v>4</v>
      </c>
      <c r="H7721" s="2">
        <v>143.04</v>
      </c>
      <c r="I7721" t="str">
        <f t="shared" si="120"/>
        <v>Jun</v>
      </c>
      <c r="J7721">
        <f>YEAR(datas[[#This Row],[Order Date]])</f>
        <v>2024</v>
      </c>
    </row>
    <row r="7722" spans="1:10" ht="14.25" customHeight="1" x14ac:dyDescent="0.3">
      <c r="A7722" s="1">
        <v>45455</v>
      </c>
      <c r="B7722" s="2" t="s">
        <v>228</v>
      </c>
      <c r="C7722" s="2" t="s">
        <v>64</v>
      </c>
      <c r="D7722" s="2" t="s">
        <v>26</v>
      </c>
      <c r="E7722" s="2" t="s">
        <v>32</v>
      </c>
      <c r="F7722" s="2">
        <v>17.09</v>
      </c>
      <c r="G7722" s="2">
        <v>2</v>
      </c>
      <c r="H7722" s="2">
        <v>1.07</v>
      </c>
      <c r="I7722" t="str">
        <f t="shared" si="120"/>
        <v>Jun</v>
      </c>
      <c r="J7722">
        <f>YEAR(datas[[#This Row],[Order Date]])</f>
        <v>2024</v>
      </c>
    </row>
    <row r="7723" spans="1:10" ht="14.25" customHeight="1" x14ac:dyDescent="0.3">
      <c r="A7723" s="1">
        <v>45455</v>
      </c>
      <c r="B7723" s="2" t="s">
        <v>530</v>
      </c>
      <c r="C7723" s="2" t="s">
        <v>47</v>
      </c>
      <c r="D7723" s="2" t="s">
        <v>28</v>
      </c>
      <c r="E7723" s="2" t="s">
        <v>34</v>
      </c>
      <c r="F7723" s="2">
        <v>63.92</v>
      </c>
      <c r="G7723" s="2">
        <v>2</v>
      </c>
      <c r="H7723" s="2">
        <v>19.18</v>
      </c>
      <c r="I7723" t="str">
        <f t="shared" si="120"/>
        <v>Jun</v>
      </c>
      <c r="J7723">
        <f>YEAR(datas[[#This Row],[Order Date]])</f>
        <v>2024</v>
      </c>
    </row>
    <row r="7724" spans="1:10" ht="14.25" customHeight="1" x14ac:dyDescent="0.3">
      <c r="A7724" s="1">
        <v>45455</v>
      </c>
      <c r="B7724" s="2" t="s">
        <v>488</v>
      </c>
      <c r="C7724" s="2" t="s">
        <v>82</v>
      </c>
      <c r="D7724" s="2" t="s">
        <v>28</v>
      </c>
      <c r="E7724" s="2" t="s">
        <v>29</v>
      </c>
      <c r="F7724" s="2">
        <v>71.98</v>
      </c>
      <c r="G7724" s="2">
        <v>3</v>
      </c>
      <c r="H7724" s="2">
        <v>9</v>
      </c>
      <c r="I7724" t="str">
        <f t="shared" si="120"/>
        <v>Jun</v>
      </c>
      <c r="J7724">
        <f>YEAR(datas[[#This Row],[Order Date]])</f>
        <v>2024</v>
      </c>
    </row>
    <row r="7725" spans="1:10" ht="14.25" customHeight="1" x14ac:dyDescent="0.3">
      <c r="A7725" s="1">
        <v>45455</v>
      </c>
      <c r="B7725" s="2" t="s">
        <v>488</v>
      </c>
      <c r="C7725" s="2" t="s">
        <v>82</v>
      </c>
      <c r="D7725" s="2" t="s">
        <v>10</v>
      </c>
      <c r="E7725" s="2" t="s">
        <v>11</v>
      </c>
      <c r="F7725" s="2">
        <v>19.440000000000001</v>
      </c>
      <c r="G7725" s="2">
        <v>3</v>
      </c>
      <c r="H7725" s="2">
        <v>9.33</v>
      </c>
      <c r="I7725" t="str">
        <f t="shared" si="120"/>
        <v>Jun</v>
      </c>
      <c r="J7725">
        <f>YEAR(datas[[#This Row],[Order Date]])</f>
        <v>2024</v>
      </c>
    </row>
    <row r="7726" spans="1:10" ht="14.25" customHeight="1" x14ac:dyDescent="0.3">
      <c r="A7726" s="1">
        <v>45455</v>
      </c>
      <c r="B7726" s="2" t="s">
        <v>420</v>
      </c>
      <c r="C7726" s="2" t="s">
        <v>13</v>
      </c>
      <c r="D7726" s="2" t="s">
        <v>26</v>
      </c>
      <c r="E7726" s="2" t="s">
        <v>32</v>
      </c>
      <c r="F7726" s="2">
        <v>8.86</v>
      </c>
      <c r="G7726" s="2">
        <v>3</v>
      </c>
      <c r="H7726" s="2">
        <v>-6.86</v>
      </c>
      <c r="I7726" t="str">
        <f t="shared" si="120"/>
        <v>Jun</v>
      </c>
      <c r="J7726">
        <f>YEAR(datas[[#This Row],[Order Date]])</f>
        <v>2024</v>
      </c>
    </row>
    <row r="7727" spans="1:10" ht="14.25" customHeight="1" x14ac:dyDescent="0.3">
      <c r="A7727" s="1">
        <v>45456</v>
      </c>
      <c r="B7727" s="2" t="s">
        <v>69</v>
      </c>
      <c r="C7727" s="2" t="s">
        <v>13</v>
      </c>
      <c r="D7727" s="2" t="s">
        <v>10</v>
      </c>
      <c r="E7727" s="2" t="s">
        <v>15</v>
      </c>
      <c r="F7727" s="2">
        <v>164.74</v>
      </c>
      <c r="G7727" s="2">
        <v>4</v>
      </c>
      <c r="H7727" s="2">
        <v>-39.119999999999997</v>
      </c>
      <c r="I7727" t="str">
        <f t="shared" si="120"/>
        <v>Jun</v>
      </c>
      <c r="J7727">
        <f>YEAR(datas[[#This Row],[Order Date]])</f>
        <v>2024</v>
      </c>
    </row>
    <row r="7728" spans="1:10" ht="14.25" customHeight="1" x14ac:dyDescent="0.3">
      <c r="A7728" s="1">
        <v>45456</v>
      </c>
      <c r="B7728" s="2" t="s">
        <v>69</v>
      </c>
      <c r="C7728" s="2" t="s">
        <v>13</v>
      </c>
      <c r="D7728" s="2" t="s">
        <v>26</v>
      </c>
      <c r="E7728" s="2" t="s">
        <v>27</v>
      </c>
      <c r="F7728" s="2">
        <v>470.3</v>
      </c>
      <c r="G7728" s="2">
        <v>7</v>
      </c>
      <c r="H7728" s="2">
        <v>-87.34</v>
      </c>
      <c r="I7728" t="str">
        <f t="shared" si="120"/>
        <v>Jun</v>
      </c>
      <c r="J7728">
        <f>YEAR(datas[[#This Row],[Order Date]])</f>
        <v>2024</v>
      </c>
    </row>
    <row r="7729" spans="1:10" ht="14.25" customHeight="1" x14ac:dyDescent="0.3">
      <c r="A7729" s="1">
        <v>45456</v>
      </c>
      <c r="B7729" s="2" t="s">
        <v>69</v>
      </c>
      <c r="C7729" s="2" t="s">
        <v>13</v>
      </c>
      <c r="D7729" s="2" t="s">
        <v>28</v>
      </c>
      <c r="E7729" s="2" t="s">
        <v>29</v>
      </c>
      <c r="F7729" s="2">
        <v>47.98</v>
      </c>
      <c r="G7729" s="2">
        <v>2</v>
      </c>
      <c r="H7729" s="2">
        <v>6</v>
      </c>
      <c r="I7729" t="str">
        <f t="shared" si="120"/>
        <v>Jun</v>
      </c>
      <c r="J7729">
        <f>YEAR(datas[[#This Row],[Order Date]])</f>
        <v>2024</v>
      </c>
    </row>
    <row r="7730" spans="1:10" ht="14.25" customHeight="1" x14ac:dyDescent="0.3">
      <c r="A7730" s="1">
        <v>45456</v>
      </c>
      <c r="B7730" s="2" t="s">
        <v>260</v>
      </c>
      <c r="C7730" s="2" t="s">
        <v>36</v>
      </c>
      <c r="D7730" s="2" t="s">
        <v>10</v>
      </c>
      <c r="E7730" s="2" t="s">
        <v>19</v>
      </c>
      <c r="F7730" s="2">
        <v>181.86</v>
      </c>
      <c r="G7730" s="2">
        <v>7</v>
      </c>
      <c r="H7730" s="2">
        <v>50.92</v>
      </c>
      <c r="I7730" t="str">
        <f t="shared" si="120"/>
        <v>Jun</v>
      </c>
      <c r="J7730">
        <f>YEAR(datas[[#This Row],[Order Date]])</f>
        <v>2024</v>
      </c>
    </row>
    <row r="7731" spans="1:10" ht="14.25" customHeight="1" x14ac:dyDescent="0.3">
      <c r="A7731" s="1">
        <v>45456</v>
      </c>
      <c r="B7731" s="2" t="s">
        <v>653</v>
      </c>
      <c r="C7731" s="2" t="s">
        <v>82</v>
      </c>
      <c r="D7731" s="2" t="s">
        <v>26</v>
      </c>
      <c r="E7731" s="2" t="s">
        <v>27</v>
      </c>
      <c r="F7731" s="2">
        <v>291.14</v>
      </c>
      <c r="G7731" s="2">
        <v>4</v>
      </c>
      <c r="H7731" s="2">
        <v>-25.47</v>
      </c>
      <c r="I7731" t="str">
        <f t="shared" si="120"/>
        <v>Jun</v>
      </c>
      <c r="J7731">
        <f>YEAR(datas[[#This Row],[Order Date]])</f>
        <v>2024</v>
      </c>
    </row>
    <row r="7732" spans="1:10" ht="14.25" customHeight="1" x14ac:dyDescent="0.3">
      <c r="A7732" s="1">
        <v>45458</v>
      </c>
      <c r="B7732" s="2" t="s">
        <v>862</v>
      </c>
      <c r="C7732" s="2" t="s">
        <v>21</v>
      </c>
      <c r="D7732" s="2" t="s">
        <v>28</v>
      </c>
      <c r="E7732" s="2" t="s">
        <v>29</v>
      </c>
      <c r="F7732" s="2">
        <v>47.98</v>
      </c>
      <c r="G7732" s="2">
        <v>3</v>
      </c>
      <c r="H7732" s="2">
        <v>4.8</v>
      </c>
      <c r="I7732" t="str">
        <f t="shared" si="120"/>
        <v>Jun</v>
      </c>
      <c r="J7732">
        <f>YEAR(datas[[#This Row],[Order Date]])</f>
        <v>2024</v>
      </c>
    </row>
    <row r="7733" spans="1:10" ht="14.25" customHeight="1" x14ac:dyDescent="0.3">
      <c r="A7733" s="1">
        <v>45458</v>
      </c>
      <c r="B7733" s="2" t="s">
        <v>276</v>
      </c>
      <c r="C7733" s="2" t="s">
        <v>13</v>
      </c>
      <c r="D7733" s="2" t="s">
        <v>10</v>
      </c>
      <c r="E7733" s="2" t="s">
        <v>19</v>
      </c>
      <c r="F7733" s="2">
        <v>19.559999999999999</v>
      </c>
      <c r="G7733" s="2">
        <v>5</v>
      </c>
      <c r="H7733" s="2">
        <v>1.71</v>
      </c>
      <c r="I7733" t="str">
        <f t="shared" si="120"/>
        <v>Jun</v>
      </c>
      <c r="J7733">
        <f>YEAR(datas[[#This Row],[Order Date]])</f>
        <v>2024</v>
      </c>
    </row>
    <row r="7734" spans="1:10" ht="14.25" customHeight="1" x14ac:dyDescent="0.3">
      <c r="A7734" s="1">
        <v>45458</v>
      </c>
      <c r="B7734" s="2" t="s">
        <v>797</v>
      </c>
      <c r="C7734" s="2" t="s">
        <v>21</v>
      </c>
      <c r="D7734" s="2" t="s">
        <v>10</v>
      </c>
      <c r="E7734" s="2" t="s">
        <v>19</v>
      </c>
      <c r="F7734" s="2">
        <v>4.26</v>
      </c>
      <c r="G7734" s="2">
        <v>1</v>
      </c>
      <c r="H7734" s="2">
        <v>1.75</v>
      </c>
      <c r="I7734" t="str">
        <f t="shared" si="120"/>
        <v>Jun</v>
      </c>
      <c r="J7734">
        <f>YEAR(datas[[#This Row],[Order Date]])</f>
        <v>2024</v>
      </c>
    </row>
    <row r="7735" spans="1:10" ht="14.25" customHeight="1" x14ac:dyDescent="0.3">
      <c r="A7735" s="1">
        <v>45458</v>
      </c>
      <c r="B7735" s="2" t="s">
        <v>289</v>
      </c>
      <c r="C7735" s="2" t="s">
        <v>140</v>
      </c>
      <c r="D7735" s="2" t="s">
        <v>10</v>
      </c>
      <c r="E7735" s="2" t="s">
        <v>14</v>
      </c>
      <c r="F7735" s="2">
        <v>44.4</v>
      </c>
      <c r="G7735" s="2">
        <v>3</v>
      </c>
      <c r="H7735" s="2">
        <v>22.2</v>
      </c>
      <c r="I7735" t="str">
        <f t="shared" si="120"/>
        <v>Jun</v>
      </c>
      <c r="J7735">
        <f>YEAR(datas[[#This Row],[Order Date]])</f>
        <v>2024</v>
      </c>
    </row>
    <row r="7736" spans="1:10" ht="14.25" customHeight="1" x14ac:dyDescent="0.3">
      <c r="A7736" s="1">
        <v>45458</v>
      </c>
      <c r="B7736" s="2" t="s">
        <v>289</v>
      </c>
      <c r="C7736" s="2" t="s">
        <v>140</v>
      </c>
      <c r="D7736" s="2" t="s">
        <v>10</v>
      </c>
      <c r="E7736" s="2" t="s">
        <v>15</v>
      </c>
      <c r="F7736" s="2">
        <v>84.55</v>
      </c>
      <c r="G7736" s="2">
        <v>5</v>
      </c>
      <c r="H7736" s="2">
        <v>22.83</v>
      </c>
      <c r="I7736" t="str">
        <f t="shared" si="120"/>
        <v>Jun</v>
      </c>
      <c r="J7736">
        <f>YEAR(datas[[#This Row],[Order Date]])</f>
        <v>2024</v>
      </c>
    </row>
    <row r="7737" spans="1:10" ht="14.25" customHeight="1" x14ac:dyDescent="0.3">
      <c r="A7737" s="1">
        <v>45458</v>
      </c>
      <c r="B7737" s="2" t="s">
        <v>289</v>
      </c>
      <c r="C7737" s="2" t="s">
        <v>140</v>
      </c>
      <c r="D7737" s="2" t="s">
        <v>10</v>
      </c>
      <c r="E7737" s="2" t="s">
        <v>11</v>
      </c>
      <c r="F7737" s="2">
        <v>17.940000000000001</v>
      </c>
      <c r="G7737" s="2">
        <v>3</v>
      </c>
      <c r="H7737" s="2">
        <v>8.7899999999999991</v>
      </c>
      <c r="I7737" t="str">
        <f t="shared" si="120"/>
        <v>Jun</v>
      </c>
      <c r="J7737">
        <f>YEAR(datas[[#This Row],[Order Date]])</f>
        <v>2024</v>
      </c>
    </row>
    <row r="7738" spans="1:10" ht="14.25" customHeight="1" x14ac:dyDescent="0.3">
      <c r="A7738" s="1">
        <v>45458</v>
      </c>
      <c r="B7738" s="2" t="s">
        <v>151</v>
      </c>
      <c r="C7738" s="2" t="s">
        <v>21</v>
      </c>
      <c r="D7738" s="2" t="s">
        <v>28</v>
      </c>
      <c r="E7738" s="2" t="s">
        <v>29</v>
      </c>
      <c r="F7738" s="2">
        <v>119.96</v>
      </c>
      <c r="G7738" s="2">
        <v>1</v>
      </c>
      <c r="H7738" s="2">
        <v>7.5</v>
      </c>
      <c r="I7738" t="str">
        <f t="shared" si="120"/>
        <v>Jun</v>
      </c>
      <c r="J7738">
        <f>YEAR(datas[[#This Row],[Order Date]])</f>
        <v>2024</v>
      </c>
    </row>
    <row r="7739" spans="1:10" ht="14.25" customHeight="1" x14ac:dyDescent="0.3">
      <c r="A7739" s="1">
        <v>45458</v>
      </c>
      <c r="B7739" s="2" t="s">
        <v>150</v>
      </c>
      <c r="C7739" s="2" t="s">
        <v>62</v>
      </c>
      <c r="D7739" s="2" t="s">
        <v>28</v>
      </c>
      <c r="E7739" s="2" t="s">
        <v>29</v>
      </c>
      <c r="F7739" s="2">
        <v>239.98</v>
      </c>
      <c r="G7739" s="2">
        <v>3</v>
      </c>
      <c r="H7739" s="2">
        <v>27</v>
      </c>
      <c r="I7739" t="str">
        <f t="shared" si="120"/>
        <v>Jun</v>
      </c>
      <c r="J7739">
        <f>YEAR(datas[[#This Row],[Order Date]])</f>
        <v>2024</v>
      </c>
    </row>
    <row r="7740" spans="1:10" ht="14.25" customHeight="1" x14ac:dyDescent="0.3">
      <c r="A7740" s="1">
        <v>45458</v>
      </c>
      <c r="B7740" s="2" t="s">
        <v>150</v>
      </c>
      <c r="C7740" s="2" t="s">
        <v>62</v>
      </c>
      <c r="D7740" s="2" t="s">
        <v>26</v>
      </c>
      <c r="E7740" s="2" t="s">
        <v>32</v>
      </c>
      <c r="F7740" s="2">
        <v>31.17</v>
      </c>
      <c r="G7740" s="2">
        <v>4</v>
      </c>
      <c r="H7740" s="2">
        <v>9.35</v>
      </c>
      <c r="I7740" t="str">
        <f t="shared" si="120"/>
        <v>Jun</v>
      </c>
      <c r="J7740">
        <f>YEAR(datas[[#This Row],[Order Date]])</f>
        <v>2024</v>
      </c>
    </row>
    <row r="7741" spans="1:10" ht="14.25" customHeight="1" x14ac:dyDescent="0.3">
      <c r="A7741" s="1">
        <v>45458</v>
      </c>
      <c r="B7741" s="2" t="s">
        <v>150</v>
      </c>
      <c r="C7741" s="2" t="s">
        <v>62</v>
      </c>
      <c r="D7741" s="2" t="s">
        <v>26</v>
      </c>
      <c r="E7741" s="2" t="s">
        <v>73</v>
      </c>
      <c r="F7741" s="2">
        <v>120.96</v>
      </c>
      <c r="G7741" s="2">
        <v>2</v>
      </c>
      <c r="H7741" s="2">
        <v>-28.22</v>
      </c>
      <c r="I7741" t="str">
        <f t="shared" si="120"/>
        <v>Jun</v>
      </c>
      <c r="J7741">
        <f>YEAR(datas[[#This Row],[Order Date]])</f>
        <v>2024</v>
      </c>
    </row>
    <row r="7742" spans="1:10" ht="14.25" customHeight="1" x14ac:dyDescent="0.3">
      <c r="A7742" s="1">
        <v>45458</v>
      </c>
      <c r="B7742" s="2" t="s">
        <v>150</v>
      </c>
      <c r="C7742" s="2" t="s">
        <v>62</v>
      </c>
      <c r="D7742" s="2" t="s">
        <v>28</v>
      </c>
      <c r="E7742" s="2" t="s">
        <v>29</v>
      </c>
      <c r="F7742" s="2">
        <v>2239.94</v>
      </c>
      <c r="G7742" s="2">
        <v>8</v>
      </c>
      <c r="H7742" s="2">
        <v>223.99</v>
      </c>
      <c r="I7742" t="str">
        <f t="shared" si="120"/>
        <v>Jun</v>
      </c>
      <c r="J7742">
        <f>YEAR(datas[[#This Row],[Order Date]])</f>
        <v>2024</v>
      </c>
    </row>
    <row r="7743" spans="1:10" ht="14.25" customHeight="1" x14ac:dyDescent="0.3">
      <c r="A7743" s="1">
        <v>45458</v>
      </c>
      <c r="B7743" s="2" t="s">
        <v>150</v>
      </c>
      <c r="C7743" s="2" t="s">
        <v>62</v>
      </c>
      <c r="D7743" s="2" t="s">
        <v>10</v>
      </c>
      <c r="E7743" s="2" t="s">
        <v>53</v>
      </c>
      <c r="F7743" s="2">
        <v>76.61</v>
      </c>
      <c r="G7743" s="2">
        <v>8</v>
      </c>
      <c r="H7743" s="2">
        <v>6.7</v>
      </c>
      <c r="I7743" t="str">
        <f t="shared" si="120"/>
        <v>Jun</v>
      </c>
      <c r="J7743">
        <f>YEAR(datas[[#This Row],[Order Date]])</f>
        <v>2024</v>
      </c>
    </row>
    <row r="7744" spans="1:10" ht="14.25" customHeight="1" x14ac:dyDescent="0.3">
      <c r="A7744" s="1">
        <v>45458</v>
      </c>
      <c r="B7744" s="2" t="s">
        <v>150</v>
      </c>
      <c r="C7744" s="2" t="s">
        <v>62</v>
      </c>
      <c r="D7744" s="2" t="s">
        <v>10</v>
      </c>
      <c r="E7744" s="2" t="s">
        <v>15</v>
      </c>
      <c r="F7744" s="2">
        <v>142.78</v>
      </c>
      <c r="G7744" s="2">
        <v>1</v>
      </c>
      <c r="H7744" s="2">
        <v>17.850000000000001</v>
      </c>
      <c r="I7744" t="str">
        <f t="shared" si="120"/>
        <v>Jun</v>
      </c>
      <c r="J7744">
        <f>YEAR(datas[[#This Row],[Order Date]])</f>
        <v>2024</v>
      </c>
    </row>
    <row r="7745" spans="1:10" ht="14.25" customHeight="1" x14ac:dyDescent="0.3">
      <c r="A7745" s="1">
        <v>45458</v>
      </c>
      <c r="B7745" s="2" t="s">
        <v>150</v>
      </c>
      <c r="C7745" s="2" t="s">
        <v>62</v>
      </c>
      <c r="D7745" s="2" t="s">
        <v>10</v>
      </c>
      <c r="E7745" s="2" t="s">
        <v>11</v>
      </c>
      <c r="F7745" s="2">
        <v>91.36</v>
      </c>
      <c r="G7745" s="2">
        <v>5</v>
      </c>
      <c r="H7745" s="2">
        <v>29.69</v>
      </c>
      <c r="I7745" t="str">
        <f t="shared" si="120"/>
        <v>Jun</v>
      </c>
      <c r="J7745">
        <f>YEAR(datas[[#This Row],[Order Date]])</f>
        <v>2024</v>
      </c>
    </row>
    <row r="7746" spans="1:10" ht="14.25" customHeight="1" x14ac:dyDescent="0.3">
      <c r="A7746" s="1">
        <v>45458</v>
      </c>
      <c r="B7746" s="2" t="s">
        <v>434</v>
      </c>
      <c r="C7746" s="2" t="s">
        <v>115</v>
      </c>
      <c r="D7746" s="2" t="s">
        <v>26</v>
      </c>
      <c r="E7746" s="2" t="s">
        <v>27</v>
      </c>
      <c r="F7746" s="2">
        <v>698.35</v>
      </c>
      <c r="G7746" s="2">
        <v>3</v>
      </c>
      <c r="H7746" s="2">
        <v>52.38</v>
      </c>
      <c r="I7746" t="str">
        <f t="shared" si="120"/>
        <v>Jun</v>
      </c>
      <c r="J7746">
        <f>YEAR(datas[[#This Row],[Order Date]])</f>
        <v>2024</v>
      </c>
    </row>
    <row r="7747" spans="1:10" ht="14.25" customHeight="1" x14ac:dyDescent="0.3">
      <c r="A7747" s="1">
        <v>45458</v>
      </c>
      <c r="B7747" s="2" t="s">
        <v>434</v>
      </c>
      <c r="C7747" s="2" t="s">
        <v>115</v>
      </c>
      <c r="D7747" s="2" t="s">
        <v>26</v>
      </c>
      <c r="E7747" s="2" t="s">
        <v>45</v>
      </c>
      <c r="F7747" s="2">
        <v>77.73</v>
      </c>
      <c r="G7747" s="2">
        <v>2</v>
      </c>
      <c r="H7747" s="2">
        <v>-3.89</v>
      </c>
      <c r="I7747" t="str">
        <f t="shared" ref="I7747:I7810" si="121">TEXT(A7747,"mmm")</f>
        <v>Jun</v>
      </c>
      <c r="J7747">
        <f>YEAR(datas[[#This Row],[Order Date]])</f>
        <v>2024</v>
      </c>
    </row>
    <row r="7748" spans="1:10" ht="14.25" customHeight="1" x14ac:dyDescent="0.3">
      <c r="A7748" s="1">
        <v>45459</v>
      </c>
      <c r="B7748" s="2" t="s">
        <v>667</v>
      </c>
      <c r="C7748" s="2" t="s">
        <v>115</v>
      </c>
      <c r="D7748" s="2" t="s">
        <v>10</v>
      </c>
      <c r="E7748" s="2" t="s">
        <v>19</v>
      </c>
      <c r="F7748" s="2">
        <v>14.02</v>
      </c>
      <c r="G7748" s="2">
        <v>3</v>
      </c>
      <c r="H7748" s="2">
        <v>4.7300000000000004</v>
      </c>
      <c r="I7748" t="str">
        <f t="shared" si="121"/>
        <v>Jun</v>
      </c>
      <c r="J7748">
        <f>YEAR(datas[[#This Row],[Order Date]])</f>
        <v>2024</v>
      </c>
    </row>
    <row r="7749" spans="1:10" ht="14.25" customHeight="1" x14ac:dyDescent="0.3">
      <c r="A7749" s="1">
        <v>45459</v>
      </c>
      <c r="B7749" s="2" t="s">
        <v>332</v>
      </c>
      <c r="C7749" s="2" t="s">
        <v>25</v>
      </c>
      <c r="D7749" s="2" t="s">
        <v>26</v>
      </c>
      <c r="E7749" s="2" t="s">
        <v>27</v>
      </c>
      <c r="F7749" s="2">
        <v>301.95999999999998</v>
      </c>
      <c r="G7749" s="2">
        <v>2</v>
      </c>
      <c r="H7749" s="2">
        <v>90.59</v>
      </c>
      <c r="I7749" t="str">
        <f t="shared" si="121"/>
        <v>Jun</v>
      </c>
      <c r="J7749">
        <f>YEAR(datas[[#This Row],[Order Date]])</f>
        <v>2024</v>
      </c>
    </row>
    <row r="7750" spans="1:10" ht="14.25" customHeight="1" x14ac:dyDescent="0.3">
      <c r="A7750" s="1">
        <v>45459</v>
      </c>
      <c r="B7750" s="2" t="s">
        <v>332</v>
      </c>
      <c r="C7750" s="2" t="s">
        <v>25</v>
      </c>
      <c r="D7750" s="2" t="s">
        <v>10</v>
      </c>
      <c r="E7750" s="2" t="s">
        <v>53</v>
      </c>
      <c r="F7750" s="2">
        <v>180.66</v>
      </c>
      <c r="G7750" s="2">
        <v>3</v>
      </c>
      <c r="H7750" s="2">
        <v>50.58</v>
      </c>
      <c r="I7750" t="str">
        <f t="shared" si="121"/>
        <v>Jun</v>
      </c>
      <c r="J7750">
        <f>YEAR(datas[[#This Row],[Order Date]])</f>
        <v>2024</v>
      </c>
    </row>
    <row r="7751" spans="1:10" ht="14.25" customHeight="1" x14ac:dyDescent="0.3">
      <c r="A7751" s="1">
        <v>45459</v>
      </c>
      <c r="B7751" s="2" t="s">
        <v>332</v>
      </c>
      <c r="C7751" s="2" t="s">
        <v>25</v>
      </c>
      <c r="D7751" s="2" t="s">
        <v>28</v>
      </c>
      <c r="E7751" s="2" t="s">
        <v>29</v>
      </c>
      <c r="F7751" s="2">
        <v>191.98</v>
      </c>
      <c r="G7751" s="2">
        <v>2</v>
      </c>
      <c r="H7751" s="2">
        <v>51.83</v>
      </c>
      <c r="I7751" t="str">
        <f t="shared" si="121"/>
        <v>Jun</v>
      </c>
      <c r="J7751">
        <f>YEAR(datas[[#This Row],[Order Date]])</f>
        <v>2024</v>
      </c>
    </row>
    <row r="7752" spans="1:10" ht="14.25" customHeight="1" x14ac:dyDescent="0.3">
      <c r="A7752" s="1">
        <v>45459</v>
      </c>
      <c r="B7752" s="2" t="s">
        <v>332</v>
      </c>
      <c r="C7752" s="2" t="s">
        <v>25</v>
      </c>
      <c r="D7752" s="2" t="s">
        <v>28</v>
      </c>
      <c r="E7752" s="2" t="s">
        <v>29</v>
      </c>
      <c r="F7752" s="2">
        <v>65.989999999999995</v>
      </c>
      <c r="G7752" s="2">
        <v>1</v>
      </c>
      <c r="H7752" s="2">
        <v>17.16</v>
      </c>
      <c r="I7752" t="str">
        <f t="shared" si="121"/>
        <v>Jun</v>
      </c>
      <c r="J7752">
        <f>YEAR(datas[[#This Row],[Order Date]])</f>
        <v>2024</v>
      </c>
    </row>
    <row r="7753" spans="1:10" ht="14.25" customHeight="1" x14ac:dyDescent="0.3">
      <c r="A7753" s="1">
        <v>45459</v>
      </c>
      <c r="B7753" s="2" t="s">
        <v>420</v>
      </c>
      <c r="C7753" s="2" t="s">
        <v>21</v>
      </c>
      <c r="D7753" s="2" t="s">
        <v>26</v>
      </c>
      <c r="E7753" s="2" t="s">
        <v>27</v>
      </c>
      <c r="F7753" s="2">
        <v>1212.96</v>
      </c>
      <c r="G7753" s="2">
        <v>7</v>
      </c>
      <c r="H7753" s="2">
        <v>90.97</v>
      </c>
      <c r="I7753" t="str">
        <f t="shared" si="121"/>
        <v>Jun</v>
      </c>
      <c r="J7753">
        <f>YEAR(datas[[#This Row],[Order Date]])</f>
        <v>2024</v>
      </c>
    </row>
    <row r="7754" spans="1:10" ht="14.25" customHeight="1" x14ac:dyDescent="0.3">
      <c r="A7754" s="1">
        <v>45459</v>
      </c>
      <c r="B7754" s="2" t="s">
        <v>420</v>
      </c>
      <c r="C7754" s="2" t="s">
        <v>21</v>
      </c>
      <c r="D7754" s="2" t="s">
        <v>10</v>
      </c>
      <c r="E7754" s="2" t="s">
        <v>11</v>
      </c>
      <c r="F7754" s="2">
        <v>18.54</v>
      </c>
      <c r="G7754" s="2">
        <v>2</v>
      </c>
      <c r="H7754" s="2">
        <v>8.7100000000000009</v>
      </c>
      <c r="I7754" t="str">
        <f t="shared" si="121"/>
        <v>Jun</v>
      </c>
      <c r="J7754">
        <f>YEAR(datas[[#This Row],[Order Date]])</f>
        <v>2024</v>
      </c>
    </row>
    <row r="7755" spans="1:10" ht="14.25" customHeight="1" x14ac:dyDescent="0.3">
      <c r="A7755" s="1">
        <v>45459</v>
      </c>
      <c r="B7755" s="2" t="s">
        <v>383</v>
      </c>
      <c r="C7755" s="2" t="s">
        <v>167</v>
      </c>
      <c r="D7755" s="2" t="s">
        <v>10</v>
      </c>
      <c r="E7755" s="2" t="s">
        <v>95</v>
      </c>
      <c r="F7755" s="2">
        <v>16.68</v>
      </c>
      <c r="G7755" s="2">
        <v>2</v>
      </c>
      <c r="H7755" s="2">
        <v>4.34</v>
      </c>
      <c r="I7755" t="str">
        <f t="shared" si="121"/>
        <v>Jun</v>
      </c>
      <c r="J7755">
        <f>YEAR(datas[[#This Row],[Order Date]])</f>
        <v>2024</v>
      </c>
    </row>
    <row r="7756" spans="1:10" ht="14.25" customHeight="1" x14ac:dyDescent="0.3">
      <c r="A7756" s="1">
        <v>45459</v>
      </c>
      <c r="B7756" s="2" t="s">
        <v>383</v>
      </c>
      <c r="C7756" s="2" t="s">
        <v>167</v>
      </c>
      <c r="D7756" s="2" t="s">
        <v>10</v>
      </c>
      <c r="E7756" s="2" t="s">
        <v>11</v>
      </c>
      <c r="F7756" s="2">
        <v>19.440000000000001</v>
      </c>
      <c r="G7756" s="2">
        <v>3</v>
      </c>
      <c r="H7756" s="2">
        <v>9.33</v>
      </c>
      <c r="I7756" t="str">
        <f t="shared" si="121"/>
        <v>Jun</v>
      </c>
      <c r="J7756">
        <f>YEAR(datas[[#This Row],[Order Date]])</f>
        <v>2024</v>
      </c>
    </row>
    <row r="7757" spans="1:10" ht="14.25" customHeight="1" x14ac:dyDescent="0.3">
      <c r="A7757" s="1">
        <v>45459</v>
      </c>
      <c r="B7757" s="2" t="s">
        <v>383</v>
      </c>
      <c r="C7757" s="2" t="s">
        <v>167</v>
      </c>
      <c r="D7757" s="2" t="s">
        <v>10</v>
      </c>
      <c r="E7757" s="2" t="s">
        <v>11</v>
      </c>
      <c r="F7757" s="2">
        <v>192.16</v>
      </c>
      <c r="G7757" s="2">
        <v>4</v>
      </c>
      <c r="H7757" s="2">
        <v>92.24</v>
      </c>
      <c r="I7757" t="str">
        <f t="shared" si="121"/>
        <v>Jun</v>
      </c>
      <c r="J7757">
        <f>YEAR(datas[[#This Row],[Order Date]])</f>
        <v>2024</v>
      </c>
    </row>
    <row r="7758" spans="1:10" ht="14.25" customHeight="1" x14ac:dyDescent="0.3">
      <c r="A7758" s="1">
        <v>45459</v>
      </c>
      <c r="B7758" s="2" t="s">
        <v>593</v>
      </c>
      <c r="C7758" s="2" t="s">
        <v>13</v>
      </c>
      <c r="D7758" s="2" t="s">
        <v>10</v>
      </c>
      <c r="E7758" s="2" t="s">
        <v>16</v>
      </c>
      <c r="F7758" s="2">
        <v>5.94</v>
      </c>
      <c r="G7758" s="2">
        <v>7</v>
      </c>
      <c r="H7758" s="2">
        <v>-8.9</v>
      </c>
      <c r="I7758" t="str">
        <f t="shared" si="121"/>
        <v>Jun</v>
      </c>
      <c r="J7758">
        <f>YEAR(datas[[#This Row],[Order Date]])</f>
        <v>2024</v>
      </c>
    </row>
    <row r="7759" spans="1:10" ht="14.25" customHeight="1" x14ac:dyDescent="0.3">
      <c r="A7759" s="1">
        <v>45459</v>
      </c>
      <c r="B7759" s="2" t="s">
        <v>419</v>
      </c>
      <c r="C7759" s="2" t="s">
        <v>47</v>
      </c>
      <c r="D7759" s="2" t="s">
        <v>28</v>
      </c>
      <c r="E7759" s="2" t="s">
        <v>34</v>
      </c>
      <c r="F7759" s="2">
        <v>479.95</v>
      </c>
      <c r="G7759" s="2">
        <v>6</v>
      </c>
      <c r="H7759" s="2">
        <v>107.99</v>
      </c>
      <c r="I7759" t="str">
        <f t="shared" si="121"/>
        <v>Jun</v>
      </c>
      <c r="J7759">
        <f>YEAR(datas[[#This Row],[Order Date]])</f>
        <v>2024</v>
      </c>
    </row>
    <row r="7760" spans="1:10" ht="14.25" customHeight="1" x14ac:dyDescent="0.3">
      <c r="A7760" s="1">
        <v>45459</v>
      </c>
      <c r="B7760" s="2" t="s">
        <v>419</v>
      </c>
      <c r="C7760" s="2" t="s">
        <v>47</v>
      </c>
      <c r="D7760" s="2" t="s">
        <v>10</v>
      </c>
      <c r="E7760" s="2" t="s">
        <v>19</v>
      </c>
      <c r="F7760" s="2">
        <v>23.92</v>
      </c>
      <c r="G7760" s="2">
        <v>5</v>
      </c>
      <c r="H7760" s="2">
        <v>1.79</v>
      </c>
      <c r="I7760" t="str">
        <f t="shared" si="121"/>
        <v>Jun</v>
      </c>
      <c r="J7760">
        <f>YEAR(datas[[#This Row],[Order Date]])</f>
        <v>2024</v>
      </c>
    </row>
    <row r="7761" spans="1:10" ht="14.25" customHeight="1" x14ac:dyDescent="0.3">
      <c r="A7761" s="1">
        <v>45460</v>
      </c>
      <c r="B7761" s="2" t="s">
        <v>445</v>
      </c>
      <c r="C7761" s="2" t="s">
        <v>21</v>
      </c>
      <c r="D7761" s="2" t="s">
        <v>10</v>
      </c>
      <c r="E7761" s="2" t="s">
        <v>16</v>
      </c>
      <c r="F7761" s="2">
        <v>51.31</v>
      </c>
      <c r="G7761" s="2">
        <v>3</v>
      </c>
      <c r="H7761" s="2">
        <v>17.96</v>
      </c>
      <c r="I7761" t="str">
        <f t="shared" si="121"/>
        <v>Jun</v>
      </c>
      <c r="J7761">
        <f>YEAR(datas[[#This Row],[Order Date]])</f>
        <v>2024</v>
      </c>
    </row>
    <row r="7762" spans="1:10" ht="14.25" customHeight="1" x14ac:dyDescent="0.3">
      <c r="A7762" s="1">
        <v>45460</v>
      </c>
      <c r="B7762" s="2" t="s">
        <v>484</v>
      </c>
      <c r="C7762" s="2" t="s">
        <v>82</v>
      </c>
      <c r="D7762" s="2" t="s">
        <v>26</v>
      </c>
      <c r="E7762" s="2" t="s">
        <v>32</v>
      </c>
      <c r="F7762" s="2">
        <v>155.25</v>
      </c>
      <c r="G7762" s="2">
        <v>3</v>
      </c>
      <c r="H7762" s="2">
        <v>46.58</v>
      </c>
      <c r="I7762" t="str">
        <f t="shared" si="121"/>
        <v>Jun</v>
      </c>
      <c r="J7762">
        <f>YEAR(datas[[#This Row],[Order Date]])</f>
        <v>2024</v>
      </c>
    </row>
    <row r="7763" spans="1:10" ht="14.25" customHeight="1" x14ac:dyDescent="0.3">
      <c r="A7763" s="1">
        <v>45460</v>
      </c>
      <c r="B7763" s="2" t="s">
        <v>484</v>
      </c>
      <c r="C7763" s="2" t="s">
        <v>82</v>
      </c>
      <c r="D7763" s="2" t="s">
        <v>10</v>
      </c>
      <c r="E7763" s="2" t="s">
        <v>15</v>
      </c>
      <c r="F7763" s="2">
        <v>14.03</v>
      </c>
      <c r="G7763" s="2">
        <v>1</v>
      </c>
      <c r="H7763" s="2">
        <v>4.07</v>
      </c>
      <c r="I7763" t="str">
        <f t="shared" si="121"/>
        <v>Jun</v>
      </c>
      <c r="J7763">
        <f>YEAR(datas[[#This Row],[Order Date]])</f>
        <v>2024</v>
      </c>
    </row>
    <row r="7764" spans="1:10" ht="14.25" customHeight="1" x14ac:dyDescent="0.3">
      <c r="A7764" s="1">
        <v>45460</v>
      </c>
      <c r="B7764" s="2" t="s">
        <v>536</v>
      </c>
      <c r="C7764" s="2" t="s">
        <v>13</v>
      </c>
      <c r="D7764" s="2" t="s">
        <v>10</v>
      </c>
      <c r="E7764" s="2" t="s">
        <v>11</v>
      </c>
      <c r="F7764" s="2">
        <v>12.22</v>
      </c>
      <c r="G7764" s="2">
        <v>2</v>
      </c>
      <c r="H7764" s="2">
        <v>4.43</v>
      </c>
      <c r="I7764" t="str">
        <f t="shared" si="121"/>
        <v>Jun</v>
      </c>
      <c r="J7764">
        <f>YEAR(datas[[#This Row],[Order Date]])</f>
        <v>2024</v>
      </c>
    </row>
    <row r="7765" spans="1:10" ht="14.25" customHeight="1" x14ac:dyDescent="0.3">
      <c r="A7765" s="1">
        <v>45460</v>
      </c>
      <c r="B7765" s="2" t="s">
        <v>536</v>
      </c>
      <c r="C7765" s="2" t="s">
        <v>13</v>
      </c>
      <c r="D7765" s="2" t="s">
        <v>10</v>
      </c>
      <c r="E7765" s="2" t="s">
        <v>16</v>
      </c>
      <c r="F7765" s="2">
        <v>2.2999999999999998</v>
      </c>
      <c r="G7765" s="2">
        <v>4</v>
      </c>
      <c r="H7765" s="2">
        <v>-3.57</v>
      </c>
      <c r="I7765" t="str">
        <f t="shared" si="121"/>
        <v>Jun</v>
      </c>
      <c r="J7765">
        <f>YEAR(datas[[#This Row],[Order Date]])</f>
        <v>2024</v>
      </c>
    </row>
    <row r="7766" spans="1:10" ht="14.25" customHeight="1" x14ac:dyDescent="0.3">
      <c r="A7766" s="1">
        <v>45460</v>
      </c>
      <c r="B7766" s="2" t="s">
        <v>536</v>
      </c>
      <c r="C7766" s="2" t="s">
        <v>13</v>
      </c>
      <c r="D7766" s="2" t="s">
        <v>10</v>
      </c>
      <c r="E7766" s="2" t="s">
        <v>16</v>
      </c>
      <c r="F7766" s="2">
        <v>9.36</v>
      </c>
      <c r="G7766" s="2">
        <v>4</v>
      </c>
      <c r="H7766" s="2">
        <v>-16.38</v>
      </c>
      <c r="I7766" t="str">
        <f t="shared" si="121"/>
        <v>Jun</v>
      </c>
      <c r="J7766">
        <f>YEAR(datas[[#This Row],[Order Date]])</f>
        <v>2024</v>
      </c>
    </row>
    <row r="7767" spans="1:10" ht="14.25" customHeight="1" x14ac:dyDescent="0.3">
      <c r="A7767" s="1">
        <v>45460</v>
      </c>
      <c r="B7767" s="2" t="s">
        <v>441</v>
      </c>
      <c r="C7767" s="2" t="s">
        <v>126</v>
      </c>
      <c r="D7767" s="2" t="s">
        <v>10</v>
      </c>
      <c r="E7767" s="2" t="s">
        <v>15</v>
      </c>
      <c r="F7767" s="2">
        <v>146.35</v>
      </c>
      <c r="G7767" s="2">
        <v>3</v>
      </c>
      <c r="H7767" s="2">
        <v>-32.93</v>
      </c>
      <c r="I7767" t="str">
        <f t="shared" si="121"/>
        <v>Jun</v>
      </c>
      <c r="J7767">
        <f>YEAR(datas[[#This Row],[Order Date]])</f>
        <v>2024</v>
      </c>
    </row>
    <row r="7768" spans="1:10" ht="14.25" customHeight="1" x14ac:dyDescent="0.3">
      <c r="A7768" s="1">
        <v>45460</v>
      </c>
      <c r="B7768" s="2" t="s">
        <v>101</v>
      </c>
      <c r="C7768" s="2" t="s">
        <v>75</v>
      </c>
      <c r="D7768" s="2" t="s">
        <v>28</v>
      </c>
      <c r="E7768" s="2" t="s">
        <v>136</v>
      </c>
      <c r="F7768" s="2">
        <v>3404.5</v>
      </c>
      <c r="G7768" s="2">
        <v>5</v>
      </c>
      <c r="H7768" s="2">
        <v>1668.21</v>
      </c>
      <c r="I7768" t="str">
        <f t="shared" si="121"/>
        <v>Jun</v>
      </c>
      <c r="J7768">
        <f>YEAR(datas[[#This Row],[Order Date]])</f>
        <v>2024</v>
      </c>
    </row>
    <row r="7769" spans="1:10" ht="14.25" customHeight="1" x14ac:dyDescent="0.3">
      <c r="A7769" s="1">
        <v>45460</v>
      </c>
      <c r="B7769" s="2" t="s">
        <v>101</v>
      </c>
      <c r="C7769" s="2" t="s">
        <v>75</v>
      </c>
      <c r="D7769" s="2" t="s">
        <v>28</v>
      </c>
      <c r="E7769" s="2" t="s">
        <v>34</v>
      </c>
      <c r="F7769" s="2">
        <v>101.34</v>
      </c>
      <c r="G7769" s="2">
        <v>3</v>
      </c>
      <c r="H7769" s="2">
        <v>8.11</v>
      </c>
      <c r="I7769" t="str">
        <f t="shared" si="121"/>
        <v>Jun</v>
      </c>
      <c r="J7769">
        <f>YEAR(datas[[#This Row],[Order Date]])</f>
        <v>2024</v>
      </c>
    </row>
    <row r="7770" spans="1:10" ht="14.25" customHeight="1" x14ac:dyDescent="0.3">
      <c r="A7770" s="1">
        <v>45461</v>
      </c>
      <c r="B7770" s="2" t="s">
        <v>655</v>
      </c>
      <c r="C7770" s="2" t="s">
        <v>21</v>
      </c>
      <c r="D7770" s="2" t="s">
        <v>26</v>
      </c>
      <c r="E7770" s="2" t="s">
        <v>45</v>
      </c>
      <c r="F7770" s="2">
        <v>917.92</v>
      </c>
      <c r="G7770" s="2">
        <v>9</v>
      </c>
      <c r="H7770" s="2">
        <v>75.59</v>
      </c>
      <c r="I7770" t="str">
        <f t="shared" si="121"/>
        <v>Jun</v>
      </c>
      <c r="J7770">
        <f>YEAR(datas[[#This Row],[Order Date]])</f>
        <v>2024</v>
      </c>
    </row>
    <row r="7771" spans="1:10" ht="14.25" customHeight="1" x14ac:dyDescent="0.3">
      <c r="A7771" s="1">
        <v>45461</v>
      </c>
      <c r="B7771" s="2" t="s">
        <v>655</v>
      </c>
      <c r="C7771" s="2" t="s">
        <v>21</v>
      </c>
      <c r="D7771" s="2" t="s">
        <v>10</v>
      </c>
      <c r="E7771" s="2" t="s">
        <v>11</v>
      </c>
      <c r="F7771" s="2">
        <v>38.880000000000003</v>
      </c>
      <c r="G7771" s="2">
        <v>6</v>
      </c>
      <c r="H7771" s="2">
        <v>19.05</v>
      </c>
      <c r="I7771" t="str">
        <f t="shared" si="121"/>
        <v>Jun</v>
      </c>
      <c r="J7771">
        <f>YEAR(datas[[#This Row],[Order Date]])</f>
        <v>2024</v>
      </c>
    </row>
    <row r="7772" spans="1:10" ht="14.25" customHeight="1" x14ac:dyDescent="0.3">
      <c r="A7772" s="1">
        <v>45461</v>
      </c>
      <c r="B7772" s="2" t="s">
        <v>719</v>
      </c>
      <c r="C7772" s="2" t="s">
        <v>9</v>
      </c>
      <c r="D7772" s="2" t="s">
        <v>10</v>
      </c>
      <c r="E7772" s="2" t="s">
        <v>11</v>
      </c>
      <c r="F7772" s="2">
        <v>74.349999999999994</v>
      </c>
      <c r="G7772" s="2">
        <v>3</v>
      </c>
      <c r="H7772" s="2">
        <v>23.24</v>
      </c>
      <c r="I7772" t="str">
        <f t="shared" si="121"/>
        <v>Jun</v>
      </c>
      <c r="J7772">
        <f>YEAR(datas[[#This Row],[Order Date]])</f>
        <v>2024</v>
      </c>
    </row>
    <row r="7773" spans="1:10" ht="14.25" customHeight="1" x14ac:dyDescent="0.3">
      <c r="A7773" s="1">
        <v>45462</v>
      </c>
      <c r="B7773" s="2" t="s">
        <v>515</v>
      </c>
      <c r="C7773" s="2" t="s">
        <v>75</v>
      </c>
      <c r="D7773" s="2" t="s">
        <v>10</v>
      </c>
      <c r="E7773" s="2" t="s">
        <v>11</v>
      </c>
      <c r="F7773" s="2">
        <v>97.82</v>
      </c>
      <c r="G7773" s="2">
        <v>2</v>
      </c>
      <c r="H7773" s="2">
        <v>45.98</v>
      </c>
      <c r="I7773" t="str">
        <f t="shared" si="121"/>
        <v>Jun</v>
      </c>
      <c r="J7773">
        <f>YEAR(datas[[#This Row],[Order Date]])</f>
        <v>2024</v>
      </c>
    </row>
    <row r="7774" spans="1:10" ht="14.25" customHeight="1" x14ac:dyDescent="0.3">
      <c r="A7774" s="1">
        <v>45462</v>
      </c>
      <c r="B7774" s="2" t="s">
        <v>515</v>
      </c>
      <c r="C7774" s="2" t="s">
        <v>75</v>
      </c>
      <c r="D7774" s="2" t="s">
        <v>28</v>
      </c>
      <c r="E7774" s="2" t="s">
        <v>34</v>
      </c>
      <c r="F7774" s="2">
        <v>103.12</v>
      </c>
      <c r="G7774" s="2">
        <v>8</v>
      </c>
      <c r="H7774" s="2">
        <v>10.31</v>
      </c>
      <c r="I7774" t="str">
        <f t="shared" si="121"/>
        <v>Jun</v>
      </c>
      <c r="J7774">
        <f>YEAR(datas[[#This Row],[Order Date]])</f>
        <v>2024</v>
      </c>
    </row>
    <row r="7775" spans="1:10" ht="14.25" customHeight="1" x14ac:dyDescent="0.3">
      <c r="A7775" s="1">
        <v>45462</v>
      </c>
      <c r="B7775" s="2" t="s">
        <v>318</v>
      </c>
      <c r="C7775" s="2" t="s">
        <v>9</v>
      </c>
      <c r="D7775" s="2" t="s">
        <v>10</v>
      </c>
      <c r="E7775" s="2" t="s">
        <v>95</v>
      </c>
      <c r="F7775" s="2">
        <v>11.18</v>
      </c>
      <c r="G7775" s="2">
        <v>1</v>
      </c>
      <c r="H7775" s="2">
        <v>0.84</v>
      </c>
      <c r="I7775" t="str">
        <f t="shared" si="121"/>
        <v>Jun</v>
      </c>
      <c r="J7775">
        <f>YEAR(datas[[#This Row],[Order Date]])</f>
        <v>2024</v>
      </c>
    </row>
    <row r="7776" spans="1:10" ht="14.25" customHeight="1" x14ac:dyDescent="0.3">
      <c r="A7776" s="1">
        <v>45462</v>
      </c>
      <c r="B7776" s="2" t="s">
        <v>318</v>
      </c>
      <c r="C7776" s="2" t="s">
        <v>9</v>
      </c>
      <c r="D7776" s="2" t="s">
        <v>10</v>
      </c>
      <c r="E7776" s="2" t="s">
        <v>15</v>
      </c>
      <c r="F7776" s="2">
        <v>153.58000000000001</v>
      </c>
      <c r="G7776" s="2">
        <v>2</v>
      </c>
      <c r="H7776" s="2">
        <v>-32.64</v>
      </c>
      <c r="I7776" t="str">
        <f t="shared" si="121"/>
        <v>Jun</v>
      </c>
      <c r="J7776">
        <f>YEAR(datas[[#This Row],[Order Date]])</f>
        <v>2024</v>
      </c>
    </row>
    <row r="7777" spans="1:10" ht="14.25" customHeight="1" x14ac:dyDescent="0.3">
      <c r="A7777" s="1">
        <v>45462</v>
      </c>
      <c r="B7777" s="2" t="s">
        <v>527</v>
      </c>
      <c r="C7777" s="2" t="s">
        <v>9</v>
      </c>
      <c r="D7777" s="2" t="s">
        <v>10</v>
      </c>
      <c r="E7777" s="2" t="s">
        <v>53</v>
      </c>
      <c r="F7777" s="2">
        <v>2.2599999999999998</v>
      </c>
      <c r="G7777" s="2">
        <v>1</v>
      </c>
      <c r="H7777" s="2">
        <v>-5.21</v>
      </c>
      <c r="I7777" t="str">
        <f t="shared" si="121"/>
        <v>Jun</v>
      </c>
      <c r="J7777">
        <f>YEAR(datas[[#This Row],[Order Date]])</f>
        <v>2024</v>
      </c>
    </row>
    <row r="7778" spans="1:10" ht="14.25" customHeight="1" x14ac:dyDescent="0.3">
      <c r="A7778" s="1">
        <v>45462</v>
      </c>
      <c r="B7778" s="2" t="s">
        <v>527</v>
      </c>
      <c r="C7778" s="2" t="s">
        <v>9</v>
      </c>
      <c r="D7778" s="2" t="s">
        <v>10</v>
      </c>
      <c r="E7778" s="2" t="s">
        <v>53</v>
      </c>
      <c r="F7778" s="2">
        <v>0.44</v>
      </c>
      <c r="G7778" s="2">
        <v>1</v>
      </c>
      <c r="H7778" s="2">
        <v>-1.1100000000000001</v>
      </c>
      <c r="I7778" t="str">
        <f t="shared" si="121"/>
        <v>Jun</v>
      </c>
      <c r="J7778">
        <f>YEAR(datas[[#This Row],[Order Date]])</f>
        <v>2024</v>
      </c>
    </row>
    <row r="7779" spans="1:10" ht="14.25" customHeight="1" x14ac:dyDescent="0.3">
      <c r="A7779" s="1">
        <v>45462</v>
      </c>
      <c r="B7779" s="2" t="s">
        <v>527</v>
      </c>
      <c r="C7779" s="2" t="s">
        <v>9</v>
      </c>
      <c r="D7779" s="2" t="s">
        <v>10</v>
      </c>
      <c r="E7779" s="2" t="s">
        <v>11</v>
      </c>
      <c r="F7779" s="2">
        <v>146.18</v>
      </c>
      <c r="G7779" s="2">
        <v>8</v>
      </c>
      <c r="H7779" s="2">
        <v>47.51</v>
      </c>
      <c r="I7779" t="str">
        <f t="shared" si="121"/>
        <v>Jun</v>
      </c>
      <c r="J7779">
        <f>YEAR(datas[[#This Row],[Order Date]])</f>
        <v>2024</v>
      </c>
    </row>
    <row r="7780" spans="1:10" ht="14.25" customHeight="1" x14ac:dyDescent="0.3">
      <c r="A7780" s="1">
        <v>45462</v>
      </c>
      <c r="B7780" s="2" t="s">
        <v>180</v>
      </c>
      <c r="C7780" s="2" t="s">
        <v>47</v>
      </c>
      <c r="D7780" s="2" t="s">
        <v>26</v>
      </c>
      <c r="E7780" s="2" t="s">
        <v>27</v>
      </c>
      <c r="F7780" s="2">
        <v>760.12</v>
      </c>
      <c r="G7780" s="2">
        <v>6</v>
      </c>
      <c r="H7780" s="2">
        <v>-43.44</v>
      </c>
      <c r="I7780" t="str">
        <f t="shared" si="121"/>
        <v>Jun</v>
      </c>
      <c r="J7780">
        <f>YEAR(datas[[#This Row],[Order Date]])</f>
        <v>2024</v>
      </c>
    </row>
    <row r="7781" spans="1:10" ht="14.25" customHeight="1" x14ac:dyDescent="0.3">
      <c r="A7781" s="1">
        <v>45462</v>
      </c>
      <c r="B7781" s="2" t="s">
        <v>180</v>
      </c>
      <c r="C7781" s="2" t="s">
        <v>47</v>
      </c>
      <c r="D7781" s="2" t="s">
        <v>26</v>
      </c>
      <c r="E7781" s="2" t="s">
        <v>32</v>
      </c>
      <c r="F7781" s="2">
        <v>38.78</v>
      </c>
      <c r="G7781" s="2">
        <v>3</v>
      </c>
      <c r="H7781" s="2">
        <v>7.27</v>
      </c>
      <c r="I7781" t="str">
        <f t="shared" si="121"/>
        <v>Jun</v>
      </c>
      <c r="J7781">
        <f>YEAR(datas[[#This Row],[Order Date]])</f>
        <v>2024</v>
      </c>
    </row>
    <row r="7782" spans="1:10" ht="14.25" customHeight="1" x14ac:dyDescent="0.3">
      <c r="A7782" s="1">
        <v>45462</v>
      </c>
      <c r="B7782" s="2" t="s">
        <v>180</v>
      </c>
      <c r="C7782" s="2" t="s">
        <v>47</v>
      </c>
      <c r="D7782" s="2" t="s">
        <v>28</v>
      </c>
      <c r="E7782" s="2" t="s">
        <v>34</v>
      </c>
      <c r="F7782" s="2">
        <v>122.33</v>
      </c>
      <c r="G7782" s="2">
        <v>9</v>
      </c>
      <c r="H7782" s="2">
        <v>1.53</v>
      </c>
      <c r="I7782" t="str">
        <f t="shared" si="121"/>
        <v>Jun</v>
      </c>
      <c r="J7782">
        <f>YEAR(datas[[#This Row],[Order Date]])</f>
        <v>2024</v>
      </c>
    </row>
    <row r="7783" spans="1:10" ht="14.25" customHeight="1" x14ac:dyDescent="0.3">
      <c r="A7783" s="1">
        <v>45462</v>
      </c>
      <c r="B7783" s="2" t="s">
        <v>83</v>
      </c>
      <c r="C7783" s="2" t="s">
        <v>9</v>
      </c>
      <c r="D7783" s="2" t="s">
        <v>10</v>
      </c>
      <c r="E7783" s="2" t="s">
        <v>16</v>
      </c>
      <c r="F7783" s="2">
        <v>6.89</v>
      </c>
      <c r="G7783" s="2">
        <v>3</v>
      </c>
      <c r="H7783" s="2">
        <v>-11.02</v>
      </c>
      <c r="I7783" t="str">
        <f t="shared" si="121"/>
        <v>Jun</v>
      </c>
      <c r="J7783">
        <f>YEAR(datas[[#This Row],[Order Date]])</f>
        <v>2024</v>
      </c>
    </row>
    <row r="7784" spans="1:10" ht="14.25" customHeight="1" x14ac:dyDescent="0.3">
      <c r="A7784" s="1">
        <v>45462</v>
      </c>
      <c r="B7784" s="2" t="s">
        <v>83</v>
      </c>
      <c r="C7784" s="2" t="s">
        <v>9</v>
      </c>
      <c r="D7784" s="2" t="s">
        <v>26</v>
      </c>
      <c r="E7784" s="2" t="s">
        <v>73</v>
      </c>
      <c r="F7784" s="2">
        <v>457.49</v>
      </c>
      <c r="G7784" s="2">
        <v>3</v>
      </c>
      <c r="H7784" s="2">
        <v>-84.96</v>
      </c>
      <c r="I7784" t="str">
        <f t="shared" si="121"/>
        <v>Jun</v>
      </c>
      <c r="J7784">
        <f>YEAR(datas[[#This Row],[Order Date]])</f>
        <v>2024</v>
      </c>
    </row>
    <row r="7785" spans="1:10" ht="14.25" customHeight="1" x14ac:dyDescent="0.3">
      <c r="A7785" s="1">
        <v>45462</v>
      </c>
      <c r="B7785" s="2" t="s">
        <v>837</v>
      </c>
      <c r="C7785" s="2" t="s">
        <v>75</v>
      </c>
      <c r="D7785" s="2" t="s">
        <v>10</v>
      </c>
      <c r="E7785" s="2" t="s">
        <v>15</v>
      </c>
      <c r="F7785" s="2">
        <v>129.30000000000001</v>
      </c>
      <c r="G7785" s="2">
        <v>2</v>
      </c>
      <c r="H7785" s="2">
        <v>6.47</v>
      </c>
      <c r="I7785" t="str">
        <f t="shared" si="121"/>
        <v>Jun</v>
      </c>
      <c r="J7785">
        <f>YEAR(datas[[#This Row],[Order Date]])</f>
        <v>2024</v>
      </c>
    </row>
    <row r="7786" spans="1:10" ht="14.25" customHeight="1" x14ac:dyDescent="0.3">
      <c r="A7786" s="1">
        <v>45462</v>
      </c>
      <c r="B7786" s="2" t="s">
        <v>837</v>
      </c>
      <c r="C7786" s="2" t="s">
        <v>75</v>
      </c>
      <c r="D7786" s="2" t="s">
        <v>10</v>
      </c>
      <c r="E7786" s="2" t="s">
        <v>16</v>
      </c>
      <c r="F7786" s="2">
        <v>11.57</v>
      </c>
      <c r="G7786" s="2">
        <v>3</v>
      </c>
      <c r="H7786" s="2">
        <v>3.76</v>
      </c>
      <c r="I7786" t="str">
        <f t="shared" si="121"/>
        <v>Jun</v>
      </c>
      <c r="J7786">
        <f>YEAR(datas[[#This Row],[Order Date]])</f>
        <v>2024</v>
      </c>
    </row>
    <row r="7787" spans="1:10" ht="14.25" customHeight="1" x14ac:dyDescent="0.3">
      <c r="A7787" s="1">
        <v>45462</v>
      </c>
      <c r="B7787" s="2" t="s">
        <v>274</v>
      </c>
      <c r="C7787" s="2" t="s">
        <v>21</v>
      </c>
      <c r="D7787" s="2" t="s">
        <v>26</v>
      </c>
      <c r="E7787" s="2" t="s">
        <v>32</v>
      </c>
      <c r="F7787" s="2">
        <v>50.32</v>
      </c>
      <c r="G7787" s="2">
        <v>4</v>
      </c>
      <c r="H7787" s="2">
        <v>21.13</v>
      </c>
      <c r="I7787" t="str">
        <f t="shared" si="121"/>
        <v>Jun</v>
      </c>
      <c r="J7787">
        <f>YEAR(datas[[#This Row],[Order Date]])</f>
        <v>2024</v>
      </c>
    </row>
    <row r="7788" spans="1:10" ht="14.25" customHeight="1" x14ac:dyDescent="0.3">
      <c r="A7788" s="1">
        <v>45462</v>
      </c>
      <c r="B7788" s="2" t="s">
        <v>274</v>
      </c>
      <c r="C7788" s="2" t="s">
        <v>21</v>
      </c>
      <c r="D7788" s="2" t="s">
        <v>10</v>
      </c>
      <c r="E7788" s="2" t="s">
        <v>11</v>
      </c>
      <c r="F7788" s="2">
        <v>24.56</v>
      </c>
      <c r="G7788" s="2">
        <v>2</v>
      </c>
      <c r="H7788" s="2">
        <v>11.54</v>
      </c>
      <c r="I7788" t="str">
        <f t="shared" si="121"/>
        <v>Jun</v>
      </c>
      <c r="J7788">
        <f>YEAR(datas[[#This Row],[Order Date]])</f>
        <v>2024</v>
      </c>
    </row>
    <row r="7789" spans="1:10" ht="14.25" customHeight="1" x14ac:dyDescent="0.3">
      <c r="A7789" s="1">
        <v>45463</v>
      </c>
      <c r="B7789" s="2" t="s">
        <v>618</v>
      </c>
      <c r="C7789" s="2" t="s">
        <v>87</v>
      </c>
      <c r="D7789" s="2" t="s">
        <v>28</v>
      </c>
      <c r="E7789" s="2" t="s">
        <v>34</v>
      </c>
      <c r="F7789" s="2">
        <v>239.97</v>
      </c>
      <c r="G7789" s="2">
        <v>3</v>
      </c>
      <c r="H7789" s="2">
        <v>71.989999999999995</v>
      </c>
      <c r="I7789" t="str">
        <f t="shared" si="121"/>
        <v>Jun</v>
      </c>
      <c r="J7789">
        <f>YEAR(datas[[#This Row],[Order Date]])</f>
        <v>2024</v>
      </c>
    </row>
    <row r="7790" spans="1:10" ht="14.25" customHeight="1" x14ac:dyDescent="0.3">
      <c r="A7790" s="1">
        <v>45463</v>
      </c>
      <c r="B7790" s="2" t="s">
        <v>618</v>
      </c>
      <c r="C7790" s="2" t="s">
        <v>87</v>
      </c>
      <c r="D7790" s="2" t="s">
        <v>10</v>
      </c>
      <c r="E7790" s="2" t="s">
        <v>14</v>
      </c>
      <c r="F7790" s="2">
        <v>9.82</v>
      </c>
      <c r="G7790" s="2">
        <v>2</v>
      </c>
      <c r="H7790" s="2">
        <v>4.8099999999999996</v>
      </c>
      <c r="I7790" t="str">
        <f t="shared" si="121"/>
        <v>Jun</v>
      </c>
      <c r="J7790">
        <f>YEAR(datas[[#This Row],[Order Date]])</f>
        <v>2024</v>
      </c>
    </row>
    <row r="7791" spans="1:10" ht="14.25" customHeight="1" x14ac:dyDescent="0.3">
      <c r="A7791" s="1">
        <v>45463</v>
      </c>
      <c r="B7791" s="2" t="s">
        <v>689</v>
      </c>
      <c r="C7791" s="2" t="s">
        <v>75</v>
      </c>
      <c r="D7791" s="2" t="s">
        <v>28</v>
      </c>
      <c r="E7791" s="2" t="s">
        <v>34</v>
      </c>
      <c r="F7791" s="2">
        <v>149.94999999999999</v>
      </c>
      <c r="G7791" s="2">
        <v>5</v>
      </c>
      <c r="H7791" s="2">
        <v>15</v>
      </c>
      <c r="I7791" t="str">
        <f t="shared" si="121"/>
        <v>Jun</v>
      </c>
      <c r="J7791">
        <f>YEAR(datas[[#This Row],[Order Date]])</f>
        <v>2024</v>
      </c>
    </row>
    <row r="7792" spans="1:10" ht="14.25" customHeight="1" x14ac:dyDescent="0.3">
      <c r="A7792" s="1">
        <v>45463</v>
      </c>
      <c r="B7792" s="2" t="s">
        <v>689</v>
      </c>
      <c r="C7792" s="2" t="s">
        <v>75</v>
      </c>
      <c r="D7792" s="2" t="s">
        <v>10</v>
      </c>
      <c r="E7792" s="2" t="s">
        <v>16</v>
      </c>
      <c r="F7792" s="2">
        <v>51.31</v>
      </c>
      <c r="G7792" s="2">
        <v>3</v>
      </c>
      <c r="H7792" s="2">
        <v>18.600000000000001</v>
      </c>
      <c r="I7792" t="str">
        <f t="shared" si="121"/>
        <v>Jun</v>
      </c>
      <c r="J7792">
        <f>YEAR(datas[[#This Row],[Order Date]])</f>
        <v>2024</v>
      </c>
    </row>
    <row r="7793" spans="1:10" ht="14.25" customHeight="1" x14ac:dyDescent="0.3">
      <c r="A7793" s="1">
        <v>45463</v>
      </c>
      <c r="B7793" s="2" t="s">
        <v>93</v>
      </c>
      <c r="C7793" s="2" t="s">
        <v>47</v>
      </c>
      <c r="D7793" s="2" t="s">
        <v>10</v>
      </c>
      <c r="E7793" s="2" t="s">
        <v>11</v>
      </c>
      <c r="F7793" s="2">
        <v>31.1</v>
      </c>
      <c r="G7793" s="2">
        <v>6</v>
      </c>
      <c r="H7793" s="2">
        <v>10.89</v>
      </c>
      <c r="I7793" t="str">
        <f t="shared" si="121"/>
        <v>Jun</v>
      </c>
      <c r="J7793">
        <f>YEAR(datas[[#This Row],[Order Date]])</f>
        <v>2024</v>
      </c>
    </row>
    <row r="7794" spans="1:10" ht="14.25" customHeight="1" x14ac:dyDescent="0.3">
      <c r="A7794" s="1">
        <v>45463</v>
      </c>
      <c r="B7794" s="2" t="s">
        <v>93</v>
      </c>
      <c r="C7794" s="2" t="s">
        <v>47</v>
      </c>
      <c r="D7794" s="2" t="s">
        <v>10</v>
      </c>
      <c r="E7794" s="2" t="s">
        <v>19</v>
      </c>
      <c r="F7794" s="2">
        <v>5.25</v>
      </c>
      <c r="G7794" s="2">
        <v>2</v>
      </c>
      <c r="H7794" s="2">
        <v>0.59</v>
      </c>
      <c r="I7794" t="str">
        <f t="shared" si="121"/>
        <v>Jun</v>
      </c>
      <c r="J7794">
        <f>YEAR(datas[[#This Row],[Order Date]])</f>
        <v>2024</v>
      </c>
    </row>
    <row r="7795" spans="1:10" ht="14.25" customHeight="1" x14ac:dyDescent="0.3">
      <c r="A7795" s="1">
        <v>45463</v>
      </c>
      <c r="B7795" s="2" t="s">
        <v>197</v>
      </c>
      <c r="C7795" s="2" t="s">
        <v>64</v>
      </c>
      <c r="D7795" s="2" t="s">
        <v>10</v>
      </c>
      <c r="E7795" s="2" t="s">
        <v>15</v>
      </c>
      <c r="F7795" s="2">
        <v>4.46</v>
      </c>
      <c r="G7795" s="2">
        <v>1</v>
      </c>
      <c r="H7795" s="2">
        <v>0.33</v>
      </c>
      <c r="I7795" t="str">
        <f t="shared" si="121"/>
        <v>Jun</v>
      </c>
      <c r="J7795">
        <f>YEAR(datas[[#This Row],[Order Date]])</f>
        <v>2024</v>
      </c>
    </row>
    <row r="7796" spans="1:10" ht="14.25" customHeight="1" x14ac:dyDescent="0.3">
      <c r="A7796" s="1">
        <v>45463</v>
      </c>
      <c r="B7796" s="2" t="s">
        <v>260</v>
      </c>
      <c r="C7796" s="2" t="s">
        <v>36</v>
      </c>
      <c r="D7796" s="2" t="s">
        <v>10</v>
      </c>
      <c r="E7796" s="2" t="s">
        <v>11</v>
      </c>
      <c r="F7796" s="2">
        <v>32.4</v>
      </c>
      <c r="G7796" s="2">
        <v>5</v>
      </c>
      <c r="H7796" s="2">
        <v>15.55</v>
      </c>
      <c r="I7796" t="str">
        <f t="shared" si="121"/>
        <v>Jun</v>
      </c>
      <c r="J7796">
        <f>YEAR(datas[[#This Row],[Order Date]])</f>
        <v>2024</v>
      </c>
    </row>
    <row r="7797" spans="1:10" ht="14.25" customHeight="1" x14ac:dyDescent="0.3">
      <c r="A7797" s="1">
        <v>45463</v>
      </c>
      <c r="B7797" s="2" t="s">
        <v>260</v>
      </c>
      <c r="C7797" s="2" t="s">
        <v>36</v>
      </c>
      <c r="D7797" s="2" t="s">
        <v>28</v>
      </c>
      <c r="E7797" s="2" t="s">
        <v>29</v>
      </c>
      <c r="F7797" s="2">
        <v>503.96</v>
      </c>
      <c r="G7797" s="2">
        <v>4</v>
      </c>
      <c r="H7797" s="2">
        <v>125.99</v>
      </c>
      <c r="I7797" t="str">
        <f t="shared" si="121"/>
        <v>Jun</v>
      </c>
      <c r="J7797">
        <f>YEAR(datas[[#This Row],[Order Date]])</f>
        <v>2024</v>
      </c>
    </row>
    <row r="7798" spans="1:10" ht="14.25" customHeight="1" x14ac:dyDescent="0.3">
      <c r="A7798" s="1">
        <v>45464</v>
      </c>
      <c r="B7798" s="2" t="s">
        <v>138</v>
      </c>
      <c r="C7798" s="2" t="s">
        <v>47</v>
      </c>
      <c r="D7798" s="2" t="s">
        <v>26</v>
      </c>
      <c r="E7798" s="2" t="s">
        <v>32</v>
      </c>
      <c r="F7798" s="2">
        <v>17.920000000000002</v>
      </c>
      <c r="G7798" s="2">
        <v>5</v>
      </c>
      <c r="H7798" s="2">
        <v>2.46</v>
      </c>
      <c r="I7798" t="str">
        <f t="shared" si="121"/>
        <v>Jun</v>
      </c>
      <c r="J7798">
        <f>YEAR(datas[[#This Row],[Order Date]])</f>
        <v>2024</v>
      </c>
    </row>
    <row r="7799" spans="1:10" ht="14.25" customHeight="1" x14ac:dyDescent="0.3">
      <c r="A7799" s="1">
        <v>45464</v>
      </c>
      <c r="B7799" s="2" t="s">
        <v>138</v>
      </c>
      <c r="C7799" s="2" t="s">
        <v>47</v>
      </c>
      <c r="D7799" s="2" t="s">
        <v>10</v>
      </c>
      <c r="E7799" s="2" t="s">
        <v>16</v>
      </c>
      <c r="F7799" s="2">
        <v>41.26</v>
      </c>
      <c r="G7799" s="2">
        <v>6</v>
      </c>
      <c r="H7799" s="2">
        <v>-34.380000000000003</v>
      </c>
      <c r="I7799" t="str">
        <f t="shared" si="121"/>
        <v>Jun</v>
      </c>
      <c r="J7799">
        <f>YEAR(datas[[#This Row],[Order Date]])</f>
        <v>2024</v>
      </c>
    </row>
    <row r="7800" spans="1:10" ht="14.25" customHeight="1" x14ac:dyDescent="0.3">
      <c r="A7800" s="1">
        <v>45464</v>
      </c>
      <c r="B7800" s="2" t="s">
        <v>540</v>
      </c>
      <c r="C7800" s="2" t="s">
        <v>863</v>
      </c>
      <c r="D7800" s="2" t="s">
        <v>10</v>
      </c>
      <c r="E7800" s="2" t="s">
        <v>16</v>
      </c>
      <c r="F7800" s="2">
        <v>82.4</v>
      </c>
      <c r="G7800" s="2">
        <v>5</v>
      </c>
      <c r="H7800" s="2">
        <v>40.380000000000003</v>
      </c>
      <c r="I7800" t="str">
        <f t="shared" si="121"/>
        <v>Jun</v>
      </c>
      <c r="J7800">
        <f>YEAR(datas[[#This Row],[Order Date]])</f>
        <v>2024</v>
      </c>
    </row>
    <row r="7801" spans="1:10" ht="14.25" customHeight="1" x14ac:dyDescent="0.3">
      <c r="A7801" s="1">
        <v>45464</v>
      </c>
      <c r="B7801" s="2" t="s">
        <v>540</v>
      </c>
      <c r="C7801" s="2" t="s">
        <v>863</v>
      </c>
      <c r="D7801" s="2" t="s">
        <v>10</v>
      </c>
      <c r="E7801" s="2" t="s">
        <v>16</v>
      </c>
      <c r="F7801" s="2">
        <v>6.24</v>
      </c>
      <c r="G7801" s="2">
        <v>2</v>
      </c>
      <c r="H7801" s="2">
        <v>3.06</v>
      </c>
      <c r="I7801" t="str">
        <f t="shared" si="121"/>
        <v>Jun</v>
      </c>
      <c r="J7801">
        <f>YEAR(datas[[#This Row],[Order Date]])</f>
        <v>2024</v>
      </c>
    </row>
    <row r="7802" spans="1:10" ht="14.25" customHeight="1" x14ac:dyDescent="0.3">
      <c r="A7802" s="1">
        <v>45464</v>
      </c>
      <c r="B7802" s="2" t="s">
        <v>540</v>
      </c>
      <c r="C7802" s="2" t="s">
        <v>863</v>
      </c>
      <c r="D7802" s="2" t="s">
        <v>10</v>
      </c>
      <c r="E7802" s="2" t="s">
        <v>11</v>
      </c>
      <c r="F7802" s="2">
        <v>447.84</v>
      </c>
      <c r="G7802" s="2">
        <v>8</v>
      </c>
      <c r="H7802" s="2">
        <v>219.44</v>
      </c>
      <c r="I7802" t="str">
        <f t="shared" si="121"/>
        <v>Jun</v>
      </c>
      <c r="J7802">
        <f>YEAR(datas[[#This Row],[Order Date]])</f>
        <v>2024</v>
      </c>
    </row>
    <row r="7803" spans="1:10" ht="14.25" customHeight="1" x14ac:dyDescent="0.3">
      <c r="A7803" s="1">
        <v>45465</v>
      </c>
      <c r="B7803" s="2" t="s">
        <v>352</v>
      </c>
      <c r="C7803" s="2" t="s">
        <v>64</v>
      </c>
      <c r="D7803" s="2" t="s">
        <v>10</v>
      </c>
      <c r="E7803" s="2" t="s">
        <v>41</v>
      </c>
      <c r="F7803" s="2">
        <v>37.61</v>
      </c>
      <c r="G7803" s="2">
        <v>3</v>
      </c>
      <c r="H7803" s="2">
        <v>12.69</v>
      </c>
      <c r="I7803" t="str">
        <f t="shared" si="121"/>
        <v>Jun</v>
      </c>
      <c r="J7803">
        <f>YEAR(datas[[#This Row],[Order Date]])</f>
        <v>2024</v>
      </c>
    </row>
    <row r="7804" spans="1:10" ht="14.25" customHeight="1" x14ac:dyDescent="0.3">
      <c r="A7804" s="1">
        <v>45465</v>
      </c>
      <c r="B7804" s="2" t="s">
        <v>557</v>
      </c>
      <c r="C7804" s="2" t="s">
        <v>18</v>
      </c>
      <c r="D7804" s="2" t="s">
        <v>10</v>
      </c>
      <c r="E7804" s="2" t="s">
        <v>16</v>
      </c>
      <c r="F7804" s="2">
        <v>10.33</v>
      </c>
      <c r="G7804" s="2">
        <v>3</v>
      </c>
      <c r="H7804" s="2">
        <v>-7.58</v>
      </c>
      <c r="I7804" t="str">
        <f t="shared" si="121"/>
        <v>Jun</v>
      </c>
      <c r="J7804">
        <f>YEAR(datas[[#This Row],[Order Date]])</f>
        <v>2024</v>
      </c>
    </row>
    <row r="7805" spans="1:10" ht="14.25" customHeight="1" x14ac:dyDescent="0.3">
      <c r="A7805" s="1">
        <v>45465</v>
      </c>
      <c r="B7805" s="2" t="s">
        <v>557</v>
      </c>
      <c r="C7805" s="2" t="s">
        <v>18</v>
      </c>
      <c r="D7805" s="2" t="s">
        <v>10</v>
      </c>
      <c r="E7805" s="2" t="s">
        <v>16</v>
      </c>
      <c r="F7805" s="2">
        <v>31.16</v>
      </c>
      <c r="G7805" s="2">
        <v>5</v>
      </c>
      <c r="H7805" s="2">
        <v>-23.89</v>
      </c>
      <c r="I7805" t="str">
        <f t="shared" si="121"/>
        <v>Jun</v>
      </c>
      <c r="J7805">
        <f>YEAR(datas[[#This Row],[Order Date]])</f>
        <v>2024</v>
      </c>
    </row>
    <row r="7806" spans="1:10" ht="14.25" customHeight="1" x14ac:dyDescent="0.3">
      <c r="A7806" s="1">
        <v>45465</v>
      </c>
      <c r="B7806" s="2" t="s">
        <v>557</v>
      </c>
      <c r="C7806" s="2" t="s">
        <v>18</v>
      </c>
      <c r="D7806" s="2" t="s">
        <v>10</v>
      </c>
      <c r="E7806" s="2" t="s">
        <v>15</v>
      </c>
      <c r="F7806" s="2">
        <v>8.93</v>
      </c>
      <c r="G7806" s="2">
        <v>2</v>
      </c>
      <c r="H7806" s="2">
        <v>0.67</v>
      </c>
      <c r="I7806" t="str">
        <f t="shared" si="121"/>
        <v>Jun</v>
      </c>
      <c r="J7806">
        <f>YEAR(datas[[#This Row],[Order Date]])</f>
        <v>2024</v>
      </c>
    </row>
    <row r="7807" spans="1:10" ht="14.25" customHeight="1" x14ac:dyDescent="0.3">
      <c r="A7807" s="1">
        <v>45465</v>
      </c>
      <c r="B7807" s="2" t="s">
        <v>591</v>
      </c>
      <c r="C7807" s="2" t="s">
        <v>13</v>
      </c>
      <c r="D7807" s="2" t="s">
        <v>10</v>
      </c>
      <c r="E7807" s="2" t="s">
        <v>16</v>
      </c>
      <c r="F7807" s="2">
        <v>3.04</v>
      </c>
      <c r="G7807" s="2">
        <v>3</v>
      </c>
      <c r="H7807" s="2">
        <v>-5.01</v>
      </c>
      <c r="I7807" t="str">
        <f t="shared" si="121"/>
        <v>Jun</v>
      </c>
      <c r="J7807">
        <f>YEAR(datas[[#This Row],[Order Date]])</f>
        <v>2024</v>
      </c>
    </row>
    <row r="7808" spans="1:10" ht="14.25" customHeight="1" x14ac:dyDescent="0.3">
      <c r="A7808" s="1">
        <v>45465</v>
      </c>
      <c r="B7808" s="2" t="s">
        <v>135</v>
      </c>
      <c r="C7808" s="2" t="s">
        <v>60</v>
      </c>
      <c r="D7808" s="2" t="s">
        <v>26</v>
      </c>
      <c r="E7808" s="2" t="s">
        <v>27</v>
      </c>
      <c r="F7808" s="2">
        <v>487.96</v>
      </c>
      <c r="G7808" s="2">
        <v>2</v>
      </c>
      <c r="H7808" s="2">
        <v>146.38999999999999</v>
      </c>
      <c r="I7808" t="str">
        <f t="shared" si="121"/>
        <v>Jun</v>
      </c>
      <c r="J7808">
        <f>YEAR(datas[[#This Row],[Order Date]])</f>
        <v>2024</v>
      </c>
    </row>
    <row r="7809" spans="1:10" ht="14.25" customHeight="1" x14ac:dyDescent="0.3">
      <c r="A7809" s="1">
        <v>45467</v>
      </c>
      <c r="B7809" s="2" t="s">
        <v>407</v>
      </c>
      <c r="C7809" s="2" t="s">
        <v>47</v>
      </c>
      <c r="D7809" s="2" t="s">
        <v>10</v>
      </c>
      <c r="E7809" s="2" t="s">
        <v>11</v>
      </c>
      <c r="F7809" s="2">
        <v>21.74</v>
      </c>
      <c r="G7809" s="2">
        <v>3</v>
      </c>
      <c r="H7809" s="2">
        <v>6.8</v>
      </c>
      <c r="I7809" t="str">
        <f t="shared" si="121"/>
        <v>Jun</v>
      </c>
      <c r="J7809">
        <f>YEAR(datas[[#This Row],[Order Date]])</f>
        <v>2024</v>
      </c>
    </row>
    <row r="7810" spans="1:10" ht="14.25" customHeight="1" x14ac:dyDescent="0.3">
      <c r="A7810" s="1">
        <v>45467</v>
      </c>
      <c r="B7810" s="2" t="s">
        <v>814</v>
      </c>
      <c r="C7810" s="2" t="s">
        <v>21</v>
      </c>
      <c r="D7810" s="2" t="s">
        <v>10</v>
      </c>
      <c r="E7810" s="2" t="s">
        <v>19</v>
      </c>
      <c r="F7810" s="2">
        <v>95.92</v>
      </c>
      <c r="G7810" s="2">
        <v>8</v>
      </c>
      <c r="H7810" s="2">
        <v>25.9</v>
      </c>
      <c r="I7810" t="str">
        <f t="shared" si="121"/>
        <v>Jun</v>
      </c>
      <c r="J7810">
        <f>YEAR(datas[[#This Row],[Order Date]])</f>
        <v>2024</v>
      </c>
    </row>
    <row r="7811" spans="1:10" ht="14.25" customHeight="1" x14ac:dyDescent="0.3">
      <c r="A7811" s="1">
        <v>45467</v>
      </c>
      <c r="B7811" s="2" t="s">
        <v>113</v>
      </c>
      <c r="C7811" s="2" t="s">
        <v>21</v>
      </c>
      <c r="D7811" s="2" t="s">
        <v>10</v>
      </c>
      <c r="E7811" s="2" t="s">
        <v>19</v>
      </c>
      <c r="F7811" s="2">
        <v>385.6</v>
      </c>
      <c r="G7811" s="2">
        <v>8</v>
      </c>
      <c r="H7811" s="2">
        <v>111.82</v>
      </c>
      <c r="I7811" t="str">
        <f t="shared" ref="I7811:I7874" si="122">TEXT(A7811,"mmm")</f>
        <v>Jun</v>
      </c>
      <c r="J7811">
        <f>YEAR(datas[[#This Row],[Order Date]])</f>
        <v>2024</v>
      </c>
    </row>
    <row r="7812" spans="1:10" ht="14.25" customHeight="1" x14ac:dyDescent="0.3">
      <c r="A7812" s="1">
        <v>45467</v>
      </c>
      <c r="B7812" s="2" t="s">
        <v>113</v>
      </c>
      <c r="C7812" s="2" t="s">
        <v>21</v>
      </c>
      <c r="D7812" s="2" t="s">
        <v>10</v>
      </c>
      <c r="E7812" s="2" t="s">
        <v>19</v>
      </c>
      <c r="F7812" s="2">
        <v>35.82</v>
      </c>
      <c r="G7812" s="2">
        <v>9</v>
      </c>
      <c r="H7812" s="2">
        <v>11.82</v>
      </c>
      <c r="I7812" t="str">
        <f t="shared" si="122"/>
        <v>Jun</v>
      </c>
      <c r="J7812">
        <f>YEAR(datas[[#This Row],[Order Date]])</f>
        <v>2024</v>
      </c>
    </row>
    <row r="7813" spans="1:10" ht="14.25" customHeight="1" x14ac:dyDescent="0.3">
      <c r="A7813" s="1">
        <v>45467</v>
      </c>
      <c r="B7813" s="2" t="s">
        <v>274</v>
      </c>
      <c r="C7813" s="2" t="s">
        <v>75</v>
      </c>
      <c r="D7813" s="2" t="s">
        <v>26</v>
      </c>
      <c r="E7813" s="2" t="s">
        <v>32</v>
      </c>
      <c r="F7813" s="2">
        <v>276.69</v>
      </c>
      <c r="G7813" s="2">
        <v>3</v>
      </c>
      <c r="H7813" s="2">
        <v>49.8</v>
      </c>
      <c r="I7813" t="str">
        <f t="shared" si="122"/>
        <v>Jun</v>
      </c>
      <c r="J7813">
        <f>YEAR(datas[[#This Row],[Order Date]])</f>
        <v>2024</v>
      </c>
    </row>
    <row r="7814" spans="1:10" ht="14.25" customHeight="1" x14ac:dyDescent="0.3">
      <c r="A7814" s="1">
        <v>45467</v>
      </c>
      <c r="B7814" s="2" t="s">
        <v>274</v>
      </c>
      <c r="C7814" s="2" t="s">
        <v>75</v>
      </c>
      <c r="D7814" s="2" t="s">
        <v>26</v>
      </c>
      <c r="E7814" s="2" t="s">
        <v>27</v>
      </c>
      <c r="F7814" s="2">
        <v>172.76</v>
      </c>
      <c r="G7814" s="2">
        <v>2</v>
      </c>
      <c r="H7814" s="2">
        <v>32.630000000000003</v>
      </c>
      <c r="I7814" t="str">
        <f t="shared" si="122"/>
        <v>Jun</v>
      </c>
      <c r="J7814">
        <f>YEAR(datas[[#This Row],[Order Date]])</f>
        <v>2024</v>
      </c>
    </row>
    <row r="7815" spans="1:10" ht="14.25" customHeight="1" x14ac:dyDescent="0.3">
      <c r="A7815" s="1">
        <v>45467</v>
      </c>
      <c r="B7815" s="2" t="s">
        <v>615</v>
      </c>
      <c r="C7815" s="2" t="s">
        <v>13</v>
      </c>
      <c r="D7815" s="2" t="s">
        <v>10</v>
      </c>
      <c r="E7815" s="2" t="s">
        <v>16</v>
      </c>
      <c r="F7815" s="2">
        <v>182.99</v>
      </c>
      <c r="G7815" s="2">
        <v>3</v>
      </c>
      <c r="H7815" s="2">
        <v>-320.24</v>
      </c>
      <c r="I7815" t="str">
        <f t="shared" si="122"/>
        <v>Jun</v>
      </c>
      <c r="J7815">
        <f>YEAR(datas[[#This Row],[Order Date]])</f>
        <v>2024</v>
      </c>
    </row>
    <row r="7816" spans="1:10" ht="14.25" customHeight="1" x14ac:dyDescent="0.3">
      <c r="A7816" s="1">
        <v>45467</v>
      </c>
      <c r="B7816" s="2" t="s">
        <v>615</v>
      </c>
      <c r="C7816" s="2" t="s">
        <v>13</v>
      </c>
      <c r="D7816" s="2" t="s">
        <v>10</v>
      </c>
      <c r="E7816" s="2" t="s">
        <v>11</v>
      </c>
      <c r="F7816" s="2">
        <v>10.27</v>
      </c>
      <c r="G7816" s="2">
        <v>3</v>
      </c>
      <c r="H7816" s="2">
        <v>3.21</v>
      </c>
      <c r="I7816" t="str">
        <f t="shared" si="122"/>
        <v>Jun</v>
      </c>
      <c r="J7816">
        <f>YEAR(datas[[#This Row],[Order Date]])</f>
        <v>2024</v>
      </c>
    </row>
    <row r="7817" spans="1:10" ht="14.25" customHeight="1" x14ac:dyDescent="0.3">
      <c r="A7817" s="1">
        <v>45467</v>
      </c>
      <c r="B7817" s="2" t="s">
        <v>125</v>
      </c>
      <c r="C7817" s="2" t="s">
        <v>21</v>
      </c>
      <c r="D7817" s="2" t="s">
        <v>10</v>
      </c>
      <c r="E7817" s="2" t="s">
        <v>30</v>
      </c>
      <c r="F7817" s="2">
        <v>2.88</v>
      </c>
      <c r="G7817" s="2">
        <v>1</v>
      </c>
      <c r="H7817" s="2">
        <v>1.35</v>
      </c>
      <c r="I7817" t="str">
        <f t="shared" si="122"/>
        <v>Jun</v>
      </c>
      <c r="J7817">
        <f>YEAR(datas[[#This Row],[Order Date]])</f>
        <v>2024</v>
      </c>
    </row>
    <row r="7818" spans="1:10" ht="14.25" customHeight="1" x14ac:dyDescent="0.3">
      <c r="A7818" s="1">
        <v>45467</v>
      </c>
      <c r="B7818" s="2" t="s">
        <v>323</v>
      </c>
      <c r="C7818" s="2" t="s">
        <v>553</v>
      </c>
      <c r="D7818" s="2" t="s">
        <v>10</v>
      </c>
      <c r="E7818" s="2" t="s">
        <v>16</v>
      </c>
      <c r="F7818" s="2">
        <v>102.93</v>
      </c>
      <c r="G7818" s="2">
        <v>3</v>
      </c>
      <c r="H7818" s="2">
        <v>48.38</v>
      </c>
      <c r="I7818" t="str">
        <f t="shared" si="122"/>
        <v>Jun</v>
      </c>
      <c r="J7818">
        <f>YEAR(datas[[#This Row],[Order Date]])</f>
        <v>2024</v>
      </c>
    </row>
    <row r="7819" spans="1:10" ht="14.25" customHeight="1" x14ac:dyDescent="0.3">
      <c r="A7819" s="1">
        <v>45468</v>
      </c>
      <c r="B7819" s="2" t="s">
        <v>844</v>
      </c>
      <c r="C7819" s="2" t="s">
        <v>52</v>
      </c>
      <c r="D7819" s="2" t="s">
        <v>10</v>
      </c>
      <c r="E7819" s="2" t="s">
        <v>14</v>
      </c>
      <c r="F7819" s="2">
        <v>71.040000000000006</v>
      </c>
      <c r="G7819" s="2">
        <v>6</v>
      </c>
      <c r="H7819" s="2">
        <v>26.64</v>
      </c>
      <c r="I7819" t="str">
        <f t="shared" si="122"/>
        <v>Jun</v>
      </c>
      <c r="J7819">
        <f>YEAR(datas[[#This Row],[Order Date]])</f>
        <v>2024</v>
      </c>
    </row>
    <row r="7820" spans="1:10" ht="14.25" customHeight="1" x14ac:dyDescent="0.3">
      <c r="A7820" s="1">
        <v>45468</v>
      </c>
      <c r="B7820" s="2" t="s">
        <v>844</v>
      </c>
      <c r="C7820" s="2" t="s">
        <v>52</v>
      </c>
      <c r="D7820" s="2" t="s">
        <v>10</v>
      </c>
      <c r="E7820" s="2" t="s">
        <v>19</v>
      </c>
      <c r="F7820" s="2">
        <v>5.34</v>
      </c>
      <c r="G7820" s="2">
        <v>2</v>
      </c>
      <c r="H7820" s="2">
        <v>0.73</v>
      </c>
      <c r="I7820" t="str">
        <f t="shared" si="122"/>
        <v>Jun</v>
      </c>
      <c r="J7820">
        <f>YEAR(datas[[#This Row],[Order Date]])</f>
        <v>2024</v>
      </c>
    </row>
    <row r="7821" spans="1:10" ht="14.25" customHeight="1" x14ac:dyDescent="0.3">
      <c r="A7821" s="1">
        <v>45468</v>
      </c>
      <c r="B7821" s="2" t="s">
        <v>844</v>
      </c>
      <c r="C7821" s="2" t="s">
        <v>52</v>
      </c>
      <c r="D7821" s="2" t="s">
        <v>10</v>
      </c>
      <c r="E7821" s="2" t="s">
        <v>30</v>
      </c>
      <c r="F7821" s="2">
        <v>11.3</v>
      </c>
      <c r="G7821" s="2">
        <v>3</v>
      </c>
      <c r="H7821" s="2">
        <v>-2.12</v>
      </c>
      <c r="I7821" t="str">
        <f t="shared" si="122"/>
        <v>Jun</v>
      </c>
      <c r="J7821">
        <f>YEAR(datas[[#This Row],[Order Date]])</f>
        <v>2024</v>
      </c>
    </row>
    <row r="7822" spans="1:10" ht="14.25" customHeight="1" x14ac:dyDescent="0.3">
      <c r="A7822" s="1">
        <v>45468</v>
      </c>
      <c r="B7822" s="2" t="s">
        <v>552</v>
      </c>
      <c r="C7822" s="2" t="s">
        <v>82</v>
      </c>
      <c r="D7822" s="2" t="s">
        <v>26</v>
      </c>
      <c r="E7822" s="2" t="s">
        <v>73</v>
      </c>
      <c r="F7822" s="2">
        <v>871.4</v>
      </c>
      <c r="G7822" s="2">
        <v>4</v>
      </c>
      <c r="H7822" s="2">
        <v>148.13999999999999</v>
      </c>
      <c r="I7822" t="str">
        <f t="shared" si="122"/>
        <v>Jun</v>
      </c>
      <c r="J7822">
        <f>YEAR(datas[[#This Row],[Order Date]])</f>
        <v>2024</v>
      </c>
    </row>
    <row r="7823" spans="1:10" ht="14.25" customHeight="1" x14ac:dyDescent="0.3">
      <c r="A7823" s="1">
        <v>45468</v>
      </c>
      <c r="B7823" s="2" t="s">
        <v>740</v>
      </c>
      <c r="C7823" s="2" t="s">
        <v>13</v>
      </c>
      <c r="D7823" s="2" t="s">
        <v>28</v>
      </c>
      <c r="E7823" s="2" t="s">
        <v>29</v>
      </c>
      <c r="F7823" s="2">
        <v>148.47999999999999</v>
      </c>
      <c r="G7823" s="2">
        <v>2</v>
      </c>
      <c r="H7823" s="2">
        <v>16.7</v>
      </c>
      <c r="I7823" t="str">
        <f t="shared" si="122"/>
        <v>Jun</v>
      </c>
      <c r="J7823">
        <f>YEAR(datas[[#This Row],[Order Date]])</f>
        <v>2024</v>
      </c>
    </row>
    <row r="7824" spans="1:10" ht="14.25" customHeight="1" x14ac:dyDescent="0.3">
      <c r="A7824" s="1">
        <v>45468</v>
      </c>
      <c r="B7824" s="2" t="s">
        <v>488</v>
      </c>
      <c r="C7824" s="2" t="s">
        <v>75</v>
      </c>
      <c r="D7824" s="2" t="s">
        <v>26</v>
      </c>
      <c r="E7824" s="2" t="s">
        <v>45</v>
      </c>
      <c r="F7824" s="2">
        <v>400.78</v>
      </c>
      <c r="G7824" s="2">
        <v>1</v>
      </c>
      <c r="H7824" s="2">
        <v>-5.01</v>
      </c>
      <c r="I7824" t="str">
        <f t="shared" si="122"/>
        <v>Jun</v>
      </c>
      <c r="J7824">
        <f>YEAR(datas[[#This Row],[Order Date]])</f>
        <v>2024</v>
      </c>
    </row>
    <row r="7825" spans="1:10" ht="14.25" customHeight="1" x14ac:dyDescent="0.3">
      <c r="A7825" s="1">
        <v>45469</v>
      </c>
      <c r="B7825" s="2" t="s">
        <v>707</v>
      </c>
      <c r="C7825" s="2" t="s">
        <v>21</v>
      </c>
      <c r="D7825" s="2" t="s">
        <v>10</v>
      </c>
      <c r="E7825" s="2" t="s">
        <v>15</v>
      </c>
      <c r="F7825" s="2">
        <v>83.76</v>
      </c>
      <c r="G7825" s="2">
        <v>12</v>
      </c>
      <c r="H7825" s="2">
        <v>1.68</v>
      </c>
      <c r="I7825" t="str">
        <f t="shared" si="122"/>
        <v>Jun</v>
      </c>
      <c r="J7825">
        <f>YEAR(datas[[#This Row],[Order Date]])</f>
        <v>2024</v>
      </c>
    </row>
    <row r="7826" spans="1:10" ht="14.25" customHeight="1" x14ac:dyDescent="0.3">
      <c r="A7826" s="1">
        <v>45469</v>
      </c>
      <c r="B7826" s="2" t="s">
        <v>188</v>
      </c>
      <c r="C7826" s="2" t="s">
        <v>60</v>
      </c>
      <c r="D7826" s="2" t="s">
        <v>10</v>
      </c>
      <c r="E7826" s="2" t="s">
        <v>11</v>
      </c>
      <c r="F7826" s="2">
        <v>4.54</v>
      </c>
      <c r="G7826" s="2">
        <v>1</v>
      </c>
      <c r="H7826" s="2">
        <v>2.04</v>
      </c>
      <c r="I7826" t="str">
        <f t="shared" si="122"/>
        <v>Jun</v>
      </c>
      <c r="J7826">
        <f>YEAR(datas[[#This Row],[Order Date]])</f>
        <v>2024</v>
      </c>
    </row>
    <row r="7827" spans="1:10" ht="14.25" customHeight="1" x14ac:dyDescent="0.3">
      <c r="A7827" s="1">
        <v>45469</v>
      </c>
      <c r="B7827" s="2" t="s">
        <v>188</v>
      </c>
      <c r="C7827" s="2" t="s">
        <v>60</v>
      </c>
      <c r="D7827" s="2" t="s">
        <v>10</v>
      </c>
      <c r="E7827" s="2" t="s">
        <v>19</v>
      </c>
      <c r="F7827" s="2">
        <v>15.92</v>
      </c>
      <c r="G7827" s="2">
        <v>4</v>
      </c>
      <c r="H7827" s="2">
        <v>5.41</v>
      </c>
      <c r="I7827" t="str">
        <f t="shared" si="122"/>
        <v>Jun</v>
      </c>
      <c r="J7827">
        <f>YEAR(datas[[#This Row],[Order Date]])</f>
        <v>2024</v>
      </c>
    </row>
    <row r="7828" spans="1:10" ht="14.25" customHeight="1" x14ac:dyDescent="0.3">
      <c r="A7828" s="1">
        <v>45469</v>
      </c>
      <c r="B7828" s="2" t="s">
        <v>188</v>
      </c>
      <c r="C7828" s="2" t="s">
        <v>60</v>
      </c>
      <c r="D7828" s="2" t="s">
        <v>28</v>
      </c>
      <c r="E7828" s="2" t="s">
        <v>29</v>
      </c>
      <c r="F7828" s="2">
        <v>543.91999999999996</v>
      </c>
      <c r="G7828" s="2">
        <v>8</v>
      </c>
      <c r="H7828" s="2">
        <v>135.97999999999999</v>
      </c>
      <c r="I7828" t="str">
        <f t="shared" si="122"/>
        <v>Jun</v>
      </c>
      <c r="J7828">
        <f>YEAR(datas[[#This Row],[Order Date]])</f>
        <v>2024</v>
      </c>
    </row>
    <row r="7829" spans="1:10" ht="14.25" customHeight="1" x14ac:dyDescent="0.3">
      <c r="A7829" s="1">
        <v>45469</v>
      </c>
      <c r="B7829" s="2" t="s">
        <v>747</v>
      </c>
      <c r="C7829" s="2" t="s">
        <v>68</v>
      </c>
      <c r="D7829" s="2" t="s">
        <v>26</v>
      </c>
      <c r="E7829" s="2" t="s">
        <v>32</v>
      </c>
      <c r="F7829" s="2">
        <v>526.45000000000005</v>
      </c>
      <c r="G7829" s="2">
        <v>5</v>
      </c>
      <c r="H7829" s="2">
        <v>31.59</v>
      </c>
      <c r="I7829" t="str">
        <f t="shared" si="122"/>
        <v>Jun</v>
      </c>
      <c r="J7829">
        <f>YEAR(datas[[#This Row],[Order Date]])</f>
        <v>2024</v>
      </c>
    </row>
    <row r="7830" spans="1:10" ht="14.25" customHeight="1" x14ac:dyDescent="0.3">
      <c r="A7830" s="1">
        <v>45469</v>
      </c>
      <c r="B7830" s="2" t="s">
        <v>447</v>
      </c>
      <c r="C7830" s="2" t="s">
        <v>126</v>
      </c>
      <c r="D7830" s="2" t="s">
        <v>28</v>
      </c>
      <c r="E7830" s="2" t="s">
        <v>34</v>
      </c>
      <c r="F7830" s="2">
        <v>431.93</v>
      </c>
      <c r="G7830" s="2">
        <v>9</v>
      </c>
      <c r="H7830" s="2">
        <v>64.790000000000006</v>
      </c>
      <c r="I7830" t="str">
        <f t="shared" si="122"/>
        <v>Jun</v>
      </c>
      <c r="J7830">
        <f>YEAR(datas[[#This Row],[Order Date]])</f>
        <v>2024</v>
      </c>
    </row>
    <row r="7831" spans="1:10" ht="14.25" customHeight="1" x14ac:dyDescent="0.3">
      <c r="A7831" s="1">
        <v>45469</v>
      </c>
      <c r="B7831" s="2" t="s">
        <v>303</v>
      </c>
      <c r="C7831" s="2" t="s">
        <v>75</v>
      </c>
      <c r="D7831" s="2" t="s">
        <v>28</v>
      </c>
      <c r="E7831" s="2" t="s">
        <v>29</v>
      </c>
      <c r="F7831" s="2">
        <v>239.97</v>
      </c>
      <c r="G7831" s="2">
        <v>3</v>
      </c>
      <c r="H7831" s="2">
        <v>67.19</v>
      </c>
      <c r="I7831" t="str">
        <f t="shared" si="122"/>
        <v>Jun</v>
      </c>
      <c r="J7831">
        <f>YEAR(datas[[#This Row],[Order Date]])</f>
        <v>2024</v>
      </c>
    </row>
    <row r="7832" spans="1:10" ht="14.25" customHeight="1" x14ac:dyDescent="0.3">
      <c r="A7832" s="1">
        <v>45469</v>
      </c>
      <c r="B7832" s="2" t="s">
        <v>463</v>
      </c>
      <c r="C7832" s="2" t="s">
        <v>18</v>
      </c>
      <c r="D7832" s="2" t="s">
        <v>28</v>
      </c>
      <c r="E7832" s="2" t="s">
        <v>29</v>
      </c>
      <c r="F7832" s="2">
        <v>358.2</v>
      </c>
      <c r="G7832" s="2">
        <v>3</v>
      </c>
      <c r="H7832" s="2">
        <v>41.79</v>
      </c>
      <c r="I7832" t="str">
        <f t="shared" si="122"/>
        <v>Jun</v>
      </c>
      <c r="J7832">
        <f>YEAR(datas[[#This Row],[Order Date]])</f>
        <v>2024</v>
      </c>
    </row>
    <row r="7833" spans="1:10" ht="14.25" customHeight="1" x14ac:dyDescent="0.3">
      <c r="A7833" s="1">
        <v>45469</v>
      </c>
      <c r="B7833" s="2" t="s">
        <v>463</v>
      </c>
      <c r="C7833" s="2" t="s">
        <v>18</v>
      </c>
      <c r="D7833" s="2" t="s">
        <v>28</v>
      </c>
      <c r="E7833" s="2" t="s">
        <v>29</v>
      </c>
      <c r="F7833" s="2">
        <v>545.91999999999996</v>
      </c>
      <c r="G7833" s="2">
        <v>14</v>
      </c>
      <c r="H7833" s="2">
        <v>72.790000000000006</v>
      </c>
      <c r="I7833" t="str">
        <f t="shared" si="122"/>
        <v>Jun</v>
      </c>
      <c r="J7833">
        <f>YEAR(datas[[#This Row],[Order Date]])</f>
        <v>2024</v>
      </c>
    </row>
    <row r="7834" spans="1:10" ht="14.25" customHeight="1" x14ac:dyDescent="0.3">
      <c r="A7834" s="1">
        <v>45469</v>
      </c>
      <c r="B7834" s="2" t="s">
        <v>769</v>
      </c>
      <c r="C7834" s="2" t="s">
        <v>64</v>
      </c>
      <c r="D7834" s="2" t="s">
        <v>10</v>
      </c>
      <c r="E7834" s="2" t="s">
        <v>14</v>
      </c>
      <c r="F7834" s="2">
        <v>13.87</v>
      </c>
      <c r="G7834" s="2">
        <v>6</v>
      </c>
      <c r="H7834" s="2">
        <v>4.68</v>
      </c>
      <c r="I7834" t="str">
        <f t="shared" si="122"/>
        <v>Jun</v>
      </c>
      <c r="J7834">
        <f>YEAR(datas[[#This Row],[Order Date]])</f>
        <v>2024</v>
      </c>
    </row>
    <row r="7835" spans="1:10" ht="14.25" customHeight="1" x14ac:dyDescent="0.3">
      <c r="A7835" s="1">
        <v>45469</v>
      </c>
      <c r="B7835" s="2" t="s">
        <v>769</v>
      </c>
      <c r="C7835" s="2" t="s">
        <v>64</v>
      </c>
      <c r="D7835" s="2" t="s">
        <v>26</v>
      </c>
      <c r="E7835" s="2" t="s">
        <v>27</v>
      </c>
      <c r="F7835" s="2">
        <v>273.55</v>
      </c>
      <c r="G7835" s="2">
        <v>3</v>
      </c>
      <c r="H7835" s="2">
        <v>-13.68</v>
      </c>
      <c r="I7835" t="str">
        <f t="shared" si="122"/>
        <v>Jun</v>
      </c>
      <c r="J7835">
        <f>YEAR(datas[[#This Row],[Order Date]])</f>
        <v>2024</v>
      </c>
    </row>
    <row r="7836" spans="1:10" ht="14.25" customHeight="1" x14ac:dyDescent="0.3">
      <c r="A7836" s="1">
        <v>45469</v>
      </c>
      <c r="B7836" s="2" t="s">
        <v>516</v>
      </c>
      <c r="C7836" s="2" t="s">
        <v>75</v>
      </c>
      <c r="D7836" s="2" t="s">
        <v>10</v>
      </c>
      <c r="E7836" s="2" t="s">
        <v>15</v>
      </c>
      <c r="F7836" s="2">
        <v>272.94</v>
      </c>
      <c r="G7836" s="2">
        <v>3</v>
      </c>
      <c r="H7836" s="2">
        <v>0</v>
      </c>
      <c r="I7836" t="str">
        <f t="shared" si="122"/>
        <v>Jun</v>
      </c>
      <c r="J7836">
        <f>YEAR(datas[[#This Row],[Order Date]])</f>
        <v>2024</v>
      </c>
    </row>
    <row r="7837" spans="1:10" ht="14.25" customHeight="1" x14ac:dyDescent="0.3">
      <c r="A7837" s="1">
        <v>45469</v>
      </c>
      <c r="B7837" s="2" t="s">
        <v>194</v>
      </c>
      <c r="C7837" s="2" t="s">
        <v>75</v>
      </c>
      <c r="D7837" s="2" t="s">
        <v>10</v>
      </c>
      <c r="E7837" s="2" t="s">
        <v>16</v>
      </c>
      <c r="F7837" s="2">
        <v>102.37</v>
      </c>
      <c r="G7837" s="2">
        <v>2</v>
      </c>
      <c r="H7837" s="2">
        <v>37.11</v>
      </c>
      <c r="I7837" t="str">
        <f t="shared" si="122"/>
        <v>Jun</v>
      </c>
      <c r="J7837">
        <f>YEAR(datas[[#This Row],[Order Date]])</f>
        <v>2024</v>
      </c>
    </row>
    <row r="7838" spans="1:10" ht="14.25" customHeight="1" x14ac:dyDescent="0.3">
      <c r="A7838" s="1">
        <v>45469</v>
      </c>
      <c r="B7838" s="2" t="s">
        <v>194</v>
      </c>
      <c r="C7838" s="2" t="s">
        <v>75</v>
      </c>
      <c r="D7838" s="2" t="s">
        <v>10</v>
      </c>
      <c r="E7838" s="2" t="s">
        <v>95</v>
      </c>
      <c r="F7838" s="2">
        <v>28.4</v>
      </c>
      <c r="G7838" s="2">
        <v>5</v>
      </c>
      <c r="H7838" s="2">
        <v>8.24</v>
      </c>
      <c r="I7838" t="str">
        <f t="shared" si="122"/>
        <v>Jun</v>
      </c>
      <c r="J7838">
        <f>YEAR(datas[[#This Row],[Order Date]])</f>
        <v>2024</v>
      </c>
    </row>
    <row r="7839" spans="1:10" ht="14.25" customHeight="1" x14ac:dyDescent="0.3">
      <c r="A7839" s="1">
        <v>45469</v>
      </c>
      <c r="B7839" s="2" t="s">
        <v>194</v>
      </c>
      <c r="C7839" s="2" t="s">
        <v>75</v>
      </c>
      <c r="D7839" s="2" t="s">
        <v>10</v>
      </c>
      <c r="E7839" s="2" t="s">
        <v>15</v>
      </c>
      <c r="F7839" s="2">
        <v>713.88</v>
      </c>
      <c r="G7839" s="2">
        <v>4</v>
      </c>
      <c r="H7839" s="2">
        <v>214.16</v>
      </c>
      <c r="I7839" t="str">
        <f t="shared" si="122"/>
        <v>Jun</v>
      </c>
      <c r="J7839">
        <f>YEAR(datas[[#This Row],[Order Date]])</f>
        <v>2024</v>
      </c>
    </row>
    <row r="7840" spans="1:10" ht="14.25" customHeight="1" x14ac:dyDescent="0.3">
      <c r="A7840" s="1">
        <v>45469</v>
      </c>
      <c r="B7840" s="2" t="s">
        <v>194</v>
      </c>
      <c r="C7840" s="2" t="s">
        <v>75</v>
      </c>
      <c r="D7840" s="2" t="s">
        <v>10</v>
      </c>
      <c r="E7840" s="2" t="s">
        <v>11</v>
      </c>
      <c r="F7840" s="2">
        <v>68.52</v>
      </c>
      <c r="G7840" s="2">
        <v>3</v>
      </c>
      <c r="H7840" s="2">
        <v>31.52</v>
      </c>
      <c r="I7840" t="str">
        <f t="shared" si="122"/>
        <v>Jun</v>
      </c>
      <c r="J7840">
        <f>YEAR(datas[[#This Row],[Order Date]])</f>
        <v>2024</v>
      </c>
    </row>
    <row r="7841" spans="1:10" ht="14.25" customHeight="1" x14ac:dyDescent="0.3">
      <c r="A7841" s="1">
        <v>45470</v>
      </c>
      <c r="B7841" s="2" t="s">
        <v>486</v>
      </c>
      <c r="C7841" s="2" t="s">
        <v>75</v>
      </c>
      <c r="D7841" s="2" t="s">
        <v>26</v>
      </c>
      <c r="E7841" s="2" t="s">
        <v>27</v>
      </c>
      <c r="F7841" s="2">
        <v>191.65</v>
      </c>
      <c r="G7841" s="2">
        <v>3</v>
      </c>
      <c r="H7841" s="2">
        <v>31.94</v>
      </c>
      <c r="I7841" t="str">
        <f t="shared" si="122"/>
        <v>Jun</v>
      </c>
      <c r="J7841">
        <f>YEAR(datas[[#This Row],[Order Date]])</f>
        <v>2024</v>
      </c>
    </row>
    <row r="7842" spans="1:10" ht="14.25" customHeight="1" x14ac:dyDescent="0.3">
      <c r="A7842" s="1">
        <v>45470</v>
      </c>
      <c r="B7842" s="2" t="s">
        <v>284</v>
      </c>
      <c r="C7842" s="2" t="s">
        <v>381</v>
      </c>
      <c r="D7842" s="2" t="s">
        <v>10</v>
      </c>
      <c r="E7842" s="2" t="s">
        <v>11</v>
      </c>
      <c r="F7842" s="2">
        <v>20.07</v>
      </c>
      <c r="G7842" s="2">
        <v>3</v>
      </c>
      <c r="H7842" s="2">
        <v>9.23</v>
      </c>
      <c r="I7842" t="str">
        <f t="shared" si="122"/>
        <v>Jun</v>
      </c>
      <c r="J7842">
        <f>YEAR(datas[[#This Row],[Order Date]])</f>
        <v>2024</v>
      </c>
    </row>
    <row r="7843" spans="1:10" ht="14.25" customHeight="1" x14ac:dyDescent="0.3">
      <c r="A7843" s="1">
        <v>45470</v>
      </c>
      <c r="B7843" s="2" t="s">
        <v>269</v>
      </c>
      <c r="C7843" s="2" t="s">
        <v>82</v>
      </c>
      <c r="D7843" s="2" t="s">
        <v>10</v>
      </c>
      <c r="E7843" s="2" t="s">
        <v>11</v>
      </c>
      <c r="F7843" s="2">
        <v>19.440000000000001</v>
      </c>
      <c r="G7843" s="2">
        <v>3</v>
      </c>
      <c r="H7843" s="2">
        <v>9.33</v>
      </c>
      <c r="I7843" t="str">
        <f t="shared" si="122"/>
        <v>Jun</v>
      </c>
      <c r="J7843">
        <f>YEAR(datas[[#This Row],[Order Date]])</f>
        <v>2024</v>
      </c>
    </row>
    <row r="7844" spans="1:10" ht="14.25" customHeight="1" x14ac:dyDescent="0.3">
      <c r="A7844" s="1">
        <v>45470</v>
      </c>
      <c r="B7844" s="2" t="s">
        <v>269</v>
      </c>
      <c r="C7844" s="2" t="s">
        <v>82</v>
      </c>
      <c r="D7844" s="2" t="s">
        <v>26</v>
      </c>
      <c r="E7844" s="2" t="s">
        <v>32</v>
      </c>
      <c r="F7844" s="2">
        <v>126.3</v>
      </c>
      <c r="G7844" s="2">
        <v>3</v>
      </c>
      <c r="H7844" s="2">
        <v>40.42</v>
      </c>
      <c r="I7844" t="str">
        <f t="shared" si="122"/>
        <v>Jun</v>
      </c>
      <c r="J7844">
        <f>YEAR(datas[[#This Row],[Order Date]])</f>
        <v>2024</v>
      </c>
    </row>
    <row r="7845" spans="1:10" ht="14.25" customHeight="1" x14ac:dyDescent="0.3">
      <c r="A7845" s="1">
        <v>45470</v>
      </c>
      <c r="B7845" s="2" t="s">
        <v>269</v>
      </c>
      <c r="C7845" s="2" t="s">
        <v>82</v>
      </c>
      <c r="D7845" s="2" t="s">
        <v>28</v>
      </c>
      <c r="E7845" s="2" t="s">
        <v>34</v>
      </c>
      <c r="F7845" s="2">
        <v>1287.45</v>
      </c>
      <c r="G7845" s="2">
        <v>5</v>
      </c>
      <c r="H7845" s="2">
        <v>244.62</v>
      </c>
      <c r="I7845" t="str">
        <f t="shared" si="122"/>
        <v>Jun</v>
      </c>
      <c r="J7845">
        <f>YEAR(datas[[#This Row],[Order Date]])</f>
        <v>2024</v>
      </c>
    </row>
    <row r="7846" spans="1:10" ht="14.25" customHeight="1" x14ac:dyDescent="0.3">
      <c r="A7846" s="1">
        <v>45472</v>
      </c>
      <c r="B7846" s="2" t="s">
        <v>131</v>
      </c>
      <c r="C7846" s="2" t="s">
        <v>21</v>
      </c>
      <c r="D7846" s="2" t="s">
        <v>10</v>
      </c>
      <c r="E7846" s="2" t="s">
        <v>15</v>
      </c>
      <c r="F7846" s="2">
        <v>1295.78</v>
      </c>
      <c r="G7846" s="2">
        <v>2</v>
      </c>
      <c r="H7846" s="2">
        <v>310.99</v>
      </c>
      <c r="I7846" t="str">
        <f t="shared" si="122"/>
        <v>Jun</v>
      </c>
      <c r="J7846">
        <f>YEAR(datas[[#This Row],[Order Date]])</f>
        <v>2024</v>
      </c>
    </row>
    <row r="7847" spans="1:10" ht="14.25" customHeight="1" x14ac:dyDescent="0.3">
      <c r="A7847" s="1">
        <v>45472</v>
      </c>
      <c r="B7847" s="2" t="s">
        <v>175</v>
      </c>
      <c r="C7847" s="2" t="s">
        <v>140</v>
      </c>
      <c r="D7847" s="2" t="s">
        <v>10</v>
      </c>
      <c r="E7847" s="2" t="s">
        <v>53</v>
      </c>
      <c r="F7847" s="2">
        <v>362.94</v>
      </c>
      <c r="G7847" s="2">
        <v>3</v>
      </c>
      <c r="H7847" s="2">
        <v>90.74</v>
      </c>
      <c r="I7847" t="str">
        <f t="shared" si="122"/>
        <v>Jun</v>
      </c>
      <c r="J7847">
        <f>YEAR(datas[[#This Row],[Order Date]])</f>
        <v>2024</v>
      </c>
    </row>
    <row r="7848" spans="1:10" ht="14.25" customHeight="1" x14ac:dyDescent="0.3">
      <c r="A7848" s="1">
        <v>45472</v>
      </c>
      <c r="B7848" s="2" t="s">
        <v>175</v>
      </c>
      <c r="C7848" s="2" t="s">
        <v>140</v>
      </c>
      <c r="D7848" s="2" t="s">
        <v>10</v>
      </c>
      <c r="E7848" s="2" t="s">
        <v>16</v>
      </c>
      <c r="F7848" s="2">
        <v>11.54</v>
      </c>
      <c r="G7848" s="2">
        <v>2</v>
      </c>
      <c r="H7848" s="2">
        <v>5.77</v>
      </c>
      <c r="I7848" t="str">
        <f t="shared" si="122"/>
        <v>Jun</v>
      </c>
      <c r="J7848">
        <f>YEAR(datas[[#This Row],[Order Date]])</f>
        <v>2024</v>
      </c>
    </row>
    <row r="7849" spans="1:10" ht="14.25" customHeight="1" x14ac:dyDescent="0.3">
      <c r="A7849" s="1">
        <v>45472</v>
      </c>
      <c r="B7849" s="2" t="s">
        <v>255</v>
      </c>
      <c r="C7849" s="2" t="s">
        <v>21</v>
      </c>
      <c r="D7849" s="2" t="s">
        <v>10</v>
      </c>
      <c r="E7849" s="2" t="s">
        <v>16</v>
      </c>
      <c r="F7849" s="2">
        <v>312.55</v>
      </c>
      <c r="G7849" s="2">
        <v>9</v>
      </c>
      <c r="H7849" s="2">
        <v>101.58</v>
      </c>
      <c r="I7849" t="str">
        <f t="shared" si="122"/>
        <v>Jun</v>
      </c>
      <c r="J7849">
        <f>YEAR(datas[[#This Row],[Order Date]])</f>
        <v>2024</v>
      </c>
    </row>
    <row r="7850" spans="1:10" ht="14.25" customHeight="1" x14ac:dyDescent="0.3">
      <c r="A7850" s="1">
        <v>45472</v>
      </c>
      <c r="B7850" s="2" t="s">
        <v>523</v>
      </c>
      <c r="C7850" s="2" t="s">
        <v>9</v>
      </c>
      <c r="D7850" s="2" t="s">
        <v>10</v>
      </c>
      <c r="E7850" s="2" t="s">
        <v>11</v>
      </c>
      <c r="F7850" s="2">
        <v>5.18</v>
      </c>
      <c r="G7850" s="2">
        <v>1</v>
      </c>
      <c r="H7850" s="2">
        <v>1.81</v>
      </c>
      <c r="I7850" t="str">
        <f t="shared" si="122"/>
        <v>Jun</v>
      </c>
      <c r="J7850">
        <f>YEAR(datas[[#This Row],[Order Date]])</f>
        <v>2024</v>
      </c>
    </row>
    <row r="7851" spans="1:10" ht="14.25" customHeight="1" x14ac:dyDescent="0.3">
      <c r="A7851" s="1">
        <v>45472</v>
      </c>
      <c r="B7851" s="2" t="s">
        <v>566</v>
      </c>
      <c r="C7851" s="2" t="s">
        <v>21</v>
      </c>
      <c r="D7851" s="2" t="s">
        <v>10</v>
      </c>
      <c r="E7851" s="2" t="s">
        <v>16</v>
      </c>
      <c r="F7851" s="2">
        <v>895.92</v>
      </c>
      <c r="G7851" s="2">
        <v>5</v>
      </c>
      <c r="H7851" s="2">
        <v>302.37</v>
      </c>
      <c r="I7851" t="str">
        <f t="shared" si="122"/>
        <v>Jun</v>
      </c>
      <c r="J7851">
        <f>YEAR(datas[[#This Row],[Order Date]])</f>
        <v>2024</v>
      </c>
    </row>
    <row r="7852" spans="1:10" ht="14.25" customHeight="1" x14ac:dyDescent="0.3">
      <c r="A7852" s="1">
        <v>45472</v>
      </c>
      <c r="B7852" s="2" t="s">
        <v>566</v>
      </c>
      <c r="C7852" s="2" t="s">
        <v>21</v>
      </c>
      <c r="D7852" s="2" t="s">
        <v>10</v>
      </c>
      <c r="E7852" s="2" t="s">
        <v>15</v>
      </c>
      <c r="F7852" s="2">
        <v>130.71</v>
      </c>
      <c r="G7852" s="2">
        <v>3</v>
      </c>
      <c r="H7852" s="2">
        <v>39.21</v>
      </c>
      <c r="I7852" t="str">
        <f t="shared" si="122"/>
        <v>Jun</v>
      </c>
      <c r="J7852">
        <f>YEAR(datas[[#This Row],[Order Date]])</f>
        <v>2024</v>
      </c>
    </row>
    <row r="7853" spans="1:10" ht="14.25" customHeight="1" x14ac:dyDescent="0.3">
      <c r="A7853" s="1">
        <v>45472</v>
      </c>
      <c r="B7853" s="2" t="s">
        <v>566</v>
      </c>
      <c r="C7853" s="2" t="s">
        <v>21</v>
      </c>
      <c r="D7853" s="2" t="s">
        <v>10</v>
      </c>
      <c r="E7853" s="2" t="s">
        <v>19</v>
      </c>
      <c r="F7853" s="2">
        <v>11.68</v>
      </c>
      <c r="G7853" s="2">
        <v>2</v>
      </c>
      <c r="H7853" s="2">
        <v>3.04</v>
      </c>
      <c r="I7853" t="str">
        <f t="shared" si="122"/>
        <v>Jun</v>
      </c>
      <c r="J7853">
        <f>YEAR(datas[[#This Row],[Order Date]])</f>
        <v>2024</v>
      </c>
    </row>
    <row r="7854" spans="1:10" ht="14.25" customHeight="1" x14ac:dyDescent="0.3">
      <c r="A7854" s="1">
        <v>45472</v>
      </c>
      <c r="B7854" s="2" t="s">
        <v>566</v>
      </c>
      <c r="C7854" s="2" t="s">
        <v>21</v>
      </c>
      <c r="D7854" s="2" t="s">
        <v>28</v>
      </c>
      <c r="E7854" s="2" t="s">
        <v>34</v>
      </c>
      <c r="F7854" s="2">
        <v>62.31</v>
      </c>
      <c r="G7854" s="2">
        <v>3</v>
      </c>
      <c r="H7854" s="2">
        <v>22.43</v>
      </c>
      <c r="I7854" t="str">
        <f t="shared" si="122"/>
        <v>Jun</v>
      </c>
      <c r="J7854">
        <f>YEAR(datas[[#This Row],[Order Date]])</f>
        <v>2024</v>
      </c>
    </row>
    <row r="7855" spans="1:10" ht="14.25" customHeight="1" x14ac:dyDescent="0.3">
      <c r="A7855" s="1">
        <v>45472</v>
      </c>
      <c r="B7855" s="2" t="s">
        <v>769</v>
      </c>
      <c r="C7855" s="2" t="s">
        <v>248</v>
      </c>
      <c r="D7855" s="2" t="s">
        <v>26</v>
      </c>
      <c r="E7855" s="2" t="s">
        <v>45</v>
      </c>
      <c r="F7855" s="2">
        <v>638.82000000000005</v>
      </c>
      <c r="G7855" s="2">
        <v>9</v>
      </c>
      <c r="H7855" s="2">
        <v>185.26</v>
      </c>
      <c r="I7855" t="str">
        <f t="shared" si="122"/>
        <v>Jun</v>
      </c>
      <c r="J7855">
        <f>YEAR(datas[[#This Row],[Order Date]])</f>
        <v>2024</v>
      </c>
    </row>
    <row r="7856" spans="1:10" ht="14.25" customHeight="1" x14ac:dyDescent="0.3">
      <c r="A7856" s="1">
        <v>45472</v>
      </c>
      <c r="B7856" s="2" t="s">
        <v>769</v>
      </c>
      <c r="C7856" s="2" t="s">
        <v>248</v>
      </c>
      <c r="D7856" s="2" t="s">
        <v>10</v>
      </c>
      <c r="E7856" s="2" t="s">
        <v>95</v>
      </c>
      <c r="F7856" s="2">
        <v>30.69</v>
      </c>
      <c r="G7856" s="2">
        <v>3</v>
      </c>
      <c r="H7856" s="2">
        <v>7.98</v>
      </c>
      <c r="I7856" t="str">
        <f t="shared" si="122"/>
        <v>Jun</v>
      </c>
      <c r="J7856">
        <f>YEAR(datas[[#This Row],[Order Date]])</f>
        <v>2024</v>
      </c>
    </row>
    <row r="7857" spans="1:10" ht="14.25" customHeight="1" x14ac:dyDescent="0.3">
      <c r="A7857" s="1">
        <v>45472</v>
      </c>
      <c r="B7857" s="2" t="s">
        <v>769</v>
      </c>
      <c r="C7857" s="2" t="s">
        <v>248</v>
      </c>
      <c r="D7857" s="2" t="s">
        <v>26</v>
      </c>
      <c r="E7857" s="2" t="s">
        <v>32</v>
      </c>
      <c r="F7857" s="2">
        <v>25.16</v>
      </c>
      <c r="G7857" s="2">
        <v>2</v>
      </c>
      <c r="H7857" s="2">
        <v>8.5500000000000007</v>
      </c>
      <c r="I7857" t="str">
        <f t="shared" si="122"/>
        <v>Jun</v>
      </c>
      <c r="J7857">
        <f>YEAR(datas[[#This Row],[Order Date]])</f>
        <v>2024</v>
      </c>
    </row>
    <row r="7858" spans="1:10" ht="14.25" customHeight="1" x14ac:dyDescent="0.3">
      <c r="A7858" s="1">
        <v>45472</v>
      </c>
      <c r="B7858" s="2" t="s">
        <v>365</v>
      </c>
      <c r="C7858" s="2" t="s">
        <v>9</v>
      </c>
      <c r="D7858" s="2" t="s">
        <v>10</v>
      </c>
      <c r="E7858" s="2" t="s">
        <v>53</v>
      </c>
      <c r="F7858" s="2">
        <v>21.39</v>
      </c>
      <c r="G7858" s="2">
        <v>2</v>
      </c>
      <c r="H7858" s="2">
        <v>-54.55</v>
      </c>
      <c r="I7858" t="str">
        <f t="shared" si="122"/>
        <v>Jun</v>
      </c>
      <c r="J7858">
        <f>YEAR(datas[[#This Row],[Order Date]])</f>
        <v>2024</v>
      </c>
    </row>
    <row r="7859" spans="1:10" ht="14.25" customHeight="1" x14ac:dyDescent="0.3">
      <c r="A7859" s="1">
        <v>45472</v>
      </c>
      <c r="B7859" s="2" t="s">
        <v>365</v>
      </c>
      <c r="C7859" s="2" t="s">
        <v>9</v>
      </c>
      <c r="D7859" s="2" t="s">
        <v>26</v>
      </c>
      <c r="E7859" s="2" t="s">
        <v>73</v>
      </c>
      <c r="F7859" s="2">
        <v>307.31</v>
      </c>
      <c r="G7859" s="2">
        <v>3</v>
      </c>
      <c r="H7859" s="2">
        <v>-39.51</v>
      </c>
      <c r="I7859" t="str">
        <f t="shared" si="122"/>
        <v>Jun</v>
      </c>
      <c r="J7859">
        <f>YEAR(datas[[#This Row],[Order Date]])</f>
        <v>2024</v>
      </c>
    </row>
    <row r="7860" spans="1:10" ht="14.25" customHeight="1" x14ac:dyDescent="0.3">
      <c r="A7860" s="1">
        <v>45472</v>
      </c>
      <c r="B7860" s="2" t="s">
        <v>365</v>
      </c>
      <c r="C7860" s="2" t="s">
        <v>9</v>
      </c>
      <c r="D7860" s="2" t="s">
        <v>26</v>
      </c>
      <c r="E7860" s="2" t="s">
        <v>45</v>
      </c>
      <c r="F7860" s="2">
        <v>410</v>
      </c>
      <c r="G7860" s="2">
        <v>3</v>
      </c>
      <c r="H7860" s="2">
        <v>-96.47</v>
      </c>
      <c r="I7860" t="str">
        <f t="shared" si="122"/>
        <v>Jun</v>
      </c>
      <c r="J7860">
        <f>YEAR(datas[[#This Row],[Order Date]])</f>
        <v>2024</v>
      </c>
    </row>
    <row r="7861" spans="1:10" ht="14.25" customHeight="1" x14ac:dyDescent="0.3">
      <c r="A7861" s="1">
        <v>45473</v>
      </c>
      <c r="B7861" s="2" t="s">
        <v>738</v>
      </c>
      <c r="C7861" s="2" t="s">
        <v>66</v>
      </c>
      <c r="D7861" s="2" t="s">
        <v>10</v>
      </c>
      <c r="E7861" s="2" t="s">
        <v>16</v>
      </c>
      <c r="F7861" s="2">
        <v>75.790000000000006</v>
      </c>
      <c r="G7861" s="2">
        <v>3</v>
      </c>
      <c r="H7861" s="2">
        <v>25.58</v>
      </c>
      <c r="I7861" t="str">
        <f t="shared" si="122"/>
        <v>Jun</v>
      </c>
      <c r="J7861">
        <f>YEAR(datas[[#This Row],[Order Date]])</f>
        <v>2024</v>
      </c>
    </row>
    <row r="7862" spans="1:10" ht="14.25" customHeight="1" x14ac:dyDescent="0.3">
      <c r="A7862" s="1">
        <v>45473</v>
      </c>
      <c r="B7862" s="2" t="s">
        <v>389</v>
      </c>
      <c r="C7862" s="2" t="s">
        <v>75</v>
      </c>
      <c r="D7862" s="2" t="s">
        <v>26</v>
      </c>
      <c r="E7862" s="2" t="s">
        <v>73</v>
      </c>
      <c r="F7862" s="2">
        <v>1044.6300000000001</v>
      </c>
      <c r="G7862" s="2">
        <v>5</v>
      </c>
      <c r="H7862" s="2">
        <v>-295.98</v>
      </c>
      <c r="I7862" t="str">
        <f t="shared" si="122"/>
        <v>Jun</v>
      </c>
      <c r="J7862">
        <f>YEAR(datas[[#This Row],[Order Date]])</f>
        <v>2024</v>
      </c>
    </row>
    <row r="7863" spans="1:10" ht="14.25" customHeight="1" x14ac:dyDescent="0.3">
      <c r="A7863" s="1">
        <v>45473</v>
      </c>
      <c r="B7863" s="2" t="s">
        <v>637</v>
      </c>
      <c r="C7863" s="2" t="s">
        <v>75</v>
      </c>
      <c r="D7863" s="2" t="s">
        <v>10</v>
      </c>
      <c r="E7863" s="2" t="s">
        <v>15</v>
      </c>
      <c r="F7863" s="2">
        <v>248.57</v>
      </c>
      <c r="G7863" s="2">
        <v>7</v>
      </c>
      <c r="H7863" s="2">
        <v>67.11</v>
      </c>
      <c r="I7863" t="str">
        <f t="shared" si="122"/>
        <v>Jun</v>
      </c>
      <c r="J7863">
        <f>YEAR(datas[[#This Row],[Order Date]])</f>
        <v>2024</v>
      </c>
    </row>
    <row r="7864" spans="1:10" ht="14.25" customHeight="1" x14ac:dyDescent="0.3">
      <c r="A7864" s="1">
        <v>45473</v>
      </c>
      <c r="B7864" s="2" t="s">
        <v>637</v>
      </c>
      <c r="C7864" s="2" t="s">
        <v>75</v>
      </c>
      <c r="D7864" s="2" t="s">
        <v>26</v>
      </c>
      <c r="E7864" s="2" t="s">
        <v>32</v>
      </c>
      <c r="F7864" s="2">
        <v>22.23</v>
      </c>
      <c r="G7864" s="2">
        <v>1</v>
      </c>
      <c r="H7864" s="2">
        <v>9.7799999999999994</v>
      </c>
      <c r="I7864" t="str">
        <f t="shared" si="122"/>
        <v>Jun</v>
      </c>
      <c r="J7864">
        <f>YEAR(datas[[#This Row],[Order Date]])</f>
        <v>2024</v>
      </c>
    </row>
    <row r="7865" spans="1:10" ht="14.25" customHeight="1" x14ac:dyDescent="0.3">
      <c r="A7865" s="1">
        <v>45473</v>
      </c>
      <c r="B7865" s="2" t="s">
        <v>360</v>
      </c>
      <c r="C7865" s="2" t="s">
        <v>13</v>
      </c>
      <c r="D7865" s="2" t="s">
        <v>28</v>
      </c>
      <c r="E7865" s="2" t="s">
        <v>29</v>
      </c>
      <c r="F7865" s="2">
        <v>1001.58</v>
      </c>
      <c r="G7865" s="2">
        <v>2</v>
      </c>
      <c r="H7865" s="2">
        <v>125.2</v>
      </c>
      <c r="I7865" t="str">
        <f t="shared" si="122"/>
        <v>Jun</v>
      </c>
      <c r="J7865">
        <f>YEAR(datas[[#This Row],[Order Date]])</f>
        <v>2024</v>
      </c>
    </row>
    <row r="7866" spans="1:10" ht="14.25" customHeight="1" x14ac:dyDescent="0.3">
      <c r="A7866" s="1">
        <v>45473</v>
      </c>
      <c r="B7866" s="2" t="s">
        <v>360</v>
      </c>
      <c r="C7866" s="2" t="s">
        <v>13</v>
      </c>
      <c r="D7866" s="2" t="s">
        <v>26</v>
      </c>
      <c r="E7866" s="2" t="s">
        <v>27</v>
      </c>
      <c r="F7866" s="2">
        <v>569.05999999999995</v>
      </c>
      <c r="G7866" s="2">
        <v>3</v>
      </c>
      <c r="H7866" s="2">
        <v>-178.85</v>
      </c>
      <c r="I7866" t="str">
        <f t="shared" si="122"/>
        <v>Jun</v>
      </c>
      <c r="J7866">
        <f>YEAR(datas[[#This Row],[Order Date]])</f>
        <v>2024</v>
      </c>
    </row>
    <row r="7867" spans="1:10" ht="14.25" customHeight="1" x14ac:dyDescent="0.3">
      <c r="A7867" s="1">
        <v>45473</v>
      </c>
      <c r="B7867" s="2" t="s">
        <v>360</v>
      </c>
      <c r="C7867" s="2" t="s">
        <v>13</v>
      </c>
      <c r="D7867" s="2" t="s">
        <v>26</v>
      </c>
      <c r="E7867" s="2" t="s">
        <v>32</v>
      </c>
      <c r="F7867" s="2">
        <v>14.22</v>
      </c>
      <c r="G7867" s="2">
        <v>2</v>
      </c>
      <c r="H7867" s="2">
        <v>-10.31</v>
      </c>
      <c r="I7867" t="str">
        <f t="shared" si="122"/>
        <v>Jun</v>
      </c>
      <c r="J7867">
        <f>YEAR(datas[[#This Row],[Order Date]])</f>
        <v>2024</v>
      </c>
    </row>
    <row r="7868" spans="1:10" ht="14.25" customHeight="1" x14ac:dyDescent="0.3">
      <c r="A7868" s="1">
        <v>45473</v>
      </c>
      <c r="B7868" s="2" t="s">
        <v>836</v>
      </c>
      <c r="C7868" s="2" t="s">
        <v>62</v>
      </c>
      <c r="D7868" s="2" t="s">
        <v>26</v>
      </c>
      <c r="E7868" s="2" t="s">
        <v>32</v>
      </c>
      <c r="F7868" s="2">
        <v>19.52</v>
      </c>
      <c r="G7868" s="2">
        <v>2</v>
      </c>
      <c r="H7868" s="2">
        <v>5.37</v>
      </c>
      <c r="I7868" t="str">
        <f t="shared" si="122"/>
        <v>Jun</v>
      </c>
      <c r="J7868">
        <f>YEAR(datas[[#This Row],[Order Date]])</f>
        <v>2024</v>
      </c>
    </row>
    <row r="7869" spans="1:10" ht="14.25" customHeight="1" x14ac:dyDescent="0.3">
      <c r="A7869" s="1">
        <v>45473</v>
      </c>
      <c r="B7869" s="2" t="s">
        <v>476</v>
      </c>
      <c r="C7869" s="2" t="s">
        <v>21</v>
      </c>
      <c r="D7869" s="2" t="s">
        <v>26</v>
      </c>
      <c r="E7869" s="2" t="s">
        <v>45</v>
      </c>
      <c r="F7869" s="2">
        <v>436</v>
      </c>
      <c r="G7869" s="2">
        <v>3</v>
      </c>
      <c r="H7869" s="2">
        <v>5.13</v>
      </c>
      <c r="I7869" t="str">
        <f t="shared" si="122"/>
        <v>Jun</v>
      </c>
      <c r="J7869">
        <f>YEAR(datas[[#This Row],[Order Date]])</f>
        <v>2024</v>
      </c>
    </row>
    <row r="7870" spans="1:10" ht="14.25" customHeight="1" x14ac:dyDescent="0.3">
      <c r="A7870" s="1">
        <v>45473</v>
      </c>
      <c r="B7870" s="2" t="s">
        <v>497</v>
      </c>
      <c r="C7870" s="2" t="s">
        <v>21</v>
      </c>
      <c r="D7870" s="2" t="s">
        <v>10</v>
      </c>
      <c r="E7870" s="2" t="s">
        <v>11</v>
      </c>
      <c r="F7870" s="2">
        <v>204.95</v>
      </c>
      <c r="G7870" s="2">
        <v>5</v>
      </c>
      <c r="H7870" s="2">
        <v>100.43</v>
      </c>
      <c r="I7870" t="str">
        <f t="shared" si="122"/>
        <v>Jun</v>
      </c>
      <c r="J7870">
        <f>YEAR(datas[[#This Row],[Order Date]])</f>
        <v>2024</v>
      </c>
    </row>
    <row r="7871" spans="1:10" ht="14.25" customHeight="1" x14ac:dyDescent="0.3">
      <c r="A7871" s="1">
        <v>45473</v>
      </c>
      <c r="B7871" s="2" t="s">
        <v>85</v>
      </c>
      <c r="C7871" s="2" t="s">
        <v>75</v>
      </c>
      <c r="D7871" s="2" t="s">
        <v>10</v>
      </c>
      <c r="E7871" s="2" t="s">
        <v>15</v>
      </c>
      <c r="F7871" s="2">
        <v>1085.42</v>
      </c>
      <c r="G7871" s="2">
        <v>7</v>
      </c>
      <c r="H7871" s="2">
        <v>282.20999999999998</v>
      </c>
      <c r="I7871" t="str">
        <f t="shared" si="122"/>
        <v>Jun</v>
      </c>
      <c r="J7871">
        <f>YEAR(datas[[#This Row],[Order Date]])</f>
        <v>2024</v>
      </c>
    </row>
    <row r="7872" spans="1:10" ht="14.25" customHeight="1" x14ac:dyDescent="0.3">
      <c r="A7872" s="1">
        <v>45474</v>
      </c>
      <c r="B7872" s="2" t="s">
        <v>503</v>
      </c>
      <c r="C7872" s="2" t="s">
        <v>68</v>
      </c>
      <c r="D7872" s="2" t="s">
        <v>10</v>
      </c>
      <c r="E7872" s="2" t="s">
        <v>15</v>
      </c>
      <c r="F7872" s="2">
        <v>443.92</v>
      </c>
      <c r="G7872" s="2">
        <v>4</v>
      </c>
      <c r="H7872" s="2">
        <v>13.32</v>
      </c>
      <c r="I7872" t="str">
        <f t="shared" si="122"/>
        <v>Jul</v>
      </c>
      <c r="J7872">
        <f>YEAR(datas[[#This Row],[Order Date]])</f>
        <v>2024</v>
      </c>
    </row>
    <row r="7873" spans="1:10" ht="14.25" customHeight="1" x14ac:dyDescent="0.3">
      <c r="A7873" s="1">
        <v>45474</v>
      </c>
      <c r="B7873" s="2" t="s">
        <v>503</v>
      </c>
      <c r="C7873" s="2" t="s">
        <v>68</v>
      </c>
      <c r="D7873" s="2" t="s">
        <v>10</v>
      </c>
      <c r="E7873" s="2" t="s">
        <v>16</v>
      </c>
      <c r="F7873" s="2">
        <v>169.99</v>
      </c>
      <c r="G7873" s="2">
        <v>1</v>
      </c>
      <c r="H7873" s="2">
        <v>78.2</v>
      </c>
      <c r="I7873" t="str">
        <f t="shared" si="122"/>
        <v>Jul</v>
      </c>
      <c r="J7873">
        <f>YEAR(datas[[#This Row],[Order Date]])</f>
        <v>2024</v>
      </c>
    </row>
    <row r="7874" spans="1:10" ht="14.25" customHeight="1" x14ac:dyDescent="0.3">
      <c r="A7874" s="1">
        <v>45474</v>
      </c>
      <c r="B7874" s="2" t="s">
        <v>503</v>
      </c>
      <c r="C7874" s="2" t="s">
        <v>68</v>
      </c>
      <c r="D7874" s="2" t="s">
        <v>10</v>
      </c>
      <c r="E7874" s="2" t="s">
        <v>11</v>
      </c>
      <c r="F7874" s="2">
        <v>25.92</v>
      </c>
      <c r="G7874" s="2">
        <v>4</v>
      </c>
      <c r="H7874" s="2">
        <v>12.44</v>
      </c>
      <c r="I7874" t="str">
        <f t="shared" si="122"/>
        <v>Jul</v>
      </c>
      <c r="J7874">
        <f>YEAR(datas[[#This Row],[Order Date]])</f>
        <v>2024</v>
      </c>
    </row>
    <row r="7875" spans="1:10" ht="14.25" customHeight="1" x14ac:dyDescent="0.3">
      <c r="A7875" s="1">
        <v>45475</v>
      </c>
      <c r="B7875" s="2" t="s">
        <v>371</v>
      </c>
      <c r="C7875" s="2" t="s">
        <v>9</v>
      </c>
      <c r="D7875" s="2" t="s">
        <v>10</v>
      </c>
      <c r="E7875" s="2" t="s">
        <v>11</v>
      </c>
      <c r="F7875" s="2">
        <v>163.96</v>
      </c>
      <c r="G7875" s="2">
        <v>5</v>
      </c>
      <c r="H7875" s="2">
        <v>59.44</v>
      </c>
      <c r="I7875" t="str">
        <f t="shared" ref="I7875:I7938" si="123">TEXT(A7875,"mmm")</f>
        <v>Jul</v>
      </c>
      <c r="J7875">
        <f>YEAR(datas[[#This Row],[Order Date]])</f>
        <v>2024</v>
      </c>
    </row>
    <row r="7876" spans="1:10" ht="14.25" customHeight="1" x14ac:dyDescent="0.3">
      <c r="A7876" s="1">
        <v>45475</v>
      </c>
      <c r="B7876" s="2" t="s">
        <v>371</v>
      </c>
      <c r="C7876" s="2" t="s">
        <v>9</v>
      </c>
      <c r="D7876" s="2" t="s">
        <v>10</v>
      </c>
      <c r="E7876" s="2" t="s">
        <v>16</v>
      </c>
      <c r="F7876" s="2">
        <v>5.23</v>
      </c>
      <c r="G7876" s="2">
        <v>4</v>
      </c>
      <c r="H7876" s="2">
        <v>-8.11</v>
      </c>
      <c r="I7876" t="str">
        <f t="shared" si="123"/>
        <v>Jul</v>
      </c>
      <c r="J7876">
        <f>YEAR(datas[[#This Row],[Order Date]])</f>
        <v>2024</v>
      </c>
    </row>
    <row r="7877" spans="1:10" ht="14.25" customHeight="1" x14ac:dyDescent="0.3">
      <c r="A7877" s="1">
        <v>45476</v>
      </c>
      <c r="B7877" s="2" t="s">
        <v>864</v>
      </c>
      <c r="C7877" s="2" t="s">
        <v>23</v>
      </c>
      <c r="D7877" s="2" t="s">
        <v>26</v>
      </c>
      <c r="E7877" s="2" t="s">
        <v>32</v>
      </c>
      <c r="F7877" s="2">
        <v>23.99</v>
      </c>
      <c r="G7877" s="2">
        <v>1</v>
      </c>
      <c r="H7877" s="2">
        <v>5.52</v>
      </c>
      <c r="I7877" t="str">
        <f t="shared" si="123"/>
        <v>Jul</v>
      </c>
      <c r="J7877">
        <f>YEAR(datas[[#This Row],[Order Date]])</f>
        <v>2024</v>
      </c>
    </row>
    <row r="7878" spans="1:10" ht="14.25" customHeight="1" x14ac:dyDescent="0.3">
      <c r="A7878" s="1">
        <v>45476</v>
      </c>
      <c r="B7878" s="2" t="s">
        <v>864</v>
      </c>
      <c r="C7878" s="2" t="s">
        <v>23</v>
      </c>
      <c r="D7878" s="2" t="s">
        <v>28</v>
      </c>
      <c r="E7878" s="2" t="s">
        <v>29</v>
      </c>
      <c r="F7878" s="2">
        <v>287.97000000000003</v>
      </c>
      <c r="G7878" s="2">
        <v>3</v>
      </c>
      <c r="H7878" s="2">
        <v>77.75</v>
      </c>
      <c r="I7878" t="str">
        <f t="shared" si="123"/>
        <v>Jul</v>
      </c>
      <c r="J7878">
        <f>YEAR(datas[[#This Row],[Order Date]])</f>
        <v>2024</v>
      </c>
    </row>
    <row r="7879" spans="1:10" ht="14.25" customHeight="1" x14ac:dyDescent="0.3">
      <c r="A7879" s="1">
        <v>45476</v>
      </c>
      <c r="B7879" s="2" t="s">
        <v>670</v>
      </c>
      <c r="C7879" s="2" t="s">
        <v>115</v>
      </c>
      <c r="D7879" s="2" t="s">
        <v>10</v>
      </c>
      <c r="E7879" s="2" t="s">
        <v>19</v>
      </c>
      <c r="F7879" s="2">
        <v>9.5500000000000007</v>
      </c>
      <c r="G7879" s="2">
        <v>3</v>
      </c>
      <c r="H7879" s="2">
        <v>1.55</v>
      </c>
      <c r="I7879" t="str">
        <f t="shared" si="123"/>
        <v>Jul</v>
      </c>
      <c r="J7879">
        <f>YEAR(datas[[#This Row],[Order Date]])</f>
        <v>2024</v>
      </c>
    </row>
    <row r="7880" spans="1:10" ht="14.25" customHeight="1" x14ac:dyDescent="0.3">
      <c r="A7880" s="1">
        <v>45476</v>
      </c>
      <c r="B7880" s="2" t="s">
        <v>182</v>
      </c>
      <c r="C7880" s="2" t="s">
        <v>9</v>
      </c>
      <c r="D7880" s="2" t="s">
        <v>28</v>
      </c>
      <c r="E7880" s="2" t="s">
        <v>29</v>
      </c>
      <c r="F7880" s="2">
        <v>167.97</v>
      </c>
      <c r="G7880" s="2">
        <v>4</v>
      </c>
      <c r="H7880" s="2">
        <v>62.99</v>
      </c>
      <c r="I7880" t="str">
        <f t="shared" si="123"/>
        <v>Jul</v>
      </c>
      <c r="J7880">
        <f>YEAR(datas[[#This Row],[Order Date]])</f>
        <v>2024</v>
      </c>
    </row>
    <row r="7881" spans="1:10" ht="14.25" customHeight="1" x14ac:dyDescent="0.3">
      <c r="A7881" s="1">
        <v>45476</v>
      </c>
      <c r="B7881" s="2" t="s">
        <v>196</v>
      </c>
      <c r="C7881" s="2" t="s">
        <v>9</v>
      </c>
      <c r="D7881" s="2" t="s">
        <v>10</v>
      </c>
      <c r="E7881" s="2" t="s">
        <v>11</v>
      </c>
      <c r="F7881" s="2">
        <v>273.89999999999998</v>
      </c>
      <c r="G7881" s="2">
        <v>7</v>
      </c>
      <c r="H7881" s="2">
        <v>92.44</v>
      </c>
      <c r="I7881" t="str">
        <f t="shared" si="123"/>
        <v>Jul</v>
      </c>
      <c r="J7881">
        <f>YEAR(datas[[#This Row],[Order Date]])</f>
        <v>2024</v>
      </c>
    </row>
    <row r="7882" spans="1:10" ht="14.25" customHeight="1" x14ac:dyDescent="0.3">
      <c r="A7882" s="1">
        <v>45476</v>
      </c>
      <c r="B7882" s="2" t="s">
        <v>196</v>
      </c>
      <c r="C7882" s="2" t="s">
        <v>9</v>
      </c>
      <c r="D7882" s="2" t="s">
        <v>28</v>
      </c>
      <c r="E7882" s="2" t="s">
        <v>136</v>
      </c>
      <c r="F7882" s="2">
        <v>597.13</v>
      </c>
      <c r="G7882" s="2">
        <v>3</v>
      </c>
      <c r="H7882" s="2">
        <v>49.76</v>
      </c>
      <c r="I7882" t="str">
        <f t="shared" si="123"/>
        <v>Jul</v>
      </c>
      <c r="J7882">
        <f>YEAR(datas[[#This Row],[Order Date]])</f>
        <v>2024</v>
      </c>
    </row>
    <row r="7883" spans="1:10" ht="14.25" customHeight="1" x14ac:dyDescent="0.3">
      <c r="A7883" s="1">
        <v>45476</v>
      </c>
      <c r="B7883" s="2" t="s">
        <v>160</v>
      </c>
      <c r="C7883" s="2" t="s">
        <v>167</v>
      </c>
      <c r="D7883" s="2" t="s">
        <v>26</v>
      </c>
      <c r="E7883" s="2" t="s">
        <v>32</v>
      </c>
      <c r="F7883" s="2">
        <v>545.85</v>
      </c>
      <c r="G7883" s="2">
        <v>9</v>
      </c>
      <c r="H7883" s="2">
        <v>114.63</v>
      </c>
      <c r="I7883" t="str">
        <f t="shared" si="123"/>
        <v>Jul</v>
      </c>
      <c r="J7883">
        <f>YEAR(datas[[#This Row],[Order Date]])</f>
        <v>2024</v>
      </c>
    </row>
    <row r="7884" spans="1:10" ht="14.25" customHeight="1" x14ac:dyDescent="0.3">
      <c r="A7884" s="1">
        <v>45476</v>
      </c>
      <c r="B7884" s="2" t="s">
        <v>451</v>
      </c>
      <c r="C7884" s="2" t="s">
        <v>47</v>
      </c>
      <c r="D7884" s="2" t="s">
        <v>10</v>
      </c>
      <c r="E7884" s="2" t="s">
        <v>11</v>
      </c>
      <c r="F7884" s="2">
        <v>32.9</v>
      </c>
      <c r="G7884" s="2">
        <v>4</v>
      </c>
      <c r="H7884" s="2">
        <v>11.1</v>
      </c>
      <c r="I7884" t="str">
        <f t="shared" si="123"/>
        <v>Jul</v>
      </c>
      <c r="J7884">
        <f>YEAR(datas[[#This Row],[Order Date]])</f>
        <v>2024</v>
      </c>
    </row>
    <row r="7885" spans="1:10" ht="14.25" customHeight="1" x14ac:dyDescent="0.3">
      <c r="A7885" s="1">
        <v>45476</v>
      </c>
      <c r="B7885" s="2" t="s">
        <v>451</v>
      </c>
      <c r="C7885" s="2" t="s">
        <v>47</v>
      </c>
      <c r="D7885" s="2" t="s">
        <v>26</v>
      </c>
      <c r="E7885" s="2" t="s">
        <v>73</v>
      </c>
      <c r="F7885" s="2">
        <v>215.15</v>
      </c>
      <c r="G7885" s="2">
        <v>2</v>
      </c>
      <c r="H7885" s="2">
        <v>-103.99</v>
      </c>
      <c r="I7885" t="str">
        <f t="shared" si="123"/>
        <v>Jul</v>
      </c>
      <c r="J7885">
        <f>YEAR(datas[[#This Row],[Order Date]])</f>
        <v>2024</v>
      </c>
    </row>
    <row r="7886" spans="1:10" ht="14.25" customHeight="1" x14ac:dyDescent="0.3">
      <c r="A7886" s="1">
        <v>45476</v>
      </c>
      <c r="B7886" s="2" t="s">
        <v>451</v>
      </c>
      <c r="C7886" s="2" t="s">
        <v>47</v>
      </c>
      <c r="D7886" s="2" t="s">
        <v>10</v>
      </c>
      <c r="E7886" s="2" t="s">
        <v>11</v>
      </c>
      <c r="F7886" s="2">
        <v>30.96</v>
      </c>
      <c r="G7886" s="2">
        <v>6</v>
      </c>
      <c r="H7886" s="2">
        <v>11.22</v>
      </c>
      <c r="I7886" t="str">
        <f t="shared" si="123"/>
        <v>Jul</v>
      </c>
      <c r="J7886">
        <f>YEAR(datas[[#This Row],[Order Date]])</f>
        <v>2024</v>
      </c>
    </row>
    <row r="7887" spans="1:10" ht="14.25" customHeight="1" x14ac:dyDescent="0.3">
      <c r="A7887" s="1">
        <v>45476</v>
      </c>
      <c r="B7887" s="2" t="s">
        <v>483</v>
      </c>
      <c r="C7887" s="2" t="s">
        <v>82</v>
      </c>
      <c r="D7887" s="2" t="s">
        <v>28</v>
      </c>
      <c r="E7887" s="2" t="s">
        <v>34</v>
      </c>
      <c r="F7887" s="2">
        <v>59.98</v>
      </c>
      <c r="G7887" s="2">
        <v>2</v>
      </c>
      <c r="H7887" s="2">
        <v>26.39</v>
      </c>
      <c r="I7887" t="str">
        <f t="shared" si="123"/>
        <v>Jul</v>
      </c>
      <c r="J7887">
        <f>YEAR(datas[[#This Row],[Order Date]])</f>
        <v>2024</v>
      </c>
    </row>
    <row r="7888" spans="1:10" ht="14.25" customHeight="1" x14ac:dyDescent="0.3">
      <c r="A7888" s="1">
        <v>45476</v>
      </c>
      <c r="B7888" s="2" t="s">
        <v>483</v>
      </c>
      <c r="C7888" s="2" t="s">
        <v>82</v>
      </c>
      <c r="D7888" s="2" t="s">
        <v>28</v>
      </c>
      <c r="E7888" s="2" t="s">
        <v>136</v>
      </c>
      <c r="F7888" s="2">
        <v>2395.1999999999998</v>
      </c>
      <c r="G7888" s="2">
        <v>6</v>
      </c>
      <c r="H7888" s="2">
        <v>209.58</v>
      </c>
      <c r="I7888" t="str">
        <f t="shared" si="123"/>
        <v>Jul</v>
      </c>
      <c r="J7888">
        <f>YEAR(datas[[#This Row],[Order Date]])</f>
        <v>2024</v>
      </c>
    </row>
    <row r="7889" spans="1:10" ht="14.25" customHeight="1" x14ac:dyDescent="0.3">
      <c r="A7889" s="1">
        <v>45476</v>
      </c>
      <c r="B7889" s="2" t="s">
        <v>483</v>
      </c>
      <c r="C7889" s="2" t="s">
        <v>82</v>
      </c>
      <c r="D7889" s="2" t="s">
        <v>28</v>
      </c>
      <c r="E7889" s="2" t="s">
        <v>34</v>
      </c>
      <c r="F7889" s="2">
        <v>1687.8</v>
      </c>
      <c r="G7889" s="2">
        <v>4</v>
      </c>
      <c r="H7889" s="2">
        <v>742.63</v>
      </c>
      <c r="I7889" t="str">
        <f t="shared" si="123"/>
        <v>Jul</v>
      </c>
      <c r="J7889">
        <f>YEAR(datas[[#This Row],[Order Date]])</f>
        <v>2024</v>
      </c>
    </row>
    <row r="7890" spans="1:10" ht="14.25" customHeight="1" x14ac:dyDescent="0.3">
      <c r="A7890" s="1">
        <v>45476</v>
      </c>
      <c r="B7890" s="2" t="s">
        <v>483</v>
      </c>
      <c r="C7890" s="2" t="s">
        <v>82</v>
      </c>
      <c r="D7890" s="2" t="s">
        <v>28</v>
      </c>
      <c r="E7890" s="2" t="s">
        <v>29</v>
      </c>
      <c r="F7890" s="2">
        <v>7.99</v>
      </c>
      <c r="G7890" s="2">
        <v>1</v>
      </c>
      <c r="H7890" s="2">
        <v>2.7</v>
      </c>
      <c r="I7890" t="str">
        <f t="shared" si="123"/>
        <v>Jul</v>
      </c>
      <c r="J7890">
        <f>YEAR(datas[[#This Row],[Order Date]])</f>
        <v>2024</v>
      </c>
    </row>
    <row r="7891" spans="1:10" ht="14.25" customHeight="1" x14ac:dyDescent="0.3">
      <c r="A7891" s="1">
        <v>45476</v>
      </c>
      <c r="B7891" s="2" t="s">
        <v>435</v>
      </c>
      <c r="C7891" s="2" t="s">
        <v>181</v>
      </c>
      <c r="D7891" s="2" t="s">
        <v>28</v>
      </c>
      <c r="E7891" s="2" t="s">
        <v>34</v>
      </c>
      <c r="F7891" s="2">
        <v>258.89999999999998</v>
      </c>
      <c r="G7891" s="2">
        <v>10</v>
      </c>
      <c r="H7891" s="2">
        <v>93.2</v>
      </c>
      <c r="I7891" t="str">
        <f t="shared" si="123"/>
        <v>Jul</v>
      </c>
      <c r="J7891">
        <f>YEAR(datas[[#This Row],[Order Date]])</f>
        <v>2024</v>
      </c>
    </row>
    <row r="7892" spans="1:10" ht="14.25" customHeight="1" x14ac:dyDescent="0.3">
      <c r="A7892" s="1">
        <v>45476</v>
      </c>
      <c r="B7892" s="2" t="s">
        <v>435</v>
      </c>
      <c r="C7892" s="2" t="s">
        <v>181</v>
      </c>
      <c r="D7892" s="2" t="s">
        <v>10</v>
      </c>
      <c r="E7892" s="2" t="s">
        <v>11</v>
      </c>
      <c r="F7892" s="2">
        <v>24.56</v>
      </c>
      <c r="G7892" s="2">
        <v>2</v>
      </c>
      <c r="H7892" s="2">
        <v>11.54</v>
      </c>
      <c r="I7892" t="str">
        <f t="shared" si="123"/>
        <v>Jul</v>
      </c>
      <c r="J7892">
        <f>YEAR(datas[[#This Row],[Order Date]])</f>
        <v>2024</v>
      </c>
    </row>
    <row r="7893" spans="1:10" ht="14.25" customHeight="1" x14ac:dyDescent="0.3">
      <c r="A7893" s="1">
        <v>45476</v>
      </c>
      <c r="B7893" s="2" t="s">
        <v>407</v>
      </c>
      <c r="C7893" s="2" t="s">
        <v>21</v>
      </c>
      <c r="D7893" s="2" t="s">
        <v>26</v>
      </c>
      <c r="E7893" s="2" t="s">
        <v>32</v>
      </c>
      <c r="F7893" s="2">
        <v>129.38999999999999</v>
      </c>
      <c r="G7893" s="2">
        <v>3</v>
      </c>
      <c r="H7893" s="2">
        <v>54.34</v>
      </c>
      <c r="I7893" t="str">
        <f t="shared" si="123"/>
        <v>Jul</v>
      </c>
      <c r="J7893">
        <f>YEAR(datas[[#This Row],[Order Date]])</f>
        <v>2024</v>
      </c>
    </row>
    <row r="7894" spans="1:10" ht="14.25" customHeight="1" x14ac:dyDescent="0.3">
      <c r="A7894" s="1">
        <v>45476</v>
      </c>
      <c r="B7894" s="2" t="s">
        <v>182</v>
      </c>
      <c r="C7894" s="2" t="s">
        <v>21</v>
      </c>
      <c r="D7894" s="2" t="s">
        <v>10</v>
      </c>
      <c r="E7894" s="2" t="s">
        <v>15</v>
      </c>
      <c r="F7894" s="2">
        <v>87.92</v>
      </c>
      <c r="G7894" s="2">
        <v>4</v>
      </c>
      <c r="H7894" s="2">
        <v>0.88</v>
      </c>
      <c r="I7894" t="str">
        <f t="shared" si="123"/>
        <v>Jul</v>
      </c>
      <c r="J7894">
        <f>YEAR(datas[[#This Row],[Order Date]])</f>
        <v>2024</v>
      </c>
    </row>
    <row r="7895" spans="1:10" ht="14.25" customHeight="1" x14ac:dyDescent="0.3">
      <c r="A7895" s="1">
        <v>45476</v>
      </c>
      <c r="B7895" s="2" t="s">
        <v>699</v>
      </c>
      <c r="C7895" s="2" t="s">
        <v>115</v>
      </c>
      <c r="D7895" s="2" t="s">
        <v>28</v>
      </c>
      <c r="E7895" s="2" t="s">
        <v>34</v>
      </c>
      <c r="F7895" s="2">
        <v>24</v>
      </c>
      <c r="G7895" s="2">
        <v>2</v>
      </c>
      <c r="H7895" s="2">
        <v>-2.7</v>
      </c>
      <c r="I7895" t="str">
        <f t="shared" si="123"/>
        <v>Jul</v>
      </c>
      <c r="J7895">
        <f>YEAR(datas[[#This Row],[Order Date]])</f>
        <v>2024</v>
      </c>
    </row>
    <row r="7896" spans="1:10" ht="14.25" customHeight="1" x14ac:dyDescent="0.3">
      <c r="A7896" s="1">
        <v>45476</v>
      </c>
      <c r="B7896" s="2" t="s">
        <v>650</v>
      </c>
      <c r="C7896" s="2" t="s">
        <v>278</v>
      </c>
      <c r="D7896" s="2" t="s">
        <v>26</v>
      </c>
      <c r="E7896" s="2" t="s">
        <v>32</v>
      </c>
      <c r="F7896" s="2">
        <v>102.3</v>
      </c>
      <c r="G7896" s="2">
        <v>1</v>
      </c>
      <c r="H7896" s="2">
        <v>26.6</v>
      </c>
      <c r="I7896" t="str">
        <f t="shared" si="123"/>
        <v>Jul</v>
      </c>
      <c r="J7896">
        <f>YEAR(datas[[#This Row],[Order Date]])</f>
        <v>2024</v>
      </c>
    </row>
    <row r="7897" spans="1:10" ht="14.25" customHeight="1" x14ac:dyDescent="0.3">
      <c r="A7897" s="1">
        <v>45478</v>
      </c>
      <c r="B7897" s="2" t="s">
        <v>709</v>
      </c>
      <c r="C7897" s="2" t="s">
        <v>9</v>
      </c>
      <c r="D7897" s="2" t="s">
        <v>26</v>
      </c>
      <c r="E7897" s="2" t="s">
        <v>32</v>
      </c>
      <c r="F7897" s="2">
        <v>332.03</v>
      </c>
      <c r="G7897" s="2">
        <v>9</v>
      </c>
      <c r="H7897" s="2">
        <v>-348.63</v>
      </c>
      <c r="I7897" t="str">
        <f t="shared" si="123"/>
        <v>Jul</v>
      </c>
      <c r="J7897">
        <f>YEAR(datas[[#This Row],[Order Date]])</f>
        <v>2024</v>
      </c>
    </row>
    <row r="7898" spans="1:10" ht="14.25" customHeight="1" x14ac:dyDescent="0.3">
      <c r="A7898" s="1">
        <v>45478</v>
      </c>
      <c r="B7898" s="2" t="s">
        <v>709</v>
      </c>
      <c r="C7898" s="2" t="s">
        <v>9</v>
      </c>
      <c r="D7898" s="2" t="s">
        <v>10</v>
      </c>
      <c r="E7898" s="2" t="s">
        <v>16</v>
      </c>
      <c r="F7898" s="2">
        <v>11.39</v>
      </c>
      <c r="G7898" s="2">
        <v>9</v>
      </c>
      <c r="H7898" s="2">
        <v>-17.66</v>
      </c>
      <c r="I7898" t="str">
        <f t="shared" si="123"/>
        <v>Jul</v>
      </c>
      <c r="J7898">
        <f>YEAR(datas[[#This Row],[Order Date]])</f>
        <v>2024</v>
      </c>
    </row>
    <row r="7899" spans="1:10" ht="14.25" customHeight="1" x14ac:dyDescent="0.3">
      <c r="A7899" s="1">
        <v>45478</v>
      </c>
      <c r="B7899" s="2" t="s">
        <v>709</v>
      </c>
      <c r="C7899" s="2" t="s">
        <v>9</v>
      </c>
      <c r="D7899" s="2" t="s">
        <v>10</v>
      </c>
      <c r="E7899" s="2" t="s">
        <v>11</v>
      </c>
      <c r="F7899" s="2">
        <v>15.55</v>
      </c>
      <c r="G7899" s="2">
        <v>3</v>
      </c>
      <c r="H7899" s="2">
        <v>5.64</v>
      </c>
      <c r="I7899" t="str">
        <f t="shared" si="123"/>
        <v>Jul</v>
      </c>
      <c r="J7899">
        <f>YEAR(datas[[#This Row],[Order Date]])</f>
        <v>2024</v>
      </c>
    </row>
    <row r="7900" spans="1:10" ht="14.25" customHeight="1" x14ac:dyDescent="0.3">
      <c r="A7900" s="1">
        <v>45478</v>
      </c>
      <c r="B7900" s="2" t="s">
        <v>709</v>
      </c>
      <c r="C7900" s="2" t="s">
        <v>9</v>
      </c>
      <c r="D7900" s="2" t="s">
        <v>10</v>
      </c>
      <c r="E7900" s="2" t="s">
        <v>11</v>
      </c>
      <c r="F7900" s="2">
        <v>31.1</v>
      </c>
      <c r="G7900" s="2">
        <v>6</v>
      </c>
      <c r="H7900" s="2">
        <v>11.28</v>
      </c>
      <c r="I7900" t="str">
        <f t="shared" si="123"/>
        <v>Jul</v>
      </c>
      <c r="J7900">
        <f>YEAR(datas[[#This Row],[Order Date]])</f>
        <v>2024</v>
      </c>
    </row>
    <row r="7901" spans="1:10" ht="14.25" customHeight="1" x14ac:dyDescent="0.3">
      <c r="A7901" s="1">
        <v>45478</v>
      </c>
      <c r="B7901" s="2" t="s">
        <v>709</v>
      </c>
      <c r="C7901" s="2" t="s">
        <v>9</v>
      </c>
      <c r="D7901" s="2" t="s">
        <v>10</v>
      </c>
      <c r="E7901" s="2" t="s">
        <v>16</v>
      </c>
      <c r="F7901" s="2">
        <v>6.32</v>
      </c>
      <c r="G7901" s="2">
        <v>1</v>
      </c>
      <c r="H7901" s="2">
        <v>-10.42</v>
      </c>
      <c r="I7901" t="str">
        <f t="shared" si="123"/>
        <v>Jul</v>
      </c>
      <c r="J7901">
        <f>YEAR(datas[[#This Row],[Order Date]])</f>
        <v>2024</v>
      </c>
    </row>
    <row r="7902" spans="1:10" ht="14.25" customHeight="1" x14ac:dyDescent="0.3">
      <c r="A7902" s="1">
        <v>45478</v>
      </c>
      <c r="B7902" s="2" t="s">
        <v>162</v>
      </c>
      <c r="C7902" s="2" t="s">
        <v>381</v>
      </c>
      <c r="D7902" s="2" t="s">
        <v>28</v>
      </c>
      <c r="E7902" s="2" t="s">
        <v>29</v>
      </c>
      <c r="F7902" s="2">
        <v>79.959999999999994</v>
      </c>
      <c r="G7902" s="2">
        <v>4</v>
      </c>
      <c r="H7902" s="2">
        <v>22.39</v>
      </c>
      <c r="I7902" t="str">
        <f t="shared" si="123"/>
        <v>Jul</v>
      </c>
      <c r="J7902">
        <f>YEAR(datas[[#This Row],[Order Date]])</f>
        <v>2024</v>
      </c>
    </row>
    <row r="7903" spans="1:10" ht="14.25" customHeight="1" x14ac:dyDescent="0.3">
      <c r="A7903" s="1">
        <v>45479</v>
      </c>
      <c r="B7903" s="2" t="s">
        <v>541</v>
      </c>
      <c r="C7903" s="2" t="s">
        <v>18</v>
      </c>
      <c r="D7903" s="2" t="s">
        <v>10</v>
      </c>
      <c r="E7903" s="2" t="s">
        <v>16</v>
      </c>
      <c r="F7903" s="2">
        <v>2.95</v>
      </c>
      <c r="G7903" s="2">
        <v>2</v>
      </c>
      <c r="H7903" s="2">
        <v>-2.2599999999999998</v>
      </c>
      <c r="I7903" t="str">
        <f t="shared" si="123"/>
        <v>Jul</v>
      </c>
      <c r="J7903">
        <f>YEAR(datas[[#This Row],[Order Date]])</f>
        <v>2024</v>
      </c>
    </row>
    <row r="7904" spans="1:10" ht="14.25" customHeight="1" x14ac:dyDescent="0.3">
      <c r="A7904" s="1">
        <v>45479</v>
      </c>
      <c r="B7904" s="2" t="s">
        <v>541</v>
      </c>
      <c r="C7904" s="2" t="s">
        <v>18</v>
      </c>
      <c r="D7904" s="2" t="s">
        <v>10</v>
      </c>
      <c r="E7904" s="2" t="s">
        <v>11</v>
      </c>
      <c r="F7904" s="2">
        <v>16.059999999999999</v>
      </c>
      <c r="G7904" s="2">
        <v>3</v>
      </c>
      <c r="H7904" s="2">
        <v>5.82</v>
      </c>
      <c r="I7904" t="str">
        <f t="shared" si="123"/>
        <v>Jul</v>
      </c>
      <c r="J7904">
        <f>YEAR(datas[[#This Row],[Order Date]])</f>
        <v>2024</v>
      </c>
    </row>
    <row r="7905" spans="1:10" ht="14.25" customHeight="1" x14ac:dyDescent="0.3">
      <c r="A7905" s="1">
        <v>45479</v>
      </c>
      <c r="B7905" s="2" t="s">
        <v>546</v>
      </c>
      <c r="C7905" s="2" t="s">
        <v>64</v>
      </c>
      <c r="D7905" s="2" t="s">
        <v>26</v>
      </c>
      <c r="E7905" s="2" t="s">
        <v>27</v>
      </c>
      <c r="F7905" s="2">
        <v>239.24</v>
      </c>
      <c r="G7905" s="2">
        <v>1</v>
      </c>
      <c r="H7905" s="2">
        <v>23.92</v>
      </c>
      <c r="I7905" t="str">
        <f t="shared" si="123"/>
        <v>Jul</v>
      </c>
      <c r="J7905">
        <f>YEAR(datas[[#This Row],[Order Date]])</f>
        <v>2024</v>
      </c>
    </row>
    <row r="7906" spans="1:10" ht="14.25" customHeight="1" x14ac:dyDescent="0.3">
      <c r="A7906" s="1">
        <v>45479</v>
      </c>
      <c r="B7906" s="2" t="s">
        <v>559</v>
      </c>
      <c r="C7906" s="2" t="s">
        <v>21</v>
      </c>
      <c r="D7906" s="2" t="s">
        <v>26</v>
      </c>
      <c r="E7906" s="2" t="s">
        <v>27</v>
      </c>
      <c r="F7906" s="2">
        <v>122.14</v>
      </c>
      <c r="G7906" s="2">
        <v>3</v>
      </c>
      <c r="H7906" s="2">
        <v>-13.74</v>
      </c>
      <c r="I7906" t="str">
        <f t="shared" si="123"/>
        <v>Jul</v>
      </c>
      <c r="J7906">
        <f>YEAR(datas[[#This Row],[Order Date]])</f>
        <v>2024</v>
      </c>
    </row>
    <row r="7907" spans="1:10" ht="14.25" customHeight="1" x14ac:dyDescent="0.3">
      <c r="A7907" s="1">
        <v>45480</v>
      </c>
      <c r="B7907" s="2" t="s">
        <v>419</v>
      </c>
      <c r="C7907" s="2" t="s">
        <v>75</v>
      </c>
      <c r="D7907" s="2" t="s">
        <v>10</v>
      </c>
      <c r="E7907" s="2" t="s">
        <v>16</v>
      </c>
      <c r="F7907" s="2">
        <v>17.47</v>
      </c>
      <c r="G7907" s="2">
        <v>3</v>
      </c>
      <c r="H7907" s="2">
        <v>6.33</v>
      </c>
      <c r="I7907" t="str">
        <f t="shared" si="123"/>
        <v>Jul</v>
      </c>
      <c r="J7907">
        <f>YEAR(datas[[#This Row],[Order Date]])</f>
        <v>2024</v>
      </c>
    </row>
    <row r="7908" spans="1:10" ht="14.25" customHeight="1" x14ac:dyDescent="0.3">
      <c r="A7908" s="1">
        <v>45480</v>
      </c>
      <c r="B7908" s="2" t="s">
        <v>706</v>
      </c>
      <c r="C7908" s="2" t="s">
        <v>553</v>
      </c>
      <c r="D7908" s="2" t="s">
        <v>28</v>
      </c>
      <c r="E7908" s="2" t="s">
        <v>34</v>
      </c>
      <c r="F7908" s="2">
        <v>252</v>
      </c>
      <c r="G7908" s="2">
        <v>4</v>
      </c>
      <c r="H7908" s="2">
        <v>93.24</v>
      </c>
      <c r="I7908" t="str">
        <f t="shared" si="123"/>
        <v>Jul</v>
      </c>
      <c r="J7908">
        <f>YEAR(datas[[#This Row],[Order Date]])</f>
        <v>2024</v>
      </c>
    </row>
    <row r="7909" spans="1:10" ht="14.25" customHeight="1" x14ac:dyDescent="0.3">
      <c r="A7909" s="1">
        <v>45480</v>
      </c>
      <c r="B7909" s="2" t="s">
        <v>628</v>
      </c>
      <c r="C7909" s="2" t="s">
        <v>18</v>
      </c>
      <c r="D7909" s="2" t="s">
        <v>26</v>
      </c>
      <c r="E7909" s="2" t="s">
        <v>45</v>
      </c>
      <c r="F7909" s="2">
        <v>87.21</v>
      </c>
      <c r="G7909" s="2">
        <v>3</v>
      </c>
      <c r="H7909" s="2">
        <v>-45.35</v>
      </c>
      <c r="I7909" t="str">
        <f t="shared" si="123"/>
        <v>Jul</v>
      </c>
      <c r="J7909">
        <f>YEAR(datas[[#This Row],[Order Date]])</f>
        <v>2024</v>
      </c>
    </row>
    <row r="7910" spans="1:10" ht="14.25" customHeight="1" x14ac:dyDescent="0.3">
      <c r="A7910" s="1">
        <v>45480</v>
      </c>
      <c r="B7910" s="2" t="s">
        <v>628</v>
      </c>
      <c r="C7910" s="2" t="s">
        <v>18</v>
      </c>
      <c r="D7910" s="2" t="s">
        <v>10</v>
      </c>
      <c r="E7910" s="2" t="s">
        <v>11</v>
      </c>
      <c r="F7910" s="2">
        <v>15.55</v>
      </c>
      <c r="G7910" s="2">
        <v>3</v>
      </c>
      <c r="H7910" s="2">
        <v>5.44</v>
      </c>
      <c r="I7910" t="str">
        <f t="shared" si="123"/>
        <v>Jul</v>
      </c>
      <c r="J7910">
        <f>YEAR(datas[[#This Row],[Order Date]])</f>
        <v>2024</v>
      </c>
    </row>
    <row r="7911" spans="1:10" ht="14.25" customHeight="1" x14ac:dyDescent="0.3">
      <c r="A7911" s="1">
        <v>45480</v>
      </c>
      <c r="B7911" s="2" t="s">
        <v>628</v>
      </c>
      <c r="C7911" s="2" t="s">
        <v>18</v>
      </c>
      <c r="D7911" s="2" t="s">
        <v>28</v>
      </c>
      <c r="E7911" s="2" t="s">
        <v>29</v>
      </c>
      <c r="F7911" s="2">
        <v>683.99</v>
      </c>
      <c r="G7911" s="2">
        <v>2</v>
      </c>
      <c r="H7911" s="2">
        <v>-114</v>
      </c>
      <c r="I7911" t="str">
        <f t="shared" si="123"/>
        <v>Jul</v>
      </c>
      <c r="J7911">
        <f>YEAR(datas[[#This Row],[Order Date]])</f>
        <v>2024</v>
      </c>
    </row>
    <row r="7912" spans="1:10" ht="14.25" customHeight="1" x14ac:dyDescent="0.3">
      <c r="A7912" s="1">
        <v>45480</v>
      </c>
      <c r="B7912" s="2" t="s">
        <v>628</v>
      </c>
      <c r="C7912" s="2" t="s">
        <v>18</v>
      </c>
      <c r="D7912" s="2" t="s">
        <v>10</v>
      </c>
      <c r="E7912" s="2" t="s">
        <v>15</v>
      </c>
      <c r="F7912" s="2">
        <v>13.39</v>
      </c>
      <c r="G7912" s="2">
        <v>3</v>
      </c>
      <c r="H7912" s="2">
        <v>1</v>
      </c>
      <c r="I7912" t="str">
        <f t="shared" si="123"/>
        <v>Jul</v>
      </c>
      <c r="J7912">
        <f>YEAR(datas[[#This Row],[Order Date]])</f>
        <v>2024</v>
      </c>
    </row>
    <row r="7913" spans="1:10" ht="14.25" customHeight="1" x14ac:dyDescent="0.3">
      <c r="A7913" s="1">
        <v>45480</v>
      </c>
      <c r="B7913" s="2" t="s">
        <v>628</v>
      </c>
      <c r="C7913" s="2" t="s">
        <v>18</v>
      </c>
      <c r="D7913" s="2" t="s">
        <v>28</v>
      </c>
      <c r="E7913" s="2" t="s">
        <v>34</v>
      </c>
      <c r="F7913" s="2">
        <v>16.78</v>
      </c>
      <c r="G7913" s="2">
        <v>3</v>
      </c>
      <c r="H7913" s="2">
        <v>4.82</v>
      </c>
      <c r="I7913" t="str">
        <f t="shared" si="123"/>
        <v>Jul</v>
      </c>
      <c r="J7913">
        <f>YEAR(datas[[#This Row],[Order Date]])</f>
        <v>2024</v>
      </c>
    </row>
    <row r="7914" spans="1:10" ht="14.25" customHeight="1" x14ac:dyDescent="0.3">
      <c r="A7914" s="1">
        <v>45480</v>
      </c>
      <c r="B7914" s="2" t="s">
        <v>628</v>
      </c>
      <c r="C7914" s="2" t="s">
        <v>18</v>
      </c>
      <c r="D7914" s="2" t="s">
        <v>28</v>
      </c>
      <c r="E7914" s="2" t="s">
        <v>34</v>
      </c>
      <c r="F7914" s="2">
        <v>527.91999999999996</v>
      </c>
      <c r="G7914" s="2">
        <v>2</v>
      </c>
      <c r="H7914" s="2">
        <v>85.79</v>
      </c>
      <c r="I7914" t="str">
        <f t="shared" si="123"/>
        <v>Jul</v>
      </c>
      <c r="J7914">
        <f>YEAR(datas[[#This Row],[Order Date]])</f>
        <v>2024</v>
      </c>
    </row>
    <row r="7915" spans="1:10" ht="14.25" customHeight="1" x14ac:dyDescent="0.3">
      <c r="A7915" s="1">
        <v>45480</v>
      </c>
      <c r="B7915" s="2" t="s">
        <v>442</v>
      </c>
      <c r="C7915" s="2" t="s">
        <v>21</v>
      </c>
      <c r="D7915" s="2" t="s">
        <v>10</v>
      </c>
      <c r="E7915" s="2" t="s">
        <v>30</v>
      </c>
      <c r="F7915" s="2">
        <v>5.94</v>
      </c>
      <c r="G7915" s="2">
        <v>3</v>
      </c>
      <c r="H7915" s="2">
        <v>0.12</v>
      </c>
      <c r="I7915" t="str">
        <f t="shared" si="123"/>
        <v>Jul</v>
      </c>
      <c r="J7915">
        <f>YEAR(datas[[#This Row],[Order Date]])</f>
        <v>2024</v>
      </c>
    </row>
    <row r="7916" spans="1:10" ht="14.25" customHeight="1" x14ac:dyDescent="0.3">
      <c r="A7916" s="1">
        <v>45481</v>
      </c>
      <c r="B7916" s="2" t="s">
        <v>276</v>
      </c>
      <c r="C7916" s="2" t="s">
        <v>181</v>
      </c>
      <c r="D7916" s="2" t="s">
        <v>10</v>
      </c>
      <c r="E7916" s="2" t="s">
        <v>19</v>
      </c>
      <c r="F7916" s="2">
        <v>7.56</v>
      </c>
      <c r="G7916" s="2">
        <v>3</v>
      </c>
      <c r="H7916" s="2">
        <v>3.1</v>
      </c>
      <c r="I7916" t="str">
        <f t="shared" si="123"/>
        <v>Jul</v>
      </c>
      <c r="J7916">
        <f>YEAR(datas[[#This Row],[Order Date]])</f>
        <v>2024</v>
      </c>
    </row>
    <row r="7917" spans="1:10" ht="14.25" customHeight="1" x14ac:dyDescent="0.3">
      <c r="A7917" s="1">
        <v>45481</v>
      </c>
      <c r="B7917" s="2" t="s">
        <v>276</v>
      </c>
      <c r="C7917" s="2" t="s">
        <v>181</v>
      </c>
      <c r="D7917" s="2" t="s">
        <v>10</v>
      </c>
      <c r="E7917" s="2" t="s">
        <v>11</v>
      </c>
      <c r="F7917" s="2">
        <v>24.56</v>
      </c>
      <c r="G7917" s="2">
        <v>2</v>
      </c>
      <c r="H7917" s="2">
        <v>11.54</v>
      </c>
      <c r="I7917" t="str">
        <f t="shared" si="123"/>
        <v>Jul</v>
      </c>
      <c r="J7917">
        <f>YEAR(datas[[#This Row],[Order Date]])</f>
        <v>2024</v>
      </c>
    </row>
    <row r="7918" spans="1:10" ht="14.25" customHeight="1" x14ac:dyDescent="0.3">
      <c r="A7918" s="1">
        <v>45481</v>
      </c>
      <c r="B7918" s="2" t="s">
        <v>276</v>
      </c>
      <c r="C7918" s="2" t="s">
        <v>181</v>
      </c>
      <c r="D7918" s="2" t="s">
        <v>10</v>
      </c>
      <c r="E7918" s="2" t="s">
        <v>19</v>
      </c>
      <c r="F7918" s="2">
        <v>12.96</v>
      </c>
      <c r="G7918" s="2">
        <v>2</v>
      </c>
      <c r="H7918" s="2">
        <v>4.1500000000000004</v>
      </c>
      <c r="I7918" t="str">
        <f t="shared" si="123"/>
        <v>Jul</v>
      </c>
      <c r="J7918">
        <f>YEAR(datas[[#This Row],[Order Date]])</f>
        <v>2024</v>
      </c>
    </row>
    <row r="7919" spans="1:10" ht="14.25" customHeight="1" x14ac:dyDescent="0.3">
      <c r="A7919" s="1">
        <v>45481</v>
      </c>
      <c r="B7919" s="2" t="s">
        <v>451</v>
      </c>
      <c r="C7919" s="2" t="s">
        <v>21</v>
      </c>
      <c r="D7919" s="2" t="s">
        <v>26</v>
      </c>
      <c r="E7919" s="2" t="s">
        <v>32</v>
      </c>
      <c r="F7919" s="2">
        <v>145.9</v>
      </c>
      <c r="G7919" s="2">
        <v>5</v>
      </c>
      <c r="H7919" s="2">
        <v>62.74</v>
      </c>
      <c r="I7919" t="str">
        <f t="shared" si="123"/>
        <v>Jul</v>
      </c>
      <c r="J7919">
        <f>YEAR(datas[[#This Row],[Order Date]])</f>
        <v>2024</v>
      </c>
    </row>
    <row r="7920" spans="1:10" ht="14.25" customHeight="1" x14ac:dyDescent="0.3">
      <c r="A7920" s="1">
        <v>45481</v>
      </c>
      <c r="B7920" s="2" t="s">
        <v>865</v>
      </c>
      <c r="C7920" s="2" t="s">
        <v>82</v>
      </c>
      <c r="D7920" s="2" t="s">
        <v>26</v>
      </c>
      <c r="E7920" s="2" t="s">
        <v>32</v>
      </c>
      <c r="F7920" s="2">
        <v>198.46</v>
      </c>
      <c r="G7920" s="2">
        <v>2</v>
      </c>
      <c r="H7920" s="2">
        <v>99.23</v>
      </c>
      <c r="I7920" t="str">
        <f t="shared" si="123"/>
        <v>Jul</v>
      </c>
      <c r="J7920">
        <f>YEAR(datas[[#This Row],[Order Date]])</f>
        <v>2024</v>
      </c>
    </row>
    <row r="7921" spans="1:10" ht="14.25" customHeight="1" x14ac:dyDescent="0.3">
      <c r="A7921" s="1">
        <v>45481</v>
      </c>
      <c r="B7921" s="2" t="s">
        <v>865</v>
      </c>
      <c r="C7921" s="2" t="s">
        <v>82</v>
      </c>
      <c r="D7921" s="2" t="s">
        <v>10</v>
      </c>
      <c r="E7921" s="2" t="s">
        <v>14</v>
      </c>
      <c r="F7921" s="2">
        <v>786.48</v>
      </c>
      <c r="G7921" s="2">
        <v>8</v>
      </c>
      <c r="H7921" s="2">
        <v>385.38</v>
      </c>
      <c r="I7921" t="str">
        <f t="shared" si="123"/>
        <v>Jul</v>
      </c>
      <c r="J7921">
        <f>YEAR(datas[[#This Row],[Order Date]])</f>
        <v>2024</v>
      </c>
    </row>
    <row r="7922" spans="1:10" ht="14.25" customHeight="1" x14ac:dyDescent="0.3">
      <c r="A7922" s="1">
        <v>45481</v>
      </c>
      <c r="B7922" s="2" t="s">
        <v>865</v>
      </c>
      <c r="C7922" s="2" t="s">
        <v>82</v>
      </c>
      <c r="D7922" s="2" t="s">
        <v>10</v>
      </c>
      <c r="E7922" s="2" t="s">
        <v>16</v>
      </c>
      <c r="F7922" s="2">
        <v>23.17</v>
      </c>
      <c r="G7922" s="2">
        <v>2</v>
      </c>
      <c r="H7922" s="2">
        <v>7.82</v>
      </c>
      <c r="I7922" t="str">
        <f t="shared" si="123"/>
        <v>Jul</v>
      </c>
      <c r="J7922">
        <f>YEAR(datas[[#This Row],[Order Date]])</f>
        <v>2024</v>
      </c>
    </row>
    <row r="7923" spans="1:10" ht="14.25" customHeight="1" x14ac:dyDescent="0.3">
      <c r="A7923" s="1">
        <v>45481</v>
      </c>
      <c r="B7923" s="2" t="s">
        <v>865</v>
      </c>
      <c r="C7923" s="2" t="s">
        <v>82</v>
      </c>
      <c r="D7923" s="2" t="s">
        <v>28</v>
      </c>
      <c r="E7923" s="2" t="s">
        <v>34</v>
      </c>
      <c r="F7923" s="2">
        <v>50</v>
      </c>
      <c r="G7923" s="2">
        <v>2</v>
      </c>
      <c r="H7923" s="2">
        <v>10.5</v>
      </c>
      <c r="I7923" t="str">
        <f t="shared" si="123"/>
        <v>Jul</v>
      </c>
      <c r="J7923">
        <f>YEAR(datas[[#This Row],[Order Date]])</f>
        <v>2024</v>
      </c>
    </row>
    <row r="7924" spans="1:10" ht="14.25" customHeight="1" x14ac:dyDescent="0.3">
      <c r="A7924" s="1">
        <v>45481</v>
      </c>
      <c r="B7924" s="2" t="s">
        <v>409</v>
      </c>
      <c r="C7924" s="2" t="s">
        <v>21</v>
      </c>
      <c r="D7924" s="2" t="s">
        <v>10</v>
      </c>
      <c r="E7924" s="2" t="s">
        <v>14</v>
      </c>
      <c r="F7924" s="2">
        <v>75.180000000000007</v>
      </c>
      <c r="G7924" s="2">
        <v>6</v>
      </c>
      <c r="H7924" s="2">
        <v>35.33</v>
      </c>
      <c r="I7924" t="str">
        <f t="shared" si="123"/>
        <v>Jul</v>
      </c>
      <c r="J7924">
        <f>YEAR(datas[[#This Row],[Order Date]])</f>
        <v>2024</v>
      </c>
    </row>
    <row r="7925" spans="1:10" ht="14.25" customHeight="1" x14ac:dyDescent="0.3">
      <c r="A7925" s="1">
        <v>45481</v>
      </c>
      <c r="B7925" s="2" t="s">
        <v>109</v>
      </c>
      <c r="C7925" s="2" t="s">
        <v>82</v>
      </c>
      <c r="D7925" s="2" t="s">
        <v>26</v>
      </c>
      <c r="E7925" s="2" t="s">
        <v>32</v>
      </c>
      <c r="F7925" s="2">
        <v>15.84</v>
      </c>
      <c r="G7925" s="2">
        <v>3</v>
      </c>
      <c r="H7925" s="2">
        <v>4.91</v>
      </c>
      <c r="I7925" t="str">
        <f t="shared" si="123"/>
        <v>Jul</v>
      </c>
      <c r="J7925">
        <f>YEAR(datas[[#This Row],[Order Date]])</f>
        <v>2024</v>
      </c>
    </row>
    <row r="7926" spans="1:10" ht="14.25" customHeight="1" x14ac:dyDescent="0.3">
      <c r="A7926" s="1">
        <v>45481</v>
      </c>
      <c r="B7926" s="2" t="s">
        <v>109</v>
      </c>
      <c r="C7926" s="2" t="s">
        <v>82</v>
      </c>
      <c r="D7926" s="2" t="s">
        <v>10</v>
      </c>
      <c r="E7926" s="2" t="s">
        <v>16</v>
      </c>
      <c r="F7926" s="2">
        <v>86.38</v>
      </c>
      <c r="G7926" s="2">
        <v>3</v>
      </c>
      <c r="H7926" s="2">
        <v>30.23</v>
      </c>
      <c r="I7926" t="str">
        <f t="shared" si="123"/>
        <v>Jul</v>
      </c>
      <c r="J7926">
        <f>YEAR(datas[[#This Row],[Order Date]])</f>
        <v>2024</v>
      </c>
    </row>
    <row r="7927" spans="1:10" ht="14.25" customHeight="1" x14ac:dyDescent="0.3">
      <c r="A7927" s="1">
        <v>45481</v>
      </c>
      <c r="B7927" s="2" t="s">
        <v>109</v>
      </c>
      <c r="C7927" s="2" t="s">
        <v>82</v>
      </c>
      <c r="D7927" s="2" t="s">
        <v>10</v>
      </c>
      <c r="E7927" s="2" t="s">
        <v>19</v>
      </c>
      <c r="F7927" s="2">
        <v>18.239999999999998</v>
      </c>
      <c r="G7927" s="2">
        <v>3</v>
      </c>
      <c r="H7927" s="2">
        <v>6.2</v>
      </c>
      <c r="I7927" t="str">
        <f t="shared" si="123"/>
        <v>Jul</v>
      </c>
      <c r="J7927">
        <f>YEAR(datas[[#This Row],[Order Date]])</f>
        <v>2024</v>
      </c>
    </row>
    <row r="7928" spans="1:10" ht="14.25" customHeight="1" x14ac:dyDescent="0.3">
      <c r="A7928" s="1">
        <v>45481</v>
      </c>
      <c r="B7928" s="2" t="s">
        <v>109</v>
      </c>
      <c r="C7928" s="2" t="s">
        <v>82</v>
      </c>
      <c r="D7928" s="2" t="s">
        <v>10</v>
      </c>
      <c r="E7928" s="2" t="s">
        <v>19</v>
      </c>
      <c r="F7928" s="2">
        <v>13.12</v>
      </c>
      <c r="G7928" s="2">
        <v>4</v>
      </c>
      <c r="H7928" s="2">
        <v>4.33</v>
      </c>
      <c r="I7928" t="str">
        <f t="shared" si="123"/>
        <v>Jul</v>
      </c>
      <c r="J7928">
        <f>YEAR(datas[[#This Row],[Order Date]])</f>
        <v>2024</v>
      </c>
    </row>
    <row r="7929" spans="1:10" ht="14.25" customHeight="1" x14ac:dyDescent="0.3">
      <c r="A7929" s="1">
        <v>45481</v>
      </c>
      <c r="B7929" s="2" t="s">
        <v>810</v>
      </c>
      <c r="C7929" s="2" t="s">
        <v>38</v>
      </c>
      <c r="D7929" s="2" t="s">
        <v>26</v>
      </c>
      <c r="E7929" s="2" t="s">
        <v>32</v>
      </c>
      <c r="F7929" s="2">
        <v>83.92</v>
      </c>
      <c r="G7929" s="2">
        <v>4</v>
      </c>
      <c r="H7929" s="2">
        <v>5.87</v>
      </c>
      <c r="I7929" t="str">
        <f t="shared" si="123"/>
        <v>Jul</v>
      </c>
      <c r="J7929">
        <f>YEAR(datas[[#This Row],[Order Date]])</f>
        <v>2024</v>
      </c>
    </row>
    <row r="7930" spans="1:10" ht="14.25" customHeight="1" x14ac:dyDescent="0.3">
      <c r="A7930" s="1">
        <v>45481</v>
      </c>
      <c r="B7930" s="2" t="s">
        <v>810</v>
      </c>
      <c r="C7930" s="2" t="s">
        <v>38</v>
      </c>
      <c r="D7930" s="2" t="s">
        <v>28</v>
      </c>
      <c r="E7930" s="2" t="s">
        <v>34</v>
      </c>
      <c r="F7930" s="2">
        <v>141.9</v>
      </c>
      <c r="G7930" s="2">
        <v>5</v>
      </c>
      <c r="H7930" s="2">
        <v>58.18</v>
      </c>
      <c r="I7930" t="str">
        <f t="shared" si="123"/>
        <v>Jul</v>
      </c>
      <c r="J7930">
        <f>YEAR(datas[[#This Row],[Order Date]])</f>
        <v>2024</v>
      </c>
    </row>
    <row r="7931" spans="1:10" ht="14.25" customHeight="1" x14ac:dyDescent="0.3">
      <c r="A7931" s="1">
        <v>45481</v>
      </c>
      <c r="B7931" s="2" t="s">
        <v>810</v>
      </c>
      <c r="C7931" s="2" t="s">
        <v>38</v>
      </c>
      <c r="D7931" s="2" t="s">
        <v>26</v>
      </c>
      <c r="E7931" s="2" t="s">
        <v>32</v>
      </c>
      <c r="F7931" s="2">
        <v>39.979999999999997</v>
      </c>
      <c r="G7931" s="2">
        <v>2</v>
      </c>
      <c r="H7931" s="2">
        <v>9.1999999999999993</v>
      </c>
      <c r="I7931" t="str">
        <f t="shared" si="123"/>
        <v>Jul</v>
      </c>
      <c r="J7931">
        <f>YEAR(datas[[#This Row],[Order Date]])</f>
        <v>2024</v>
      </c>
    </row>
    <row r="7932" spans="1:10" ht="14.25" customHeight="1" x14ac:dyDescent="0.3">
      <c r="A7932" s="1">
        <v>45481</v>
      </c>
      <c r="B7932" s="2" t="s">
        <v>810</v>
      </c>
      <c r="C7932" s="2" t="s">
        <v>38</v>
      </c>
      <c r="D7932" s="2" t="s">
        <v>10</v>
      </c>
      <c r="E7932" s="2" t="s">
        <v>19</v>
      </c>
      <c r="F7932" s="2">
        <v>28.91</v>
      </c>
      <c r="G7932" s="2">
        <v>7</v>
      </c>
      <c r="H7932" s="2">
        <v>8.67</v>
      </c>
      <c r="I7932" t="str">
        <f t="shared" si="123"/>
        <v>Jul</v>
      </c>
      <c r="J7932">
        <f>YEAR(datas[[#This Row],[Order Date]])</f>
        <v>2024</v>
      </c>
    </row>
    <row r="7933" spans="1:10" ht="14.25" customHeight="1" x14ac:dyDescent="0.3">
      <c r="A7933" s="1">
        <v>45481</v>
      </c>
      <c r="B7933" s="2" t="s">
        <v>810</v>
      </c>
      <c r="C7933" s="2" t="s">
        <v>38</v>
      </c>
      <c r="D7933" s="2" t="s">
        <v>10</v>
      </c>
      <c r="E7933" s="2" t="s">
        <v>19</v>
      </c>
      <c r="F7933" s="2">
        <v>174.95</v>
      </c>
      <c r="G7933" s="2">
        <v>5</v>
      </c>
      <c r="H7933" s="2">
        <v>45.49</v>
      </c>
      <c r="I7933" t="str">
        <f t="shared" si="123"/>
        <v>Jul</v>
      </c>
      <c r="J7933">
        <f>YEAR(datas[[#This Row],[Order Date]])</f>
        <v>2024</v>
      </c>
    </row>
    <row r="7934" spans="1:10" ht="14.25" customHeight="1" x14ac:dyDescent="0.3">
      <c r="A7934" s="1">
        <v>45481</v>
      </c>
      <c r="B7934" s="2" t="s">
        <v>446</v>
      </c>
      <c r="C7934" s="2" t="s">
        <v>82</v>
      </c>
      <c r="D7934" s="2" t="s">
        <v>10</v>
      </c>
      <c r="E7934" s="2" t="s">
        <v>11</v>
      </c>
      <c r="F7934" s="2">
        <v>52.76</v>
      </c>
      <c r="G7934" s="2">
        <v>2</v>
      </c>
      <c r="H7934" s="2">
        <v>24.27</v>
      </c>
      <c r="I7934" t="str">
        <f t="shared" si="123"/>
        <v>Jul</v>
      </c>
      <c r="J7934">
        <f>YEAR(datas[[#This Row],[Order Date]])</f>
        <v>2024</v>
      </c>
    </row>
    <row r="7935" spans="1:10" ht="14.25" customHeight="1" x14ac:dyDescent="0.3">
      <c r="A7935" s="1">
        <v>45482</v>
      </c>
      <c r="B7935" s="2" t="s">
        <v>276</v>
      </c>
      <c r="C7935" s="2" t="s">
        <v>52</v>
      </c>
      <c r="D7935" s="2" t="s">
        <v>10</v>
      </c>
      <c r="E7935" s="2" t="s">
        <v>16</v>
      </c>
      <c r="F7935" s="2">
        <v>1.08</v>
      </c>
      <c r="G7935" s="2">
        <v>2</v>
      </c>
      <c r="H7935" s="2">
        <v>-0.79</v>
      </c>
      <c r="I7935" t="str">
        <f t="shared" si="123"/>
        <v>Jul</v>
      </c>
      <c r="J7935">
        <f>YEAR(datas[[#This Row],[Order Date]])</f>
        <v>2024</v>
      </c>
    </row>
    <row r="7936" spans="1:10" ht="14.25" customHeight="1" x14ac:dyDescent="0.3">
      <c r="A7936" s="1">
        <v>45482</v>
      </c>
      <c r="B7936" s="2" t="s">
        <v>338</v>
      </c>
      <c r="C7936" s="2" t="s">
        <v>13</v>
      </c>
      <c r="D7936" s="2" t="s">
        <v>10</v>
      </c>
      <c r="E7936" s="2" t="s">
        <v>19</v>
      </c>
      <c r="F7936" s="2">
        <v>8.84</v>
      </c>
      <c r="G7936" s="2">
        <v>5</v>
      </c>
      <c r="H7936" s="2">
        <v>2.98</v>
      </c>
      <c r="I7936" t="str">
        <f t="shared" si="123"/>
        <v>Jul</v>
      </c>
      <c r="J7936">
        <f>YEAR(datas[[#This Row],[Order Date]])</f>
        <v>2024</v>
      </c>
    </row>
    <row r="7937" spans="1:10" ht="14.25" customHeight="1" x14ac:dyDescent="0.3">
      <c r="A7937" s="1">
        <v>45482</v>
      </c>
      <c r="B7937" s="2" t="s">
        <v>338</v>
      </c>
      <c r="C7937" s="2" t="s">
        <v>13</v>
      </c>
      <c r="D7937" s="2" t="s">
        <v>10</v>
      </c>
      <c r="E7937" s="2" t="s">
        <v>53</v>
      </c>
      <c r="F7937" s="2">
        <v>58.46</v>
      </c>
      <c r="G7937" s="2">
        <v>9</v>
      </c>
      <c r="H7937" s="2">
        <v>-146.16</v>
      </c>
      <c r="I7937" t="str">
        <f t="shared" si="123"/>
        <v>Jul</v>
      </c>
      <c r="J7937">
        <f>YEAR(datas[[#This Row],[Order Date]])</f>
        <v>2024</v>
      </c>
    </row>
    <row r="7938" spans="1:10" ht="14.25" customHeight="1" x14ac:dyDescent="0.3">
      <c r="A7938" s="1">
        <v>45482</v>
      </c>
      <c r="B7938" s="2" t="s">
        <v>275</v>
      </c>
      <c r="C7938" s="2" t="s">
        <v>13</v>
      </c>
      <c r="D7938" s="2" t="s">
        <v>10</v>
      </c>
      <c r="E7938" s="2" t="s">
        <v>15</v>
      </c>
      <c r="F7938" s="2">
        <v>228.92</v>
      </c>
      <c r="G7938" s="2">
        <v>5</v>
      </c>
      <c r="H7938" s="2">
        <v>14.31</v>
      </c>
      <c r="I7938" t="str">
        <f t="shared" si="123"/>
        <v>Jul</v>
      </c>
      <c r="J7938">
        <f>YEAR(datas[[#This Row],[Order Date]])</f>
        <v>2024</v>
      </c>
    </row>
    <row r="7939" spans="1:10" ht="14.25" customHeight="1" x14ac:dyDescent="0.3">
      <c r="A7939" s="1">
        <v>45482</v>
      </c>
      <c r="B7939" s="2" t="s">
        <v>145</v>
      </c>
      <c r="C7939" s="2" t="s">
        <v>68</v>
      </c>
      <c r="D7939" s="2" t="s">
        <v>26</v>
      </c>
      <c r="E7939" s="2" t="s">
        <v>32</v>
      </c>
      <c r="F7939" s="2">
        <v>526.45000000000005</v>
      </c>
      <c r="G7939" s="2">
        <v>5</v>
      </c>
      <c r="H7939" s="2">
        <v>31.59</v>
      </c>
      <c r="I7939" t="str">
        <f t="shared" ref="I7939:I8002" si="124">TEXT(A7939,"mmm")</f>
        <v>Jul</v>
      </c>
      <c r="J7939">
        <f>YEAR(datas[[#This Row],[Order Date]])</f>
        <v>2024</v>
      </c>
    </row>
    <row r="7940" spans="1:10" ht="14.25" customHeight="1" x14ac:dyDescent="0.3">
      <c r="A7940" s="1">
        <v>45482</v>
      </c>
      <c r="B7940" s="2" t="s">
        <v>581</v>
      </c>
      <c r="C7940" s="2" t="s">
        <v>248</v>
      </c>
      <c r="D7940" s="2" t="s">
        <v>10</v>
      </c>
      <c r="E7940" s="2" t="s">
        <v>11</v>
      </c>
      <c r="F7940" s="2">
        <v>274.8</v>
      </c>
      <c r="G7940" s="2">
        <v>5</v>
      </c>
      <c r="H7940" s="2">
        <v>134.65</v>
      </c>
      <c r="I7940" t="str">
        <f t="shared" si="124"/>
        <v>Jul</v>
      </c>
      <c r="J7940">
        <f>YEAR(datas[[#This Row],[Order Date]])</f>
        <v>2024</v>
      </c>
    </row>
    <row r="7941" spans="1:10" ht="14.25" customHeight="1" x14ac:dyDescent="0.3">
      <c r="A7941" s="1">
        <v>45482</v>
      </c>
      <c r="B7941" s="2" t="s">
        <v>581</v>
      </c>
      <c r="C7941" s="2" t="s">
        <v>248</v>
      </c>
      <c r="D7941" s="2" t="s">
        <v>10</v>
      </c>
      <c r="E7941" s="2" t="s">
        <v>15</v>
      </c>
      <c r="F7941" s="2">
        <v>195.64</v>
      </c>
      <c r="G7941" s="2">
        <v>4</v>
      </c>
      <c r="H7941" s="2">
        <v>3.91</v>
      </c>
      <c r="I7941" t="str">
        <f t="shared" si="124"/>
        <v>Jul</v>
      </c>
      <c r="J7941">
        <f>YEAR(datas[[#This Row],[Order Date]])</f>
        <v>2024</v>
      </c>
    </row>
    <row r="7942" spans="1:10" ht="14.25" customHeight="1" x14ac:dyDescent="0.3">
      <c r="A7942" s="1">
        <v>45482</v>
      </c>
      <c r="B7942" s="2" t="s">
        <v>581</v>
      </c>
      <c r="C7942" s="2" t="s">
        <v>248</v>
      </c>
      <c r="D7942" s="2" t="s">
        <v>28</v>
      </c>
      <c r="E7942" s="2" t="s">
        <v>29</v>
      </c>
      <c r="F7942" s="2">
        <v>257.98</v>
      </c>
      <c r="G7942" s="2">
        <v>2</v>
      </c>
      <c r="H7942" s="2">
        <v>74.81</v>
      </c>
      <c r="I7942" t="str">
        <f t="shared" si="124"/>
        <v>Jul</v>
      </c>
      <c r="J7942">
        <f>YEAR(datas[[#This Row],[Order Date]])</f>
        <v>2024</v>
      </c>
    </row>
    <row r="7943" spans="1:10" ht="14.25" customHeight="1" x14ac:dyDescent="0.3">
      <c r="A7943" s="1">
        <v>45482</v>
      </c>
      <c r="B7943" s="2" t="s">
        <v>581</v>
      </c>
      <c r="C7943" s="2" t="s">
        <v>248</v>
      </c>
      <c r="D7943" s="2" t="s">
        <v>10</v>
      </c>
      <c r="E7943" s="2" t="s">
        <v>19</v>
      </c>
      <c r="F7943" s="2">
        <v>119.04</v>
      </c>
      <c r="G7943" s="2">
        <v>6</v>
      </c>
      <c r="H7943" s="2">
        <v>48.81</v>
      </c>
      <c r="I7943" t="str">
        <f t="shared" si="124"/>
        <v>Jul</v>
      </c>
      <c r="J7943">
        <f>YEAR(datas[[#This Row],[Order Date]])</f>
        <v>2024</v>
      </c>
    </row>
    <row r="7944" spans="1:10" ht="14.25" customHeight="1" x14ac:dyDescent="0.3">
      <c r="A7944" s="1">
        <v>45483</v>
      </c>
      <c r="B7944" s="2" t="s">
        <v>725</v>
      </c>
      <c r="C7944" s="2" t="s">
        <v>23</v>
      </c>
      <c r="D7944" s="2" t="s">
        <v>26</v>
      </c>
      <c r="E7944" s="2" t="s">
        <v>32</v>
      </c>
      <c r="F7944" s="2">
        <v>18.84</v>
      </c>
      <c r="G7944" s="2">
        <v>3</v>
      </c>
      <c r="H7944" s="2">
        <v>7.91</v>
      </c>
      <c r="I7944" t="str">
        <f t="shared" si="124"/>
        <v>Jul</v>
      </c>
      <c r="J7944">
        <f>YEAR(datas[[#This Row],[Order Date]])</f>
        <v>2024</v>
      </c>
    </row>
    <row r="7945" spans="1:10" ht="14.25" customHeight="1" x14ac:dyDescent="0.3">
      <c r="A7945" s="1">
        <v>45483</v>
      </c>
      <c r="B7945" s="2" t="s">
        <v>282</v>
      </c>
      <c r="C7945" s="2" t="s">
        <v>13</v>
      </c>
      <c r="D7945" s="2" t="s">
        <v>10</v>
      </c>
      <c r="E7945" s="2" t="s">
        <v>15</v>
      </c>
      <c r="F7945" s="2">
        <v>298.45999999999998</v>
      </c>
      <c r="G7945" s="2">
        <v>6</v>
      </c>
      <c r="H7945" s="2">
        <v>26.12</v>
      </c>
      <c r="I7945" t="str">
        <f t="shared" si="124"/>
        <v>Jul</v>
      </c>
      <c r="J7945">
        <f>YEAR(datas[[#This Row],[Order Date]])</f>
        <v>2024</v>
      </c>
    </row>
    <row r="7946" spans="1:10" ht="14.25" customHeight="1" x14ac:dyDescent="0.3">
      <c r="A7946" s="1">
        <v>45483</v>
      </c>
      <c r="B7946" s="2" t="s">
        <v>154</v>
      </c>
      <c r="C7946" s="2" t="s">
        <v>23</v>
      </c>
      <c r="D7946" s="2" t="s">
        <v>10</v>
      </c>
      <c r="E7946" s="2" t="s">
        <v>53</v>
      </c>
      <c r="F7946" s="2">
        <v>41.91</v>
      </c>
      <c r="G7946" s="2">
        <v>3</v>
      </c>
      <c r="H7946" s="2">
        <v>10.9</v>
      </c>
      <c r="I7946" t="str">
        <f t="shared" si="124"/>
        <v>Jul</v>
      </c>
      <c r="J7946">
        <f>YEAR(datas[[#This Row],[Order Date]])</f>
        <v>2024</v>
      </c>
    </row>
    <row r="7947" spans="1:10" ht="14.25" customHeight="1" x14ac:dyDescent="0.3">
      <c r="A7947" s="1">
        <v>45484</v>
      </c>
      <c r="B7947" s="2" t="s">
        <v>621</v>
      </c>
      <c r="C7947" s="2" t="s">
        <v>21</v>
      </c>
      <c r="D7947" s="2" t="s">
        <v>10</v>
      </c>
      <c r="E7947" s="2" t="s">
        <v>14</v>
      </c>
      <c r="F7947" s="2">
        <v>8.67</v>
      </c>
      <c r="G7947" s="2">
        <v>3</v>
      </c>
      <c r="H7947" s="2">
        <v>4.07</v>
      </c>
      <c r="I7947" t="str">
        <f t="shared" si="124"/>
        <v>Jul</v>
      </c>
      <c r="J7947">
        <f>YEAR(datas[[#This Row],[Order Date]])</f>
        <v>2024</v>
      </c>
    </row>
    <row r="7948" spans="1:10" ht="14.25" customHeight="1" x14ac:dyDescent="0.3">
      <c r="A7948" s="1">
        <v>45484</v>
      </c>
      <c r="B7948" s="2" t="s">
        <v>519</v>
      </c>
      <c r="C7948" s="2" t="s">
        <v>75</v>
      </c>
      <c r="D7948" s="2" t="s">
        <v>28</v>
      </c>
      <c r="E7948" s="2" t="s">
        <v>34</v>
      </c>
      <c r="F7948" s="2">
        <v>132.6</v>
      </c>
      <c r="G7948" s="2">
        <v>6</v>
      </c>
      <c r="H7948" s="2">
        <v>17.239999999999998</v>
      </c>
      <c r="I7948" t="str">
        <f t="shared" si="124"/>
        <v>Jul</v>
      </c>
      <c r="J7948">
        <f>YEAR(datas[[#This Row],[Order Date]])</f>
        <v>2024</v>
      </c>
    </row>
    <row r="7949" spans="1:10" ht="14.25" customHeight="1" x14ac:dyDescent="0.3">
      <c r="A7949" s="1">
        <v>45484</v>
      </c>
      <c r="B7949" s="2" t="s">
        <v>330</v>
      </c>
      <c r="C7949" s="2" t="s">
        <v>165</v>
      </c>
      <c r="D7949" s="2" t="s">
        <v>10</v>
      </c>
      <c r="E7949" s="2" t="s">
        <v>19</v>
      </c>
      <c r="F7949" s="2">
        <v>30.32</v>
      </c>
      <c r="G7949" s="2">
        <v>4</v>
      </c>
      <c r="H7949" s="2">
        <v>11.82</v>
      </c>
      <c r="I7949" t="str">
        <f t="shared" si="124"/>
        <v>Jul</v>
      </c>
      <c r="J7949">
        <f>YEAR(datas[[#This Row],[Order Date]])</f>
        <v>2024</v>
      </c>
    </row>
    <row r="7950" spans="1:10" ht="14.25" customHeight="1" x14ac:dyDescent="0.3">
      <c r="A7950" s="1">
        <v>45484</v>
      </c>
      <c r="B7950" s="2" t="s">
        <v>178</v>
      </c>
      <c r="C7950" s="2" t="s">
        <v>21</v>
      </c>
      <c r="D7950" s="2" t="s">
        <v>28</v>
      </c>
      <c r="E7950" s="2" t="s">
        <v>34</v>
      </c>
      <c r="F7950" s="2">
        <v>1287.45</v>
      </c>
      <c r="G7950" s="2">
        <v>5</v>
      </c>
      <c r="H7950" s="2">
        <v>244.62</v>
      </c>
      <c r="I7950" t="str">
        <f t="shared" si="124"/>
        <v>Jul</v>
      </c>
      <c r="J7950">
        <f>YEAR(datas[[#This Row],[Order Date]])</f>
        <v>2024</v>
      </c>
    </row>
    <row r="7951" spans="1:10" ht="14.25" customHeight="1" x14ac:dyDescent="0.3">
      <c r="A7951" s="1">
        <v>45484</v>
      </c>
      <c r="B7951" s="2" t="s">
        <v>178</v>
      </c>
      <c r="C7951" s="2" t="s">
        <v>21</v>
      </c>
      <c r="D7951" s="2" t="s">
        <v>10</v>
      </c>
      <c r="E7951" s="2" t="s">
        <v>53</v>
      </c>
      <c r="F7951" s="2">
        <v>168.1</v>
      </c>
      <c r="G7951" s="2">
        <v>5</v>
      </c>
      <c r="H7951" s="2">
        <v>43.71</v>
      </c>
      <c r="I7951" t="str">
        <f t="shared" si="124"/>
        <v>Jul</v>
      </c>
      <c r="J7951">
        <f>YEAR(datas[[#This Row],[Order Date]])</f>
        <v>2024</v>
      </c>
    </row>
    <row r="7952" spans="1:10" ht="14.25" customHeight="1" x14ac:dyDescent="0.3">
      <c r="A7952" s="1">
        <v>45484</v>
      </c>
      <c r="B7952" s="2" t="s">
        <v>393</v>
      </c>
      <c r="C7952" s="2" t="s">
        <v>21</v>
      </c>
      <c r="D7952" s="2" t="s">
        <v>28</v>
      </c>
      <c r="E7952" s="2" t="s">
        <v>29</v>
      </c>
      <c r="F7952" s="2">
        <v>71.95</v>
      </c>
      <c r="G7952" s="2">
        <v>6</v>
      </c>
      <c r="H7952" s="2">
        <v>5.4</v>
      </c>
      <c r="I7952" t="str">
        <f t="shared" si="124"/>
        <v>Jul</v>
      </c>
      <c r="J7952">
        <f>YEAR(datas[[#This Row],[Order Date]])</f>
        <v>2024</v>
      </c>
    </row>
    <row r="7953" spans="1:10" ht="14.25" customHeight="1" x14ac:dyDescent="0.3">
      <c r="A7953" s="1">
        <v>45484</v>
      </c>
      <c r="B7953" s="2" t="s">
        <v>393</v>
      </c>
      <c r="C7953" s="2" t="s">
        <v>21</v>
      </c>
      <c r="D7953" s="2" t="s">
        <v>10</v>
      </c>
      <c r="E7953" s="2" t="s">
        <v>16</v>
      </c>
      <c r="F7953" s="2">
        <v>29.8</v>
      </c>
      <c r="G7953" s="2">
        <v>5</v>
      </c>
      <c r="H7953" s="2">
        <v>9.31</v>
      </c>
      <c r="I7953" t="str">
        <f t="shared" si="124"/>
        <v>Jul</v>
      </c>
      <c r="J7953">
        <f>YEAR(datas[[#This Row],[Order Date]])</f>
        <v>2024</v>
      </c>
    </row>
    <row r="7954" spans="1:10" ht="14.25" customHeight="1" x14ac:dyDescent="0.3">
      <c r="A7954" s="1">
        <v>45485</v>
      </c>
      <c r="B7954" s="2" t="s">
        <v>242</v>
      </c>
      <c r="C7954" s="2" t="s">
        <v>47</v>
      </c>
      <c r="D7954" s="2" t="s">
        <v>10</v>
      </c>
      <c r="E7954" s="2" t="s">
        <v>11</v>
      </c>
      <c r="F7954" s="2">
        <v>3.82</v>
      </c>
      <c r="G7954" s="2">
        <v>1</v>
      </c>
      <c r="H7954" s="2">
        <v>1.19</v>
      </c>
      <c r="I7954" t="str">
        <f t="shared" si="124"/>
        <v>Jul</v>
      </c>
      <c r="J7954">
        <f>YEAR(datas[[#This Row],[Order Date]])</f>
        <v>2024</v>
      </c>
    </row>
    <row r="7955" spans="1:10" ht="14.25" customHeight="1" x14ac:dyDescent="0.3">
      <c r="A7955" s="1">
        <v>45486</v>
      </c>
      <c r="B7955" s="2" t="s">
        <v>362</v>
      </c>
      <c r="C7955" s="2" t="s">
        <v>18</v>
      </c>
      <c r="D7955" s="2" t="s">
        <v>28</v>
      </c>
      <c r="E7955" s="2" t="s">
        <v>29</v>
      </c>
      <c r="F7955" s="2">
        <v>39.590000000000003</v>
      </c>
      <c r="G7955" s="2">
        <v>1</v>
      </c>
      <c r="H7955" s="2">
        <v>-7.26</v>
      </c>
      <c r="I7955" t="str">
        <f t="shared" si="124"/>
        <v>Jul</v>
      </c>
      <c r="J7955">
        <f>YEAR(datas[[#This Row],[Order Date]])</f>
        <v>2024</v>
      </c>
    </row>
    <row r="7956" spans="1:10" ht="14.25" customHeight="1" x14ac:dyDescent="0.3">
      <c r="A7956" s="1">
        <v>45486</v>
      </c>
      <c r="B7956" s="2" t="s">
        <v>362</v>
      </c>
      <c r="C7956" s="2" t="s">
        <v>18</v>
      </c>
      <c r="D7956" s="2" t="s">
        <v>26</v>
      </c>
      <c r="E7956" s="2" t="s">
        <v>32</v>
      </c>
      <c r="F7956" s="2">
        <v>91.01</v>
      </c>
      <c r="G7956" s="2">
        <v>9</v>
      </c>
      <c r="H7956" s="2">
        <v>19.34</v>
      </c>
      <c r="I7956" t="str">
        <f t="shared" si="124"/>
        <v>Jul</v>
      </c>
      <c r="J7956">
        <f>YEAR(datas[[#This Row],[Order Date]])</f>
        <v>2024</v>
      </c>
    </row>
    <row r="7957" spans="1:10" ht="14.25" customHeight="1" x14ac:dyDescent="0.3">
      <c r="A7957" s="1">
        <v>45486</v>
      </c>
      <c r="B7957" s="2" t="s">
        <v>460</v>
      </c>
      <c r="C7957" s="2" t="s">
        <v>469</v>
      </c>
      <c r="D7957" s="2" t="s">
        <v>10</v>
      </c>
      <c r="E7957" s="2" t="s">
        <v>15</v>
      </c>
      <c r="F7957" s="2">
        <v>360.38</v>
      </c>
      <c r="G7957" s="2">
        <v>2</v>
      </c>
      <c r="H7957" s="2">
        <v>93.7</v>
      </c>
      <c r="I7957" t="str">
        <f t="shared" si="124"/>
        <v>Jul</v>
      </c>
      <c r="J7957">
        <f>YEAR(datas[[#This Row],[Order Date]])</f>
        <v>2024</v>
      </c>
    </row>
    <row r="7958" spans="1:10" ht="14.25" customHeight="1" x14ac:dyDescent="0.3">
      <c r="A7958" s="1">
        <v>45486</v>
      </c>
      <c r="B7958" s="2" t="s">
        <v>460</v>
      </c>
      <c r="C7958" s="2" t="s">
        <v>469</v>
      </c>
      <c r="D7958" s="2" t="s">
        <v>10</v>
      </c>
      <c r="E7958" s="2" t="s">
        <v>11</v>
      </c>
      <c r="F7958" s="2">
        <v>13.56</v>
      </c>
      <c r="G7958" s="2">
        <v>2</v>
      </c>
      <c r="H7958" s="2">
        <v>6.24</v>
      </c>
      <c r="I7958" t="str">
        <f t="shared" si="124"/>
        <v>Jul</v>
      </c>
      <c r="J7958">
        <f>YEAR(datas[[#This Row],[Order Date]])</f>
        <v>2024</v>
      </c>
    </row>
    <row r="7959" spans="1:10" ht="14.25" customHeight="1" x14ac:dyDescent="0.3">
      <c r="A7959" s="1">
        <v>45487</v>
      </c>
      <c r="B7959" s="2" t="s">
        <v>531</v>
      </c>
      <c r="C7959" s="2" t="s">
        <v>21</v>
      </c>
      <c r="D7959" s="2" t="s">
        <v>10</v>
      </c>
      <c r="E7959" s="2" t="s">
        <v>16</v>
      </c>
      <c r="F7959" s="2">
        <v>4.45</v>
      </c>
      <c r="G7959" s="2">
        <v>2</v>
      </c>
      <c r="H7959" s="2">
        <v>1.45</v>
      </c>
      <c r="I7959" t="str">
        <f t="shared" si="124"/>
        <v>Jul</v>
      </c>
      <c r="J7959">
        <f>YEAR(datas[[#This Row],[Order Date]])</f>
        <v>2024</v>
      </c>
    </row>
    <row r="7960" spans="1:10" ht="14.25" customHeight="1" x14ac:dyDescent="0.3">
      <c r="A7960" s="1">
        <v>45487</v>
      </c>
      <c r="B7960" s="2" t="s">
        <v>531</v>
      </c>
      <c r="C7960" s="2" t="s">
        <v>21</v>
      </c>
      <c r="D7960" s="2" t="s">
        <v>26</v>
      </c>
      <c r="E7960" s="2" t="s">
        <v>32</v>
      </c>
      <c r="F7960" s="2">
        <v>276.69</v>
      </c>
      <c r="G7960" s="2">
        <v>3</v>
      </c>
      <c r="H7960" s="2">
        <v>49.8</v>
      </c>
      <c r="I7960" t="str">
        <f t="shared" si="124"/>
        <v>Jul</v>
      </c>
      <c r="J7960">
        <f>YEAR(datas[[#This Row],[Order Date]])</f>
        <v>2024</v>
      </c>
    </row>
    <row r="7961" spans="1:10" ht="14.25" customHeight="1" x14ac:dyDescent="0.3">
      <c r="A7961" s="1">
        <v>45487</v>
      </c>
      <c r="B7961" s="2" t="s">
        <v>531</v>
      </c>
      <c r="C7961" s="2" t="s">
        <v>21</v>
      </c>
      <c r="D7961" s="2" t="s">
        <v>10</v>
      </c>
      <c r="E7961" s="2" t="s">
        <v>30</v>
      </c>
      <c r="F7961" s="2">
        <v>4.96</v>
      </c>
      <c r="G7961" s="2">
        <v>4</v>
      </c>
      <c r="H7961" s="2">
        <v>2.33</v>
      </c>
      <c r="I7961" t="str">
        <f t="shared" si="124"/>
        <v>Jul</v>
      </c>
      <c r="J7961">
        <f>YEAR(datas[[#This Row],[Order Date]])</f>
        <v>2024</v>
      </c>
    </row>
    <row r="7962" spans="1:10" ht="14.25" customHeight="1" x14ac:dyDescent="0.3">
      <c r="A7962" s="1">
        <v>45487</v>
      </c>
      <c r="B7962" s="2" t="s">
        <v>531</v>
      </c>
      <c r="C7962" s="2" t="s">
        <v>21</v>
      </c>
      <c r="D7962" s="2" t="s">
        <v>10</v>
      </c>
      <c r="E7962" s="2" t="s">
        <v>19</v>
      </c>
      <c r="F7962" s="2">
        <v>71.92</v>
      </c>
      <c r="G7962" s="2">
        <v>4</v>
      </c>
      <c r="H7962" s="2">
        <v>20.86</v>
      </c>
      <c r="I7962" t="str">
        <f t="shared" si="124"/>
        <v>Jul</v>
      </c>
      <c r="J7962">
        <f>YEAR(datas[[#This Row],[Order Date]])</f>
        <v>2024</v>
      </c>
    </row>
    <row r="7963" spans="1:10" ht="14.25" customHeight="1" x14ac:dyDescent="0.3">
      <c r="A7963" s="1">
        <v>45487</v>
      </c>
      <c r="B7963" s="2" t="s">
        <v>531</v>
      </c>
      <c r="C7963" s="2" t="s">
        <v>21</v>
      </c>
      <c r="D7963" s="2" t="s">
        <v>26</v>
      </c>
      <c r="E7963" s="2" t="s">
        <v>32</v>
      </c>
      <c r="F7963" s="2">
        <v>18.84</v>
      </c>
      <c r="G7963" s="2">
        <v>3</v>
      </c>
      <c r="H7963" s="2">
        <v>7.91</v>
      </c>
      <c r="I7963" t="str">
        <f t="shared" si="124"/>
        <v>Jul</v>
      </c>
      <c r="J7963">
        <f>YEAR(datas[[#This Row],[Order Date]])</f>
        <v>2024</v>
      </c>
    </row>
    <row r="7964" spans="1:10" ht="14.25" customHeight="1" x14ac:dyDescent="0.3">
      <c r="A7964" s="1">
        <v>45487</v>
      </c>
      <c r="B7964" s="2" t="s">
        <v>531</v>
      </c>
      <c r="C7964" s="2" t="s">
        <v>21</v>
      </c>
      <c r="D7964" s="2" t="s">
        <v>28</v>
      </c>
      <c r="E7964" s="2" t="s">
        <v>34</v>
      </c>
      <c r="F7964" s="2">
        <v>140.97</v>
      </c>
      <c r="G7964" s="2">
        <v>3</v>
      </c>
      <c r="H7964" s="2">
        <v>19.739999999999998</v>
      </c>
      <c r="I7964" t="str">
        <f t="shared" si="124"/>
        <v>Jul</v>
      </c>
      <c r="J7964">
        <f>YEAR(datas[[#This Row],[Order Date]])</f>
        <v>2024</v>
      </c>
    </row>
    <row r="7965" spans="1:10" ht="14.25" customHeight="1" x14ac:dyDescent="0.3">
      <c r="A7965" s="1">
        <v>45487</v>
      </c>
      <c r="B7965" s="2" t="s">
        <v>531</v>
      </c>
      <c r="C7965" s="2" t="s">
        <v>21</v>
      </c>
      <c r="D7965" s="2" t="s">
        <v>28</v>
      </c>
      <c r="E7965" s="2" t="s">
        <v>29</v>
      </c>
      <c r="F7965" s="2">
        <v>470.38</v>
      </c>
      <c r="G7965" s="2">
        <v>3</v>
      </c>
      <c r="H7965" s="2">
        <v>52.92</v>
      </c>
      <c r="I7965" t="str">
        <f t="shared" si="124"/>
        <v>Jul</v>
      </c>
      <c r="J7965">
        <f>YEAR(datas[[#This Row],[Order Date]])</f>
        <v>2024</v>
      </c>
    </row>
    <row r="7966" spans="1:10" ht="14.25" customHeight="1" x14ac:dyDescent="0.3">
      <c r="A7966" s="1">
        <v>45487</v>
      </c>
      <c r="B7966" s="2" t="s">
        <v>218</v>
      </c>
      <c r="C7966" s="2" t="s">
        <v>47</v>
      </c>
      <c r="D7966" s="2" t="s">
        <v>10</v>
      </c>
      <c r="E7966" s="2" t="s">
        <v>11</v>
      </c>
      <c r="F7966" s="2">
        <v>9.25</v>
      </c>
      <c r="G7966" s="2">
        <v>2</v>
      </c>
      <c r="H7966" s="2">
        <v>3.35</v>
      </c>
      <c r="I7966" t="str">
        <f t="shared" si="124"/>
        <v>Jul</v>
      </c>
      <c r="J7966">
        <f>YEAR(datas[[#This Row],[Order Date]])</f>
        <v>2024</v>
      </c>
    </row>
    <row r="7967" spans="1:10" ht="14.25" customHeight="1" x14ac:dyDescent="0.3">
      <c r="A7967" s="1">
        <v>45487</v>
      </c>
      <c r="B7967" s="2" t="s">
        <v>218</v>
      </c>
      <c r="C7967" s="2" t="s">
        <v>47</v>
      </c>
      <c r="D7967" s="2" t="s">
        <v>28</v>
      </c>
      <c r="E7967" s="2" t="s">
        <v>29</v>
      </c>
      <c r="F7967" s="2">
        <v>1889.95</v>
      </c>
      <c r="G7967" s="2">
        <v>9</v>
      </c>
      <c r="H7967" s="2">
        <v>-377.99</v>
      </c>
      <c r="I7967" t="str">
        <f t="shared" si="124"/>
        <v>Jul</v>
      </c>
      <c r="J7967">
        <f>YEAR(datas[[#This Row],[Order Date]])</f>
        <v>2024</v>
      </c>
    </row>
    <row r="7968" spans="1:10" ht="14.25" customHeight="1" x14ac:dyDescent="0.3">
      <c r="A7968" s="1">
        <v>45487</v>
      </c>
      <c r="B7968" s="2" t="s">
        <v>218</v>
      </c>
      <c r="C7968" s="2" t="s">
        <v>47</v>
      </c>
      <c r="D7968" s="2" t="s">
        <v>10</v>
      </c>
      <c r="E7968" s="2" t="s">
        <v>15</v>
      </c>
      <c r="F7968" s="2">
        <v>62.04</v>
      </c>
      <c r="G7968" s="2">
        <v>5</v>
      </c>
      <c r="H7968" s="2">
        <v>4.6500000000000004</v>
      </c>
      <c r="I7968" t="str">
        <f t="shared" si="124"/>
        <v>Jul</v>
      </c>
      <c r="J7968">
        <f>YEAR(datas[[#This Row],[Order Date]])</f>
        <v>2024</v>
      </c>
    </row>
    <row r="7969" spans="1:10" ht="14.25" customHeight="1" x14ac:dyDescent="0.3">
      <c r="A7969" s="1">
        <v>45487</v>
      </c>
      <c r="B7969" s="2" t="s">
        <v>218</v>
      </c>
      <c r="C7969" s="2" t="s">
        <v>47</v>
      </c>
      <c r="D7969" s="2" t="s">
        <v>26</v>
      </c>
      <c r="E7969" s="2" t="s">
        <v>32</v>
      </c>
      <c r="F7969" s="2">
        <v>396.92</v>
      </c>
      <c r="G7969" s="2">
        <v>5</v>
      </c>
      <c r="H7969" s="2">
        <v>148.85</v>
      </c>
      <c r="I7969" t="str">
        <f t="shared" si="124"/>
        <v>Jul</v>
      </c>
      <c r="J7969">
        <f>YEAR(datas[[#This Row],[Order Date]])</f>
        <v>2024</v>
      </c>
    </row>
    <row r="7970" spans="1:10" ht="14.25" customHeight="1" x14ac:dyDescent="0.3">
      <c r="A7970" s="1">
        <v>45487</v>
      </c>
      <c r="B7970" s="2" t="s">
        <v>218</v>
      </c>
      <c r="C7970" s="2" t="s">
        <v>47</v>
      </c>
      <c r="D7970" s="2" t="s">
        <v>10</v>
      </c>
      <c r="E7970" s="2" t="s">
        <v>15</v>
      </c>
      <c r="F7970" s="2">
        <v>239.46</v>
      </c>
      <c r="G7970" s="2">
        <v>7</v>
      </c>
      <c r="H7970" s="2">
        <v>17.96</v>
      </c>
      <c r="I7970" t="str">
        <f t="shared" si="124"/>
        <v>Jul</v>
      </c>
      <c r="J7970">
        <f>YEAR(datas[[#This Row],[Order Date]])</f>
        <v>2024</v>
      </c>
    </row>
    <row r="7971" spans="1:10" ht="14.25" customHeight="1" x14ac:dyDescent="0.3">
      <c r="A7971" s="1">
        <v>45487</v>
      </c>
      <c r="B7971" s="2" t="s">
        <v>218</v>
      </c>
      <c r="C7971" s="2" t="s">
        <v>47</v>
      </c>
      <c r="D7971" s="2" t="s">
        <v>10</v>
      </c>
      <c r="E7971" s="2" t="s">
        <v>19</v>
      </c>
      <c r="F7971" s="2">
        <v>13.12</v>
      </c>
      <c r="G7971" s="2">
        <v>5</v>
      </c>
      <c r="H7971" s="2">
        <v>2.13</v>
      </c>
      <c r="I7971" t="str">
        <f t="shared" si="124"/>
        <v>Jul</v>
      </c>
      <c r="J7971">
        <f>YEAR(datas[[#This Row],[Order Date]])</f>
        <v>2024</v>
      </c>
    </row>
    <row r="7972" spans="1:10" ht="14.25" customHeight="1" x14ac:dyDescent="0.3">
      <c r="A7972" s="1">
        <v>45488</v>
      </c>
      <c r="B7972" s="2" t="s">
        <v>293</v>
      </c>
      <c r="C7972" s="2" t="s">
        <v>38</v>
      </c>
      <c r="D7972" s="2" t="s">
        <v>10</v>
      </c>
      <c r="E7972" s="2" t="s">
        <v>16</v>
      </c>
      <c r="F7972" s="2">
        <v>26.55</v>
      </c>
      <c r="G7972" s="2">
        <v>3</v>
      </c>
      <c r="H7972" s="2">
        <v>13.01</v>
      </c>
      <c r="I7972" t="str">
        <f t="shared" si="124"/>
        <v>Jul</v>
      </c>
      <c r="J7972">
        <f>YEAR(datas[[#This Row],[Order Date]])</f>
        <v>2024</v>
      </c>
    </row>
    <row r="7973" spans="1:10" ht="14.25" customHeight="1" x14ac:dyDescent="0.3">
      <c r="A7973" s="1">
        <v>45488</v>
      </c>
      <c r="B7973" s="2" t="s">
        <v>293</v>
      </c>
      <c r="C7973" s="2" t="s">
        <v>38</v>
      </c>
      <c r="D7973" s="2" t="s">
        <v>26</v>
      </c>
      <c r="E7973" s="2" t="s">
        <v>73</v>
      </c>
      <c r="F7973" s="2">
        <v>310.44</v>
      </c>
      <c r="G7973" s="2">
        <v>3</v>
      </c>
      <c r="H7973" s="2">
        <v>-48.78</v>
      </c>
      <c r="I7973" t="str">
        <f t="shared" si="124"/>
        <v>Jul</v>
      </c>
      <c r="J7973">
        <f>YEAR(datas[[#This Row],[Order Date]])</f>
        <v>2024</v>
      </c>
    </row>
    <row r="7974" spans="1:10" ht="14.25" customHeight="1" x14ac:dyDescent="0.3">
      <c r="A7974" s="1">
        <v>45488</v>
      </c>
      <c r="B7974" s="2" t="s">
        <v>209</v>
      </c>
      <c r="C7974" s="2" t="s">
        <v>75</v>
      </c>
      <c r="D7974" s="2" t="s">
        <v>10</v>
      </c>
      <c r="E7974" s="2" t="s">
        <v>19</v>
      </c>
      <c r="F7974" s="2">
        <v>6.56</v>
      </c>
      <c r="G7974" s="2">
        <v>2</v>
      </c>
      <c r="H7974" s="2">
        <v>1.9</v>
      </c>
      <c r="I7974" t="str">
        <f t="shared" si="124"/>
        <v>Jul</v>
      </c>
      <c r="J7974">
        <f>YEAR(datas[[#This Row],[Order Date]])</f>
        <v>2024</v>
      </c>
    </row>
    <row r="7975" spans="1:10" ht="14.25" customHeight="1" x14ac:dyDescent="0.3">
      <c r="A7975" s="1">
        <v>45488</v>
      </c>
      <c r="B7975" s="2" t="s">
        <v>209</v>
      </c>
      <c r="C7975" s="2" t="s">
        <v>75</v>
      </c>
      <c r="D7975" s="2" t="s">
        <v>10</v>
      </c>
      <c r="E7975" s="2" t="s">
        <v>14</v>
      </c>
      <c r="F7975" s="2">
        <v>7.83</v>
      </c>
      <c r="G7975" s="2">
        <v>3</v>
      </c>
      <c r="H7975" s="2">
        <v>3.6</v>
      </c>
      <c r="I7975" t="str">
        <f t="shared" si="124"/>
        <v>Jul</v>
      </c>
      <c r="J7975">
        <f>YEAR(datas[[#This Row],[Order Date]])</f>
        <v>2024</v>
      </c>
    </row>
    <row r="7976" spans="1:10" ht="14.25" customHeight="1" x14ac:dyDescent="0.3">
      <c r="A7976" s="1">
        <v>45488</v>
      </c>
      <c r="B7976" s="2" t="s">
        <v>209</v>
      </c>
      <c r="C7976" s="2" t="s">
        <v>75</v>
      </c>
      <c r="D7976" s="2" t="s">
        <v>28</v>
      </c>
      <c r="E7976" s="2" t="s">
        <v>34</v>
      </c>
      <c r="F7976" s="2">
        <v>41.9</v>
      </c>
      <c r="G7976" s="2">
        <v>2</v>
      </c>
      <c r="H7976" s="2">
        <v>8.8000000000000007</v>
      </c>
      <c r="I7976" t="str">
        <f t="shared" si="124"/>
        <v>Jul</v>
      </c>
      <c r="J7976">
        <f>YEAR(datas[[#This Row],[Order Date]])</f>
        <v>2024</v>
      </c>
    </row>
    <row r="7977" spans="1:10" ht="14.25" customHeight="1" x14ac:dyDescent="0.3">
      <c r="A7977" s="1">
        <v>45488</v>
      </c>
      <c r="B7977" s="2" t="s">
        <v>209</v>
      </c>
      <c r="C7977" s="2" t="s">
        <v>75</v>
      </c>
      <c r="D7977" s="2" t="s">
        <v>26</v>
      </c>
      <c r="E7977" s="2" t="s">
        <v>27</v>
      </c>
      <c r="F7977" s="2">
        <v>664.15</v>
      </c>
      <c r="G7977" s="2">
        <v>6</v>
      </c>
      <c r="H7977" s="2">
        <v>88.55</v>
      </c>
      <c r="I7977" t="str">
        <f t="shared" si="124"/>
        <v>Jul</v>
      </c>
      <c r="J7977">
        <f>YEAR(datas[[#This Row],[Order Date]])</f>
        <v>2024</v>
      </c>
    </row>
    <row r="7978" spans="1:10" ht="14.25" customHeight="1" x14ac:dyDescent="0.3">
      <c r="A7978" s="1">
        <v>45488</v>
      </c>
      <c r="B7978" s="2" t="s">
        <v>209</v>
      </c>
      <c r="C7978" s="2" t="s">
        <v>75</v>
      </c>
      <c r="D7978" s="2" t="s">
        <v>10</v>
      </c>
      <c r="E7978" s="2" t="s">
        <v>11</v>
      </c>
      <c r="F7978" s="2">
        <v>8.9600000000000009</v>
      </c>
      <c r="G7978" s="2">
        <v>2</v>
      </c>
      <c r="H7978" s="2">
        <v>4.3899999999999997</v>
      </c>
      <c r="I7978" t="str">
        <f t="shared" si="124"/>
        <v>Jul</v>
      </c>
      <c r="J7978">
        <f>YEAR(datas[[#This Row],[Order Date]])</f>
        <v>2024</v>
      </c>
    </row>
    <row r="7979" spans="1:10" ht="14.25" customHeight="1" x14ac:dyDescent="0.3">
      <c r="A7979" s="1">
        <v>45488</v>
      </c>
      <c r="B7979" s="2" t="s">
        <v>402</v>
      </c>
      <c r="C7979" s="2" t="s">
        <v>36</v>
      </c>
      <c r="D7979" s="2" t="s">
        <v>10</v>
      </c>
      <c r="E7979" s="2" t="s">
        <v>53</v>
      </c>
      <c r="F7979" s="2">
        <v>179.94</v>
      </c>
      <c r="G7979" s="2">
        <v>3</v>
      </c>
      <c r="H7979" s="2">
        <v>50.38</v>
      </c>
      <c r="I7979" t="str">
        <f t="shared" si="124"/>
        <v>Jul</v>
      </c>
      <c r="J7979">
        <f>YEAR(datas[[#This Row],[Order Date]])</f>
        <v>2024</v>
      </c>
    </row>
    <row r="7980" spans="1:10" ht="14.25" customHeight="1" x14ac:dyDescent="0.3">
      <c r="A7980" s="1">
        <v>45488</v>
      </c>
      <c r="B7980" s="2" t="s">
        <v>402</v>
      </c>
      <c r="C7980" s="2" t="s">
        <v>36</v>
      </c>
      <c r="D7980" s="2" t="s">
        <v>26</v>
      </c>
      <c r="E7980" s="2" t="s">
        <v>73</v>
      </c>
      <c r="F7980" s="2">
        <v>872.94</v>
      </c>
      <c r="G7980" s="2">
        <v>3</v>
      </c>
      <c r="H7980" s="2">
        <v>157.13</v>
      </c>
      <c r="I7980" t="str">
        <f t="shared" si="124"/>
        <v>Jul</v>
      </c>
      <c r="J7980">
        <f>YEAR(datas[[#This Row],[Order Date]])</f>
        <v>2024</v>
      </c>
    </row>
    <row r="7981" spans="1:10" ht="14.25" customHeight="1" x14ac:dyDescent="0.3">
      <c r="A7981" s="1">
        <v>45488</v>
      </c>
      <c r="B7981" s="2" t="s">
        <v>402</v>
      </c>
      <c r="C7981" s="2" t="s">
        <v>36</v>
      </c>
      <c r="D7981" s="2" t="s">
        <v>10</v>
      </c>
      <c r="E7981" s="2" t="s">
        <v>11</v>
      </c>
      <c r="F7981" s="2">
        <v>12.96</v>
      </c>
      <c r="G7981" s="2">
        <v>2</v>
      </c>
      <c r="H7981" s="2">
        <v>6.22</v>
      </c>
      <c r="I7981" t="str">
        <f t="shared" si="124"/>
        <v>Jul</v>
      </c>
      <c r="J7981">
        <f>YEAR(datas[[#This Row],[Order Date]])</f>
        <v>2024</v>
      </c>
    </row>
    <row r="7982" spans="1:10" ht="14.25" customHeight="1" x14ac:dyDescent="0.3">
      <c r="A7982" s="1">
        <v>45489</v>
      </c>
      <c r="B7982" s="2" t="s">
        <v>464</v>
      </c>
      <c r="C7982" s="2" t="s">
        <v>18</v>
      </c>
      <c r="D7982" s="2" t="s">
        <v>26</v>
      </c>
      <c r="E7982" s="2" t="s">
        <v>27</v>
      </c>
      <c r="F7982" s="2">
        <v>71.37</v>
      </c>
      <c r="G7982" s="2">
        <v>2</v>
      </c>
      <c r="H7982" s="2">
        <v>-1.02</v>
      </c>
      <c r="I7982" t="str">
        <f t="shared" si="124"/>
        <v>Jul</v>
      </c>
      <c r="J7982">
        <f>YEAR(datas[[#This Row],[Order Date]])</f>
        <v>2024</v>
      </c>
    </row>
    <row r="7983" spans="1:10" ht="14.25" customHeight="1" x14ac:dyDescent="0.3">
      <c r="A7983" s="1">
        <v>45489</v>
      </c>
      <c r="B7983" s="2" t="s">
        <v>200</v>
      </c>
      <c r="C7983" s="2" t="s">
        <v>13</v>
      </c>
      <c r="D7983" s="2" t="s">
        <v>10</v>
      </c>
      <c r="E7983" s="2" t="s">
        <v>19</v>
      </c>
      <c r="F7983" s="2">
        <v>2.91</v>
      </c>
      <c r="G7983" s="2">
        <v>2</v>
      </c>
      <c r="H7983" s="2">
        <v>0.91</v>
      </c>
      <c r="I7983" t="str">
        <f t="shared" si="124"/>
        <v>Jul</v>
      </c>
      <c r="J7983">
        <f>YEAR(datas[[#This Row],[Order Date]])</f>
        <v>2024</v>
      </c>
    </row>
    <row r="7984" spans="1:10" ht="14.25" customHeight="1" x14ac:dyDescent="0.3">
      <c r="A7984" s="1">
        <v>45489</v>
      </c>
      <c r="B7984" s="2" t="s">
        <v>89</v>
      </c>
      <c r="C7984" s="2" t="s">
        <v>115</v>
      </c>
      <c r="D7984" s="2" t="s">
        <v>26</v>
      </c>
      <c r="E7984" s="2" t="s">
        <v>27</v>
      </c>
      <c r="F7984" s="2">
        <v>242.35</v>
      </c>
      <c r="G7984" s="2">
        <v>3</v>
      </c>
      <c r="H7984" s="2">
        <v>15.15</v>
      </c>
      <c r="I7984" t="str">
        <f t="shared" si="124"/>
        <v>Jul</v>
      </c>
      <c r="J7984">
        <f>YEAR(datas[[#This Row],[Order Date]])</f>
        <v>2024</v>
      </c>
    </row>
    <row r="7985" spans="1:10" ht="14.25" customHeight="1" x14ac:dyDescent="0.3">
      <c r="A7985" s="1">
        <v>45490</v>
      </c>
      <c r="B7985" s="2" t="s">
        <v>734</v>
      </c>
      <c r="C7985" s="2" t="s">
        <v>64</v>
      </c>
      <c r="D7985" s="2" t="s">
        <v>26</v>
      </c>
      <c r="E7985" s="2" t="s">
        <v>32</v>
      </c>
      <c r="F7985" s="2">
        <v>7.9</v>
      </c>
      <c r="G7985" s="2">
        <v>2</v>
      </c>
      <c r="H7985" s="2">
        <v>2.17</v>
      </c>
      <c r="I7985" t="str">
        <f t="shared" si="124"/>
        <v>Jul</v>
      </c>
      <c r="J7985">
        <f>YEAR(datas[[#This Row],[Order Date]])</f>
        <v>2024</v>
      </c>
    </row>
    <row r="7986" spans="1:10" ht="14.25" customHeight="1" x14ac:dyDescent="0.3">
      <c r="A7986" s="1">
        <v>45490</v>
      </c>
      <c r="B7986" s="2" t="s">
        <v>808</v>
      </c>
      <c r="C7986" s="2" t="s">
        <v>75</v>
      </c>
      <c r="D7986" s="2" t="s">
        <v>28</v>
      </c>
      <c r="E7986" s="2" t="s">
        <v>29</v>
      </c>
      <c r="F7986" s="2">
        <v>269.98</v>
      </c>
      <c r="G7986" s="2">
        <v>2</v>
      </c>
      <c r="H7986" s="2">
        <v>67.5</v>
      </c>
      <c r="I7986" t="str">
        <f t="shared" si="124"/>
        <v>Jul</v>
      </c>
      <c r="J7986">
        <f>YEAR(datas[[#This Row],[Order Date]])</f>
        <v>2024</v>
      </c>
    </row>
    <row r="7987" spans="1:10" ht="14.25" customHeight="1" x14ac:dyDescent="0.3">
      <c r="A7987" s="1">
        <v>45490</v>
      </c>
      <c r="B7987" s="2" t="s">
        <v>808</v>
      </c>
      <c r="C7987" s="2" t="s">
        <v>75</v>
      </c>
      <c r="D7987" s="2" t="s">
        <v>10</v>
      </c>
      <c r="E7987" s="2" t="s">
        <v>11</v>
      </c>
      <c r="F7987" s="2">
        <v>99.9</v>
      </c>
      <c r="G7987" s="2">
        <v>5</v>
      </c>
      <c r="H7987" s="2">
        <v>47.95</v>
      </c>
      <c r="I7987" t="str">
        <f t="shared" si="124"/>
        <v>Jul</v>
      </c>
      <c r="J7987">
        <f>YEAR(datas[[#This Row],[Order Date]])</f>
        <v>2024</v>
      </c>
    </row>
    <row r="7988" spans="1:10" ht="14.25" customHeight="1" x14ac:dyDescent="0.3">
      <c r="A7988" s="1">
        <v>45490</v>
      </c>
      <c r="B7988" s="2" t="s">
        <v>808</v>
      </c>
      <c r="C7988" s="2" t="s">
        <v>75</v>
      </c>
      <c r="D7988" s="2" t="s">
        <v>26</v>
      </c>
      <c r="E7988" s="2" t="s">
        <v>32</v>
      </c>
      <c r="F7988" s="2">
        <v>39.08</v>
      </c>
      <c r="G7988" s="2">
        <v>4</v>
      </c>
      <c r="H7988" s="2">
        <v>14.46</v>
      </c>
      <c r="I7988" t="str">
        <f t="shared" si="124"/>
        <v>Jul</v>
      </c>
      <c r="J7988">
        <f>YEAR(datas[[#This Row],[Order Date]])</f>
        <v>2024</v>
      </c>
    </row>
    <row r="7989" spans="1:10" ht="14.25" customHeight="1" x14ac:dyDescent="0.3">
      <c r="A7989" s="1">
        <v>45490</v>
      </c>
      <c r="B7989" s="2" t="s">
        <v>383</v>
      </c>
      <c r="C7989" s="2" t="s">
        <v>21</v>
      </c>
      <c r="D7989" s="2" t="s">
        <v>28</v>
      </c>
      <c r="E7989" s="2" t="s">
        <v>243</v>
      </c>
      <c r="F7989" s="2">
        <v>479.98</v>
      </c>
      <c r="G7989" s="2">
        <v>2</v>
      </c>
      <c r="H7989" s="2">
        <v>90</v>
      </c>
      <c r="I7989" t="str">
        <f t="shared" si="124"/>
        <v>Jul</v>
      </c>
      <c r="J7989">
        <f>YEAR(datas[[#This Row],[Order Date]])</f>
        <v>2024</v>
      </c>
    </row>
    <row r="7990" spans="1:10" ht="14.25" customHeight="1" x14ac:dyDescent="0.3">
      <c r="A7990" s="1">
        <v>45490</v>
      </c>
      <c r="B7990" s="2" t="s">
        <v>268</v>
      </c>
      <c r="C7990" s="2" t="s">
        <v>21</v>
      </c>
      <c r="D7990" s="2" t="s">
        <v>10</v>
      </c>
      <c r="E7990" s="2" t="s">
        <v>11</v>
      </c>
      <c r="F7990" s="2">
        <v>32.4</v>
      </c>
      <c r="G7990" s="2">
        <v>5</v>
      </c>
      <c r="H7990" s="2">
        <v>15.55</v>
      </c>
      <c r="I7990" t="str">
        <f t="shared" si="124"/>
        <v>Jul</v>
      </c>
      <c r="J7990">
        <f>YEAR(datas[[#This Row],[Order Date]])</f>
        <v>2024</v>
      </c>
    </row>
    <row r="7991" spans="1:10" ht="14.25" customHeight="1" x14ac:dyDescent="0.3">
      <c r="A7991" s="1">
        <v>45490</v>
      </c>
      <c r="B7991" s="2" t="s">
        <v>268</v>
      </c>
      <c r="C7991" s="2" t="s">
        <v>21</v>
      </c>
      <c r="D7991" s="2" t="s">
        <v>10</v>
      </c>
      <c r="E7991" s="2" t="s">
        <v>41</v>
      </c>
      <c r="F7991" s="2">
        <v>57.9</v>
      </c>
      <c r="G7991" s="2">
        <v>5</v>
      </c>
      <c r="H7991" s="2">
        <v>28.95</v>
      </c>
      <c r="I7991" t="str">
        <f t="shared" si="124"/>
        <v>Jul</v>
      </c>
      <c r="J7991">
        <f>YEAR(datas[[#This Row],[Order Date]])</f>
        <v>2024</v>
      </c>
    </row>
    <row r="7992" spans="1:10" ht="14.25" customHeight="1" x14ac:dyDescent="0.3">
      <c r="A7992" s="1">
        <v>45490</v>
      </c>
      <c r="B7992" s="2" t="s">
        <v>268</v>
      </c>
      <c r="C7992" s="2" t="s">
        <v>21</v>
      </c>
      <c r="D7992" s="2" t="s">
        <v>10</v>
      </c>
      <c r="E7992" s="2" t="s">
        <v>15</v>
      </c>
      <c r="F7992" s="2">
        <v>10.56</v>
      </c>
      <c r="G7992" s="2">
        <v>2</v>
      </c>
      <c r="H7992" s="2">
        <v>0</v>
      </c>
      <c r="I7992" t="str">
        <f t="shared" si="124"/>
        <v>Jul</v>
      </c>
      <c r="J7992">
        <f>YEAR(datas[[#This Row],[Order Date]])</f>
        <v>2024</v>
      </c>
    </row>
    <row r="7993" spans="1:10" ht="14.25" customHeight="1" x14ac:dyDescent="0.3">
      <c r="A7993" s="1">
        <v>45490</v>
      </c>
      <c r="B7993" s="2" t="s">
        <v>268</v>
      </c>
      <c r="C7993" s="2" t="s">
        <v>21</v>
      </c>
      <c r="D7993" s="2" t="s">
        <v>26</v>
      </c>
      <c r="E7993" s="2" t="s">
        <v>45</v>
      </c>
      <c r="F7993" s="2">
        <v>1194.17</v>
      </c>
      <c r="G7993" s="2">
        <v>5</v>
      </c>
      <c r="H7993" s="2">
        <v>210.74</v>
      </c>
      <c r="I7993" t="str">
        <f t="shared" si="124"/>
        <v>Jul</v>
      </c>
      <c r="J7993">
        <f>YEAR(datas[[#This Row],[Order Date]])</f>
        <v>2024</v>
      </c>
    </row>
    <row r="7994" spans="1:10" ht="14.25" customHeight="1" x14ac:dyDescent="0.3">
      <c r="A7994" s="1">
        <v>45491</v>
      </c>
      <c r="B7994" s="2" t="s">
        <v>577</v>
      </c>
      <c r="C7994" s="2" t="s">
        <v>55</v>
      </c>
      <c r="D7994" s="2" t="s">
        <v>26</v>
      </c>
      <c r="E7994" s="2" t="s">
        <v>73</v>
      </c>
      <c r="F7994" s="2">
        <v>801.6</v>
      </c>
      <c r="G7994" s="2">
        <v>5</v>
      </c>
      <c r="H7994" s="2">
        <v>-448.9</v>
      </c>
      <c r="I7994" t="str">
        <f t="shared" si="124"/>
        <v>Jul</v>
      </c>
      <c r="J7994">
        <f>YEAR(datas[[#This Row],[Order Date]])</f>
        <v>2024</v>
      </c>
    </row>
    <row r="7995" spans="1:10" ht="14.25" customHeight="1" x14ac:dyDescent="0.3">
      <c r="A7995" s="1">
        <v>45491</v>
      </c>
      <c r="B7995" s="2" t="s">
        <v>577</v>
      </c>
      <c r="C7995" s="2" t="s">
        <v>55</v>
      </c>
      <c r="D7995" s="2" t="s">
        <v>26</v>
      </c>
      <c r="E7995" s="2" t="s">
        <v>27</v>
      </c>
      <c r="F7995" s="2">
        <v>161.57</v>
      </c>
      <c r="G7995" s="2">
        <v>2</v>
      </c>
      <c r="H7995" s="2">
        <v>10.1</v>
      </c>
      <c r="I7995" t="str">
        <f t="shared" si="124"/>
        <v>Jul</v>
      </c>
      <c r="J7995">
        <f>YEAR(datas[[#This Row],[Order Date]])</f>
        <v>2024</v>
      </c>
    </row>
    <row r="7996" spans="1:10" ht="14.25" customHeight="1" x14ac:dyDescent="0.3">
      <c r="A7996" s="1">
        <v>45491</v>
      </c>
      <c r="B7996" s="2" t="s">
        <v>577</v>
      </c>
      <c r="C7996" s="2" t="s">
        <v>55</v>
      </c>
      <c r="D7996" s="2" t="s">
        <v>10</v>
      </c>
      <c r="E7996" s="2" t="s">
        <v>11</v>
      </c>
      <c r="F7996" s="2">
        <v>16.100000000000001</v>
      </c>
      <c r="G7996" s="2">
        <v>2</v>
      </c>
      <c r="H7996" s="2">
        <v>5.23</v>
      </c>
      <c r="I7996" t="str">
        <f t="shared" si="124"/>
        <v>Jul</v>
      </c>
      <c r="J7996">
        <f>YEAR(datas[[#This Row],[Order Date]])</f>
        <v>2024</v>
      </c>
    </row>
    <row r="7997" spans="1:10" ht="14.25" customHeight="1" x14ac:dyDescent="0.3">
      <c r="A7997" s="1">
        <v>45491</v>
      </c>
      <c r="B7997" s="2" t="s">
        <v>577</v>
      </c>
      <c r="C7997" s="2" t="s">
        <v>55</v>
      </c>
      <c r="D7997" s="2" t="s">
        <v>10</v>
      </c>
      <c r="E7997" s="2" t="s">
        <v>16</v>
      </c>
      <c r="F7997" s="2">
        <v>7.66</v>
      </c>
      <c r="G7997" s="2">
        <v>4</v>
      </c>
      <c r="H7997" s="2">
        <v>-6.12</v>
      </c>
      <c r="I7997" t="str">
        <f t="shared" si="124"/>
        <v>Jul</v>
      </c>
      <c r="J7997">
        <f>YEAR(datas[[#This Row],[Order Date]])</f>
        <v>2024</v>
      </c>
    </row>
    <row r="7998" spans="1:10" ht="14.25" customHeight="1" x14ac:dyDescent="0.3">
      <c r="A7998" s="1">
        <v>45491</v>
      </c>
      <c r="B7998" s="2" t="s">
        <v>577</v>
      </c>
      <c r="C7998" s="2" t="s">
        <v>55</v>
      </c>
      <c r="D7998" s="2" t="s">
        <v>26</v>
      </c>
      <c r="E7998" s="2" t="s">
        <v>27</v>
      </c>
      <c r="F7998" s="2">
        <v>311.98</v>
      </c>
      <c r="G7998" s="2">
        <v>3</v>
      </c>
      <c r="H7998" s="2">
        <v>-42.9</v>
      </c>
      <c r="I7998" t="str">
        <f t="shared" si="124"/>
        <v>Jul</v>
      </c>
      <c r="J7998">
        <f>YEAR(datas[[#This Row],[Order Date]])</f>
        <v>2024</v>
      </c>
    </row>
    <row r="7999" spans="1:10" ht="14.25" customHeight="1" x14ac:dyDescent="0.3">
      <c r="A7999" s="1">
        <v>45491</v>
      </c>
      <c r="B7999" s="2" t="s">
        <v>37</v>
      </c>
      <c r="C7999" s="2" t="s">
        <v>18</v>
      </c>
      <c r="D7999" s="2" t="s">
        <v>28</v>
      </c>
      <c r="E7999" s="2" t="s">
        <v>243</v>
      </c>
      <c r="F7999" s="2">
        <v>599.97</v>
      </c>
      <c r="G7999" s="2">
        <v>5</v>
      </c>
      <c r="H7999" s="2">
        <v>70</v>
      </c>
      <c r="I7999" t="str">
        <f t="shared" si="124"/>
        <v>Jul</v>
      </c>
      <c r="J7999">
        <f>YEAR(datas[[#This Row],[Order Date]])</f>
        <v>2024</v>
      </c>
    </row>
    <row r="8000" spans="1:10" ht="14.25" customHeight="1" x14ac:dyDescent="0.3">
      <c r="A8000" s="1">
        <v>45491</v>
      </c>
      <c r="B8000" s="2" t="s">
        <v>37</v>
      </c>
      <c r="C8000" s="2" t="s">
        <v>18</v>
      </c>
      <c r="D8000" s="2" t="s">
        <v>26</v>
      </c>
      <c r="E8000" s="2" t="s">
        <v>27</v>
      </c>
      <c r="F8000" s="2">
        <v>198.74</v>
      </c>
      <c r="G8000" s="2">
        <v>4</v>
      </c>
      <c r="H8000" s="2">
        <v>-14.2</v>
      </c>
      <c r="I8000" t="str">
        <f t="shared" si="124"/>
        <v>Jul</v>
      </c>
      <c r="J8000">
        <f>YEAR(datas[[#This Row],[Order Date]])</f>
        <v>2024</v>
      </c>
    </row>
    <row r="8001" spans="1:10" ht="14.25" customHeight="1" x14ac:dyDescent="0.3">
      <c r="A8001" s="1">
        <v>45491</v>
      </c>
      <c r="B8001" s="2" t="s">
        <v>37</v>
      </c>
      <c r="C8001" s="2" t="s">
        <v>18</v>
      </c>
      <c r="D8001" s="2" t="s">
        <v>10</v>
      </c>
      <c r="E8001" s="2" t="s">
        <v>95</v>
      </c>
      <c r="F8001" s="2">
        <v>9.18</v>
      </c>
      <c r="G8001" s="2">
        <v>2</v>
      </c>
      <c r="H8001" s="2">
        <v>1.1499999999999999</v>
      </c>
      <c r="I8001" t="str">
        <f t="shared" si="124"/>
        <v>Jul</v>
      </c>
      <c r="J8001">
        <f>YEAR(datas[[#This Row],[Order Date]])</f>
        <v>2024</v>
      </c>
    </row>
    <row r="8002" spans="1:10" ht="14.25" customHeight="1" x14ac:dyDescent="0.3">
      <c r="A8002" s="1">
        <v>45493</v>
      </c>
      <c r="B8002" s="2" t="s">
        <v>313</v>
      </c>
      <c r="C8002" s="2" t="s">
        <v>13</v>
      </c>
      <c r="D8002" s="2" t="s">
        <v>10</v>
      </c>
      <c r="E8002" s="2" t="s">
        <v>15</v>
      </c>
      <c r="F8002" s="2">
        <v>69.709999999999994</v>
      </c>
      <c r="G8002" s="2">
        <v>2</v>
      </c>
      <c r="H8002" s="2">
        <v>8.7100000000000009</v>
      </c>
      <c r="I8002" t="str">
        <f t="shared" si="124"/>
        <v>Jul</v>
      </c>
      <c r="J8002">
        <f>YEAR(datas[[#This Row],[Order Date]])</f>
        <v>2024</v>
      </c>
    </row>
    <row r="8003" spans="1:10" ht="14.25" customHeight="1" x14ac:dyDescent="0.3">
      <c r="A8003" s="1">
        <v>45493</v>
      </c>
      <c r="B8003" s="2" t="s">
        <v>313</v>
      </c>
      <c r="C8003" s="2" t="s">
        <v>13</v>
      </c>
      <c r="D8003" s="2" t="s">
        <v>26</v>
      </c>
      <c r="E8003" s="2" t="s">
        <v>32</v>
      </c>
      <c r="F8003" s="2">
        <v>8.7899999999999991</v>
      </c>
      <c r="G8003" s="2">
        <v>1</v>
      </c>
      <c r="H8003" s="2">
        <v>-5.71</v>
      </c>
      <c r="I8003" t="str">
        <f t="shared" ref="I8003:I8066" si="125">TEXT(A8003,"mmm")</f>
        <v>Jul</v>
      </c>
      <c r="J8003">
        <f>YEAR(datas[[#This Row],[Order Date]])</f>
        <v>2024</v>
      </c>
    </row>
    <row r="8004" spans="1:10" ht="14.25" customHeight="1" x14ac:dyDescent="0.3">
      <c r="A8004" s="1">
        <v>45493</v>
      </c>
      <c r="B8004" s="2" t="s">
        <v>623</v>
      </c>
      <c r="C8004" s="2" t="s">
        <v>71</v>
      </c>
      <c r="D8004" s="2" t="s">
        <v>10</v>
      </c>
      <c r="E8004" s="2" t="s">
        <v>14</v>
      </c>
      <c r="F8004" s="2">
        <v>14.62</v>
      </c>
      <c r="G8004" s="2">
        <v>2</v>
      </c>
      <c r="H8004" s="2">
        <v>6.87</v>
      </c>
      <c r="I8004" t="str">
        <f t="shared" si="125"/>
        <v>Jul</v>
      </c>
      <c r="J8004">
        <f>YEAR(datas[[#This Row],[Order Date]])</f>
        <v>2024</v>
      </c>
    </row>
    <row r="8005" spans="1:10" ht="14.25" customHeight="1" x14ac:dyDescent="0.3">
      <c r="A8005" s="1">
        <v>45493</v>
      </c>
      <c r="B8005" s="2" t="s">
        <v>623</v>
      </c>
      <c r="C8005" s="2" t="s">
        <v>71</v>
      </c>
      <c r="D8005" s="2" t="s">
        <v>10</v>
      </c>
      <c r="E8005" s="2" t="s">
        <v>53</v>
      </c>
      <c r="F8005" s="2">
        <v>416.32</v>
      </c>
      <c r="G8005" s="2">
        <v>2</v>
      </c>
      <c r="H8005" s="2">
        <v>112.41</v>
      </c>
      <c r="I8005" t="str">
        <f t="shared" si="125"/>
        <v>Jul</v>
      </c>
      <c r="J8005">
        <f>YEAR(datas[[#This Row],[Order Date]])</f>
        <v>2024</v>
      </c>
    </row>
    <row r="8006" spans="1:10" ht="14.25" customHeight="1" x14ac:dyDescent="0.3">
      <c r="A8006" s="1">
        <v>45493</v>
      </c>
      <c r="B8006" s="2" t="s">
        <v>623</v>
      </c>
      <c r="C8006" s="2" t="s">
        <v>71</v>
      </c>
      <c r="D8006" s="2" t="s">
        <v>10</v>
      </c>
      <c r="E8006" s="2" t="s">
        <v>16</v>
      </c>
      <c r="F8006" s="2">
        <v>43</v>
      </c>
      <c r="G8006" s="2">
        <v>5</v>
      </c>
      <c r="H8006" s="2">
        <v>20.21</v>
      </c>
      <c r="I8006" t="str">
        <f t="shared" si="125"/>
        <v>Jul</v>
      </c>
      <c r="J8006">
        <f>YEAR(datas[[#This Row],[Order Date]])</f>
        <v>2024</v>
      </c>
    </row>
    <row r="8007" spans="1:10" ht="14.25" customHeight="1" x14ac:dyDescent="0.3">
      <c r="A8007" s="1">
        <v>45493</v>
      </c>
      <c r="B8007" s="2" t="s">
        <v>623</v>
      </c>
      <c r="C8007" s="2" t="s">
        <v>71</v>
      </c>
      <c r="D8007" s="2" t="s">
        <v>26</v>
      </c>
      <c r="E8007" s="2" t="s">
        <v>27</v>
      </c>
      <c r="F8007" s="2">
        <v>182.94</v>
      </c>
      <c r="G8007" s="2">
        <v>3</v>
      </c>
      <c r="H8007" s="2">
        <v>27.44</v>
      </c>
      <c r="I8007" t="str">
        <f t="shared" si="125"/>
        <v>Jul</v>
      </c>
      <c r="J8007">
        <f>YEAR(datas[[#This Row],[Order Date]])</f>
        <v>2024</v>
      </c>
    </row>
    <row r="8008" spans="1:10" ht="14.25" customHeight="1" x14ac:dyDescent="0.3">
      <c r="A8008" s="1">
        <v>45493</v>
      </c>
      <c r="B8008" s="2" t="s">
        <v>623</v>
      </c>
      <c r="C8008" s="2" t="s">
        <v>71</v>
      </c>
      <c r="D8008" s="2" t="s">
        <v>10</v>
      </c>
      <c r="E8008" s="2" t="s">
        <v>16</v>
      </c>
      <c r="F8008" s="2">
        <v>60.83</v>
      </c>
      <c r="G8008" s="2">
        <v>7</v>
      </c>
      <c r="H8008" s="2">
        <v>30.42</v>
      </c>
      <c r="I8008" t="str">
        <f t="shared" si="125"/>
        <v>Jul</v>
      </c>
      <c r="J8008">
        <f>YEAR(datas[[#This Row],[Order Date]])</f>
        <v>2024</v>
      </c>
    </row>
    <row r="8009" spans="1:10" ht="14.25" customHeight="1" x14ac:dyDescent="0.3">
      <c r="A8009" s="1">
        <v>45493</v>
      </c>
      <c r="B8009" s="2" t="s">
        <v>623</v>
      </c>
      <c r="C8009" s="2" t="s">
        <v>71</v>
      </c>
      <c r="D8009" s="2" t="s">
        <v>28</v>
      </c>
      <c r="E8009" s="2" t="s">
        <v>34</v>
      </c>
      <c r="F8009" s="2">
        <v>389.97</v>
      </c>
      <c r="G8009" s="2">
        <v>3</v>
      </c>
      <c r="H8009" s="2">
        <v>132.59</v>
      </c>
      <c r="I8009" t="str">
        <f t="shared" si="125"/>
        <v>Jul</v>
      </c>
      <c r="J8009">
        <f>YEAR(datas[[#This Row],[Order Date]])</f>
        <v>2024</v>
      </c>
    </row>
    <row r="8010" spans="1:10" ht="14.25" customHeight="1" x14ac:dyDescent="0.3">
      <c r="A8010" s="1">
        <v>45493</v>
      </c>
      <c r="B8010" s="2" t="s">
        <v>507</v>
      </c>
      <c r="C8010" s="2" t="s">
        <v>140</v>
      </c>
      <c r="D8010" s="2" t="s">
        <v>10</v>
      </c>
      <c r="E8010" s="2" t="s">
        <v>16</v>
      </c>
      <c r="F8010" s="2">
        <v>735.98</v>
      </c>
      <c r="G8010" s="2">
        <v>2</v>
      </c>
      <c r="H8010" s="2">
        <v>331.19</v>
      </c>
      <c r="I8010" t="str">
        <f t="shared" si="125"/>
        <v>Jul</v>
      </c>
      <c r="J8010">
        <f>YEAR(datas[[#This Row],[Order Date]])</f>
        <v>2024</v>
      </c>
    </row>
    <row r="8011" spans="1:10" ht="14.25" customHeight="1" x14ac:dyDescent="0.3">
      <c r="A8011" s="1">
        <v>45493</v>
      </c>
      <c r="B8011" s="2" t="s">
        <v>346</v>
      </c>
      <c r="C8011" s="2" t="s">
        <v>75</v>
      </c>
      <c r="D8011" s="2" t="s">
        <v>10</v>
      </c>
      <c r="E8011" s="2" t="s">
        <v>11</v>
      </c>
      <c r="F8011" s="2">
        <v>13.36</v>
      </c>
      <c r="G8011" s="2">
        <v>2</v>
      </c>
      <c r="H8011" s="2">
        <v>6.41</v>
      </c>
      <c r="I8011" t="str">
        <f t="shared" si="125"/>
        <v>Jul</v>
      </c>
      <c r="J8011">
        <f>YEAR(datas[[#This Row],[Order Date]])</f>
        <v>2024</v>
      </c>
    </row>
    <row r="8012" spans="1:10" ht="14.25" customHeight="1" x14ac:dyDescent="0.3">
      <c r="A8012" s="1">
        <v>45493</v>
      </c>
      <c r="B8012" s="2" t="s">
        <v>346</v>
      </c>
      <c r="C8012" s="2" t="s">
        <v>75</v>
      </c>
      <c r="D8012" s="2" t="s">
        <v>26</v>
      </c>
      <c r="E8012" s="2" t="s">
        <v>27</v>
      </c>
      <c r="F8012" s="2">
        <v>163.76</v>
      </c>
      <c r="G8012" s="2">
        <v>2</v>
      </c>
      <c r="H8012" s="2">
        <v>25.47</v>
      </c>
      <c r="I8012" t="str">
        <f t="shared" si="125"/>
        <v>Jul</v>
      </c>
      <c r="J8012">
        <f>YEAR(datas[[#This Row],[Order Date]])</f>
        <v>2024</v>
      </c>
    </row>
    <row r="8013" spans="1:10" ht="14.25" customHeight="1" x14ac:dyDescent="0.3">
      <c r="A8013" s="1">
        <v>45493</v>
      </c>
      <c r="B8013" s="2" t="s">
        <v>346</v>
      </c>
      <c r="C8013" s="2" t="s">
        <v>75</v>
      </c>
      <c r="D8013" s="2" t="s">
        <v>26</v>
      </c>
      <c r="E8013" s="2" t="s">
        <v>32</v>
      </c>
      <c r="F8013" s="2">
        <v>183.92</v>
      </c>
      <c r="G8013" s="2">
        <v>4</v>
      </c>
      <c r="H8013" s="2">
        <v>31.27</v>
      </c>
      <c r="I8013" t="str">
        <f t="shared" si="125"/>
        <v>Jul</v>
      </c>
      <c r="J8013">
        <f>YEAR(datas[[#This Row],[Order Date]])</f>
        <v>2024</v>
      </c>
    </row>
    <row r="8014" spans="1:10" ht="14.25" customHeight="1" x14ac:dyDescent="0.3">
      <c r="A8014" s="1">
        <v>45494</v>
      </c>
      <c r="B8014" s="2" t="s">
        <v>653</v>
      </c>
      <c r="C8014" s="2" t="s">
        <v>87</v>
      </c>
      <c r="D8014" s="2" t="s">
        <v>10</v>
      </c>
      <c r="E8014" s="2" t="s">
        <v>11</v>
      </c>
      <c r="F8014" s="2">
        <v>6.48</v>
      </c>
      <c r="G8014" s="2">
        <v>1</v>
      </c>
      <c r="H8014" s="2">
        <v>3.18</v>
      </c>
      <c r="I8014" t="str">
        <f t="shared" si="125"/>
        <v>Jul</v>
      </c>
      <c r="J8014">
        <f>YEAR(datas[[#This Row],[Order Date]])</f>
        <v>2024</v>
      </c>
    </row>
    <row r="8015" spans="1:10" ht="14.25" customHeight="1" x14ac:dyDescent="0.3">
      <c r="A8015" s="1">
        <v>45494</v>
      </c>
      <c r="B8015" s="2" t="s">
        <v>654</v>
      </c>
      <c r="C8015" s="2" t="s">
        <v>134</v>
      </c>
      <c r="D8015" s="2" t="s">
        <v>28</v>
      </c>
      <c r="E8015" s="2" t="s">
        <v>29</v>
      </c>
      <c r="F8015" s="2">
        <v>71.930000000000007</v>
      </c>
      <c r="G8015" s="2">
        <v>9</v>
      </c>
      <c r="H8015" s="2">
        <v>6.29</v>
      </c>
      <c r="I8015" t="str">
        <f t="shared" si="125"/>
        <v>Jul</v>
      </c>
      <c r="J8015">
        <f>YEAR(datas[[#This Row],[Order Date]])</f>
        <v>2024</v>
      </c>
    </row>
    <row r="8016" spans="1:10" ht="14.25" customHeight="1" x14ac:dyDescent="0.3">
      <c r="A8016" s="1">
        <v>45494</v>
      </c>
      <c r="B8016" s="2" t="s">
        <v>654</v>
      </c>
      <c r="C8016" s="2" t="s">
        <v>134</v>
      </c>
      <c r="D8016" s="2" t="s">
        <v>10</v>
      </c>
      <c r="E8016" s="2" t="s">
        <v>19</v>
      </c>
      <c r="F8016" s="2">
        <v>25.99</v>
      </c>
      <c r="G8016" s="2">
        <v>1</v>
      </c>
      <c r="H8016" s="2">
        <v>7.54</v>
      </c>
      <c r="I8016" t="str">
        <f t="shared" si="125"/>
        <v>Jul</v>
      </c>
      <c r="J8016">
        <f>YEAR(datas[[#This Row],[Order Date]])</f>
        <v>2024</v>
      </c>
    </row>
    <row r="8017" spans="1:10" ht="14.25" customHeight="1" x14ac:dyDescent="0.3">
      <c r="A8017" s="1">
        <v>45494</v>
      </c>
      <c r="B8017" s="2" t="s">
        <v>820</v>
      </c>
      <c r="C8017" s="2" t="s">
        <v>47</v>
      </c>
      <c r="D8017" s="2" t="s">
        <v>10</v>
      </c>
      <c r="E8017" s="2" t="s">
        <v>16</v>
      </c>
      <c r="F8017" s="2">
        <v>33.93</v>
      </c>
      <c r="G8017" s="2">
        <v>3</v>
      </c>
      <c r="H8017" s="2">
        <v>-22.62</v>
      </c>
      <c r="I8017" t="str">
        <f t="shared" si="125"/>
        <v>Jul</v>
      </c>
      <c r="J8017">
        <f>YEAR(datas[[#This Row],[Order Date]])</f>
        <v>2024</v>
      </c>
    </row>
    <row r="8018" spans="1:10" ht="14.25" customHeight="1" x14ac:dyDescent="0.3">
      <c r="A8018" s="1">
        <v>45494</v>
      </c>
      <c r="B8018" s="2" t="s">
        <v>820</v>
      </c>
      <c r="C8018" s="2" t="s">
        <v>47</v>
      </c>
      <c r="D8018" s="2" t="s">
        <v>10</v>
      </c>
      <c r="E8018" s="2" t="s">
        <v>15</v>
      </c>
      <c r="F8018" s="2">
        <v>222.32</v>
      </c>
      <c r="G8018" s="2">
        <v>7</v>
      </c>
      <c r="H8018" s="2">
        <v>25.01</v>
      </c>
      <c r="I8018" t="str">
        <f t="shared" si="125"/>
        <v>Jul</v>
      </c>
      <c r="J8018">
        <f>YEAR(datas[[#This Row],[Order Date]])</f>
        <v>2024</v>
      </c>
    </row>
    <row r="8019" spans="1:10" ht="14.25" customHeight="1" x14ac:dyDescent="0.3">
      <c r="A8019" s="1">
        <v>45494</v>
      </c>
      <c r="B8019" s="2" t="s">
        <v>820</v>
      </c>
      <c r="C8019" s="2" t="s">
        <v>47</v>
      </c>
      <c r="D8019" s="2" t="s">
        <v>28</v>
      </c>
      <c r="E8019" s="2" t="s">
        <v>29</v>
      </c>
      <c r="F8019" s="2">
        <v>210.56</v>
      </c>
      <c r="G8019" s="2">
        <v>6</v>
      </c>
      <c r="H8019" s="2">
        <v>-52.64</v>
      </c>
      <c r="I8019" t="str">
        <f t="shared" si="125"/>
        <v>Jul</v>
      </c>
      <c r="J8019">
        <f>YEAR(datas[[#This Row],[Order Date]])</f>
        <v>2024</v>
      </c>
    </row>
    <row r="8020" spans="1:10" ht="14.25" customHeight="1" x14ac:dyDescent="0.3">
      <c r="A8020" s="1">
        <v>45494</v>
      </c>
      <c r="B8020" s="2" t="s">
        <v>552</v>
      </c>
      <c r="C8020" s="2" t="s">
        <v>36</v>
      </c>
      <c r="D8020" s="2" t="s">
        <v>10</v>
      </c>
      <c r="E8020" s="2" t="s">
        <v>19</v>
      </c>
      <c r="F8020" s="2">
        <v>101.94</v>
      </c>
      <c r="G8020" s="2">
        <v>6</v>
      </c>
      <c r="H8020" s="2">
        <v>29.56</v>
      </c>
      <c r="I8020" t="str">
        <f t="shared" si="125"/>
        <v>Jul</v>
      </c>
      <c r="J8020">
        <f>YEAR(datas[[#This Row],[Order Date]])</f>
        <v>2024</v>
      </c>
    </row>
    <row r="8021" spans="1:10" ht="14.25" customHeight="1" x14ac:dyDescent="0.3">
      <c r="A8021" s="1">
        <v>45494</v>
      </c>
      <c r="B8021" s="2" t="s">
        <v>552</v>
      </c>
      <c r="C8021" s="2" t="s">
        <v>36</v>
      </c>
      <c r="D8021" s="2" t="s">
        <v>28</v>
      </c>
      <c r="E8021" s="2" t="s">
        <v>29</v>
      </c>
      <c r="F8021" s="2">
        <v>271.95999999999998</v>
      </c>
      <c r="G8021" s="2">
        <v>4</v>
      </c>
      <c r="H8021" s="2">
        <v>67.989999999999995</v>
      </c>
      <c r="I8021" t="str">
        <f t="shared" si="125"/>
        <v>Jul</v>
      </c>
      <c r="J8021">
        <f>YEAR(datas[[#This Row],[Order Date]])</f>
        <v>2024</v>
      </c>
    </row>
    <row r="8022" spans="1:10" ht="14.25" customHeight="1" x14ac:dyDescent="0.3">
      <c r="A8022" s="1">
        <v>45494</v>
      </c>
      <c r="B8022" s="2" t="s">
        <v>552</v>
      </c>
      <c r="C8022" s="2" t="s">
        <v>36</v>
      </c>
      <c r="D8022" s="2" t="s">
        <v>26</v>
      </c>
      <c r="E8022" s="2" t="s">
        <v>32</v>
      </c>
      <c r="F8022" s="2">
        <v>8.8000000000000007</v>
      </c>
      <c r="G8022" s="2">
        <v>5</v>
      </c>
      <c r="H8022" s="2">
        <v>3.87</v>
      </c>
      <c r="I8022" t="str">
        <f t="shared" si="125"/>
        <v>Jul</v>
      </c>
      <c r="J8022">
        <f>YEAR(datas[[#This Row],[Order Date]])</f>
        <v>2024</v>
      </c>
    </row>
    <row r="8023" spans="1:10" ht="14.25" customHeight="1" x14ac:dyDescent="0.3">
      <c r="A8023" s="1">
        <v>45494</v>
      </c>
      <c r="B8023" s="2" t="s">
        <v>552</v>
      </c>
      <c r="C8023" s="2" t="s">
        <v>36</v>
      </c>
      <c r="D8023" s="2" t="s">
        <v>10</v>
      </c>
      <c r="E8023" s="2" t="s">
        <v>19</v>
      </c>
      <c r="F8023" s="2">
        <v>19.68</v>
      </c>
      <c r="G8023" s="2">
        <v>6</v>
      </c>
      <c r="H8023" s="2">
        <v>5.71</v>
      </c>
      <c r="I8023" t="str">
        <f t="shared" si="125"/>
        <v>Jul</v>
      </c>
      <c r="J8023">
        <f>YEAR(datas[[#This Row],[Order Date]])</f>
        <v>2024</v>
      </c>
    </row>
    <row r="8024" spans="1:10" ht="14.25" customHeight="1" x14ac:dyDescent="0.3">
      <c r="A8024" s="1">
        <v>45494</v>
      </c>
      <c r="B8024" s="2" t="s">
        <v>552</v>
      </c>
      <c r="C8024" s="2" t="s">
        <v>36</v>
      </c>
      <c r="D8024" s="2" t="s">
        <v>26</v>
      </c>
      <c r="E8024" s="2" t="s">
        <v>45</v>
      </c>
      <c r="F8024" s="2">
        <v>302.94</v>
      </c>
      <c r="G8024" s="2">
        <v>3</v>
      </c>
      <c r="H8024" s="2">
        <v>69.680000000000007</v>
      </c>
      <c r="I8024" t="str">
        <f t="shared" si="125"/>
        <v>Jul</v>
      </c>
      <c r="J8024">
        <f>YEAR(datas[[#This Row],[Order Date]])</f>
        <v>2024</v>
      </c>
    </row>
    <row r="8025" spans="1:10" ht="14.25" customHeight="1" x14ac:dyDescent="0.3">
      <c r="A8025" s="1">
        <v>45494</v>
      </c>
      <c r="B8025" s="2" t="s">
        <v>552</v>
      </c>
      <c r="C8025" s="2" t="s">
        <v>36</v>
      </c>
      <c r="D8025" s="2" t="s">
        <v>10</v>
      </c>
      <c r="E8025" s="2" t="s">
        <v>16</v>
      </c>
      <c r="F8025" s="2">
        <v>14.94</v>
      </c>
      <c r="G8025" s="2">
        <v>3</v>
      </c>
      <c r="H8025" s="2">
        <v>7.17</v>
      </c>
      <c r="I8025" t="str">
        <f t="shared" si="125"/>
        <v>Jul</v>
      </c>
      <c r="J8025">
        <f>YEAR(datas[[#This Row],[Order Date]])</f>
        <v>2024</v>
      </c>
    </row>
    <row r="8026" spans="1:10" ht="14.25" customHeight="1" x14ac:dyDescent="0.3">
      <c r="A8026" s="1">
        <v>45494</v>
      </c>
      <c r="B8026" s="2" t="s">
        <v>552</v>
      </c>
      <c r="C8026" s="2" t="s">
        <v>36</v>
      </c>
      <c r="D8026" s="2" t="s">
        <v>10</v>
      </c>
      <c r="E8026" s="2" t="s">
        <v>95</v>
      </c>
      <c r="F8026" s="2">
        <v>231.72</v>
      </c>
      <c r="G8026" s="2">
        <v>2</v>
      </c>
      <c r="H8026" s="2">
        <v>11.59</v>
      </c>
      <c r="I8026" t="str">
        <f t="shared" si="125"/>
        <v>Jul</v>
      </c>
      <c r="J8026">
        <f>YEAR(datas[[#This Row],[Order Date]])</f>
        <v>2024</v>
      </c>
    </row>
    <row r="8027" spans="1:10" ht="14.25" customHeight="1" x14ac:dyDescent="0.3">
      <c r="A8027" s="1">
        <v>45494</v>
      </c>
      <c r="B8027" s="2" t="s">
        <v>734</v>
      </c>
      <c r="C8027" s="2" t="s">
        <v>21</v>
      </c>
      <c r="D8027" s="2" t="s">
        <v>10</v>
      </c>
      <c r="E8027" s="2" t="s">
        <v>11</v>
      </c>
      <c r="F8027" s="2">
        <v>16.34</v>
      </c>
      <c r="G8027" s="2">
        <v>2</v>
      </c>
      <c r="H8027" s="2">
        <v>7.68</v>
      </c>
      <c r="I8027" t="str">
        <f t="shared" si="125"/>
        <v>Jul</v>
      </c>
      <c r="J8027">
        <f>YEAR(datas[[#This Row],[Order Date]])</f>
        <v>2024</v>
      </c>
    </row>
    <row r="8028" spans="1:10" ht="14.25" customHeight="1" x14ac:dyDescent="0.3">
      <c r="A8028" s="1">
        <v>45494</v>
      </c>
      <c r="B8028" s="2" t="s">
        <v>734</v>
      </c>
      <c r="C8028" s="2" t="s">
        <v>21</v>
      </c>
      <c r="D8028" s="2" t="s">
        <v>26</v>
      </c>
      <c r="E8028" s="2" t="s">
        <v>27</v>
      </c>
      <c r="F8028" s="2">
        <v>225.3</v>
      </c>
      <c r="G8028" s="2">
        <v>2</v>
      </c>
      <c r="H8028" s="2">
        <v>22.53</v>
      </c>
      <c r="I8028" t="str">
        <f t="shared" si="125"/>
        <v>Jul</v>
      </c>
      <c r="J8028">
        <f>YEAR(datas[[#This Row],[Order Date]])</f>
        <v>2024</v>
      </c>
    </row>
    <row r="8029" spans="1:10" ht="14.25" customHeight="1" x14ac:dyDescent="0.3">
      <c r="A8029" s="1">
        <v>45494</v>
      </c>
      <c r="B8029" s="2" t="s">
        <v>734</v>
      </c>
      <c r="C8029" s="2" t="s">
        <v>21</v>
      </c>
      <c r="D8029" s="2" t="s">
        <v>10</v>
      </c>
      <c r="E8029" s="2" t="s">
        <v>16</v>
      </c>
      <c r="F8029" s="2">
        <v>50.35</v>
      </c>
      <c r="G8029" s="2">
        <v>3</v>
      </c>
      <c r="H8029" s="2">
        <v>17.62</v>
      </c>
      <c r="I8029" t="str">
        <f t="shared" si="125"/>
        <v>Jul</v>
      </c>
      <c r="J8029">
        <f>YEAR(datas[[#This Row],[Order Date]])</f>
        <v>2024</v>
      </c>
    </row>
    <row r="8030" spans="1:10" ht="14.25" customHeight="1" x14ac:dyDescent="0.3">
      <c r="A8030" s="1">
        <v>45494</v>
      </c>
      <c r="B8030" s="2" t="s">
        <v>242</v>
      </c>
      <c r="C8030" s="2" t="s">
        <v>75</v>
      </c>
      <c r="D8030" s="2" t="s">
        <v>10</v>
      </c>
      <c r="E8030" s="2" t="s">
        <v>53</v>
      </c>
      <c r="F8030" s="2">
        <v>17.48</v>
      </c>
      <c r="G8030" s="2">
        <v>4</v>
      </c>
      <c r="H8030" s="2">
        <v>4.54</v>
      </c>
      <c r="I8030" t="str">
        <f t="shared" si="125"/>
        <v>Jul</v>
      </c>
      <c r="J8030">
        <f>YEAR(datas[[#This Row],[Order Date]])</f>
        <v>2024</v>
      </c>
    </row>
    <row r="8031" spans="1:10" ht="14.25" customHeight="1" x14ac:dyDescent="0.3">
      <c r="A8031" s="1">
        <v>45494</v>
      </c>
      <c r="B8031" s="2" t="s">
        <v>346</v>
      </c>
      <c r="C8031" s="2" t="s">
        <v>21</v>
      </c>
      <c r="D8031" s="2" t="s">
        <v>10</v>
      </c>
      <c r="E8031" s="2" t="s">
        <v>19</v>
      </c>
      <c r="F8031" s="2">
        <v>3.52</v>
      </c>
      <c r="G8031" s="2">
        <v>2</v>
      </c>
      <c r="H8031" s="2">
        <v>1.69</v>
      </c>
      <c r="I8031" t="str">
        <f t="shared" si="125"/>
        <v>Jul</v>
      </c>
      <c r="J8031">
        <f>YEAR(datas[[#This Row],[Order Date]])</f>
        <v>2024</v>
      </c>
    </row>
    <row r="8032" spans="1:10" ht="14.25" customHeight="1" x14ac:dyDescent="0.3">
      <c r="A8032" s="1">
        <v>45494</v>
      </c>
      <c r="B8032" s="2" t="s">
        <v>346</v>
      </c>
      <c r="C8032" s="2" t="s">
        <v>21</v>
      </c>
      <c r="D8032" s="2" t="s">
        <v>28</v>
      </c>
      <c r="E8032" s="2" t="s">
        <v>29</v>
      </c>
      <c r="F8032" s="2">
        <v>1626.19</v>
      </c>
      <c r="G8032" s="2">
        <v>9</v>
      </c>
      <c r="H8032" s="2">
        <v>121.96</v>
      </c>
      <c r="I8032" t="str">
        <f t="shared" si="125"/>
        <v>Jul</v>
      </c>
      <c r="J8032">
        <f>YEAR(datas[[#This Row],[Order Date]])</f>
        <v>2024</v>
      </c>
    </row>
    <row r="8033" spans="1:10" ht="14.25" customHeight="1" x14ac:dyDescent="0.3">
      <c r="A8033" s="1">
        <v>45494</v>
      </c>
      <c r="B8033" s="2" t="s">
        <v>414</v>
      </c>
      <c r="C8033" s="2" t="s">
        <v>9</v>
      </c>
      <c r="D8033" s="2" t="s">
        <v>26</v>
      </c>
      <c r="E8033" s="2" t="s">
        <v>73</v>
      </c>
      <c r="F8033" s="2">
        <v>124.4</v>
      </c>
      <c r="G8033" s="2">
        <v>4</v>
      </c>
      <c r="H8033" s="2">
        <v>-21.33</v>
      </c>
      <c r="I8033" t="str">
        <f t="shared" si="125"/>
        <v>Jul</v>
      </c>
      <c r="J8033">
        <f>YEAR(datas[[#This Row],[Order Date]])</f>
        <v>2024</v>
      </c>
    </row>
    <row r="8034" spans="1:10" ht="14.25" customHeight="1" x14ac:dyDescent="0.3">
      <c r="A8034" s="1">
        <v>45494</v>
      </c>
      <c r="B8034" s="2" t="s">
        <v>321</v>
      </c>
      <c r="C8034" s="2" t="s">
        <v>13</v>
      </c>
      <c r="D8034" s="2" t="s">
        <v>10</v>
      </c>
      <c r="E8034" s="2" t="s">
        <v>16</v>
      </c>
      <c r="F8034" s="2">
        <v>2.86</v>
      </c>
      <c r="G8034" s="2">
        <v>4</v>
      </c>
      <c r="H8034" s="2">
        <v>-4.58</v>
      </c>
      <c r="I8034" t="str">
        <f t="shared" si="125"/>
        <v>Jul</v>
      </c>
      <c r="J8034">
        <f>YEAR(datas[[#This Row],[Order Date]])</f>
        <v>2024</v>
      </c>
    </row>
    <row r="8035" spans="1:10" ht="14.25" customHeight="1" x14ac:dyDescent="0.3">
      <c r="A8035" s="1">
        <v>45494</v>
      </c>
      <c r="B8035" s="2" t="s">
        <v>321</v>
      </c>
      <c r="C8035" s="2" t="s">
        <v>13</v>
      </c>
      <c r="D8035" s="2" t="s">
        <v>10</v>
      </c>
      <c r="E8035" s="2" t="s">
        <v>16</v>
      </c>
      <c r="F8035" s="2">
        <v>94.19</v>
      </c>
      <c r="G8035" s="2">
        <v>7</v>
      </c>
      <c r="H8035" s="2">
        <v>-164.84</v>
      </c>
      <c r="I8035" t="str">
        <f t="shared" si="125"/>
        <v>Jul</v>
      </c>
      <c r="J8035">
        <f>YEAR(datas[[#This Row],[Order Date]])</f>
        <v>2024</v>
      </c>
    </row>
    <row r="8036" spans="1:10" ht="14.25" customHeight="1" x14ac:dyDescent="0.3">
      <c r="A8036" s="1">
        <v>45494</v>
      </c>
      <c r="B8036" s="2" t="s">
        <v>467</v>
      </c>
      <c r="C8036" s="2" t="s">
        <v>13</v>
      </c>
      <c r="D8036" s="2" t="s">
        <v>10</v>
      </c>
      <c r="E8036" s="2" t="s">
        <v>16</v>
      </c>
      <c r="F8036" s="2">
        <v>2.11</v>
      </c>
      <c r="G8036" s="2">
        <v>2</v>
      </c>
      <c r="H8036" s="2">
        <v>-3.38</v>
      </c>
      <c r="I8036" t="str">
        <f t="shared" si="125"/>
        <v>Jul</v>
      </c>
      <c r="J8036">
        <f>YEAR(datas[[#This Row],[Order Date]])</f>
        <v>2024</v>
      </c>
    </row>
    <row r="8037" spans="1:10" ht="14.25" customHeight="1" x14ac:dyDescent="0.3">
      <c r="A8037" s="1">
        <v>45495</v>
      </c>
      <c r="B8037" s="2" t="s">
        <v>541</v>
      </c>
      <c r="C8037" s="2" t="s">
        <v>75</v>
      </c>
      <c r="D8037" s="2" t="s">
        <v>28</v>
      </c>
      <c r="E8037" s="2" t="s">
        <v>29</v>
      </c>
      <c r="F8037" s="2">
        <v>29.97</v>
      </c>
      <c r="G8037" s="2">
        <v>3</v>
      </c>
      <c r="H8037" s="2">
        <v>14.09</v>
      </c>
      <c r="I8037" t="str">
        <f t="shared" si="125"/>
        <v>Jul</v>
      </c>
      <c r="J8037">
        <f>YEAR(datas[[#This Row],[Order Date]])</f>
        <v>2024</v>
      </c>
    </row>
    <row r="8038" spans="1:10" ht="14.25" customHeight="1" x14ac:dyDescent="0.3">
      <c r="A8038" s="1">
        <v>45495</v>
      </c>
      <c r="B8038" s="2" t="s">
        <v>81</v>
      </c>
      <c r="C8038" s="2" t="s">
        <v>13</v>
      </c>
      <c r="D8038" s="2" t="s">
        <v>26</v>
      </c>
      <c r="E8038" s="2" t="s">
        <v>27</v>
      </c>
      <c r="F8038" s="2">
        <v>526.34</v>
      </c>
      <c r="G8038" s="2">
        <v>4</v>
      </c>
      <c r="H8038" s="2">
        <v>-75.19</v>
      </c>
      <c r="I8038" t="str">
        <f t="shared" si="125"/>
        <v>Jul</v>
      </c>
      <c r="J8038">
        <f>YEAR(datas[[#This Row],[Order Date]])</f>
        <v>2024</v>
      </c>
    </row>
    <row r="8039" spans="1:10" ht="14.25" customHeight="1" x14ac:dyDescent="0.3">
      <c r="A8039" s="1">
        <v>45496</v>
      </c>
      <c r="B8039" s="2" t="s">
        <v>141</v>
      </c>
      <c r="C8039" s="2" t="s">
        <v>75</v>
      </c>
      <c r="D8039" s="2" t="s">
        <v>10</v>
      </c>
      <c r="E8039" s="2" t="s">
        <v>16</v>
      </c>
      <c r="F8039" s="2">
        <v>13.13</v>
      </c>
      <c r="G8039" s="2">
        <v>3</v>
      </c>
      <c r="H8039" s="2">
        <v>4.2699999999999996</v>
      </c>
      <c r="I8039" t="str">
        <f t="shared" si="125"/>
        <v>Jul</v>
      </c>
      <c r="J8039">
        <f>YEAR(datas[[#This Row],[Order Date]])</f>
        <v>2024</v>
      </c>
    </row>
    <row r="8040" spans="1:10" ht="14.25" customHeight="1" x14ac:dyDescent="0.3">
      <c r="A8040" s="1">
        <v>45496</v>
      </c>
      <c r="B8040" s="2" t="s">
        <v>422</v>
      </c>
      <c r="C8040" s="2" t="s">
        <v>68</v>
      </c>
      <c r="D8040" s="2" t="s">
        <v>10</v>
      </c>
      <c r="E8040" s="2" t="s">
        <v>19</v>
      </c>
      <c r="F8040" s="2">
        <v>11.68</v>
      </c>
      <c r="G8040" s="2">
        <v>2</v>
      </c>
      <c r="H8040" s="2">
        <v>5.49</v>
      </c>
      <c r="I8040" t="str">
        <f t="shared" si="125"/>
        <v>Jul</v>
      </c>
      <c r="J8040">
        <f>YEAR(datas[[#This Row],[Order Date]])</f>
        <v>2024</v>
      </c>
    </row>
    <row r="8041" spans="1:10" ht="14.25" customHeight="1" x14ac:dyDescent="0.3">
      <c r="A8041" s="1">
        <v>45496</v>
      </c>
      <c r="B8041" s="2" t="s">
        <v>422</v>
      </c>
      <c r="C8041" s="2" t="s">
        <v>68</v>
      </c>
      <c r="D8041" s="2" t="s">
        <v>28</v>
      </c>
      <c r="E8041" s="2" t="s">
        <v>34</v>
      </c>
      <c r="F8041" s="2">
        <v>159.75</v>
      </c>
      <c r="G8041" s="2">
        <v>5</v>
      </c>
      <c r="H8041" s="2">
        <v>11.18</v>
      </c>
      <c r="I8041" t="str">
        <f t="shared" si="125"/>
        <v>Jul</v>
      </c>
      <c r="J8041">
        <f>YEAR(datas[[#This Row],[Order Date]])</f>
        <v>2024</v>
      </c>
    </row>
    <row r="8042" spans="1:10" ht="14.25" customHeight="1" x14ac:dyDescent="0.3">
      <c r="A8042" s="1">
        <v>45496</v>
      </c>
      <c r="B8042" s="2" t="s">
        <v>452</v>
      </c>
      <c r="C8042" s="2" t="s">
        <v>75</v>
      </c>
      <c r="D8042" s="2" t="s">
        <v>10</v>
      </c>
      <c r="E8042" s="2" t="s">
        <v>14</v>
      </c>
      <c r="F8042" s="2">
        <v>41.4</v>
      </c>
      <c r="G8042" s="2">
        <v>4</v>
      </c>
      <c r="H8042" s="2">
        <v>19.87</v>
      </c>
      <c r="I8042" t="str">
        <f t="shared" si="125"/>
        <v>Jul</v>
      </c>
      <c r="J8042">
        <f>YEAR(datas[[#This Row],[Order Date]])</f>
        <v>2024</v>
      </c>
    </row>
    <row r="8043" spans="1:10" ht="14.25" customHeight="1" x14ac:dyDescent="0.3">
      <c r="A8043" s="1">
        <v>45496</v>
      </c>
      <c r="B8043" s="2" t="s">
        <v>88</v>
      </c>
      <c r="C8043" s="2" t="s">
        <v>75</v>
      </c>
      <c r="D8043" s="2" t="s">
        <v>10</v>
      </c>
      <c r="E8043" s="2" t="s">
        <v>16</v>
      </c>
      <c r="F8043" s="2">
        <v>13.92</v>
      </c>
      <c r="G8043" s="2">
        <v>3</v>
      </c>
      <c r="H8043" s="2">
        <v>4.3499999999999996</v>
      </c>
      <c r="I8043" t="str">
        <f t="shared" si="125"/>
        <v>Jul</v>
      </c>
      <c r="J8043">
        <f>YEAR(datas[[#This Row],[Order Date]])</f>
        <v>2024</v>
      </c>
    </row>
    <row r="8044" spans="1:10" ht="14.25" customHeight="1" x14ac:dyDescent="0.3">
      <c r="A8044" s="1">
        <v>45496</v>
      </c>
      <c r="B8044" s="2" t="s">
        <v>779</v>
      </c>
      <c r="C8044" s="2" t="s">
        <v>13</v>
      </c>
      <c r="D8044" s="2" t="s">
        <v>10</v>
      </c>
      <c r="E8044" s="2" t="s">
        <v>11</v>
      </c>
      <c r="F8044" s="2">
        <v>63.31</v>
      </c>
      <c r="G8044" s="2">
        <v>3</v>
      </c>
      <c r="H8044" s="2">
        <v>20.58</v>
      </c>
      <c r="I8044" t="str">
        <f t="shared" si="125"/>
        <v>Jul</v>
      </c>
      <c r="J8044">
        <f>YEAR(datas[[#This Row],[Order Date]])</f>
        <v>2024</v>
      </c>
    </row>
    <row r="8045" spans="1:10" ht="14.25" customHeight="1" x14ac:dyDescent="0.3">
      <c r="A8045" s="1">
        <v>45496</v>
      </c>
      <c r="B8045" s="2" t="s">
        <v>748</v>
      </c>
      <c r="C8045" s="2" t="s">
        <v>79</v>
      </c>
      <c r="D8045" s="2" t="s">
        <v>28</v>
      </c>
      <c r="E8045" s="2" t="s">
        <v>34</v>
      </c>
      <c r="F8045" s="2">
        <v>399.95</v>
      </c>
      <c r="G8045" s="2">
        <v>5</v>
      </c>
      <c r="H8045" s="2">
        <v>143.97999999999999</v>
      </c>
      <c r="I8045" t="str">
        <f t="shared" si="125"/>
        <v>Jul</v>
      </c>
      <c r="J8045">
        <f>YEAR(datas[[#This Row],[Order Date]])</f>
        <v>2024</v>
      </c>
    </row>
    <row r="8046" spans="1:10" ht="14.25" customHeight="1" x14ac:dyDescent="0.3">
      <c r="A8046" s="1">
        <v>45496</v>
      </c>
      <c r="B8046" s="2" t="s">
        <v>534</v>
      </c>
      <c r="C8046" s="2" t="s">
        <v>21</v>
      </c>
      <c r="D8046" s="2" t="s">
        <v>10</v>
      </c>
      <c r="E8046" s="2" t="s">
        <v>16</v>
      </c>
      <c r="F8046" s="2">
        <v>15.19</v>
      </c>
      <c r="G8046" s="2">
        <v>3</v>
      </c>
      <c r="H8046" s="2">
        <v>5.51</v>
      </c>
      <c r="I8046" t="str">
        <f t="shared" si="125"/>
        <v>Jul</v>
      </c>
      <c r="J8046">
        <f>YEAR(datas[[#This Row],[Order Date]])</f>
        <v>2024</v>
      </c>
    </row>
    <row r="8047" spans="1:10" ht="14.25" customHeight="1" x14ac:dyDescent="0.3">
      <c r="A8047" s="1">
        <v>45496</v>
      </c>
      <c r="B8047" s="2" t="s">
        <v>534</v>
      </c>
      <c r="C8047" s="2" t="s">
        <v>21</v>
      </c>
      <c r="D8047" s="2" t="s">
        <v>10</v>
      </c>
      <c r="E8047" s="2" t="s">
        <v>11</v>
      </c>
      <c r="F8047" s="2">
        <v>58.32</v>
      </c>
      <c r="G8047" s="2">
        <v>9</v>
      </c>
      <c r="H8047" s="2">
        <v>27.99</v>
      </c>
      <c r="I8047" t="str">
        <f t="shared" si="125"/>
        <v>Jul</v>
      </c>
      <c r="J8047">
        <f>YEAR(datas[[#This Row],[Order Date]])</f>
        <v>2024</v>
      </c>
    </row>
    <row r="8048" spans="1:10" ht="14.25" customHeight="1" x14ac:dyDescent="0.3">
      <c r="A8048" s="1">
        <v>45496</v>
      </c>
      <c r="B8048" s="2" t="s">
        <v>142</v>
      </c>
      <c r="C8048" s="2" t="s">
        <v>13</v>
      </c>
      <c r="D8048" s="2" t="s">
        <v>10</v>
      </c>
      <c r="E8048" s="2" t="s">
        <v>19</v>
      </c>
      <c r="F8048" s="2">
        <v>121.54</v>
      </c>
      <c r="G8048" s="2">
        <v>4</v>
      </c>
      <c r="H8048" s="2">
        <v>15.19</v>
      </c>
      <c r="I8048" t="str">
        <f t="shared" si="125"/>
        <v>Jul</v>
      </c>
      <c r="J8048">
        <f>YEAR(datas[[#This Row],[Order Date]])</f>
        <v>2024</v>
      </c>
    </row>
    <row r="8049" spans="1:10" ht="14.25" customHeight="1" x14ac:dyDescent="0.3">
      <c r="A8049" s="1">
        <v>45497</v>
      </c>
      <c r="B8049" s="2" t="s">
        <v>607</v>
      </c>
      <c r="C8049" s="2" t="s">
        <v>21</v>
      </c>
      <c r="D8049" s="2" t="s">
        <v>28</v>
      </c>
      <c r="E8049" s="2" t="s">
        <v>243</v>
      </c>
      <c r="F8049" s="2">
        <v>2399.96</v>
      </c>
      <c r="G8049" s="2">
        <v>5</v>
      </c>
      <c r="H8049" s="2">
        <v>839.99</v>
      </c>
      <c r="I8049" t="str">
        <f t="shared" si="125"/>
        <v>Jul</v>
      </c>
      <c r="J8049">
        <f>YEAR(datas[[#This Row],[Order Date]])</f>
        <v>2024</v>
      </c>
    </row>
    <row r="8050" spans="1:10" ht="14.25" customHeight="1" x14ac:dyDescent="0.3">
      <c r="A8050" s="1">
        <v>45498</v>
      </c>
      <c r="B8050" s="2" t="s">
        <v>819</v>
      </c>
      <c r="C8050" s="2" t="s">
        <v>71</v>
      </c>
      <c r="D8050" s="2" t="s">
        <v>10</v>
      </c>
      <c r="E8050" s="2" t="s">
        <v>14</v>
      </c>
      <c r="F8050" s="2">
        <v>20.23</v>
      </c>
      <c r="G8050" s="2">
        <v>7</v>
      </c>
      <c r="H8050" s="2">
        <v>9.51</v>
      </c>
      <c r="I8050" t="str">
        <f t="shared" si="125"/>
        <v>Jul</v>
      </c>
      <c r="J8050">
        <f>YEAR(datas[[#This Row],[Order Date]])</f>
        <v>2024</v>
      </c>
    </row>
    <row r="8051" spans="1:10" ht="14.25" customHeight="1" x14ac:dyDescent="0.3">
      <c r="A8051" s="1">
        <v>45498</v>
      </c>
      <c r="B8051" s="2" t="s">
        <v>177</v>
      </c>
      <c r="C8051" s="2" t="s">
        <v>18</v>
      </c>
      <c r="D8051" s="2" t="s">
        <v>10</v>
      </c>
      <c r="E8051" s="2" t="s">
        <v>14</v>
      </c>
      <c r="F8051" s="2">
        <v>3.3</v>
      </c>
      <c r="G8051" s="2">
        <v>1</v>
      </c>
      <c r="H8051" s="2">
        <v>1.07</v>
      </c>
      <c r="I8051" t="str">
        <f t="shared" si="125"/>
        <v>Jul</v>
      </c>
      <c r="J8051">
        <f>YEAR(datas[[#This Row],[Order Date]])</f>
        <v>2024</v>
      </c>
    </row>
    <row r="8052" spans="1:10" ht="14.25" customHeight="1" x14ac:dyDescent="0.3">
      <c r="A8052" s="1">
        <v>45498</v>
      </c>
      <c r="B8052" s="2" t="s">
        <v>476</v>
      </c>
      <c r="C8052" s="2" t="s">
        <v>18</v>
      </c>
      <c r="D8052" s="2" t="s">
        <v>26</v>
      </c>
      <c r="E8052" s="2" t="s">
        <v>32</v>
      </c>
      <c r="F8052" s="2">
        <v>20.100000000000001</v>
      </c>
      <c r="G8052" s="2">
        <v>4</v>
      </c>
      <c r="H8052" s="2">
        <v>3.01</v>
      </c>
      <c r="I8052" t="str">
        <f t="shared" si="125"/>
        <v>Jul</v>
      </c>
      <c r="J8052">
        <f>YEAR(datas[[#This Row],[Order Date]])</f>
        <v>2024</v>
      </c>
    </row>
    <row r="8053" spans="1:10" ht="14.25" customHeight="1" x14ac:dyDescent="0.3">
      <c r="A8053" s="1">
        <v>45498</v>
      </c>
      <c r="B8053" s="2" t="s">
        <v>476</v>
      </c>
      <c r="C8053" s="2" t="s">
        <v>18</v>
      </c>
      <c r="D8053" s="2" t="s">
        <v>10</v>
      </c>
      <c r="E8053" s="2" t="s">
        <v>95</v>
      </c>
      <c r="F8053" s="2">
        <v>37.75</v>
      </c>
      <c r="G8053" s="2">
        <v>3</v>
      </c>
      <c r="H8053" s="2">
        <v>4.25</v>
      </c>
      <c r="I8053" t="str">
        <f t="shared" si="125"/>
        <v>Jul</v>
      </c>
      <c r="J8053">
        <f>YEAR(datas[[#This Row],[Order Date]])</f>
        <v>2024</v>
      </c>
    </row>
    <row r="8054" spans="1:10" ht="14.25" customHeight="1" x14ac:dyDescent="0.3">
      <c r="A8054" s="1">
        <v>45498</v>
      </c>
      <c r="B8054" s="2" t="s">
        <v>476</v>
      </c>
      <c r="C8054" s="2" t="s">
        <v>18</v>
      </c>
      <c r="D8054" s="2" t="s">
        <v>26</v>
      </c>
      <c r="E8054" s="2" t="s">
        <v>73</v>
      </c>
      <c r="F8054" s="2">
        <v>138.59</v>
      </c>
      <c r="G8054" s="2">
        <v>1</v>
      </c>
      <c r="H8054" s="2">
        <v>-34.65</v>
      </c>
      <c r="I8054" t="str">
        <f t="shared" si="125"/>
        <v>Jul</v>
      </c>
      <c r="J8054">
        <f>YEAR(datas[[#This Row],[Order Date]])</f>
        <v>2024</v>
      </c>
    </row>
    <row r="8055" spans="1:10" ht="14.25" customHeight="1" x14ac:dyDescent="0.3">
      <c r="A8055" s="1">
        <v>45498</v>
      </c>
      <c r="B8055" s="2" t="s">
        <v>476</v>
      </c>
      <c r="C8055" s="2" t="s">
        <v>18</v>
      </c>
      <c r="D8055" s="2" t="s">
        <v>10</v>
      </c>
      <c r="E8055" s="2" t="s">
        <v>15</v>
      </c>
      <c r="F8055" s="2">
        <v>259.92</v>
      </c>
      <c r="G8055" s="2">
        <v>5</v>
      </c>
      <c r="H8055" s="2">
        <v>-25.99</v>
      </c>
      <c r="I8055" t="str">
        <f t="shared" si="125"/>
        <v>Jul</v>
      </c>
      <c r="J8055">
        <f>YEAR(datas[[#This Row],[Order Date]])</f>
        <v>2024</v>
      </c>
    </row>
    <row r="8056" spans="1:10" ht="14.25" customHeight="1" x14ac:dyDescent="0.3">
      <c r="A8056" s="1">
        <v>45498</v>
      </c>
      <c r="B8056" s="2" t="s">
        <v>476</v>
      </c>
      <c r="C8056" s="2" t="s">
        <v>18</v>
      </c>
      <c r="D8056" s="2" t="s">
        <v>10</v>
      </c>
      <c r="E8056" s="2" t="s">
        <v>11</v>
      </c>
      <c r="F8056" s="2">
        <v>20.74</v>
      </c>
      <c r="G8056" s="2">
        <v>4</v>
      </c>
      <c r="H8056" s="2">
        <v>7.26</v>
      </c>
      <c r="I8056" t="str">
        <f t="shared" si="125"/>
        <v>Jul</v>
      </c>
      <c r="J8056">
        <f>YEAR(datas[[#This Row],[Order Date]])</f>
        <v>2024</v>
      </c>
    </row>
    <row r="8057" spans="1:10" ht="14.25" customHeight="1" x14ac:dyDescent="0.3">
      <c r="A8057" s="1">
        <v>45498</v>
      </c>
      <c r="B8057" s="2" t="s">
        <v>800</v>
      </c>
      <c r="C8057" s="2" t="s">
        <v>9</v>
      </c>
      <c r="D8057" s="2" t="s">
        <v>26</v>
      </c>
      <c r="E8057" s="2" t="s">
        <v>73</v>
      </c>
      <c r="F8057" s="2">
        <v>298.12</v>
      </c>
      <c r="G8057" s="2">
        <v>6</v>
      </c>
      <c r="H8057" s="2">
        <v>-4.26</v>
      </c>
      <c r="I8057" t="str">
        <f t="shared" si="125"/>
        <v>Jul</v>
      </c>
      <c r="J8057">
        <f>YEAR(datas[[#This Row],[Order Date]])</f>
        <v>2024</v>
      </c>
    </row>
    <row r="8058" spans="1:10" ht="14.25" customHeight="1" x14ac:dyDescent="0.3">
      <c r="A8058" s="1">
        <v>45499</v>
      </c>
      <c r="B8058" s="2" t="s">
        <v>505</v>
      </c>
      <c r="C8058" s="2" t="s">
        <v>21</v>
      </c>
      <c r="D8058" s="2" t="s">
        <v>28</v>
      </c>
      <c r="E8058" s="2" t="s">
        <v>34</v>
      </c>
      <c r="F8058" s="2">
        <v>1649.95</v>
      </c>
      <c r="G8058" s="2">
        <v>5</v>
      </c>
      <c r="H8058" s="2">
        <v>659.98</v>
      </c>
      <c r="I8058" t="str">
        <f t="shared" si="125"/>
        <v>Jul</v>
      </c>
      <c r="J8058">
        <f>YEAR(datas[[#This Row],[Order Date]])</f>
        <v>2024</v>
      </c>
    </row>
    <row r="8059" spans="1:10" ht="14.25" customHeight="1" x14ac:dyDescent="0.3">
      <c r="A8059" s="1">
        <v>45499</v>
      </c>
      <c r="B8059" s="2" t="s">
        <v>505</v>
      </c>
      <c r="C8059" s="2" t="s">
        <v>21</v>
      </c>
      <c r="D8059" s="2" t="s">
        <v>26</v>
      </c>
      <c r="E8059" s="2" t="s">
        <v>27</v>
      </c>
      <c r="F8059" s="2">
        <v>362.35</v>
      </c>
      <c r="G8059" s="2">
        <v>3</v>
      </c>
      <c r="H8059" s="2">
        <v>45.29</v>
      </c>
      <c r="I8059" t="str">
        <f t="shared" si="125"/>
        <v>Jul</v>
      </c>
      <c r="J8059">
        <f>YEAR(datas[[#This Row],[Order Date]])</f>
        <v>2024</v>
      </c>
    </row>
    <row r="8060" spans="1:10" ht="14.25" customHeight="1" x14ac:dyDescent="0.3">
      <c r="A8060" s="1">
        <v>45500</v>
      </c>
      <c r="B8060" s="2" t="s">
        <v>169</v>
      </c>
      <c r="C8060" s="2" t="s">
        <v>64</v>
      </c>
      <c r="D8060" s="2" t="s">
        <v>26</v>
      </c>
      <c r="E8060" s="2" t="s">
        <v>32</v>
      </c>
      <c r="F8060" s="2">
        <v>91.03</v>
      </c>
      <c r="G8060" s="2">
        <v>3</v>
      </c>
      <c r="H8060" s="2">
        <v>-2.2799999999999998</v>
      </c>
      <c r="I8060" t="str">
        <f t="shared" si="125"/>
        <v>Jul</v>
      </c>
      <c r="J8060">
        <f>YEAR(datas[[#This Row],[Order Date]])</f>
        <v>2024</v>
      </c>
    </row>
    <row r="8061" spans="1:10" ht="14.25" customHeight="1" x14ac:dyDescent="0.3">
      <c r="A8061" s="1">
        <v>45500</v>
      </c>
      <c r="B8061" s="2" t="s">
        <v>859</v>
      </c>
      <c r="C8061" s="2" t="s">
        <v>75</v>
      </c>
      <c r="D8061" s="2" t="s">
        <v>26</v>
      </c>
      <c r="E8061" s="2" t="s">
        <v>32</v>
      </c>
      <c r="F8061" s="2">
        <v>14.89</v>
      </c>
      <c r="G8061" s="2">
        <v>1</v>
      </c>
      <c r="H8061" s="2">
        <v>4.0199999999999996</v>
      </c>
      <c r="I8061" t="str">
        <f t="shared" si="125"/>
        <v>Jul</v>
      </c>
      <c r="J8061">
        <f>YEAR(datas[[#This Row],[Order Date]])</f>
        <v>2024</v>
      </c>
    </row>
    <row r="8062" spans="1:10" ht="14.25" customHeight="1" x14ac:dyDescent="0.3">
      <c r="A8062" s="1">
        <v>45500</v>
      </c>
      <c r="B8062" s="2" t="s">
        <v>859</v>
      </c>
      <c r="C8062" s="2" t="s">
        <v>75</v>
      </c>
      <c r="D8062" s="2" t="s">
        <v>28</v>
      </c>
      <c r="E8062" s="2" t="s">
        <v>29</v>
      </c>
      <c r="F8062" s="2">
        <v>543.91999999999996</v>
      </c>
      <c r="G8062" s="2">
        <v>8</v>
      </c>
      <c r="H8062" s="2">
        <v>135.97999999999999</v>
      </c>
      <c r="I8062" t="str">
        <f t="shared" si="125"/>
        <v>Jul</v>
      </c>
      <c r="J8062">
        <f>YEAR(datas[[#This Row],[Order Date]])</f>
        <v>2024</v>
      </c>
    </row>
    <row r="8063" spans="1:10" ht="14.25" customHeight="1" x14ac:dyDescent="0.3">
      <c r="A8063" s="1">
        <v>45500</v>
      </c>
      <c r="B8063" s="2" t="s">
        <v>450</v>
      </c>
      <c r="C8063" s="2" t="s">
        <v>82</v>
      </c>
      <c r="D8063" s="2" t="s">
        <v>26</v>
      </c>
      <c r="E8063" s="2" t="s">
        <v>32</v>
      </c>
      <c r="F8063" s="2">
        <v>23.88</v>
      </c>
      <c r="G8063" s="2">
        <v>3</v>
      </c>
      <c r="H8063" s="2">
        <v>10.51</v>
      </c>
      <c r="I8063" t="str">
        <f t="shared" si="125"/>
        <v>Jul</v>
      </c>
      <c r="J8063">
        <f>YEAR(datas[[#This Row],[Order Date]])</f>
        <v>2024</v>
      </c>
    </row>
    <row r="8064" spans="1:10" ht="14.25" customHeight="1" x14ac:dyDescent="0.3">
      <c r="A8064" s="1">
        <v>45500</v>
      </c>
      <c r="B8064" s="2" t="s">
        <v>450</v>
      </c>
      <c r="C8064" s="2" t="s">
        <v>82</v>
      </c>
      <c r="D8064" s="2" t="s">
        <v>10</v>
      </c>
      <c r="E8064" s="2" t="s">
        <v>11</v>
      </c>
      <c r="F8064" s="2">
        <v>26.2</v>
      </c>
      <c r="G8064" s="2">
        <v>4</v>
      </c>
      <c r="H8064" s="2">
        <v>12.05</v>
      </c>
      <c r="I8064" t="str">
        <f t="shared" si="125"/>
        <v>Jul</v>
      </c>
      <c r="J8064">
        <f>YEAR(datas[[#This Row],[Order Date]])</f>
        <v>2024</v>
      </c>
    </row>
    <row r="8065" spans="1:10" ht="14.25" customHeight="1" x14ac:dyDescent="0.3">
      <c r="A8065" s="1">
        <v>45500</v>
      </c>
      <c r="B8065" s="2" t="s">
        <v>450</v>
      </c>
      <c r="C8065" s="2" t="s">
        <v>82</v>
      </c>
      <c r="D8065" s="2" t="s">
        <v>10</v>
      </c>
      <c r="E8065" s="2" t="s">
        <v>11</v>
      </c>
      <c r="F8065" s="2">
        <v>12.96</v>
      </c>
      <c r="G8065" s="2">
        <v>2</v>
      </c>
      <c r="H8065" s="2">
        <v>6.22</v>
      </c>
      <c r="I8065" t="str">
        <f t="shared" si="125"/>
        <v>Jul</v>
      </c>
      <c r="J8065">
        <f>YEAR(datas[[#This Row],[Order Date]])</f>
        <v>2024</v>
      </c>
    </row>
    <row r="8066" spans="1:10" ht="14.25" customHeight="1" x14ac:dyDescent="0.3">
      <c r="A8066" s="1">
        <v>45500</v>
      </c>
      <c r="B8066" s="2" t="s">
        <v>450</v>
      </c>
      <c r="C8066" s="2" t="s">
        <v>82</v>
      </c>
      <c r="D8066" s="2" t="s">
        <v>28</v>
      </c>
      <c r="E8066" s="2" t="s">
        <v>34</v>
      </c>
      <c r="F8066" s="2">
        <v>234.95</v>
      </c>
      <c r="G8066" s="2">
        <v>5</v>
      </c>
      <c r="H8066" s="2">
        <v>32.89</v>
      </c>
      <c r="I8066" t="str">
        <f t="shared" si="125"/>
        <v>Jul</v>
      </c>
      <c r="J8066">
        <f>YEAR(datas[[#This Row],[Order Date]])</f>
        <v>2024</v>
      </c>
    </row>
    <row r="8067" spans="1:10" ht="14.25" customHeight="1" x14ac:dyDescent="0.3">
      <c r="A8067" s="1">
        <v>45500</v>
      </c>
      <c r="B8067" s="2" t="s">
        <v>750</v>
      </c>
      <c r="C8067" s="2" t="s">
        <v>115</v>
      </c>
      <c r="D8067" s="2" t="s">
        <v>26</v>
      </c>
      <c r="E8067" s="2" t="s">
        <v>27</v>
      </c>
      <c r="F8067" s="2">
        <v>194.85</v>
      </c>
      <c r="G8067" s="2">
        <v>4</v>
      </c>
      <c r="H8067" s="2">
        <v>12.18</v>
      </c>
      <c r="I8067" t="str">
        <f t="shared" ref="I8067:I8130" si="126">TEXT(A8067,"mmm")</f>
        <v>Jul</v>
      </c>
      <c r="J8067">
        <f>YEAR(datas[[#This Row],[Order Date]])</f>
        <v>2024</v>
      </c>
    </row>
    <row r="8068" spans="1:10" ht="14.25" customHeight="1" x14ac:dyDescent="0.3">
      <c r="A8068" s="1">
        <v>45501</v>
      </c>
      <c r="B8068" s="2" t="s">
        <v>793</v>
      </c>
      <c r="C8068" s="2" t="s">
        <v>21</v>
      </c>
      <c r="D8068" s="2" t="s">
        <v>10</v>
      </c>
      <c r="E8068" s="2" t="s">
        <v>16</v>
      </c>
      <c r="F8068" s="2">
        <v>9.98</v>
      </c>
      <c r="G8068" s="2">
        <v>4</v>
      </c>
      <c r="H8068" s="2">
        <v>3.62</v>
      </c>
      <c r="I8068" t="str">
        <f t="shared" si="126"/>
        <v>Jul</v>
      </c>
      <c r="J8068">
        <f>YEAR(datas[[#This Row],[Order Date]])</f>
        <v>2024</v>
      </c>
    </row>
    <row r="8069" spans="1:10" ht="14.25" customHeight="1" x14ac:dyDescent="0.3">
      <c r="A8069" s="1">
        <v>45501</v>
      </c>
      <c r="B8069" s="2" t="s">
        <v>793</v>
      </c>
      <c r="C8069" s="2" t="s">
        <v>21</v>
      </c>
      <c r="D8069" s="2" t="s">
        <v>10</v>
      </c>
      <c r="E8069" s="2" t="s">
        <v>15</v>
      </c>
      <c r="F8069" s="2">
        <v>14.98</v>
      </c>
      <c r="G8069" s="2">
        <v>1</v>
      </c>
      <c r="H8069" s="2">
        <v>4.1900000000000004</v>
      </c>
      <c r="I8069" t="str">
        <f t="shared" si="126"/>
        <v>Jul</v>
      </c>
      <c r="J8069">
        <f>YEAR(datas[[#This Row],[Order Date]])</f>
        <v>2024</v>
      </c>
    </row>
    <row r="8070" spans="1:10" ht="14.25" customHeight="1" x14ac:dyDescent="0.3">
      <c r="A8070" s="1">
        <v>45501</v>
      </c>
      <c r="B8070" s="2" t="s">
        <v>793</v>
      </c>
      <c r="C8070" s="2" t="s">
        <v>21</v>
      </c>
      <c r="D8070" s="2" t="s">
        <v>28</v>
      </c>
      <c r="E8070" s="2" t="s">
        <v>29</v>
      </c>
      <c r="F8070" s="2">
        <v>1145.5999999999999</v>
      </c>
      <c r="G8070" s="2">
        <v>4</v>
      </c>
      <c r="H8070" s="2">
        <v>100.24</v>
      </c>
      <c r="I8070" t="str">
        <f t="shared" si="126"/>
        <v>Jul</v>
      </c>
      <c r="J8070">
        <f>YEAR(datas[[#This Row],[Order Date]])</f>
        <v>2024</v>
      </c>
    </row>
    <row r="8071" spans="1:10" ht="14.25" customHeight="1" x14ac:dyDescent="0.3">
      <c r="A8071" s="1">
        <v>45502</v>
      </c>
      <c r="B8071" s="2" t="s">
        <v>716</v>
      </c>
      <c r="C8071" s="2" t="s">
        <v>115</v>
      </c>
      <c r="D8071" s="2" t="s">
        <v>10</v>
      </c>
      <c r="E8071" s="2" t="s">
        <v>53</v>
      </c>
      <c r="F8071" s="2">
        <v>34.85</v>
      </c>
      <c r="G8071" s="2">
        <v>2</v>
      </c>
      <c r="H8071" s="2">
        <v>6.53</v>
      </c>
      <c r="I8071" t="str">
        <f t="shared" si="126"/>
        <v>Jul</v>
      </c>
      <c r="J8071">
        <f>YEAR(datas[[#This Row],[Order Date]])</f>
        <v>2024</v>
      </c>
    </row>
    <row r="8072" spans="1:10" ht="14.25" customHeight="1" x14ac:dyDescent="0.3">
      <c r="A8072" s="1">
        <v>45502</v>
      </c>
      <c r="B8072" s="2" t="s">
        <v>716</v>
      </c>
      <c r="C8072" s="2" t="s">
        <v>115</v>
      </c>
      <c r="D8072" s="2" t="s">
        <v>28</v>
      </c>
      <c r="E8072" s="2" t="s">
        <v>29</v>
      </c>
      <c r="F8072" s="2">
        <v>22</v>
      </c>
      <c r="G8072" s="2">
        <v>5</v>
      </c>
      <c r="H8072" s="2">
        <v>1.38</v>
      </c>
      <c r="I8072" t="str">
        <f t="shared" si="126"/>
        <v>Jul</v>
      </c>
      <c r="J8072">
        <f>YEAR(datas[[#This Row],[Order Date]])</f>
        <v>2024</v>
      </c>
    </row>
    <row r="8073" spans="1:10" ht="14.25" customHeight="1" x14ac:dyDescent="0.3">
      <c r="A8073" s="1">
        <v>45502</v>
      </c>
      <c r="B8073" s="2" t="s">
        <v>716</v>
      </c>
      <c r="C8073" s="2" t="s">
        <v>115</v>
      </c>
      <c r="D8073" s="2" t="s">
        <v>10</v>
      </c>
      <c r="E8073" s="2" t="s">
        <v>19</v>
      </c>
      <c r="F8073" s="2">
        <v>4.37</v>
      </c>
      <c r="G8073" s="2">
        <v>3</v>
      </c>
      <c r="H8073" s="2">
        <v>0.38</v>
      </c>
      <c r="I8073" t="str">
        <f t="shared" si="126"/>
        <v>Jul</v>
      </c>
      <c r="J8073">
        <f>YEAR(datas[[#This Row],[Order Date]])</f>
        <v>2024</v>
      </c>
    </row>
    <row r="8074" spans="1:10" ht="14.25" customHeight="1" x14ac:dyDescent="0.3">
      <c r="A8074" s="1">
        <v>45502</v>
      </c>
      <c r="B8074" s="2" t="s">
        <v>111</v>
      </c>
      <c r="C8074" s="2" t="s">
        <v>82</v>
      </c>
      <c r="D8074" s="2" t="s">
        <v>28</v>
      </c>
      <c r="E8074" s="2" t="s">
        <v>34</v>
      </c>
      <c r="F8074" s="2">
        <v>90.57</v>
      </c>
      <c r="G8074" s="2">
        <v>3</v>
      </c>
      <c r="H8074" s="2">
        <v>11.77</v>
      </c>
      <c r="I8074" t="str">
        <f t="shared" si="126"/>
        <v>Jul</v>
      </c>
      <c r="J8074">
        <f>YEAR(datas[[#This Row],[Order Date]])</f>
        <v>2024</v>
      </c>
    </row>
    <row r="8075" spans="1:10" ht="14.25" customHeight="1" x14ac:dyDescent="0.3">
      <c r="A8075" s="1">
        <v>45502</v>
      </c>
      <c r="B8075" s="2" t="s">
        <v>238</v>
      </c>
      <c r="C8075" s="2" t="s">
        <v>9</v>
      </c>
      <c r="D8075" s="2" t="s">
        <v>10</v>
      </c>
      <c r="E8075" s="2" t="s">
        <v>30</v>
      </c>
      <c r="F8075" s="2">
        <v>2.9</v>
      </c>
      <c r="G8075" s="2">
        <v>2</v>
      </c>
      <c r="H8075" s="2">
        <v>0.47</v>
      </c>
      <c r="I8075" t="str">
        <f t="shared" si="126"/>
        <v>Jul</v>
      </c>
      <c r="J8075">
        <f>YEAR(datas[[#This Row],[Order Date]])</f>
        <v>2024</v>
      </c>
    </row>
    <row r="8076" spans="1:10" ht="14.25" customHeight="1" x14ac:dyDescent="0.3">
      <c r="A8076" s="1">
        <v>45502</v>
      </c>
      <c r="B8076" s="2" t="s">
        <v>238</v>
      </c>
      <c r="C8076" s="2" t="s">
        <v>9</v>
      </c>
      <c r="D8076" s="2" t="s">
        <v>28</v>
      </c>
      <c r="E8076" s="2" t="s">
        <v>29</v>
      </c>
      <c r="F8076" s="2">
        <v>124.79</v>
      </c>
      <c r="G8076" s="2">
        <v>1</v>
      </c>
      <c r="H8076" s="2">
        <v>15.6</v>
      </c>
      <c r="I8076" t="str">
        <f t="shared" si="126"/>
        <v>Jul</v>
      </c>
      <c r="J8076">
        <f>YEAR(datas[[#This Row],[Order Date]])</f>
        <v>2024</v>
      </c>
    </row>
    <row r="8077" spans="1:10" ht="14.25" customHeight="1" x14ac:dyDescent="0.3">
      <c r="A8077" s="1">
        <v>45502</v>
      </c>
      <c r="B8077" s="2" t="s">
        <v>152</v>
      </c>
      <c r="C8077" s="2" t="s">
        <v>75</v>
      </c>
      <c r="D8077" s="2" t="s">
        <v>10</v>
      </c>
      <c r="E8077" s="2" t="s">
        <v>19</v>
      </c>
      <c r="F8077" s="2">
        <v>60.12</v>
      </c>
      <c r="G8077" s="2">
        <v>9</v>
      </c>
      <c r="H8077" s="2">
        <v>22.24</v>
      </c>
      <c r="I8077" t="str">
        <f t="shared" si="126"/>
        <v>Jul</v>
      </c>
      <c r="J8077">
        <f>YEAR(datas[[#This Row],[Order Date]])</f>
        <v>2024</v>
      </c>
    </row>
    <row r="8078" spans="1:10" ht="14.25" customHeight="1" x14ac:dyDescent="0.3">
      <c r="A8078" s="1">
        <v>45502</v>
      </c>
      <c r="B8078" s="2" t="s">
        <v>404</v>
      </c>
      <c r="C8078" s="2" t="s">
        <v>329</v>
      </c>
      <c r="D8078" s="2" t="s">
        <v>10</v>
      </c>
      <c r="E8078" s="2" t="s">
        <v>16</v>
      </c>
      <c r="F8078" s="2">
        <v>33.479999999999997</v>
      </c>
      <c r="G8078" s="2">
        <v>2</v>
      </c>
      <c r="H8078" s="2">
        <v>16.41</v>
      </c>
      <c r="I8078" t="str">
        <f t="shared" si="126"/>
        <v>Jul</v>
      </c>
      <c r="J8078">
        <f>YEAR(datas[[#This Row],[Order Date]])</f>
        <v>2024</v>
      </c>
    </row>
    <row r="8079" spans="1:10" ht="14.25" customHeight="1" x14ac:dyDescent="0.3">
      <c r="A8079" s="1">
        <v>45502</v>
      </c>
      <c r="B8079" s="2" t="s">
        <v>404</v>
      </c>
      <c r="C8079" s="2" t="s">
        <v>329</v>
      </c>
      <c r="D8079" s="2" t="s">
        <v>28</v>
      </c>
      <c r="E8079" s="2" t="s">
        <v>29</v>
      </c>
      <c r="F8079" s="2">
        <v>461.97</v>
      </c>
      <c r="G8079" s="2">
        <v>3</v>
      </c>
      <c r="H8079" s="2">
        <v>133.97</v>
      </c>
      <c r="I8079" t="str">
        <f t="shared" si="126"/>
        <v>Jul</v>
      </c>
      <c r="J8079">
        <f>YEAR(datas[[#This Row],[Order Date]])</f>
        <v>2024</v>
      </c>
    </row>
    <row r="8080" spans="1:10" ht="14.25" customHeight="1" x14ac:dyDescent="0.3">
      <c r="A8080" s="1">
        <v>45502</v>
      </c>
      <c r="B8080" s="2" t="s">
        <v>404</v>
      </c>
      <c r="C8080" s="2" t="s">
        <v>329</v>
      </c>
      <c r="D8080" s="2" t="s">
        <v>10</v>
      </c>
      <c r="E8080" s="2" t="s">
        <v>53</v>
      </c>
      <c r="F8080" s="2">
        <v>137.62</v>
      </c>
      <c r="G8080" s="2">
        <v>2</v>
      </c>
      <c r="H8080" s="2">
        <v>60.55</v>
      </c>
      <c r="I8080" t="str">
        <f t="shared" si="126"/>
        <v>Jul</v>
      </c>
      <c r="J8080">
        <f>YEAR(datas[[#This Row],[Order Date]])</f>
        <v>2024</v>
      </c>
    </row>
    <row r="8081" spans="1:10" ht="14.25" customHeight="1" x14ac:dyDescent="0.3">
      <c r="A8081" s="1">
        <v>45502</v>
      </c>
      <c r="B8081" s="2" t="s">
        <v>404</v>
      </c>
      <c r="C8081" s="2" t="s">
        <v>329</v>
      </c>
      <c r="D8081" s="2" t="s">
        <v>26</v>
      </c>
      <c r="E8081" s="2" t="s">
        <v>27</v>
      </c>
      <c r="F8081" s="2">
        <v>302.67</v>
      </c>
      <c r="G8081" s="2">
        <v>3</v>
      </c>
      <c r="H8081" s="2">
        <v>72.64</v>
      </c>
      <c r="I8081" t="str">
        <f t="shared" si="126"/>
        <v>Jul</v>
      </c>
      <c r="J8081">
        <f>YEAR(datas[[#This Row],[Order Date]])</f>
        <v>2024</v>
      </c>
    </row>
    <row r="8082" spans="1:10" ht="14.25" customHeight="1" x14ac:dyDescent="0.3">
      <c r="A8082" s="1">
        <v>45502</v>
      </c>
      <c r="B8082" s="2" t="s">
        <v>409</v>
      </c>
      <c r="C8082" s="2" t="s">
        <v>82</v>
      </c>
      <c r="D8082" s="2" t="s">
        <v>26</v>
      </c>
      <c r="E8082" s="2" t="s">
        <v>45</v>
      </c>
      <c r="F8082" s="2">
        <v>115.96</v>
      </c>
      <c r="G8082" s="2">
        <v>2</v>
      </c>
      <c r="H8082" s="2">
        <v>25.51</v>
      </c>
      <c r="I8082" t="str">
        <f t="shared" si="126"/>
        <v>Jul</v>
      </c>
      <c r="J8082">
        <f>YEAR(datas[[#This Row],[Order Date]])</f>
        <v>2024</v>
      </c>
    </row>
    <row r="8083" spans="1:10" ht="14.25" customHeight="1" x14ac:dyDescent="0.3">
      <c r="A8083" s="1">
        <v>45503</v>
      </c>
      <c r="B8083" s="2" t="s">
        <v>218</v>
      </c>
      <c r="C8083" s="2" t="s">
        <v>21</v>
      </c>
      <c r="D8083" s="2" t="s">
        <v>10</v>
      </c>
      <c r="E8083" s="2" t="s">
        <v>15</v>
      </c>
      <c r="F8083" s="2">
        <v>330.4</v>
      </c>
      <c r="G8083" s="2">
        <v>2</v>
      </c>
      <c r="H8083" s="2">
        <v>85.9</v>
      </c>
      <c r="I8083" t="str">
        <f t="shared" si="126"/>
        <v>Jul</v>
      </c>
      <c r="J8083">
        <f>YEAR(datas[[#This Row],[Order Date]])</f>
        <v>2024</v>
      </c>
    </row>
    <row r="8084" spans="1:10" ht="14.25" customHeight="1" x14ac:dyDescent="0.3">
      <c r="A8084" s="1">
        <v>45503</v>
      </c>
      <c r="B8084" s="2" t="s">
        <v>218</v>
      </c>
      <c r="C8084" s="2" t="s">
        <v>21</v>
      </c>
      <c r="D8084" s="2" t="s">
        <v>10</v>
      </c>
      <c r="E8084" s="2" t="s">
        <v>14</v>
      </c>
      <c r="F8084" s="2">
        <v>26.25</v>
      </c>
      <c r="G8084" s="2">
        <v>7</v>
      </c>
      <c r="H8084" s="2">
        <v>12.6</v>
      </c>
      <c r="I8084" t="str">
        <f t="shared" si="126"/>
        <v>Jul</v>
      </c>
      <c r="J8084">
        <f>YEAR(datas[[#This Row],[Order Date]])</f>
        <v>2024</v>
      </c>
    </row>
    <row r="8085" spans="1:10" ht="14.25" customHeight="1" x14ac:dyDescent="0.3">
      <c r="A8085" s="1">
        <v>45503</v>
      </c>
      <c r="B8085" s="2" t="s">
        <v>601</v>
      </c>
      <c r="C8085" s="2" t="s">
        <v>47</v>
      </c>
      <c r="D8085" s="2" t="s">
        <v>10</v>
      </c>
      <c r="E8085" s="2" t="s">
        <v>16</v>
      </c>
      <c r="F8085" s="2">
        <v>76.78</v>
      </c>
      <c r="G8085" s="2">
        <v>4</v>
      </c>
      <c r="H8085" s="2">
        <v>-53.74</v>
      </c>
      <c r="I8085" t="str">
        <f t="shared" si="126"/>
        <v>Jul</v>
      </c>
      <c r="J8085">
        <f>YEAR(datas[[#This Row],[Order Date]])</f>
        <v>2024</v>
      </c>
    </row>
    <row r="8086" spans="1:10" ht="14.25" customHeight="1" x14ac:dyDescent="0.3">
      <c r="A8086" s="1">
        <v>45503</v>
      </c>
      <c r="B8086" s="2" t="s">
        <v>778</v>
      </c>
      <c r="C8086" s="2" t="s">
        <v>215</v>
      </c>
      <c r="D8086" s="2" t="s">
        <v>28</v>
      </c>
      <c r="E8086" s="2" t="s">
        <v>29</v>
      </c>
      <c r="F8086" s="2">
        <v>89.95</v>
      </c>
      <c r="G8086" s="2">
        <v>5</v>
      </c>
      <c r="H8086" s="2">
        <v>43.18</v>
      </c>
      <c r="I8086" t="str">
        <f t="shared" si="126"/>
        <v>Jul</v>
      </c>
      <c r="J8086">
        <f>YEAR(datas[[#This Row],[Order Date]])</f>
        <v>2024</v>
      </c>
    </row>
    <row r="8087" spans="1:10" ht="14.25" customHeight="1" x14ac:dyDescent="0.3">
      <c r="A8087" s="1">
        <v>45504</v>
      </c>
      <c r="B8087" s="2" t="s">
        <v>471</v>
      </c>
      <c r="C8087" s="2" t="s">
        <v>18</v>
      </c>
      <c r="D8087" s="2" t="s">
        <v>10</v>
      </c>
      <c r="E8087" s="2" t="s">
        <v>11</v>
      </c>
      <c r="F8087" s="2">
        <v>54.82</v>
      </c>
      <c r="G8087" s="2">
        <v>3</v>
      </c>
      <c r="H8087" s="2">
        <v>17.82</v>
      </c>
      <c r="I8087" t="str">
        <f t="shared" si="126"/>
        <v>Jul</v>
      </c>
      <c r="J8087">
        <f>YEAR(datas[[#This Row],[Order Date]])</f>
        <v>2024</v>
      </c>
    </row>
    <row r="8088" spans="1:10" ht="14.25" customHeight="1" x14ac:dyDescent="0.3">
      <c r="A8088" s="1">
        <v>45504</v>
      </c>
      <c r="B8088" s="2" t="s">
        <v>540</v>
      </c>
      <c r="C8088" s="2" t="s">
        <v>64</v>
      </c>
      <c r="D8088" s="2" t="s">
        <v>28</v>
      </c>
      <c r="E8088" s="2" t="s">
        <v>34</v>
      </c>
      <c r="F8088" s="2">
        <v>41.42</v>
      </c>
      <c r="G8088" s="2">
        <v>2</v>
      </c>
      <c r="H8088" s="2">
        <v>8.2799999999999994</v>
      </c>
      <c r="I8088" t="str">
        <f t="shared" si="126"/>
        <v>Jul</v>
      </c>
      <c r="J8088">
        <f>YEAR(datas[[#This Row],[Order Date]])</f>
        <v>2024</v>
      </c>
    </row>
    <row r="8089" spans="1:10" ht="14.25" customHeight="1" x14ac:dyDescent="0.3">
      <c r="A8089" s="1">
        <v>45504</v>
      </c>
      <c r="B8089" s="2" t="s">
        <v>755</v>
      </c>
      <c r="C8089" s="2" t="s">
        <v>13</v>
      </c>
      <c r="D8089" s="2" t="s">
        <v>28</v>
      </c>
      <c r="E8089" s="2" t="s">
        <v>29</v>
      </c>
      <c r="F8089" s="2">
        <v>36.79</v>
      </c>
      <c r="G8089" s="2">
        <v>1</v>
      </c>
      <c r="H8089" s="2">
        <v>4.1399999999999997</v>
      </c>
      <c r="I8089" t="str">
        <f t="shared" si="126"/>
        <v>Jul</v>
      </c>
      <c r="J8089">
        <f>YEAR(datas[[#This Row],[Order Date]])</f>
        <v>2024</v>
      </c>
    </row>
    <row r="8090" spans="1:10" ht="14.25" customHeight="1" x14ac:dyDescent="0.3">
      <c r="A8090" s="1">
        <v>45504</v>
      </c>
      <c r="B8090" s="2" t="s">
        <v>646</v>
      </c>
      <c r="C8090" s="2" t="s">
        <v>21</v>
      </c>
      <c r="D8090" s="2" t="s">
        <v>10</v>
      </c>
      <c r="E8090" s="2" t="s">
        <v>15</v>
      </c>
      <c r="F8090" s="2">
        <v>56.56</v>
      </c>
      <c r="G8090" s="2">
        <v>2</v>
      </c>
      <c r="H8090" s="2">
        <v>15.27</v>
      </c>
      <c r="I8090" t="str">
        <f t="shared" si="126"/>
        <v>Jul</v>
      </c>
      <c r="J8090">
        <f>YEAR(datas[[#This Row],[Order Date]])</f>
        <v>2024</v>
      </c>
    </row>
    <row r="8091" spans="1:10" ht="14.25" customHeight="1" x14ac:dyDescent="0.3">
      <c r="A8091" s="1">
        <v>45504</v>
      </c>
      <c r="B8091" s="2" t="s">
        <v>646</v>
      </c>
      <c r="C8091" s="2" t="s">
        <v>21</v>
      </c>
      <c r="D8091" s="2" t="s">
        <v>26</v>
      </c>
      <c r="E8091" s="2" t="s">
        <v>32</v>
      </c>
      <c r="F8091" s="2">
        <v>36.96</v>
      </c>
      <c r="G8091" s="2">
        <v>7</v>
      </c>
      <c r="H8091" s="2">
        <v>11.46</v>
      </c>
      <c r="I8091" t="str">
        <f t="shared" si="126"/>
        <v>Jul</v>
      </c>
      <c r="J8091">
        <f>YEAR(datas[[#This Row],[Order Date]])</f>
        <v>2024</v>
      </c>
    </row>
    <row r="8092" spans="1:10" ht="14.25" customHeight="1" x14ac:dyDescent="0.3">
      <c r="A8092" s="1">
        <v>45504</v>
      </c>
      <c r="B8092" s="2" t="s">
        <v>536</v>
      </c>
      <c r="C8092" s="2" t="s">
        <v>79</v>
      </c>
      <c r="D8092" s="2" t="s">
        <v>10</v>
      </c>
      <c r="E8092" s="2" t="s">
        <v>16</v>
      </c>
      <c r="F8092" s="2">
        <v>17.52</v>
      </c>
      <c r="G8092" s="2">
        <v>4</v>
      </c>
      <c r="H8092" s="2">
        <v>8.41</v>
      </c>
      <c r="I8092" t="str">
        <f t="shared" si="126"/>
        <v>Jul</v>
      </c>
      <c r="J8092">
        <f>YEAR(datas[[#This Row],[Order Date]])</f>
        <v>2024</v>
      </c>
    </row>
    <row r="8093" spans="1:10" ht="14.25" customHeight="1" x14ac:dyDescent="0.3">
      <c r="A8093" s="1">
        <v>45504</v>
      </c>
      <c r="B8093" s="2" t="s">
        <v>536</v>
      </c>
      <c r="C8093" s="2" t="s">
        <v>79</v>
      </c>
      <c r="D8093" s="2" t="s">
        <v>10</v>
      </c>
      <c r="E8093" s="2" t="s">
        <v>53</v>
      </c>
      <c r="F8093" s="2">
        <v>155.88</v>
      </c>
      <c r="G8093" s="2">
        <v>6</v>
      </c>
      <c r="H8093" s="2">
        <v>54.56</v>
      </c>
      <c r="I8093" t="str">
        <f t="shared" si="126"/>
        <v>Jul</v>
      </c>
      <c r="J8093">
        <f>YEAR(datas[[#This Row],[Order Date]])</f>
        <v>2024</v>
      </c>
    </row>
    <row r="8094" spans="1:10" ht="14.25" customHeight="1" x14ac:dyDescent="0.3">
      <c r="A8094" s="1">
        <v>45504</v>
      </c>
      <c r="B8094" s="2" t="s">
        <v>259</v>
      </c>
      <c r="C8094" s="2" t="s">
        <v>18</v>
      </c>
      <c r="D8094" s="2" t="s">
        <v>28</v>
      </c>
      <c r="E8094" s="2" t="s">
        <v>29</v>
      </c>
      <c r="F8094" s="2">
        <v>285.58</v>
      </c>
      <c r="G8094" s="2">
        <v>4</v>
      </c>
      <c r="H8094" s="2">
        <v>-57.12</v>
      </c>
      <c r="I8094" t="str">
        <f t="shared" si="126"/>
        <v>Jul</v>
      </c>
      <c r="J8094">
        <f>YEAR(datas[[#This Row],[Order Date]])</f>
        <v>2024</v>
      </c>
    </row>
    <row r="8095" spans="1:10" ht="14.25" customHeight="1" x14ac:dyDescent="0.3">
      <c r="A8095" s="1">
        <v>45504</v>
      </c>
      <c r="B8095" s="2" t="s">
        <v>226</v>
      </c>
      <c r="C8095" s="2" t="s">
        <v>38</v>
      </c>
      <c r="D8095" s="2" t="s">
        <v>10</v>
      </c>
      <c r="E8095" s="2" t="s">
        <v>11</v>
      </c>
      <c r="F8095" s="2">
        <v>11.54</v>
      </c>
      <c r="G8095" s="2">
        <v>1</v>
      </c>
      <c r="H8095" s="2">
        <v>5.54</v>
      </c>
      <c r="I8095" t="str">
        <f t="shared" si="126"/>
        <v>Jul</v>
      </c>
      <c r="J8095">
        <f>YEAR(datas[[#This Row],[Order Date]])</f>
        <v>2024</v>
      </c>
    </row>
    <row r="8096" spans="1:10" ht="14.25" customHeight="1" x14ac:dyDescent="0.3">
      <c r="A8096" s="1">
        <v>45504</v>
      </c>
      <c r="B8096" s="2" t="s">
        <v>226</v>
      </c>
      <c r="C8096" s="2" t="s">
        <v>38</v>
      </c>
      <c r="D8096" s="2" t="s">
        <v>10</v>
      </c>
      <c r="E8096" s="2" t="s">
        <v>16</v>
      </c>
      <c r="F8096" s="2">
        <v>849.95</v>
      </c>
      <c r="G8096" s="2">
        <v>5</v>
      </c>
      <c r="H8096" s="2">
        <v>390.98</v>
      </c>
      <c r="I8096" t="str">
        <f t="shared" si="126"/>
        <v>Jul</v>
      </c>
      <c r="J8096">
        <f>YEAR(datas[[#This Row],[Order Date]])</f>
        <v>2024</v>
      </c>
    </row>
    <row r="8097" spans="1:10" ht="14.25" customHeight="1" x14ac:dyDescent="0.3">
      <c r="A8097" s="1">
        <v>45504</v>
      </c>
      <c r="B8097" s="2" t="s">
        <v>226</v>
      </c>
      <c r="C8097" s="2" t="s">
        <v>38</v>
      </c>
      <c r="D8097" s="2" t="s">
        <v>10</v>
      </c>
      <c r="E8097" s="2" t="s">
        <v>16</v>
      </c>
      <c r="F8097" s="2">
        <v>11.01</v>
      </c>
      <c r="G8097" s="2">
        <v>3</v>
      </c>
      <c r="H8097" s="2">
        <v>5.39</v>
      </c>
      <c r="I8097" t="str">
        <f t="shared" si="126"/>
        <v>Jul</v>
      </c>
      <c r="J8097">
        <f>YEAR(datas[[#This Row],[Order Date]])</f>
        <v>2024</v>
      </c>
    </row>
    <row r="8098" spans="1:10" ht="14.25" customHeight="1" x14ac:dyDescent="0.3">
      <c r="A8098" s="1">
        <v>45505</v>
      </c>
      <c r="B8098" s="2" t="s">
        <v>442</v>
      </c>
      <c r="C8098" s="2" t="s">
        <v>13</v>
      </c>
      <c r="D8098" s="2" t="s">
        <v>28</v>
      </c>
      <c r="E8098" s="2" t="s">
        <v>29</v>
      </c>
      <c r="F8098" s="2">
        <v>95.98</v>
      </c>
      <c r="G8098" s="2">
        <v>2</v>
      </c>
      <c r="H8098" s="2">
        <v>6</v>
      </c>
      <c r="I8098" t="str">
        <f t="shared" si="126"/>
        <v>Aug</v>
      </c>
      <c r="J8098">
        <f>YEAR(datas[[#This Row],[Order Date]])</f>
        <v>2024</v>
      </c>
    </row>
    <row r="8099" spans="1:10" ht="14.25" customHeight="1" x14ac:dyDescent="0.3">
      <c r="A8099" s="1">
        <v>45505</v>
      </c>
      <c r="B8099" s="2" t="s">
        <v>491</v>
      </c>
      <c r="C8099" s="2" t="s">
        <v>115</v>
      </c>
      <c r="D8099" s="2" t="s">
        <v>28</v>
      </c>
      <c r="E8099" s="2" t="s">
        <v>29</v>
      </c>
      <c r="F8099" s="2">
        <v>271.95999999999998</v>
      </c>
      <c r="G8099" s="2">
        <v>5</v>
      </c>
      <c r="H8099" s="2">
        <v>17</v>
      </c>
      <c r="I8099" t="str">
        <f t="shared" si="126"/>
        <v>Aug</v>
      </c>
      <c r="J8099">
        <f>YEAR(datas[[#This Row],[Order Date]])</f>
        <v>2024</v>
      </c>
    </row>
    <row r="8100" spans="1:10" ht="14.25" customHeight="1" x14ac:dyDescent="0.3">
      <c r="A8100" s="1">
        <v>45505</v>
      </c>
      <c r="B8100" s="2" t="s">
        <v>391</v>
      </c>
      <c r="C8100" s="2" t="s">
        <v>9</v>
      </c>
      <c r="D8100" s="2" t="s">
        <v>28</v>
      </c>
      <c r="E8100" s="2" t="s">
        <v>136</v>
      </c>
      <c r="F8100" s="2">
        <v>1439.98</v>
      </c>
      <c r="G8100" s="2">
        <v>3</v>
      </c>
      <c r="H8100" s="2">
        <v>-264</v>
      </c>
      <c r="I8100" t="str">
        <f t="shared" si="126"/>
        <v>Aug</v>
      </c>
      <c r="J8100">
        <f>YEAR(datas[[#This Row],[Order Date]])</f>
        <v>2024</v>
      </c>
    </row>
    <row r="8101" spans="1:10" ht="14.25" customHeight="1" x14ac:dyDescent="0.3">
      <c r="A8101" s="1">
        <v>45505</v>
      </c>
      <c r="B8101" s="2" t="s">
        <v>391</v>
      </c>
      <c r="C8101" s="2" t="s">
        <v>9</v>
      </c>
      <c r="D8101" s="2" t="s">
        <v>10</v>
      </c>
      <c r="E8101" s="2" t="s">
        <v>11</v>
      </c>
      <c r="F8101" s="2">
        <v>36.29</v>
      </c>
      <c r="G8101" s="2">
        <v>7</v>
      </c>
      <c r="H8101" s="2">
        <v>12.7</v>
      </c>
      <c r="I8101" t="str">
        <f t="shared" si="126"/>
        <v>Aug</v>
      </c>
      <c r="J8101">
        <f>YEAR(datas[[#This Row],[Order Date]])</f>
        <v>2024</v>
      </c>
    </row>
    <row r="8102" spans="1:10" ht="14.25" customHeight="1" x14ac:dyDescent="0.3">
      <c r="A8102" s="1">
        <v>45505</v>
      </c>
      <c r="B8102" s="2" t="s">
        <v>319</v>
      </c>
      <c r="C8102" s="2" t="s">
        <v>21</v>
      </c>
      <c r="D8102" s="2" t="s">
        <v>10</v>
      </c>
      <c r="E8102" s="2" t="s">
        <v>16</v>
      </c>
      <c r="F8102" s="2">
        <v>54.9</v>
      </c>
      <c r="G8102" s="2">
        <v>2</v>
      </c>
      <c r="H8102" s="2">
        <v>18.53</v>
      </c>
      <c r="I8102" t="str">
        <f t="shared" si="126"/>
        <v>Aug</v>
      </c>
      <c r="J8102">
        <f>YEAR(datas[[#This Row],[Order Date]])</f>
        <v>2024</v>
      </c>
    </row>
    <row r="8103" spans="1:10" ht="14.25" customHeight="1" x14ac:dyDescent="0.3">
      <c r="A8103" s="1">
        <v>45505</v>
      </c>
      <c r="B8103" s="2" t="s">
        <v>772</v>
      </c>
      <c r="C8103" s="2" t="s">
        <v>21</v>
      </c>
      <c r="D8103" s="2" t="s">
        <v>10</v>
      </c>
      <c r="E8103" s="2" t="s">
        <v>15</v>
      </c>
      <c r="F8103" s="2">
        <v>186.54</v>
      </c>
      <c r="G8103" s="2">
        <v>3</v>
      </c>
      <c r="H8103" s="2">
        <v>50.37</v>
      </c>
      <c r="I8103" t="str">
        <f t="shared" si="126"/>
        <v>Aug</v>
      </c>
      <c r="J8103">
        <f>YEAR(datas[[#This Row],[Order Date]])</f>
        <v>2024</v>
      </c>
    </row>
    <row r="8104" spans="1:10" ht="14.25" customHeight="1" x14ac:dyDescent="0.3">
      <c r="A8104" s="1">
        <v>45507</v>
      </c>
      <c r="B8104" s="2" t="s">
        <v>766</v>
      </c>
      <c r="C8104" s="2" t="s">
        <v>13</v>
      </c>
      <c r="D8104" s="2" t="s">
        <v>26</v>
      </c>
      <c r="E8104" s="2" t="s">
        <v>45</v>
      </c>
      <c r="F8104" s="2">
        <v>183.37</v>
      </c>
      <c r="G8104" s="2">
        <v>2</v>
      </c>
      <c r="H8104" s="2">
        <v>-36.67</v>
      </c>
      <c r="I8104" t="str">
        <f t="shared" si="126"/>
        <v>Aug</v>
      </c>
      <c r="J8104">
        <f>YEAR(datas[[#This Row],[Order Date]])</f>
        <v>2024</v>
      </c>
    </row>
    <row r="8105" spans="1:10" ht="14.25" customHeight="1" x14ac:dyDescent="0.3">
      <c r="A8105" s="1">
        <v>45507</v>
      </c>
      <c r="B8105" s="2" t="s">
        <v>737</v>
      </c>
      <c r="C8105" s="2" t="s">
        <v>21</v>
      </c>
      <c r="D8105" s="2" t="s">
        <v>10</v>
      </c>
      <c r="E8105" s="2" t="s">
        <v>14</v>
      </c>
      <c r="F8105" s="2">
        <v>51.75</v>
      </c>
      <c r="G8105" s="2">
        <v>5</v>
      </c>
      <c r="H8105" s="2">
        <v>24.84</v>
      </c>
      <c r="I8105" t="str">
        <f t="shared" si="126"/>
        <v>Aug</v>
      </c>
      <c r="J8105">
        <f>YEAR(datas[[#This Row],[Order Date]])</f>
        <v>2024</v>
      </c>
    </row>
    <row r="8106" spans="1:10" ht="14.25" customHeight="1" x14ac:dyDescent="0.3">
      <c r="A8106" s="1">
        <v>45507</v>
      </c>
      <c r="B8106" s="2" t="s">
        <v>737</v>
      </c>
      <c r="C8106" s="2" t="s">
        <v>21</v>
      </c>
      <c r="D8106" s="2" t="s">
        <v>26</v>
      </c>
      <c r="E8106" s="2" t="s">
        <v>32</v>
      </c>
      <c r="F8106" s="2">
        <v>123.96</v>
      </c>
      <c r="G8106" s="2">
        <v>3</v>
      </c>
      <c r="H8106" s="2">
        <v>11.16</v>
      </c>
      <c r="I8106" t="str">
        <f t="shared" si="126"/>
        <v>Aug</v>
      </c>
      <c r="J8106">
        <f>YEAR(datas[[#This Row],[Order Date]])</f>
        <v>2024</v>
      </c>
    </row>
    <row r="8107" spans="1:10" ht="14.25" customHeight="1" x14ac:dyDescent="0.3">
      <c r="A8107" s="1">
        <v>45507</v>
      </c>
      <c r="B8107" s="2" t="s">
        <v>274</v>
      </c>
      <c r="C8107" s="2" t="s">
        <v>21</v>
      </c>
      <c r="D8107" s="2" t="s">
        <v>10</v>
      </c>
      <c r="E8107" s="2" t="s">
        <v>15</v>
      </c>
      <c r="F8107" s="2">
        <v>99.87</v>
      </c>
      <c r="G8107" s="2">
        <v>3</v>
      </c>
      <c r="H8107" s="2">
        <v>23.97</v>
      </c>
      <c r="I8107" t="str">
        <f t="shared" si="126"/>
        <v>Aug</v>
      </c>
      <c r="J8107">
        <f>YEAR(datas[[#This Row],[Order Date]])</f>
        <v>2024</v>
      </c>
    </row>
    <row r="8108" spans="1:10" ht="14.25" customHeight="1" x14ac:dyDescent="0.3">
      <c r="A8108" s="1">
        <v>45507</v>
      </c>
      <c r="B8108" s="2" t="s">
        <v>651</v>
      </c>
      <c r="C8108" s="2" t="s">
        <v>13</v>
      </c>
      <c r="D8108" s="2" t="s">
        <v>28</v>
      </c>
      <c r="E8108" s="2" t="s">
        <v>34</v>
      </c>
      <c r="F8108" s="2">
        <v>39.82</v>
      </c>
      <c r="G8108" s="2">
        <v>3</v>
      </c>
      <c r="H8108" s="2">
        <v>7.47</v>
      </c>
      <c r="I8108" t="str">
        <f t="shared" si="126"/>
        <v>Aug</v>
      </c>
      <c r="J8108">
        <f>YEAR(datas[[#This Row],[Order Date]])</f>
        <v>2024</v>
      </c>
    </row>
    <row r="8109" spans="1:10" ht="14.25" customHeight="1" x14ac:dyDescent="0.3">
      <c r="A8109" s="1">
        <v>45507</v>
      </c>
      <c r="B8109" s="2" t="s">
        <v>833</v>
      </c>
      <c r="C8109" s="2" t="s">
        <v>82</v>
      </c>
      <c r="D8109" s="2" t="s">
        <v>10</v>
      </c>
      <c r="E8109" s="2" t="s">
        <v>15</v>
      </c>
      <c r="F8109" s="2">
        <v>16.059999999999999</v>
      </c>
      <c r="G8109" s="2">
        <v>1</v>
      </c>
      <c r="H8109" s="2">
        <v>4.18</v>
      </c>
      <c r="I8109" t="str">
        <f t="shared" si="126"/>
        <v>Aug</v>
      </c>
      <c r="J8109">
        <f>YEAR(datas[[#This Row],[Order Date]])</f>
        <v>2024</v>
      </c>
    </row>
    <row r="8110" spans="1:10" ht="14.25" customHeight="1" x14ac:dyDescent="0.3">
      <c r="A8110" s="1">
        <v>45507</v>
      </c>
      <c r="B8110" s="2" t="s">
        <v>838</v>
      </c>
      <c r="C8110" s="2" t="s">
        <v>47</v>
      </c>
      <c r="D8110" s="2" t="s">
        <v>10</v>
      </c>
      <c r="E8110" s="2" t="s">
        <v>14</v>
      </c>
      <c r="F8110" s="2">
        <v>16.52</v>
      </c>
      <c r="G8110" s="2">
        <v>5</v>
      </c>
      <c r="H8110" s="2">
        <v>5.37</v>
      </c>
      <c r="I8110" t="str">
        <f t="shared" si="126"/>
        <v>Aug</v>
      </c>
      <c r="J8110">
        <f>YEAR(datas[[#This Row],[Order Date]])</f>
        <v>2024</v>
      </c>
    </row>
    <row r="8111" spans="1:10" ht="14.25" customHeight="1" x14ac:dyDescent="0.3">
      <c r="A8111" s="1">
        <v>45508</v>
      </c>
      <c r="B8111" s="2" t="s">
        <v>380</v>
      </c>
      <c r="C8111" s="2" t="s">
        <v>126</v>
      </c>
      <c r="D8111" s="2" t="s">
        <v>10</v>
      </c>
      <c r="E8111" s="2" t="s">
        <v>11</v>
      </c>
      <c r="F8111" s="2">
        <v>7.97</v>
      </c>
      <c r="G8111" s="2">
        <v>2</v>
      </c>
      <c r="H8111" s="2">
        <v>2.89</v>
      </c>
      <c r="I8111" t="str">
        <f t="shared" si="126"/>
        <v>Aug</v>
      </c>
      <c r="J8111">
        <f>YEAR(datas[[#This Row],[Order Date]])</f>
        <v>2024</v>
      </c>
    </row>
    <row r="8112" spans="1:10" ht="14.25" customHeight="1" x14ac:dyDescent="0.3">
      <c r="A8112" s="1">
        <v>45508</v>
      </c>
      <c r="B8112" s="2" t="s">
        <v>380</v>
      </c>
      <c r="C8112" s="2" t="s">
        <v>126</v>
      </c>
      <c r="D8112" s="2" t="s">
        <v>10</v>
      </c>
      <c r="E8112" s="2" t="s">
        <v>41</v>
      </c>
      <c r="F8112" s="2">
        <v>8.7799999999999994</v>
      </c>
      <c r="G8112" s="2">
        <v>1</v>
      </c>
      <c r="H8112" s="2">
        <v>3.18</v>
      </c>
      <c r="I8112" t="str">
        <f t="shared" si="126"/>
        <v>Aug</v>
      </c>
      <c r="J8112">
        <f>YEAR(datas[[#This Row],[Order Date]])</f>
        <v>2024</v>
      </c>
    </row>
    <row r="8113" spans="1:10" ht="14.25" customHeight="1" x14ac:dyDescent="0.3">
      <c r="A8113" s="1">
        <v>45508</v>
      </c>
      <c r="B8113" s="2" t="s">
        <v>380</v>
      </c>
      <c r="C8113" s="2" t="s">
        <v>9</v>
      </c>
      <c r="D8113" s="2" t="s">
        <v>10</v>
      </c>
      <c r="E8113" s="2" t="s">
        <v>16</v>
      </c>
      <c r="F8113" s="2">
        <v>3.32</v>
      </c>
      <c r="G8113" s="2">
        <v>3</v>
      </c>
      <c r="H8113" s="2">
        <v>-5.64</v>
      </c>
      <c r="I8113" t="str">
        <f t="shared" si="126"/>
        <v>Aug</v>
      </c>
      <c r="J8113">
        <f>YEAR(datas[[#This Row],[Order Date]])</f>
        <v>2024</v>
      </c>
    </row>
    <row r="8114" spans="1:10" ht="14.25" customHeight="1" x14ac:dyDescent="0.3">
      <c r="A8114" s="1">
        <v>45509</v>
      </c>
      <c r="B8114" s="2" t="s">
        <v>269</v>
      </c>
      <c r="C8114" s="2" t="s">
        <v>25</v>
      </c>
      <c r="D8114" s="2" t="s">
        <v>10</v>
      </c>
      <c r="E8114" s="2" t="s">
        <v>11</v>
      </c>
      <c r="F8114" s="2">
        <v>13.76</v>
      </c>
      <c r="G8114" s="2">
        <v>2</v>
      </c>
      <c r="H8114" s="2">
        <v>6.33</v>
      </c>
      <c r="I8114" t="str">
        <f t="shared" si="126"/>
        <v>Aug</v>
      </c>
      <c r="J8114">
        <f>YEAR(datas[[#This Row],[Order Date]])</f>
        <v>2024</v>
      </c>
    </row>
    <row r="8115" spans="1:10" ht="14.25" customHeight="1" x14ac:dyDescent="0.3">
      <c r="A8115" s="1">
        <v>45509</v>
      </c>
      <c r="B8115" s="2" t="s">
        <v>396</v>
      </c>
      <c r="C8115" s="2" t="s">
        <v>9</v>
      </c>
      <c r="D8115" s="2" t="s">
        <v>10</v>
      </c>
      <c r="E8115" s="2" t="s">
        <v>15</v>
      </c>
      <c r="F8115" s="2">
        <v>151.06</v>
      </c>
      <c r="G8115" s="2">
        <v>9</v>
      </c>
      <c r="H8115" s="2">
        <v>7.55</v>
      </c>
      <c r="I8115" t="str">
        <f t="shared" si="126"/>
        <v>Aug</v>
      </c>
      <c r="J8115">
        <f>YEAR(datas[[#This Row],[Order Date]])</f>
        <v>2024</v>
      </c>
    </row>
    <row r="8116" spans="1:10" ht="14.25" customHeight="1" x14ac:dyDescent="0.3">
      <c r="A8116" s="1">
        <v>45509</v>
      </c>
      <c r="B8116" s="2" t="s">
        <v>156</v>
      </c>
      <c r="C8116" s="2" t="s">
        <v>68</v>
      </c>
      <c r="D8116" s="2" t="s">
        <v>10</v>
      </c>
      <c r="E8116" s="2" t="s">
        <v>16</v>
      </c>
      <c r="F8116" s="2">
        <v>125.88</v>
      </c>
      <c r="G8116" s="2">
        <v>6</v>
      </c>
      <c r="H8116" s="2">
        <v>60.42</v>
      </c>
      <c r="I8116" t="str">
        <f t="shared" si="126"/>
        <v>Aug</v>
      </c>
      <c r="J8116">
        <f>YEAR(datas[[#This Row],[Order Date]])</f>
        <v>2024</v>
      </c>
    </row>
    <row r="8117" spans="1:10" ht="14.25" customHeight="1" x14ac:dyDescent="0.3">
      <c r="A8117" s="1">
        <v>45509</v>
      </c>
      <c r="B8117" s="2" t="s">
        <v>156</v>
      </c>
      <c r="C8117" s="2" t="s">
        <v>68</v>
      </c>
      <c r="D8117" s="2" t="s">
        <v>28</v>
      </c>
      <c r="E8117" s="2" t="s">
        <v>34</v>
      </c>
      <c r="F8117" s="2">
        <v>79.78</v>
      </c>
      <c r="G8117" s="2">
        <v>2</v>
      </c>
      <c r="H8117" s="2">
        <v>29.52</v>
      </c>
      <c r="I8117" t="str">
        <f t="shared" si="126"/>
        <v>Aug</v>
      </c>
      <c r="J8117">
        <f>YEAR(datas[[#This Row],[Order Date]])</f>
        <v>2024</v>
      </c>
    </row>
    <row r="8118" spans="1:10" ht="14.25" customHeight="1" x14ac:dyDescent="0.3">
      <c r="A8118" s="1">
        <v>45509</v>
      </c>
      <c r="B8118" s="2" t="s">
        <v>156</v>
      </c>
      <c r="C8118" s="2" t="s">
        <v>68</v>
      </c>
      <c r="D8118" s="2" t="s">
        <v>10</v>
      </c>
      <c r="E8118" s="2" t="s">
        <v>14</v>
      </c>
      <c r="F8118" s="2">
        <v>133.19999999999999</v>
      </c>
      <c r="G8118" s="2">
        <v>9</v>
      </c>
      <c r="H8118" s="2">
        <v>66.599999999999994</v>
      </c>
      <c r="I8118" t="str">
        <f t="shared" si="126"/>
        <v>Aug</v>
      </c>
      <c r="J8118">
        <f>YEAR(datas[[#This Row],[Order Date]])</f>
        <v>2024</v>
      </c>
    </row>
    <row r="8119" spans="1:10" ht="14.25" customHeight="1" x14ac:dyDescent="0.3">
      <c r="A8119" s="1">
        <v>45510</v>
      </c>
      <c r="B8119" s="2" t="s">
        <v>37</v>
      </c>
      <c r="C8119" s="2" t="s">
        <v>40</v>
      </c>
      <c r="D8119" s="2" t="s">
        <v>26</v>
      </c>
      <c r="E8119" s="2" t="s">
        <v>45</v>
      </c>
      <c r="F8119" s="2">
        <v>145.74</v>
      </c>
      <c r="G8119" s="2">
        <v>3</v>
      </c>
      <c r="H8119" s="2">
        <v>23.32</v>
      </c>
      <c r="I8119" t="str">
        <f t="shared" si="126"/>
        <v>Aug</v>
      </c>
      <c r="J8119">
        <f>YEAR(datas[[#This Row],[Order Date]])</f>
        <v>2024</v>
      </c>
    </row>
    <row r="8120" spans="1:10" ht="14.25" customHeight="1" x14ac:dyDescent="0.3">
      <c r="A8120" s="1">
        <v>45510</v>
      </c>
      <c r="B8120" s="2" t="s">
        <v>37</v>
      </c>
      <c r="C8120" s="2" t="s">
        <v>40</v>
      </c>
      <c r="D8120" s="2" t="s">
        <v>26</v>
      </c>
      <c r="E8120" s="2" t="s">
        <v>32</v>
      </c>
      <c r="F8120" s="2">
        <v>15.4</v>
      </c>
      <c r="G8120" s="2">
        <v>5</v>
      </c>
      <c r="H8120" s="2">
        <v>7.39</v>
      </c>
      <c r="I8120" t="str">
        <f t="shared" si="126"/>
        <v>Aug</v>
      </c>
      <c r="J8120">
        <f>YEAR(datas[[#This Row],[Order Date]])</f>
        <v>2024</v>
      </c>
    </row>
    <row r="8121" spans="1:10" ht="14.25" customHeight="1" x14ac:dyDescent="0.3">
      <c r="A8121" s="1">
        <v>45510</v>
      </c>
      <c r="B8121" s="2" t="s">
        <v>809</v>
      </c>
      <c r="C8121" s="2" t="s">
        <v>9</v>
      </c>
      <c r="D8121" s="2" t="s">
        <v>10</v>
      </c>
      <c r="E8121" s="2" t="s">
        <v>11</v>
      </c>
      <c r="F8121" s="2">
        <v>115.3</v>
      </c>
      <c r="G8121" s="2">
        <v>3</v>
      </c>
      <c r="H8121" s="2">
        <v>40.35</v>
      </c>
      <c r="I8121" t="str">
        <f t="shared" si="126"/>
        <v>Aug</v>
      </c>
      <c r="J8121">
        <f>YEAR(datas[[#This Row],[Order Date]])</f>
        <v>2024</v>
      </c>
    </row>
    <row r="8122" spans="1:10" ht="14.25" customHeight="1" x14ac:dyDescent="0.3">
      <c r="A8122" s="1">
        <v>45510</v>
      </c>
      <c r="B8122" s="2" t="s">
        <v>208</v>
      </c>
      <c r="C8122" s="2" t="s">
        <v>278</v>
      </c>
      <c r="D8122" s="2" t="s">
        <v>28</v>
      </c>
      <c r="E8122" s="2" t="s">
        <v>29</v>
      </c>
      <c r="F8122" s="2">
        <v>824.95</v>
      </c>
      <c r="G8122" s="2">
        <v>5</v>
      </c>
      <c r="H8122" s="2">
        <v>247.49</v>
      </c>
      <c r="I8122" t="str">
        <f t="shared" si="126"/>
        <v>Aug</v>
      </c>
      <c r="J8122">
        <f>YEAR(datas[[#This Row],[Order Date]])</f>
        <v>2024</v>
      </c>
    </row>
    <row r="8123" spans="1:10" ht="14.25" customHeight="1" x14ac:dyDescent="0.3">
      <c r="A8123" s="1">
        <v>45510</v>
      </c>
      <c r="B8123" s="2" t="s">
        <v>208</v>
      </c>
      <c r="C8123" s="2" t="s">
        <v>278</v>
      </c>
      <c r="D8123" s="2" t="s">
        <v>10</v>
      </c>
      <c r="E8123" s="2" t="s">
        <v>14</v>
      </c>
      <c r="F8123" s="2">
        <v>24.64</v>
      </c>
      <c r="G8123" s="2">
        <v>8</v>
      </c>
      <c r="H8123" s="2">
        <v>11.83</v>
      </c>
      <c r="I8123" t="str">
        <f t="shared" si="126"/>
        <v>Aug</v>
      </c>
      <c r="J8123">
        <f>YEAR(datas[[#This Row],[Order Date]])</f>
        <v>2024</v>
      </c>
    </row>
    <row r="8124" spans="1:10" ht="14.25" customHeight="1" x14ac:dyDescent="0.3">
      <c r="A8124" s="1">
        <v>45510</v>
      </c>
      <c r="B8124" s="2" t="s">
        <v>208</v>
      </c>
      <c r="C8124" s="2" t="s">
        <v>278</v>
      </c>
      <c r="D8124" s="2" t="s">
        <v>10</v>
      </c>
      <c r="E8124" s="2" t="s">
        <v>19</v>
      </c>
      <c r="F8124" s="2">
        <v>227.88</v>
      </c>
      <c r="G8124" s="2">
        <v>6</v>
      </c>
      <c r="H8124" s="2">
        <v>68.36</v>
      </c>
      <c r="I8124" t="str">
        <f t="shared" si="126"/>
        <v>Aug</v>
      </c>
      <c r="J8124">
        <f>YEAR(datas[[#This Row],[Order Date]])</f>
        <v>2024</v>
      </c>
    </row>
    <row r="8125" spans="1:10" ht="14.25" customHeight="1" x14ac:dyDescent="0.3">
      <c r="A8125" s="1">
        <v>45510</v>
      </c>
      <c r="B8125" s="2" t="s">
        <v>561</v>
      </c>
      <c r="C8125" s="2" t="s">
        <v>75</v>
      </c>
      <c r="D8125" s="2" t="s">
        <v>10</v>
      </c>
      <c r="E8125" s="2" t="s">
        <v>95</v>
      </c>
      <c r="F8125" s="2">
        <v>70.12</v>
      </c>
      <c r="G8125" s="2">
        <v>4</v>
      </c>
      <c r="H8125" s="2">
        <v>21.04</v>
      </c>
      <c r="I8125" t="str">
        <f t="shared" si="126"/>
        <v>Aug</v>
      </c>
      <c r="J8125">
        <f>YEAR(datas[[#This Row],[Order Date]])</f>
        <v>2024</v>
      </c>
    </row>
    <row r="8126" spans="1:10" ht="14.25" customHeight="1" x14ac:dyDescent="0.3">
      <c r="A8126" s="1">
        <v>45511</v>
      </c>
      <c r="B8126" s="2" t="s">
        <v>740</v>
      </c>
      <c r="C8126" s="2" t="s">
        <v>115</v>
      </c>
      <c r="D8126" s="2" t="s">
        <v>28</v>
      </c>
      <c r="E8126" s="2" t="s">
        <v>34</v>
      </c>
      <c r="F8126" s="2">
        <v>79.989999999999995</v>
      </c>
      <c r="G8126" s="2">
        <v>1</v>
      </c>
      <c r="H8126" s="2">
        <v>22</v>
      </c>
      <c r="I8126" t="str">
        <f t="shared" si="126"/>
        <v>Aug</v>
      </c>
      <c r="J8126">
        <f>YEAR(datas[[#This Row],[Order Date]])</f>
        <v>2024</v>
      </c>
    </row>
    <row r="8127" spans="1:10" ht="14.25" customHeight="1" x14ac:dyDescent="0.3">
      <c r="A8127" s="1">
        <v>45511</v>
      </c>
      <c r="B8127" s="2" t="s">
        <v>750</v>
      </c>
      <c r="C8127" s="2" t="s">
        <v>75</v>
      </c>
      <c r="D8127" s="2" t="s">
        <v>10</v>
      </c>
      <c r="E8127" s="2" t="s">
        <v>19</v>
      </c>
      <c r="F8127" s="2">
        <v>11.68</v>
      </c>
      <c r="G8127" s="2">
        <v>2</v>
      </c>
      <c r="H8127" s="2">
        <v>5.49</v>
      </c>
      <c r="I8127" t="str">
        <f t="shared" si="126"/>
        <v>Aug</v>
      </c>
      <c r="J8127">
        <f>YEAR(datas[[#This Row],[Order Date]])</f>
        <v>2024</v>
      </c>
    </row>
    <row r="8128" spans="1:10" ht="14.25" customHeight="1" x14ac:dyDescent="0.3">
      <c r="A8128" s="1">
        <v>45511</v>
      </c>
      <c r="B8128" s="2" t="s">
        <v>750</v>
      </c>
      <c r="C8128" s="2" t="s">
        <v>75</v>
      </c>
      <c r="D8128" s="2" t="s">
        <v>10</v>
      </c>
      <c r="E8128" s="2" t="s">
        <v>19</v>
      </c>
      <c r="F8128" s="2">
        <v>104.8</v>
      </c>
      <c r="G8128" s="2">
        <v>10</v>
      </c>
      <c r="H8128" s="2">
        <v>26.2</v>
      </c>
      <c r="I8128" t="str">
        <f t="shared" si="126"/>
        <v>Aug</v>
      </c>
      <c r="J8128">
        <f>YEAR(datas[[#This Row],[Order Date]])</f>
        <v>2024</v>
      </c>
    </row>
    <row r="8129" spans="1:10" ht="14.25" customHeight="1" x14ac:dyDescent="0.3">
      <c r="A8129" s="1">
        <v>45511</v>
      </c>
      <c r="B8129" s="2" t="s">
        <v>205</v>
      </c>
      <c r="C8129" s="2" t="s">
        <v>21</v>
      </c>
      <c r="D8129" s="2" t="s">
        <v>28</v>
      </c>
      <c r="E8129" s="2" t="s">
        <v>29</v>
      </c>
      <c r="F8129" s="2">
        <v>159.96</v>
      </c>
      <c r="G8129" s="2">
        <v>5</v>
      </c>
      <c r="H8129" s="2">
        <v>18</v>
      </c>
      <c r="I8129" t="str">
        <f t="shared" si="126"/>
        <v>Aug</v>
      </c>
      <c r="J8129">
        <f>YEAR(datas[[#This Row],[Order Date]])</f>
        <v>2024</v>
      </c>
    </row>
    <row r="8130" spans="1:10" ht="14.25" customHeight="1" x14ac:dyDescent="0.3">
      <c r="A8130" s="1">
        <v>45511</v>
      </c>
      <c r="B8130" s="2" t="s">
        <v>205</v>
      </c>
      <c r="C8130" s="2" t="s">
        <v>21</v>
      </c>
      <c r="D8130" s="2" t="s">
        <v>10</v>
      </c>
      <c r="E8130" s="2" t="s">
        <v>16</v>
      </c>
      <c r="F8130" s="2">
        <v>13.76</v>
      </c>
      <c r="G8130" s="2">
        <v>2</v>
      </c>
      <c r="H8130" s="2">
        <v>4.6399999999999997</v>
      </c>
      <c r="I8130" t="str">
        <f t="shared" si="126"/>
        <v>Aug</v>
      </c>
      <c r="J8130">
        <f>YEAR(datas[[#This Row],[Order Date]])</f>
        <v>2024</v>
      </c>
    </row>
    <row r="8131" spans="1:10" ht="14.25" customHeight="1" x14ac:dyDescent="0.3">
      <c r="A8131" s="1">
        <v>45511</v>
      </c>
      <c r="B8131" s="2" t="s">
        <v>270</v>
      </c>
      <c r="C8131" s="2" t="s">
        <v>140</v>
      </c>
      <c r="D8131" s="2" t="s">
        <v>28</v>
      </c>
      <c r="E8131" s="2" t="s">
        <v>34</v>
      </c>
      <c r="F8131" s="2">
        <v>63.96</v>
      </c>
      <c r="G8131" s="2">
        <v>4</v>
      </c>
      <c r="H8131" s="2">
        <v>19.829999999999998</v>
      </c>
      <c r="I8131" t="str">
        <f t="shared" ref="I8131:I8194" si="127">TEXT(A8131,"mmm")</f>
        <v>Aug</v>
      </c>
      <c r="J8131">
        <f>YEAR(datas[[#This Row],[Order Date]])</f>
        <v>2024</v>
      </c>
    </row>
    <row r="8132" spans="1:10" ht="14.25" customHeight="1" x14ac:dyDescent="0.3">
      <c r="A8132" s="1">
        <v>45511</v>
      </c>
      <c r="B8132" s="2" t="s">
        <v>622</v>
      </c>
      <c r="C8132" s="2" t="s">
        <v>21</v>
      </c>
      <c r="D8132" s="2" t="s">
        <v>10</v>
      </c>
      <c r="E8132" s="2" t="s">
        <v>11</v>
      </c>
      <c r="F8132" s="2">
        <v>244.55</v>
      </c>
      <c r="G8132" s="2">
        <v>5</v>
      </c>
      <c r="H8132" s="2">
        <v>114.94</v>
      </c>
      <c r="I8132" t="str">
        <f t="shared" si="127"/>
        <v>Aug</v>
      </c>
      <c r="J8132">
        <f>YEAR(datas[[#This Row],[Order Date]])</f>
        <v>2024</v>
      </c>
    </row>
    <row r="8133" spans="1:10" ht="14.25" customHeight="1" x14ac:dyDescent="0.3">
      <c r="A8133" s="1">
        <v>45511</v>
      </c>
      <c r="B8133" s="2" t="s">
        <v>127</v>
      </c>
      <c r="C8133" s="2" t="s">
        <v>9</v>
      </c>
      <c r="D8133" s="2" t="s">
        <v>28</v>
      </c>
      <c r="E8133" s="2" t="s">
        <v>34</v>
      </c>
      <c r="F8133" s="2">
        <v>119.45</v>
      </c>
      <c r="G8133" s="2">
        <v>3</v>
      </c>
      <c r="H8133" s="2">
        <v>-13.44</v>
      </c>
      <c r="I8133" t="str">
        <f t="shared" si="127"/>
        <v>Aug</v>
      </c>
      <c r="J8133">
        <f>YEAR(datas[[#This Row],[Order Date]])</f>
        <v>2024</v>
      </c>
    </row>
    <row r="8134" spans="1:10" ht="14.25" customHeight="1" x14ac:dyDescent="0.3">
      <c r="A8134" s="1">
        <v>45511</v>
      </c>
      <c r="B8134" s="2" t="s">
        <v>127</v>
      </c>
      <c r="C8134" s="2" t="s">
        <v>9</v>
      </c>
      <c r="D8134" s="2" t="s">
        <v>10</v>
      </c>
      <c r="E8134" s="2" t="s">
        <v>15</v>
      </c>
      <c r="F8134" s="2">
        <v>118.16</v>
      </c>
      <c r="G8134" s="2">
        <v>2</v>
      </c>
      <c r="H8134" s="2">
        <v>-25.11</v>
      </c>
      <c r="I8134" t="str">
        <f t="shared" si="127"/>
        <v>Aug</v>
      </c>
      <c r="J8134">
        <f>YEAR(datas[[#This Row],[Order Date]])</f>
        <v>2024</v>
      </c>
    </row>
    <row r="8135" spans="1:10" ht="14.25" customHeight="1" x14ac:dyDescent="0.3">
      <c r="A8135" s="1">
        <v>45511</v>
      </c>
      <c r="B8135" s="2" t="s">
        <v>578</v>
      </c>
      <c r="C8135" s="2" t="s">
        <v>21</v>
      </c>
      <c r="D8135" s="2" t="s">
        <v>28</v>
      </c>
      <c r="E8135" s="2" t="s">
        <v>29</v>
      </c>
      <c r="F8135" s="2">
        <v>707.88</v>
      </c>
      <c r="G8135" s="2">
        <v>3</v>
      </c>
      <c r="H8135" s="2">
        <v>44.24</v>
      </c>
      <c r="I8135" t="str">
        <f t="shared" si="127"/>
        <v>Aug</v>
      </c>
      <c r="J8135">
        <f>YEAR(datas[[#This Row],[Order Date]])</f>
        <v>2024</v>
      </c>
    </row>
    <row r="8136" spans="1:10" ht="14.25" customHeight="1" x14ac:dyDescent="0.3">
      <c r="A8136" s="1">
        <v>45511</v>
      </c>
      <c r="B8136" s="2" t="s">
        <v>578</v>
      </c>
      <c r="C8136" s="2" t="s">
        <v>21</v>
      </c>
      <c r="D8136" s="2" t="s">
        <v>10</v>
      </c>
      <c r="E8136" s="2" t="s">
        <v>16</v>
      </c>
      <c r="F8136" s="2">
        <v>11.95</v>
      </c>
      <c r="G8136" s="2">
        <v>3</v>
      </c>
      <c r="H8136" s="2">
        <v>4.18</v>
      </c>
      <c r="I8136" t="str">
        <f t="shared" si="127"/>
        <v>Aug</v>
      </c>
      <c r="J8136">
        <f>YEAR(datas[[#This Row],[Order Date]])</f>
        <v>2024</v>
      </c>
    </row>
    <row r="8137" spans="1:10" ht="14.25" customHeight="1" x14ac:dyDescent="0.3">
      <c r="A8137" s="1">
        <v>45511</v>
      </c>
      <c r="B8137" s="2" t="s">
        <v>578</v>
      </c>
      <c r="C8137" s="2" t="s">
        <v>21</v>
      </c>
      <c r="D8137" s="2" t="s">
        <v>10</v>
      </c>
      <c r="E8137" s="2" t="s">
        <v>16</v>
      </c>
      <c r="F8137" s="2">
        <v>31.13</v>
      </c>
      <c r="G8137" s="2">
        <v>3</v>
      </c>
      <c r="H8137" s="2">
        <v>11.67</v>
      </c>
      <c r="I8137" t="str">
        <f t="shared" si="127"/>
        <v>Aug</v>
      </c>
      <c r="J8137">
        <f>YEAR(datas[[#This Row],[Order Date]])</f>
        <v>2024</v>
      </c>
    </row>
    <row r="8138" spans="1:10" ht="14.25" customHeight="1" x14ac:dyDescent="0.3">
      <c r="A8138" s="1">
        <v>45511</v>
      </c>
      <c r="B8138" s="2" t="s">
        <v>578</v>
      </c>
      <c r="C8138" s="2" t="s">
        <v>21</v>
      </c>
      <c r="D8138" s="2" t="s">
        <v>28</v>
      </c>
      <c r="E8138" s="2" t="s">
        <v>34</v>
      </c>
      <c r="F8138" s="2">
        <v>55.76</v>
      </c>
      <c r="G8138" s="2">
        <v>4</v>
      </c>
      <c r="H8138" s="2">
        <v>7.81</v>
      </c>
      <c r="I8138" t="str">
        <f t="shared" si="127"/>
        <v>Aug</v>
      </c>
      <c r="J8138">
        <f>YEAR(datas[[#This Row],[Order Date]])</f>
        <v>2024</v>
      </c>
    </row>
    <row r="8139" spans="1:10" ht="14.25" customHeight="1" x14ac:dyDescent="0.3">
      <c r="A8139" s="1">
        <v>45511</v>
      </c>
      <c r="B8139" s="2" t="s">
        <v>578</v>
      </c>
      <c r="C8139" s="2" t="s">
        <v>21</v>
      </c>
      <c r="D8139" s="2" t="s">
        <v>10</v>
      </c>
      <c r="E8139" s="2" t="s">
        <v>11</v>
      </c>
      <c r="F8139" s="2">
        <v>24.56</v>
      </c>
      <c r="G8139" s="2">
        <v>2</v>
      </c>
      <c r="H8139" s="2">
        <v>11.54</v>
      </c>
      <c r="I8139" t="str">
        <f t="shared" si="127"/>
        <v>Aug</v>
      </c>
      <c r="J8139">
        <f>YEAR(datas[[#This Row],[Order Date]])</f>
        <v>2024</v>
      </c>
    </row>
    <row r="8140" spans="1:10" ht="14.25" customHeight="1" x14ac:dyDescent="0.3">
      <c r="A8140" s="1">
        <v>45511</v>
      </c>
      <c r="B8140" s="2" t="s">
        <v>578</v>
      </c>
      <c r="C8140" s="2" t="s">
        <v>21</v>
      </c>
      <c r="D8140" s="2" t="s">
        <v>26</v>
      </c>
      <c r="E8140" s="2" t="s">
        <v>32</v>
      </c>
      <c r="F8140" s="2">
        <v>51.75</v>
      </c>
      <c r="G8140" s="2">
        <v>1</v>
      </c>
      <c r="H8140" s="2">
        <v>15.53</v>
      </c>
      <c r="I8140" t="str">
        <f t="shared" si="127"/>
        <v>Aug</v>
      </c>
      <c r="J8140">
        <f>YEAR(datas[[#This Row],[Order Date]])</f>
        <v>2024</v>
      </c>
    </row>
    <row r="8141" spans="1:10" ht="14.25" customHeight="1" x14ac:dyDescent="0.3">
      <c r="A8141" s="1">
        <v>45511</v>
      </c>
      <c r="B8141" s="2" t="s">
        <v>578</v>
      </c>
      <c r="C8141" s="2" t="s">
        <v>21</v>
      </c>
      <c r="D8141" s="2" t="s">
        <v>26</v>
      </c>
      <c r="E8141" s="2" t="s">
        <v>27</v>
      </c>
      <c r="F8141" s="2">
        <v>207.18</v>
      </c>
      <c r="G8141" s="2">
        <v>1</v>
      </c>
      <c r="H8141" s="2">
        <v>25.9</v>
      </c>
      <c r="I8141" t="str">
        <f t="shared" si="127"/>
        <v>Aug</v>
      </c>
      <c r="J8141">
        <f>YEAR(datas[[#This Row],[Order Date]])</f>
        <v>2024</v>
      </c>
    </row>
    <row r="8142" spans="1:10" ht="14.25" customHeight="1" x14ac:dyDescent="0.3">
      <c r="A8142" s="1">
        <v>45511</v>
      </c>
      <c r="B8142" s="2" t="s">
        <v>578</v>
      </c>
      <c r="C8142" s="2" t="s">
        <v>21</v>
      </c>
      <c r="D8142" s="2" t="s">
        <v>10</v>
      </c>
      <c r="E8142" s="2" t="s">
        <v>53</v>
      </c>
      <c r="F8142" s="2">
        <v>1473.1</v>
      </c>
      <c r="G8142" s="2">
        <v>5</v>
      </c>
      <c r="H8142" s="2">
        <v>412.47</v>
      </c>
      <c r="I8142" t="str">
        <f t="shared" si="127"/>
        <v>Aug</v>
      </c>
      <c r="J8142">
        <f>YEAR(datas[[#This Row],[Order Date]])</f>
        <v>2024</v>
      </c>
    </row>
    <row r="8143" spans="1:10" ht="14.25" customHeight="1" x14ac:dyDescent="0.3">
      <c r="A8143" s="1">
        <v>45514</v>
      </c>
      <c r="B8143" s="2" t="s">
        <v>394</v>
      </c>
      <c r="C8143" s="2" t="s">
        <v>68</v>
      </c>
      <c r="D8143" s="2" t="s">
        <v>10</v>
      </c>
      <c r="E8143" s="2" t="s">
        <v>41</v>
      </c>
      <c r="F8143" s="2">
        <v>70.08</v>
      </c>
      <c r="G8143" s="2">
        <v>6</v>
      </c>
      <c r="H8143" s="2">
        <v>35.04</v>
      </c>
      <c r="I8143" t="str">
        <f t="shared" si="127"/>
        <v>Aug</v>
      </c>
      <c r="J8143">
        <f>YEAR(datas[[#This Row],[Order Date]])</f>
        <v>2024</v>
      </c>
    </row>
    <row r="8144" spans="1:10" ht="14.25" customHeight="1" x14ac:dyDescent="0.3">
      <c r="A8144" s="1">
        <v>45514</v>
      </c>
      <c r="B8144" s="2" t="s">
        <v>394</v>
      </c>
      <c r="C8144" s="2" t="s">
        <v>68</v>
      </c>
      <c r="D8144" s="2" t="s">
        <v>26</v>
      </c>
      <c r="E8144" s="2" t="s">
        <v>32</v>
      </c>
      <c r="F8144" s="2">
        <v>121.3</v>
      </c>
      <c r="G8144" s="2">
        <v>2</v>
      </c>
      <c r="H8144" s="2">
        <v>25.47</v>
      </c>
      <c r="I8144" t="str">
        <f t="shared" si="127"/>
        <v>Aug</v>
      </c>
      <c r="J8144">
        <f>YEAR(datas[[#This Row],[Order Date]])</f>
        <v>2024</v>
      </c>
    </row>
    <row r="8145" spans="1:10" ht="14.25" customHeight="1" x14ac:dyDescent="0.3">
      <c r="A8145" s="1">
        <v>45514</v>
      </c>
      <c r="B8145" s="2" t="s">
        <v>394</v>
      </c>
      <c r="C8145" s="2" t="s">
        <v>68</v>
      </c>
      <c r="D8145" s="2" t="s">
        <v>28</v>
      </c>
      <c r="E8145" s="2" t="s">
        <v>29</v>
      </c>
      <c r="F8145" s="2">
        <v>1454.49</v>
      </c>
      <c r="G8145" s="2">
        <v>9</v>
      </c>
      <c r="H8145" s="2">
        <v>378.17</v>
      </c>
      <c r="I8145" t="str">
        <f t="shared" si="127"/>
        <v>Aug</v>
      </c>
      <c r="J8145">
        <f>YEAR(datas[[#This Row],[Order Date]])</f>
        <v>2024</v>
      </c>
    </row>
    <row r="8146" spans="1:10" ht="14.25" customHeight="1" x14ac:dyDescent="0.3">
      <c r="A8146" s="1">
        <v>45514</v>
      </c>
      <c r="B8146" s="2" t="s">
        <v>643</v>
      </c>
      <c r="C8146" s="2" t="s">
        <v>68</v>
      </c>
      <c r="D8146" s="2" t="s">
        <v>10</v>
      </c>
      <c r="E8146" s="2" t="s">
        <v>11</v>
      </c>
      <c r="F8146" s="2">
        <v>177.2</v>
      </c>
      <c r="G8146" s="2">
        <v>5</v>
      </c>
      <c r="H8146" s="2">
        <v>83.28</v>
      </c>
      <c r="I8146" t="str">
        <f t="shared" si="127"/>
        <v>Aug</v>
      </c>
      <c r="J8146">
        <f>YEAR(datas[[#This Row],[Order Date]])</f>
        <v>2024</v>
      </c>
    </row>
    <row r="8147" spans="1:10" ht="14.25" customHeight="1" x14ac:dyDescent="0.3">
      <c r="A8147" s="1">
        <v>45515</v>
      </c>
      <c r="B8147" s="2" t="s">
        <v>543</v>
      </c>
      <c r="C8147" s="2" t="s">
        <v>9</v>
      </c>
      <c r="D8147" s="2" t="s">
        <v>10</v>
      </c>
      <c r="E8147" s="2" t="s">
        <v>11</v>
      </c>
      <c r="F8147" s="2">
        <v>29.66</v>
      </c>
      <c r="G8147" s="2">
        <v>4</v>
      </c>
      <c r="H8147" s="2">
        <v>10.01</v>
      </c>
      <c r="I8147" t="str">
        <f t="shared" si="127"/>
        <v>Aug</v>
      </c>
      <c r="J8147">
        <f>YEAR(datas[[#This Row],[Order Date]])</f>
        <v>2024</v>
      </c>
    </row>
    <row r="8148" spans="1:10" ht="14.25" customHeight="1" x14ac:dyDescent="0.3">
      <c r="A8148" s="1">
        <v>45515</v>
      </c>
      <c r="B8148" s="2" t="s">
        <v>543</v>
      </c>
      <c r="C8148" s="2" t="s">
        <v>9</v>
      </c>
      <c r="D8148" s="2" t="s">
        <v>10</v>
      </c>
      <c r="E8148" s="2" t="s">
        <v>19</v>
      </c>
      <c r="F8148" s="2">
        <v>9.18</v>
      </c>
      <c r="G8148" s="2">
        <v>7</v>
      </c>
      <c r="H8148" s="2">
        <v>2.87</v>
      </c>
      <c r="I8148" t="str">
        <f t="shared" si="127"/>
        <v>Aug</v>
      </c>
      <c r="J8148">
        <f>YEAR(datas[[#This Row],[Order Date]])</f>
        <v>2024</v>
      </c>
    </row>
    <row r="8149" spans="1:10" ht="14.25" customHeight="1" x14ac:dyDescent="0.3">
      <c r="A8149" s="1">
        <v>45515</v>
      </c>
      <c r="B8149" s="2" t="s">
        <v>543</v>
      </c>
      <c r="C8149" s="2" t="s">
        <v>9</v>
      </c>
      <c r="D8149" s="2" t="s">
        <v>28</v>
      </c>
      <c r="E8149" s="2" t="s">
        <v>29</v>
      </c>
      <c r="F8149" s="2">
        <v>153.58000000000001</v>
      </c>
      <c r="G8149" s="2">
        <v>2</v>
      </c>
      <c r="H8149" s="2">
        <v>13.44</v>
      </c>
      <c r="I8149" t="str">
        <f t="shared" si="127"/>
        <v>Aug</v>
      </c>
      <c r="J8149">
        <f>YEAR(datas[[#This Row],[Order Date]])</f>
        <v>2024</v>
      </c>
    </row>
    <row r="8150" spans="1:10" ht="14.25" customHeight="1" x14ac:dyDescent="0.3">
      <c r="A8150" s="1">
        <v>45515</v>
      </c>
      <c r="B8150" s="2" t="s">
        <v>543</v>
      </c>
      <c r="C8150" s="2" t="s">
        <v>9</v>
      </c>
      <c r="D8150" s="2" t="s">
        <v>10</v>
      </c>
      <c r="E8150" s="2" t="s">
        <v>16</v>
      </c>
      <c r="F8150" s="2">
        <v>12.86</v>
      </c>
      <c r="G8150" s="2">
        <v>8</v>
      </c>
      <c r="H8150" s="2">
        <v>-22.51</v>
      </c>
      <c r="I8150" t="str">
        <f t="shared" si="127"/>
        <v>Aug</v>
      </c>
      <c r="J8150">
        <f>YEAR(datas[[#This Row],[Order Date]])</f>
        <v>2024</v>
      </c>
    </row>
    <row r="8151" spans="1:10" ht="14.25" customHeight="1" x14ac:dyDescent="0.3">
      <c r="A8151" s="1">
        <v>45515</v>
      </c>
      <c r="B8151" s="2" t="s">
        <v>166</v>
      </c>
      <c r="C8151" s="2" t="s">
        <v>40</v>
      </c>
      <c r="D8151" s="2" t="s">
        <v>10</v>
      </c>
      <c r="E8151" s="2" t="s">
        <v>16</v>
      </c>
      <c r="F8151" s="2">
        <v>477.51</v>
      </c>
      <c r="G8151" s="2">
        <v>11</v>
      </c>
      <c r="H8151" s="2">
        <v>219.65</v>
      </c>
      <c r="I8151" t="str">
        <f t="shared" si="127"/>
        <v>Aug</v>
      </c>
      <c r="J8151">
        <f>YEAR(datas[[#This Row],[Order Date]])</f>
        <v>2024</v>
      </c>
    </row>
    <row r="8152" spans="1:10" ht="14.25" customHeight="1" x14ac:dyDescent="0.3">
      <c r="A8152" s="1">
        <v>45515</v>
      </c>
      <c r="B8152" s="2" t="s">
        <v>767</v>
      </c>
      <c r="C8152" s="2" t="s">
        <v>75</v>
      </c>
      <c r="D8152" s="2" t="s">
        <v>10</v>
      </c>
      <c r="E8152" s="2" t="s">
        <v>11</v>
      </c>
      <c r="F8152" s="2">
        <v>25.92</v>
      </c>
      <c r="G8152" s="2">
        <v>4</v>
      </c>
      <c r="H8152" s="2">
        <v>12.44</v>
      </c>
      <c r="I8152" t="str">
        <f t="shared" si="127"/>
        <v>Aug</v>
      </c>
      <c r="J8152">
        <f>YEAR(datas[[#This Row],[Order Date]])</f>
        <v>2024</v>
      </c>
    </row>
    <row r="8153" spans="1:10" ht="14.25" customHeight="1" x14ac:dyDescent="0.3">
      <c r="A8153" s="1">
        <v>45516</v>
      </c>
      <c r="B8153" s="2" t="s">
        <v>426</v>
      </c>
      <c r="C8153" s="2" t="s">
        <v>64</v>
      </c>
      <c r="D8153" s="2" t="s">
        <v>10</v>
      </c>
      <c r="E8153" s="2" t="s">
        <v>11</v>
      </c>
      <c r="F8153" s="2">
        <v>20.74</v>
      </c>
      <c r="G8153" s="2">
        <v>4</v>
      </c>
      <c r="H8153" s="2">
        <v>7.26</v>
      </c>
      <c r="I8153" t="str">
        <f t="shared" si="127"/>
        <v>Aug</v>
      </c>
      <c r="J8153">
        <f>YEAR(datas[[#This Row],[Order Date]])</f>
        <v>2024</v>
      </c>
    </row>
    <row r="8154" spans="1:10" ht="14.25" customHeight="1" x14ac:dyDescent="0.3">
      <c r="A8154" s="1">
        <v>45516</v>
      </c>
      <c r="B8154" s="2" t="s">
        <v>240</v>
      </c>
      <c r="C8154" s="2" t="s">
        <v>21</v>
      </c>
      <c r="D8154" s="2" t="s">
        <v>10</v>
      </c>
      <c r="E8154" s="2" t="s">
        <v>53</v>
      </c>
      <c r="F8154" s="2">
        <v>542.94000000000005</v>
      </c>
      <c r="G8154" s="2">
        <v>3</v>
      </c>
      <c r="H8154" s="2">
        <v>152.02000000000001</v>
      </c>
      <c r="I8154" t="str">
        <f t="shared" si="127"/>
        <v>Aug</v>
      </c>
      <c r="J8154">
        <f>YEAR(datas[[#This Row],[Order Date]])</f>
        <v>2024</v>
      </c>
    </row>
    <row r="8155" spans="1:10" ht="14.25" customHeight="1" x14ac:dyDescent="0.3">
      <c r="A8155" s="1">
        <v>45516</v>
      </c>
      <c r="B8155" s="2" t="s">
        <v>240</v>
      </c>
      <c r="C8155" s="2" t="s">
        <v>21</v>
      </c>
      <c r="D8155" s="2" t="s">
        <v>26</v>
      </c>
      <c r="E8155" s="2" t="s">
        <v>32</v>
      </c>
      <c r="F8155" s="2">
        <v>54.92</v>
      </c>
      <c r="G8155" s="2">
        <v>4</v>
      </c>
      <c r="H8155" s="2">
        <v>19.77</v>
      </c>
      <c r="I8155" t="str">
        <f t="shared" si="127"/>
        <v>Aug</v>
      </c>
      <c r="J8155">
        <f>YEAR(datas[[#This Row],[Order Date]])</f>
        <v>2024</v>
      </c>
    </row>
    <row r="8156" spans="1:10" ht="14.25" customHeight="1" x14ac:dyDescent="0.3">
      <c r="A8156" s="1">
        <v>45516</v>
      </c>
      <c r="B8156" s="2" t="s">
        <v>726</v>
      </c>
      <c r="C8156" s="2" t="s">
        <v>215</v>
      </c>
      <c r="D8156" s="2" t="s">
        <v>10</v>
      </c>
      <c r="E8156" s="2" t="s">
        <v>19</v>
      </c>
      <c r="F8156" s="2">
        <v>17.52</v>
      </c>
      <c r="G8156" s="2">
        <v>3</v>
      </c>
      <c r="H8156" s="2">
        <v>5.26</v>
      </c>
      <c r="I8156" t="str">
        <f t="shared" si="127"/>
        <v>Aug</v>
      </c>
      <c r="J8156">
        <f>YEAR(datas[[#This Row],[Order Date]])</f>
        <v>2024</v>
      </c>
    </row>
    <row r="8157" spans="1:10" ht="14.25" customHeight="1" x14ac:dyDescent="0.3">
      <c r="A8157" s="1">
        <v>45516</v>
      </c>
      <c r="B8157" s="2" t="s">
        <v>726</v>
      </c>
      <c r="C8157" s="2" t="s">
        <v>215</v>
      </c>
      <c r="D8157" s="2" t="s">
        <v>26</v>
      </c>
      <c r="E8157" s="2" t="s">
        <v>27</v>
      </c>
      <c r="F8157" s="2">
        <v>1779.9</v>
      </c>
      <c r="G8157" s="2">
        <v>5</v>
      </c>
      <c r="H8157" s="2">
        <v>373.78</v>
      </c>
      <c r="I8157" t="str">
        <f t="shared" si="127"/>
        <v>Aug</v>
      </c>
      <c r="J8157">
        <f>YEAR(datas[[#This Row],[Order Date]])</f>
        <v>2024</v>
      </c>
    </row>
    <row r="8158" spans="1:10" ht="14.25" customHeight="1" x14ac:dyDescent="0.3">
      <c r="A8158" s="1">
        <v>45516</v>
      </c>
      <c r="B8158" s="2" t="s">
        <v>726</v>
      </c>
      <c r="C8158" s="2" t="s">
        <v>215</v>
      </c>
      <c r="D8158" s="2" t="s">
        <v>10</v>
      </c>
      <c r="E8158" s="2" t="s">
        <v>19</v>
      </c>
      <c r="F8158" s="2">
        <v>219.9</v>
      </c>
      <c r="G8158" s="2">
        <v>5</v>
      </c>
      <c r="H8158" s="2">
        <v>59.37</v>
      </c>
      <c r="I8158" t="str">
        <f t="shared" si="127"/>
        <v>Aug</v>
      </c>
      <c r="J8158">
        <f>YEAR(datas[[#This Row],[Order Date]])</f>
        <v>2024</v>
      </c>
    </row>
    <row r="8159" spans="1:10" ht="14.25" customHeight="1" x14ac:dyDescent="0.3">
      <c r="A8159" s="1">
        <v>45516</v>
      </c>
      <c r="B8159" s="2" t="s">
        <v>685</v>
      </c>
      <c r="C8159" s="2" t="s">
        <v>82</v>
      </c>
      <c r="D8159" s="2" t="s">
        <v>28</v>
      </c>
      <c r="E8159" s="2" t="s">
        <v>243</v>
      </c>
      <c r="F8159" s="2">
        <v>299.99</v>
      </c>
      <c r="G8159" s="2">
        <v>1</v>
      </c>
      <c r="H8159" s="2">
        <v>90</v>
      </c>
      <c r="I8159" t="str">
        <f t="shared" si="127"/>
        <v>Aug</v>
      </c>
      <c r="J8159">
        <f>YEAR(datas[[#This Row],[Order Date]])</f>
        <v>2024</v>
      </c>
    </row>
    <row r="8160" spans="1:10" ht="14.25" customHeight="1" x14ac:dyDescent="0.3">
      <c r="A8160" s="1">
        <v>45516</v>
      </c>
      <c r="B8160" s="2" t="s">
        <v>685</v>
      </c>
      <c r="C8160" s="2" t="s">
        <v>82</v>
      </c>
      <c r="D8160" s="2" t="s">
        <v>10</v>
      </c>
      <c r="E8160" s="2" t="s">
        <v>11</v>
      </c>
      <c r="F8160" s="2">
        <v>192.16</v>
      </c>
      <c r="G8160" s="2">
        <v>4</v>
      </c>
      <c r="H8160" s="2">
        <v>92.24</v>
      </c>
      <c r="I8160" t="str">
        <f t="shared" si="127"/>
        <v>Aug</v>
      </c>
      <c r="J8160">
        <f>YEAR(datas[[#This Row],[Order Date]])</f>
        <v>2024</v>
      </c>
    </row>
    <row r="8161" spans="1:10" ht="14.25" customHeight="1" x14ac:dyDescent="0.3">
      <c r="A8161" s="1">
        <v>45516</v>
      </c>
      <c r="B8161" s="2" t="s">
        <v>685</v>
      </c>
      <c r="C8161" s="2" t="s">
        <v>82</v>
      </c>
      <c r="D8161" s="2" t="s">
        <v>28</v>
      </c>
      <c r="E8161" s="2" t="s">
        <v>29</v>
      </c>
      <c r="F8161" s="2">
        <v>242.62</v>
      </c>
      <c r="G8161" s="2">
        <v>8</v>
      </c>
      <c r="H8161" s="2">
        <v>27.3</v>
      </c>
      <c r="I8161" t="str">
        <f t="shared" si="127"/>
        <v>Aug</v>
      </c>
      <c r="J8161">
        <f>YEAR(datas[[#This Row],[Order Date]])</f>
        <v>2024</v>
      </c>
    </row>
    <row r="8162" spans="1:10" ht="14.25" customHeight="1" x14ac:dyDescent="0.3">
      <c r="A8162" s="1">
        <v>45516</v>
      </c>
      <c r="B8162" s="2" t="s">
        <v>685</v>
      </c>
      <c r="C8162" s="2" t="s">
        <v>82</v>
      </c>
      <c r="D8162" s="2" t="s">
        <v>10</v>
      </c>
      <c r="E8162" s="2" t="s">
        <v>15</v>
      </c>
      <c r="F8162" s="2">
        <v>46.74</v>
      </c>
      <c r="G8162" s="2">
        <v>3</v>
      </c>
      <c r="H8162" s="2">
        <v>11.69</v>
      </c>
      <c r="I8162" t="str">
        <f t="shared" si="127"/>
        <v>Aug</v>
      </c>
      <c r="J8162">
        <f>YEAR(datas[[#This Row],[Order Date]])</f>
        <v>2024</v>
      </c>
    </row>
    <row r="8163" spans="1:10" ht="14.25" customHeight="1" x14ac:dyDescent="0.3">
      <c r="A8163" s="1">
        <v>45516</v>
      </c>
      <c r="B8163" s="2" t="s">
        <v>685</v>
      </c>
      <c r="C8163" s="2" t="s">
        <v>82</v>
      </c>
      <c r="D8163" s="2" t="s">
        <v>28</v>
      </c>
      <c r="E8163" s="2" t="s">
        <v>34</v>
      </c>
      <c r="F8163" s="2">
        <v>174.95</v>
      </c>
      <c r="G8163" s="2">
        <v>5</v>
      </c>
      <c r="H8163" s="2">
        <v>12.25</v>
      </c>
      <c r="I8163" t="str">
        <f t="shared" si="127"/>
        <v>Aug</v>
      </c>
      <c r="J8163">
        <f>YEAR(datas[[#This Row],[Order Date]])</f>
        <v>2024</v>
      </c>
    </row>
    <row r="8164" spans="1:10" ht="14.25" customHeight="1" x14ac:dyDescent="0.3">
      <c r="A8164" s="1">
        <v>45516</v>
      </c>
      <c r="B8164" s="2" t="s">
        <v>685</v>
      </c>
      <c r="C8164" s="2" t="s">
        <v>82</v>
      </c>
      <c r="D8164" s="2" t="s">
        <v>10</v>
      </c>
      <c r="E8164" s="2" t="s">
        <v>16</v>
      </c>
      <c r="F8164" s="2">
        <v>100.7</v>
      </c>
      <c r="G8164" s="2">
        <v>6</v>
      </c>
      <c r="H8164" s="2">
        <v>37.76</v>
      </c>
      <c r="I8164" t="str">
        <f t="shared" si="127"/>
        <v>Aug</v>
      </c>
      <c r="J8164">
        <f>YEAR(datas[[#This Row],[Order Date]])</f>
        <v>2024</v>
      </c>
    </row>
    <row r="8165" spans="1:10" ht="14.25" customHeight="1" x14ac:dyDescent="0.3">
      <c r="A8165" s="1">
        <v>45517</v>
      </c>
      <c r="B8165" s="2" t="s">
        <v>205</v>
      </c>
      <c r="C8165" s="2" t="s">
        <v>21</v>
      </c>
      <c r="D8165" s="2" t="s">
        <v>10</v>
      </c>
      <c r="E8165" s="2" t="s">
        <v>15</v>
      </c>
      <c r="F8165" s="2">
        <v>31.44</v>
      </c>
      <c r="G8165" s="2">
        <v>3</v>
      </c>
      <c r="H8165" s="2">
        <v>8.49</v>
      </c>
      <c r="I8165" t="str">
        <f t="shared" si="127"/>
        <v>Aug</v>
      </c>
      <c r="J8165">
        <f>YEAR(datas[[#This Row],[Order Date]])</f>
        <v>2024</v>
      </c>
    </row>
    <row r="8166" spans="1:10" ht="14.25" customHeight="1" x14ac:dyDescent="0.3">
      <c r="A8166" s="1">
        <v>45517</v>
      </c>
      <c r="B8166" s="2" t="s">
        <v>205</v>
      </c>
      <c r="C8166" s="2" t="s">
        <v>21</v>
      </c>
      <c r="D8166" s="2" t="s">
        <v>10</v>
      </c>
      <c r="E8166" s="2" t="s">
        <v>53</v>
      </c>
      <c r="F8166" s="2">
        <v>83.79</v>
      </c>
      <c r="G8166" s="2">
        <v>7</v>
      </c>
      <c r="H8166" s="2">
        <v>22.62</v>
      </c>
      <c r="I8166" t="str">
        <f t="shared" si="127"/>
        <v>Aug</v>
      </c>
      <c r="J8166">
        <f>YEAR(datas[[#This Row],[Order Date]])</f>
        <v>2024</v>
      </c>
    </row>
    <row r="8167" spans="1:10" ht="14.25" customHeight="1" x14ac:dyDescent="0.3">
      <c r="A8167" s="1">
        <v>45517</v>
      </c>
      <c r="B8167" s="2" t="s">
        <v>205</v>
      </c>
      <c r="C8167" s="2" t="s">
        <v>21</v>
      </c>
      <c r="D8167" s="2" t="s">
        <v>10</v>
      </c>
      <c r="E8167" s="2" t="s">
        <v>19</v>
      </c>
      <c r="F8167" s="2">
        <v>59.52</v>
      </c>
      <c r="G8167" s="2">
        <v>3</v>
      </c>
      <c r="H8167" s="2">
        <v>15.48</v>
      </c>
      <c r="I8167" t="str">
        <f t="shared" si="127"/>
        <v>Aug</v>
      </c>
      <c r="J8167">
        <f>YEAR(datas[[#This Row],[Order Date]])</f>
        <v>2024</v>
      </c>
    </row>
    <row r="8168" spans="1:10" ht="14.25" customHeight="1" x14ac:dyDescent="0.3">
      <c r="A8168" s="1">
        <v>45517</v>
      </c>
      <c r="B8168" s="2" t="s">
        <v>205</v>
      </c>
      <c r="C8168" s="2" t="s">
        <v>21</v>
      </c>
      <c r="D8168" s="2" t="s">
        <v>10</v>
      </c>
      <c r="E8168" s="2" t="s">
        <v>95</v>
      </c>
      <c r="F8168" s="2">
        <v>31.92</v>
      </c>
      <c r="G8168" s="2">
        <v>4</v>
      </c>
      <c r="H8168" s="2">
        <v>9.26</v>
      </c>
      <c r="I8168" t="str">
        <f t="shared" si="127"/>
        <v>Aug</v>
      </c>
      <c r="J8168">
        <f>YEAR(datas[[#This Row],[Order Date]])</f>
        <v>2024</v>
      </c>
    </row>
    <row r="8169" spans="1:10" ht="14.25" customHeight="1" x14ac:dyDescent="0.3">
      <c r="A8169" s="1">
        <v>45517</v>
      </c>
      <c r="B8169" s="2" t="s">
        <v>506</v>
      </c>
      <c r="C8169" s="2" t="s">
        <v>18</v>
      </c>
      <c r="D8169" s="2" t="s">
        <v>10</v>
      </c>
      <c r="E8169" s="2" t="s">
        <v>14</v>
      </c>
      <c r="F8169" s="2">
        <v>17.54</v>
      </c>
      <c r="G8169" s="2">
        <v>3</v>
      </c>
      <c r="H8169" s="2">
        <v>5.92</v>
      </c>
      <c r="I8169" t="str">
        <f t="shared" si="127"/>
        <v>Aug</v>
      </c>
      <c r="J8169">
        <f>YEAR(datas[[#This Row],[Order Date]])</f>
        <v>2024</v>
      </c>
    </row>
    <row r="8170" spans="1:10" ht="14.25" customHeight="1" x14ac:dyDescent="0.3">
      <c r="A8170" s="1">
        <v>45517</v>
      </c>
      <c r="B8170" s="2" t="s">
        <v>593</v>
      </c>
      <c r="C8170" s="2" t="s">
        <v>21</v>
      </c>
      <c r="D8170" s="2" t="s">
        <v>10</v>
      </c>
      <c r="E8170" s="2" t="s">
        <v>16</v>
      </c>
      <c r="F8170" s="2">
        <v>36.020000000000003</v>
      </c>
      <c r="G8170" s="2">
        <v>3</v>
      </c>
      <c r="H8170" s="2">
        <v>11.71</v>
      </c>
      <c r="I8170" t="str">
        <f t="shared" si="127"/>
        <v>Aug</v>
      </c>
      <c r="J8170">
        <f>YEAR(datas[[#This Row],[Order Date]])</f>
        <v>2024</v>
      </c>
    </row>
    <row r="8171" spans="1:10" ht="14.25" customHeight="1" x14ac:dyDescent="0.3">
      <c r="A8171" s="1">
        <v>45517</v>
      </c>
      <c r="B8171" s="2" t="s">
        <v>352</v>
      </c>
      <c r="C8171" s="2" t="s">
        <v>62</v>
      </c>
      <c r="D8171" s="2" t="s">
        <v>10</v>
      </c>
      <c r="E8171" s="2" t="s">
        <v>53</v>
      </c>
      <c r="F8171" s="2">
        <v>272.05</v>
      </c>
      <c r="G8171" s="2">
        <v>7</v>
      </c>
      <c r="H8171" s="2">
        <v>30.61</v>
      </c>
      <c r="I8171" t="str">
        <f t="shared" si="127"/>
        <v>Aug</v>
      </c>
      <c r="J8171">
        <f>YEAR(datas[[#This Row],[Order Date]])</f>
        <v>2024</v>
      </c>
    </row>
    <row r="8172" spans="1:10" ht="14.25" customHeight="1" x14ac:dyDescent="0.3">
      <c r="A8172" s="1">
        <v>45517</v>
      </c>
      <c r="B8172" s="2" t="s">
        <v>352</v>
      </c>
      <c r="C8172" s="2" t="s">
        <v>62</v>
      </c>
      <c r="D8172" s="2" t="s">
        <v>10</v>
      </c>
      <c r="E8172" s="2" t="s">
        <v>16</v>
      </c>
      <c r="F8172" s="2">
        <v>1614.58</v>
      </c>
      <c r="G8172" s="2">
        <v>6</v>
      </c>
      <c r="H8172" s="2">
        <v>-1237.8499999999999</v>
      </c>
      <c r="I8172" t="str">
        <f t="shared" si="127"/>
        <v>Aug</v>
      </c>
      <c r="J8172">
        <f>YEAR(datas[[#This Row],[Order Date]])</f>
        <v>2024</v>
      </c>
    </row>
    <row r="8173" spans="1:10" ht="14.25" customHeight="1" x14ac:dyDescent="0.3">
      <c r="A8173" s="1">
        <v>45517</v>
      </c>
      <c r="B8173" s="2" t="s">
        <v>352</v>
      </c>
      <c r="C8173" s="2" t="s">
        <v>62</v>
      </c>
      <c r="D8173" s="2" t="s">
        <v>10</v>
      </c>
      <c r="E8173" s="2" t="s">
        <v>30</v>
      </c>
      <c r="F8173" s="2">
        <v>24.32</v>
      </c>
      <c r="G8173" s="2">
        <v>5</v>
      </c>
      <c r="H8173" s="2">
        <v>9.1199999999999992</v>
      </c>
      <c r="I8173" t="str">
        <f t="shared" si="127"/>
        <v>Aug</v>
      </c>
      <c r="J8173">
        <f>YEAR(datas[[#This Row],[Order Date]])</f>
        <v>2024</v>
      </c>
    </row>
    <row r="8174" spans="1:10" ht="14.25" customHeight="1" x14ac:dyDescent="0.3">
      <c r="A8174" s="1">
        <v>45517</v>
      </c>
      <c r="B8174" s="2" t="s">
        <v>352</v>
      </c>
      <c r="C8174" s="2" t="s">
        <v>62</v>
      </c>
      <c r="D8174" s="2" t="s">
        <v>28</v>
      </c>
      <c r="E8174" s="2" t="s">
        <v>34</v>
      </c>
      <c r="F8174" s="2">
        <v>1.58</v>
      </c>
      <c r="G8174" s="2">
        <v>2</v>
      </c>
      <c r="H8174" s="2">
        <v>0.48</v>
      </c>
      <c r="I8174" t="str">
        <f t="shared" si="127"/>
        <v>Aug</v>
      </c>
      <c r="J8174">
        <f>YEAR(datas[[#This Row],[Order Date]])</f>
        <v>2024</v>
      </c>
    </row>
    <row r="8175" spans="1:10" ht="14.25" customHeight="1" x14ac:dyDescent="0.3">
      <c r="A8175" s="1">
        <v>45517</v>
      </c>
      <c r="B8175" s="2" t="s">
        <v>352</v>
      </c>
      <c r="C8175" s="2" t="s">
        <v>62</v>
      </c>
      <c r="D8175" s="2" t="s">
        <v>26</v>
      </c>
      <c r="E8175" s="2" t="s">
        <v>32</v>
      </c>
      <c r="F8175" s="2">
        <v>31.98</v>
      </c>
      <c r="G8175" s="2">
        <v>1</v>
      </c>
      <c r="H8175" s="2">
        <v>0</v>
      </c>
      <c r="I8175" t="str">
        <f t="shared" si="127"/>
        <v>Aug</v>
      </c>
      <c r="J8175">
        <f>YEAR(datas[[#This Row],[Order Date]])</f>
        <v>2024</v>
      </c>
    </row>
    <row r="8176" spans="1:10" ht="14.25" customHeight="1" x14ac:dyDescent="0.3">
      <c r="A8176" s="1">
        <v>45517</v>
      </c>
      <c r="B8176" s="2" t="s">
        <v>352</v>
      </c>
      <c r="C8176" s="2" t="s">
        <v>62</v>
      </c>
      <c r="D8176" s="2" t="s">
        <v>10</v>
      </c>
      <c r="E8176" s="2" t="s">
        <v>41</v>
      </c>
      <c r="F8176" s="2">
        <v>14.76</v>
      </c>
      <c r="G8176" s="2">
        <v>5</v>
      </c>
      <c r="H8176" s="2">
        <v>4.8</v>
      </c>
      <c r="I8176" t="str">
        <f t="shared" si="127"/>
        <v>Aug</v>
      </c>
      <c r="J8176">
        <f>YEAR(datas[[#This Row],[Order Date]])</f>
        <v>2024</v>
      </c>
    </row>
    <row r="8177" spans="1:10" ht="14.25" customHeight="1" x14ac:dyDescent="0.3">
      <c r="A8177" s="1">
        <v>45517</v>
      </c>
      <c r="B8177" s="2" t="s">
        <v>352</v>
      </c>
      <c r="C8177" s="2" t="s">
        <v>62</v>
      </c>
      <c r="D8177" s="2" t="s">
        <v>26</v>
      </c>
      <c r="E8177" s="2" t="s">
        <v>27</v>
      </c>
      <c r="F8177" s="2">
        <v>423.65</v>
      </c>
      <c r="G8177" s="2">
        <v>2</v>
      </c>
      <c r="H8177" s="2">
        <v>47.66</v>
      </c>
      <c r="I8177" t="str">
        <f t="shared" si="127"/>
        <v>Aug</v>
      </c>
      <c r="J8177">
        <f>YEAR(datas[[#This Row],[Order Date]])</f>
        <v>2024</v>
      </c>
    </row>
    <row r="8178" spans="1:10" ht="14.25" customHeight="1" x14ac:dyDescent="0.3">
      <c r="A8178" s="1">
        <v>45518</v>
      </c>
      <c r="B8178" s="2" t="s">
        <v>447</v>
      </c>
      <c r="C8178" s="2" t="s">
        <v>21</v>
      </c>
      <c r="D8178" s="2" t="s">
        <v>10</v>
      </c>
      <c r="E8178" s="2" t="s">
        <v>14</v>
      </c>
      <c r="F8178" s="2">
        <v>5.76</v>
      </c>
      <c r="G8178" s="2">
        <v>2</v>
      </c>
      <c r="H8178" s="2">
        <v>2.82</v>
      </c>
      <c r="I8178" t="str">
        <f t="shared" si="127"/>
        <v>Aug</v>
      </c>
      <c r="J8178">
        <f>YEAR(datas[[#This Row],[Order Date]])</f>
        <v>2024</v>
      </c>
    </row>
    <row r="8179" spans="1:10" ht="14.25" customHeight="1" x14ac:dyDescent="0.3">
      <c r="A8179" s="1">
        <v>45518</v>
      </c>
      <c r="B8179" s="2" t="s">
        <v>447</v>
      </c>
      <c r="C8179" s="2" t="s">
        <v>21</v>
      </c>
      <c r="D8179" s="2" t="s">
        <v>10</v>
      </c>
      <c r="E8179" s="2" t="s">
        <v>19</v>
      </c>
      <c r="F8179" s="2">
        <v>16.68</v>
      </c>
      <c r="G8179" s="2">
        <v>6</v>
      </c>
      <c r="H8179" s="2">
        <v>4.34</v>
      </c>
      <c r="I8179" t="str">
        <f t="shared" si="127"/>
        <v>Aug</v>
      </c>
      <c r="J8179">
        <f>YEAR(datas[[#This Row],[Order Date]])</f>
        <v>2024</v>
      </c>
    </row>
    <row r="8180" spans="1:10" ht="14.25" customHeight="1" x14ac:dyDescent="0.3">
      <c r="A8180" s="1">
        <v>45518</v>
      </c>
      <c r="B8180" s="2" t="s">
        <v>818</v>
      </c>
      <c r="C8180" s="2" t="s">
        <v>21</v>
      </c>
      <c r="D8180" s="2" t="s">
        <v>26</v>
      </c>
      <c r="E8180" s="2" t="s">
        <v>73</v>
      </c>
      <c r="F8180" s="2">
        <v>418.3</v>
      </c>
      <c r="G8180" s="2">
        <v>3</v>
      </c>
      <c r="H8180" s="2">
        <v>5.23</v>
      </c>
      <c r="I8180" t="str">
        <f t="shared" si="127"/>
        <v>Aug</v>
      </c>
      <c r="J8180">
        <f>YEAR(datas[[#This Row],[Order Date]])</f>
        <v>2024</v>
      </c>
    </row>
    <row r="8181" spans="1:10" ht="14.25" customHeight="1" x14ac:dyDescent="0.3">
      <c r="A8181" s="1">
        <v>45519</v>
      </c>
      <c r="B8181" s="2" t="s">
        <v>296</v>
      </c>
      <c r="C8181" s="2" t="s">
        <v>87</v>
      </c>
      <c r="D8181" s="2" t="s">
        <v>10</v>
      </c>
      <c r="E8181" s="2" t="s">
        <v>53</v>
      </c>
      <c r="F8181" s="2">
        <v>97.84</v>
      </c>
      <c r="G8181" s="2">
        <v>2</v>
      </c>
      <c r="H8181" s="2">
        <v>25.44</v>
      </c>
      <c r="I8181" t="str">
        <f t="shared" si="127"/>
        <v>Aug</v>
      </c>
      <c r="J8181">
        <f>YEAR(datas[[#This Row],[Order Date]])</f>
        <v>2024</v>
      </c>
    </row>
    <row r="8182" spans="1:10" ht="14.25" customHeight="1" x14ac:dyDescent="0.3">
      <c r="A8182" s="1">
        <v>45519</v>
      </c>
      <c r="B8182" s="2" t="s">
        <v>803</v>
      </c>
      <c r="C8182" s="2" t="s">
        <v>18</v>
      </c>
      <c r="D8182" s="2" t="s">
        <v>10</v>
      </c>
      <c r="E8182" s="2" t="s">
        <v>15</v>
      </c>
      <c r="F8182" s="2">
        <v>1801.63</v>
      </c>
      <c r="G8182" s="2">
        <v>6</v>
      </c>
      <c r="H8182" s="2">
        <v>-337.81</v>
      </c>
      <c r="I8182" t="str">
        <f t="shared" si="127"/>
        <v>Aug</v>
      </c>
      <c r="J8182">
        <f>YEAR(datas[[#This Row],[Order Date]])</f>
        <v>2024</v>
      </c>
    </row>
    <row r="8183" spans="1:10" ht="14.25" customHeight="1" x14ac:dyDescent="0.3">
      <c r="A8183" s="1">
        <v>45519</v>
      </c>
      <c r="B8183" s="2" t="s">
        <v>805</v>
      </c>
      <c r="C8183" s="2" t="s">
        <v>140</v>
      </c>
      <c r="D8183" s="2" t="s">
        <v>10</v>
      </c>
      <c r="E8183" s="2" t="s">
        <v>14</v>
      </c>
      <c r="F8183" s="2">
        <v>50.4</v>
      </c>
      <c r="G8183" s="2">
        <v>8</v>
      </c>
      <c r="H8183" s="2">
        <v>23.18</v>
      </c>
      <c r="I8183" t="str">
        <f t="shared" si="127"/>
        <v>Aug</v>
      </c>
      <c r="J8183">
        <f>YEAR(datas[[#This Row],[Order Date]])</f>
        <v>2024</v>
      </c>
    </row>
    <row r="8184" spans="1:10" ht="14.25" customHeight="1" x14ac:dyDescent="0.3">
      <c r="A8184" s="1">
        <v>45520</v>
      </c>
      <c r="B8184" s="2" t="s">
        <v>677</v>
      </c>
      <c r="C8184" s="2" t="s">
        <v>62</v>
      </c>
      <c r="D8184" s="2" t="s">
        <v>10</v>
      </c>
      <c r="E8184" s="2" t="s">
        <v>16</v>
      </c>
      <c r="F8184" s="2">
        <v>13.43</v>
      </c>
      <c r="G8184" s="2">
        <v>3</v>
      </c>
      <c r="H8184" s="2">
        <v>-11.19</v>
      </c>
      <c r="I8184" t="str">
        <f t="shared" si="127"/>
        <v>Aug</v>
      </c>
      <c r="J8184">
        <f>YEAR(datas[[#This Row],[Order Date]])</f>
        <v>2024</v>
      </c>
    </row>
    <row r="8185" spans="1:10" ht="14.25" customHeight="1" x14ac:dyDescent="0.3">
      <c r="A8185" s="1">
        <v>45520</v>
      </c>
      <c r="B8185" s="2" t="s">
        <v>677</v>
      </c>
      <c r="C8185" s="2" t="s">
        <v>62</v>
      </c>
      <c r="D8185" s="2" t="s">
        <v>10</v>
      </c>
      <c r="E8185" s="2" t="s">
        <v>15</v>
      </c>
      <c r="F8185" s="2">
        <v>67.14</v>
      </c>
      <c r="G8185" s="2">
        <v>4</v>
      </c>
      <c r="H8185" s="2">
        <v>-0.84</v>
      </c>
      <c r="I8185" t="str">
        <f t="shared" si="127"/>
        <v>Aug</v>
      </c>
      <c r="J8185">
        <f>YEAR(datas[[#This Row],[Order Date]])</f>
        <v>2024</v>
      </c>
    </row>
    <row r="8186" spans="1:10" ht="14.25" customHeight="1" x14ac:dyDescent="0.3">
      <c r="A8186" s="1">
        <v>45521</v>
      </c>
      <c r="B8186" s="2" t="s">
        <v>213</v>
      </c>
      <c r="C8186" s="2" t="s">
        <v>75</v>
      </c>
      <c r="D8186" s="2" t="s">
        <v>10</v>
      </c>
      <c r="E8186" s="2" t="s">
        <v>16</v>
      </c>
      <c r="F8186" s="2">
        <v>895.92</v>
      </c>
      <c r="G8186" s="2">
        <v>5</v>
      </c>
      <c r="H8186" s="2">
        <v>302.37</v>
      </c>
      <c r="I8186" t="str">
        <f t="shared" si="127"/>
        <v>Aug</v>
      </c>
      <c r="J8186">
        <f>YEAR(datas[[#This Row],[Order Date]])</f>
        <v>2024</v>
      </c>
    </row>
    <row r="8187" spans="1:10" ht="14.25" customHeight="1" x14ac:dyDescent="0.3">
      <c r="A8187" s="1">
        <v>45521</v>
      </c>
      <c r="B8187" s="2" t="s">
        <v>213</v>
      </c>
      <c r="C8187" s="2" t="s">
        <v>75</v>
      </c>
      <c r="D8187" s="2" t="s">
        <v>26</v>
      </c>
      <c r="E8187" s="2" t="s">
        <v>27</v>
      </c>
      <c r="F8187" s="2">
        <v>462.56</v>
      </c>
      <c r="G8187" s="2">
        <v>2</v>
      </c>
      <c r="H8187" s="2">
        <v>97.65</v>
      </c>
      <c r="I8187" t="str">
        <f t="shared" si="127"/>
        <v>Aug</v>
      </c>
      <c r="J8187">
        <f>YEAR(datas[[#This Row],[Order Date]])</f>
        <v>2024</v>
      </c>
    </row>
    <row r="8188" spans="1:10" ht="14.25" customHeight="1" x14ac:dyDescent="0.3">
      <c r="A8188" s="1">
        <v>45521</v>
      </c>
      <c r="B8188" s="2" t="s">
        <v>371</v>
      </c>
      <c r="C8188" s="2" t="s">
        <v>25</v>
      </c>
      <c r="D8188" s="2" t="s">
        <v>10</v>
      </c>
      <c r="E8188" s="2" t="s">
        <v>16</v>
      </c>
      <c r="F8188" s="2">
        <v>102.93</v>
      </c>
      <c r="G8188" s="2">
        <v>3</v>
      </c>
      <c r="H8188" s="2">
        <v>48.38</v>
      </c>
      <c r="I8188" t="str">
        <f t="shared" si="127"/>
        <v>Aug</v>
      </c>
      <c r="J8188">
        <f>YEAR(datas[[#This Row],[Order Date]])</f>
        <v>2024</v>
      </c>
    </row>
    <row r="8189" spans="1:10" ht="14.25" customHeight="1" x14ac:dyDescent="0.3">
      <c r="A8189" s="1">
        <v>45521</v>
      </c>
      <c r="B8189" s="2" t="s">
        <v>371</v>
      </c>
      <c r="C8189" s="2" t="s">
        <v>25</v>
      </c>
      <c r="D8189" s="2" t="s">
        <v>28</v>
      </c>
      <c r="E8189" s="2" t="s">
        <v>34</v>
      </c>
      <c r="F8189" s="2">
        <v>98.16</v>
      </c>
      <c r="G8189" s="2">
        <v>6</v>
      </c>
      <c r="H8189" s="2">
        <v>9.82</v>
      </c>
      <c r="I8189" t="str">
        <f t="shared" si="127"/>
        <v>Aug</v>
      </c>
      <c r="J8189">
        <f>YEAR(datas[[#This Row],[Order Date]])</f>
        <v>2024</v>
      </c>
    </row>
    <row r="8190" spans="1:10" ht="14.25" customHeight="1" x14ac:dyDescent="0.3">
      <c r="A8190" s="1">
        <v>45521</v>
      </c>
      <c r="B8190" s="2" t="s">
        <v>411</v>
      </c>
      <c r="C8190" s="2" t="s">
        <v>9</v>
      </c>
      <c r="D8190" s="2" t="s">
        <v>10</v>
      </c>
      <c r="E8190" s="2" t="s">
        <v>95</v>
      </c>
      <c r="F8190" s="2">
        <v>5.55</v>
      </c>
      <c r="G8190" s="2">
        <v>2</v>
      </c>
      <c r="H8190" s="2">
        <v>-1.04</v>
      </c>
      <c r="I8190" t="str">
        <f t="shared" si="127"/>
        <v>Aug</v>
      </c>
      <c r="J8190">
        <f>YEAR(datas[[#This Row],[Order Date]])</f>
        <v>2024</v>
      </c>
    </row>
    <row r="8191" spans="1:10" ht="14.25" customHeight="1" x14ac:dyDescent="0.3">
      <c r="A8191" s="1">
        <v>45521</v>
      </c>
      <c r="B8191" s="2" t="s">
        <v>411</v>
      </c>
      <c r="C8191" s="2" t="s">
        <v>9</v>
      </c>
      <c r="D8191" s="2" t="s">
        <v>10</v>
      </c>
      <c r="E8191" s="2" t="s">
        <v>19</v>
      </c>
      <c r="F8191" s="2">
        <v>8.02</v>
      </c>
      <c r="G8191" s="2">
        <v>3</v>
      </c>
      <c r="H8191" s="2">
        <v>1</v>
      </c>
      <c r="I8191" t="str">
        <f t="shared" si="127"/>
        <v>Aug</v>
      </c>
      <c r="J8191">
        <f>YEAR(datas[[#This Row],[Order Date]])</f>
        <v>2024</v>
      </c>
    </row>
    <row r="8192" spans="1:10" ht="14.25" customHeight="1" x14ac:dyDescent="0.3">
      <c r="A8192" s="1">
        <v>45521</v>
      </c>
      <c r="B8192" s="2" t="s">
        <v>411</v>
      </c>
      <c r="C8192" s="2" t="s">
        <v>9</v>
      </c>
      <c r="D8192" s="2" t="s">
        <v>26</v>
      </c>
      <c r="E8192" s="2" t="s">
        <v>27</v>
      </c>
      <c r="F8192" s="2">
        <v>74.59</v>
      </c>
      <c r="G8192" s="2">
        <v>4</v>
      </c>
      <c r="H8192" s="2">
        <v>-2.13</v>
      </c>
      <c r="I8192" t="str">
        <f t="shared" si="127"/>
        <v>Aug</v>
      </c>
      <c r="J8192">
        <f>YEAR(datas[[#This Row],[Order Date]])</f>
        <v>2024</v>
      </c>
    </row>
    <row r="8193" spans="1:10" ht="14.25" customHeight="1" x14ac:dyDescent="0.3">
      <c r="A8193" s="1">
        <v>45521</v>
      </c>
      <c r="B8193" s="2" t="s">
        <v>411</v>
      </c>
      <c r="C8193" s="2" t="s">
        <v>9</v>
      </c>
      <c r="D8193" s="2" t="s">
        <v>26</v>
      </c>
      <c r="E8193" s="2" t="s">
        <v>32</v>
      </c>
      <c r="F8193" s="2">
        <v>16.78</v>
      </c>
      <c r="G8193" s="2">
        <v>2</v>
      </c>
      <c r="H8193" s="2">
        <v>-22.24</v>
      </c>
      <c r="I8193" t="str">
        <f t="shared" si="127"/>
        <v>Aug</v>
      </c>
      <c r="J8193">
        <f>YEAR(datas[[#This Row],[Order Date]])</f>
        <v>2024</v>
      </c>
    </row>
    <row r="8194" spans="1:10" ht="14.25" customHeight="1" x14ac:dyDescent="0.3">
      <c r="A8194" s="1">
        <v>45521</v>
      </c>
      <c r="B8194" s="2" t="s">
        <v>411</v>
      </c>
      <c r="C8194" s="2" t="s">
        <v>9</v>
      </c>
      <c r="D8194" s="2" t="s">
        <v>10</v>
      </c>
      <c r="E8194" s="2" t="s">
        <v>53</v>
      </c>
      <c r="F8194" s="2">
        <v>38.86</v>
      </c>
      <c r="G8194" s="2">
        <v>4</v>
      </c>
      <c r="H8194" s="2">
        <v>-99.1</v>
      </c>
      <c r="I8194" t="str">
        <f t="shared" si="127"/>
        <v>Aug</v>
      </c>
      <c r="J8194">
        <f>YEAR(datas[[#This Row],[Order Date]])</f>
        <v>2024</v>
      </c>
    </row>
    <row r="8195" spans="1:10" ht="14.25" customHeight="1" x14ac:dyDescent="0.3">
      <c r="A8195" s="1">
        <v>45521</v>
      </c>
      <c r="B8195" s="2" t="s">
        <v>791</v>
      </c>
      <c r="C8195" s="2" t="s">
        <v>18</v>
      </c>
      <c r="D8195" s="2" t="s">
        <v>26</v>
      </c>
      <c r="E8195" s="2" t="s">
        <v>27</v>
      </c>
      <c r="F8195" s="2">
        <v>4416.17</v>
      </c>
      <c r="G8195" s="2">
        <v>9</v>
      </c>
      <c r="H8195" s="2">
        <v>-630.88</v>
      </c>
      <c r="I8195" t="str">
        <f t="shared" ref="I8195:I8258" si="128">TEXT(A8195,"mmm")</f>
        <v>Aug</v>
      </c>
      <c r="J8195">
        <f>YEAR(datas[[#This Row],[Order Date]])</f>
        <v>2024</v>
      </c>
    </row>
    <row r="8196" spans="1:10" ht="14.25" customHeight="1" x14ac:dyDescent="0.3">
      <c r="A8196" s="1">
        <v>45521</v>
      </c>
      <c r="B8196" s="2" t="s">
        <v>674</v>
      </c>
      <c r="C8196" s="2" t="s">
        <v>21</v>
      </c>
      <c r="D8196" s="2" t="s">
        <v>10</v>
      </c>
      <c r="E8196" s="2" t="s">
        <v>41</v>
      </c>
      <c r="F8196" s="2">
        <v>23.36</v>
      </c>
      <c r="G8196" s="2">
        <v>2</v>
      </c>
      <c r="H8196" s="2">
        <v>11.68</v>
      </c>
      <c r="I8196" t="str">
        <f t="shared" si="128"/>
        <v>Aug</v>
      </c>
      <c r="J8196">
        <f>YEAR(datas[[#This Row],[Order Date]])</f>
        <v>2024</v>
      </c>
    </row>
    <row r="8197" spans="1:10" ht="14.25" customHeight="1" x14ac:dyDescent="0.3">
      <c r="A8197" s="1">
        <v>45521</v>
      </c>
      <c r="B8197" s="2" t="s">
        <v>674</v>
      </c>
      <c r="C8197" s="2" t="s">
        <v>21</v>
      </c>
      <c r="D8197" s="2" t="s">
        <v>28</v>
      </c>
      <c r="E8197" s="2" t="s">
        <v>29</v>
      </c>
      <c r="F8197" s="2">
        <v>71.98</v>
      </c>
      <c r="G8197" s="2">
        <v>3</v>
      </c>
      <c r="H8197" s="2">
        <v>9</v>
      </c>
      <c r="I8197" t="str">
        <f t="shared" si="128"/>
        <v>Aug</v>
      </c>
      <c r="J8197">
        <f>YEAR(datas[[#This Row],[Order Date]])</f>
        <v>2024</v>
      </c>
    </row>
    <row r="8198" spans="1:10" ht="14.25" customHeight="1" x14ac:dyDescent="0.3">
      <c r="A8198" s="1">
        <v>45521</v>
      </c>
      <c r="B8198" s="2" t="s">
        <v>674</v>
      </c>
      <c r="C8198" s="2" t="s">
        <v>21</v>
      </c>
      <c r="D8198" s="2" t="s">
        <v>10</v>
      </c>
      <c r="E8198" s="2" t="s">
        <v>11</v>
      </c>
      <c r="F8198" s="2">
        <v>8.56</v>
      </c>
      <c r="G8198" s="2">
        <v>2</v>
      </c>
      <c r="H8198" s="2">
        <v>3.85</v>
      </c>
      <c r="I8198" t="str">
        <f t="shared" si="128"/>
        <v>Aug</v>
      </c>
      <c r="J8198">
        <f>YEAR(datas[[#This Row],[Order Date]])</f>
        <v>2024</v>
      </c>
    </row>
    <row r="8199" spans="1:10" ht="14.25" customHeight="1" x14ac:dyDescent="0.3">
      <c r="A8199" s="1">
        <v>45521</v>
      </c>
      <c r="B8199" s="2" t="s">
        <v>674</v>
      </c>
      <c r="C8199" s="2" t="s">
        <v>21</v>
      </c>
      <c r="D8199" s="2" t="s">
        <v>10</v>
      </c>
      <c r="E8199" s="2" t="s">
        <v>16</v>
      </c>
      <c r="F8199" s="2">
        <v>13.92</v>
      </c>
      <c r="G8199" s="2">
        <v>3</v>
      </c>
      <c r="H8199" s="2">
        <v>4.87</v>
      </c>
      <c r="I8199" t="str">
        <f t="shared" si="128"/>
        <v>Aug</v>
      </c>
      <c r="J8199">
        <f>YEAR(datas[[#This Row],[Order Date]])</f>
        <v>2024</v>
      </c>
    </row>
    <row r="8200" spans="1:10" ht="14.25" customHeight="1" x14ac:dyDescent="0.3">
      <c r="A8200" s="1">
        <v>45521</v>
      </c>
      <c r="B8200" s="2" t="s">
        <v>674</v>
      </c>
      <c r="C8200" s="2" t="s">
        <v>21</v>
      </c>
      <c r="D8200" s="2" t="s">
        <v>10</v>
      </c>
      <c r="E8200" s="2" t="s">
        <v>53</v>
      </c>
      <c r="F8200" s="2">
        <v>2518.29</v>
      </c>
      <c r="G8200" s="2">
        <v>9</v>
      </c>
      <c r="H8200" s="2">
        <v>654.76</v>
      </c>
      <c r="I8200" t="str">
        <f t="shared" si="128"/>
        <v>Aug</v>
      </c>
      <c r="J8200">
        <f>YEAR(datas[[#This Row],[Order Date]])</f>
        <v>2024</v>
      </c>
    </row>
    <row r="8201" spans="1:10" ht="14.25" customHeight="1" x14ac:dyDescent="0.3">
      <c r="A8201" s="1">
        <v>45521</v>
      </c>
      <c r="B8201" s="2" t="s">
        <v>674</v>
      </c>
      <c r="C8201" s="2" t="s">
        <v>21</v>
      </c>
      <c r="D8201" s="2" t="s">
        <v>10</v>
      </c>
      <c r="E8201" s="2" t="s">
        <v>15</v>
      </c>
      <c r="F8201" s="2">
        <v>540.57000000000005</v>
      </c>
      <c r="G8201" s="2">
        <v>3</v>
      </c>
      <c r="H8201" s="2">
        <v>140.55000000000001</v>
      </c>
      <c r="I8201" t="str">
        <f t="shared" si="128"/>
        <v>Aug</v>
      </c>
      <c r="J8201">
        <f>YEAR(datas[[#This Row],[Order Date]])</f>
        <v>2024</v>
      </c>
    </row>
    <row r="8202" spans="1:10" ht="14.25" customHeight="1" x14ac:dyDescent="0.3">
      <c r="A8202" s="1">
        <v>45521</v>
      </c>
      <c r="B8202" s="2" t="s">
        <v>674</v>
      </c>
      <c r="C8202" s="2" t="s">
        <v>21</v>
      </c>
      <c r="D8202" s="2" t="s">
        <v>10</v>
      </c>
      <c r="E8202" s="2" t="s">
        <v>16</v>
      </c>
      <c r="F8202" s="2">
        <v>221.06</v>
      </c>
      <c r="G8202" s="2">
        <v>8</v>
      </c>
      <c r="H8202" s="2">
        <v>77.37</v>
      </c>
      <c r="I8202" t="str">
        <f t="shared" si="128"/>
        <v>Aug</v>
      </c>
      <c r="J8202">
        <f>YEAR(datas[[#This Row],[Order Date]])</f>
        <v>2024</v>
      </c>
    </row>
    <row r="8203" spans="1:10" ht="14.25" customHeight="1" x14ac:dyDescent="0.3">
      <c r="A8203" s="1">
        <v>45522</v>
      </c>
      <c r="B8203" s="2" t="s">
        <v>609</v>
      </c>
      <c r="C8203" s="2" t="s">
        <v>75</v>
      </c>
      <c r="D8203" s="2" t="s">
        <v>26</v>
      </c>
      <c r="E8203" s="2" t="s">
        <v>32</v>
      </c>
      <c r="F8203" s="2">
        <v>40.479999999999997</v>
      </c>
      <c r="G8203" s="2">
        <v>2</v>
      </c>
      <c r="H8203" s="2">
        <v>15.79</v>
      </c>
      <c r="I8203" t="str">
        <f t="shared" si="128"/>
        <v>Aug</v>
      </c>
      <c r="J8203">
        <f>YEAR(datas[[#This Row],[Order Date]])</f>
        <v>2024</v>
      </c>
    </row>
    <row r="8204" spans="1:10" ht="14.25" customHeight="1" x14ac:dyDescent="0.3">
      <c r="A8204" s="1">
        <v>45522</v>
      </c>
      <c r="B8204" s="2" t="s">
        <v>609</v>
      </c>
      <c r="C8204" s="2" t="s">
        <v>75</v>
      </c>
      <c r="D8204" s="2" t="s">
        <v>26</v>
      </c>
      <c r="E8204" s="2" t="s">
        <v>32</v>
      </c>
      <c r="F8204" s="2">
        <v>9.94</v>
      </c>
      <c r="G8204" s="2">
        <v>2</v>
      </c>
      <c r="H8204" s="2">
        <v>3.08</v>
      </c>
      <c r="I8204" t="str">
        <f t="shared" si="128"/>
        <v>Aug</v>
      </c>
      <c r="J8204">
        <f>YEAR(datas[[#This Row],[Order Date]])</f>
        <v>2024</v>
      </c>
    </row>
    <row r="8205" spans="1:10" ht="14.25" customHeight="1" x14ac:dyDescent="0.3">
      <c r="A8205" s="1">
        <v>45522</v>
      </c>
      <c r="B8205" s="2" t="s">
        <v>609</v>
      </c>
      <c r="C8205" s="2" t="s">
        <v>75</v>
      </c>
      <c r="D8205" s="2" t="s">
        <v>10</v>
      </c>
      <c r="E8205" s="2" t="s">
        <v>16</v>
      </c>
      <c r="F8205" s="2">
        <v>107.42</v>
      </c>
      <c r="G8205" s="2">
        <v>9</v>
      </c>
      <c r="H8205" s="2">
        <v>33.57</v>
      </c>
      <c r="I8205" t="str">
        <f t="shared" si="128"/>
        <v>Aug</v>
      </c>
      <c r="J8205">
        <f>YEAR(datas[[#This Row],[Order Date]])</f>
        <v>2024</v>
      </c>
    </row>
    <row r="8206" spans="1:10" ht="14.25" customHeight="1" x14ac:dyDescent="0.3">
      <c r="A8206" s="1">
        <v>45522</v>
      </c>
      <c r="B8206" s="2" t="s">
        <v>609</v>
      </c>
      <c r="C8206" s="2" t="s">
        <v>75</v>
      </c>
      <c r="D8206" s="2" t="s">
        <v>28</v>
      </c>
      <c r="E8206" s="2" t="s">
        <v>29</v>
      </c>
      <c r="F8206" s="2">
        <v>37.909999999999997</v>
      </c>
      <c r="G8206" s="2">
        <v>1</v>
      </c>
      <c r="H8206" s="2">
        <v>10.99</v>
      </c>
      <c r="I8206" t="str">
        <f t="shared" si="128"/>
        <v>Aug</v>
      </c>
      <c r="J8206">
        <f>YEAR(datas[[#This Row],[Order Date]])</f>
        <v>2024</v>
      </c>
    </row>
    <row r="8207" spans="1:10" ht="14.25" customHeight="1" x14ac:dyDescent="0.3">
      <c r="A8207" s="1">
        <v>45522</v>
      </c>
      <c r="B8207" s="2" t="s">
        <v>609</v>
      </c>
      <c r="C8207" s="2" t="s">
        <v>75</v>
      </c>
      <c r="D8207" s="2" t="s">
        <v>26</v>
      </c>
      <c r="E8207" s="2" t="s">
        <v>32</v>
      </c>
      <c r="F8207" s="2">
        <v>88.02</v>
      </c>
      <c r="G8207" s="2">
        <v>3</v>
      </c>
      <c r="H8207" s="2">
        <v>27.29</v>
      </c>
      <c r="I8207" t="str">
        <f t="shared" si="128"/>
        <v>Aug</v>
      </c>
      <c r="J8207">
        <f>YEAR(datas[[#This Row],[Order Date]])</f>
        <v>2024</v>
      </c>
    </row>
    <row r="8208" spans="1:10" ht="14.25" customHeight="1" x14ac:dyDescent="0.3">
      <c r="A8208" s="1">
        <v>45522</v>
      </c>
      <c r="B8208" s="2" t="s">
        <v>345</v>
      </c>
      <c r="C8208" s="2" t="s">
        <v>9</v>
      </c>
      <c r="D8208" s="2" t="s">
        <v>10</v>
      </c>
      <c r="E8208" s="2" t="s">
        <v>15</v>
      </c>
      <c r="F8208" s="2">
        <v>200.06</v>
      </c>
      <c r="G8208" s="2">
        <v>3</v>
      </c>
      <c r="H8208" s="2">
        <v>12.5</v>
      </c>
      <c r="I8208" t="str">
        <f t="shared" si="128"/>
        <v>Aug</v>
      </c>
      <c r="J8208">
        <f>YEAR(datas[[#This Row],[Order Date]])</f>
        <v>2024</v>
      </c>
    </row>
    <row r="8209" spans="1:10" ht="14.25" customHeight="1" x14ac:dyDescent="0.3">
      <c r="A8209" s="1">
        <v>45522</v>
      </c>
      <c r="B8209" s="2" t="s">
        <v>345</v>
      </c>
      <c r="C8209" s="2" t="s">
        <v>9</v>
      </c>
      <c r="D8209" s="2" t="s">
        <v>10</v>
      </c>
      <c r="E8209" s="2" t="s">
        <v>16</v>
      </c>
      <c r="F8209" s="2">
        <v>21.38</v>
      </c>
      <c r="G8209" s="2">
        <v>5</v>
      </c>
      <c r="H8209" s="2">
        <v>-33.14</v>
      </c>
      <c r="I8209" t="str">
        <f t="shared" si="128"/>
        <v>Aug</v>
      </c>
      <c r="J8209">
        <f>YEAR(datas[[#This Row],[Order Date]])</f>
        <v>2024</v>
      </c>
    </row>
    <row r="8210" spans="1:10" ht="14.25" customHeight="1" x14ac:dyDescent="0.3">
      <c r="A8210" s="1">
        <v>45522</v>
      </c>
      <c r="B8210" s="2" t="s">
        <v>345</v>
      </c>
      <c r="C8210" s="2" t="s">
        <v>9</v>
      </c>
      <c r="D8210" s="2" t="s">
        <v>10</v>
      </c>
      <c r="E8210" s="2" t="s">
        <v>16</v>
      </c>
      <c r="F8210" s="2">
        <v>6.74</v>
      </c>
      <c r="G8210" s="2">
        <v>4</v>
      </c>
      <c r="H8210" s="2">
        <v>-11.46</v>
      </c>
      <c r="I8210" t="str">
        <f t="shared" si="128"/>
        <v>Aug</v>
      </c>
      <c r="J8210">
        <f>YEAR(datas[[#This Row],[Order Date]])</f>
        <v>2024</v>
      </c>
    </row>
    <row r="8211" spans="1:10" ht="14.25" customHeight="1" x14ac:dyDescent="0.3">
      <c r="A8211" s="1">
        <v>45522</v>
      </c>
      <c r="B8211" s="2" t="s">
        <v>219</v>
      </c>
      <c r="C8211" s="2" t="s">
        <v>82</v>
      </c>
      <c r="D8211" s="2" t="s">
        <v>10</v>
      </c>
      <c r="E8211" s="2" t="s">
        <v>15</v>
      </c>
      <c r="F8211" s="2">
        <v>323.10000000000002</v>
      </c>
      <c r="G8211" s="2">
        <v>2</v>
      </c>
      <c r="H8211" s="2">
        <v>61.39</v>
      </c>
      <c r="I8211" t="str">
        <f t="shared" si="128"/>
        <v>Aug</v>
      </c>
      <c r="J8211">
        <f>YEAR(datas[[#This Row],[Order Date]])</f>
        <v>2024</v>
      </c>
    </row>
    <row r="8212" spans="1:10" ht="14.25" customHeight="1" x14ac:dyDescent="0.3">
      <c r="A8212" s="1">
        <v>45522</v>
      </c>
      <c r="B8212" s="2" t="s">
        <v>771</v>
      </c>
      <c r="C8212" s="2" t="s">
        <v>82</v>
      </c>
      <c r="D8212" s="2" t="s">
        <v>28</v>
      </c>
      <c r="E8212" s="2" t="s">
        <v>34</v>
      </c>
      <c r="F8212" s="2">
        <v>843.9</v>
      </c>
      <c r="G8212" s="2">
        <v>2</v>
      </c>
      <c r="H8212" s="2">
        <v>371.32</v>
      </c>
      <c r="I8212" t="str">
        <f t="shared" si="128"/>
        <v>Aug</v>
      </c>
      <c r="J8212">
        <f>YEAR(datas[[#This Row],[Order Date]])</f>
        <v>2024</v>
      </c>
    </row>
    <row r="8213" spans="1:10" ht="14.25" customHeight="1" x14ac:dyDescent="0.3">
      <c r="A8213" s="1">
        <v>45522</v>
      </c>
      <c r="B8213" s="2" t="s">
        <v>771</v>
      </c>
      <c r="C8213" s="2" t="s">
        <v>82</v>
      </c>
      <c r="D8213" s="2" t="s">
        <v>28</v>
      </c>
      <c r="E8213" s="2" t="s">
        <v>34</v>
      </c>
      <c r="F8213" s="2">
        <v>1496.16</v>
      </c>
      <c r="G8213" s="2">
        <v>9</v>
      </c>
      <c r="H8213" s="2">
        <v>224.42</v>
      </c>
      <c r="I8213" t="str">
        <f t="shared" si="128"/>
        <v>Aug</v>
      </c>
      <c r="J8213">
        <f>YEAR(datas[[#This Row],[Order Date]])</f>
        <v>2024</v>
      </c>
    </row>
    <row r="8214" spans="1:10" ht="14.25" customHeight="1" x14ac:dyDescent="0.3">
      <c r="A8214" s="1">
        <v>45522</v>
      </c>
      <c r="B8214" s="2" t="s">
        <v>670</v>
      </c>
      <c r="C8214" s="2" t="s">
        <v>82</v>
      </c>
      <c r="D8214" s="2" t="s">
        <v>10</v>
      </c>
      <c r="E8214" s="2" t="s">
        <v>16</v>
      </c>
      <c r="F8214" s="2">
        <v>2793.53</v>
      </c>
      <c r="G8214" s="2">
        <v>9</v>
      </c>
      <c r="H8214" s="2">
        <v>942.82</v>
      </c>
      <c r="I8214" t="str">
        <f t="shared" si="128"/>
        <v>Aug</v>
      </c>
      <c r="J8214">
        <f>YEAR(datas[[#This Row],[Order Date]])</f>
        <v>2024</v>
      </c>
    </row>
    <row r="8215" spans="1:10" ht="14.25" customHeight="1" x14ac:dyDescent="0.3">
      <c r="A8215" s="1">
        <v>45522</v>
      </c>
      <c r="B8215" s="2" t="s">
        <v>670</v>
      </c>
      <c r="C8215" s="2" t="s">
        <v>82</v>
      </c>
      <c r="D8215" s="2" t="s">
        <v>10</v>
      </c>
      <c r="E8215" s="2" t="s">
        <v>15</v>
      </c>
      <c r="F8215" s="2">
        <v>1000.02</v>
      </c>
      <c r="G8215" s="2">
        <v>7</v>
      </c>
      <c r="H8215" s="2">
        <v>290.01</v>
      </c>
      <c r="I8215" t="str">
        <f t="shared" si="128"/>
        <v>Aug</v>
      </c>
      <c r="J8215">
        <f>YEAR(datas[[#This Row],[Order Date]])</f>
        <v>2024</v>
      </c>
    </row>
    <row r="8216" spans="1:10" ht="14.25" customHeight="1" x14ac:dyDescent="0.3">
      <c r="A8216" s="1">
        <v>45522</v>
      </c>
      <c r="B8216" s="2" t="s">
        <v>670</v>
      </c>
      <c r="C8216" s="2" t="s">
        <v>82</v>
      </c>
      <c r="D8216" s="2" t="s">
        <v>26</v>
      </c>
      <c r="E8216" s="2" t="s">
        <v>32</v>
      </c>
      <c r="F8216" s="2">
        <v>65.94</v>
      </c>
      <c r="G8216" s="2">
        <v>3</v>
      </c>
      <c r="H8216" s="2">
        <v>22.42</v>
      </c>
      <c r="I8216" t="str">
        <f t="shared" si="128"/>
        <v>Aug</v>
      </c>
      <c r="J8216">
        <f>YEAR(datas[[#This Row],[Order Date]])</f>
        <v>2024</v>
      </c>
    </row>
    <row r="8217" spans="1:10" ht="14.25" customHeight="1" x14ac:dyDescent="0.3">
      <c r="A8217" s="1">
        <v>45522</v>
      </c>
      <c r="B8217" s="2" t="s">
        <v>197</v>
      </c>
      <c r="C8217" s="2" t="s">
        <v>47</v>
      </c>
      <c r="D8217" s="2" t="s">
        <v>10</v>
      </c>
      <c r="E8217" s="2" t="s">
        <v>19</v>
      </c>
      <c r="F8217" s="2">
        <v>9.91</v>
      </c>
      <c r="G8217" s="2">
        <v>3</v>
      </c>
      <c r="H8217" s="2">
        <v>1.24</v>
      </c>
      <c r="I8217" t="str">
        <f t="shared" si="128"/>
        <v>Aug</v>
      </c>
      <c r="J8217">
        <f>YEAR(datas[[#This Row],[Order Date]])</f>
        <v>2024</v>
      </c>
    </row>
    <row r="8218" spans="1:10" ht="14.25" customHeight="1" x14ac:dyDescent="0.3">
      <c r="A8218" s="1">
        <v>45522</v>
      </c>
      <c r="B8218" s="2" t="s">
        <v>127</v>
      </c>
      <c r="C8218" s="2" t="s">
        <v>47</v>
      </c>
      <c r="D8218" s="2" t="s">
        <v>10</v>
      </c>
      <c r="E8218" s="2" t="s">
        <v>16</v>
      </c>
      <c r="F8218" s="2">
        <v>10.78</v>
      </c>
      <c r="G8218" s="2">
        <v>3</v>
      </c>
      <c r="H8218" s="2">
        <v>-7.91</v>
      </c>
      <c r="I8218" t="str">
        <f t="shared" si="128"/>
        <v>Aug</v>
      </c>
      <c r="J8218">
        <f>YEAR(datas[[#This Row],[Order Date]])</f>
        <v>2024</v>
      </c>
    </row>
    <row r="8219" spans="1:10" ht="14.25" customHeight="1" x14ac:dyDescent="0.3">
      <c r="A8219" s="1">
        <v>45522</v>
      </c>
      <c r="B8219" s="2" t="s">
        <v>847</v>
      </c>
      <c r="C8219" s="2" t="s">
        <v>181</v>
      </c>
      <c r="D8219" s="2" t="s">
        <v>28</v>
      </c>
      <c r="E8219" s="2" t="s">
        <v>34</v>
      </c>
      <c r="F8219" s="2">
        <v>23.18</v>
      </c>
      <c r="G8219" s="2">
        <v>2</v>
      </c>
      <c r="H8219" s="2">
        <v>7.65</v>
      </c>
      <c r="I8219" t="str">
        <f t="shared" si="128"/>
        <v>Aug</v>
      </c>
      <c r="J8219">
        <f>YEAR(datas[[#This Row],[Order Date]])</f>
        <v>2024</v>
      </c>
    </row>
    <row r="8220" spans="1:10" ht="14.25" customHeight="1" x14ac:dyDescent="0.3">
      <c r="A8220" s="1">
        <v>45523</v>
      </c>
      <c r="B8220" s="2" t="s">
        <v>474</v>
      </c>
      <c r="C8220" s="2" t="s">
        <v>181</v>
      </c>
      <c r="D8220" s="2" t="s">
        <v>10</v>
      </c>
      <c r="E8220" s="2" t="s">
        <v>16</v>
      </c>
      <c r="F8220" s="2">
        <v>387.99</v>
      </c>
      <c r="G8220" s="2">
        <v>1</v>
      </c>
      <c r="H8220" s="2">
        <v>182.36</v>
      </c>
      <c r="I8220" t="str">
        <f t="shared" si="128"/>
        <v>Aug</v>
      </c>
      <c r="J8220">
        <f>YEAR(datas[[#This Row],[Order Date]])</f>
        <v>2024</v>
      </c>
    </row>
    <row r="8221" spans="1:10" ht="14.25" customHeight="1" x14ac:dyDescent="0.3">
      <c r="A8221" s="1">
        <v>45523</v>
      </c>
      <c r="B8221" s="2" t="s">
        <v>323</v>
      </c>
      <c r="C8221" s="2" t="s">
        <v>13</v>
      </c>
      <c r="D8221" s="2" t="s">
        <v>10</v>
      </c>
      <c r="E8221" s="2" t="s">
        <v>16</v>
      </c>
      <c r="F8221" s="2">
        <v>2.2999999999999998</v>
      </c>
      <c r="G8221" s="2">
        <v>2</v>
      </c>
      <c r="H8221" s="2">
        <v>-3.9</v>
      </c>
      <c r="I8221" t="str">
        <f t="shared" si="128"/>
        <v>Aug</v>
      </c>
      <c r="J8221">
        <f>YEAR(datas[[#This Row],[Order Date]])</f>
        <v>2024</v>
      </c>
    </row>
    <row r="8222" spans="1:10" ht="14.25" customHeight="1" x14ac:dyDescent="0.3">
      <c r="A8222" s="1">
        <v>45523</v>
      </c>
      <c r="B8222" s="2" t="s">
        <v>786</v>
      </c>
      <c r="C8222" s="2" t="s">
        <v>181</v>
      </c>
      <c r="D8222" s="2" t="s">
        <v>10</v>
      </c>
      <c r="E8222" s="2" t="s">
        <v>11</v>
      </c>
      <c r="F8222" s="2">
        <v>19.440000000000001</v>
      </c>
      <c r="G8222" s="2">
        <v>3</v>
      </c>
      <c r="H8222" s="2">
        <v>9.33</v>
      </c>
      <c r="I8222" t="str">
        <f t="shared" si="128"/>
        <v>Aug</v>
      </c>
      <c r="J8222">
        <f>YEAR(datas[[#This Row],[Order Date]])</f>
        <v>2024</v>
      </c>
    </row>
    <row r="8223" spans="1:10" ht="14.25" customHeight="1" x14ac:dyDescent="0.3">
      <c r="A8223" s="1">
        <v>45523</v>
      </c>
      <c r="B8223" s="2" t="s">
        <v>516</v>
      </c>
      <c r="C8223" s="2" t="s">
        <v>134</v>
      </c>
      <c r="D8223" s="2" t="s">
        <v>10</v>
      </c>
      <c r="E8223" s="2" t="s">
        <v>16</v>
      </c>
      <c r="F8223" s="2">
        <v>102.72</v>
      </c>
      <c r="G8223" s="2">
        <v>3</v>
      </c>
      <c r="H8223" s="2">
        <v>37.24</v>
      </c>
      <c r="I8223" t="str">
        <f t="shared" si="128"/>
        <v>Aug</v>
      </c>
      <c r="J8223">
        <f>YEAR(datas[[#This Row],[Order Date]])</f>
        <v>2024</v>
      </c>
    </row>
    <row r="8224" spans="1:10" ht="14.25" customHeight="1" x14ac:dyDescent="0.3">
      <c r="A8224" s="1">
        <v>45524</v>
      </c>
      <c r="B8224" s="2" t="s">
        <v>414</v>
      </c>
      <c r="C8224" s="2" t="s">
        <v>21</v>
      </c>
      <c r="D8224" s="2" t="s">
        <v>10</v>
      </c>
      <c r="E8224" s="2" t="s">
        <v>16</v>
      </c>
      <c r="F8224" s="2">
        <v>239.12</v>
      </c>
      <c r="G8224" s="2">
        <v>5</v>
      </c>
      <c r="H8224" s="2">
        <v>77.709999999999994</v>
      </c>
      <c r="I8224" t="str">
        <f t="shared" si="128"/>
        <v>Aug</v>
      </c>
      <c r="J8224">
        <f>YEAR(datas[[#This Row],[Order Date]])</f>
        <v>2024</v>
      </c>
    </row>
    <row r="8225" spans="1:10" ht="14.25" customHeight="1" x14ac:dyDescent="0.3">
      <c r="A8225" s="1">
        <v>45524</v>
      </c>
      <c r="B8225" s="2" t="s">
        <v>727</v>
      </c>
      <c r="C8225" s="2" t="s">
        <v>181</v>
      </c>
      <c r="D8225" s="2" t="s">
        <v>10</v>
      </c>
      <c r="E8225" s="2" t="s">
        <v>15</v>
      </c>
      <c r="F8225" s="2">
        <v>40.29</v>
      </c>
      <c r="G8225" s="2">
        <v>3</v>
      </c>
      <c r="H8225" s="2">
        <v>10.48</v>
      </c>
      <c r="I8225" t="str">
        <f t="shared" si="128"/>
        <v>Aug</v>
      </c>
      <c r="J8225">
        <f>YEAR(datas[[#This Row],[Order Date]])</f>
        <v>2024</v>
      </c>
    </row>
    <row r="8226" spans="1:10" ht="14.25" customHeight="1" x14ac:dyDescent="0.3">
      <c r="A8226" s="1">
        <v>45524</v>
      </c>
      <c r="B8226" s="2" t="s">
        <v>452</v>
      </c>
      <c r="C8226" s="2" t="s">
        <v>21</v>
      </c>
      <c r="D8226" s="2" t="s">
        <v>10</v>
      </c>
      <c r="E8226" s="2" t="s">
        <v>95</v>
      </c>
      <c r="F8226" s="2">
        <v>17.22</v>
      </c>
      <c r="G8226" s="2">
        <v>3</v>
      </c>
      <c r="H8226" s="2">
        <v>5.17</v>
      </c>
      <c r="I8226" t="str">
        <f t="shared" si="128"/>
        <v>Aug</v>
      </c>
      <c r="J8226">
        <f>YEAR(datas[[#This Row],[Order Date]])</f>
        <v>2024</v>
      </c>
    </row>
    <row r="8227" spans="1:10" ht="14.25" customHeight="1" x14ac:dyDescent="0.3">
      <c r="A8227" s="1">
        <v>45524</v>
      </c>
      <c r="B8227" s="2" t="s">
        <v>452</v>
      </c>
      <c r="C8227" s="2" t="s">
        <v>21</v>
      </c>
      <c r="D8227" s="2" t="s">
        <v>10</v>
      </c>
      <c r="E8227" s="2" t="s">
        <v>15</v>
      </c>
      <c r="F8227" s="2">
        <v>226.56</v>
      </c>
      <c r="G8227" s="2">
        <v>6</v>
      </c>
      <c r="H8227" s="2">
        <v>63.44</v>
      </c>
      <c r="I8227" t="str">
        <f t="shared" si="128"/>
        <v>Aug</v>
      </c>
      <c r="J8227">
        <f>YEAR(datas[[#This Row],[Order Date]])</f>
        <v>2024</v>
      </c>
    </row>
    <row r="8228" spans="1:10" ht="14.25" customHeight="1" x14ac:dyDescent="0.3">
      <c r="A8228" s="1">
        <v>45524</v>
      </c>
      <c r="B8228" s="2" t="s">
        <v>452</v>
      </c>
      <c r="C8228" s="2" t="s">
        <v>21</v>
      </c>
      <c r="D8228" s="2" t="s">
        <v>28</v>
      </c>
      <c r="E8228" s="2" t="s">
        <v>29</v>
      </c>
      <c r="F8228" s="2">
        <v>107.88</v>
      </c>
      <c r="G8228" s="2">
        <v>3</v>
      </c>
      <c r="H8228" s="2">
        <v>10.79</v>
      </c>
      <c r="I8228" t="str">
        <f t="shared" si="128"/>
        <v>Aug</v>
      </c>
      <c r="J8228">
        <f>YEAR(datas[[#This Row],[Order Date]])</f>
        <v>2024</v>
      </c>
    </row>
    <row r="8229" spans="1:10" ht="14.25" customHeight="1" x14ac:dyDescent="0.3">
      <c r="A8229" s="1">
        <v>45524</v>
      </c>
      <c r="B8229" s="2" t="s">
        <v>125</v>
      </c>
      <c r="C8229" s="2" t="s">
        <v>21</v>
      </c>
      <c r="D8229" s="2" t="s">
        <v>10</v>
      </c>
      <c r="E8229" s="2" t="s">
        <v>11</v>
      </c>
      <c r="F8229" s="2">
        <v>25.92</v>
      </c>
      <c r="G8229" s="2">
        <v>4</v>
      </c>
      <c r="H8229" s="2">
        <v>12.44</v>
      </c>
      <c r="I8229" t="str">
        <f t="shared" si="128"/>
        <v>Aug</v>
      </c>
      <c r="J8229">
        <f>YEAR(datas[[#This Row],[Order Date]])</f>
        <v>2024</v>
      </c>
    </row>
    <row r="8230" spans="1:10" ht="14.25" customHeight="1" x14ac:dyDescent="0.3">
      <c r="A8230" s="1">
        <v>45524</v>
      </c>
      <c r="B8230" s="2" t="s">
        <v>796</v>
      </c>
      <c r="C8230" s="2" t="s">
        <v>115</v>
      </c>
      <c r="D8230" s="2" t="s">
        <v>28</v>
      </c>
      <c r="E8230" s="2" t="s">
        <v>29</v>
      </c>
      <c r="F8230" s="2">
        <v>35.96</v>
      </c>
      <c r="G8230" s="2">
        <v>1</v>
      </c>
      <c r="H8230" s="2">
        <v>3.6</v>
      </c>
      <c r="I8230" t="str">
        <f t="shared" si="128"/>
        <v>Aug</v>
      </c>
      <c r="J8230">
        <f>YEAR(datas[[#This Row],[Order Date]])</f>
        <v>2024</v>
      </c>
    </row>
    <row r="8231" spans="1:10" ht="14.25" customHeight="1" x14ac:dyDescent="0.3">
      <c r="A8231" s="1">
        <v>45525</v>
      </c>
      <c r="B8231" s="2" t="s">
        <v>89</v>
      </c>
      <c r="C8231" s="2" t="s">
        <v>143</v>
      </c>
      <c r="D8231" s="2" t="s">
        <v>26</v>
      </c>
      <c r="E8231" s="2" t="s">
        <v>27</v>
      </c>
      <c r="F8231" s="2">
        <v>866.4</v>
      </c>
      <c r="G8231" s="2">
        <v>4</v>
      </c>
      <c r="H8231" s="2">
        <v>225.26</v>
      </c>
      <c r="I8231" t="str">
        <f t="shared" si="128"/>
        <v>Aug</v>
      </c>
      <c r="J8231">
        <f>YEAR(datas[[#This Row],[Order Date]])</f>
        <v>2024</v>
      </c>
    </row>
    <row r="8232" spans="1:10" ht="14.25" customHeight="1" x14ac:dyDescent="0.3">
      <c r="A8232" s="1">
        <v>45525</v>
      </c>
      <c r="B8232" s="2" t="s">
        <v>284</v>
      </c>
      <c r="C8232" s="2" t="s">
        <v>140</v>
      </c>
      <c r="D8232" s="2" t="s">
        <v>10</v>
      </c>
      <c r="E8232" s="2" t="s">
        <v>30</v>
      </c>
      <c r="F8232" s="2">
        <v>35</v>
      </c>
      <c r="G8232" s="2">
        <v>7</v>
      </c>
      <c r="H8232" s="2">
        <v>16.8</v>
      </c>
      <c r="I8232" t="str">
        <f t="shared" si="128"/>
        <v>Aug</v>
      </c>
      <c r="J8232">
        <f>YEAR(datas[[#This Row],[Order Date]])</f>
        <v>2024</v>
      </c>
    </row>
    <row r="8233" spans="1:10" ht="14.25" customHeight="1" x14ac:dyDescent="0.3">
      <c r="A8233" s="1">
        <v>45525</v>
      </c>
      <c r="B8233" s="2" t="s">
        <v>284</v>
      </c>
      <c r="C8233" s="2" t="s">
        <v>140</v>
      </c>
      <c r="D8233" s="2" t="s">
        <v>10</v>
      </c>
      <c r="E8233" s="2" t="s">
        <v>95</v>
      </c>
      <c r="F8233" s="2">
        <v>37.24</v>
      </c>
      <c r="G8233" s="2">
        <v>4</v>
      </c>
      <c r="H8233" s="2">
        <v>10.8</v>
      </c>
      <c r="I8233" t="str">
        <f t="shared" si="128"/>
        <v>Aug</v>
      </c>
      <c r="J8233">
        <f>YEAR(datas[[#This Row],[Order Date]])</f>
        <v>2024</v>
      </c>
    </row>
    <row r="8234" spans="1:10" ht="14.25" customHeight="1" x14ac:dyDescent="0.3">
      <c r="A8234" s="1">
        <v>45525</v>
      </c>
      <c r="B8234" s="2" t="s">
        <v>284</v>
      </c>
      <c r="C8234" s="2" t="s">
        <v>140</v>
      </c>
      <c r="D8234" s="2" t="s">
        <v>10</v>
      </c>
      <c r="E8234" s="2" t="s">
        <v>41</v>
      </c>
      <c r="F8234" s="2">
        <v>15.28</v>
      </c>
      <c r="G8234" s="2">
        <v>2</v>
      </c>
      <c r="H8234" s="2">
        <v>7.49</v>
      </c>
      <c r="I8234" t="str">
        <f t="shared" si="128"/>
        <v>Aug</v>
      </c>
      <c r="J8234">
        <f>YEAR(datas[[#This Row],[Order Date]])</f>
        <v>2024</v>
      </c>
    </row>
    <row r="8235" spans="1:10" ht="14.25" customHeight="1" x14ac:dyDescent="0.3">
      <c r="A8235" s="1">
        <v>45525</v>
      </c>
      <c r="B8235" s="2" t="s">
        <v>448</v>
      </c>
      <c r="C8235" s="2" t="s">
        <v>21</v>
      </c>
      <c r="D8235" s="2" t="s">
        <v>10</v>
      </c>
      <c r="E8235" s="2" t="s">
        <v>19</v>
      </c>
      <c r="F8235" s="2">
        <v>17.12</v>
      </c>
      <c r="G8235" s="2">
        <v>4</v>
      </c>
      <c r="H8235" s="2">
        <v>4.96</v>
      </c>
      <c r="I8235" t="str">
        <f t="shared" si="128"/>
        <v>Aug</v>
      </c>
      <c r="J8235">
        <f>YEAR(datas[[#This Row],[Order Date]])</f>
        <v>2024</v>
      </c>
    </row>
    <row r="8236" spans="1:10" ht="14.25" customHeight="1" x14ac:dyDescent="0.3">
      <c r="A8236" s="1">
        <v>45525</v>
      </c>
      <c r="B8236" s="2" t="s">
        <v>448</v>
      </c>
      <c r="C8236" s="2" t="s">
        <v>21</v>
      </c>
      <c r="D8236" s="2" t="s">
        <v>28</v>
      </c>
      <c r="E8236" s="2" t="s">
        <v>29</v>
      </c>
      <c r="F8236" s="2">
        <v>431.97</v>
      </c>
      <c r="G8236" s="2">
        <v>4</v>
      </c>
      <c r="H8236" s="2">
        <v>37.799999999999997</v>
      </c>
      <c r="I8236" t="str">
        <f t="shared" si="128"/>
        <v>Aug</v>
      </c>
      <c r="J8236">
        <f>YEAR(datas[[#This Row],[Order Date]])</f>
        <v>2024</v>
      </c>
    </row>
    <row r="8237" spans="1:10" ht="14.25" customHeight="1" x14ac:dyDescent="0.3">
      <c r="A8237" s="1">
        <v>45525</v>
      </c>
      <c r="B8237" s="2" t="s">
        <v>448</v>
      </c>
      <c r="C8237" s="2" t="s">
        <v>21</v>
      </c>
      <c r="D8237" s="2" t="s">
        <v>26</v>
      </c>
      <c r="E8237" s="2" t="s">
        <v>32</v>
      </c>
      <c r="F8237" s="2">
        <v>129.91999999999999</v>
      </c>
      <c r="G8237" s="2">
        <v>4</v>
      </c>
      <c r="H8237" s="2">
        <v>10.39</v>
      </c>
      <c r="I8237" t="str">
        <f t="shared" si="128"/>
        <v>Aug</v>
      </c>
      <c r="J8237">
        <f>YEAR(datas[[#This Row],[Order Date]])</f>
        <v>2024</v>
      </c>
    </row>
    <row r="8238" spans="1:10" ht="14.25" customHeight="1" x14ac:dyDescent="0.3">
      <c r="A8238" s="1">
        <v>45525</v>
      </c>
      <c r="B8238" s="2" t="s">
        <v>448</v>
      </c>
      <c r="C8238" s="2" t="s">
        <v>21</v>
      </c>
      <c r="D8238" s="2" t="s">
        <v>26</v>
      </c>
      <c r="E8238" s="2" t="s">
        <v>73</v>
      </c>
      <c r="F8238" s="2">
        <v>568.73</v>
      </c>
      <c r="G8238" s="2">
        <v>3</v>
      </c>
      <c r="H8238" s="2">
        <v>28.44</v>
      </c>
      <c r="I8238" t="str">
        <f t="shared" si="128"/>
        <v>Aug</v>
      </c>
      <c r="J8238">
        <f>YEAR(datas[[#This Row],[Order Date]])</f>
        <v>2024</v>
      </c>
    </row>
    <row r="8239" spans="1:10" ht="14.25" customHeight="1" x14ac:dyDescent="0.3">
      <c r="A8239" s="1">
        <v>45525</v>
      </c>
      <c r="B8239" s="2" t="s">
        <v>448</v>
      </c>
      <c r="C8239" s="2" t="s">
        <v>21</v>
      </c>
      <c r="D8239" s="2" t="s">
        <v>10</v>
      </c>
      <c r="E8239" s="2" t="s">
        <v>16</v>
      </c>
      <c r="F8239" s="2">
        <v>117.14</v>
      </c>
      <c r="G8239" s="2">
        <v>9</v>
      </c>
      <c r="H8239" s="2">
        <v>42.46</v>
      </c>
      <c r="I8239" t="str">
        <f t="shared" si="128"/>
        <v>Aug</v>
      </c>
      <c r="J8239">
        <f>YEAR(datas[[#This Row],[Order Date]])</f>
        <v>2024</v>
      </c>
    </row>
    <row r="8240" spans="1:10" ht="14.25" customHeight="1" x14ac:dyDescent="0.3">
      <c r="A8240" s="1">
        <v>45525</v>
      </c>
      <c r="B8240" s="2" t="s">
        <v>448</v>
      </c>
      <c r="C8240" s="2" t="s">
        <v>21</v>
      </c>
      <c r="D8240" s="2" t="s">
        <v>10</v>
      </c>
      <c r="E8240" s="2" t="s">
        <v>53</v>
      </c>
      <c r="F8240" s="2">
        <v>203.52</v>
      </c>
      <c r="G8240" s="2">
        <v>3</v>
      </c>
      <c r="H8240" s="2">
        <v>54.95</v>
      </c>
      <c r="I8240" t="str">
        <f t="shared" si="128"/>
        <v>Aug</v>
      </c>
      <c r="J8240">
        <f>YEAR(datas[[#This Row],[Order Date]])</f>
        <v>2024</v>
      </c>
    </row>
    <row r="8241" spans="1:10" ht="14.25" customHeight="1" x14ac:dyDescent="0.3">
      <c r="A8241" s="1">
        <v>45525</v>
      </c>
      <c r="B8241" s="2" t="s">
        <v>448</v>
      </c>
      <c r="C8241" s="2" t="s">
        <v>21</v>
      </c>
      <c r="D8241" s="2" t="s">
        <v>10</v>
      </c>
      <c r="E8241" s="2" t="s">
        <v>14</v>
      </c>
      <c r="F8241" s="2">
        <v>51.75</v>
      </c>
      <c r="G8241" s="2">
        <v>5</v>
      </c>
      <c r="H8241" s="2">
        <v>24.84</v>
      </c>
      <c r="I8241" t="str">
        <f t="shared" si="128"/>
        <v>Aug</v>
      </c>
      <c r="J8241">
        <f>YEAR(datas[[#This Row],[Order Date]])</f>
        <v>2024</v>
      </c>
    </row>
    <row r="8242" spans="1:10" ht="14.25" customHeight="1" x14ac:dyDescent="0.3">
      <c r="A8242" s="1">
        <v>45525</v>
      </c>
      <c r="B8242" s="2" t="s">
        <v>188</v>
      </c>
      <c r="C8242" s="2" t="s">
        <v>215</v>
      </c>
      <c r="D8242" s="2" t="s">
        <v>10</v>
      </c>
      <c r="E8242" s="2" t="s">
        <v>11</v>
      </c>
      <c r="F8242" s="2">
        <v>277.39999999999998</v>
      </c>
      <c r="G8242" s="2">
        <v>5</v>
      </c>
      <c r="H8242" s="2">
        <v>133.15</v>
      </c>
      <c r="I8242" t="str">
        <f t="shared" si="128"/>
        <v>Aug</v>
      </c>
      <c r="J8242">
        <f>YEAR(datas[[#This Row],[Order Date]])</f>
        <v>2024</v>
      </c>
    </row>
    <row r="8243" spans="1:10" ht="14.25" customHeight="1" x14ac:dyDescent="0.3">
      <c r="A8243" s="1">
        <v>45525</v>
      </c>
      <c r="B8243" s="2" t="s">
        <v>188</v>
      </c>
      <c r="C8243" s="2" t="s">
        <v>215</v>
      </c>
      <c r="D8243" s="2" t="s">
        <v>26</v>
      </c>
      <c r="E8243" s="2" t="s">
        <v>32</v>
      </c>
      <c r="F8243" s="2">
        <v>25.16</v>
      </c>
      <c r="G8243" s="2">
        <v>2</v>
      </c>
      <c r="H8243" s="2">
        <v>8.5500000000000007</v>
      </c>
      <c r="I8243" t="str">
        <f t="shared" si="128"/>
        <v>Aug</v>
      </c>
      <c r="J8243">
        <f>YEAR(datas[[#This Row],[Order Date]])</f>
        <v>2024</v>
      </c>
    </row>
    <row r="8244" spans="1:10" ht="14.25" customHeight="1" x14ac:dyDescent="0.3">
      <c r="A8244" s="1">
        <v>45525</v>
      </c>
      <c r="B8244" s="2" t="s">
        <v>188</v>
      </c>
      <c r="C8244" s="2" t="s">
        <v>215</v>
      </c>
      <c r="D8244" s="2" t="s">
        <v>26</v>
      </c>
      <c r="E8244" s="2" t="s">
        <v>32</v>
      </c>
      <c r="F8244" s="2">
        <v>91.92</v>
      </c>
      <c r="G8244" s="2">
        <v>4</v>
      </c>
      <c r="H8244" s="2">
        <v>31.25</v>
      </c>
      <c r="I8244" t="str">
        <f t="shared" si="128"/>
        <v>Aug</v>
      </c>
      <c r="J8244">
        <f>YEAR(datas[[#This Row],[Order Date]])</f>
        <v>2024</v>
      </c>
    </row>
    <row r="8245" spans="1:10" ht="14.25" customHeight="1" x14ac:dyDescent="0.3">
      <c r="A8245" s="1">
        <v>45525</v>
      </c>
      <c r="B8245" s="2" t="s">
        <v>803</v>
      </c>
      <c r="C8245" s="2" t="s">
        <v>55</v>
      </c>
      <c r="D8245" s="2" t="s">
        <v>10</v>
      </c>
      <c r="E8245" s="2" t="s">
        <v>11</v>
      </c>
      <c r="F8245" s="2">
        <v>83.88</v>
      </c>
      <c r="G8245" s="2">
        <v>1</v>
      </c>
      <c r="H8245" s="2">
        <v>29.36</v>
      </c>
      <c r="I8245" t="str">
        <f t="shared" si="128"/>
        <v>Aug</v>
      </c>
      <c r="J8245">
        <f>YEAR(datas[[#This Row],[Order Date]])</f>
        <v>2024</v>
      </c>
    </row>
    <row r="8246" spans="1:10" ht="14.25" customHeight="1" x14ac:dyDescent="0.3">
      <c r="A8246" s="1">
        <v>45525</v>
      </c>
      <c r="B8246" s="2" t="s">
        <v>579</v>
      </c>
      <c r="C8246" s="2" t="s">
        <v>82</v>
      </c>
      <c r="D8246" s="2" t="s">
        <v>26</v>
      </c>
      <c r="E8246" s="2" t="s">
        <v>27</v>
      </c>
      <c r="F8246" s="2">
        <v>388.7</v>
      </c>
      <c r="G8246" s="2">
        <v>6</v>
      </c>
      <c r="H8246" s="2">
        <v>38.869999999999997</v>
      </c>
      <c r="I8246" t="str">
        <f t="shared" si="128"/>
        <v>Aug</v>
      </c>
      <c r="J8246">
        <f>YEAR(datas[[#This Row],[Order Date]])</f>
        <v>2024</v>
      </c>
    </row>
    <row r="8247" spans="1:10" ht="14.25" customHeight="1" x14ac:dyDescent="0.3">
      <c r="A8247" s="1">
        <v>45525</v>
      </c>
      <c r="B8247" s="2" t="s">
        <v>579</v>
      </c>
      <c r="C8247" s="2" t="s">
        <v>82</v>
      </c>
      <c r="D8247" s="2" t="s">
        <v>10</v>
      </c>
      <c r="E8247" s="2" t="s">
        <v>15</v>
      </c>
      <c r="F8247" s="2">
        <v>572.58000000000004</v>
      </c>
      <c r="G8247" s="2">
        <v>6</v>
      </c>
      <c r="H8247" s="2">
        <v>34.35</v>
      </c>
      <c r="I8247" t="str">
        <f t="shared" si="128"/>
        <v>Aug</v>
      </c>
      <c r="J8247">
        <f>YEAR(datas[[#This Row],[Order Date]])</f>
        <v>2024</v>
      </c>
    </row>
    <row r="8248" spans="1:10" ht="14.25" customHeight="1" x14ac:dyDescent="0.3">
      <c r="A8248" s="1">
        <v>45525</v>
      </c>
      <c r="B8248" s="2" t="s">
        <v>579</v>
      </c>
      <c r="C8248" s="2" t="s">
        <v>82</v>
      </c>
      <c r="D8248" s="2" t="s">
        <v>28</v>
      </c>
      <c r="E8248" s="2" t="s">
        <v>34</v>
      </c>
      <c r="F8248" s="2">
        <v>33.18</v>
      </c>
      <c r="G8248" s="2">
        <v>2</v>
      </c>
      <c r="H8248" s="2">
        <v>11.61</v>
      </c>
      <c r="I8248" t="str">
        <f t="shared" si="128"/>
        <v>Aug</v>
      </c>
      <c r="J8248">
        <f>YEAR(datas[[#This Row],[Order Date]])</f>
        <v>2024</v>
      </c>
    </row>
    <row r="8249" spans="1:10" ht="14.25" customHeight="1" x14ac:dyDescent="0.3">
      <c r="A8249" s="1">
        <v>45525</v>
      </c>
      <c r="B8249" s="2" t="s">
        <v>572</v>
      </c>
      <c r="C8249" s="2" t="s">
        <v>75</v>
      </c>
      <c r="D8249" s="2" t="s">
        <v>10</v>
      </c>
      <c r="E8249" s="2" t="s">
        <v>16</v>
      </c>
      <c r="F8249" s="2">
        <v>32.090000000000003</v>
      </c>
      <c r="G8249" s="2">
        <v>7</v>
      </c>
      <c r="H8249" s="2">
        <v>11.23</v>
      </c>
      <c r="I8249" t="str">
        <f t="shared" si="128"/>
        <v>Aug</v>
      </c>
      <c r="J8249">
        <f>YEAR(datas[[#This Row],[Order Date]])</f>
        <v>2024</v>
      </c>
    </row>
    <row r="8250" spans="1:10" ht="14.25" customHeight="1" x14ac:dyDescent="0.3">
      <c r="A8250" s="1">
        <v>45525</v>
      </c>
      <c r="B8250" s="2" t="s">
        <v>572</v>
      </c>
      <c r="C8250" s="2" t="s">
        <v>75</v>
      </c>
      <c r="D8250" s="2" t="s">
        <v>10</v>
      </c>
      <c r="E8250" s="2" t="s">
        <v>16</v>
      </c>
      <c r="F8250" s="2">
        <v>4305.55</v>
      </c>
      <c r="G8250" s="2">
        <v>6</v>
      </c>
      <c r="H8250" s="2">
        <v>1453.12</v>
      </c>
      <c r="I8250" t="str">
        <f t="shared" si="128"/>
        <v>Aug</v>
      </c>
      <c r="J8250">
        <f>YEAR(datas[[#This Row],[Order Date]])</f>
        <v>2024</v>
      </c>
    </row>
    <row r="8251" spans="1:10" ht="14.25" customHeight="1" x14ac:dyDescent="0.3">
      <c r="A8251" s="1">
        <v>45525</v>
      </c>
      <c r="B8251" s="2" t="s">
        <v>849</v>
      </c>
      <c r="C8251" s="2" t="s">
        <v>126</v>
      </c>
      <c r="D8251" s="2" t="s">
        <v>10</v>
      </c>
      <c r="E8251" s="2" t="s">
        <v>15</v>
      </c>
      <c r="F8251" s="2">
        <v>237.1</v>
      </c>
      <c r="G8251" s="2">
        <v>3</v>
      </c>
      <c r="H8251" s="2">
        <v>20.75</v>
      </c>
      <c r="I8251" t="str">
        <f t="shared" si="128"/>
        <v>Aug</v>
      </c>
      <c r="J8251">
        <f>YEAR(datas[[#This Row],[Order Date]])</f>
        <v>2024</v>
      </c>
    </row>
    <row r="8252" spans="1:10" ht="14.25" customHeight="1" x14ac:dyDescent="0.3">
      <c r="A8252" s="1">
        <v>45525</v>
      </c>
      <c r="B8252" s="2" t="s">
        <v>849</v>
      </c>
      <c r="C8252" s="2" t="s">
        <v>126</v>
      </c>
      <c r="D8252" s="2" t="s">
        <v>26</v>
      </c>
      <c r="E8252" s="2" t="s">
        <v>32</v>
      </c>
      <c r="F8252" s="2">
        <v>22.75</v>
      </c>
      <c r="G8252" s="2">
        <v>3</v>
      </c>
      <c r="H8252" s="2">
        <v>7.11</v>
      </c>
      <c r="I8252" t="str">
        <f t="shared" si="128"/>
        <v>Aug</v>
      </c>
      <c r="J8252">
        <f>YEAR(datas[[#This Row],[Order Date]])</f>
        <v>2024</v>
      </c>
    </row>
    <row r="8253" spans="1:10" ht="14.25" customHeight="1" x14ac:dyDescent="0.3">
      <c r="A8253" s="1">
        <v>45525</v>
      </c>
      <c r="B8253" s="2" t="s">
        <v>849</v>
      </c>
      <c r="C8253" s="2" t="s">
        <v>126</v>
      </c>
      <c r="D8253" s="2" t="s">
        <v>10</v>
      </c>
      <c r="E8253" s="2" t="s">
        <v>11</v>
      </c>
      <c r="F8253" s="2">
        <v>6.67</v>
      </c>
      <c r="G8253" s="2">
        <v>1</v>
      </c>
      <c r="H8253" s="2">
        <v>2.09</v>
      </c>
      <c r="I8253" t="str">
        <f t="shared" si="128"/>
        <v>Aug</v>
      </c>
      <c r="J8253">
        <f>YEAR(datas[[#This Row],[Order Date]])</f>
        <v>2024</v>
      </c>
    </row>
    <row r="8254" spans="1:10" ht="14.25" customHeight="1" x14ac:dyDescent="0.3">
      <c r="A8254" s="1">
        <v>45526</v>
      </c>
      <c r="B8254" s="2" t="s">
        <v>859</v>
      </c>
      <c r="C8254" s="2" t="s">
        <v>21</v>
      </c>
      <c r="D8254" s="2" t="s">
        <v>26</v>
      </c>
      <c r="E8254" s="2" t="s">
        <v>73</v>
      </c>
      <c r="F8254" s="2">
        <v>210.01</v>
      </c>
      <c r="G8254" s="2">
        <v>1</v>
      </c>
      <c r="H8254" s="2">
        <v>2.63</v>
      </c>
      <c r="I8254" t="str">
        <f t="shared" si="128"/>
        <v>Aug</v>
      </c>
      <c r="J8254">
        <f>YEAR(datas[[#This Row],[Order Date]])</f>
        <v>2024</v>
      </c>
    </row>
    <row r="8255" spans="1:10" ht="14.25" customHeight="1" x14ac:dyDescent="0.3">
      <c r="A8255" s="1">
        <v>45526</v>
      </c>
      <c r="B8255" s="2" t="s">
        <v>289</v>
      </c>
      <c r="C8255" s="2" t="s">
        <v>18</v>
      </c>
      <c r="D8255" s="2" t="s">
        <v>26</v>
      </c>
      <c r="E8255" s="2" t="s">
        <v>73</v>
      </c>
      <c r="F8255" s="2">
        <v>314.52999999999997</v>
      </c>
      <c r="G8255" s="2">
        <v>2</v>
      </c>
      <c r="H8255" s="2">
        <v>-83.88</v>
      </c>
      <c r="I8255" t="str">
        <f t="shared" si="128"/>
        <v>Aug</v>
      </c>
      <c r="J8255">
        <f>YEAR(datas[[#This Row],[Order Date]])</f>
        <v>2024</v>
      </c>
    </row>
    <row r="8256" spans="1:10" ht="14.25" customHeight="1" x14ac:dyDescent="0.3">
      <c r="A8256" s="1">
        <v>45527</v>
      </c>
      <c r="B8256" s="2" t="s">
        <v>559</v>
      </c>
      <c r="C8256" s="2" t="s">
        <v>64</v>
      </c>
      <c r="D8256" s="2" t="s">
        <v>28</v>
      </c>
      <c r="E8256" s="2" t="s">
        <v>29</v>
      </c>
      <c r="F8256" s="2">
        <v>4367.8999999999996</v>
      </c>
      <c r="G8256" s="2">
        <v>13</v>
      </c>
      <c r="H8256" s="2">
        <v>327.58999999999997</v>
      </c>
      <c r="I8256" t="str">
        <f t="shared" si="128"/>
        <v>Aug</v>
      </c>
      <c r="J8256">
        <f>YEAR(datas[[#This Row],[Order Date]])</f>
        <v>2024</v>
      </c>
    </row>
    <row r="8257" spans="1:10" ht="14.25" customHeight="1" x14ac:dyDescent="0.3">
      <c r="A8257" s="1">
        <v>45527</v>
      </c>
      <c r="B8257" s="2" t="s">
        <v>559</v>
      </c>
      <c r="C8257" s="2" t="s">
        <v>64</v>
      </c>
      <c r="D8257" s="2" t="s">
        <v>10</v>
      </c>
      <c r="E8257" s="2" t="s">
        <v>11</v>
      </c>
      <c r="F8257" s="2">
        <v>49.57</v>
      </c>
      <c r="G8257" s="2">
        <v>2</v>
      </c>
      <c r="H8257" s="2">
        <v>15.49</v>
      </c>
      <c r="I8257" t="str">
        <f t="shared" si="128"/>
        <v>Aug</v>
      </c>
      <c r="J8257">
        <f>YEAR(datas[[#This Row],[Order Date]])</f>
        <v>2024</v>
      </c>
    </row>
    <row r="8258" spans="1:10" ht="14.25" customHeight="1" x14ac:dyDescent="0.3">
      <c r="A8258" s="1">
        <v>45527</v>
      </c>
      <c r="B8258" s="2" t="s">
        <v>559</v>
      </c>
      <c r="C8258" s="2" t="s">
        <v>64</v>
      </c>
      <c r="D8258" s="2" t="s">
        <v>10</v>
      </c>
      <c r="E8258" s="2" t="s">
        <v>53</v>
      </c>
      <c r="F8258" s="2">
        <v>161.38</v>
      </c>
      <c r="G8258" s="2">
        <v>6</v>
      </c>
      <c r="H8258" s="2">
        <v>12.1</v>
      </c>
      <c r="I8258" t="str">
        <f t="shared" si="128"/>
        <v>Aug</v>
      </c>
      <c r="J8258">
        <f>YEAR(datas[[#This Row],[Order Date]])</f>
        <v>2024</v>
      </c>
    </row>
    <row r="8259" spans="1:10" ht="14.25" customHeight="1" x14ac:dyDescent="0.3">
      <c r="A8259" s="1">
        <v>45527</v>
      </c>
      <c r="B8259" s="2" t="s">
        <v>559</v>
      </c>
      <c r="C8259" s="2" t="s">
        <v>64</v>
      </c>
      <c r="D8259" s="2" t="s">
        <v>26</v>
      </c>
      <c r="E8259" s="2" t="s">
        <v>32</v>
      </c>
      <c r="F8259" s="2">
        <v>2.78</v>
      </c>
      <c r="G8259" s="2">
        <v>2</v>
      </c>
      <c r="H8259" s="2">
        <v>0.42</v>
      </c>
      <c r="I8259" t="str">
        <f t="shared" ref="I8259:I8315" si="129">TEXT(A8259,"mmm")</f>
        <v>Aug</v>
      </c>
      <c r="J8259">
        <f>YEAR(datas[[#This Row],[Order Date]])</f>
        <v>2024</v>
      </c>
    </row>
    <row r="8260" spans="1:10" ht="14.25" customHeight="1" x14ac:dyDescent="0.3">
      <c r="A8260" s="1">
        <v>45527</v>
      </c>
      <c r="B8260" s="2" t="s">
        <v>559</v>
      </c>
      <c r="C8260" s="2" t="s">
        <v>64</v>
      </c>
      <c r="D8260" s="2" t="s">
        <v>10</v>
      </c>
      <c r="E8260" s="2" t="s">
        <v>11</v>
      </c>
      <c r="F8260" s="2">
        <v>8.7200000000000006</v>
      </c>
      <c r="G8260" s="2">
        <v>5</v>
      </c>
      <c r="H8260" s="2">
        <v>2.94</v>
      </c>
      <c r="I8260" t="str">
        <f t="shared" si="129"/>
        <v>Aug</v>
      </c>
      <c r="J8260">
        <f>YEAR(datas[[#This Row],[Order Date]])</f>
        <v>2024</v>
      </c>
    </row>
    <row r="8261" spans="1:10" ht="14.25" customHeight="1" x14ac:dyDescent="0.3">
      <c r="A8261" s="1">
        <v>45528</v>
      </c>
      <c r="B8261" s="2" t="s">
        <v>683</v>
      </c>
      <c r="C8261" s="2" t="s">
        <v>75</v>
      </c>
      <c r="D8261" s="2" t="s">
        <v>10</v>
      </c>
      <c r="E8261" s="2" t="s">
        <v>16</v>
      </c>
      <c r="F8261" s="2">
        <v>24.67</v>
      </c>
      <c r="G8261" s="2">
        <v>4</v>
      </c>
      <c r="H8261" s="2">
        <v>7.71</v>
      </c>
      <c r="I8261" t="str">
        <f t="shared" si="129"/>
        <v>Aug</v>
      </c>
      <c r="J8261">
        <f>YEAR(datas[[#This Row],[Order Date]])</f>
        <v>2024</v>
      </c>
    </row>
    <row r="8262" spans="1:10" ht="14.25" customHeight="1" x14ac:dyDescent="0.3">
      <c r="A8262" s="1">
        <v>45528</v>
      </c>
      <c r="B8262" s="2" t="s">
        <v>683</v>
      </c>
      <c r="C8262" s="2" t="s">
        <v>75</v>
      </c>
      <c r="D8262" s="2" t="s">
        <v>10</v>
      </c>
      <c r="E8262" s="2" t="s">
        <v>16</v>
      </c>
      <c r="F8262" s="2">
        <v>3.74</v>
      </c>
      <c r="G8262" s="2">
        <v>1</v>
      </c>
      <c r="H8262" s="2">
        <v>1.31</v>
      </c>
      <c r="I8262" t="str">
        <f t="shared" si="129"/>
        <v>Aug</v>
      </c>
      <c r="J8262">
        <f>YEAR(datas[[#This Row],[Order Date]])</f>
        <v>2024</v>
      </c>
    </row>
    <row r="8263" spans="1:10" ht="14.25" customHeight="1" x14ac:dyDescent="0.3">
      <c r="A8263" s="1">
        <v>45528</v>
      </c>
      <c r="B8263" s="2" t="s">
        <v>477</v>
      </c>
      <c r="C8263" s="2" t="s">
        <v>47</v>
      </c>
      <c r="D8263" s="2" t="s">
        <v>10</v>
      </c>
      <c r="E8263" s="2" t="s">
        <v>53</v>
      </c>
      <c r="F8263" s="2">
        <v>646.27</v>
      </c>
      <c r="G8263" s="2">
        <v>8</v>
      </c>
      <c r="H8263" s="2">
        <v>64.63</v>
      </c>
      <c r="I8263" t="str">
        <f t="shared" si="129"/>
        <v>Aug</v>
      </c>
      <c r="J8263">
        <f>YEAR(datas[[#This Row],[Order Date]])</f>
        <v>2024</v>
      </c>
    </row>
    <row r="8264" spans="1:10" ht="14.25" customHeight="1" x14ac:dyDescent="0.3">
      <c r="A8264" s="1">
        <v>45528</v>
      </c>
      <c r="B8264" s="2" t="s">
        <v>477</v>
      </c>
      <c r="C8264" s="2" t="s">
        <v>47</v>
      </c>
      <c r="D8264" s="2" t="s">
        <v>10</v>
      </c>
      <c r="E8264" s="2" t="s">
        <v>11</v>
      </c>
      <c r="F8264" s="2">
        <v>10.37</v>
      </c>
      <c r="G8264" s="2">
        <v>2</v>
      </c>
      <c r="H8264" s="2">
        <v>3.76</v>
      </c>
      <c r="I8264" t="str">
        <f t="shared" si="129"/>
        <v>Aug</v>
      </c>
      <c r="J8264">
        <f>YEAR(datas[[#This Row],[Order Date]])</f>
        <v>2024</v>
      </c>
    </row>
    <row r="8265" spans="1:10" ht="14.25" customHeight="1" x14ac:dyDescent="0.3">
      <c r="A8265" s="1">
        <v>45529</v>
      </c>
      <c r="B8265" s="2" t="s">
        <v>90</v>
      </c>
      <c r="C8265" s="2" t="s">
        <v>115</v>
      </c>
      <c r="D8265" s="2" t="s">
        <v>10</v>
      </c>
      <c r="E8265" s="2" t="s">
        <v>11</v>
      </c>
      <c r="F8265" s="2">
        <v>192.16</v>
      </c>
      <c r="G8265" s="2">
        <v>5</v>
      </c>
      <c r="H8265" s="2">
        <v>67.260000000000005</v>
      </c>
      <c r="I8265" t="str">
        <f t="shared" si="129"/>
        <v>Aug</v>
      </c>
      <c r="J8265">
        <f>YEAR(datas[[#This Row],[Order Date]])</f>
        <v>2024</v>
      </c>
    </row>
    <row r="8266" spans="1:10" ht="14.25" customHeight="1" x14ac:dyDescent="0.3">
      <c r="A8266" s="1">
        <v>45529</v>
      </c>
      <c r="B8266" s="2" t="s">
        <v>812</v>
      </c>
      <c r="C8266" s="2" t="s">
        <v>62</v>
      </c>
      <c r="D8266" s="2" t="s">
        <v>10</v>
      </c>
      <c r="E8266" s="2" t="s">
        <v>19</v>
      </c>
      <c r="F8266" s="2">
        <v>9.73</v>
      </c>
      <c r="G8266" s="2">
        <v>2</v>
      </c>
      <c r="H8266" s="2">
        <v>1.7</v>
      </c>
      <c r="I8266" t="str">
        <f t="shared" si="129"/>
        <v>Aug</v>
      </c>
      <c r="J8266">
        <f>YEAR(datas[[#This Row],[Order Date]])</f>
        <v>2024</v>
      </c>
    </row>
    <row r="8267" spans="1:10" ht="14.25" customHeight="1" x14ac:dyDescent="0.3">
      <c r="A8267" s="1">
        <v>45529</v>
      </c>
      <c r="B8267" s="2" t="s">
        <v>812</v>
      </c>
      <c r="C8267" s="2" t="s">
        <v>62</v>
      </c>
      <c r="D8267" s="2" t="s">
        <v>10</v>
      </c>
      <c r="E8267" s="2" t="s">
        <v>11</v>
      </c>
      <c r="F8267" s="2">
        <v>3.42</v>
      </c>
      <c r="G8267" s="2">
        <v>1</v>
      </c>
      <c r="H8267" s="2">
        <v>1.07</v>
      </c>
      <c r="I8267" t="str">
        <f t="shared" si="129"/>
        <v>Aug</v>
      </c>
      <c r="J8267">
        <f>YEAR(datas[[#This Row],[Order Date]])</f>
        <v>2024</v>
      </c>
    </row>
    <row r="8268" spans="1:10" ht="14.25" customHeight="1" x14ac:dyDescent="0.3">
      <c r="A8268" s="1">
        <v>45529</v>
      </c>
      <c r="B8268" s="2" t="s">
        <v>434</v>
      </c>
      <c r="C8268" s="2" t="s">
        <v>47</v>
      </c>
      <c r="D8268" s="2" t="s">
        <v>10</v>
      </c>
      <c r="E8268" s="2" t="s">
        <v>15</v>
      </c>
      <c r="F8268" s="2">
        <v>25.7</v>
      </c>
      <c r="G8268" s="2">
        <v>2</v>
      </c>
      <c r="H8268" s="2">
        <v>1.93</v>
      </c>
      <c r="I8268" t="str">
        <f t="shared" si="129"/>
        <v>Aug</v>
      </c>
      <c r="J8268">
        <f>YEAR(datas[[#This Row],[Order Date]])</f>
        <v>2024</v>
      </c>
    </row>
    <row r="8269" spans="1:10" ht="14.25" customHeight="1" x14ac:dyDescent="0.3">
      <c r="A8269" s="1">
        <v>45529</v>
      </c>
      <c r="B8269" s="2" t="s">
        <v>37</v>
      </c>
      <c r="C8269" s="2" t="s">
        <v>18</v>
      </c>
      <c r="D8269" s="2" t="s">
        <v>26</v>
      </c>
      <c r="E8269" s="2" t="s">
        <v>45</v>
      </c>
      <c r="F8269" s="2">
        <v>130.97999999999999</v>
      </c>
      <c r="G8269" s="2">
        <v>2</v>
      </c>
      <c r="H8269" s="2">
        <v>-89.07</v>
      </c>
      <c r="I8269" t="str">
        <f t="shared" si="129"/>
        <v>Aug</v>
      </c>
      <c r="J8269">
        <f>YEAR(datas[[#This Row],[Order Date]])</f>
        <v>2024</v>
      </c>
    </row>
    <row r="8270" spans="1:10" ht="14.25" customHeight="1" x14ac:dyDescent="0.3">
      <c r="A8270" s="1">
        <v>45530</v>
      </c>
      <c r="B8270" s="2" t="s">
        <v>600</v>
      </c>
      <c r="C8270" s="2" t="s">
        <v>23</v>
      </c>
      <c r="D8270" s="2" t="s">
        <v>28</v>
      </c>
      <c r="E8270" s="2" t="s">
        <v>34</v>
      </c>
      <c r="F8270" s="2">
        <v>71.98</v>
      </c>
      <c r="G8270" s="2">
        <v>2</v>
      </c>
      <c r="H8270" s="2">
        <v>15.12</v>
      </c>
      <c r="I8270" t="str">
        <f t="shared" si="129"/>
        <v>Aug</v>
      </c>
      <c r="J8270">
        <f>YEAR(datas[[#This Row],[Order Date]])</f>
        <v>2024</v>
      </c>
    </row>
    <row r="8271" spans="1:10" ht="14.25" customHeight="1" x14ac:dyDescent="0.3">
      <c r="A8271" s="1">
        <v>45530</v>
      </c>
      <c r="B8271" s="2" t="s">
        <v>8</v>
      </c>
      <c r="C8271" s="2" t="s">
        <v>13</v>
      </c>
      <c r="D8271" s="2" t="s">
        <v>26</v>
      </c>
      <c r="E8271" s="2" t="s">
        <v>32</v>
      </c>
      <c r="F8271" s="2">
        <v>64.959999999999994</v>
      </c>
      <c r="G8271" s="2">
        <v>5</v>
      </c>
      <c r="H8271" s="2">
        <v>-43.85</v>
      </c>
      <c r="I8271" t="str">
        <f t="shared" si="129"/>
        <v>Aug</v>
      </c>
      <c r="J8271">
        <f>YEAR(datas[[#This Row],[Order Date]])</f>
        <v>2024</v>
      </c>
    </row>
    <row r="8272" spans="1:10" ht="14.25" customHeight="1" x14ac:dyDescent="0.3">
      <c r="A8272" s="1">
        <v>45530</v>
      </c>
      <c r="B8272" s="2" t="s">
        <v>703</v>
      </c>
      <c r="C8272" s="2" t="s">
        <v>60</v>
      </c>
      <c r="D8272" s="2" t="s">
        <v>10</v>
      </c>
      <c r="E8272" s="2" t="s">
        <v>15</v>
      </c>
      <c r="F8272" s="2">
        <v>53.72</v>
      </c>
      <c r="G8272" s="2">
        <v>4</v>
      </c>
      <c r="H8272" s="2">
        <v>13.97</v>
      </c>
      <c r="I8272" t="str">
        <f t="shared" si="129"/>
        <v>Aug</v>
      </c>
      <c r="J8272">
        <f>YEAR(datas[[#This Row],[Order Date]])</f>
        <v>2024</v>
      </c>
    </row>
    <row r="8273" spans="1:10" ht="14.25" customHeight="1" x14ac:dyDescent="0.3">
      <c r="A8273" s="1">
        <v>45531</v>
      </c>
      <c r="B8273" s="2" t="s">
        <v>515</v>
      </c>
      <c r="C8273" s="2" t="s">
        <v>181</v>
      </c>
      <c r="D8273" s="2" t="s">
        <v>26</v>
      </c>
      <c r="E8273" s="2" t="s">
        <v>73</v>
      </c>
      <c r="F8273" s="2">
        <v>1488.42</v>
      </c>
      <c r="G8273" s="2">
        <v>7</v>
      </c>
      <c r="H8273" s="2">
        <v>-297.68</v>
      </c>
      <c r="I8273" t="str">
        <f t="shared" si="129"/>
        <v>Aug</v>
      </c>
      <c r="J8273">
        <f>YEAR(datas[[#This Row],[Order Date]])</f>
        <v>2024</v>
      </c>
    </row>
    <row r="8274" spans="1:10" ht="14.25" customHeight="1" x14ac:dyDescent="0.3">
      <c r="A8274" s="1">
        <v>45531</v>
      </c>
      <c r="B8274" s="2" t="s">
        <v>446</v>
      </c>
      <c r="C8274" s="2" t="s">
        <v>75</v>
      </c>
      <c r="D8274" s="2" t="s">
        <v>10</v>
      </c>
      <c r="E8274" s="2" t="s">
        <v>15</v>
      </c>
      <c r="F8274" s="2">
        <v>63.84</v>
      </c>
      <c r="G8274" s="2">
        <v>8</v>
      </c>
      <c r="H8274" s="2">
        <v>16.600000000000001</v>
      </c>
      <c r="I8274" t="str">
        <f t="shared" si="129"/>
        <v>Aug</v>
      </c>
      <c r="J8274">
        <f>YEAR(datas[[#This Row],[Order Date]])</f>
        <v>2024</v>
      </c>
    </row>
    <row r="8275" spans="1:10" ht="14.25" customHeight="1" x14ac:dyDescent="0.3">
      <c r="A8275" s="1">
        <v>45531</v>
      </c>
      <c r="B8275" s="2" t="s">
        <v>446</v>
      </c>
      <c r="C8275" s="2" t="s">
        <v>75</v>
      </c>
      <c r="D8275" s="2" t="s">
        <v>28</v>
      </c>
      <c r="E8275" s="2" t="s">
        <v>29</v>
      </c>
      <c r="F8275" s="2">
        <v>347.97</v>
      </c>
      <c r="G8275" s="2">
        <v>3</v>
      </c>
      <c r="H8275" s="2">
        <v>100.91</v>
      </c>
      <c r="I8275" t="str">
        <f t="shared" si="129"/>
        <v>Aug</v>
      </c>
      <c r="J8275">
        <f>YEAR(datas[[#This Row],[Order Date]])</f>
        <v>2024</v>
      </c>
    </row>
    <row r="8276" spans="1:10" ht="14.25" customHeight="1" x14ac:dyDescent="0.3">
      <c r="A8276" s="1">
        <v>45531</v>
      </c>
      <c r="B8276" s="2" t="s">
        <v>446</v>
      </c>
      <c r="C8276" s="2" t="s">
        <v>75</v>
      </c>
      <c r="D8276" s="2" t="s">
        <v>10</v>
      </c>
      <c r="E8276" s="2" t="s">
        <v>16</v>
      </c>
      <c r="F8276" s="2">
        <v>37.01</v>
      </c>
      <c r="G8276" s="2">
        <v>6</v>
      </c>
      <c r="H8276" s="2">
        <v>11.57</v>
      </c>
      <c r="I8276" t="str">
        <f t="shared" si="129"/>
        <v>Aug</v>
      </c>
      <c r="J8276">
        <f>YEAR(datas[[#This Row],[Order Date]])</f>
        <v>2024</v>
      </c>
    </row>
    <row r="8277" spans="1:10" ht="14.25" customHeight="1" x14ac:dyDescent="0.3">
      <c r="A8277" s="1">
        <v>45531</v>
      </c>
      <c r="B8277" s="2" t="s">
        <v>206</v>
      </c>
      <c r="C8277" s="2" t="s">
        <v>9</v>
      </c>
      <c r="D8277" s="2" t="s">
        <v>10</v>
      </c>
      <c r="E8277" s="2" t="s">
        <v>19</v>
      </c>
      <c r="F8277" s="2">
        <v>5.95</v>
      </c>
      <c r="G8277" s="2">
        <v>1</v>
      </c>
      <c r="H8277" s="2">
        <v>0.37</v>
      </c>
      <c r="I8277" t="str">
        <f t="shared" si="129"/>
        <v>Aug</v>
      </c>
      <c r="J8277">
        <f>YEAR(datas[[#This Row],[Order Date]])</f>
        <v>2024</v>
      </c>
    </row>
    <row r="8278" spans="1:10" ht="14.25" customHeight="1" x14ac:dyDescent="0.3">
      <c r="A8278" s="1">
        <v>45531</v>
      </c>
      <c r="B8278" s="2" t="s">
        <v>456</v>
      </c>
      <c r="C8278" s="2" t="s">
        <v>64</v>
      </c>
      <c r="D8278" s="2" t="s">
        <v>10</v>
      </c>
      <c r="E8278" s="2" t="s">
        <v>41</v>
      </c>
      <c r="F8278" s="2">
        <v>2.9</v>
      </c>
      <c r="G8278" s="2">
        <v>1</v>
      </c>
      <c r="H8278" s="2">
        <v>0.98</v>
      </c>
      <c r="I8278" t="str">
        <f t="shared" si="129"/>
        <v>Aug</v>
      </c>
      <c r="J8278">
        <f>YEAR(datas[[#This Row],[Order Date]])</f>
        <v>2024</v>
      </c>
    </row>
    <row r="8279" spans="1:10" ht="14.25" customHeight="1" x14ac:dyDescent="0.3">
      <c r="A8279" s="1">
        <v>45531</v>
      </c>
      <c r="B8279" s="2" t="s">
        <v>769</v>
      </c>
      <c r="C8279" s="2" t="s">
        <v>21</v>
      </c>
      <c r="D8279" s="2" t="s">
        <v>26</v>
      </c>
      <c r="E8279" s="2" t="s">
        <v>32</v>
      </c>
      <c r="F8279" s="2">
        <v>198.46</v>
      </c>
      <c r="G8279" s="2">
        <v>2</v>
      </c>
      <c r="H8279" s="2">
        <v>99.23</v>
      </c>
      <c r="I8279" t="str">
        <f t="shared" si="129"/>
        <v>Aug</v>
      </c>
      <c r="J8279">
        <f>YEAR(datas[[#This Row],[Order Date]])</f>
        <v>2024</v>
      </c>
    </row>
    <row r="8280" spans="1:10" ht="14.25" customHeight="1" x14ac:dyDescent="0.3">
      <c r="A8280" s="1">
        <v>45531</v>
      </c>
      <c r="B8280" s="2" t="s">
        <v>769</v>
      </c>
      <c r="C8280" s="2" t="s">
        <v>21</v>
      </c>
      <c r="D8280" s="2" t="s">
        <v>10</v>
      </c>
      <c r="E8280" s="2" t="s">
        <v>53</v>
      </c>
      <c r="F8280" s="2">
        <v>321.92</v>
      </c>
      <c r="G8280" s="2">
        <v>4</v>
      </c>
      <c r="H8280" s="2">
        <v>96.58</v>
      </c>
      <c r="I8280" t="str">
        <f t="shared" si="129"/>
        <v>Aug</v>
      </c>
      <c r="J8280">
        <f>YEAR(datas[[#This Row],[Order Date]])</f>
        <v>2024</v>
      </c>
    </row>
    <row r="8281" spans="1:10" ht="14.25" customHeight="1" x14ac:dyDescent="0.3">
      <c r="A8281" s="1">
        <v>45531</v>
      </c>
      <c r="B8281" s="2" t="s">
        <v>769</v>
      </c>
      <c r="C8281" s="2" t="s">
        <v>21</v>
      </c>
      <c r="D8281" s="2" t="s">
        <v>28</v>
      </c>
      <c r="E8281" s="2" t="s">
        <v>243</v>
      </c>
      <c r="F8281" s="2">
        <v>879.98</v>
      </c>
      <c r="G8281" s="2">
        <v>2</v>
      </c>
      <c r="H8281" s="2">
        <v>329.99</v>
      </c>
      <c r="I8281" t="str">
        <f t="shared" si="129"/>
        <v>Aug</v>
      </c>
      <c r="J8281">
        <f>YEAR(datas[[#This Row],[Order Date]])</f>
        <v>2024</v>
      </c>
    </row>
    <row r="8282" spans="1:10" ht="14.25" customHeight="1" x14ac:dyDescent="0.3">
      <c r="A8282" s="1">
        <v>45531</v>
      </c>
      <c r="B8282" s="2" t="s">
        <v>769</v>
      </c>
      <c r="C8282" s="2" t="s">
        <v>21</v>
      </c>
      <c r="D8282" s="2" t="s">
        <v>10</v>
      </c>
      <c r="E8282" s="2" t="s">
        <v>95</v>
      </c>
      <c r="F8282" s="2">
        <v>28.4</v>
      </c>
      <c r="G8282" s="2">
        <v>5</v>
      </c>
      <c r="H8282" s="2">
        <v>8.24</v>
      </c>
      <c r="I8282" t="str">
        <f t="shared" si="129"/>
        <v>Aug</v>
      </c>
      <c r="J8282">
        <f>YEAR(datas[[#This Row],[Order Date]])</f>
        <v>2024</v>
      </c>
    </row>
    <row r="8283" spans="1:10" ht="14.25" customHeight="1" x14ac:dyDescent="0.3">
      <c r="A8283" s="1">
        <v>45531</v>
      </c>
      <c r="B8283" s="2" t="s">
        <v>769</v>
      </c>
      <c r="C8283" s="2" t="s">
        <v>21</v>
      </c>
      <c r="D8283" s="2" t="s">
        <v>26</v>
      </c>
      <c r="E8283" s="2" t="s">
        <v>27</v>
      </c>
      <c r="F8283" s="2">
        <v>230.28</v>
      </c>
      <c r="G8283" s="2">
        <v>3</v>
      </c>
      <c r="H8283" s="2">
        <v>23.03</v>
      </c>
      <c r="I8283" t="str">
        <f t="shared" si="129"/>
        <v>Aug</v>
      </c>
      <c r="J8283">
        <f>YEAR(datas[[#This Row],[Order Date]])</f>
        <v>2024</v>
      </c>
    </row>
    <row r="8284" spans="1:10" ht="14.25" customHeight="1" x14ac:dyDescent="0.3">
      <c r="A8284" s="1">
        <v>45531</v>
      </c>
      <c r="B8284" s="2" t="s">
        <v>769</v>
      </c>
      <c r="C8284" s="2" t="s">
        <v>21</v>
      </c>
      <c r="D8284" s="2" t="s">
        <v>10</v>
      </c>
      <c r="E8284" s="2" t="s">
        <v>11</v>
      </c>
      <c r="F8284" s="2">
        <v>116.28</v>
      </c>
      <c r="G8284" s="2">
        <v>3</v>
      </c>
      <c r="H8284" s="2">
        <v>56.98</v>
      </c>
      <c r="I8284" t="str">
        <f t="shared" si="129"/>
        <v>Aug</v>
      </c>
      <c r="J8284">
        <f>YEAR(datas[[#This Row],[Order Date]])</f>
        <v>2024</v>
      </c>
    </row>
    <row r="8285" spans="1:10" ht="14.25" customHeight="1" x14ac:dyDescent="0.3">
      <c r="A8285" s="1">
        <v>45531</v>
      </c>
      <c r="B8285" s="2" t="s">
        <v>769</v>
      </c>
      <c r="C8285" s="2" t="s">
        <v>21</v>
      </c>
      <c r="D8285" s="2" t="s">
        <v>10</v>
      </c>
      <c r="E8285" s="2" t="s">
        <v>16</v>
      </c>
      <c r="F8285" s="2">
        <v>841.57</v>
      </c>
      <c r="G8285" s="2">
        <v>2</v>
      </c>
      <c r="H8285" s="2">
        <v>294.55</v>
      </c>
      <c r="I8285" t="str">
        <f t="shared" si="129"/>
        <v>Aug</v>
      </c>
      <c r="J8285">
        <f>YEAR(datas[[#This Row],[Order Date]])</f>
        <v>2024</v>
      </c>
    </row>
    <row r="8286" spans="1:10" ht="14.25" customHeight="1" x14ac:dyDescent="0.3">
      <c r="A8286" s="1">
        <v>45531</v>
      </c>
      <c r="B8286" s="2" t="s">
        <v>769</v>
      </c>
      <c r="C8286" s="2" t="s">
        <v>21</v>
      </c>
      <c r="D8286" s="2" t="s">
        <v>10</v>
      </c>
      <c r="E8286" s="2" t="s">
        <v>15</v>
      </c>
      <c r="F8286" s="2">
        <v>354.9</v>
      </c>
      <c r="G8286" s="2">
        <v>5</v>
      </c>
      <c r="H8286" s="2">
        <v>17.75</v>
      </c>
      <c r="I8286" t="str">
        <f t="shared" si="129"/>
        <v>Aug</v>
      </c>
      <c r="J8286">
        <f>YEAR(datas[[#This Row],[Order Date]])</f>
        <v>2024</v>
      </c>
    </row>
    <row r="8287" spans="1:10" ht="14.25" customHeight="1" x14ac:dyDescent="0.3">
      <c r="A8287" s="1">
        <v>45531</v>
      </c>
      <c r="B8287" s="2" t="s">
        <v>685</v>
      </c>
      <c r="C8287" s="2" t="s">
        <v>62</v>
      </c>
      <c r="D8287" s="2" t="s">
        <v>10</v>
      </c>
      <c r="E8287" s="2" t="s">
        <v>11</v>
      </c>
      <c r="F8287" s="2">
        <v>5.18</v>
      </c>
      <c r="G8287" s="2">
        <v>1</v>
      </c>
      <c r="H8287" s="2">
        <v>1.81</v>
      </c>
      <c r="I8287" t="str">
        <f t="shared" si="129"/>
        <v>Aug</v>
      </c>
      <c r="J8287">
        <f>YEAR(datas[[#This Row],[Order Date]])</f>
        <v>2024</v>
      </c>
    </row>
    <row r="8288" spans="1:10" ht="14.25" customHeight="1" x14ac:dyDescent="0.3">
      <c r="A8288" s="1">
        <v>45531</v>
      </c>
      <c r="B8288" s="2" t="s">
        <v>93</v>
      </c>
      <c r="C8288" s="2" t="s">
        <v>64</v>
      </c>
      <c r="D8288" s="2" t="s">
        <v>10</v>
      </c>
      <c r="E8288" s="2" t="s">
        <v>53</v>
      </c>
      <c r="F8288" s="2">
        <v>14.34</v>
      </c>
      <c r="G8288" s="2">
        <v>4</v>
      </c>
      <c r="H8288" s="2">
        <v>0.9</v>
      </c>
      <c r="I8288" t="str">
        <f t="shared" si="129"/>
        <v>Aug</v>
      </c>
      <c r="J8288">
        <f>YEAR(datas[[#This Row],[Order Date]])</f>
        <v>2024</v>
      </c>
    </row>
    <row r="8289" spans="1:10" ht="14.25" customHeight="1" x14ac:dyDescent="0.3">
      <c r="A8289" s="1">
        <v>45531</v>
      </c>
      <c r="B8289" s="2" t="s">
        <v>696</v>
      </c>
      <c r="C8289" s="2" t="s">
        <v>18</v>
      </c>
      <c r="D8289" s="2" t="s">
        <v>10</v>
      </c>
      <c r="E8289" s="2" t="s">
        <v>11</v>
      </c>
      <c r="F8289" s="2">
        <v>12.67</v>
      </c>
      <c r="G8289" s="2">
        <v>3</v>
      </c>
      <c r="H8289" s="2">
        <v>3.96</v>
      </c>
      <c r="I8289" t="str">
        <f t="shared" si="129"/>
        <v>Aug</v>
      </c>
      <c r="J8289">
        <f>YEAR(datas[[#This Row],[Order Date]])</f>
        <v>2024</v>
      </c>
    </row>
    <row r="8290" spans="1:10" ht="14.25" customHeight="1" x14ac:dyDescent="0.3">
      <c r="A8290" s="1">
        <v>45531</v>
      </c>
      <c r="B8290" s="2" t="s">
        <v>696</v>
      </c>
      <c r="C8290" s="2" t="s">
        <v>18</v>
      </c>
      <c r="D8290" s="2" t="s">
        <v>28</v>
      </c>
      <c r="E8290" s="2" t="s">
        <v>34</v>
      </c>
      <c r="F8290" s="2">
        <v>1119.8900000000001</v>
      </c>
      <c r="G8290" s="2">
        <v>14</v>
      </c>
      <c r="H8290" s="2">
        <v>209.98</v>
      </c>
      <c r="I8290" t="str">
        <f t="shared" si="129"/>
        <v>Aug</v>
      </c>
      <c r="J8290">
        <f>YEAR(datas[[#This Row],[Order Date]])</f>
        <v>2024</v>
      </c>
    </row>
    <row r="8291" spans="1:10" ht="14.25" customHeight="1" x14ac:dyDescent="0.3">
      <c r="A8291" s="1">
        <v>45531</v>
      </c>
      <c r="B8291" s="2" t="s">
        <v>654</v>
      </c>
      <c r="C8291" s="2" t="s">
        <v>55</v>
      </c>
      <c r="D8291" s="2" t="s">
        <v>26</v>
      </c>
      <c r="E8291" s="2" t="s">
        <v>32</v>
      </c>
      <c r="F8291" s="2">
        <v>120.58</v>
      </c>
      <c r="G8291" s="2">
        <v>8</v>
      </c>
      <c r="H8291" s="2">
        <v>33.159999999999997</v>
      </c>
      <c r="I8291" t="str">
        <f t="shared" si="129"/>
        <v>Aug</v>
      </c>
      <c r="J8291">
        <f>YEAR(datas[[#This Row],[Order Date]])</f>
        <v>2024</v>
      </c>
    </row>
    <row r="8292" spans="1:10" ht="14.25" customHeight="1" x14ac:dyDescent="0.3">
      <c r="A8292" s="1">
        <v>45532</v>
      </c>
      <c r="B8292" s="2" t="s">
        <v>112</v>
      </c>
      <c r="C8292" s="2" t="s">
        <v>82</v>
      </c>
      <c r="D8292" s="2" t="s">
        <v>28</v>
      </c>
      <c r="E8292" s="2" t="s">
        <v>29</v>
      </c>
      <c r="F8292" s="2">
        <v>35.17</v>
      </c>
      <c r="G8292" s="2">
        <v>4</v>
      </c>
      <c r="H8292" s="2">
        <v>11.43</v>
      </c>
      <c r="I8292" t="str">
        <f t="shared" si="129"/>
        <v>Aug</v>
      </c>
      <c r="J8292">
        <f>YEAR(datas[[#This Row],[Order Date]])</f>
        <v>2024</v>
      </c>
    </row>
    <row r="8293" spans="1:10" ht="14.25" customHeight="1" x14ac:dyDescent="0.3">
      <c r="A8293" s="1">
        <v>45532</v>
      </c>
      <c r="B8293" s="2" t="s">
        <v>112</v>
      </c>
      <c r="C8293" s="2" t="s">
        <v>82</v>
      </c>
      <c r="D8293" s="2" t="s">
        <v>26</v>
      </c>
      <c r="E8293" s="2" t="s">
        <v>73</v>
      </c>
      <c r="F8293" s="2">
        <v>1137.75</v>
      </c>
      <c r="G8293" s="2">
        <v>5</v>
      </c>
      <c r="H8293" s="2">
        <v>250.31</v>
      </c>
      <c r="I8293" t="str">
        <f t="shared" si="129"/>
        <v>Aug</v>
      </c>
      <c r="J8293">
        <f>YEAR(datas[[#This Row],[Order Date]])</f>
        <v>2024</v>
      </c>
    </row>
    <row r="8294" spans="1:10" ht="14.25" customHeight="1" x14ac:dyDescent="0.3">
      <c r="A8294" s="1">
        <v>45532</v>
      </c>
      <c r="B8294" s="2" t="s">
        <v>112</v>
      </c>
      <c r="C8294" s="2" t="s">
        <v>82</v>
      </c>
      <c r="D8294" s="2" t="s">
        <v>10</v>
      </c>
      <c r="E8294" s="2" t="s">
        <v>16</v>
      </c>
      <c r="F8294" s="2">
        <v>99.68</v>
      </c>
      <c r="G8294" s="2">
        <v>5</v>
      </c>
      <c r="H8294" s="2">
        <v>32.4</v>
      </c>
      <c r="I8294" t="str">
        <f t="shared" si="129"/>
        <v>Aug</v>
      </c>
      <c r="J8294">
        <f>YEAR(datas[[#This Row],[Order Date]])</f>
        <v>2024</v>
      </c>
    </row>
    <row r="8295" spans="1:10" ht="14.25" customHeight="1" x14ac:dyDescent="0.3">
      <c r="A8295" s="1">
        <v>45532</v>
      </c>
      <c r="B8295" s="2" t="s">
        <v>112</v>
      </c>
      <c r="C8295" s="2" t="s">
        <v>82</v>
      </c>
      <c r="D8295" s="2" t="s">
        <v>10</v>
      </c>
      <c r="E8295" s="2" t="s">
        <v>19</v>
      </c>
      <c r="F8295" s="2">
        <v>5.56</v>
      </c>
      <c r="G8295" s="2">
        <v>2</v>
      </c>
      <c r="H8295" s="2">
        <v>1.45</v>
      </c>
      <c r="I8295" t="str">
        <f t="shared" si="129"/>
        <v>Aug</v>
      </c>
      <c r="J8295">
        <f>YEAR(datas[[#This Row],[Order Date]])</f>
        <v>2024</v>
      </c>
    </row>
    <row r="8296" spans="1:10" ht="14.25" customHeight="1" x14ac:dyDescent="0.3">
      <c r="A8296" s="1">
        <v>45532</v>
      </c>
      <c r="B8296" s="2" t="s">
        <v>645</v>
      </c>
      <c r="C8296" s="2" t="s">
        <v>13</v>
      </c>
      <c r="D8296" s="2" t="s">
        <v>10</v>
      </c>
      <c r="E8296" s="2" t="s">
        <v>11</v>
      </c>
      <c r="F8296" s="2">
        <v>25.34</v>
      </c>
      <c r="G8296" s="2">
        <v>6</v>
      </c>
      <c r="H8296" s="2">
        <v>7.92</v>
      </c>
      <c r="I8296" t="str">
        <f t="shared" si="129"/>
        <v>Aug</v>
      </c>
      <c r="J8296">
        <f>YEAR(datas[[#This Row],[Order Date]])</f>
        <v>2024</v>
      </c>
    </row>
    <row r="8297" spans="1:10" ht="14.25" customHeight="1" x14ac:dyDescent="0.3">
      <c r="A8297" s="1">
        <v>45532</v>
      </c>
      <c r="B8297" s="2" t="s">
        <v>645</v>
      </c>
      <c r="C8297" s="2" t="s">
        <v>13</v>
      </c>
      <c r="D8297" s="2" t="s">
        <v>10</v>
      </c>
      <c r="E8297" s="2" t="s">
        <v>11</v>
      </c>
      <c r="F8297" s="2">
        <v>26.72</v>
      </c>
      <c r="G8297" s="2">
        <v>5</v>
      </c>
      <c r="H8297" s="2">
        <v>9.35</v>
      </c>
      <c r="I8297" t="str">
        <f t="shared" si="129"/>
        <v>Aug</v>
      </c>
      <c r="J8297">
        <f>YEAR(datas[[#This Row],[Order Date]])</f>
        <v>2024</v>
      </c>
    </row>
    <row r="8298" spans="1:10" ht="14.25" customHeight="1" x14ac:dyDescent="0.3">
      <c r="A8298" s="1">
        <v>45532</v>
      </c>
      <c r="B8298" s="2" t="s">
        <v>412</v>
      </c>
      <c r="C8298" s="2" t="s">
        <v>79</v>
      </c>
      <c r="D8298" s="2" t="s">
        <v>10</v>
      </c>
      <c r="E8298" s="2" t="s">
        <v>95</v>
      </c>
      <c r="F8298" s="2">
        <v>21.81</v>
      </c>
      <c r="G8298" s="2">
        <v>3</v>
      </c>
      <c r="H8298" s="2">
        <v>5.89</v>
      </c>
      <c r="I8298" t="str">
        <f t="shared" si="129"/>
        <v>Aug</v>
      </c>
      <c r="J8298">
        <f>YEAR(datas[[#This Row],[Order Date]])</f>
        <v>2024</v>
      </c>
    </row>
    <row r="8299" spans="1:10" ht="14.25" customHeight="1" x14ac:dyDescent="0.3">
      <c r="A8299" s="1">
        <v>45532</v>
      </c>
      <c r="B8299" s="2" t="s">
        <v>412</v>
      </c>
      <c r="C8299" s="2" t="s">
        <v>79</v>
      </c>
      <c r="D8299" s="2" t="s">
        <v>10</v>
      </c>
      <c r="E8299" s="2" t="s">
        <v>53</v>
      </c>
      <c r="F8299" s="2">
        <v>91.6</v>
      </c>
      <c r="G8299" s="2">
        <v>5</v>
      </c>
      <c r="H8299" s="2">
        <v>26.56</v>
      </c>
      <c r="I8299" t="str">
        <f t="shared" si="129"/>
        <v>Aug</v>
      </c>
      <c r="J8299">
        <f>YEAR(datas[[#This Row],[Order Date]])</f>
        <v>2024</v>
      </c>
    </row>
    <row r="8300" spans="1:10" ht="14.25" customHeight="1" x14ac:dyDescent="0.3">
      <c r="A8300" s="1">
        <v>45533</v>
      </c>
      <c r="B8300" s="2" t="s">
        <v>624</v>
      </c>
      <c r="C8300" s="2" t="s">
        <v>13</v>
      </c>
      <c r="D8300" s="2" t="s">
        <v>10</v>
      </c>
      <c r="E8300" s="2" t="s">
        <v>14</v>
      </c>
      <c r="F8300" s="2">
        <v>47.36</v>
      </c>
      <c r="G8300" s="2">
        <v>4</v>
      </c>
      <c r="H8300" s="2">
        <v>17.760000000000002</v>
      </c>
      <c r="I8300" t="str">
        <f t="shared" si="129"/>
        <v>Aug</v>
      </c>
      <c r="J8300">
        <f>YEAR(datas[[#This Row],[Order Date]])</f>
        <v>2024</v>
      </c>
    </row>
    <row r="8301" spans="1:10" ht="14.25" customHeight="1" x14ac:dyDescent="0.3">
      <c r="A8301" s="1">
        <v>45533</v>
      </c>
      <c r="B8301" s="2" t="s">
        <v>624</v>
      </c>
      <c r="C8301" s="2" t="s">
        <v>13</v>
      </c>
      <c r="D8301" s="2" t="s">
        <v>10</v>
      </c>
      <c r="E8301" s="2" t="s">
        <v>15</v>
      </c>
      <c r="F8301" s="2">
        <v>27.44</v>
      </c>
      <c r="G8301" s="2">
        <v>2</v>
      </c>
      <c r="H8301" s="2">
        <v>2.4</v>
      </c>
      <c r="I8301" t="str">
        <f t="shared" si="129"/>
        <v>Aug</v>
      </c>
      <c r="J8301">
        <f>YEAR(datas[[#This Row],[Order Date]])</f>
        <v>2024</v>
      </c>
    </row>
    <row r="8302" spans="1:10" ht="14.25" customHeight="1" x14ac:dyDescent="0.3">
      <c r="A8302" s="1">
        <v>45533</v>
      </c>
      <c r="B8302" s="2" t="s">
        <v>624</v>
      </c>
      <c r="C8302" s="2" t="s">
        <v>13</v>
      </c>
      <c r="D8302" s="2" t="s">
        <v>10</v>
      </c>
      <c r="E8302" s="2" t="s">
        <v>16</v>
      </c>
      <c r="F8302" s="2">
        <v>3.24</v>
      </c>
      <c r="G8302" s="2">
        <v>9</v>
      </c>
      <c r="H8302" s="2">
        <v>-5.18</v>
      </c>
      <c r="I8302" t="str">
        <f t="shared" si="129"/>
        <v>Aug</v>
      </c>
      <c r="J8302">
        <f>YEAR(datas[[#This Row],[Order Date]])</f>
        <v>2024</v>
      </c>
    </row>
    <row r="8303" spans="1:10" ht="14.25" customHeight="1" x14ac:dyDescent="0.3">
      <c r="A8303" s="1">
        <v>45533</v>
      </c>
      <c r="B8303" s="2" t="s">
        <v>620</v>
      </c>
      <c r="C8303" s="2" t="s">
        <v>18</v>
      </c>
      <c r="D8303" s="2" t="s">
        <v>10</v>
      </c>
      <c r="E8303" s="2" t="s">
        <v>19</v>
      </c>
      <c r="F8303" s="2">
        <v>9.41</v>
      </c>
      <c r="G8303" s="2">
        <v>7</v>
      </c>
      <c r="H8303" s="2">
        <v>0.71</v>
      </c>
      <c r="I8303" t="str">
        <f t="shared" si="129"/>
        <v>Aug</v>
      </c>
      <c r="J8303">
        <f>YEAR(datas[[#This Row],[Order Date]])</f>
        <v>2024</v>
      </c>
    </row>
    <row r="8304" spans="1:10" ht="14.25" customHeight="1" x14ac:dyDescent="0.3">
      <c r="A8304" s="1">
        <v>45533</v>
      </c>
      <c r="B8304" s="2" t="s">
        <v>674</v>
      </c>
      <c r="C8304" s="2" t="s">
        <v>21</v>
      </c>
      <c r="D8304" s="2" t="s">
        <v>26</v>
      </c>
      <c r="E8304" s="2" t="s">
        <v>32</v>
      </c>
      <c r="F8304" s="2">
        <v>148.02000000000001</v>
      </c>
      <c r="G8304" s="2">
        <v>3</v>
      </c>
      <c r="H8304" s="2">
        <v>41.45</v>
      </c>
      <c r="I8304" t="str">
        <f t="shared" si="129"/>
        <v>Aug</v>
      </c>
      <c r="J8304">
        <f>YEAR(datas[[#This Row],[Order Date]])</f>
        <v>2024</v>
      </c>
    </row>
    <row r="8305" spans="1:10" ht="14.25" customHeight="1" x14ac:dyDescent="0.3">
      <c r="A8305" s="1">
        <v>45535</v>
      </c>
      <c r="B8305" s="2" t="s">
        <v>538</v>
      </c>
      <c r="C8305" s="2" t="s">
        <v>55</v>
      </c>
      <c r="D8305" s="2" t="s">
        <v>10</v>
      </c>
      <c r="E8305" s="2" t="s">
        <v>15</v>
      </c>
      <c r="F8305" s="2">
        <v>10.74</v>
      </c>
      <c r="G8305" s="2">
        <v>1</v>
      </c>
      <c r="H8305" s="2">
        <v>0.81</v>
      </c>
      <c r="I8305" t="str">
        <f t="shared" si="129"/>
        <v>Aug</v>
      </c>
      <c r="J8305">
        <f>YEAR(datas[[#This Row],[Order Date]])</f>
        <v>2024</v>
      </c>
    </row>
    <row r="8306" spans="1:10" ht="14.25" customHeight="1" x14ac:dyDescent="0.3">
      <c r="A8306" s="1">
        <v>45535</v>
      </c>
      <c r="B8306" s="2" t="s">
        <v>538</v>
      </c>
      <c r="C8306" s="2" t="s">
        <v>55</v>
      </c>
      <c r="D8306" s="2" t="s">
        <v>10</v>
      </c>
      <c r="E8306" s="2" t="s">
        <v>30</v>
      </c>
      <c r="F8306" s="2">
        <v>8.3800000000000008</v>
      </c>
      <c r="G8306" s="2">
        <v>3</v>
      </c>
      <c r="H8306" s="2">
        <v>2.72</v>
      </c>
      <c r="I8306" t="str">
        <f t="shared" si="129"/>
        <v>Aug</v>
      </c>
      <c r="J8306">
        <f>YEAR(datas[[#This Row],[Order Date]])</f>
        <v>2024</v>
      </c>
    </row>
    <row r="8307" spans="1:10" ht="14.25" customHeight="1" x14ac:dyDescent="0.3">
      <c r="A8307" s="1">
        <v>45535</v>
      </c>
      <c r="B8307" s="2" t="s">
        <v>628</v>
      </c>
      <c r="C8307" s="2" t="s">
        <v>115</v>
      </c>
      <c r="D8307" s="2" t="s">
        <v>10</v>
      </c>
      <c r="E8307" s="2" t="s">
        <v>11</v>
      </c>
      <c r="F8307" s="2">
        <v>229.54</v>
      </c>
      <c r="G8307" s="2">
        <v>7</v>
      </c>
      <c r="H8307" s="2">
        <v>83.21</v>
      </c>
      <c r="I8307" t="str">
        <f t="shared" si="129"/>
        <v>Aug</v>
      </c>
      <c r="J8307">
        <f>YEAR(datas[[#This Row],[Order Date]])</f>
        <v>2024</v>
      </c>
    </row>
    <row r="8308" spans="1:10" ht="14.25" customHeight="1" x14ac:dyDescent="0.3">
      <c r="A8308" s="1">
        <v>45535</v>
      </c>
      <c r="B8308" s="2" t="s">
        <v>114</v>
      </c>
      <c r="C8308" s="2" t="s">
        <v>68</v>
      </c>
      <c r="D8308" s="2" t="s">
        <v>10</v>
      </c>
      <c r="E8308" s="2" t="s">
        <v>53</v>
      </c>
      <c r="F8308" s="2">
        <v>638.73</v>
      </c>
      <c r="G8308" s="2">
        <v>9</v>
      </c>
      <c r="H8308" s="2">
        <v>166.07</v>
      </c>
      <c r="I8308" t="str">
        <f t="shared" si="129"/>
        <v>Aug</v>
      </c>
      <c r="J8308">
        <f>YEAR(datas[[#This Row],[Order Date]])</f>
        <v>2024</v>
      </c>
    </row>
    <row r="8309" spans="1:10" ht="14.25" customHeight="1" x14ac:dyDescent="0.3">
      <c r="A8309" s="1">
        <v>45535</v>
      </c>
      <c r="B8309" s="2" t="s">
        <v>367</v>
      </c>
      <c r="C8309" s="2" t="s">
        <v>21</v>
      </c>
      <c r="D8309" s="2" t="s">
        <v>10</v>
      </c>
      <c r="E8309" s="2" t="s">
        <v>16</v>
      </c>
      <c r="F8309" s="2">
        <v>6.67</v>
      </c>
      <c r="G8309" s="2">
        <v>3</v>
      </c>
      <c r="H8309" s="2">
        <v>2.17</v>
      </c>
      <c r="I8309" t="str">
        <f t="shared" si="129"/>
        <v>Aug</v>
      </c>
      <c r="J8309">
        <f>YEAR(datas[[#This Row],[Order Date]])</f>
        <v>2024</v>
      </c>
    </row>
    <row r="8310" spans="1:10" ht="14.25" customHeight="1" x14ac:dyDescent="0.3">
      <c r="A8310" s="1">
        <v>45535</v>
      </c>
      <c r="B8310" s="2" t="s">
        <v>367</v>
      </c>
      <c r="C8310" s="2" t="s">
        <v>21</v>
      </c>
      <c r="D8310" s="2" t="s">
        <v>28</v>
      </c>
      <c r="E8310" s="2" t="s">
        <v>29</v>
      </c>
      <c r="F8310" s="2">
        <v>689.41</v>
      </c>
      <c r="G8310" s="2">
        <v>4</v>
      </c>
      <c r="H8310" s="2">
        <v>77.56</v>
      </c>
      <c r="I8310" t="str">
        <f t="shared" si="129"/>
        <v>Aug</v>
      </c>
      <c r="J8310">
        <f>YEAR(datas[[#This Row],[Order Date]])</f>
        <v>2024</v>
      </c>
    </row>
    <row r="8311" spans="1:10" ht="14.25" customHeight="1" x14ac:dyDescent="0.3">
      <c r="A8311" s="1">
        <v>45535</v>
      </c>
      <c r="B8311" s="2" t="s">
        <v>569</v>
      </c>
      <c r="C8311" s="2" t="s">
        <v>40</v>
      </c>
      <c r="D8311" s="2" t="s">
        <v>28</v>
      </c>
      <c r="E8311" s="2" t="s">
        <v>34</v>
      </c>
      <c r="F8311" s="2">
        <v>659.9</v>
      </c>
      <c r="G8311" s="2">
        <v>2</v>
      </c>
      <c r="H8311" s="2">
        <v>217.77</v>
      </c>
      <c r="I8311" t="str">
        <f t="shared" si="129"/>
        <v>Aug</v>
      </c>
      <c r="J8311">
        <f>YEAR(datas[[#This Row],[Order Date]])</f>
        <v>2024</v>
      </c>
    </row>
    <row r="8312" spans="1:10" ht="14.25" customHeight="1" x14ac:dyDescent="0.3">
      <c r="A8312" s="1">
        <v>45535</v>
      </c>
      <c r="B8312" s="2" t="s">
        <v>692</v>
      </c>
      <c r="C8312" s="2" t="s">
        <v>82</v>
      </c>
      <c r="D8312" s="2" t="s">
        <v>26</v>
      </c>
      <c r="E8312" s="2" t="s">
        <v>27</v>
      </c>
      <c r="F8312" s="2">
        <v>569.57000000000005</v>
      </c>
      <c r="G8312" s="2">
        <v>2</v>
      </c>
      <c r="H8312" s="2">
        <v>7.12</v>
      </c>
      <c r="I8312" t="str">
        <f t="shared" si="129"/>
        <v>Aug</v>
      </c>
      <c r="J8312">
        <f>YEAR(datas[[#This Row],[Order Date]])</f>
        <v>2024</v>
      </c>
    </row>
    <row r="8313" spans="1:10" ht="14.25" customHeight="1" x14ac:dyDescent="0.3">
      <c r="A8313" s="1">
        <v>45535</v>
      </c>
      <c r="B8313" s="2" t="s">
        <v>692</v>
      </c>
      <c r="C8313" s="2" t="s">
        <v>82</v>
      </c>
      <c r="D8313" s="2" t="s">
        <v>10</v>
      </c>
      <c r="E8313" s="2" t="s">
        <v>15</v>
      </c>
      <c r="F8313" s="2">
        <v>149.72999999999999</v>
      </c>
      <c r="G8313" s="2">
        <v>7</v>
      </c>
      <c r="H8313" s="2">
        <v>43.42</v>
      </c>
      <c r="I8313" t="str">
        <f t="shared" si="129"/>
        <v>Aug</v>
      </c>
      <c r="J8313">
        <f>YEAR(datas[[#This Row],[Order Date]])</f>
        <v>2024</v>
      </c>
    </row>
    <row r="8314" spans="1:10" ht="14.25" customHeight="1" x14ac:dyDescent="0.3">
      <c r="A8314" s="1">
        <v>45535</v>
      </c>
      <c r="B8314" s="2" t="s">
        <v>660</v>
      </c>
      <c r="C8314" s="2" t="s">
        <v>52</v>
      </c>
      <c r="D8314" s="2" t="s">
        <v>10</v>
      </c>
      <c r="E8314" s="2" t="s">
        <v>95</v>
      </c>
      <c r="F8314" s="2">
        <v>6.21</v>
      </c>
      <c r="G8314" s="2">
        <v>2</v>
      </c>
      <c r="H8314" s="2">
        <v>0.7</v>
      </c>
      <c r="I8314" t="str">
        <f t="shared" si="129"/>
        <v>Aug</v>
      </c>
      <c r="J8314">
        <f>YEAR(datas[[#This Row],[Order Date]])</f>
        <v>2024</v>
      </c>
    </row>
    <row r="8315" spans="1:10" ht="14.25" customHeight="1" x14ac:dyDescent="0.3">
      <c r="A8315" s="1">
        <v>45535</v>
      </c>
      <c r="B8315" s="2" t="s">
        <v>350</v>
      </c>
      <c r="C8315" s="2" t="s">
        <v>21</v>
      </c>
      <c r="D8315" s="2" t="s">
        <v>10</v>
      </c>
      <c r="E8315" s="2" t="s">
        <v>15</v>
      </c>
      <c r="F8315" s="2">
        <v>193.95</v>
      </c>
      <c r="G8315" s="2">
        <v>3</v>
      </c>
      <c r="H8315" s="2">
        <v>9.6999999999999993</v>
      </c>
      <c r="I8315" t="str">
        <f t="shared" si="129"/>
        <v>Aug</v>
      </c>
      <c r="J8315">
        <f>YEAR(datas[[#This Row],[Order Date]])</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5056-11CA-40B0-BBA8-B514351020FF}">
  <dimension ref="A2:AE2323"/>
  <sheetViews>
    <sheetView showGridLines="0" zoomScale="94" workbookViewId="0">
      <selection activeCell="AG6" sqref="AG6"/>
    </sheetView>
  </sheetViews>
  <sheetFormatPr defaultRowHeight="14.4" x14ac:dyDescent="0.3"/>
  <cols>
    <col min="1" max="1" width="11.6640625" bestFit="1" customWidth="1"/>
    <col min="2" max="2" width="2.33203125" customWidth="1"/>
    <col min="3" max="3" width="13" bestFit="1" customWidth="1"/>
    <col min="4" max="4" width="16.109375" bestFit="1" customWidth="1"/>
    <col min="5" max="5" width="13.77734375" bestFit="1" customWidth="1"/>
    <col min="6" max="6" width="10.77734375" bestFit="1" customWidth="1"/>
    <col min="7" max="7" width="10.6640625" bestFit="1" customWidth="1"/>
    <col min="8" max="8" width="10" customWidth="1"/>
    <col min="9" max="9" width="13" bestFit="1" customWidth="1"/>
    <col min="10" max="10" width="11.88671875" bestFit="1" customWidth="1"/>
    <col min="11" max="11" width="2.6640625" customWidth="1"/>
    <col min="13" max="13" width="12.21875" bestFit="1" customWidth="1"/>
    <col min="14" max="14" width="3" customWidth="1"/>
    <col min="15" max="15" width="20.44140625" bestFit="1" customWidth="1"/>
    <col min="16" max="16" width="8" bestFit="1" customWidth="1"/>
    <col min="17" max="17" width="3.44140625" customWidth="1"/>
    <col min="18" max="18" width="12.44140625" bestFit="1" customWidth="1"/>
    <col min="19" max="19" width="21.88671875" bestFit="1" customWidth="1"/>
    <col min="20" max="20" width="3.77734375" customWidth="1"/>
    <col min="21" max="21" width="17.33203125" bestFit="1" customWidth="1"/>
    <col min="22" max="22" width="11.77734375" bestFit="1" customWidth="1"/>
    <col min="23" max="23" width="3.109375" customWidth="1"/>
    <col min="24" max="24" width="16.77734375" bestFit="1" customWidth="1"/>
    <col min="25" max="25" width="12.21875" bestFit="1" customWidth="1"/>
    <col min="26" max="26" width="3.44140625" customWidth="1"/>
    <col min="27" max="27" width="13.109375" bestFit="1" customWidth="1"/>
    <col min="28" max="28" width="11.6640625" bestFit="1" customWidth="1"/>
    <col min="29" max="29" width="4.44140625" customWidth="1"/>
    <col min="30" max="30" width="13" bestFit="1" customWidth="1"/>
    <col min="31" max="31" width="11.77734375" bestFit="1" customWidth="1"/>
  </cols>
  <sheetData>
    <row r="2" spans="1:31" ht="15.6" x14ac:dyDescent="0.3">
      <c r="A2" s="12" t="s">
        <v>873</v>
      </c>
    </row>
    <row r="3" spans="1:31" ht="15.6" x14ac:dyDescent="0.3">
      <c r="A3" t="s">
        <v>868</v>
      </c>
      <c r="C3" s="12" t="s">
        <v>870</v>
      </c>
      <c r="I3" s="12" t="s">
        <v>875</v>
      </c>
      <c r="J3" s="13"/>
    </row>
    <row r="4" spans="1:31" x14ac:dyDescent="0.3">
      <c r="A4" s="9">
        <v>1928887.8599999624</v>
      </c>
      <c r="C4" s="6" t="s">
        <v>869</v>
      </c>
      <c r="D4" s="6" t="s">
        <v>894</v>
      </c>
      <c r="I4" s="6" t="s">
        <v>871</v>
      </c>
      <c r="J4" t="s">
        <v>868</v>
      </c>
      <c r="L4" s="8" t="s">
        <v>3</v>
      </c>
      <c r="M4" s="8" t="s">
        <v>5</v>
      </c>
      <c r="O4" s="8" t="s">
        <v>1</v>
      </c>
      <c r="P4" s="8" t="s">
        <v>867</v>
      </c>
      <c r="R4" s="14" t="s">
        <v>877</v>
      </c>
      <c r="S4" s="14" t="s">
        <v>876</v>
      </c>
      <c r="AA4" s="8"/>
    </row>
    <row r="5" spans="1:31" x14ac:dyDescent="0.3">
      <c r="C5" s="6" t="s">
        <v>871</v>
      </c>
      <c r="D5" t="s">
        <v>26</v>
      </c>
      <c r="E5" t="s">
        <v>10</v>
      </c>
      <c r="F5" t="s">
        <v>28</v>
      </c>
      <c r="G5" t="s">
        <v>872</v>
      </c>
      <c r="I5" s="7" t="s">
        <v>29</v>
      </c>
      <c r="J5" s="9">
        <v>279464.4200000001</v>
      </c>
      <c r="L5" t="str">
        <f>I5</f>
        <v>Phones</v>
      </c>
      <c r="M5" s="10">
        <f>GETPIVOTDATA("Sales",$I$4,"Sub-Category",L5)</f>
        <v>279464.4200000001</v>
      </c>
      <c r="O5" s="3" t="s">
        <v>8</v>
      </c>
      <c r="P5">
        <v>2021</v>
      </c>
      <c r="R5" s="6" t="s">
        <v>871</v>
      </c>
      <c r="S5" t="s">
        <v>878</v>
      </c>
      <c r="U5" s="14" t="s">
        <v>879</v>
      </c>
      <c r="AA5" s="14" t="s">
        <v>880</v>
      </c>
      <c r="AB5" s="13"/>
      <c r="AD5" s="14" t="s">
        <v>881</v>
      </c>
    </row>
    <row r="6" spans="1:31" x14ac:dyDescent="0.3">
      <c r="C6" s="7">
        <v>2021</v>
      </c>
      <c r="D6" s="9">
        <v>5469.7699999999977</v>
      </c>
      <c r="E6" s="9">
        <v>22593.849999999966</v>
      </c>
      <c r="F6" s="9">
        <v>21492.950000000008</v>
      </c>
      <c r="G6" s="9">
        <v>49556.569999999971</v>
      </c>
      <c r="I6" s="7" t="s">
        <v>27</v>
      </c>
      <c r="J6" s="9">
        <v>277058.98000000045</v>
      </c>
      <c r="L6" t="str">
        <f t="shared" ref="L6:L21" si="0">I6</f>
        <v>Chairs</v>
      </c>
      <c r="M6" s="10">
        <f t="shared" ref="M6:M21" si="1">GETPIVOTDATA("Sales",$I$4,"Sub-Category",L6)</f>
        <v>277058.98000000045</v>
      </c>
      <c r="O6" t="s">
        <v>12</v>
      </c>
      <c r="P6">
        <v>2021</v>
      </c>
      <c r="R6" s="7">
        <v>2021</v>
      </c>
      <c r="S6">
        <v>595</v>
      </c>
      <c r="U6" s="6" t="s">
        <v>871</v>
      </c>
      <c r="V6" t="s">
        <v>868</v>
      </c>
      <c r="X6" s="8" t="s">
        <v>2</v>
      </c>
      <c r="Y6" s="8" t="s">
        <v>5</v>
      </c>
      <c r="AA6" s="6" t="s">
        <v>871</v>
      </c>
      <c r="AB6" t="s">
        <v>869</v>
      </c>
      <c r="AD6" s="6" t="s">
        <v>871</v>
      </c>
      <c r="AE6" t="s">
        <v>868</v>
      </c>
    </row>
    <row r="7" spans="1:31" ht="15.6" x14ac:dyDescent="0.3">
      <c r="A7" s="12" t="s">
        <v>874</v>
      </c>
      <c r="C7" s="7">
        <v>2022</v>
      </c>
      <c r="D7" s="9">
        <v>3015.170000000001</v>
      </c>
      <c r="E7" s="9">
        <v>25099.55000000001</v>
      </c>
      <c r="F7" s="9">
        <v>33503.970000000016</v>
      </c>
      <c r="G7" s="9">
        <v>61618.690000000031</v>
      </c>
      <c r="I7" s="7" t="s">
        <v>15</v>
      </c>
      <c r="J7" s="9">
        <v>190679.61000000019</v>
      </c>
      <c r="L7" t="str">
        <f t="shared" si="0"/>
        <v>Storage</v>
      </c>
      <c r="M7" s="10">
        <f t="shared" si="1"/>
        <v>190679.61000000019</v>
      </c>
      <c r="O7" t="s">
        <v>17</v>
      </c>
      <c r="P7">
        <v>2021</v>
      </c>
      <c r="R7" s="7">
        <v>2022</v>
      </c>
      <c r="S7">
        <v>573</v>
      </c>
      <c r="U7" s="7" t="s">
        <v>198</v>
      </c>
      <c r="V7" s="11">
        <v>18299.32</v>
      </c>
      <c r="X7" t="str">
        <f>U7</f>
        <v>Alabama</v>
      </c>
      <c r="Y7" s="10">
        <f>GETPIVOTDATA("Sales",$U$6,"State",X7)</f>
        <v>18299.32</v>
      </c>
      <c r="AA7" s="7" t="s">
        <v>688</v>
      </c>
      <c r="AB7" s="9">
        <v>3883.0899999999997</v>
      </c>
      <c r="AD7" s="7" t="s">
        <v>882</v>
      </c>
      <c r="AE7" s="15">
        <v>94924.87</v>
      </c>
    </row>
    <row r="8" spans="1:31" x14ac:dyDescent="0.3">
      <c r="A8" t="s">
        <v>869</v>
      </c>
      <c r="C8" s="7">
        <v>2023</v>
      </c>
      <c r="D8" s="9">
        <v>6959.9299999999967</v>
      </c>
      <c r="E8" s="9">
        <v>35052.909999999989</v>
      </c>
      <c r="F8" s="9">
        <v>39774.099999999984</v>
      </c>
      <c r="G8" s="9">
        <v>81786.939999999973</v>
      </c>
      <c r="I8" s="7" t="s">
        <v>16</v>
      </c>
      <c r="J8" s="9">
        <v>169089.72999999995</v>
      </c>
      <c r="L8" t="str">
        <f t="shared" si="0"/>
        <v>Binders</v>
      </c>
      <c r="M8" s="10">
        <f t="shared" si="1"/>
        <v>169089.72999999995</v>
      </c>
      <c r="O8" t="s">
        <v>20</v>
      </c>
      <c r="P8">
        <v>2021</v>
      </c>
      <c r="R8" s="7">
        <v>2023</v>
      </c>
      <c r="S8">
        <v>638</v>
      </c>
      <c r="U8" s="7" t="s">
        <v>55</v>
      </c>
      <c r="V8" s="11">
        <v>28978.850000000006</v>
      </c>
      <c r="X8" t="str">
        <f t="shared" ref="X8:X55" si="2">U8</f>
        <v>Arizona</v>
      </c>
      <c r="Y8" s="10">
        <f t="shared" ref="Y8:Y55" si="3">GETPIVOTDATA("Sales",$U$6,"State",X8)</f>
        <v>28978.850000000006</v>
      </c>
      <c r="AA8" s="7" t="s">
        <v>651</v>
      </c>
      <c r="AB8" s="9">
        <v>5202.84</v>
      </c>
      <c r="AD8" s="7" t="s">
        <v>883</v>
      </c>
      <c r="AE8" s="15">
        <v>59640.160000000018</v>
      </c>
    </row>
    <row r="9" spans="1:31" x14ac:dyDescent="0.3">
      <c r="A9" s="9">
        <v>247961.52000000037</v>
      </c>
      <c r="C9" s="7">
        <v>2024</v>
      </c>
      <c r="D9" s="9">
        <v>2443.7999999999993</v>
      </c>
      <c r="E9" s="9">
        <v>25464.809999999976</v>
      </c>
      <c r="F9" s="9">
        <v>27090.710000000028</v>
      </c>
      <c r="G9" s="9">
        <v>54999.320000000007</v>
      </c>
      <c r="I9" s="7" t="s">
        <v>73</v>
      </c>
      <c r="J9" s="9">
        <v>167672.76</v>
      </c>
      <c r="L9" t="str">
        <f t="shared" si="0"/>
        <v>Tables</v>
      </c>
      <c r="M9" s="10">
        <f t="shared" si="1"/>
        <v>167672.76</v>
      </c>
      <c r="O9" t="s">
        <v>22</v>
      </c>
      <c r="P9">
        <v>2021</v>
      </c>
      <c r="R9" s="7">
        <v>2024</v>
      </c>
      <c r="S9">
        <v>513</v>
      </c>
      <c r="U9" s="7" t="s">
        <v>57</v>
      </c>
      <c r="V9" s="11">
        <v>9177.42</v>
      </c>
      <c r="X9" t="str">
        <f t="shared" si="2"/>
        <v>Arkansas</v>
      </c>
      <c r="Y9" s="10">
        <f t="shared" si="3"/>
        <v>9177.42</v>
      </c>
      <c r="AA9" s="7" t="s">
        <v>92</v>
      </c>
      <c r="AB9" s="9">
        <v>5757.42</v>
      </c>
      <c r="AD9" s="7" t="s">
        <v>884</v>
      </c>
      <c r="AE9" s="15">
        <v>205005.51000000036</v>
      </c>
    </row>
    <row r="10" spans="1:31" x14ac:dyDescent="0.3">
      <c r="C10" s="7" t="s">
        <v>872</v>
      </c>
      <c r="D10" s="9">
        <v>17888.669999999995</v>
      </c>
      <c r="E10" s="9">
        <v>108211.11999999994</v>
      </c>
      <c r="F10" s="9">
        <v>121861.73000000004</v>
      </c>
      <c r="G10" s="9">
        <v>247961.52</v>
      </c>
      <c r="I10" s="7" t="s">
        <v>136</v>
      </c>
      <c r="J10" s="9">
        <v>166777.78000000003</v>
      </c>
      <c r="L10" t="str">
        <f t="shared" si="0"/>
        <v>Machines</v>
      </c>
      <c r="M10" s="10">
        <f t="shared" si="1"/>
        <v>166777.78000000003</v>
      </c>
      <c r="O10" t="s">
        <v>24</v>
      </c>
      <c r="P10">
        <v>2021</v>
      </c>
      <c r="R10" s="7" t="s">
        <v>872</v>
      </c>
      <c r="S10">
        <v>2319</v>
      </c>
      <c r="U10" s="7" t="s">
        <v>21</v>
      </c>
      <c r="V10" s="11">
        <v>390145.54000000079</v>
      </c>
      <c r="X10" t="str">
        <f t="shared" si="2"/>
        <v>California</v>
      </c>
      <c r="Y10" s="10">
        <f t="shared" si="3"/>
        <v>390145.54000000079</v>
      </c>
      <c r="AA10" s="7" t="s">
        <v>819</v>
      </c>
      <c r="AB10" s="9">
        <v>6939.17</v>
      </c>
      <c r="AD10" s="7" t="s">
        <v>885</v>
      </c>
      <c r="AE10" s="15">
        <v>137480.78999999989</v>
      </c>
    </row>
    <row r="11" spans="1:31" x14ac:dyDescent="0.3">
      <c r="I11" s="7" t="s">
        <v>34</v>
      </c>
      <c r="J11" s="9">
        <v>139241.71000000002</v>
      </c>
      <c r="L11" t="str">
        <f t="shared" si="0"/>
        <v>Accessories</v>
      </c>
      <c r="M11" s="10">
        <f t="shared" si="1"/>
        <v>139241.71000000002</v>
      </c>
      <c r="O11" t="s">
        <v>31</v>
      </c>
      <c r="P11">
        <v>2021</v>
      </c>
      <c r="U11" s="7" t="s">
        <v>126</v>
      </c>
      <c r="V11" s="11">
        <v>27113.920000000002</v>
      </c>
      <c r="X11" t="str">
        <f t="shared" si="2"/>
        <v>Colorado</v>
      </c>
      <c r="Y11" s="10">
        <f t="shared" si="3"/>
        <v>27113.920000000002</v>
      </c>
      <c r="AA11" s="7" t="s">
        <v>570</v>
      </c>
      <c r="AB11" s="9">
        <v>8981.32</v>
      </c>
      <c r="AD11" s="7" t="s">
        <v>886</v>
      </c>
      <c r="AE11" s="15">
        <v>155028.82999999993</v>
      </c>
    </row>
    <row r="12" spans="1:31" x14ac:dyDescent="0.3">
      <c r="I12" s="7" t="s">
        <v>243</v>
      </c>
      <c r="J12" s="9">
        <v>118968.23999999999</v>
      </c>
      <c r="L12" t="str">
        <f t="shared" si="0"/>
        <v>Copiers</v>
      </c>
      <c r="M12" s="10">
        <f t="shared" si="1"/>
        <v>118968.23999999999</v>
      </c>
      <c r="O12" t="s">
        <v>33</v>
      </c>
      <c r="P12">
        <v>2021</v>
      </c>
      <c r="U12" s="7" t="s">
        <v>248</v>
      </c>
      <c r="V12" s="11">
        <v>11471.419999999998</v>
      </c>
      <c r="X12" t="str">
        <f t="shared" si="2"/>
        <v>Connecticut</v>
      </c>
      <c r="Y12" s="10">
        <f t="shared" si="3"/>
        <v>11471.419999999998</v>
      </c>
      <c r="AA12" s="7" t="s">
        <v>872</v>
      </c>
      <c r="AB12" s="9">
        <v>30763.84</v>
      </c>
      <c r="AD12" s="7" t="s">
        <v>887</v>
      </c>
      <c r="AE12" s="15">
        <v>152718.72000000006</v>
      </c>
    </row>
    <row r="13" spans="1:31" x14ac:dyDescent="0.3">
      <c r="A13" s="10">
        <f>GETPIVOTDATA("Sales",$A$3)</f>
        <v>1928887.8599999624</v>
      </c>
      <c r="I13" s="7" t="s">
        <v>45</v>
      </c>
      <c r="J13" s="9">
        <v>101387.67000000013</v>
      </c>
      <c r="L13" t="str">
        <f t="shared" si="0"/>
        <v>Bookcases</v>
      </c>
      <c r="M13" s="10">
        <f t="shared" si="1"/>
        <v>101387.67000000013</v>
      </c>
      <c r="O13" t="s">
        <v>35</v>
      </c>
      <c r="P13">
        <v>2021</v>
      </c>
      <c r="U13" s="7" t="s">
        <v>38</v>
      </c>
      <c r="V13" s="11">
        <v>16302.24</v>
      </c>
      <c r="X13" t="str">
        <f t="shared" si="2"/>
        <v>Delaware</v>
      </c>
      <c r="Y13" s="10">
        <f t="shared" si="3"/>
        <v>16302.24</v>
      </c>
      <c r="AD13" s="7" t="s">
        <v>888</v>
      </c>
      <c r="AE13" s="15">
        <v>147238.11000000004</v>
      </c>
    </row>
    <row r="14" spans="1:31" x14ac:dyDescent="0.3">
      <c r="I14" s="7" t="s">
        <v>53</v>
      </c>
      <c r="J14" s="9">
        <v>87846.099999999991</v>
      </c>
      <c r="L14" t="str">
        <f t="shared" si="0"/>
        <v>Appliances</v>
      </c>
      <c r="M14" s="10">
        <f t="shared" si="1"/>
        <v>87846.099999999991</v>
      </c>
      <c r="O14" t="s">
        <v>37</v>
      </c>
      <c r="P14">
        <v>2021</v>
      </c>
      <c r="U14" s="7" t="s">
        <v>710</v>
      </c>
      <c r="V14" s="11">
        <v>2865.0199999999995</v>
      </c>
      <c r="X14" t="str">
        <f t="shared" si="2"/>
        <v>District of Columbia</v>
      </c>
      <c r="Y14" s="10">
        <f t="shared" si="3"/>
        <v>2865.0199999999995</v>
      </c>
      <c r="AD14" s="7" t="s">
        <v>889</v>
      </c>
      <c r="AE14" s="15">
        <v>159043.99000000008</v>
      </c>
    </row>
    <row r="15" spans="1:31" x14ac:dyDescent="0.3">
      <c r="I15" s="7" t="s">
        <v>32</v>
      </c>
      <c r="J15" s="9">
        <v>76222.689999999944</v>
      </c>
      <c r="L15" t="str">
        <f t="shared" si="0"/>
        <v>Furnishings</v>
      </c>
      <c r="M15" s="10">
        <f t="shared" si="1"/>
        <v>76222.689999999944</v>
      </c>
      <c r="O15" t="s">
        <v>39</v>
      </c>
      <c r="P15">
        <v>2021</v>
      </c>
      <c r="U15" s="7" t="s">
        <v>64</v>
      </c>
      <c r="V15" s="11">
        <v>79303.609999999986</v>
      </c>
      <c r="X15" t="str">
        <f t="shared" si="2"/>
        <v>Florida</v>
      </c>
      <c r="Y15" s="10">
        <f t="shared" si="3"/>
        <v>79303.609999999986</v>
      </c>
      <c r="AD15" s="7" t="s">
        <v>890</v>
      </c>
      <c r="AE15" s="15">
        <v>219783.30000000057</v>
      </c>
    </row>
    <row r="16" spans="1:31" x14ac:dyDescent="0.3">
      <c r="I16" s="7" t="s">
        <v>11</v>
      </c>
      <c r="J16" s="9">
        <v>64529.990000000034</v>
      </c>
      <c r="L16" t="str">
        <f t="shared" si="0"/>
        <v>Paper</v>
      </c>
      <c r="M16" s="10">
        <f t="shared" si="1"/>
        <v>64529.990000000034</v>
      </c>
      <c r="O16" t="s">
        <v>42</v>
      </c>
      <c r="P16">
        <v>2021</v>
      </c>
      <c r="U16" s="7" t="s">
        <v>23</v>
      </c>
      <c r="V16" s="11">
        <v>46346.2</v>
      </c>
      <c r="X16" t="str">
        <f t="shared" si="2"/>
        <v>Georgia</v>
      </c>
      <c r="Y16" s="10">
        <f t="shared" si="3"/>
        <v>46346.2</v>
      </c>
      <c r="AD16" s="7" t="s">
        <v>891</v>
      </c>
      <c r="AE16" s="15">
        <v>122546.06999999989</v>
      </c>
    </row>
    <row r="17" spans="1:31" x14ac:dyDescent="0.3">
      <c r="A17" s="10">
        <f>GETPIVOTDATA("Profit",$A$8)</f>
        <v>247961.52000000037</v>
      </c>
      <c r="I17" s="7" t="s">
        <v>95</v>
      </c>
      <c r="J17" s="9">
        <v>38554.810000000027</v>
      </c>
      <c r="L17" t="str">
        <f t="shared" si="0"/>
        <v>Supplies</v>
      </c>
      <c r="M17" s="10">
        <f t="shared" si="1"/>
        <v>38554.810000000027</v>
      </c>
      <c r="O17" t="s">
        <v>44</v>
      </c>
      <c r="P17">
        <v>2021</v>
      </c>
      <c r="U17" s="7" t="s">
        <v>207</v>
      </c>
      <c r="V17" s="11">
        <v>3963.4700000000007</v>
      </c>
      <c r="X17" t="str">
        <f t="shared" si="2"/>
        <v>Idaho</v>
      </c>
      <c r="Y17" s="10">
        <f t="shared" si="3"/>
        <v>3963.4700000000007</v>
      </c>
      <c r="AD17" s="7" t="s">
        <v>892</v>
      </c>
      <c r="AE17" s="15">
        <v>234013.28000000012</v>
      </c>
    </row>
    <row r="18" spans="1:31" x14ac:dyDescent="0.3">
      <c r="I18" s="7" t="s">
        <v>19</v>
      </c>
      <c r="J18" s="9">
        <v>23145.500000000011</v>
      </c>
      <c r="L18" t="str">
        <f t="shared" si="0"/>
        <v>Art</v>
      </c>
      <c r="M18" s="10">
        <f t="shared" si="1"/>
        <v>23145.500000000011</v>
      </c>
      <c r="O18" t="s">
        <v>46</v>
      </c>
      <c r="P18">
        <v>2021</v>
      </c>
      <c r="U18" s="7" t="s">
        <v>13</v>
      </c>
      <c r="V18" s="11">
        <v>68565.030000000072</v>
      </c>
      <c r="X18" t="str">
        <f t="shared" si="2"/>
        <v>Illinois</v>
      </c>
      <c r="Y18" s="10">
        <f t="shared" si="3"/>
        <v>68565.030000000072</v>
      </c>
      <c r="AD18" s="7" t="s">
        <v>893</v>
      </c>
      <c r="AE18" s="15">
        <v>241464.23000000027</v>
      </c>
    </row>
    <row r="19" spans="1:31" x14ac:dyDescent="0.3">
      <c r="I19" s="7" t="s">
        <v>41</v>
      </c>
      <c r="J19" s="9">
        <v>14717.39</v>
      </c>
      <c r="L19" t="str">
        <f t="shared" si="0"/>
        <v>Envelopes</v>
      </c>
      <c r="M19" s="10">
        <f t="shared" si="1"/>
        <v>14717.39</v>
      </c>
      <c r="O19" t="s">
        <v>48</v>
      </c>
      <c r="P19">
        <v>2021</v>
      </c>
      <c r="U19" s="7" t="s">
        <v>68</v>
      </c>
      <c r="V19" s="11">
        <v>47809.549999999996</v>
      </c>
      <c r="X19" t="str">
        <f t="shared" si="2"/>
        <v>Indiana</v>
      </c>
      <c r="Y19" s="10">
        <f t="shared" si="3"/>
        <v>47809.549999999996</v>
      </c>
      <c r="AD19" s="7" t="s">
        <v>872</v>
      </c>
      <c r="AE19" s="15">
        <v>1928887.860000001</v>
      </c>
    </row>
    <row r="20" spans="1:31" x14ac:dyDescent="0.3">
      <c r="I20" s="7" t="s">
        <v>14</v>
      </c>
      <c r="J20" s="9">
        <v>11045.550000000012</v>
      </c>
      <c r="L20" t="str">
        <f t="shared" si="0"/>
        <v>Labels</v>
      </c>
      <c r="M20" s="10">
        <f t="shared" si="1"/>
        <v>11045.550000000012</v>
      </c>
      <c r="O20" t="s">
        <v>49</v>
      </c>
      <c r="P20">
        <v>2021</v>
      </c>
      <c r="U20" s="7" t="s">
        <v>165</v>
      </c>
      <c r="V20" s="11">
        <v>4476.41</v>
      </c>
      <c r="X20" t="str">
        <f t="shared" si="2"/>
        <v>Iowa</v>
      </c>
      <c r="Y20" s="10">
        <f t="shared" si="3"/>
        <v>4476.41</v>
      </c>
    </row>
    <row r="21" spans="1:31" x14ac:dyDescent="0.3">
      <c r="I21" s="7" t="s">
        <v>30</v>
      </c>
      <c r="J21" s="9">
        <v>2484.9300000000003</v>
      </c>
      <c r="L21" t="str">
        <f t="shared" si="0"/>
        <v>Fasteners</v>
      </c>
      <c r="M21" s="10">
        <f t="shared" si="1"/>
        <v>2484.9300000000003</v>
      </c>
      <c r="O21" t="s">
        <v>50</v>
      </c>
      <c r="P21">
        <v>2021</v>
      </c>
      <c r="U21" s="7" t="s">
        <v>469</v>
      </c>
      <c r="V21" s="11">
        <v>2835.0000000000005</v>
      </c>
      <c r="X21" t="str">
        <f t="shared" si="2"/>
        <v>Kansas</v>
      </c>
      <c r="Y21" s="10">
        <f t="shared" si="3"/>
        <v>2835.0000000000005</v>
      </c>
    </row>
    <row r="22" spans="1:31" x14ac:dyDescent="0.3">
      <c r="I22" s="7" t="s">
        <v>872</v>
      </c>
      <c r="J22" s="9">
        <v>1928887.8600000008</v>
      </c>
      <c r="O22" t="s">
        <v>51</v>
      </c>
      <c r="P22">
        <v>2021</v>
      </c>
      <c r="U22" s="7" t="s">
        <v>25</v>
      </c>
      <c r="V22" s="11">
        <v>23650.589999999982</v>
      </c>
      <c r="X22" t="str">
        <f t="shared" si="2"/>
        <v>Kentucky</v>
      </c>
      <c r="Y22" s="10">
        <f t="shared" si="3"/>
        <v>23650.589999999982</v>
      </c>
    </row>
    <row r="23" spans="1:31" x14ac:dyDescent="0.3">
      <c r="O23" t="s">
        <v>54</v>
      </c>
      <c r="P23">
        <v>2021</v>
      </c>
      <c r="U23" s="7" t="s">
        <v>40</v>
      </c>
      <c r="V23" s="11">
        <v>5297.05</v>
      </c>
      <c r="X23" t="str">
        <f t="shared" si="2"/>
        <v>Louisiana</v>
      </c>
      <c r="Y23" s="10">
        <f t="shared" si="3"/>
        <v>5297.05</v>
      </c>
    </row>
    <row r="24" spans="1:31" x14ac:dyDescent="0.3">
      <c r="O24" t="s">
        <v>56</v>
      </c>
      <c r="P24">
        <v>2021</v>
      </c>
      <c r="U24" s="7" t="s">
        <v>399</v>
      </c>
      <c r="V24" s="11">
        <v>1270.5300000000002</v>
      </c>
      <c r="X24" t="str">
        <f t="shared" si="2"/>
        <v>Maine</v>
      </c>
      <c r="Y24" s="10">
        <f t="shared" si="3"/>
        <v>1270.5300000000002</v>
      </c>
    </row>
    <row r="25" spans="1:31" x14ac:dyDescent="0.3">
      <c r="O25" t="s">
        <v>58</v>
      </c>
      <c r="P25">
        <v>2021</v>
      </c>
      <c r="U25" s="7" t="s">
        <v>215</v>
      </c>
      <c r="V25" s="11">
        <v>18580.899999999998</v>
      </c>
      <c r="X25" t="str">
        <f t="shared" si="2"/>
        <v>Maryland</v>
      </c>
      <c r="Y25" s="10">
        <f t="shared" si="3"/>
        <v>18580.899999999998</v>
      </c>
    </row>
    <row r="26" spans="1:31" x14ac:dyDescent="0.3">
      <c r="O26" t="s">
        <v>59</v>
      </c>
      <c r="P26">
        <v>2021</v>
      </c>
      <c r="U26" s="7" t="s">
        <v>181</v>
      </c>
      <c r="V26" s="11">
        <v>23040.059999999998</v>
      </c>
      <c r="X26" t="str">
        <f t="shared" si="2"/>
        <v>Massachusetts</v>
      </c>
      <c r="Y26" s="10">
        <f t="shared" si="3"/>
        <v>23040.059999999998</v>
      </c>
    </row>
    <row r="27" spans="1:31" x14ac:dyDescent="0.3">
      <c r="O27" t="s">
        <v>61</v>
      </c>
      <c r="P27">
        <v>2021</v>
      </c>
      <c r="U27" s="7" t="s">
        <v>60</v>
      </c>
      <c r="V27" s="11">
        <v>66559.090000000011</v>
      </c>
      <c r="X27" t="str">
        <f t="shared" si="2"/>
        <v>Michigan</v>
      </c>
      <c r="Y27" s="10">
        <f t="shared" si="3"/>
        <v>66559.090000000011</v>
      </c>
    </row>
    <row r="28" spans="1:31" x14ac:dyDescent="0.3">
      <c r="O28" t="s">
        <v>63</v>
      </c>
      <c r="P28">
        <v>2021</v>
      </c>
      <c r="U28" s="7" t="s">
        <v>140</v>
      </c>
      <c r="V28" s="11">
        <v>25069.119999999992</v>
      </c>
      <c r="X28" t="str">
        <f t="shared" si="2"/>
        <v>Minnesota</v>
      </c>
      <c r="Y28" s="10">
        <f t="shared" si="3"/>
        <v>25069.119999999992</v>
      </c>
    </row>
    <row r="29" spans="1:31" x14ac:dyDescent="0.3">
      <c r="O29" t="s">
        <v>65</v>
      </c>
      <c r="P29">
        <v>2021</v>
      </c>
      <c r="U29" s="7" t="s">
        <v>143</v>
      </c>
      <c r="V29" s="11">
        <v>9528.4400000000023</v>
      </c>
      <c r="X29" t="str">
        <f t="shared" si="2"/>
        <v>Mississippi</v>
      </c>
      <c r="Y29" s="10">
        <f t="shared" si="3"/>
        <v>9528.4400000000023</v>
      </c>
    </row>
    <row r="30" spans="1:31" x14ac:dyDescent="0.3">
      <c r="O30" t="s">
        <v>67</v>
      </c>
      <c r="P30">
        <v>2021</v>
      </c>
      <c r="U30" s="7" t="s">
        <v>91</v>
      </c>
      <c r="V30" s="11">
        <v>18470.039999999997</v>
      </c>
      <c r="X30" t="str">
        <f t="shared" si="2"/>
        <v>Missouri</v>
      </c>
      <c r="Y30" s="10">
        <f t="shared" si="3"/>
        <v>18470.039999999997</v>
      </c>
    </row>
    <row r="31" spans="1:31" x14ac:dyDescent="0.3">
      <c r="O31" t="s">
        <v>69</v>
      </c>
      <c r="P31">
        <v>2021</v>
      </c>
      <c r="U31" s="7" t="s">
        <v>210</v>
      </c>
      <c r="V31" s="11">
        <v>5549.4500000000007</v>
      </c>
      <c r="X31" t="str">
        <f t="shared" si="2"/>
        <v>Montana</v>
      </c>
      <c r="Y31" s="10">
        <f t="shared" si="3"/>
        <v>5549.4500000000007</v>
      </c>
    </row>
    <row r="32" spans="1:31" x14ac:dyDescent="0.3">
      <c r="O32" t="s">
        <v>70</v>
      </c>
      <c r="P32">
        <v>2021</v>
      </c>
      <c r="U32" s="7" t="s">
        <v>381</v>
      </c>
      <c r="V32" s="11">
        <v>4063.0600000000004</v>
      </c>
      <c r="X32" t="str">
        <f t="shared" si="2"/>
        <v>Nebraska</v>
      </c>
      <c r="Y32" s="10">
        <f t="shared" si="3"/>
        <v>4063.0600000000004</v>
      </c>
    </row>
    <row r="33" spans="15:25" x14ac:dyDescent="0.3">
      <c r="O33" t="s">
        <v>72</v>
      </c>
      <c r="P33">
        <v>2021</v>
      </c>
      <c r="U33" s="7" t="s">
        <v>66</v>
      </c>
      <c r="V33" s="11">
        <v>15059.500000000002</v>
      </c>
      <c r="X33" t="str">
        <f t="shared" si="2"/>
        <v>Nevada</v>
      </c>
      <c r="Y33" s="10">
        <f t="shared" si="3"/>
        <v>15059.500000000002</v>
      </c>
    </row>
    <row r="34" spans="15:25" x14ac:dyDescent="0.3">
      <c r="O34" t="s">
        <v>74</v>
      </c>
      <c r="P34">
        <v>2021</v>
      </c>
      <c r="U34" s="7" t="s">
        <v>278</v>
      </c>
      <c r="V34" s="11">
        <v>7210.3</v>
      </c>
      <c r="X34" t="str">
        <f t="shared" si="2"/>
        <v>New Hampshire</v>
      </c>
      <c r="Y34" s="10">
        <f t="shared" si="3"/>
        <v>7210.3</v>
      </c>
    </row>
    <row r="35" spans="15:25" x14ac:dyDescent="0.3">
      <c r="O35" t="s">
        <v>76</v>
      </c>
      <c r="P35">
        <v>2021</v>
      </c>
      <c r="U35" s="7" t="s">
        <v>87</v>
      </c>
      <c r="V35" s="11">
        <v>29833.009999999995</v>
      </c>
      <c r="X35" t="str">
        <f t="shared" si="2"/>
        <v>New Jersey</v>
      </c>
      <c r="Y35" s="10">
        <f t="shared" si="3"/>
        <v>29833.009999999995</v>
      </c>
    </row>
    <row r="36" spans="15:25" x14ac:dyDescent="0.3">
      <c r="O36" t="s">
        <v>77</v>
      </c>
      <c r="P36">
        <v>2021</v>
      </c>
      <c r="U36" s="7" t="s">
        <v>167</v>
      </c>
      <c r="V36" s="11">
        <v>3519.2000000000003</v>
      </c>
      <c r="X36" t="str">
        <f t="shared" si="2"/>
        <v>New Mexico</v>
      </c>
      <c r="Y36" s="10">
        <f t="shared" si="3"/>
        <v>3519.2000000000003</v>
      </c>
    </row>
    <row r="37" spans="15:25" x14ac:dyDescent="0.3">
      <c r="O37" t="s">
        <v>78</v>
      </c>
      <c r="P37">
        <v>2021</v>
      </c>
      <c r="U37" s="7" t="s">
        <v>75</v>
      </c>
      <c r="V37" s="11">
        <v>246517.74000000046</v>
      </c>
      <c r="X37" t="str">
        <f t="shared" si="2"/>
        <v>New York</v>
      </c>
      <c r="Y37" s="10">
        <f t="shared" si="3"/>
        <v>246517.74000000046</v>
      </c>
    </row>
    <row r="38" spans="15:25" x14ac:dyDescent="0.3">
      <c r="O38" t="s">
        <v>80</v>
      </c>
      <c r="P38">
        <v>2021</v>
      </c>
      <c r="U38" s="7" t="s">
        <v>115</v>
      </c>
      <c r="V38" s="11">
        <v>37450.26999999999</v>
      </c>
      <c r="X38" t="str">
        <f t="shared" si="2"/>
        <v>North Carolina</v>
      </c>
      <c r="Y38" s="10">
        <f t="shared" si="3"/>
        <v>37450.26999999999</v>
      </c>
    </row>
    <row r="39" spans="15:25" x14ac:dyDescent="0.3">
      <c r="O39" t="s">
        <v>81</v>
      </c>
      <c r="P39">
        <v>2021</v>
      </c>
      <c r="U39" s="7" t="s">
        <v>861</v>
      </c>
      <c r="V39" s="11">
        <v>891.53</v>
      </c>
      <c r="X39" t="str">
        <f t="shared" si="2"/>
        <v>North Dakota</v>
      </c>
      <c r="Y39" s="10">
        <f t="shared" si="3"/>
        <v>891.53</v>
      </c>
    </row>
    <row r="40" spans="15:25" x14ac:dyDescent="0.3">
      <c r="O40" t="s">
        <v>83</v>
      </c>
      <c r="P40">
        <v>2021</v>
      </c>
      <c r="U40" s="7" t="s">
        <v>47</v>
      </c>
      <c r="V40" s="11">
        <v>66407.170000000027</v>
      </c>
      <c r="X40" t="str">
        <f t="shared" si="2"/>
        <v>Ohio</v>
      </c>
      <c r="Y40" s="10">
        <f t="shared" si="3"/>
        <v>66407.170000000027</v>
      </c>
    </row>
    <row r="41" spans="15:25" x14ac:dyDescent="0.3">
      <c r="O41" t="s">
        <v>84</v>
      </c>
      <c r="P41">
        <v>2021</v>
      </c>
      <c r="U41" s="7" t="s">
        <v>329</v>
      </c>
      <c r="V41" s="11">
        <v>17021.929999999997</v>
      </c>
      <c r="X41" t="str">
        <f t="shared" si="2"/>
        <v>Oklahoma</v>
      </c>
      <c r="Y41" s="10">
        <f t="shared" si="3"/>
        <v>17021.929999999997</v>
      </c>
    </row>
    <row r="42" spans="15:25" x14ac:dyDescent="0.3">
      <c r="O42" t="s">
        <v>85</v>
      </c>
      <c r="P42">
        <v>2021</v>
      </c>
      <c r="U42" s="7" t="s">
        <v>52</v>
      </c>
      <c r="V42" s="11">
        <v>15189.980000000009</v>
      </c>
      <c r="X42" t="str">
        <f t="shared" si="2"/>
        <v>Oregon</v>
      </c>
      <c r="Y42" s="10">
        <f t="shared" si="3"/>
        <v>15189.980000000009</v>
      </c>
    </row>
    <row r="43" spans="15:25" x14ac:dyDescent="0.3">
      <c r="O43" t="s">
        <v>86</v>
      </c>
      <c r="P43">
        <v>2021</v>
      </c>
      <c r="U43" s="7" t="s">
        <v>18</v>
      </c>
      <c r="V43" s="11">
        <v>95494.859999999986</v>
      </c>
      <c r="X43" t="str">
        <f t="shared" si="2"/>
        <v>Pennsylvania</v>
      </c>
      <c r="Y43" s="10">
        <f t="shared" si="3"/>
        <v>95494.859999999986</v>
      </c>
    </row>
    <row r="44" spans="15:25" x14ac:dyDescent="0.3">
      <c r="O44" t="s">
        <v>88</v>
      </c>
      <c r="P44">
        <v>2021</v>
      </c>
      <c r="U44" s="7" t="s">
        <v>553</v>
      </c>
      <c r="V44" s="11">
        <v>19695.419999999998</v>
      </c>
      <c r="X44" t="str">
        <f t="shared" si="2"/>
        <v>Rhode Island</v>
      </c>
      <c r="Y44" s="10">
        <f t="shared" si="3"/>
        <v>19695.419999999998</v>
      </c>
    </row>
    <row r="45" spans="15:25" x14ac:dyDescent="0.3">
      <c r="O45" t="s">
        <v>89</v>
      </c>
      <c r="P45">
        <v>2021</v>
      </c>
      <c r="U45" s="7" t="s">
        <v>43</v>
      </c>
      <c r="V45" s="11">
        <v>7350.869999999999</v>
      </c>
      <c r="X45" t="str">
        <f t="shared" si="2"/>
        <v>South Carolina</v>
      </c>
      <c r="Y45" s="10">
        <f t="shared" si="3"/>
        <v>7350.869999999999</v>
      </c>
    </row>
    <row r="46" spans="15:25" x14ac:dyDescent="0.3">
      <c r="O46" t="s">
        <v>90</v>
      </c>
      <c r="P46">
        <v>2021</v>
      </c>
      <c r="U46" s="7" t="s">
        <v>71</v>
      </c>
      <c r="V46" s="11">
        <v>1290.06</v>
      </c>
      <c r="X46" t="str">
        <f t="shared" si="2"/>
        <v>South Dakota</v>
      </c>
      <c r="Y46" s="10">
        <f t="shared" si="3"/>
        <v>1290.06</v>
      </c>
    </row>
    <row r="47" spans="15:25" x14ac:dyDescent="0.3">
      <c r="O47" t="s">
        <v>92</v>
      </c>
      <c r="P47">
        <v>2021</v>
      </c>
      <c r="U47" s="7" t="s">
        <v>62</v>
      </c>
      <c r="V47" s="11">
        <v>21227.569999999996</v>
      </c>
      <c r="X47" t="str">
        <f t="shared" si="2"/>
        <v>Tennessee</v>
      </c>
      <c r="Y47" s="10">
        <f t="shared" si="3"/>
        <v>21227.569999999996</v>
      </c>
    </row>
    <row r="48" spans="15:25" x14ac:dyDescent="0.3">
      <c r="O48" t="s">
        <v>93</v>
      </c>
      <c r="P48">
        <v>2021</v>
      </c>
      <c r="U48" s="7" t="s">
        <v>9</v>
      </c>
      <c r="V48" s="11">
        <v>151436.59999999998</v>
      </c>
      <c r="X48" t="str">
        <f t="shared" si="2"/>
        <v>Texas</v>
      </c>
      <c r="Y48" s="10">
        <f t="shared" si="3"/>
        <v>151436.59999999998</v>
      </c>
    </row>
    <row r="49" spans="15:25" x14ac:dyDescent="0.3">
      <c r="O49" t="s">
        <v>94</v>
      </c>
      <c r="P49">
        <v>2021</v>
      </c>
      <c r="U49" s="7" t="s">
        <v>134</v>
      </c>
      <c r="V49" s="11">
        <v>8960.06</v>
      </c>
      <c r="X49" t="str">
        <f t="shared" si="2"/>
        <v>Utah</v>
      </c>
      <c r="Y49" s="10">
        <f t="shared" si="3"/>
        <v>8960.06</v>
      </c>
    </row>
    <row r="50" spans="15:25" x14ac:dyDescent="0.3">
      <c r="O50" t="s">
        <v>96</v>
      </c>
      <c r="P50">
        <v>2021</v>
      </c>
      <c r="U50" s="7" t="s">
        <v>785</v>
      </c>
      <c r="V50" s="11">
        <v>8724.34</v>
      </c>
      <c r="X50" t="str">
        <f t="shared" si="2"/>
        <v>Vermont</v>
      </c>
      <c r="Y50" s="10">
        <f t="shared" si="3"/>
        <v>8724.34</v>
      </c>
    </row>
    <row r="51" spans="15:25" x14ac:dyDescent="0.3">
      <c r="O51" t="s">
        <v>97</v>
      </c>
      <c r="P51">
        <v>2021</v>
      </c>
      <c r="U51" s="7" t="s">
        <v>36</v>
      </c>
      <c r="V51" s="11">
        <v>67825.950000000026</v>
      </c>
      <c r="X51" t="str">
        <f t="shared" si="2"/>
        <v>Virginia</v>
      </c>
      <c r="Y51" s="10">
        <f t="shared" si="3"/>
        <v>67825.950000000026</v>
      </c>
    </row>
    <row r="52" spans="15:25" x14ac:dyDescent="0.3">
      <c r="O52" t="s">
        <v>98</v>
      </c>
      <c r="P52">
        <v>2021</v>
      </c>
      <c r="U52" s="7" t="s">
        <v>82</v>
      </c>
      <c r="V52" s="11">
        <v>117661.47000000002</v>
      </c>
      <c r="X52" t="str">
        <f t="shared" si="2"/>
        <v>Washington</v>
      </c>
      <c r="Y52" s="10">
        <f t="shared" si="3"/>
        <v>117661.47000000002</v>
      </c>
    </row>
    <row r="53" spans="15:25" x14ac:dyDescent="0.3">
      <c r="O53" t="s">
        <v>99</v>
      </c>
      <c r="P53">
        <v>2021</v>
      </c>
      <c r="U53" s="7" t="s">
        <v>863</v>
      </c>
      <c r="V53" s="11">
        <v>536.48</v>
      </c>
      <c r="X53" t="str">
        <f t="shared" si="2"/>
        <v>West Virginia</v>
      </c>
      <c r="Y53" s="10">
        <f t="shared" si="3"/>
        <v>536.48</v>
      </c>
    </row>
    <row r="54" spans="15:25" x14ac:dyDescent="0.3">
      <c r="O54" t="s">
        <v>100</v>
      </c>
      <c r="P54">
        <v>2021</v>
      </c>
      <c r="U54" s="7" t="s">
        <v>79</v>
      </c>
      <c r="V54" s="11">
        <v>29249.080000000009</v>
      </c>
      <c r="X54" t="str">
        <f t="shared" si="2"/>
        <v>Wisconsin</v>
      </c>
      <c r="Y54" s="10">
        <f t="shared" si="3"/>
        <v>29249.080000000009</v>
      </c>
    </row>
    <row r="55" spans="15:25" x14ac:dyDescent="0.3">
      <c r="O55" t="s">
        <v>101</v>
      </c>
      <c r="P55">
        <v>2021</v>
      </c>
      <c r="U55" s="7" t="s">
        <v>848</v>
      </c>
      <c r="V55" s="11">
        <v>1603.14</v>
      </c>
      <c r="X55" t="str">
        <f t="shared" si="2"/>
        <v>Wyoming</v>
      </c>
      <c r="Y55" s="10">
        <f t="shared" si="3"/>
        <v>1603.14</v>
      </c>
    </row>
    <row r="56" spans="15:25" x14ac:dyDescent="0.3">
      <c r="O56" t="s">
        <v>102</v>
      </c>
      <c r="P56">
        <v>2021</v>
      </c>
      <c r="U56" s="7" t="s">
        <v>872</v>
      </c>
      <c r="V56" s="11">
        <v>1928887.8600000013</v>
      </c>
    </row>
    <row r="57" spans="15:25" x14ac:dyDescent="0.3">
      <c r="O57" t="s">
        <v>103</v>
      </c>
      <c r="P57">
        <v>2021</v>
      </c>
    </row>
    <row r="58" spans="15:25" x14ac:dyDescent="0.3">
      <c r="O58" t="s">
        <v>104</v>
      </c>
      <c r="P58">
        <v>2021</v>
      </c>
    </row>
    <row r="59" spans="15:25" x14ac:dyDescent="0.3">
      <c r="O59" t="s">
        <v>105</v>
      </c>
      <c r="P59">
        <v>2021</v>
      </c>
    </row>
    <row r="60" spans="15:25" x14ac:dyDescent="0.3">
      <c r="O60" t="s">
        <v>106</v>
      </c>
      <c r="P60">
        <v>2021</v>
      </c>
    </row>
    <row r="61" spans="15:25" x14ac:dyDescent="0.3">
      <c r="O61" t="s">
        <v>107</v>
      </c>
      <c r="P61">
        <v>2021</v>
      </c>
    </row>
    <row r="62" spans="15:25" x14ac:dyDescent="0.3">
      <c r="O62" t="s">
        <v>108</v>
      </c>
      <c r="P62">
        <v>2021</v>
      </c>
    </row>
    <row r="63" spans="15:25" x14ac:dyDescent="0.3">
      <c r="O63" t="s">
        <v>109</v>
      </c>
      <c r="P63">
        <v>2021</v>
      </c>
    </row>
    <row r="64" spans="15:25" x14ac:dyDescent="0.3">
      <c r="O64" t="s">
        <v>110</v>
      </c>
      <c r="P64">
        <v>2021</v>
      </c>
    </row>
    <row r="65" spans="15:16" x14ac:dyDescent="0.3">
      <c r="O65" t="s">
        <v>111</v>
      </c>
      <c r="P65">
        <v>2021</v>
      </c>
    </row>
    <row r="66" spans="15:16" x14ac:dyDescent="0.3">
      <c r="O66" t="s">
        <v>112</v>
      </c>
      <c r="P66">
        <v>2021</v>
      </c>
    </row>
    <row r="67" spans="15:16" x14ac:dyDescent="0.3">
      <c r="O67" t="s">
        <v>113</v>
      </c>
      <c r="P67">
        <v>2021</v>
      </c>
    </row>
    <row r="68" spans="15:16" x14ac:dyDescent="0.3">
      <c r="O68" t="s">
        <v>114</v>
      </c>
      <c r="P68">
        <v>2021</v>
      </c>
    </row>
    <row r="69" spans="15:16" x14ac:dyDescent="0.3">
      <c r="O69" t="s">
        <v>116</v>
      </c>
      <c r="P69">
        <v>2021</v>
      </c>
    </row>
    <row r="70" spans="15:16" x14ac:dyDescent="0.3">
      <c r="O70" t="s">
        <v>117</v>
      </c>
      <c r="P70">
        <v>2021</v>
      </c>
    </row>
    <row r="71" spans="15:16" x14ac:dyDescent="0.3">
      <c r="O71" t="s">
        <v>118</v>
      </c>
      <c r="P71">
        <v>2021</v>
      </c>
    </row>
    <row r="72" spans="15:16" x14ac:dyDescent="0.3">
      <c r="O72" t="s">
        <v>119</v>
      </c>
      <c r="P72">
        <v>2021</v>
      </c>
    </row>
    <row r="73" spans="15:16" x14ac:dyDescent="0.3">
      <c r="O73" t="s">
        <v>120</v>
      </c>
      <c r="P73">
        <v>2021</v>
      </c>
    </row>
    <row r="74" spans="15:16" x14ac:dyDescent="0.3">
      <c r="O74" t="s">
        <v>121</v>
      </c>
      <c r="P74">
        <v>2021</v>
      </c>
    </row>
    <row r="75" spans="15:16" x14ac:dyDescent="0.3">
      <c r="O75" t="s">
        <v>122</v>
      </c>
      <c r="P75">
        <v>2021</v>
      </c>
    </row>
    <row r="76" spans="15:16" x14ac:dyDescent="0.3">
      <c r="O76" t="s">
        <v>123</v>
      </c>
      <c r="P76">
        <v>2021</v>
      </c>
    </row>
    <row r="77" spans="15:16" x14ac:dyDescent="0.3">
      <c r="O77" t="s">
        <v>124</v>
      </c>
      <c r="P77">
        <v>2021</v>
      </c>
    </row>
    <row r="78" spans="15:16" x14ac:dyDescent="0.3">
      <c r="O78" t="s">
        <v>125</v>
      </c>
      <c r="P78">
        <v>2021</v>
      </c>
    </row>
    <row r="79" spans="15:16" x14ac:dyDescent="0.3">
      <c r="O79" t="s">
        <v>127</v>
      </c>
      <c r="P79">
        <v>2021</v>
      </c>
    </row>
    <row r="80" spans="15:16" x14ac:dyDescent="0.3">
      <c r="O80" t="s">
        <v>128</v>
      </c>
      <c r="P80">
        <v>2021</v>
      </c>
    </row>
    <row r="81" spans="15:16" x14ac:dyDescent="0.3">
      <c r="O81" t="s">
        <v>129</v>
      </c>
      <c r="P81">
        <v>2021</v>
      </c>
    </row>
    <row r="82" spans="15:16" x14ac:dyDescent="0.3">
      <c r="O82" t="s">
        <v>130</v>
      </c>
      <c r="P82">
        <v>2021</v>
      </c>
    </row>
    <row r="83" spans="15:16" x14ac:dyDescent="0.3">
      <c r="O83" t="s">
        <v>131</v>
      </c>
      <c r="P83">
        <v>2021</v>
      </c>
    </row>
    <row r="84" spans="15:16" x14ac:dyDescent="0.3">
      <c r="O84" t="s">
        <v>132</v>
      </c>
      <c r="P84">
        <v>2021</v>
      </c>
    </row>
    <row r="85" spans="15:16" x14ac:dyDescent="0.3">
      <c r="O85" t="s">
        <v>133</v>
      </c>
      <c r="P85">
        <v>2021</v>
      </c>
    </row>
    <row r="86" spans="15:16" x14ac:dyDescent="0.3">
      <c r="O86" t="s">
        <v>135</v>
      </c>
      <c r="P86">
        <v>2021</v>
      </c>
    </row>
    <row r="87" spans="15:16" x14ac:dyDescent="0.3">
      <c r="O87" t="s">
        <v>137</v>
      </c>
      <c r="P87">
        <v>2021</v>
      </c>
    </row>
    <row r="88" spans="15:16" x14ac:dyDescent="0.3">
      <c r="O88" t="s">
        <v>138</v>
      </c>
      <c r="P88">
        <v>2021</v>
      </c>
    </row>
    <row r="89" spans="15:16" x14ac:dyDescent="0.3">
      <c r="O89" t="s">
        <v>139</v>
      </c>
      <c r="P89">
        <v>2021</v>
      </c>
    </row>
    <row r="90" spans="15:16" x14ac:dyDescent="0.3">
      <c r="O90" t="s">
        <v>141</v>
      </c>
      <c r="P90">
        <v>2021</v>
      </c>
    </row>
    <row r="91" spans="15:16" x14ac:dyDescent="0.3">
      <c r="O91" t="s">
        <v>142</v>
      </c>
      <c r="P91">
        <v>2021</v>
      </c>
    </row>
    <row r="92" spans="15:16" x14ac:dyDescent="0.3">
      <c r="O92" t="s">
        <v>144</v>
      </c>
      <c r="P92">
        <v>2021</v>
      </c>
    </row>
    <row r="93" spans="15:16" x14ac:dyDescent="0.3">
      <c r="O93" t="s">
        <v>145</v>
      </c>
      <c r="P93">
        <v>2021</v>
      </c>
    </row>
    <row r="94" spans="15:16" x14ac:dyDescent="0.3">
      <c r="O94" t="s">
        <v>146</v>
      </c>
      <c r="P94">
        <v>2021</v>
      </c>
    </row>
    <row r="95" spans="15:16" x14ac:dyDescent="0.3">
      <c r="O95" t="s">
        <v>147</v>
      </c>
      <c r="P95">
        <v>2021</v>
      </c>
    </row>
    <row r="96" spans="15:16" x14ac:dyDescent="0.3">
      <c r="O96" t="s">
        <v>148</v>
      </c>
      <c r="P96">
        <v>2021</v>
      </c>
    </row>
    <row r="97" spans="15:16" x14ac:dyDescent="0.3">
      <c r="O97" t="s">
        <v>149</v>
      </c>
      <c r="P97">
        <v>2021</v>
      </c>
    </row>
    <row r="98" spans="15:16" x14ac:dyDescent="0.3">
      <c r="O98" t="s">
        <v>150</v>
      </c>
      <c r="P98">
        <v>2021</v>
      </c>
    </row>
    <row r="99" spans="15:16" x14ac:dyDescent="0.3">
      <c r="O99" t="s">
        <v>151</v>
      </c>
      <c r="P99">
        <v>2021</v>
      </c>
    </row>
    <row r="100" spans="15:16" x14ac:dyDescent="0.3">
      <c r="O100" t="s">
        <v>152</v>
      </c>
      <c r="P100">
        <v>2021</v>
      </c>
    </row>
    <row r="101" spans="15:16" x14ac:dyDescent="0.3">
      <c r="O101" t="s">
        <v>153</v>
      </c>
      <c r="P101">
        <v>2021</v>
      </c>
    </row>
    <row r="102" spans="15:16" x14ac:dyDescent="0.3">
      <c r="O102" t="s">
        <v>154</v>
      </c>
      <c r="P102">
        <v>2021</v>
      </c>
    </row>
    <row r="103" spans="15:16" x14ac:dyDescent="0.3">
      <c r="O103" t="s">
        <v>155</v>
      </c>
      <c r="P103">
        <v>2021</v>
      </c>
    </row>
    <row r="104" spans="15:16" x14ac:dyDescent="0.3">
      <c r="O104" t="s">
        <v>156</v>
      </c>
      <c r="P104">
        <v>2021</v>
      </c>
    </row>
    <row r="105" spans="15:16" x14ac:dyDescent="0.3">
      <c r="O105" t="s">
        <v>157</v>
      </c>
      <c r="P105">
        <v>2021</v>
      </c>
    </row>
    <row r="106" spans="15:16" x14ac:dyDescent="0.3">
      <c r="O106" t="s">
        <v>158</v>
      </c>
      <c r="P106">
        <v>2021</v>
      </c>
    </row>
    <row r="107" spans="15:16" x14ac:dyDescent="0.3">
      <c r="O107" t="s">
        <v>159</v>
      </c>
      <c r="P107">
        <v>2021</v>
      </c>
    </row>
    <row r="108" spans="15:16" x14ac:dyDescent="0.3">
      <c r="O108" t="s">
        <v>160</v>
      </c>
      <c r="P108">
        <v>2021</v>
      </c>
    </row>
    <row r="109" spans="15:16" x14ac:dyDescent="0.3">
      <c r="O109" t="s">
        <v>161</v>
      </c>
      <c r="P109">
        <v>2021</v>
      </c>
    </row>
    <row r="110" spans="15:16" x14ac:dyDescent="0.3">
      <c r="O110" t="s">
        <v>162</v>
      </c>
      <c r="P110">
        <v>2021</v>
      </c>
    </row>
    <row r="111" spans="15:16" x14ac:dyDescent="0.3">
      <c r="O111" t="s">
        <v>163</v>
      </c>
      <c r="P111">
        <v>2021</v>
      </c>
    </row>
    <row r="112" spans="15:16" x14ac:dyDescent="0.3">
      <c r="O112" t="s">
        <v>164</v>
      </c>
      <c r="P112">
        <v>2021</v>
      </c>
    </row>
    <row r="113" spans="15:16" x14ac:dyDescent="0.3">
      <c r="O113" t="s">
        <v>166</v>
      </c>
      <c r="P113">
        <v>2021</v>
      </c>
    </row>
    <row r="114" spans="15:16" x14ac:dyDescent="0.3">
      <c r="O114" t="s">
        <v>168</v>
      </c>
      <c r="P114">
        <v>2021</v>
      </c>
    </row>
    <row r="115" spans="15:16" x14ac:dyDescent="0.3">
      <c r="O115" t="s">
        <v>169</v>
      </c>
      <c r="P115">
        <v>2021</v>
      </c>
    </row>
    <row r="116" spans="15:16" x14ac:dyDescent="0.3">
      <c r="O116" t="s">
        <v>170</v>
      </c>
      <c r="P116">
        <v>2021</v>
      </c>
    </row>
    <row r="117" spans="15:16" x14ac:dyDescent="0.3">
      <c r="O117" t="s">
        <v>171</v>
      </c>
      <c r="P117">
        <v>2021</v>
      </c>
    </row>
    <row r="118" spans="15:16" x14ac:dyDescent="0.3">
      <c r="O118" t="s">
        <v>172</v>
      </c>
      <c r="P118">
        <v>2021</v>
      </c>
    </row>
    <row r="119" spans="15:16" x14ac:dyDescent="0.3">
      <c r="O119" t="s">
        <v>173</v>
      </c>
      <c r="P119">
        <v>2021</v>
      </c>
    </row>
    <row r="120" spans="15:16" x14ac:dyDescent="0.3">
      <c r="O120" t="s">
        <v>174</v>
      </c>
      <c r="P120">
        <v>2021</v>
      </c>
    </row>
    <row r="121" spans="15:16" x14ac:dyDescent="0.3">
      <c r="O121" t="s">
        <v>175</v>
      </c>
      <c r="P121">
        <v>2021</v>
      </c>
    </row>
    <row r="122" spans="15:16" x14ac:dyDescent="0.3">
      <c r="O122" t="s">
        <v>176</v>
      </c>
      <c r="P122">
        <v>2021</v>
      </c>
    </row>
    <row r="123" spans="15:16" x14ac:dyDescent="0.3">
      <c r="O123" t="s">
        <v>177</v>
      </c>
      <c r="P123">
        <v>2021</v>
      </c>
    </row>
    <row r="124" spans="15:16" x14ac:dyDescent="0.3">
      <c r="O124" t="s">
        <v>178</v>
      </c>
      <c r="P124">
        <v>2021</v>
      </c>
    </row>
    <row r="125" spans="15:16" x14ac:dyDescent="0.3">
      <c r="O125" t="s">
        <v>179</v>
      </c>
      <c r="P125">
        <v>2021</v>
      </c>
    </row>
    <row r="126" spans="15:16" x14ac:dyDescent="0.3">
      <c r="O126" t="s">
        <v>180</v>
      </c>
      <c r="P126">
        <v>2021</v>
      </c>
    </row>
    <row r="127" spans="15:16" x14ac:dyDescent="0.3">
      <c r="O127" t="s">
        <v>182</v>
      </c>
      <c r="P127">
        <v>2021</v>
      </c>
    </row>
    <row r="128" spans="15:16" x14ac:dyDescent="0.3">
      <c r="O128" t="s">
        <v>183</v>
      </c>
      <c r="P128">
        <v>2021</v>
      </c>
    </row>
    <row r="129" spans="15:16" x14ac:dyDescent="0.3">
      <c r="O129" t="s">
        <v>184</v>
      </c>
      <c r="P129">
        <v>2021</v>
      </c>
    </row>
    <row r="130" spans="15:16" x14ac:dyDescent="0.3">
      <c r="O130" t="s">
        <v>185</v>
      </c>
      <c r="P130">
        <v>2021</v>
      </c>
    </row>
    <row r="131" spans="15:16" x14ac:dyDescent="0.3">
      <c r="O131" t="s">
        <v>186</v>
      </c>
      <c r="P131">
        <v>2021</v>
      </c>
    </row>
    <row r="132" spans="15:16" x14ac:dyDescent="0.3">
      <c r="O132" t="s">
        <v>187</v>
      </c>
      <c r="P132">
        <v>2021</v>
      </c>
    </row>
    <row r="133" spans="15:16" x14ac:dyDescent="0.3">
      <c r="O133" t="s">
        <v>188</v>
      </c>
      <c r="P133">
        <v>2021</v>
      </c>
    </row>
    <row r="134" spans="15:16" x14ac:dyDescent="0.3">
      <c r="O134" t="s">
        <v>189</v>
      </c>
      <c r="P134">
        <v>2021</v>
      </c>
    </row>
    <row r="135" spans="15:16" x14ac:dyDescent="0.3">
      <c r="O135" t="s">
        <v>190</v>
      </c>
      <c r="P135">
        <v>2021</v>
      </c>
    </row>
    <row r="136" spans="15:16" x14ac:dyDescent="0.3">
      <c r="O136" t="s">
        <v>191</v>
      </c>
      <c r="P136">
        <v>2021</v>
      </c>
    </row>
    <row r="137" spans="15:16" x14ac:dyDescent="0.3">
      <c r="O137" t="s">
        <v>192</v>
      </c>
      <c r="P137">
        <v>2021</v>
      </c>
    </row>
    <row r="138" spans="15:16" x14ac:dyDescent="0.3">
      <c r="O138" t="s">
        <v>193</v>
      </c>
      <c r="P138">
        <v>2021</v>
      </c>
    </row>
    <row r="139" spans="15:16" x14ac:dyDescent="0.3">
      <c r="O139" t="s">
        <v>194</v>
      </c>
      <c r="P139">
        <v>2021</v>
      </c>
    </row>
    <row r="140" spans="15:16" x14ac:dyDescent="0.3">
      <c r="O140" t="s">
        <v>195</v>
      </c>
      <c r="P140">
        <v>2021</v>
      </c>
    </row>
    <row r="141" spans="15:16" x14ac:dyDescent="0.3">
      <c r="O141" t="s">
        <v>196</v>
      </c>
      <c r="P141">
        <v>2021</v>
      </c>
    </row>
    <row r="142" spans="15:16" x14ac:dyDescent="0.3">
      <c r="O142" t="s">
        <v>197</v>
      </c>
      <c r="P142">
        <v>2021</v>
      </c>
    </row>
    <row r="143" spans="15:16" x14ac:dyDescent="0.3">
      <c r="O143" t="s">
        <v>199</v>
      </c>
      <c r="P143">
        <v>2021</v>
      </c>
    </row>
    <row r="144" spans="15:16" x14ac:dyDescent="0.3">
      <c r="O144" t="s">
        <v>200</v>
      </c>
      <c r="P144">
        <v>2021</v>
      </c>
    </row>
    <row r="145" spans="15:16" x14ac:dyDescent="0.3">
      <c r="O145" t="s">
        <v>201</v>
      </c>
      <c r="P145">
        <v>2021</v>
      </c>
    </row>
    <row r="146" spans="15:16" x14ac:dyDescent="0.3">
      <c r="O146" t="s">
        <v>202</v>
      </c>
      <c r="P146">
        <v>2021</v>
      </c>
    </row>
    <row r="147" spans="15:16" x14ac:dyDescent="0.3">
      <c r="O147" t="s">
        <v>203</v>
      </c>
      <c r="P147">
        <v>2021</v>
      </c>
    </row>
    <row r="148" spans="15:16" x14ac:dyDescent="0.3">
      <c r="O148" t="s">
        <v>204</v>
      </c>
      <c r="P148">
        <v>2021</v>
      </c>
    </row>
    <row r="149" spans="15:16" x14ac:dyDescent="0.3">
      <c r="O149" t="s">
        <v>205</v>
      </c>
      <c r="P149">
        <v>2021</v>
      </c>
    </row>
    <row r="150" spans="15:16" x14ac:dyDescent="0.3">
      <c r="O150" t="s">
        <v>206</v>
      </c>
      <c r="P150">
        <v>2021</v>
      </c>
    </row>
    <row r="151" spans="15:16" x14ac:dyDescent="0.3">
      <c r="O151" t="s">
        <v>208</v>
      </c>
      <c r="P151">
        <v>2021</v>
      </c>
    </row>
    <row r="152" spans="15:16" x14ac:dyDescent="0.3">
      <c r="O152" t="s">
        <v>209</v>
      </c>
      <c r="P152">
        <v>2021</v>
      </c>
    </row>
    <row r="153" spans="15:16" x14ac:dyDescent="0.3">
      <c r="O153" t="s">
        <v>211</v>
      </c>
      <c r="P153">
        <v>2021</v>
      </c>
    </row>
    <row r="154" spans="15:16" x14ac:dyDescent="0.3">
      <c r="O154" t="s">
        <v>212</v>
      </c>
      <c r="P154">
        <v>2021</v>
      </c>
    </row>
    <row r="155" spans="15:16" x14ac:dyDescent="0.3">
      <c r="O155" t="s">
        <v>213</v>
      </c>
      <c r="P155">
        <v>2021</v>
      </c>
    </row>
    <row r="156" spans="15:16" x14ac:dyDescent="0.3">
      <c r="O156" t="s">
        <v>214</v>
      </c>
      <c r="P156">
        <v>2021</v>
      </c>
    </row>
    <row r="157" spans="15:16" x14ac:dyDescent="0.3">
      <c r="O157" t="s">
        <v>216</v>
      </c>
      <c r="P157">
        <v>2021</v>
      </c>
    </row>
    <row r="158" spans="15:16" x14ac:dyDescent="0.3">
      <c r="O158" t="s">
        <v>217</v>
      </c>
      <c r="P158">
        <v>2021</v>
      </c>
    </row>
    <row r="159" spans="15:16" x14ac:dyDescent="0.3">
      <c r="O159" t="s">
        <v>218</v>
      </c>
      <c r="P159">
        <v>2021</v>
      </c>
    </row>
    <row r="160" spans="15:16" x14ac:dyDescent="0.3">
      <c r="O160" t="s">
        <v>219</v>
      </c>
      <c r="P160">
        <v>2021</v>
      </c>
    </row>
    <row r="161" spans="15:16" x14ac:dyDescent="0.3">
      <c r="O161" t="s">
        <v>220</v>
      </c>
      <c r="P161">
        <v>2021</v>
      </c>
    </row>
    <row r="162" spans="15:16" x14ac:dyDescent="0.3">
      <c r="O162" t="s">
        <v>221</v>
      </c>
      <c r="P162">
        <v>2021</v>
      </c>
    </row>
    <row r="163" spans="15:16" x14ac:dyDescent="0.3">
      <c r="O163" t="s">
        <v>222</v>
      </c>
      <c r="P163">
        <v>2021</v>
      </c>
    </row>
    <row r="164" spans="15:16" x14ac:dyDescent="0.3">
      <c r="O164" t="s">
        <v>223</v>
      </c>
      <c r="P164">
        <v>2021</v>
      </c>
    </row>
    <row r="165" spans="15:16" x14ac:dyDescent="0.3">
      <c r="O165" t="s">
        <v>224</v>
      </c>
      <c r="P165">
        <v>2021</v>
      </c>
    </row>
    <row r="166" spans="15:16" x14ac:dyDescent="0.3">
      <c r="O166" t="s">
        <v>225</v>
      </c>
      <c r="P166">
        <v>2021</v>
      </c>
    </row>
    <row r="167" spans="15:16" x14ac:dyDescent="0.3">
      <c r="O167" t="s">
        <v>226</v>
      </c>
      <c r="P167">
        <v>2021</v>
      </c>
    </row>
    <row r="168" spans="15:16" x14ac:dyDescent="0.3">
      <c r="O168" t="s">
        <v>227</v>
      </c>
      <c r="P168">
        <v>2021</v>
      </c>
    </row>
    <row r="169" spans="15:16" x14ac:dyDescent="0.3">
      <c r="O169" t="s">
        <v>228</v>
      </c>
      <c r="P169">
        <v>2021</v>
      </c>
    </row>
    <row r="170" spans="15:16" x14ac:dyDescent="0.3">
      <c r="O170" t="s">
        <v>229</v>
      </c>
      <c r="P170">
        <v>2021</v>
      </c>
    </row>
    <row r="171" spans="15:16" x14ac:dyDescent="0.3">
      <c r="O171" t="s">
        <v>230</v>
      </c>
      <c r="P171">
        <v>2021</v>
      </c>
    </row>
    <row r="172" spans="15:16" x14ac:dyDescent="0.3">
      <c r="O172" t="s">
        <v>231</v>
      </c>
      <c r="P172">
        <v>2021</v>
      </c>
    </row>
    <row r="173" spans="15:16" x14ac:dyDescent="0.3">
      <c r="O173" t="s">
        <v>232</v>
      </c>
      <c r="P173">
        <v>2021</v>
      </c>
    </row>
    <row r="174" spans="15:16" x14ac:dyDescent="0.3">
      <c r="O174" t="s">
        <v>233</v>
      </c>
      <c r="P174">
        <v>2021</v>
      </c>
    </row>
    <row r="175" spans="15:16" x14ac:dyDescent="0.3">
      <c r="O175" t="s">
        <v>234</v>
      </c>
      <c r="P175">
        <v>2021</v>
      </c>
    </row>
    <row r="176" spans="15:16" x14ac:dyDescent="0.3">
      <c r="O176" t="s">
        <v>235</v>
      </c>
      <c r="P176">
        <v>2021</v>
      </c>
    </row>
    <row r="177" spans="15:16" x14ac:dyDescent="0.3">
      <c r="O177" t="s">
        <v>236</v>
      </c>
      <c r="P177">
        <v>2021</v>
      </c>
    </row>
    <row r="178" spans="15:16" x14ac:dyDescent="0.3">
      <c r="O178" t="s">
        <v>237</v>
      </c>
      <c r="P178">
        <v>2021</v>
      </c>
    </row>
    <row r="179" spans="15:16" x14ac:dyDescent="0.3">
      <c r="O179" t="s">
        <v>238</v>
      </c>
      <c r="P179">
        <v>2021</v>
      </c>
    </row>
    <row r="180" spans="15:16" x14ac:dyDescent="0.3">
      <c r="O180" t="s">
        <v>239</v>
      </c>
      <c r="P180">
        <v>2021</v>
      </c>
    </row>
    <row r="181" spans="15:16" x14ac:dyDescent="0.3">
      <c r="O181" t="s">
        <v>240</v>
      </c>
      <c r="P181">
        <v>2021</v>
      </c>
    </row>
    <row r="182" spans="15:16" x14ac:dyDescent="0.3">
      <c r="O182" t="s">
        <v>241</v>
      </c>
      <c r="P182">
        <v>2021</v>
      </c>
    </row>
    <row r="183" spans="15:16" x14ac:dyDescent="0.3">
      <c r="O183" t="s">
        <v>242</v>
      </c>
      <c r="P183">
        <v>2021</v>
      </c>
    </row>
    <row r="184" spans="15:16" x14ac:dyDescent="0.3">
      <c r="O184" t="s">
        <v>244</v>
      </c>
      <c r="P184">
        <v>2021</v>
      </c>
    </row>
    <row r="185" spans="15:16" x14ac:dyDescent="0.3">
      <c r="O185" t="s">
        <v>245</v>
      </c>
      <c r="P185">
        <v>2021</v>
      </c>
    </row>
    <row r="186" spans="15:16" x14ac:dyDescent="0.3">
      <c r="O186" t="s">
        <v>246</v>
      </c>
      <c r="P186">
        <v>2021</v>
      </c>
    </row>
    <row r="187" spans="15:16" x14ac:dyDescent="0.3">
      <c r="O187" t="s">
        <v>247</v>
      </c>
      <c r="P187">
        <v>2021</v>
      </c>
    </row>
    <row r="188" spans="15:16" x14ac:dyDescent="0.3">
      <c r="O188" t="s">
        <v>249</v>
      </c>
      <c r="P188">
        <v>2021</v>
      </c>
    </row>
    <row r="189" spans="15:16" x14ac:dyDescent="0.3">
      <c r="O189" t="s">
        <v>250</v>
      </c>
      <c r="P189">
        <v>2021</v>
      </c>
    </row>
    <row r="190" spans="15:16" x14ac:dyDescent="0.3">
      <c r="O190" t="s">
        <v>251</v>
      </c>
      <c r="P190">
        <v>2021</v>
      </c>
    </row>
    <row r="191" spans="15:16" x14ac:dyDescent="0.3">
      <c r="O191" t="s">
        <v>252</v>
      </c>
      <c r="P191">
        <v>2021</v>
      </c>
    </row>
    <row r="192" spans="15:16" x14ac:dyDescent="0.3">
      <c r="O192" t="s">
        <v>253</v>
      </c>
      <c r="P192">
        <v>2021</v>
      </c>
    </row>
    <row r="193" spans="15:16" x14ac:dyDescent="0.3">
      <c r="O193" t="s">
        <v>254</v>
      </c>
      <c r="P193">
        <v>2021</v>
      </c>
    </row>
    <row r="194" spans="15:16" x14ac:dyDescent="0.3">
      <c r="O194" t="s">
        <v>255</v>
      </c>
      <c r="P194">
        <v>2021</v>
      </c>
    </row>
    <row r="195" spans="15:16" x14ac:dyDescent="0.3">
      <c r="O195" t="s">
        <v>256</v>
      </c>
      <c r="P195">
        <v>2021</v>
      </c>
    </row>
    <row r="196" spans="15:16" x14ac:dyDescent="0.3">
      <c r="O196" t="s">
        <v>257</v>
      </c>
      <c r="P196">
        <v>2021</v>
      </c>
    </row>
    <row r="197" spans="15:16" x14ac:dyDescent="0.3">
      <c r="O197" t="s">
        <v>258</v>
      </c>
      <c r="P197">
        <v>2021</v>
      </c>
    </row>
    <row r="198" spans="15:16" x14ac:dyDescent="0.3">
      <c r="O198" t="s">
        <v>259</v>
      </c>
      <c r="P198">
        <v>2021</v>
      </c>
    </row>
    <row r="199" spans="15:16" x14ac:dyDescent="0.3">
      <c r="O199" t="s">
        <v>260</v>
      </c>
      <c r="P199">
        <v>2021</v>
      </c>
    </row>
    <row r="200" spans="15:16" x14ac:dyDescent="0.3">
      <c r="O200" t="s">
        <v>261</v>
      </c>
      <c r="P200">
        <v>2021</v>
      </c>
    </row>
    <row r="201" spans="15:16" x14ac:dyDescent="0.3">
      <c r="O201" t="s">
        <v>262</v>
      </c>
      <c r="P201">
        <v>2021</v>
      </c>
    </row>
    <row r="202" spans="15:16" x14ac:dyDescent="0.3">
      <c r="O202" t="s">
        <v>263</v>
      </c>
      <c r="P202">
        <v>2021</v>
      </c>
    </row>
    <row r="203" spans="15:16" x14ac:dyDescent="0.3">
      <c r="O203" t="s">
        <v>264</v>
      </c>
      <c r="P203">
        <v>2021</v>
      </c>
    </row>
    <row r="204" spans="15:16" x14ac:dyDescent="0.3">
      <c r="O204" t="s">
        <v>265</v>
      </c>
      <c r="P204">
        <v>2021</v>
      </c>
    </row>
    <row r="205" spans="15:16" x14ac:dyDescent="0.3">
      <c r="O205" t="s">
        <v>266</v>
      </c>
      <c r="P205">
        <v>2021</v>
      </c>
    </row>
    <row r="206" spans="15:16" x14ac:dyDescent="0.3">
      <c r="O206" t="s">
        <v>267</v>
      </c>
      <c r="P206">
        <v>2021</v>
      </c>
    </row>
    <row r="207" spans="15:16" x14ac:dyDescent="0.3">
      <c r="O207" t="s">
        <v>268</v>
      </c>
      <c r="P207">
        <v>2021</v>
      </c>
    </row>
    <row r="208" spans="15:16" x14ac:dyDescent="0.3">
      <c r="O208" t="s">
        <v>269</v>
      </c>
      <c r="P208">
        <v>2021</v>
      </c>
    </row>
    <row r="209" spans="15:16" x14ac:dyDescent="0.3">
      <c r="O209" t="s">
        <v>270</v>
      </c>
      <c r="P209">
        <v>2021</v>
      </c>
    </row>
    <row r="210" spans="15:16" x14ac:dyDescent="0.3">
      <c r="O210" t="s">
        <v>271</v>
      </c>
      <c r="P210">
        <v>2021</v>
      </c>
    </row>
    <row r="211" spans="15:16" x14ac:dyDescent="0.3">
      <c r="O211" t="s">
        <v>272</v>
      </c>
      <c r="P211">
        <v>2021</v>
      </c>
    </row>
    <row r="212" spans="15:16" x14ac:dyDescent="0.3">
      <c r="O212" t="s">
        <v>273</v>
      </c>
      <c r="P212">
        <v>2021</v>
      </c>
    </row>
    <row r="213" spans="15:16" x14ac:dyDescent="0.3">
      <c r="O213" t="s">
        <v>274</v>
      </c>
      <c r="P213">
        <v>2021</v>
      </c>
    </row>
    <row r="214" spans="15:16" x14ac:dyDescent="0.3">
      <c r="O214" t="s">
        <v>275</v>
      </c>
      <c r="P214">
        <v>2021</v>
      </c>
    </row>
    <row r="215" spans="15:16" x14ac:dyDescent="0.3">
      <c r="O215" t="s">
        <v>276</v>
      </c>
      <c r="P215">
        <v>2021</v>
      </c>
    </row>
    <row r="216" spans="15:16" x14ac:dyDescent="0.3">
      <c r="O216" t="s">
        <v>277</v>
      </c>
      <c r="P216">
        <v>2021</v>
      </c>
    </row>
    <row r="217" spans="15:16" x14ac:dyDescent="0.3">
      <c r="O217" t="s">
        <v>279</v>
      </c>
      <c r="P217">
        <v>2021</v>
      </c>
    </row>
    <row r="218" spans="15:16" x14ac:dyDescent="0.3">
      <c r="O218" t="s">
        <v>280</v>
      </c>
      <c r="P218">
        <v>2021</v>
      </c>
    </row>
    <row r="219" spans="15:16" x14ac:dyDescent="0.3">
      <c r="O219" t="s">
        <v>281</v>
      </c>
      <c r="P219">
        <v>2021</v>
      </c>
    </row>
    <row r="220" spans="15:16" x14ac:dyDescent="0.3">
      <c r="O220" t="s">
        <v>282</v>
      </c>
      <c r="P220">
        <v>2021</v>
      </c>
    </row>
    <row r="221" spans="15:16" x14ac:dyDescent="0.3">
      <c r="O221" t="s">
        <v>283</v>
      </c>
      <c r="P221">
        <v>2021</v>
      </c>
    </row>
    <row r="222" spans="15:16" x14ac:dyDescent="0.3">
      <c r="O222" t="s">
        <v>284</v>
      </c>
      <c r="P222">
        <v>2021</v>
      </c>
    </row>
    <row r="223" spans="15:16" x14ac:dyDescent="0.3">
      <c r="O223" t="s">
        <v>285</v>
      </c>
      <c r="P223">
        <v>2021</v>
      </c>
    </row>
    <row r="224" spans="15:16" x14ac:dyDescent="0.3">
      <c r="O224" t="s">
        <v>286</v>
      </c>
      <c r="P224">
        <v>2021</v>
      </c>
    </row>
    <row r="225" spans="15:16" x14ac:dyDescent="0.3">
      <c r="O225" t="s">
        <v>287</v>
      </c>
      <c r="P225">
        <v>2021</v>
      </c>
    </row>
    <row r="226" spans="15:16" x14ac:dyDescent="0.3">
      <c r="O226" t="s">
        <v>288</v>
      </c>
      <c r="P226">
        <v>2021</v>
      </c>
    </row>
    <row r="227" spans="15:16" x14ac:dyDescent="0.3">
      <c r="O227" t="s">
        <v>289</v>
      </c>
      <c r="P227">
        <v>2021</v>
      </c>
    </row>
    <row r="228" spans="15:16" x14ac:dyDescent="0.3">
      <c r="O228" t="s">
        <v>290</v>
      </c>
      <c r="P228">
        <v>2021</v>
      </c>
    </row>
    <row r="229" spans="15:16" x14ac:dyDescent="0.3">
      <c r="O229" t="s">
        <v>291</v>
      </c>
      <c r="P229">
        <v>2021</v>
      </c>
    </row>
    <row r="230" spans="15:16" x14ac:dyDescent="0.3">
      <c r="O230" t="s">
        <v>292</v>
      </c>
      <c r="P230">
        <v>2021</v>
      </c>
    </row>
    <row r="231" spans="15:16" x14ac:dyDescent="0.3">
      <c r="O231" t="s">
        <v>293</v>
      </c>
      <c r="P231">
        <v>2021</v>
      </c>
    </row>
    <row r="232" spans="15:16" x14ac:dyDescent="0.3">
      <c r="O232" t="s">
        <v>294</v>
      </c>
      <c r="P232">
        <v>2021</v>
      </c>
    </row>
    <row r="233" spans="15:16" x14ac:dyDescent="0.3">
      <c r="O233" t="s">
        <v>295</v>
      </c>
      <c r="P233">
        <v>2021</v>
      </c>
    </row>
    <row r="234" spans="15:16" x14ac:dyDescent="0.3">
      <c r="O234" t="s">
        <v>296</v>
      </c>
      <c r="P234">
        <v>2021</v>
      </c>
    </row>
    <row r="235" spans="15:16" x14ac:dyDescent="0.3">
      <c r="O235" t="s">
        <v>297</v>
      </c>
      <c r="P235">
        <v>2021</v>
      </c>
    </row>
    <row r="236" spans="15:16" x14ac:dyDescent="0.3">
      <c r="O236" t="s">
        <v>298</v>
      </c>
      <c r="P236">
        <v>2021</v>
      </c>
    </row>
    <row r="237" spans="15:16" x14ac:dyDescent="0.3">
      <c r="O237" t="s">
        <v>299</v>
      </c>
      <c r="P237">
        <v>2021</v>
      </c>
    </row>
    <row r="238" spans="15:16" x14ac:dyDescent="0.3">
      <c r="O238" t="s">
        <v>300</v>
      </c>
      <c r="P238">
        <v>2021</v>
      </c>
    </row>
    <row r="239" spans="15:16" x14ac:dyDescent="0.3">
      <c r="O239" t="s">
        <v>301</v>
      </c>
      <c r="P239">
        <v>2021</v>
      </c>
    </row>
    <row r="240" spans="15:16" x14ac:dyDescent="0.3">
      <c r="O240" t="s">
        <v>302</v>
      </c>
      <c r="P240">
        <v>2021</v>
      </c>
    </row>
    <row r="241" spans="15:16" x14ac:dyDescent="0.3">
      <c r="O241" t="s">
        <v>303</v>
      </c>
      <c r="P241">
        <v>2021</v>
      </c>
    </row>
    <row r="242" spans="15:16" x14ac:dyDescent="0.3">
      <c r="O242" t="s">
        <v>304</v>
      </c>
      <c r="P242">
        <v>2021</v>
      </c>
    </row>
    <row r="243" spans="15:16" x14ac:dyDescent="0.3">
      <c r="O243" t="s">
        <v>305</v>
      </c>
      <c r="P243">
        <v>2021</v>
      </c>
    </row>
    <row r="244" spans="15:16" x14ac:dyDescent="0.3">
      <c r="O244" t="s">
        <v>306</v>
      </c>
      <c r="P244">
        <v>2021</v>
      </c>
    </row>
    <row r="245" spans="15:16" x14ac:dyDescent="0.3">
      <c r="O245" t="s">
        <v>307</v>
      </c>
      <c r="P245">
        <v>2021</v>
      </c>
    </row>
    <row r="246" spans="15:16" x14ac:dyDescent="0.3">
      <c r="O246" t="s">
        <v>308</v>
      </c>
      <c r="P246">
        <v>2021</v>
      </c>
    </row>
    <row r="247" spans="15:16" x14ac:dyDescent="0.3">
      <c r="O247" t="s">
        <v>309</v>
      </c>
      <c r="P247">
        <v>2021</v>
      </c>
    </row>
    <row r="248" spans="15:16" x14ac:dyDescent="0.3">
      <c r="O248" t="s">
        <v>310</v>
      </c>
      <c r="P248">
        <v>2021</v>
      </c>
    </row>
    <row r="249" spans="15:16" x14ac:dyDescent="0.3">
      <c r="O249" t="s">
        <v>311</v>
      </c>
      <c r="P249">
        <v>2021</v>
      </c>
    </row>
    <row r="250" spans="15:16" x14ac:dyDescent="0.3">
      <c r="O250" t="s">
        <v>312</v>
      </c>
      <c r="P250">
        <v>2021</v>
      </c>
    </row>
    <row r="251" spans="15:16" x14ac:dyDescent="0.3">
      <c r="O251" t="s">
        <v>313</v>
      </c>
      <c r="P251">
        <v>2021</v>
      </c>
    </row>
    <row r="252" spans="15:16" x14ac:dyDescent="0.3">
      <c r="O252" t="s">
        <v>314</v>
      </c>
      <c r="P252">
        <v>2021</v>
      </c>
    </row>
    <row r="253" spans="15:16" x14ac:dyDescent="0.3">
      <c r="O253" t="s">
        <v>315</v>
      </c>
      <c r="P253">
        <v>2021</v>
      </c>
    </row>
    <row r="254" spans="15:16" x14ac:dyDescent="0.3">
      <c r="O254" t="s">
        <v>316</v>
      </c>
      <c r="P254">
        <v>2021</v>
      </c>
    </row>
    <row r="255" spans="15:16" x14ac:dyDescent="0.3">
      <c r="O255" t="s">
        <v>317</v>
      </c>
      <c r="P255">
        <v>2021</v>
      </c>
    </row>
    <row r="256" spans="15:16" x14ac:dyDescent="0.3">
      <c r="O256" t="s">
        <v>318</v>
      </c>
      <c r="P256">
        <v>2021</v>
      </c>
    </row>
    <row r="257" spans="15:16" x14ac:dyDescent="0.3">
      <c r="O257" t="s">
        <v>319</v>
      </c>
      <c r="P257">
        <v>2021</v>
      </c>
    </row>
    <row r="258" spans="15:16" x14ac:dyDescent="0.3">
      <c r="O258" t="s">
        <v>320</v>
      </c>
      <c r="P258">
        <v>2021</v>
      </c>
    </row>
    <row r="259" spans="15:16" x14ac:dyDescent="0.3">
      <c r="O259" t="s">
        <v>321</v>
      </c>
      <c r="P259">
        <v>2021</v>
      </c>
    </row>
    <row r="260" spans="15:16" x14ac:dyDescent="0.3">
      <c r="O260" t="s">
        <v>322</v>
      </c>
      <c r="P260">
        <v>2021</v>
      </c>
    </row>
    <row r="261" spans="15:16" x14ac:dyDescent="0.3">
      <c r="O261" t="s">
        <v>323</v>
      </c>
      <c r="P261">
        <v>2021</v>
      </c>
    </row>
    <row r="262" spans="15:16" x14ac:dyDescent="0.3">
      <c r="O262" t="s">
        <v>324</v>
      </c>
      <c r="P262">
        <v>2021</v>
      </c>
    </row>
    <row r="263" spans="15:16" x14ac:dyDescent="0.3">
      <c r="O263" t="s">
        <v>325</v>
      </c>
      <c r="P263">
        <v>2021</v>
      </c>
    </row>
    <row r="264" spans="15:16" x14ac:dyDescent="0.3">
      <c r="O264" t="s">
        <v>326</v>
      </c>
      <c r="P264">
        <v>2021</v>
      </c>
    </row>
    <row r="265" spans="15:16" x14ac:dyDescent="0.3">
      <c r="O265" t="s">
        <v>327</v>
      </c>
      <c r="P265">
        <v>2021</v>
      </c>
    </row>
    <row r="266" spans="15:16" x14ac:dyDescent="0.3">
      <c r="O266" t="s">
        <v>328</v>
      </c>
      <c r="P266">
        <v>2021</v>
      </c>
    </row>
    <row r="267" spans="15:16" x14ac:dyDescent="0.3">
      <c r="O267" t="s">
        <v>330</v>
      </c>
      <c r="P267">
        <v>2021</v>
      </c>
    </row>
    <row r="268" spans="15:16" x14ac:dyDescent="0.3">
      <c r="O268" t="s">
        <v>331</v>
      </c>
      <c r="P268">
        <v>2021</v>
      </c>
    </row>
    <row r="269" spans="15:16" x14ac:dyDescent="0.3">
      <c r="O269" t="s">
        <v>332</v>
      </c>
      <c r="P269">
        <v>2021</v>
      </c>
    </row>
    <row r="270" spans="15:16" x14ac:dyDescent="0.3">
      <c r="O270" t="s">
        <v>333</v>
      </c>
      <c r="P270">
        <v>2021</v>
      </c>
    </row>
    <row r="271" spans="15:16" x14ac:dyDescent="0.3">
      <c r="O271" t="s">
        <v>334</v>
      </c>
      <c r="P271">
        <v>2021</v>
      </c>
    </row>
    <row r="272" spans="15:16" x14ac:dyDescent="0.3">
      <c r="O272" t="s">
        <v>335</v>
      </c>
      <c r="P272">
        <v>2021</v>
      </c>
    </row>
    <row r="273" spans="15:16" x14ac:dyDescent="0.3">
      <c r="O273" t="s">
        <v>336</v>
      </c>
      <c r="P273">
        <v>2021</v>
      </c>
    </row>
    <row r="274" spans="15:16" x14ac:dyDescent="0.3">
      <c r="O274" t="s">
        <v>337</v>
      </c>
      <c r="P274">
        <v>2021</v>
      </c>
    </row>
    <row r="275" spans="15:16" x14ac:dyDescent="0.3">
      <c r="O275" t="s">
        <v>338</v>
      </c>
      <c r="P275">
        <v>2021</v>
      </c>
    </row>
    <row r="276" spans="15:16" x14ac:dyDescent="0.3">
      <c r="O276" t="s">
        <v>339</v>
      </c>
      <c r="P276">
        <v>2021</v>
      </c>
    </row>
    <row r="277" spans="15:16" x14ac:dyDescent="0.3">
      <c r="O277" t="s">
        <v>340</v>
      </c>
      <c r="P277">
        <v>2021</v>
      </c>
    </row>
    <row r="278" spans="15:16" x14ac:dyDescent="0.3">
      <c r="O278" t="s">
        <v>341</v>
      </c>
      <c r="P278">
        <v>2021</v>
      </c>
    </row>
    <row r="279" spans="15:16" x14ac:dyDescent="0.3">
      <c r="O279" t="s">
        <v>342</v>
      </c>
      <c r="P279">
        <v>2021</v>
      </c>
    </row>
    <row r="280" spans="15:16" x14ac:dyDescent="0.3">
      <c r="O280" t="s">
        <v>343</v>
      </c>
      <c r="P280">
        <v>2021</v>
      </c>
    </row>
    <row r="281" spans="15:16" x14ac:dyDescent="0.3">
      <c r="O281" t="s">
        <v>344</v>
      </c>
      <c r="P281">
        <v>2021</v>
      </c>
    </row>
    <row r="282" spans="15:16" x14ac:dyDescent="0.3">
      <c r="O282" t="s">
        <v>345</v>
      </c>
      <c r="P282">
        <v>2021</v>
      </c>
    </row>
    <row r="283" spans="15:16" x14ac:dyDescent="0.3">
      <c r="O283" t="s">
        <v>346</v>
      </c>
      <c r="P283">
        <v>2021</v>
      </c>
    </row>
    <row r="284" spans="15:16" x14ac:dyDescent="0.3">
      <c r="O284" t="s">
        <v>347</v>
      </c>
      <c r="P284">
        <v>2021</v>
      </c>
    </row>
    <row r="285" spans="15:16" x14ac:dyDescent="0.3">
      <c r="O285" t="s">
        <v>348</v>
      </c>
      <c r="P285">
        <v>2021</v>
      </c>
    </row>
    <row r="286" spans="15:16" x14ac:dyDescent="0.3">
      <c r="O286" t="s">
        <v>349</v>
      </c>
      <c r="P286">
        <v>2021</v>
      </c>
    </row>
    <row r="287" spans="15:16" x14ac:dyDescent="0.3">
      <c r="O287" t="s">
        <v>350</v>
      </c>
      <c r="P287">
        <v>2021</v>
      </c>
    </row>
    <row r="288" spans="15:16" x14ac:dyDescent="0.3">
      <c r="O288" t="s">
        <v>351</v>
      </c>
      <c r="P288">
        <v>2021</v>
      </c>
    </row>
    <row r="289" spans="15:16" x14ac:dyDescent="0.3">
      <c r="O289" t="s">
        <v>352</v>
      </c>
      <c r="P289">
        <v>2021</v>
      </c>
    </row>
    <row r="290" spans="15:16" x14ac:dyDescent="0.3">
      <c r="O290" t="s">
        <v>353</v>
      </c>
      <c r="P290">
        <v>2021</v>
      </c>
    </row>
    <row r="291" spans="15:16" x14ac:dyDescent="0.3">
      <c r="O291" t="s">
        <v>354</v>
      </c>
      <c r="P291">
        <v>2021</v>
      </c>
    </row>
    <row r="292" spans="15:16" x14ac:dyDescent="0.3">
      <c r="O292" t="s">
        <v>355</v>
      </c>
      <c r="P292">
        <v>2021</v>
      </c>
    </row>
    <row r="293" spans="15:16" x14ac:dyDescent="0.3">
      <c r="O293" t="s">
        <v>356</v>
      </c>
      <c r="P293">
        <v>2021</v>
      </c>
    </row>
    <row r="294" spans="15:16" x14ac:dyDescent="0.3">
      <c r="O294" t="s">
        <v>357</v>
      </c>
      <c r="P294">
        <v>2021</v>
      </c>
    </row>
    <row r="295" spans="15:16" x14ac:dyDescent="0.3">
      <c r="O295" t="s">
        <v>358</v>
      </c>
      <c r="P295">
        <v>2021</v>
      </c>
    </row>
    <row r="296" spans="15:16" x14ac:dyDescent="0.3">
      <c r="O296" t="s">
        <v>359</v>
      </c>
      <c r="P296">
        <v>2021</v>
      </c>
    </row>
    <row r="297" spans="15:16" x14ac:dyDescent="0.3">
      <c r="O297" t="s">
        <v>360</v>
      </c>
      <c r="P297">
        <v>2021</v>
      </c>
    </row>
    <row r="298" spans="15:16" x14ac:dyDescent="0.3">
      <c r="O298" t="s">
        <v>361</v>
      </c>
      <c r="P298">
        <v>2021</v>
      </c>
    </row>
    <row r="299" spans="15:16" x14ac:dyDescent="0.3">
      <c r="O299" t="s">
        <v>362</v>
      </c>
      <c r="P299">
        <v>2021</v>
      </c>
    </row>
    <row r="300" spans="15:16" x14ac:dyDescent="0.3">
      <c r="O300" t="s">
        <v>363</v>
      </c>
      <c r="P300">
        <v>2021</v>
      </c>
    </row>
    <row r="301" spans="15:16" x14ac:dyDescent="0.3">
      <c r="O301" t="s">
        <v>364</v>
      </c>
      <c r="P301">
        <v>2021</v>
      </c>
    </row>
    <row r="302" spans="15:16" x14ac:dyDescent="0.3">
      <c r="O302" t="s">
        <v>365</v>
      </c>
      <c r="P302">
        <v>2021</v>
      </c>
    </row>
    <row r="303" spans="15:16" x14ac:dyDescent="0.3">
      <c r="O303" t="s">
        <v>366</v>
      </c>
      <c r="P303">
        <v>2021</v>
      </c>
    </row>
    <row r="304" spans="15:16" x14ac:dyDescent="0.3">
      <c r="O304" t="s">
        <v>367</v>
      </c>
      <c r="P304">
        <v>2021</v>
      </c>
    </row>
    <row r="305" spans="15:16" x14ac:dyDescent="0.3">
      <c r="O305" t="s">
        <v>368</v>
      </c>
      <c r="P305">
        <v>2021</v>
      </c>
    </row>
    <row r="306" spans="15:16" x14ac:dyDescent="0.3">
      <c r="O306" t="s">
        <v>369</v>
      </c>
      <c r="P306">
        <v>2021</v>
      </c>
    </row>
    <row r="307" spans="15:16" x14ac:dyDescent="0.3">
      <c r="O307" t="s">
        <v>370</v>
      </c>
      <c r="P307">
        <v>2021</v>
      </c>
    </row>
    <row r="308" spans="15:16" x14ac:dyDescent="0.3">
      <c r="O308" t="s">
        <v>371</v>
      </c>
      <c r="P308">
        <v>2021</v>
      </c>
    </row>
    <row r="309" spans="15:16" x14ac:dyDescent="0.3">
      <c r="O309" t="s">
        <v>372</v>
      </c>
      <c r="P309">
        <v>2021</v>
      </c>
    </row>
    <row r="310" spans="15:16" x14ac:dyDescent="0.3">
      <c r="O310" t="s">
        <v>373</v>
      </c>
      <c r="P310">
        <v>2021</v>
      </c>
    </row>
    <row r="311" spans="15:16" x14ac:dyDescent="0.3">
      <c r="O311" t="s">
        <v>374</v>
      </c>
      <c r="P311">
        <v>2021</v>
      </c>
    </row>
    <row r="312" spans="15:16" x14ac:dyDescent="0.3">
      <c r="O312" t="s">
        <v>375</v>
      </c>
      <c r="P312">
        <v>2021</v>
      </c>
    </row>
    <row r="313" spans="15:16" x14ac:dyDescent="0.3">
      <c r="O313" t="s">
        <v>376</v>
      </c>
      <c r="P313">
        <v>2021</v>
      </c>
    </row>
    <row r="314" spans="15:16" x14ac:dyDescent="0.3">
      <c r="O314" t="s">
        <v>377</v>
      </c>
      <c r="P314">
        <v>2021</v>
      </c>
    </row>
    <row r="315" spans="15:16" x14ac:dyDescent="0.3">
      <c r="O315" t="s">
        <v>378</v>
      </c>
      <c r="P315">
        <v>2021</v>
      </c>
    </row>
    <row r="316" spans="15:16" x14ac:dyDescent="0.3">
      <c r="O316" t="s">
        <v>379</v>
      </c>
      <c r="P316">
        <v>2021</v>
      </c>
    </row>
    <row r="317" spans="15:16" x14ac:dyDescent="0.3">
      <c r="O317" t="s">
        <v>380</v>
      </c>
      <c r="P317">
        <v>2021</v>
      </c>
    </row>
    <row r="318" spans="15:16" x14ac:dyDescent="0.3">
      <c r="O318" t="s">
        <v>382</v>
      </c>
      <c r="P318">
        <v>2021</v>
      </c>
    </row>
    <row r="319" spans="15:16" x14ac:dyDescent="0.3">
      <c r="O319" t="s">
        <v>383</v>
      </c>
      <c r="P319">
        <v>2021</v>
      </c>
    </row>
    <row r="320" spans="15:16" x14ac:dyDescent="0.3">
      <c r="O320" t="s">
        <v>384</v>
      </c>
      <c r="P320">
        <v>2021</v>
      </c>
    </row>
    <row r="321" spans="15:16" x14ac:dyDescent="0.3">
      <c r="O321" t="s">
        <v>385</v>
      </c>
      <c r="P321">
        <v>2021</v>
      </c>
    </row>
    <row r="322" spans="15:16" x14ac:dyDescent="0.3">
      <c r="O322" t="s">
        <v>386</v>
      </c>
      <c r="P322">
        <v>2021</v>
      </c>
    </row>
    <row r="323" spans="15:16" x14ac:dyDescent="0.3">
      <c r="O323" t="s">
        <v>387</v>
      </c>
      <c r="P323">
        <v>2021</v>
      </c>
    </row>
    <row r="324" spans="15:16" x14ac:dyDescent="0.3">
      <c r="O324" t="s">
        <v>388</v>
      </c>
      <c r="P324">
        <v>2021</v>
      </c>
    </row>
    <row r="325" spans="15:16" x14ac:dyDescent="0.3">
      <c r="O325" t="s">
        <v>389</v>
      </c>
      <c r="P325">
        <v>2021</v>
      </c>
    </row>
    <row r="326" spans="15:16" x14ac:dyDescent="0.3">
      <c r="O326" t="s">
        <v>390</v>
      </c>
      <c r="P326">
        <v>2021</v>
      </c>
    </row>
    <row r="327" spans="15:16" x14ac:dyDescent="0.3">
      <c r="O327" t="s">
        <v>391</v>
      </c>
      <c r="P327">
        <v>2021</v>
      </c>
    </row>
    <row r="328" spans="15:16" x14ac:dyDescent="0.3">
      <c r="O328" t="s">
        <v>392</v>
      </c>
      <c r="P328">
        <v>2021</v>
      </c>
    </row>
    <row r="329" spans="15:16" x14ac:dyDescent="0.3">
      <c r="O329" t="s">
        <v>393</v>
      </c>
      <c r="P329">
        <v>2021</v>
      </c>
    </row>
    <row r="330" spans="15:16" x14ac:dyDescent="0.3">
      <c r="O330" t="s">
        <v>394</v>
      </c>
      <c r="P330">
        <v>2021</v>
      </c>
    </row>
    <row r="331" spans="15:16" x14ac:dyDescent="0.3">
      <c r="O331" t="s">
        <v>395</v>
      </c>
      <c r="P331">
        <v>2021</v>
      </c>
    </row>
    <row r="332" spans="15:16" x14ac:dyDescent="0.3">
      <c r="O332" t="s">
        <v>396</v>
      </c>
      <c r="P332">
        <v>2021</v>
      </c>
    </row>
    <row r="333" spans="15:16" x14ac:dyDescent="0.3">
      <c r="O333" t="s">
        <v>397</v>
      </c>
      <c r="P333">
        <v>2021</v>
      </c>
    </row>
    <row r="334" spans="15:16" x14ac:dyDescent="0.3">
      <c r="O334" t="s">
        <v>398</v>
      </c>
      <c r="P334">
        <v>2021</v>
      </c>
    </row>
    <row r="335" spans="15:16" x14ac:dyDescent="0.3">
      <c r="O335" t="s">
        <v>400</v>
      </c>
      <c r="P335">
        <v>2021</v>
      </c>
    </row>
    <row r="336" spans="15:16" x14ac:dyDescent="0.3">
      <c r="O336" t="s">
        <v>401</v>
      </c>
      <c r="P336">
        <v>2021</v>
      </c>
    </row>
    <row r="337" spans="15:16" x14ac:dyDescent="0.3">
      <c r="O337" t="s">
        <v>402</v>
      </c>
      <c r="P337">
        <v>2021</v>
      </c>
    </row>
    <row r="338" spans="15:16" x14ac:dyDescent="0.3">
      <c r="O338" t="s">
        <v>403</v>
      </c>
      <c r="P338">
        <v>2021</v>
      </c>
    </row>
    <row r="339" spans="15:16" x14ac:dyDescent="0.3">
      <c r="O339" t="s">
        <v>404</v>
      </c>
      <c r="P339">
        <v>2021</v>
      </c>
    </row>
    <row r="340" spans="15:16" x14ac:dyDescent="0.3">
      <c r="O340" t="s">
        <v>405</v>
      </c>
      <c r="P340">
        <v>2021</v>
      </c>
    </row>
    <row r="341" spans="15:16" x14ac:dyDescent="0.3">
      <c r="O341" t="s">
        <v>406</v>
      </c>
      <c r="P341">
        <v>2021</v>
      </c>
    </row>
    <row r="342" spans="15:16" x14ac:dyDescent="0.3">
      <c r="O342" t="s">
        <v>407</v>
      </c>
      <c r="P342">
        <v>2021</v>
      </c>
    </row>
    <row r="343" spans="15:16" x14ac:dyDescent="0.3">
      <c r="O343" t="s">
        <v>408</v>
      </c>
      <c r="P343">
        <v>2021</v>
      </c>
    </row>
    <row r="344" spans="15:16" x14ac:dyDescent="0.3">
      <c r="O344" t="s">
        <v>409</v>
      </c>
      <c r="P344">
        <v>2021</v>
      </c>
    </row>
    <row r="345" spans="15:16" x14ac:dyDescent="0.3">
      <c r="O345" t="s">
        <v>410</v>
      </c>
      <c r="P345">
        <v>2021</v>
      </c>
    </row>
    <row r="346" spans="15:16" x14ac:dyDescent="0.3">
      <c r="O346" t="s">
        <v>411</v>
      </c>
      <c r="P346">
        <v>2021</v>
      </c>
    </row>
    <row r="347" spans="15:16" x14ac:dyDescent="0.3">
      <c r="O347" t="s">
        <v>412</v>
      </c>
      <c r="P347">
        <v>2021</v>
      </c>
    </row>
    <row r="348" spans="15:16" x14ac:dyDescent="0.3">
      <c r="O348" t="s">
        <v>413</v>
      </c>
      <c r="P348">
        <v>2021</v>
      </c>
    </row>
    <row r="349" spans="15:16" x14ac:dyDescent="0.3">
      <c r="O349" t="s">
        <v>414</v>
      </c>
      <c r="P349">
        <v>2021</v>
      </c>
    </row>
    <row r="350" spans="15:16" x14ac:dyDescent="0.3">
      <c r="O350" t="s">
        <v>415</v>
      </c>
      <c r="P350">
        <v>2021</v>
      </c>
    </row>
    <row r="351" spans="15:16" x14ac:dyDescent="0.3">
      <c r="O351" t="s">
        <v>416</v>
      </c>
      <c r="P351">
        <v>2021</v>
      </c>
    </row>
    <row r="352" spans="15:16" x14ac:dyDescent="0.3">
      <c r="O352" t="s">
        <v>417</v>
      </c>
      <c r="P352">
        <v>2021</v>
      </c>
    </row>
    <row r="353" spans="15:16" x14ac:dyDescent="0.3">
      <c r="O353" t="s">
        <v>418</v>
      </c>
      <c r="P353">
        <v>2021</v>
      </c>
    </row>
    <row r="354" spans="15:16" x14ac:dyDescent="0.3">
      <c r="O354" t="s">
        <v>419</v>
      </c>
      <c r="P354">
        <v>2021</v>
      </c>
    </row>
    <row r="355" spans="15:16" x14ac:dyDescent="0.3">
      <c r="O355" t="s">
        <v>420</v>
      </c>
      <c r="P355">
        <v>2021</v>
      </c>
    </row>
    <row r="356" spans="15:16" x14ac:dyDescent="0.3">
      <c r="O356" t="s">
        <v>421</v>
      </c>
      <c r="P356">
        <v>2021</v>
      </c>
    </row>
    <row r="357" spans="15:16" x14ac:dyDescent="0.3">
      <c r="O357" t="s">
        <v>422</v>
      </c>
      <c r="P357">
        <v>2021</v>
      </c>
    </row>
    <row r="358" spans="15:16" x14ac:dyDescent="0.3">
      <c r="O358" t="s">
        <v>423</v>
      </c>
      <c r="P358">
        <v>2021</v>
      </c>
    </row>
    <row r="359" spans="15:16" x14ac:dyDescent="0.3">
      <c r="O359" t="s">
        <v>424</v>
      </c>
      <c r="P359">
        <v>2021</v>
      </c>
    </row>
    <row r="360" spans="15:16" x14ac:dyDescent="0.3">
      <c r="O360" t="s">
        <v>425</v>
      </c>
      <c r="P360">
        <v>2021</v>
      </c>
    </row>
    <row r="361" spans="15:16" x14ac:dyDescent="0.3">
      <c r="O361" t="s">
        <v>426</v>
      </c>
      <c r="P361">
        <v>2021</v>
      </c>
    </row>
    <row r="362" spans="15:16" x14ac:dyDescent="0.3">
      <c r="O362" t="s">
        <v>427</v>
      </c>
      <c r="P362">
        <v>2021</v>
      </c>
    </row>
    <row r="363" spans="15:16" x14ac:dyDescent="0.3">
      <c r="O363" t="s">
        <v>428</v>
      </c>
      <c r="P363">
        <v>2021</v>
      </c>
    </row>
    <row r="364" spans="15:16" x14ac:dyDescent="0.3">
      <c r="O364" t="s">
        <v>429</v>
      </c>
      <c r="P364">
        <v>2021</v>
      </c>
    </row>
    <row r="365" spans="15:16" x14ac:dyDescent="0.3">
      <c r="O365" t="s">
        <v>430</v>
      </c>
      <c r="P365">
        <v>2021</v>
      </c>
    </row>
    <row r="366" spans="15:16" x14ac:dyDescent="0.3">
      <c r="O366" t="s">
        <v>431</v>
      </c>
      <c r="P366">
        <v>2021</v>
      </c>
    </row>
    <row r="367" spans="15:16" x14ac:dyDescent="0.3">
      <c r="O367" t="s">
        <v>432</v>
      </c>
      <c r="P367">
        <v>2021</v>
      </c>
    </row>
    <row r="368" spans="15:16" x14ac:dyDescent="0.3">
      <c r="O368" t="s">
        <v>433</v>
      </c>
      <c r="P368">
        <v>2021</v>
      </c>
    </row>
    <row r="369" spans="15:16" x14ac:dyDescent="0.3">
      <c r="O369" t="s">
        <v>434</v>
      </c>
      <c r="P369">
        <v>2021</v>
      </c>
    </row>
    <row r="370" spans="15:16" x14ac:dyDescent="0.3">
      <c r="O370" t="s">
        <v>435</v>
      </c>
      <c r="P370">
        <v>2021</v>
      </c>
    </row>
    <row r="371" spans="15:16" x14ac:dyDescent="0.3">
      <c r="O371" t="s">
        <v>436</v>
      </c>
      <c r="P371">
        <v>2021</v>
      </c>
    </row>
    <row r="372" spans="15:16" x14ac:dyDescent="0.3">
      <c r="O372" t="s">
        <v>437</v>
      </c>
      <c r="P372">
        <v>2021</v>
      </c>
    </row>
    <row r="373" spans="15:16" x14ac:dyDescent="0.3">
      <c r="O373" t="s">
        <v>438</v>
      </c>
      <c r="P373">
        <v>2021</v>
      </c>
    </row>
    <row r="374" spans="15:16" x14ac:dyDescent="0.3">
      <c r="O374" t="s">
        <v>439</v>
      </c>
      <c r="P374">
        <v>2021</v>
      </c>
    </row>
    <row r="375" spans="15:16" x14ac:dyDescent="0.3">
      <c r="O375" t="s">
        <v>440</v>
      </c>
      <c r="P375">
        <v>2021</v>
      </c>
    </row>
    <row r="376" spans="15:16" x14ac:dyDescent="0.3">
      <c r="O376" t="s">
        <v>441</v>
      </c>
      <c r="P376">
        <v>2021</v>
      </c>
    </row>
    <row r="377" spans="15:16" x14ac:dyDescent="0.3">
      <c r="O377" t="s">
        <v>442</v>
      </c>
      <c r="P377">
        <v>2021</v>
      </c>
    </row>
    <row r="378" spans="15:16" x14ac:dyDescent="0.3">
      <c r="O378" t="s">
        <v>443</v>
      </c>
      <c r="P378">
        <v>2021</v>
      </c>
    </row>
    <row r="379" spans="15:16" x14ac:dyDescent="0.3">
      <c r="O379" t="s">
        <v>444</v>
      </c>
      <c r="P379">
        <v>2021</v>
      </c>
    </row>
    <row r="380" spans="15:16" x14ac:dyDescent="0.3">
      <c r="O380" t="s">
        <v>445</v>
      </c>
      <c r="P380">
        <v>2021</v>
      </c>
    </row>
    <row r="381" spans="15:16" x14ac:dyDescent="0.3">
      <c r="O381" t="s">
        <v>446</v>
      </c>
      <c r="P381">
        <v>2021</v>
      </c>
    </row>
    <row r="382" spans="15:16" x14ac:dyDescent="0.3">
      <c r="O382" t="s">
        <v>447</v>
      </c>
      <c r="P382">
        <v>2021</v>
      </c>
    </row>
    <row r="383" spans="15:16" x14ac:dyDescent="0.3">
      <c r="O383" t="s">
        <v>448</v>
      </c>
      <c r="P383">
        <v>2021</v>
      </c>
    </row>
    <row r="384" spans="15:16" x14ac:dyDescent="0.3">
      <c r="O384" t="s">
        <v>449</v>
      </c>
      <c r="P384">
        <v>2021</v>
      </c>
    </row>
    <row r="385" spans="15:16" x14ac:dyDescent="0.3">
      <c r="O385" t="s">
        <v>450</v>
      </c>
      <c r="P385">
        <v>2021</v>
      </c>
    </row>
    <row r="386" spans="15:16" x14ac:dyDescent="0.3">
      <c r="O386" t="s">
        <v>451</v>
      </c>
      <c r="P386">
        <v>2021</v>
      </c>
    </row>
    <row r="387" spans="15:16" x14ac:dyDescent="0.3">
      <c r="O387" t="s">
        <v>452</v>
      </c>
      <c r="P387">
        <v>2021</v>
      </c>
    </row>
    <row r="388" spans="15:16" x14ac:dyDescent="0.3">
      <c r="O388" t="s">
        <v>453</v>
      </c>
      <c r="P388">
        <v>2021</v>
      </c>
    </row>
    <row r="389" spans="15:16" x14ac:dyDescent="0.3">
      <c r="O389" t="s">
        <v>454</v>
      </c>
      <c r="P389">
        <v>2021</v>
      </c>
    </row>
    <row r="390" spans="15:16" x14ac:dyDescent="0.3">
      <c r="O390" t="s">
        <v>455</v>
      </c>
      <c r="P390">
        <v>2021</v>
      </c>
    </row>
    <row r="391" spans="15:16" x14ac:dyDescent="0.3">
      <c r="O391" t="s">
        <v>456</v>
      </c>
      <c r="P391">
        <v>2021</v>
      </c>
    </row>
    <row r="392" spans="15:16" x14ac:dyDescent="0.3">
      <c r="O392" t="s">
        <v>457</v>
      </c>
      <c r="P392">
        <v>2021</v>
      </c>
    </row>
    <row r="393" spans="15:16" x14ac:dyDescent="0.3">
      <c r="O393" t="s">
        <v>458</v>
      </c>
      <c r="P393">
        <v>2021</v>
      </c>
    </row>
    <row r="394" spans="15:16" x14ac:dyDescent="0.3">
      <c r="O394" t="s">
        <v>459</v>
      </c>
      <c r="P394">
        <v>2021</v>
      </c>
    </row>
    <row r="395" spans="15:16" x14ac:dyDescent="0.3">
      <c r="O395" t="s">
        <v>460</v>
      </c>
      <c r="P395">
        <v>2021</v>
      </c>
    </row>
    <row r="396" spans="15:16" x14ac:dyDescent="0.3">
      <c r="O396" t="s">
        <v>461</v>
      </c>
      <c r="P396">
        <v>2021</v>
      </c>
    </row>
    <row r="397" spans="15:16" x14ac:dyDescent="0.3">
      <c r="O397" t="s">
        <v>462</v>
      </c>
      <c r="P397">
        <v>2021</v>
      </c>
    </row>
    <row r="398" spans="15:16" x14ac:dyDescent="0.3">
      <c r="O398" t="s">
        <v>463</v>
      </c>
      <c r="P398">
        <v>2021</v>
      </c>
    </row>
    <row r="399" spans="15:16" x14ac:dyDescent="0.3">
      <c r="O399" t="s">
        <v>464</v>
      </c>
      <c r="P399">
        <v>2021</v>
      </c>
    </row>
    <row r="400" spans="15:16" x14ac:dyDescent="0.3">
      <c r="O400" t="s">
        <v>465</v>
      </c>
      <c r="P400">
        <v>2021</v>
      </c>
    </row>
    <row r="401" spans="15:16" x14ac:dyDescent="0.3">
      <c r="O401" t="s">
        <v>466</v>
      </c>
      <c r="P401">
        <v>2021</v>
      </c>
    </row>
    <row r="402" spans="15:16" x14ac:dyDescent="0.3">
      <c r="O402" t="s">
        <v>467</v>
      </c>
      <c r="P402">
        <v>2021</v>
      </c>
    </row>
    <row r="403" spans="15:16" x14ac:dyDescent="0.3">
      <c r="O403" t="s">
        <v>468</v>
      </c>
      <c r="P403">
        <v>2021</v>
      </c>
    </row>
    <row r="404" spans="15:16" x14ac:dyDescent="0.3">
      <c r="O404" t="s">
        <v>470</v>
      </c>
      <c r="P404">
        <v>2021</v>
      </c>
    </row>
    <row r="405" spans="15:16" x14ac:dyDescent="0.3">
      <c r="O405" t="s">
        <v>471</v>
      </c>
      <c r="P405">
        <v>2021</v>
      </c>
    </row>
    <row r="406" spans="15:16" x14ac:dyDescent="0.3">
      <c r="O406" t="s">
        <v>472</v>
      </c>
      <c r="P406">
        <v>2021</v>
      </c>
    </row>
    <row r="407" spans="15:16" x14ac:dyDescent="0.3">
      <c r="O407" t="s">
        <v>473</v>
      </c>
      <c r="P407">
        <v>2021</v>
      </c>
    </row>
    <row r="408" spans="15:16" x14ac:dyDescent="0.3">
      <c r="O408" t="s">
        <v>474</v>
      </c>
      <c r="P408">
        <v>2021</v>
      </c>
    </row>
    <row r="409" spans="15:16" x14ac:dyDescent="0.3">
      <c r="O409" t="s">
        <v>475</v>
      </c>
      <c r="P409">
        <v>2021</v>
      </c>
    </row>
    <row r="410" spans="15:16" x14ac:dyDescent="0.3">
      <c r="O410" t="s">
        <v>476</v>
      </c>
      <c r="P410">
        <v>2021</v>
      </c>
    </row>
    <row r="411" spans="15:16" x14ac:dyDescent="0.3">
      <c r="O411" t="s">
        <v>477</v>
      </c>
      <c r="P411">
        <v>2021</v>
      </c>
    </row>
    <row r="412" spans="15:16" x14ac:dyDescent="0.3">
      <c r="O412" t="s">
        <v>478</v>
      </c>
      <c r="P412">
        <v>2021</v>
      </c>
    </row>
    <row r="413" spans="15:16" x14ac:dyDescent="0.3">
      <c r="O413" t="s">
        <v>479</v>
      </c>
      <c r="P413">
        <v>2021</v>
      </c>
    </row>
    <row r="414" spans="15:16" x14ac:dyDescent="0.3">
      <c r="O414" t="s">
        <v>480</v>
      </c>
      <c r="P414">
        <v>2021</v>
      </c>
    </row>
    <row r="415" spans="15:16" x14ac:dyDescent="0.3">
      <c r="O415" t="s">
        <v>481</v>
      </c>
      <c r="P415">
        <v>2021</v>
      </c>
    </row>
    <row r="416" spans="15:16" x14ac:dyDescent="0.3">
      <c r="O416" t="s">
        <v>482</v>
      </c>
      <c r="P416">
        <v>2021</v>
      </c>
    </row>
    <row r="417" spans="15:16" x14ac:dyDescent="0.3">
      <c r="O417" t="s">
        <v>483</v>
      </c>
      <c r="P417">
        <v>2021</v>
      </c>
    </row>
    <row r="418" spans="15:16" x14ac:dyDescent="0.3">
      <c r="O418" t="s">
        <v>484</v>
      </c>
      <c r="P418">
        <v>2021</v>
      </c>
    </row>
    <row r="419" spans="15:16" x14ac:dyDescent="0.3">
      <c r="O419" t="s">
        <v>485</v>
      </c>
      <c r="P419">
        <v>2021</v>
      </c>
    </row>
    <row r="420" spans="15:16" x14ac:dyDescent="0.3">
      <c r="O420" t="s">
        <v>486</v>
      </c>
      <c r="P420">
        <v>2021</v>
      </c>
    </row>
    <row r="421" spans="15:16" x14ac:dyDescent="0.3">
      <c r="O421" t="s">
        <v>487</v>
      </c>
      <c r="P421">
        <v>2021</v>
      </c>
    </row>
    <row r="422" spans="15:16" x14ac:dyDescent="0.3">
      <c r="O422" t="s">
        <v>488</v>
      </c>
      <c r="P422">
        <v>2021</v>
      </c>
    </row>
    <row r="423" spans="15:16" x14ac:dyDescent="0.3">
      <c r="O423" t="s">
        <v>489</v>
      </c>
      <c r="P423">
        <v>2021</v>
      </c>
    </row>
    <row r="424" spans="15:16" x14ac:dyDescent="0.3">
      <c r="O424" t="s">
        <v>490</v>
      </c>
      <c r="P424">
        <v>2021</v>
      </c>
    </row>
    <row r="425" spans="15:16" x14ac:dyDescent="0.3">
      <c r="O425" t="s">
        <v>491</v>
      </c>
      <c r="P425">
        <v>2021</v>
      </c>
    </row>
    <row r="426" spans="15:16" x14ac:dyDescent="0.3">
      <c r="O426" t="s">
        <v>492</v>
      </c>
      <c r="P426">
        <v>2021</v>
      </c>
    </row>
    <row r="427" spans="15:16" x14ac:dyDescent="0.3">
      <c r="O427" t="s">
        <v>493</v>
      </c>
      <c r="P427">
        <v>2021</v>
      </c>
    </row>
    <row r="428" spans="15:16" x14ac:dyDescent="0.3">
      <c r="O428" t="s">
        <v>494</v>
      </c>
      <c r="P428">
        <v>2021</v>
      </c>
    </row>
    <row r="429" spans="15:16" x14ac:dyDescent="0.3">
      <c r="O429" t="s">
        <v>495</v>
      </c>
      <c r="P429">
        <v>2021</v>
      </c>
    </row>
    <row r="430" spans="15:16" x14ac:dyDescent="0.3">
      <c r="O430" t="s">
        <v>496</v>
      </c>
      <c r="P430">
        <v>2021</v>
      </c>
    </row>
    <row r="431" spans="15:16" x14ac:dyDescent="0.3">
      <c r="O431" t="s">
        <v>497</v>
      </c>
      <c r="P431">
        <v>2021</v>
      </c>
    </row>
    <row r="432" spans="15:16" x14ac:dyDescent="0.3">
      <c r="O432" t="s">
        <v>498</v>
      </c>
      <c r="P432">
        <v>2021</v>
      </c>
    </row>
    <row r="433" spans="15:16" x14ac:dyDescent="0.3">
      <c r="O433" t="s">
        <v>499</v>
      </c>
      <c r="P433">
        <v>2021</v>
      </c>
    </row>
    <row r="434" spans="15:16" x14ac:dyDescent="0.3">
      <c r="O434" t="s">
        <v>500</v>
      </c>
      <c r="P434">
        <v>2021</v>
      </c>
    </row>
    <row r="435" spans="15:16" x14ac:dyDescent="0.3">
      <c r="O435" t="s">
        <v>501</v>
      </c>
      <c r="P435">
        <v>2021</v>
      </c>
    </row>
    <row r="436" spans="15:16" x14ac:dyDescent="0.3">
      <c r="O436" t="s">
        <v>502</v>
      </c>
      <c r="P436">
        <v>2021</v>
      </c>
    </row>
    <row r="437" spans="15:16" x14ac:dyDescent="0.3">
      <c r="O437" t="s">
        <v>503</v>
      </c>
      <c r="P437">
        <v>2021</v>
      </c>
    </row>
    <row r="438" spans="15:16" x14ac:dyDescent="0.3">
      <c r="O438" t="s">
        <v>504</v>
      </c>
      <c r="P438">
        <v>2021</v>
      </c>
    </row>
    <row r="439" spans="15:16" x14ac:dyDescent="0.3">
      <c r="O439" t="s">
        <v>505</v>
      </c>
      <c r="P439">
        <v>2021</v>
      </c>
    </row>
    <row r="440" spans="15:16" x14ac:dyDescent="0.3">
      <c r="O440" t="s">
        <v>506</v>
      </c>
      <c r="P440">
        <v>2021</v>
      </c>
    </row>
    <row r="441" spans="15:16" x14ac:dyDescent="0.3">
      <c r="O441" t="s">
        <v>507</v>
      </c>
      <c r="P441">
        <v>2021</v>
      </c>
    </row>
    <row r="442" spans="15:16" x14ac:dyDescent="0.3">
      <c r="O442" t="s">
        <v>508</v>
      </c>
      <c r="P442">
        <v>2021</v>
      </c>
    </row>
    <row r="443" spans="15:16" x14ac:dyDescent="0.3">
      <c r="O443" t="s">
        <v>509</v>
      </c>
      <c r="P443">
        <v>2021</v>
      </c>
    </row>
    <row r="444" spans="15:16" x14ac:dyDescent="0.3">
      <c r="O444" t="s">
        <v>510</v>
      </c>
      <c r="P444">
        <v>2021</v>
      </c>
    </row>
    <row r="445" spans="15:16" x14ac:dyDescent="0.3">
      <c r="O445" t="s">
        <v>511</v>
      </c>
      <c r="P445">
        <v>2021</v>
      </c>
    </row>
    <row r="446" spans="15:16" x14ac:dyDescent="0.3">
      <c r="O446" t="s">
        <v>512</v>
      </c>
      <c r="P446">
        <v>2021</v>
      </c>
    </row>
    <row r="447" spans="15:16" x14ac:dyDescent="0.3">
      <c r="O447" t="s">
        <v>513</v>
      </c>
      <c r="P447">
        <v>2021</v>
      </c>
    </row>
    <row r="448" spans="15:16" x14ac:dyDescent="0.3">
      <c r="O448" t="s">
        <v>514</v>
      </c>
      <c r="P448">
        <v>2021</v>
      </c>
    </row>
    <row r="449" spans="15:16" x14ac:dyDescent="0.3">
      <c r="O449" t="s">
        <v>515</v>
      </c>
      <c r="P449">
        <v>2021</v>
      </c>
    </row>
    <row r="450" spans="15:16" x14ac:dyDescent="0.3">
      <c r="O450" t="s">
        <v>516</v>
      </c>
      <c r="P450">
        <v>2021</v>
      </c>
    </row>
    <row r="451" spans="15:16" x14ac:dyDescent="0.3">
      <c r="O451" t="s">
        <v>517</v>
      </c>
      <c r="P451">
        <v>2021</v>
      </c>
    </row>
    <row r="452" spans="15:16" x14ac:dyDescent="0.3">
      <c r="O452" t="s">
        <v>518</v>
      </c>
      <c r="P452">
        <v>2021</v>
      </c>
    </row>
    <row r="453" spans="15:16" x14ac:dyDescent="0.3">
      <c r="O453" t="s">
        <v>519</v>
      </c>
      <c r="P453">
        <v>2021</v>
      </c>
    </row>
    <row r="454" spans="15:16" x14ac:dyDescent="0.3">
      <c r="O454" t="s">
        <v>520</v>
      </c>
      <c r="P454">
        <v>2021</v>
      </c>
    </row>
    <row r="455" spans="15:16" x14ac:dyDescent="0.3">
      <c r="O455" t="s">
        <v>521</v>
      </c>
      <c r="P455">
        <v>2021</v>
      </c>
    </row>
    <row r="456" spans="15:16" x14ac:dyDescent="0.3">
      <c r="O456" t="s">
        <v>522</v>
      </c>
      <c r="P456">
        <v>2021</v>
      </c>
    </row>
    <row r="457" spans="15:16" x14ac:dyDescent="0.3">
      <c r="O457" t="s">
        <v>523</v>
      </c>
      <c r="P457">
        <v>2021</v>
      </c>
    </row>
    <row r="458" spans="15:16" x14ac:dyDescent="0.3">
      <c r="O458" t="s">
        <v>524</v>
      </c>
      <c r="P458">
        <v>2021</v>
      </c>
    </row>
    <row r="459" spans="15:16" x14ac:dyDescent="0.3">
      <c r="O459" t="s">
        <v>525</v>
      </c>
      <c r="P459">
        <v>2021</v>
      </c>
    </row>
    <row r="460" spans="15:16" x14ac:dyDescent="0.3">
      <c r="O460" t="s">
        <v>526</v>
      </c>
      <c r="P460">
        <v>2021</v>
      </c>
    </row>
    <row r="461" spans="15:16" x14ac:dyDescent="0.3">
      <c r="O461" t="s">
        <v>527</v>
      </c>
      <c r="P461">
        <v>2021</v>
      </c>
    </row>
    <row r="462" spans="15:16" x14ac:dyDescent="0.3">
      <c r="O462" t="s">
        <v>528</v>
      </c>
      <c r="P462">
        <v>2021</v>
      </c>
    </row>
    <row r="463" spans="15:16" x14ac:dyDescent="0.3">
      <c r="O463" t="s">
        <v>529</v>
      </c>
      <c r="P463">
        <v>2021</v>
      </c>
    </row>
    <row r="464" spans="15:16" x14ac:dyDescent="0.3">
      <c r="O464" t="s">
        <v>530</v>
      </c>
      <c r="P464">
        <v>2021</v>
      </c>
    </row>
    <row r="465" spans="15:16" x14ac:dyDescent="0.3">
      <c r="O465" t="s">
        <v>531</v>
      </c>
      <c r="P465">
        <v>2021</v>
      </c>
    </row>
    <row r="466" spans="15:16" x14ac:dyDescent="0.3">
      <c r="O466" t="s">
        <v>532</v>
      </c>
      <c r="P466">
        <v>2021</v>
      </c>
    </row>
    <row r="467" spans="15:16" x14ac:dyDescent="0.3">
      <c r="O467" t="s">
        <v>533</v>
      </c>
      <c r="P467">
        <v>2021</v>
      </c>
    </row>
    <row r="468" spans="15:16" x14ac:dyDescent="0.3">
      <c r="O468" t="s">
        <v>534</v>
      </c>
      <c r="P468">
        <v>2021</v>
      </c>
    </row>
    <row r="469" spans="15:16" x14ac:dyDescent="0.3">
      <c r="O469" t="s">
        <v>535</v>
      </c>
      <c r="P469">
        <v>2021</v>
      </c>
    </row>
    <row r="470" spans="15:16" x14ac:dyDescent="0.3">
      <c r="O470" t="s">
        <v>536</v>
      </c>
      <c r="P470">
        <v>2021</v>
      </c>
    </row>
    <row r="471" spans="15:16" x14ac:dyDescent="0.3">
      <c r="O471" t="s">
        <v>537</v>
      </c>
      <c r="P471">
        <v>2021</v>
      </c>
    </row>
    <row r="472" spans="15:16" x14ac:dyDescent="0.3">
      <c r="O472" t="s">
        <v>538</v>
      </c>
      <c r="P472">
        <v>2021</v>
      </c>
    </row>
    <row r="473" spans="15:16" x14ac:dyDescent="0.3">
      <c r="O473" t="s">
        <v>539</v>
      </c>
      <c r="P473">
        <v>2021</v>
      </c>
    </row>
    <row r="474" spans="15:16" x14ac:dyDescent="0.3">
      <c r="O474" t="s">
        <v>540</v>
      </c>
      <c r="P474">
        <v>2021</v>
      </c>
    </row>
    <row r="475" spans="15:16" x14ac:dyDescent="0.3">
      <c r="O475" t="s">
        <v>541</v>
      </c>
      <c r="P475">
        <v>2021</v>
      </c>
    </row>
    <row r="476" spans="15:16" x14ac:dyDescent="0.3">
      <c r="O476" t="s">
        <v>542</v>
      </c>
      <c r="P476">
        <v>2021</v>
      </c>
    </row>
    <row r="477" spans="15:16" x14ac:dyDescent="0.3">
      <c r="O477" t="s">
        <v>543</v>
      </c>
      <c r="P477">
        <v>2021</v>
      </c>
    </row>
    <row r="478" spans="15:16" x14ac:dyDescent="0.3">
      <c r="O478" t="s">
        <v>544</v>
      </c>
      <c r="P478">
        <v>2021</v>
      </c>
    </row>
    <row r="479" spans="15:16" x14ac:dyDescent="0.3">
      <c r="O479" t="s">
        <v>545</v>
      </c>
      <c r="P479">
        <v>2021</v>
      </c>
    </row>
    <row r="480" spans="15:16" x14ac:dyDescent="0.3">
      <c r="O480" t="s">
        <v>546</v>
      </c>
      <c r="P480">
        <v>2021</v>
      </c>
    </row>
    <row r="481" spans="15:16" x14ac:dyDescent="0.3">
      <c r="O481" t="s">
        <v>547</v>
      </c>
      <c r="P481">
        <v>2021</v>
      </c>
    </row>
    <row r="482" spans="15:16" x14ac:dyDescent="0.3">
      <c r="O482" t="s">
        <v>548</v>
      </c>
      <c r="P482">
        <v>2021</v>
      </c>
    </row>
    <row r="483" spans="15:16" x14ac:dyDescent="0.3">
      <c r="O483" t="s">
        <v>549</v>
      </c>
      <c r="P483">
        <v>2021</v>
      </c>
    </row>
    <row r="484" spans="15:16" x14ac:dyDescent="0.3">
      <c r="O484" t="s">
        <v>550</v>
      </c>
      <c r="P484">
        <v>2021</v>
      </c>
    </row>
    <row r="485" spans="15:16" x14ac:dyDescent="0.3">
      <c r="O485" t="s">
        <v>551</v>
      </c>
      <c r="P485">
        <v>2021</v>
      </c>
    </row>
    <row r="486" spans="15:16" x14ac:dyDescent="0.3">
      <c r="O486" t="s">
        <v>552</v>
      </c>
      <c r="P486">
        <v>2021</v>
      </c>
    </row>
    <row r="487" spans="15:16" x14ac:dyDescent="0.3">
      <c r="O487" t="s">
        <v>554</v>
      </c>
      <c r="P487">
        <v>2021</v>
      </c>
    </row>
    <row r="488" spans="15:16" x14ac:dyDescent="0.3">
      <c r="O488" t="s">
        <v>555</v>
      </c>
      <c r="P488">
        <v>2021</v>
      </c>
    </row>
    <row r="489" spans="15:16" x14ac:dyDescent="0.3">
      <c r="O489" t="s">
        <v>556</v>
      </c>
      <c r="P489">
        <v>2021</v>
      </c>
    </row>
    <row r="490" spans="15:16" x14ac:dyDescent="0.3">
      <c r="O490" t="s">
        <v>557</v>
      </c>
      <c r="P490">
        <v>2021</v>
      </c>
    </row>
    <row r="491" spans="15:16" x14ac:dyDescent="0.3">
      <c r="O491" t="s">
        <v>558</v>
      </c>
      <c r="P491">
        <v>2021</v>
      </c>
    </row>
    <row r="492" spans="15:16" x14ac:dyDescent="0.3">
      <c r="O492" t="s">
        <v>559</v>
      </c>
      <c r="P492">
        <v>2021</v>
      </c>
    </row>
    <row r="493" spans="15:16" x14ac:dyDescent="0.3">
      <c r="O493" t="s">
        <v>560</v>
      </c>
      <c r="P493">
        <v>2021</v>
      </c>
    </row>
    <row r="494" spans="15:16" x14ac:dyDescent="0.3">
      <c r="O494" t="s">
        <v>561</v>
      </c>
      <c r="P494">
        <v>2021</v>
      </c>
    </row>
    <row r="495" spans="15:16" x14ac:dyDescent="0.3">
      <c r="O495" t="s">
        <v>562</v>
      </c>
      <c r="P495">
        <v>2021</v>
      </c>
    </row>
    <row r="496" spans="15:16" x14ac:dyDescent="0.3">
      <c r="O496" t="s">
        <v>563</v>
      </c>
      <c r="P496">
        <v>2021</v>
      </c>
    </row>
    <row r="497" spans="15:16" x14ac:dyDescent="0.3">
      <c r="O497" t="s">
        <v>564</v>
      </c>
      <c r="P497">
        <v>2021</v>
      </c>
    </row>
    <row r="498" spans="15:16" x14ac:dyDescent="0.3">
      <c r="O498" t="s">
        <v>565</v>
      </c>
      <c r="P498">
        <v>2021</v>
      </c>
    </row>
    <row r="499" spans="15:16" x14ac:dyDescent="0.3">
      <c r="O499" t="s">
        <v>566</v>
      </c>
      <c r="P499">
        <v>2021</v>
      </c>
    </row>
    <row r="500" spans="15:16" x14ac:dyDescent="0.3">
      <c r="O500" t="s">
        <v>567</v>
      </c>
      <c r="P500">
        <v>2021</v>
      </c>
    </row>
    <row r="501" spans="15:16" x14ac:dyDescent="0.3">
      <c r="O501" t="s">
        <v>568</v>
      </c>
      <c r="P501">
        <v>2021</v>
      </c>
    </row>
    <row r="502" spans="15:16" x14ac:dyDescent="0.3">
      <c r="O502" t="s">
        <v>569</v>
      </c>
      <c r="P502">
        <v>2021</v>
      </c>
    </row>
    <row r="503" spans="15:16" x14ac:dyDescent="0.3">
      <c r="O503" t="s">
        <v>570</v>
      </c>
      <c r="P503">
        <v>2021</v>
      </c>
    </row>
    <row r="504" spans="15:16" x14ac:dyDescent="0.3">
      <c r="O504" t="s">
        <v>571</v>
      </c>
      <c r="P504">
        <v>2021</v>
      </c>
    </row>
    <row r="505" spans="15:16" x14ac:dyDescent="0.3">
      <c r="O505" t="s">
        <v>572</v>
      </c>
      <c r="P505">
        <v>2021</v>
      </c>
    </row>
    <row r="506" spans="15:16" x14ac:dyDescent="0.3">
      <c r="O506" t="s">
        <v>573</v>
      </c>
      <c r="P506">
        <v>2021</v>
      </c>
    </row>
    <row r="507" spans="15:16" x14ac:dyDescent="0.3">
      <c r="O507" t="s">
        <v>574</v>
      </c>
      <c r="P507">
        <v>2021</v>
      </c>
    </row>
    <row r="508" spans="15:16" x14ac:dyDescent="0.3">
      <c r="O508" t="s">
        <v>575</v>
      </c>
      <c r="P508">
        <v>2021</v>
      </c>
    </row>
    <row r="509" spans="15:16" x14ac:dyDescent="0.3">
      <c r="O509" t="s">
        <v>576</v>
      </c>
      <c r="P509">
        <v>2021</v>
      </c>
    </row>
    <row r="510" spans="15:16" x14ac:dyDescent="0.3">
      <c r="O510" t="s">
        <v>577</v>
      </c>
      <c r="P510">
        <v>2021</v>
      </c>
    </row>
    <row r="511" spans="15:16" x14ac:dyDescent="0.3">
      <c r="O511" t="s">
        <v>578</v>
      </c>
      <c r="P511">
        <v>2021</v>
      </c>
    </row>
    <row r="512" spans="15:16" x14ac:dyDescent="0.3">
      <c r="O512" t="s">
        <v>579</v>
      </c>
      <c r="P512">
        <v>2021</v>
      </c>
    </row>
    <row r="513" spans="15:16" x14ac:dyDescent="0.3">
      <c r="O513" t="s">
        <v>580</v>
      </c>
      <c r="P513">
        <v>2021</v>
      </c>
    </row>
    <row r="514" spans="15:16" x14ac:dyDescent="0.3">
      <c r="O514" t="s">
        <v>581</v>
      </c>
      <c r="P514">
        <v>2021</v>
      </c>
    </row>
    <row r="515" spans="15:16" x14ac:dyDescent="0.3">
      <c r="O515" t="s">
        <v>582</v>
      </c>
      <c r="P515">
        <v>2021</v>
      </c>
    </row>
    <row r="516" spans="15:16" x14ac:dyDescent="0.3">
      <c r="O516" t="s">
        <v>583</v>
      </c>
      <c r="P516">
        <v>2021</v>
      </c>
    </row>
    <row r="517" spans="15:16" x14ac:dyDescent="0.3">
      <c r="O517" t="s">
        <v>584</v>
      </c>
      <c r="P517">
        <v>2021</v>
      </c>
    </row>
    <row r="518" spans="15:16" x14ac:dyDescent="0.3">
      <c r="O518" t="s">
        <v>585</v>
      </c>
      <c r="P518">
        <v>2021</v>
      </c>
    </row>
    <row r="519" spans="15:16" x14ac:dyDescent="0.3">
      <c r="O519" t="s">
        <v>586</v>
      </c>
      <c r="P519">
        <v>2021</v>
      </c>
    </row>
    <row r="520" spans="15:16" x14ac:dyDescent="0.3">
      <c r="O520" t="s">
        <v>587</v>
      </c>
      <c r="P520">
        <v>2021</v>
      </c>
    </row>
    <row r="521" spans="15:16" x14ac:dyDescent="0.3">
      <c r="O521" t="s">
        <v>588</v>
      </c>
      <c r="P521">
        <v>2021</v>
      </c>
    </row>
    <row r="522" spans="15:16" x14ac:dyDescent="0.3">
      <c r="O522" t="s">
        <v>589</v>
      </c>
      <c r="P522">
        <v>2021</v>
      </c>
    </row>
    <row r="523" spans="15:16" x14ac:dyDescent="0.3">
      <c r="O523" t="s">
        <v>590</v>
      </c>
      <c r="P523">
        <v>2021</v>
      </c>
    </row>
    <row r="524" spans="15:16" x14ac:dyDescent="0.3">
      <c r="O524" t="s">
        <v>591</v>
      </c>
      <c r="P524">
        <v>2021</v>
      </c>
    </row>
    <row r="525" spans="15:16" x14ac:dyDescent="0.3">
      <c r="O525" t="s">
        <v>592</v>
      </c>
      <c r="P525">
        <v>2021</v>
      </c>
    </row>
    <row r="526" spans="15:16" x14ac:dyDescent="0.3">
      <c r="O526" t="s">
        <v>593</v>
      </c>
      <c r="P526">
        <v>2021</v>
      </c>
    </row>
    <row r="527" spans="15:16" x14ac:dyDescent="0.3">
      <c r="O527" t="s">
        <v>594</v>
      </c>
      <c r="P527">
        <v>2021</v>
      </c>
    </row>
    <row r="528" spans="15:16" x14ac:dyDescent="0.3">
      <c r="O528" t="s">
        <v>595</v>
      </c>
      <c r="P528">
        <v>2021</v>
      </c>
    </row>
    <row r="529" spans="15:16" x14ac:dyDescent="0.3">
      <c r="O529" t="s">
        <v>596</v>
      </c>
      <c r="P529">
        <v>2021</v>
      </c>
    </row>
    <row r="530" spans="15:16" x14ac:dyDescent="0.3">
      <c r="O530" t="s">
        <v>597</v>
      </c>
      <c r="P530">
        <v>2021</v>
      </c>
    </row>
    <row r="531" spans="15:16" x14ac:dyDescent="0.3">
      <c r="O531" t="s">
        <v>598</v>
      </c>
      <c r="P531">
        <v>2021</v>
      </c>
    </row>
    <row r="532" spans="15:16" x14ac:dyDescent="0.3">
      <c r="O532" t="s">
        <v>599</v>
      </c>
      <c r="P532">
        <v>2021</v>
      </c>
    </row>
    <row r="533" spans="15:16" x14ac:dyDescent="0.3">
      <c r="O533" t="s">
        <v>600</v>
      </c>
      <c r="P533">
        <v>2021</v>
      </c>
    </row>
    <row r="534" spans="15:16" x14ac:dyDescent="0.3">
      <c r="O534" t="s">
        <v>601</v>
      </c>
      <c r="P534">
        <v>2021</v>
      </c>
    </row>
    <row r="535" spans="15:16" x14ac:dyDescent="0.3">
      <c r="O535" t="s">
        <v>602</v>
      </c>
      <c r="P535">
        <v>2021</v>
      </c>
    </row>
    <row r="536" spans="15:16" x14ac:dyDescent="0.3">
      <c r="O536" t="s">
        <v>603</v>
      </c>
      <c r="P536">
        <v>2021</v>
      </c>
    </row>
    <row r="537" spans="15:16" x14ac:dyDescent="0.3">
      <c r="O537" t="s">
        <v>604</v>
      </c>
      <c r="P537">
        <v>2021</v>
      </c>
    </row>
    <row r="538" spans="15:16" x14ac:dyDescent="0.3">
      <c r="O538" t="s">
        <v>605</v>
      </c>
      <c r="P538">
        <v>2021</v>
      </c>
    </row>
    <row r="539" spans="15:16" x14ac:dyDescent="0.3">
      <c r="O539" t="s">
        <v>606</v>
      </c>
      <c r="P539">
        <v>2021</v>
      </c>
    </row>
    <row r="540" spans="15:16" x14ac:dyDescent="0.3">
      <c r="O540" t="s">
        <v>607</v>
      </c>
      <c r="P540">
        <v>2021</v>
      </c>
    </row>
    <row r="541" spans="15:16" x14ac:dyDescent="0.3">
      <c r="O541" t="s">
        <v>608</v>
      </c>
      <c r="P541">
        <v>2021</v>
      </c>
    </row>
    <row r="542" spans="15:16" x14ac:dyDescent="0.3">
      <c r="O542" t="s">
        <v>609</v>
      </c>
      <c r="P542">
        <v>2021</v>
      </c>
    </row>
    <row r="543" spans="15:16" x14ac:dyDescent="0.3">
      <c r="O543" t="s">
        <v>610</v>
      </c>
      <c r="P543">
        <v>2021</v>
      </c>
    </row>
    <row r="544" spans="15:16" x14ac:dyDescent="0.3">
      <c r="O544" t="s">
        <v>611</v>
      </c>
      <c r="P544">
        <v>2021</v>
      </c>
    </row>
    <row r="545" spans="15:16" x14ac:dyDescent="0.3">
      <c r="O545" t="s">
        <v>612</v>
      </c>
      <c r="P545">
        <v>2021</v>
      </c>
    </row>
    <row r="546" spans="15:16" x14ac:dyDescent="0.3">
      <c r="O546" t="s">
        <v>613</v>
      </c>
      <c r="P546">
        <v>2021</v>
      </c>
    </row>
    <row r="547" spans="15:16" x14ac:dyDescent="0.3">
      <c r="O547" t="s">
        <v>614</v>
      </c>
      <c r="P547">
        <v>2021</v>
      </c>
    </row>
    <row r="548" spans="15:16" x14ac:dyDescent="0.3">
      <c r="O548" t="s">
        <v>615</v>
      </c>
      <c r="P548">
        <v>2021</v>
      </c>
    </row>
    <row r="549" spans="15:16" x14ac:dyDescent="0.3">
      <c r="O549" t="s">
        <v>616</v>
      </c>
      <c r="P549">
        <v>2021</v>
      </c>
    </row>
    <row r="550" spans="15:16" x14ac:dyDescent="0.3">
      <c r="O550" t="s">
        <v>617</v>
      </c>
      <c r="P550">
        <v>2021</v>
      </c>
    </row>
    <row r="551" spans="15:16" x14ac:dyDescent="0.3">
      <c r="O551" t="s">
        <v>618</v>
      </c>
      <c r="P551">
        <v>2021</v>
      </c>
    </row>
    <row r="552" spans="15:16" x14ac:dyDescent="0.3">
      <c r="O552" t="s">
        <v>619</v>
      </c>
      <c r="P552">
        <v>2021</v>
      </c>
    </row>
    <row r="553" spans="15:16" x14ac:dyDescent="0.3">
      <c r="O553" t="s">
        <v>620</v>
      </c>
      <c r="P553">
        <v>2021</v>
      </c>
    </row>
    <row r="554" spans="15:16" x14ac:dyDescent="0.3">
      <c r="O554" t="s">
        <v>621</v>
      </c>
      <c r="P554">
        <v>2021</v>
      </c>
    </row>
    <row r="555" spans="15:16" x14ac:dyDescent="0.3">
      <c r="O555" t="s">
        <v>622</v>
      </c>
      <c r="P555">
        <v>2021</v>
      </c>
    </row>
    <row r="556" spans="15:16" x14ac:dyDescent="0.3">
      <c r="O556" t="s">
        <v>623</v>
      </c>
      <c r="P556">
        <v>2021</v>
      </c>
    </row>
    <row r="557" spans="15:16" x14ac:dyDescent="0.3">
      <c r="O557" t="s">
        <v>624</v>
      </c>
      <c r="P557">
        <v>2021</v>
      </c>
    </row>
    <row r="558" spans="15:16" x14ac:dyDescent="0.3">
      <c r="O558" t="s">
        <v>625</v>
      </c>
      <c r="P558">
        <v>2021</v>
      </c>
    </row>
    <row r="559" spans="15:16" x14ac:dyDescent="0.3">
      <c r="O559" t="s">
        <v>626</v>
      </c>
      <c r="P559">
        <v>2021</v>
      </c>
    </row>
    <row r="560" spans="15:16" x14ac:dyDescent="0.3">
      <c r="O560" t="s">
        <v>627</v>
      </c>
      <c r="P560">
        <v>2021</v>
      </c>
    </row>
    <row r="561" spans="15:16" x14ac:dyDescent="0.3">
      <c r="O561" t="s">
        <v>628</v>
      </c>
      <c r="P561">
        <v>2021</v>
      </c>
    </row>
    <row r="562" spans="15:16" x14ac:dyDescent="0.3">
      <c r="O562" t="s">
        <v>629</v>
      </c>
      <c r="P562">
        <v>2021</v>
      </c>
    </row>
    <row r="563" spans="15:16" x14ac:dyDescent="0.3">
      <c r="O563" t="s">
        <v>630</v>
      </c>
      <c r="P563">
        <v>2021</v>
      </c>
    </row>
    <row r="564" spans="15:16" x14ac:dyDescent="0.3">
      <c r="O564" t="s">
        <v>631</v>
      </c>
      <c r="P564">
        <v>2021</v>
      </c>
    </row>
    <row r="565" spans="15:16" x14ac:dyDescent="0.3">
      <c r="O565" t="s">
        <v>632</v>
      </c>
      <c r="P565">
        <v>2021</v>
      </c>
    </row>
    <row r="566" spans="15:16" x14ac:dyDescent="0.3">
      <c r="O566" t="s">
        <v>633</v>
      </c>
      <c r="P566">
        <v>2021</v>
      </c>
    </row>
    <row r="567" spans="15:16" x14ac:dyDescent="0.3">
      <c r="O567" t="s">
        <v>634</v>
      </c>
      <c r="P567">
        <v>2021</v>
      </c>
    </row>
    <row r="568" spans="15:16" x14ac:dyDescent="0.3">
      <c r="O568" t="s">
        <v>635</v>
      </c>
      <c r="P568">
        <v>2021</v>
      </c>
    </row>
    <row r="569" spans="15:16" x14ac:dyDescent="0.3">
      <c r="O569" t="s">
        <v>636</v>
      </c>
      <c r="P569">
        <v>2021</v>
      </c>
    </row>
    <row r="570" spans="15:16" x14ac:dyDescent="0.3">
      <c r="O570" t="s">
        <v>637</v>
      </c>
      <c r="P570">
        <v>2021</v>
      </c>
    </row>
    <row r="571" spans="15:16" x14ac:dyDescent="0.3">
      <c r="O571" t="s">
        <v>638</v>
      </c>
      <c r="P571">
        <v>2021</v>
      </c>
    </row>
    <row r="572" spans="15:16" x14ac:dyDescent="0.3">
      <c r="O572" t="s">
        <v>639</v>
      </c>
      <c r="P572">
        <v>2021</v>
      </c>
    </row>
    <row r="573" spans="15:16" x14ac:dyDescent="0.3">
      <c r="O573" t="s">
        <v>640</v>
      </c>
      <c r="P573">
        <v>2021</v>
      </c>
    </row>
    <row r="574" spans="15:16" x14ac:dyDescent="0.3">
      <c r="O574" t="s">
        <v>641</v>
      </c>
      <c r="P574">
        <v>2021</v>
      </c>
    </row>
    <row r="575" spans="15:16" x14ac:dyDescent="0.3">
      <c r="O575" t="s">
        <v>642</v>
      </c>
      <c r="P575">
        <v>2021</v>
      </c>
    </row>
    <row r="576" spans="15:16" x14ac:dyDescent="0.3">
      <c r="O576" t="s">
        <v>643</v>
      </c>
      <c r="P576">
        <v>2021</v>
      </c>
    </row>
    <row r="577" spans="15:16" x14ac:dyDescent="0.3">
      <c r="O577" t="s">
        <v>644</v>
      </c>
      <c r="P577">
        <v>2021</v>
      </c>
    </row>
    <row r="578" spans="15:16" x14ac:dyDescent="0.3">
      <c r="O578" t="s">
        <v>645</v>
      </c>
      <c r="P578">
        <v>2021</v>
      </c>
    </row>
    <row r="579" spans="15:16" x14ac:dyDescent="0.3">
      <c r="O579" t="s">
        <v>646</v>
      </c>
      <c r="P579">
        <v>2021</v>
      </c>
    </row>
    <row r="580" spans="15:16" x14ac:dyDescent="0.3">
      <c r="O580" t="s">
        <v>647</v>
      </c>
      <c r="P580">
        <v>2021</v>
      </c>
    </row>
    <row r="581" spans="15:16" x14ac:dyDescent="0.3">
      <c r="O581" t="s">
        <v>648</v>
      </c>
      <c r="P581">
        <v>2021</v>
      </c>
    </row>
    <row r="582" spans="15:16" x14ac:dyDescent="0.3">
      <c r="O582" t="s">
        <v>649</v>
      </c>
      <c r="P582">
        <v>2021</v>
      </c>
    </row>
    <row r="583" spans="15:16" x14ac:dyDescent="0.3">
      <c r="O583" t="s">
        <v>650</v>
      </c>
      <c r="P583">
        <v>2021</v>
      </c>
    </row>
    <row r="584" spans="15:16" x14ac:dyDescent="0.3">
      <c r="O584" t="s">
        <v>651</v>
      </c>
      <c r="P584">
        <v>2021</v>
      </c>
    </row>
    <row r="585" spans="15:16" x14ac:dyDescent="0.3">
      <c r="O585" t="s">
        <v>652</v>
      </c>
      <c r="P585">
        <v>2021</v>
      </c>
    </row>
    <row r="586" spans="15:16" x14ac:dyDescent="0.3">
      <c r="O586" t="s">
        <v>653</v>
      </c>
      <c r="P586">
        <v>2021</v>
      </c>
    </row>
    <row r="587" spans="15:16" x14ac:dyDescent="0.3">
      <c r="O587" t="s">
        <v>654</v>
      </c>
      <c r="P587">
        <v>2021</v>
      </c>
    </row>
    <row r="588" spans="15:16" x14ac:dyDescent="0.3">
      <c r="O588" t="s">
        <v>655</v>
      </c>
      <c r="P588">
        <v>2021</v>
      </c>
    </row>
    <row r="589" spans="15:16" x14ac:dyDescent="0.3">
      <c r="O589" t="s">
        <v>656</v>
      </c>
      <c r="P589">
        <v>2021</v>
      </c>
    </row>
    <row r="590" spans="15:16" x14ac:dyDescent="0.3">
      <c r="O590" t="s">
        <v>657</v>
      </c>
      <c r="P590">
        <v>2021</v>
      </c>
    </row>
    <row r="591" spans="15:16" x14ac:dyDescent="0.3">
      <c r="O591" t="s">
        <v>658</v>
      </c>
      <c r="P591">
        <v>2021</v>
      </c>
    </row>
    <row r="592" spans="15:16" x14ac:dyDescent="0.3">
      <c r="O592" t="s">
        <v>659</v>
      </c>
      <c r="P592">
        <v>2021</v>
      </c>
    </row>
    <row r="593" spans="15:16" x14ac:dyDescent="0.3">
      <c r="O593" t="s">
        <v>660</v>
      </c>
      <c r="P593">
        <v>2021</v>
      </c>
    </row>
    <row r="594" spans="15:16" x14ac:dyDescent="0.3">
      <c r="O594" t="s">
        <v>661</v>
      </c>
      <c r="P594">
        <v>2021</v>
      </c>
    </row>
    <row r="595" spans="15:16" x14ac:dyDescent="0.3">
      <c r="O595" t="s">
        <v>662</v>
      </c>
      <c r="P595">
        <v>2021</v>
      </c>
    </row>
    <row r="596" spans="15:16" x14ac:dyDescent="0.3">
      <c r="O596" t="s">
        <v>663</v>
      </c>
      <c r="P596">
        <v>2021</v>
      </c>
    </row>
    <row r="597" spans="15:16" x14ac:dyDescent="0.3">
      <c r="O597" t="s">
        <v>664</v>
      </c>
      <c r="P597">
        <v>2021</v>
      </c>
    </row>
    <row r="598" spans="15:16" x14ac:dyDescent="0.3">
      <c r="O598" t="s">
        <v>665</v>
      </c>
      <c r="P598">
        <v>2021</v>
      </c>
    </row>
    <row r="599" spans="15:16" x14ac:dyDescent="0.3">
      <c r="O599" t="s">
        <v>666</v>
      </c>
      <c r="P599">
        <v>2021</v>
      </c>
    </row>
    <row r="600" spans="15:16" x14ac:dyDescent="0.3">
      <c r="O600" t="s">
        <v>263</v>
      </c>
      <c r="P600">
        <v>2022</v>
      </c>
    </row>
    <row r="601" spans="15:16" x14ac:dyDescent="0.3">
      <c r="O601" t="s">
        <v>667</v>
      </c>
      <c r="P601">
        <v>2022</v>
      </c>
    </row>
    <row r="602" spans="15:16" x14ac:dyDescent="0.3">
      <c r="O602" t="s">
        <v>543</v>
      </c>
      <c r="P602">
        <v>2022</v>
      </c>
    </row>
    <row r="603" spans="15:16" x14ac:dyDescent="0.3">
      <c r="O603" t="s">
        <v>668</v>
      </c>
      <c r="P603">
        <v>2022</v>
      </c>
    </row>
    <row r="604" spans="15:16" x14ac:dyDescent="0.3">
      <c r="O604" t="s">
        <v>39</v>
      </c>
      <c r="P604">
        <v>2022</v>
      </c>
    </row>
    <row r="605" spans="15:16" x14ac:dyDescent="0.3">
      <c r="O605" t="s">
        <v>669</v>
      </c>
      <c r="P605">
        <v>2022</v>
      </c>
    </row>
    <row r="606" spans="15:16" x14ac:dyDescent="0.3">
      <c r="O606" t="s">
        <v>101</v>
      </c>
      <c r="P606">
        <v>2022</v>
      </c>
    </row>
    <row r="607" spans="15:16" x14ac:dyDescent="0.3">
      <c r="O607" t="s">
        <v>262</v>
      </c>
      <c r="P607">
        <v>2022</v>
      </c>
    </row>
    <row r="608" spans="15:16" x14ac:dyDescent="0.3">
      <c r="O608" t="s">
        <v>666</v>
      </c>
      <c r="P608">
        <v>2022</v>
      </c>
    </row>
    <row r="609" spans="15:16" x14ac:dyDescent="0.3">
      <c r="O609" t="s">
        <v>456</v>
      </c>
      <c r="P609">
        <v>2022</v>
      </c>
    </row>
    <row r="610" spans="15:16" x14ac:dyDescent="0.3">
      <c r="O610" t="s">
        <v>153</v>
      </c>
      <c r="P610">
        <v>2022</v>
      </c>
    </row>
    <row r="611" spans="15:16" x14ac:dyDescent="0.3">
      <c r="O611" t="s">
        <v>46</v>
      </c>
      <c r="P611">
        <v>2022</v>
      </c>
    </row>
    <row r="612" spans="15:16" x14ac:dyDescent="0.3">
      <c r="O612" t="s">
        <v>670</v>
      </c>
      <c r="P612">
        <v>2022</v>
      </c>
    </row>
    <row r="613" spans="15:16" x14ac:dyDescent="0.3">
      <c r="O613" t="s">
        <v>671</v>
      </c>
      <c r="P613">
        <v>2022</v>
      </c>
    </row>
    <row r="614" spans="15:16" x14ac:dyDescent="0.3">
      <c r="O614" t="s">
        <v>368</v>
      </c>
      <c r="P614">
        <v>2022</v>
      </c>
    </row>
    <row r="615" spans="15:16" x14ac:dyDescent="0.3">
      <c r="O615" t="s">
        <v>672</v>
      </c>
      <c r="P615">
        <v>2022</v>
      </c>
    </row>
    <row r="616" spans="15:16" x14ac:dyDescent="0.3">
      <c r="O616" t="s">
        <v>244</v>
      </c>
      <c r="P616">
        <v>2022</v>
      </c>
    </row>
    <row r="617" spans="15:16" x14ac:dyDescent="0.3">
      <c r="O617" t="s">
        <v>194</v>
      </c>
      <c r="P617">
        <v>2022</v>
      </c>
    </row>
    <row r="618" spans="15:16" x14ac:dyDescent="0.3">
      <c r="O618" t="s">
        <v>246</v>
      </c>
      <c r="P618">
        <v>2022</v>
      </c>
    </row>
    <row r="619" spans="15:16" x14ac:dyDescent="0.3">
      <c r="O619" t="s">
        <v>316</v>
      </c>
      <c r="P619">
        <v>2022</v>
      </c>
    </row>
    <row r="620" spans="15:16" x14ac:dyDescent="0.3">
      <c r="O620" t="s">
        <v>673</v>
      </c>
      <c r="P620">
        <v>2022</v>
      </c>
    </row>
    <row r="621" spans="15:16" x14ac:dyDescent="0.3">
      <c r="O621" t="s">
        <v>623</v>
      </c>
      <c r="P621">
        <v>2022</v>
      </c>
    </row>
    <row r="622" spans="15:16" x14ac:dyDescent="0.3">
      <c r="O622" t="s">
        <v>37</v>
      </c>
      <c r="P622">
        <v>2022</v>
      </c>
    </row>
    <row r="623" spans="15:16" x14ac:dyDescent="0.3">
      <c r="O623" t="s">
        <v>645</v>
      </c>
      <c r="P623">
        <v>2022</v>
      </c>
    </row>
    <row r="624" spans="15:16" x14ac:dyDescent="0.3">
      <c r="O624" t="s">
        <v>413</v>
      </c>
      <c r="P624">
        <v>2022</v>
      </c>
    </row>
    <row r="625" spans="15:16" x14ac:dyDescent="0.3">
      <c r="O625" t="s">
        <v>425</v>
      </c>
      <c r="P625">
        <v>2022</v>
      </c>
    </row>
    <row r="626" spans="15:16" x14ac:dyDescent="0.3">
      <c r="O626" t="s">
        <v>377</v>
      </c>
      <c r="P626">
        <v>2022</v>
      </c>
    </row>
    <row r="627" spans="15:16" x14ac:dyDescent="0.3">
      <c r="O627" t="s">
        <v>436</v>
      </c>
      <c r="P627">
        <v>2022</v>
      </c>
    </row>
    <row r="628" spans="15:16" x14ac:dyDescent="0.3">
      <c r="O628" t="s">
        <v>222</v>
      </c>
      <c r="P628">
        <v>2022</v>
      </c>
    </row>
    <row r="629" spans="15:16" x14ac:dyDescent="0.3">
      <c r="O629" t="s">
        <v>674</v>
      </c>
      <c r="P629">
        <v>2022</v>
      </c>
    </row>
    <row r="630" spans="15:16" x14ac:dyDescent="0.3">
      <c r="O630" t="s">
        <v>556</v>
      </c>
      <c r="P630">
        <v>2022</v>
      </c>
    </row>
    <row r="631" spans="15:16" x14ac:dyDescent="0.3">
      <c r="O631" t="s">
        <v>318</v>
      </c>
      <c r="P631">
        <v>2022</v>
      </c>
    </row>
    <row r="632" spans="15:16" x14ac:dyDescent="0.3">
      <c r="O632" t="s">
        <v>269</v>
      </c>
      <c r="P632">
        <v>2022</v>
      </c>
    </row>
    <row r="633" spans="15:16" x14ac:dyDescent="0.3">
      <c r="O633" t="s">
        <v>394</v>
      </c>
      <c r="P633">
        <v>2022</v>
      </c>
    </row>
    <row r="634" spans="15:16" x14ac:dyDescent="0.3">
      <c r="O634" t="s">
        <v>675</v>
      </c>
      <c r="P634">
        <v>2022</v>
      </c>
    </row>
    <row r="635" spans="15:16" x14ac:dyDescent="0.3">
      <c r="O635" t="s">
        <v>676</v>
      </c>
      <c r="P635">
        <v>2022</v>
      </c>
    </row>
    <row r="636" spans="15:16" x14ac:dyDescent="0.3">
      <c r="O636" t="s">
        <v>162</v>
      </c>
      <c r="P636">
        <v>2022</v>
      </c>
    </row>
    <row r="637" spans="15:16" x14ac:dyDescent="0.3">
      <c r="O637" t="s">
        <v>454</v>
      </c>
      <c r="P637">
        <v>2022</v>
      </c>
    </row>
    <row r="638" spans="15:16" x14ac:dyDescent="0.3">
      <c r="O638" t="s">
        <v>315</v>
      </c>
      <c r="P638">
        <v>2022</v>
      </c>
    </row>
    <row r="639" spans="15:16" x14ac:dyDescent="0.3">
      <c r="O639" t="s">
        <v>347</v>
      </c>
      <c r="P639">
        <v>2022</v>
      </c>
    </row>
    <row r="640" spans="15:16" x14ac:dyDescent="0.3">
      <c r="O640" t="s">
        <v>481</v>
      </c>
      <c r="P640">
        <v>2022</v>
      </c>
    </row>
    <row r="641" spans="15:16" x14ac:dyDescent="0.3">
      <c r="O641" t="s">
        <v>677</v>
      </c>
      <c r="P641">
        <v>2022</v>
      </c>
    </row>
    <row r="642" spans="15:16" x14ac:dyDescent="0.3">
      <c r="O642" t="s">
        <v>524</v>
      </c>
      <c r="P642">
        <v>2022</v>
      </c>
    </row>
    <row r="643" spans="15:16" x14ac:dyDescent="0.3">
      <c r="O643" t="s">
        <v>627</v>
      </c>
      <c r="P643">
        <v>2022</v>
      </c>
    </row>
    <row r="644" spans="15:16" x14ac:dyDescent="0.3">
      <c r="O644" t="s">
        <v>273</v>
      </c>
      <c r="P644">
        <v>2022</v>
      </c>
    </row>
    <row r="645" spans="15:16" x14ac:dyDescent="0.3">
      <c r="O645" t="s">
        <v>192</v>
      </c>
      <c r="P645">
        <v>2022</v>
      </c>
    </row>
    <row r="646" spans="15:16" x14ac:dyDescent="0.3">
      <c r="O646" t="s">
        <v>240</v>
      </c>
      <c r="P646">
        <v>2022</v>
      </c>
    </row>
    <row r="647" spans="15:16" x14ac:dyDescent="0.3">
      <c r="O647" t="s">
        <v>641</v>
      </c>
      <c r="P647">
        <v>2022</v>
      </c>
    </row>
    <row r="648" spans="15:16" x14ac:dyDescent="0.3">
      <c r="O648" t="s">
        <v>182</v>
      </c>
      <c r="P648">
        <v>2022</v>
      </c>
    </row>
    <row r="649" spans="15:16" x14ac:dyDescent="0.3">
      <c r="O649" t="s">
        <v>590</v>
      </c>
      <c r="P649">
        <v>2022</v>
      </c>
    </row>
    <row r="650" spans="15:16" x14ac:dyDescent="0.3">
      <c r="O650" t="s">
        <v>678</v>
      </c>
      <c r="P650">
        <v>2022</v>
      </c>
    </row>
    <row r="651" spans="15:16" x14ac:dyDescent="0.3">
      <c r="O651" t="s">
        <v>340</v>
      </c>
      <c r="P651">
        <v>2022</v>
      </c>
    </row>
    <row r="652" spans="15:16" x14ac:dyDescent="0.3">
      <c r="O652" t="s">
        <v>128</v>
      </c>
      <c r="P652">
        <v>2022</v>
      </c>
    </row>
    <row r="653" spans="15:16" x14ac:dyDescent="0.3">
      <c r="O653" t="s">
        <v>434</v>
      </c>
      <c r="P653">
        <v>2022</v>
      </c>
    </row>
    <row r="654" spans="15:16" x14ac:dyDescent="0.3">
      <c r="O654" t="s">
        <v>589</v>
      </c>
      <c r="P654">
        <v>2022</v>
      </c>
    </row>
    <row r="655" spans="15:16" x14ac:dyDescent="0.3">
      <c r="O655" t="s">
        <v>649</v>
      </c>
      <c r="P655">
        <v>2022</v>
      </c>
    </row>
    <row r="656" spans="15:16" x14ac:dyDescent="0.3">
      <c r="O656" t="s">
        <v>679</v>
      </c>
      <c r="P656">
        <v>2022</v>
      </c>
    </row>
    <row r="657" spans="15:16" x14ac:dyDescent="0.3">
      <c r="O657" t="s">
        <v>639</v>
      </c>
      <c r="P657">
        <v>2022</v>
      </c>
    </row>
    <row r="658" spans="15:16" x14ac:dyDescent="0.3">
      <c r="O658" t="s">
        <v>549</v>
      </c>
      <c r="P658">
        <v>2022</v>
      </c>
    </row>
    <row r="659" spans="15:16" x14ac:dyDescent="0.3">
      <c r="O659" t="s">
        <v>513</v>
      </c>
      <c r="P659">
        <v>2022</v>
      </c>
    </row>
    <row r="660" spans="15:16" x14ac:dyDescent="0.3">
      <c r="O660" t="s">
        <v>680</v>
      </c>
      <c r="P660">
        <v>2022</v>
      </c>
    </row>
    <row r="661" spans="15:16" x14ac:dyDescent="0.3">
      <c r="O661" t="s">
        <v>398</v>
      </c>
      <c r="P661">
        <v>2022</v>
      </c>
    </row>
    <row r="662" spans="15:16" x14ac:dyDescent="0.3">
      <c r="O662" t="s">
        <v>93</v>
      </c>
      <c r="P662">
        <v>2022</v>
      </c>
    </row>
    <row r="663" spans="15:16" x14ac:dyDescent="0.3">
      <c r="O663" t="s">
        <v>598</v>
      </c>
      <c r="P663">
        <v>2022</v>
      </c>
    </row>
    <row r="664" spans="15:16" x14ac:dyDescent="0.3">
      <c r="O664" t="s">
        <v>285</v>
      </c>
      <c r="P664">
        <v>2022</v>
      </c>
    </row>
    <row r="665" spans="15:16" x14ac:dyDescent="0.3">
      <c r="O665" t="s">
        <v>123</v>
      </c>
      <c r="P665">
        <v>2022</v>
      </c>
    </row>
    <row r="666" spans="15:16" x14ac:dyDescent="0.3">
      <c r="O666" t="s">
        <v>681</v>
      </c>
      <c r="P666">
        <v>2022</v>
      </c>
    </row>
    <row r="667" spans="15:16" x14ac:dyDescent="0.3">
      <c r="O667" t="s">
        <v>682</v>
      </c>
      <c r="P667">
        <v>2022</v>
      </c>
    </row>
    <row r="668" spans="15:16" x14ac:dyDescent="0.3">
      <c r="O668" t="s">
        <v>271</v>
      </c>
      <c r="P668">
        <v>2022</v>
      </c>
    </row>
    <row r="669" spans="15:16" x14ac:dyDescent="0.3">
      <c r="O669" t="s">
        <v>390</v>
      </c>
      <c r="P669">
        <v>2022</v>
      </c>
    </row>
    <row r="670" spans="15:16" x14ac:dyDescent="0.3">
      <c r="O670" t="s">
        <v>654</v>
      </c>
      <c r="P670">
        <v>2022</v>
      </c>
    </row>
    <row r="671" spans="15:16" x14ac:dyDescent="0.3">
      <c r="O671" t="s">
        <v>621</v>
      </c>
      <c r="P671">
        <v>2022</v>
      </c>
    </row>
    <row r="672" spans="15:16" x14ac:dyDescent="0.3">
      <c r="O672" t="s">
        <v>683</v>
      </c>
      <c r="P672">
        <v>2022</v>
      </c>
    </row>
    <row r="673" spans="15:16" x14ac:dyDescent="0.3">
      <c r="O673" t="s">
        <v>76</v>
      </c>
      <c r="P673">
        <v>2022</v>
      </c>
    </row>
    <row r="674" spans="15:16" x14ac:dyDescent="0.3">
      <c r="O674" t="s">
        <v>684</v>
      </c>
      <c r="P674">
        <v>2022</v>
      </c>
    </row>
    <row r="675" spans="15:16" x14ac:dyDescent="0.3">
      <c r="O675" t="s">
        <v>459</v>
      </c>
      <c r="P675">
        <v>2022</v>
      </c>
    </row>
    <row r="676" spans="15:16" x14ac:dyDescent="0.3">
      <c r="O676" t="s">
        <v>384</v>
      </c>
      <c r="P676">
        <v>2022</v>
      </c>
    </row>
    <row r="677" spans="15:16" x14ac:dyDescent="0.3">
      <c r="O677" t="s">
        <v>374</v>
      </c>
      <c r="P677">
        <v>2022</v>
      </c>
    </row>
    <row r="678" spans="15:16" x14ac:dyDescent="0.3">
      <c r="O678" t="s">
        <v>685</v>
      </c>
      <c r="P678">
        <v>2022</v>
      </c>
    </row>
    <row r="679" spans="15:16" x14ac:dyDescent="0.3">
      <c r="O679" t="s">
        <v>346</v>
      </c>
      <c r="P679">
        <v>2022</v>
      </c>
    </row>
    <row r="680" spans="15:16" x14ac:dyDescent="0.3">
      <c r="O680" t="s">
        <v>523</v>
      </c>
      <c r="P680">
        <v>2022</v>
      </c>
    </row>
    <row r="681" spans="15:16" x14ac:dyDescent="0.3">
      <c r="O681" t="s">
        <v>338</v>
      </c>
      <c r="P681">
        <v>2022</v>
      </c>
    </row>
    <row r="682" spans="15:16" x14ac:dyDescent="0.3">
      <c r="O682" t="s">
        <v>686</v>
      </c>
      <c r="P682">
        <v>2022</v>
      </c>
    </row>
    <row r="683" spans="15:16" x14ac:dyDescent="0.3">
      <c r="O683" t="s">
        <v>54</v>
      </c>
      <c r="P683">
        <v>2022</v>
      </c>
    </row>
    <row r="684" spans="15:16" x14ac:dyDescent="0.3">
      <c r="O684" t="s">
        <v>187</v>
      </c>
      <c r="P684">
        <v>2022</v>
      </c>
    </row>
    <row r="685" spans="15:16" x14ac:dyDescent="0.3">
      <c r="O685" t="s">
        <v>687</v>
      </c>
      <c r="P685">
        <v>2022</v>
      </c>
    </row>
    <row r="686" spans="15:16" x14ac:dyDescent="0.3">
      <c r="O686" t="s">
        <v>509</v>
      </c>
      <c r="P686">
        <v>2022</v>
      </c>
    </row>
    <row r="687" spans="15:16" x14ac:dyDescent="0.3">
      <c r="O687" t="s">
        <v>457</v>
      </c>
      <c r="P687">
        <v>2022</v>
      </c>
    </row>
    <row r="688" spans="15:16" x14ac:dyDescent="0.3">
      <c r="O688" t="s">
        <v>219</v>
      </c>
      <c r="P688">
        <v>2022</v>
      </c>
    </row>
    <row r="689" spans="15:16" x14ac:dyDescent="0.3">
      <c r="O689" t="s">
        <v>355</v>
      </c>
      <c r="P689">
        <v>2022</v>
      </c>
    </row>
    <row r="690" spans="15:16" x14ac:dyDescent="0.3">
      <c r="O690" t="s">
        <v>234</v>
      </c>
      <c r="P690">
        <v>2022</v>
      </c>
    </row>
    <row r="691" spans="15:16" x14ac:dyDescent="0.3">
      <c r="O691" t="s">
        <v>688</v>
      </c>
      <c r="P691">
        <v>2022</v>
      </c>
    </row>
    <row r="692" spans="15:16" x14ac:dyDescent="0.3">
      <c r="O692" t="s">
        <v>689</v>
      </c>
      <c r="P692">
        <v>2022</v>
      </c>
    </row>
    <row r="693" spans="15:16" x14ac:dyDescent="0.3">
      <c r="O693" t="s">
        <v>478</v>
      </c>
      <c r="P693">
        <v>2022</v>
      </c>
    </row>
    <row r="694" spans="15:16" x14ac:dyDescent="0.3">
      <c r="O694" t="s">
        <v>159</v>
      </c>
      <c r="P694">
        <v>2022</v>
      </c>
    </row>
    <row r="695" spans="15:16" x14ac:dyDescent="0.3">
      <c r="O695" t="s">
        <v>483</v>
      </c>
      <c r="P695">
        <v>2022</v>
      </c>
    </row>
    <row r="696" spans="15:16" x14ac:dyDescent="0.3">
      <c r="O696" t="s">
        <v>607</v>
      </c>
      <c r="P696">
        <v>2022</v>
      </c>
    </row>
    <row r="697" spans="15:16" x14ac:dyDescent="0.3">
      <c r="O697" t="s">
        <v>690</v>
      </c>
      <c r="P697">
        <v>2022</v>
      </c>
    </row>
    <row r="698" spans="15:16" x14ac:dyDescent="0.3">
      <c r="O698" t="s">
        <v>541</v>
      </c>
      <c r="P698">
        <v>2022</v>
      </c>
    </row>
    <row r="699" spans="15:16" x14ac:dyDescent="0.3">
      <c r="O699" t="s">
        <v>397</v>
      </c>
      <c r="P699">
        <v>2022</v>
      </c>
    </row>
    <row r="700" spans="15:16" x14ac:dyDescent="0.3">
      <c r="O700" t="s">
        <v>352</v>
      </c>
      <c r="P700">
        <v>2022</v>
      </c>
    </row>
    <row r="701" spans="15:16" x14ac:dyDescent="0.3">
      <c r="O701" t="s">
        <v>482</v>
      </c>
      <c r="P701">
        <v>2022</v>
      </c>
    </row>
    <row r="702" spans="15:16" x14ac:dyDescent="0.3">
      <c r="O702" t="s">
        <v>90</v>
      </c>
      <c r="P702">
        <v>2022</v>
      </c>
    </row>
    <row r="703" spans="15:16" x14ac:dyDescent="0.3">
      <c r="O703" t="s">
        <v>691</v>
      </c>
      <c r="P703">
        <v>2022</v>
      </c>
    </row>
    <row r="704" spans="15:16" x14ac:dyDescent="0.3">
      <c r="O704" t="s">
        <v>692</v>
      </c>
      <c r="P704">
        <v>2022</v>
      </c>
    </row>
    <row r="705" spans="15:16" x14ac:dyDescent="0.3">
      <c r="O705" t="s">
        <v>591</v>
      </c>
      <c r="P705">
        <v>2022</v>
      </c>
    </row>
    <row r="706" spans="15:16" x14ac:dyDescent="0.3">
      <c r="O706" t="s">
        <v>307</v>
      </c>
      <c r="P706">
        <v>2022</v>
      </c>
    </row>
    <row r="707" spans="15:16" x14ac:dyDescent="0.3">
      <c r="O707" t="s">
        <v>693</v>
      </c>
      <c r="P707">
        <v>2022</v>
      </c>
    </row>
    <row r="708" spans="15:16" x14ac:dyDescent="0.3">
      <c r="O708" t="s">
        <v>694</v>
      </c>
      <c r="P708">
        <v>2022</v>
      </c>
    </row>
    <row r="709" spans="15:16" x14ac:dyDescent="0.3">
      <c r="O709" t="s">
        <v>191</v>
      </c>
      <c r="P709">
        <v>2022</v>
      </c>
    </row>
    <row r="710" spans="15:16" x14ac:dyDescent="0.3">
      <c r="O710" t="s">
        <v>586</v>
      </c>
      <c r="P710">
        <v>2022</v>
      </c>
    </row>
    <row r="711" spans="15:16" x14ac:dyDescent="0.3">
      <c r="O711" t="s">
        <v>695</v>
      </c>
      <c r="P711">
        <v>2022</v>
      </c>
    </row>
    <row r="712" spans="15:16" x14ac:dyDescent="0.3">
      <c r="O712" t="s">
        <v>659</v>
      </c>
      <c r="P712">
        <v>2022</v>
      </c>
    </row>
    <row r="713" spans="15:16" x14ac:dyDescent="0.3">
      <c r="O713" t="s">
        <v>498</v>
      </c>
      <c r="P713">
        <v>2022</v>
      </c>
    </row>
    <row r="714" spans="15:16" x14ac:dyDescent="0.3">
      <c r="O714" t="s">
        <v>389</v>
      </c>
      <c r="P714">
        <v>2022</v>
      </c>
    </row>
    <row r="715" spans="15:16" x14ac:dyDescent="0.3">
      <c r="O715" t="s">
        <v>311</v>
      </c>
      <c r="P715">
        <v>2022</v>
      </c>
    </row>
    <row r="716" spans="15:16" x14ac:dyDescent="0.3">
      <c r="O716" t="s">
        <v>521</v>
      </c>
      <c r="P716">
        <v>2022</v>
      </c>
    </row>
    <row r="717" spans="15:16" x14ac:dyDescent="0.3">
      <c r="O717" t="s">
        <v>353</v>
      </c>
      <c r="P717">
        <v>2022</v>
      </c>
    </row>
    <row r="718" spans="15:16" x14ac:dyDescent="0.3">
      <c r="O718" t="s">
        <v>696</v>
      </c>
      <c r="P718">
        <v>2022</v>
      </c>
    </row>
    <row r="719" spans="15:16" x14ac:dyDescent="0.3">
      <c r="O719" t="s">
        <v>624</v>
      </c>
      <c r="P719">
        <v>2022</v>
      </c>
    </row>
    <row r="720" spans="15:16" x14ac:dyDescent="0.3">
      <c r="O720" t="s">
        <v>697</v>
      </c>
      <c r="P720">
        <v>2022</v>
      </c>
    </row>
    <row r="721" spans="15:16" x14ac:dyDescent="0.3">
      <c r="O721" t="s">
        <v>414</v>
      </c>
      <c r="P721">
        <v>2022</v>
      </c>
    </row>
    <row r="722" spans="15:16" x14ac:dyDescent="0.3">
      <c r="O722" t="s">
        <v>294</v>
      </c>
      <c r="P722">
        <v>2022</v>
      </c>
    </row>
    <row r="723" spans="15:16" x14ac:dyDescent="0.3">
      <c r="O723" t="s">
        <v>507</v>
      </c>
      <c r="P723">
        <v>2022</v>
      </c>
    </row>
    <row r="724" spans="15:16" x14ac:dyDescent="0.3">
      <c r="O724" t="s">
        <v>58</v>
      </c>
      <c r="P724">
        <v>2022</v>
      </c>
    </row>
    <row r="725" spans="15:16" x14ac:dyDescent="0.3">
      <c r="O725" t="s">
        <v>585</v>
      </c>
      <c r="P725">
        <v>2022</v>
      </c>
    </row>
    <row r="726" spans="15:16" x14ac:dyDescent="0.3">
      <c r="O726" t="s">
        <v>127</v>
      </c>
      <c r="P726">
        <v>2022</v>
      </c>
    </row>
    <row r="727" spans="15:16" x14ac:dyDescent="0.3">
      <c r="O727" t="s">
        <v>275</v>
      </c>
      <c r="P727">
        <v>2022</v>
      </c>
    </row>
    <row r="728" spans="15:16" x14ac:dyDescent="0.3">
      <c r="O728" t="s">
        <v>492</v>
      </c>
      <c r="P728">
        <v>2022</v>
      </c>
    </row>
    <row r="729" spans="15:16" x14ac:dyDescent="0.3">
      <c r="O729" t="s">
        <v>516</v>
      </c>
      <c r="P729">
        <v>2022</v>
      </c>
    </row>
    <row r="730" spans="15:16" x14ac:dyDescent="0.3">
      <c r="O730" t="s">
        <v>130</v>
      </c>
      <c r="P730">
        <v>2022</v>
      </c>
    </row>
    <row r="731" spans="15:16" x14ac:dyDescent="0.3">
      <c r="O731" t="s">
        <v>138</v>
      </c>
      <c r="P731">
        <v>2022</v>
      </c>
    </row>
    <row r="732" spans="15:16" x14ac:dyDescent="0.3">
      <c r="O732" t="s">
        <v>698</v>
      </c>
      <c r="P732">
        <v>2022</v>
      </c>
    </row>
    <row r="733" spans="15:16" x14ac:dyDescent="0.3">
      <c r="O733" t="s">
        <v>166</v>
      </c>
      <c r="P733">
        <v>2022</v>
      </c>
    </row>
    <row r="734" spans="15:16" x14ac:dyDescent="0.3">
      <c r="O734" t="s">
        <v>358</v>
      </c>
      <c r="P734">
        <v>2022</v>
      </c>
    </row>
    <row r="735" spans="15:16" x14ac:dyDescent="0.3">
      <c r="O735" t="s">
        <v>699</v>
      </c>
      <c r="P735">
        <v>2022</v>
      </c>
    </row>
    <row r="736" spans="15:16" x14ac:dyDescent="0.3">
      <c r="O736" t="s">
        <v>640</v>
      </c>
      <c r="P736">
        <v>2022</v>
      </c>
    </row>
    <row r="737" spans="15:16" x14ac:dyDescent="0.3">
      <c r="O737" t="s">
        <v>700</v>
      </c>
      <c r="P737">
        <v>2022</v>
      </c>
    </row>
    <row r="738" spans="15:16" x14ac:dyDescent="0.3">
      <c r="O738" t="s">
        <v>174</v>
      </c>
      <c r="P738">
        <v>2022</v>
      </c>
    </row>
    <row r="739" spans="15:16" x14ac:dyDescent="0.3">
      <c r="O739" t="s">
        <v>551</v>
      </c>
      <c r="P739">
        <v>2022</v>
      </c>
    </row>
    <row r="740" spans="15:16" x14ac:dyDescent="0.3">
      <c r="O740" t="s">
        <v>310</v>
      </c>
      <c r="P740">
        <v>2022</v>
      </c>
    </row>
    <row r="741" spans="15:16" x14ac:dyDescent="0.3">
      <c r="O741" t="s">
        <v>70</v>
      </c>
      <c r="P741">
        <v>2022</v>
      </c>
    </row>
    <row r="742" spans="15:16" x14ac:dyDescent="0.3">
      <c r="O742" t="s">
        <v>326</v>
      </c>
      <c r="P742">
        <v>2022</v>
      </c>
    </row>
    <row r="743" spans="15:16" x14ac:dyDescent="0.3">
      <c r="O743" t="s">
        <v>497</v>
      </c>
      <c r="P743">
        <v>2022</v>
      </c>
    </row>
    <row r="744" spans="15:16" x14ac:dyDescent="0.3">
      <c r="O744" t="s">
        <v>362</v>
      </c>
      <c r="P744">
        <v>2022</v>
      </c>
    </row>
    <row r="745" spans="15:16" x14ac:dyDescent="0.3">
      <c r="O745" t="s">
        <v>250</v>
      </c>
      <c r="P745">
        <v>2022</v>
      </c>
    </row>
    <row r="746" spans="15:16" x14ac:dyDescent="0.3">
      <c r="O746" t="s">
        <v>435</v>
      </c>
      <c r="P746">
        <v>2022</v>
      </c>
    </row>
    <row r="747" spans="15:16" x14ac:dyDescent="0.3">
      <c r="O747" t="s">
        <v>205</v>
      </c>
      <c r="P747">
        <v>2022</v>
      </c>
    </row>
    <row r="748" spans="15:16" x14ac:dyDescent="0.3">
      <c r="O748" t="s">
        <v>327</v>
      </c>
      <c r="P748">
        <v>2022</v>
      </c>
    </row>
    <row r="749" spans="15:16" x14ac:dyDescent="0.3">
      <c r="O749" t="s">
        <v>537</v>
      </c>
      <c r="P749">
        <v>2022</v>
      </c>
    </row>
    <row r="750" spans="15:16" x14ac:dyDescent="0.3">
      <c r="O750" t="s">
        <v>512</v>
      </c>
      <c r="P750">
        <v>2022</v>
      </c>
    </row>
    <row r="751" spans="15:16" x14ac:dyDescent="0.3">
      <c r="O751" t="s">
        <v>540</v>
      </c>
      <c r="P751">
        <v>2022</v>
      </c>
    </row>
    <row r="752" spans="15:16" x14ac:dyDescent="0.3">
      <c r="O752" t="s">
        <v>206</v>
      </c>
      <c r="P752">
        <v>2022</v>
      </c>
    </row>
    <row r="753" spans="15:16" x14ac:dyDescent="0.3">
      <c r="O753" t="s">
        <v>448</v>
      </c>
      <c r="P753">
        <v>2022</v>
      </c>
    </row>
    <row r="754" spans="15:16" x14ac:dyDescent="0.3">
      <c r="O754" t="s">
        <v>611</v>
      </c>
      <c r="P754">
        <v>2022</v>
      </c>
    </row>
    <row r="755" spans="15:16" x14ac:dyDescent="0.3">
      <c r="O755" t="s">
        <v>701</v>
      </c>
      <c r="P755">
        <v>2022</v>
      </c>
    </row>
    <row r="756" spans="15:16" x14ac:dyDescent="0.3">
      <c r="O756" t="s">
        <v>527</v>
      </c>
      <c r="P756">
        <v>2022</v>
      </c>
    </row>
    <row r="757" spans="15:16" x14ac:dyDescent="0.3">
      <c r="O757" t="s">
        <v>702</v>
      </c>
      <c r="P757">
        <v>2022</v>
      </c>
    </row>
    <row r="758" spans="15:16" x14ac:dyDescent="0.3">
      <c r="O758" t="s">
        <v>703</v>
      </c>
      <c r="P758">
        <v>2022</v>
      </c>
    </row>
    <row r="759" spans="15:16" x14ac:dyDescent="0.3">
      <c r="O759" t="s">
        <v>401</v>
      </c>
      <c r="P759">
        <v>2022</v>
      </c>
    </row>
    <row r="760" spans="15:16" x14ac:dyDescent="0.3">
      <c r="O760" t="s">
        <v>704</v>
      </c>
      <c r="P760">
        <v>2022</v>
      </c>
    </row>
    <row r="761" spans="15:16" x14ac:dyDescent="0.3">
      <c r="O761" t="s">
        <v>504</v>
      </c>
      <c r="P761">
        <v>2022</v>
      </c>
    </row>
    <row r="762" spans="15:16" x14ac:dyDescent="0.3">
      <c r="O762" t="s">
        <v>630</v>
      </c>
      <c r="P762">
        <v>2022</v>
      </c>
    </row>
    <row r="763" spans="15:16" x14ac:dyDescent="0.3">
      <c r="O763" t="s">
        <v>705</v>
      </c>
      <c r="P763">
        <v>2022</v>
      </c>
    </row>
    <row r="764" spans="15:16" x14ac:dyDescent="0.3">
      <c r="O764" t="s">
        <v>225</v>
      </c>
      <c r="P764">
        <v>2022</v>
      </c>
    </row>
    <row r="765" spans="15:16" x14ac:dyDescent="0.3">
      <c r="O765" t="s">
        <v>466</v>
      </c>
      <c r="P765">
        <v>2022</v>
      </c>
    </row>
    <row r="766" spans="15:16" x14ac:dyDescent="0.3">
      <c r="O766" t="s">
        <v>488</v>
      </c>
      <c r="P766">
        <v>2022</v>
      </c>
    </row>
    <row r="767" spans="15:16" x14ac:dyDescent="0.3">
      <c r="O767" t="s">
        <v>236</v>
      </c>
      <c r="P767">
        <v>2022</v>
      </c>
    </row>
    <row r="768" spans="15:16" x14ac:dyDescent="0.3">
      <c r="O768" t="s">
        <v>563</v>
      </c>
      <c r="P768">
        <v>2022</v>
      </c>
    </row>
    <row r="769" spans="15:16" x14ac:dyDescent="0.3">
      <c r="O769" t="s">
        <v>274</v>
      </c>
      <c r="P769">
        <v>2022</v>
      </c>
    </row>
    <row r="770" spans="15:16" x14ac:dyDescent="0.3">
      <c r="O770" t="s">
        <v>472</v>
      </c>
      <c r="P770">
        <v>2022</v>
      </c>
    </row>
    <row r="771" spans="15:16" x14ac:dyDescent="0.3">
      <c r="O771" t="s">
        <v>8</v>
      </c>
      <c r="P771">
        <v>2022</v>
      </c>
    </row>
    <row r="772" spans="15:16" x14ac:dyDescent="0.3">
      <c r="O772" t="s">
        <v>510</v>
      </c>
      <c r="P772">
        <v>2022</v>
      </c>
    </row>
    <row r="773" spans="15:16" x14ac:dyDescent="0.3">
      <c r="O773" t="s">
        <v>404</v>
      </c>
      <c r="P773">
        <v>2022</v>
      </c>
    </row>
    <row r="774" spans="15:16" x14ac:dyDescent="0.3">
      <c r="O774" t="s">
        <v>424</v>
      </c>
      <c r="P774">
        <v>2022</v>
      </c>
    </row>
    <row r="775" spans="15:16" x14ac:dyDescent="0.3">
      <c r="O775" t="s">
        <v>245</v>
      </c>
      <c r="P775">
        <v>2022</v>
      </c>
    </row>
    <row r="776" spans="15:16" x14ac:dyDescent="0.3">
      <c r="O776" t="s">
        <v>706</v>
      </c>
      <c r="P776">
        <v>2022</v>
      </c>
    </row>
    <row r="777" spans="15:16" x14ac:dyDescent="0.3">
      <c r="O777" t="s">
        <v>256</v>
      </c>
      <c r="P777">
        <v>2022</v>
      </c>
    </row>
    <row r="778" spans="15:16" x14ac:dyDescent="0.3">
      <c r="O778" t="s">
        <v>485</v>
      </c>
      <c r="P778">
        <v>2022</v>
      </c>
    </row>
    <row r="779" spans="15:16" x14ac:dyDescent="0.3">
      <c r="O779" t="s">
        <v>707</v>
      </c>
      <c r="P779">
        <v>2022</v>
      </c>
    </row>
    <row r="780" spans="15:16" x14ac:dyDescent="0.3">
      <c r="O780" t="s">
        <v>708</v>
      </c>
      <c r="P780">
        <v>2022</v>
      </c>
    </row>
    <row r="781" spans="15:16" x14ac:dyDescent="0.3">
      <c r="O781" t="s">
        <v>142</v>
      </c>
      <c r="P781">
        <v>2022</v>
      </c>
    </row>
    <row r="782" spans="15:16" x14ac:dyDescent="0.3">
      <c r="O782" t="s">
        <v>83</v>
      </c>
      <c r="P782">
        <v>2022</v>
      </c>
    </row>
    <row r="783" spans="15:16" x14ac:dyDescent="0.3">
      <c r="O783" t="s">
        <v>117</v>
      </c>
      <c r="P783">
        <v>2022</v>
      </c>
    </row>
    <row r="784" spans="15:16" x14ac:dyDescent="0.3">
      <c r="O784" t="s">
        <v>709</v>
      </c>
      <c r="P784">
        <v>2022</v>
      </c>
    </row>
    <row r="785" spans="15:16" x14ac:dyDescent="0.3">
      <c r="O785" t="s">
        <v>332</v>
      </c>
      <c r="P785">
        <v>2022</v>
      </c>
    </row>
    <row r="786" spans="15:16" x14ac:dyDescent="0.3">
      <c r="O786" t="s">
        <v>103</v>
      </c>
      <c r="P786">
        <v>2022</v>
      </c>
    </row>
    <row r="787" spans="15:16" x14ac:dyDescent="0.3">
      <c r="O787" t="s">
        <v>284</v>
      </c>
      <c r="P787">
        <v>2022</v>
      </c>
    </row>
    <row r="788" spans="15:16" x14ac:dyDescent="0.3">
      <c r="O788" t="s">
        <v>601</v>
      </c>
      <c r="P788">
        <v>2022</v>
      </c>
    </row>
    <row r="789" spans="15:16" x14ac:dyDescent="0.3">
      <c r="O789" t="s">
        <v>345</v>
      </c>
      <c r="P789">
        <v>2022</v>
      </c>
    </row>
    <row r="790" spans="15:16" x14ac:dyDescent="0.3">
      <c r="O790" t="s">
        <v>69</v>
      </c>
      <c r="P790">
        <v>2022</v>
      </c>
    </row>
    <row r="791" spans="15:16" x14ac:dyDescent="0.3">
      <c r="O791" t="s">
        <v>216</v>
      </c>
      <c r="P791">
        <v>2022</v>
      </c>
    </row>
    <row r="792" spans="15:16" x14ac:dyDescent="0.3">
      <c r="O792" t="s">
        <v>221</v>
      </c>
      <c r="P792">
        <v>2022</v>
      </c>
    </row>
    <row r="793" spans="15:16" x14ac:dyDescent="0.3">
      <c r="O793" t="s">
        <v>711</v>
      </c>
      <c r="P793">
        <v>2022</v>
      </c>
    </row>
    <row r="794" spans="15:16" x14ac:dyDescent="0.3">
      <c r="O794" t="s">
        <v>474</v>
      </c>
      <c r="P794">
        <v>2022</v>
      </c>
    </row>
    <row r="795" spans="15:16" x14ac:dyDescent="0.3">
      <c r="O795" t="s">
        <v>712</v>
      </c>
      <c r="P795">
        <v>2022</v>
      </c>
    </row>
    <row r="796" spans="15:16" x14ac:dyDescent="0.3">
      <c r="O796" t="s">
        <v>559</v>
      </c>
      <c r="P796">
        <v>2022</v>
      </c>
    </row>
    <row r="797" spans="15:16" x14ac:dyDescent="0.3">
      <c r="O797" t="s">
        <v>550</v>
      </c>
      <c r="P797">
        <v>2022</v>
      </c>
    </row>
    <row r="798" spans="15:16" x14ac:dyDescent="0.3">
      <c r="O798" t="s">
        <v>713</v>
      </c>
      <c r="P798">
        <v>2022</v>
      </c>
    </row>
    <row r="799" spans="15:16" x14ac:dyDescent="0.3">
      <c r="O799" t="s">
        <v>212</v>
      </c>
      <c r="P799">
        <v>2022</v>
      </c>
    </row>
    <row r="800" spans="15:16" x14ac:dyDescent="0.3">
      <c r="O800" t="s">
        <v>714</v>
      </c>
      <c r="P800">
        <v>2022</v>
      </c>
    </row>
    <row r="801" spans="15:16" x14ac:dyDescent="0.3">
      <c r="O801" t="s">
        <v>535</v>
      </c>
      <c r="P801">
        <v>2022</v>
      </c>
    </row>
    <row r="802" spans="15:16" x14ac:dyDescent="0.3">
      <c r="O802" t="s">
        <v>238</v>
      </c>
      <c r="P802">
        <v>2022</v>
      </c>
    </row>
    <row r="803" spans="15:16" x14ac:dyDescent="0.3">
      <c r="O803" t="s">
        <v>183</v>
      </c>
      <c r="P803">
        <v>2022</v>
      </c>
    </row>
    <row r="804" spans="15:16" x14ac:dyDescent="0.3">
      <c r="O804" t="s">
        <v>715</v>
      </c>
      <c r="P804">
        <v>2022</v>
      </c>
    </row>
    <row r="805" spans="15:16" x14ac:dyDescent="0.3">
      <c r="O805" t="s">
        <v>716</v>
      </c>
      <c r="P805">
        <v>2022</v>
      </c>
    </row>
    <row r="806" spans="15:16" x14ac:dyDescent="0.3">
      <c r="O806" t="s">
        <v>463</v>
      </c>
      <c r="P806">
        <v>2022</v>
      </c>
    </row>
    <row r="807" spans="15:16" x14ac:dyDescent="0.3">
      <c r="O807" t="s">
        <v>462</v>
      </c>
      <c r="P807">
        <v>2022</v>
      </c>
    </row>
    <row r="808" spans="15:16" x14ac:dyDescent="0.3">
      <c r="O808" t="s">
        <v>383</v>
      </c>
      <c r="P808">
        <v>2022</v>
      </c>
    </row>
    <row r="809" spans="15:16" x14ac:dyDescent="0.3">
      <c r="O809" t="s">
        <v>330</v>
      </c>
      <c r="P809">
        <v>2022</v>
      </c>
    </row>
    <row r="810" spans="15:16" x14ac:dyDescent="0.3">
      <c r="O810" t="s">
        <v>365</v>
      </c>
      <c r="P810">
        <v>2022</v>
      </c>
    </row>
    <row r="811" spans="15:16" x14ac:dyDescent="0.3">
      <c r="O811" t="s">
        <v>163</v>
      </c>
      <c r="P811">
        <v>2022</v>
      </c>
    </row>
    <row r="812" spans="15:16" x14ac:dyDescent="0.3">
      <c r="O812" t="s">
        <v>444</v>
      </c>
      <c r="P812">
        <v>2022</v>
      </c>
    </row>
    <row r="813" spans="15:16" x14ac:dyDescent="0.3">
      <c r="O813" t="s">
        <v>717</v>
      </c>
      <c r="P813">
        <v>2022</v>
      </c>
    </row>
    <row r="814" spans="15:16" x14ac:dyDescent="0.3">
      <c r="O814" t="s">
        <v>296</v>
      </c>
      <c r="P814">
        <v>2022</v>
      </c>
    </row>
    <row r="815" spans="15:16" x14ac:dyDescent="0.3">
      <c r="O815" t="s">
        <v>214</v>
      </c>
      <c r="P815">
        <v>2022</v>
      </c>
    </row>
    <row r="816" spans="15:16" x14ac:dyDescent="0.3">
      <c r="O816" t="s">
        <v>530</v>
      </c>
      <c r="P816">
        <v>2022</v>
      </c>
    </row>
    <row r="817" spans="15:16" x14ac:dyDescent="0.3">
      <c r="O817" t="s">
        <v>188</v>
      </c>
      <c r="P817">
        <v>2022</v>
      </c>
    </row>
    <row r="818" spans="15:16" x14ac:dyDescent="0.3">
      <c r="O818" t="s">
        <v>473</v>
      </c>
      <c r="P818">
        <v>2022</v>
      </c>
    </row>
    <row r="819" spans="15:16" x14ac:dyDescent="0.3">
      <c r="O819" t="s">
        <v>333</v>
      </c>
      <c r="P819">
        <v>2022</v>
      </c>
    </row>
    <row r="820" spans="15:16" x14ac:dyDescent="0.3">
      <c r="O820" t="s">
        <v>35</v>
      </c>
      <c r="P820">
        <v>2022</v>
      </c>
    </row>
    <row r="821" spans="15:16" x14ac:dyDescent="0.3">
      <c r="O821" t="s">
        <v>379</v>
      </c>
      <c r="P821">
        <v>2022</v>
      </c>
    </row>
    <row r="822" spans="15:16" x14ac:dyDescent="0.3">
      <c r="O822" t="s">
        <v>489</v>
      </c>
      <c r="P822">
        <v>2022</v>
      </c>
    </row>
    <row r="823" spans="15:16" x14ac:dyDescent="0.3">
      <c r="O823" t="s">
        <v>471</v>
      </c>
      <c r="P823">
        <v>2022</v>
      </c>
    </row>
    <row r="824" spans="15:16" x14ac:dyDescent="0.3">
      <c r="O824" t="s">
        <v>251</v>
      </c>
      <c r="P824">
        <v>2022</v>
      </c>
    </row>
    <row r="825" spans="15:16" x14ac:dyDescent="0.3">
      <c r="O825" t="s">
        <v>151</v>
      </c>
      <c r="P825">
        <v>2022</v>
      </c>
    </row>
    <row r="826" spans="15:16" x14ac:dyDescent="0.3">
      <c r="O826" t="s">
        <v>88</v>
      </c>
      <c r="P826">
        <v>2022</v>
      </c>
    </row>
    <row r="827" spans="15:16" x14ac:dyDescent="0.3">
      <c r="O827" t="s">
        <v>31</v>
      </c>
      <c r="P827">
        <v>2022</v>
      </c>
    </row>
    <row r="828" spans="15:16" x14ac:dyDescent="0.3">
      <c r="O828" t="s">
        <v>718</v>
      </c>
      <c r="P828">
        <v>2022</v>
      </c>
    </row>
    <row r="829" spans="15:16" x14ac:dyDescent="0.3">
      <c r="O829" t="s">
        <v>122</v>
      </c>
      <c r="P829">
        <v>2022</v>
      </c>
    </row>
    <row r="830" spans="15:16" x14ac:dyDescent="0.3">
      <c r="O830" t="s">
        <v>635</v>
      </c>
      <c r="P830">
        <v>2022</v>
      </c>
    </row>
    <row r="831" spans="15:16" x14ac:dyDescent="0.3">
      <c r="O831" t="s">
        <v>61</v>
      </c>
      <c r="P831">
        <v>2022</v>
      </c>
    </row>
    <row r="832" spans="15:16" x14ac:dyDescent="0.3">
      <c r="O832" t="s">
        <v>322</v>
      </c>
      <c r="P832">
        <v>2022</v>
      </c>
    </row>
    <row r="833" spans="15:16" x14ac:dyDescent="0.3">
      <c r="O833" t="s">
        <v>719</v>
      </c>
      <c r="P833">
        <v>2022</v>
      </c>
    </row>
    <row r="834" spans="15:16" x14ac:dyDescent="0.3">
      <c r="O834" t="s">
        <v>350</v>
      </c>
      <c r="P834">
        <v>2022</v>
      </c>
    </row>
    <row r="835" spans="15:16" x14ac:dyDescent="0.3">
      <c r="O835" t="s">
        <v>405</v>
      </c>
      <c r="P835">
        <v>2022</v>
      </c>
    </row>
    <row r="836" spans="15:16" x14ac:dyDescent="0.3">
      <c r="O836" t="s">
        <v>449</v>
      </c>
      <c r="P836">
        <v>2022</v>
      </c>
    </row>
    <row r="837" spans="15:16" x14ac:dyDescent="0.3">
      <c r="O837" t="s">
        <v>642</v>
      </c>
      <c r="P837">
        <v>2022</v>
      </c>
    </row>
    <row r="838" spans="15:16" x14ac:dyDescent="0.3">
      <c r="O838" t="s">
        <v>720</v>
      </c>
      <c r="P838">
        <v>2022</v>
      </c>
    </row>
    <row r="839" spans="15:16" x14ac:dyDescent="0.3">
      <c r="O839" t="s">
        <v>721</v>
      </c>
      <c r="P839">
        <v>2022</v>
      </c>
    </row>
    <row r="840" spans="15:16" x14ac:dyDescent="0.3">
      <c r="O840" t="s">
        <v>217</v>
      </c>
      <c r="P840">
        <v>2022</v>
      </c>
    </row>
    <row r="841" spans="15:16" x14ac:dyDescent="0.3">
      <c r="O841" t="s">
        <v>147</v>
      </c>
      <c r="P841">
        <v>2022</v>
      </c>
    </row>
    <row r="842" spans="15:16" x14ac:dyDescent="0.3">
      <c r="O842" t="s">
        <v>102</v>
      </c>
      <c r="P842">
        <v>2022</v>
      </c>
    </row>
    <row r="843" spans="15:16" x14ac:dyDescent="0.3">
      <c r="O843" t="s">
        <v>722</v>
      </c>
      <c r="P843">
        <v>2022</v>
      </c>
    </row>
    <row r="844" spans="15:16" x14ac:dyDescent="0.3">
      <c r="O844" t="s">
        <v>723</v>
      </c>
      <c r="P844">
        <v>2022</v>
      </c>
    </row>
    <row r="845" spans="15:16" x14ac:dyDescent="0.3">
      <c r="O845" t="s">
        <v>432</v>
      </c>
      <c r="P845">
        <v>2022</v>
      </c>
    </row>
    <row r="846" spans="15:16" x14ac:dyDescent="0.3">
      <c r="O846" t="s">
        <v>184</v>
      </c>
      <c r="P846">
        <v>2022</v>
      </c>
    </row>
    <row r="847" spans="15:16" x14ac:dyDescent="0.3">
      <c r="O847" t="s">
        <v>114</v>
      </c>
      <c r="P847">
        <v>2022</v>
      </c>
    </row>
    <row r="848" spans="15:16" x14ac:dyDescent="0.3">
      <c r="O848" t="s">
        <v>724</v>
      </c>
      <c r="P848">
        <v>2022</v>
      </c>
    </row>
    <row r="849" spans="15:16" x14ac:dyDescent="0.3">
      <c r="O849" t="s">
        <v>564</v>
      </c>
      <c r="P849">
        <v>2022</v>
      </c>
    </row>
    <row r="850" spans="15:16" x14ac:dyDescent="0.3">
      <c r="O850" t="s">
        <v>725</v>
      </c>
      <c r="P850">
        <v>2022</v>
      </c>
    </row>
    <row r="851" spans="15:16" x14ac:dyDescent="0.3">
      <c r="O851" t="s">
        <v>726</v>
      </c>
      <c r="P851">
        <v>2022</v>
      </c>
    </row>
    <row r="852" spans="15:16" x14ac:dyDescent="0.3">
      <c r="O852" t="s">
        <v>727</v>
      </c>
      <c r="P852">
        <v>2022</v>
      </c>
    </row>
    <row r="853" spans="15:16" x14ac:dyDescent="0.3">
      <c r="O853" t="s">
        <v>264</v>
      </c>
      <c r="P853">
        <v>2022</v>
      </c>
    </row>
    <row r="854" spans="15:16" x14ac:dyDescent="0.3">
      <c r="O854" t="s">
        <v>657</v>
      </c>
      <c r="P854">
        <v>2022</v>
      </c>
    </row>
    <row r="855" spans="15:16" x14ac:dyDescent="0.3">
      <c r="O855" t="s">
        <v>479</v>
      </c>
      <c r="P855">
        <v>2022</v>
      </c>
    </row>
    <row r="856" spans="15:16" x14ac:dyDescent="0.3">
      <c r="O856" t="s">
        <v>179</v>
      </c>
      <c r="P856">
        <v>2022</v>
      </c>
    </row>
    <row r="857" spans="15:16" x14ac:dyDescent="0.3">
      <c r="O857" t="s">
        <v>728</v>
      </c>
      <c r="P857">
        <v>2022</v>
      </c>
    </row>
    <row r="858" spans="15:16" x14ac:dyDescent="0.3">
      <c r="O858" t="s">
        <v>44</v>
      </c>
      <c r="P858">
        <v>2022</v>
      </c>
    </row>
    <row r="859" spans="15:16" x14ac:dyDescent="0.3">
      <c r="O859" t="s">
        <v>529</v>
      </c>
      <c r="P859">
        <v>2022</v>
      </c>
    </row>
    <row r="860" spans="15:16" x14ac:dyDescent="0.3">
      <c r="O860" t="s">
        <v>729</v>
      </c>
      <c r="P860">
        <v>2022</v>
      </c>
    </row>
    <row r="861" spans="15:16" x14ac:dyDescent="0.3">
      <c r="O861" t="s">
        <v>291</v>
      </c>
      <c r="P861">
        <v>2022</v>
      </c>
    </row>
    <row r="862" spans="15:16" x14ac:dyDescent="0.3">
      <c r="O862" t="s">
        <v>730</v>
      </c>
      <c r="P862">
        <v>2022</v>
      </c>
    </row>
    <row r="863" spans="15:16" x14ac:dyDescent="0.3">
      <c r="O863" t="s">
        <v>451</v>
      </c>
      <c r="P863">
        <v>2022</v>
      </c>
    </row>
    <row r="864" spans="15:16" x14ac:dyDescent="0.3">
      <c r="O864" t="s">
        <v>370</v>
      </c>
      <c r="P864">
        <v>2022</v>
      </c>
    </row>
    <row r="865" spans="15:16" x14ac:dyDescent="0.3">
      <c r="O865" t="s">
        <v>731</v>
      </c>
      <c r="P865">
        <v>2022</v>
      </c>
    </row>
    <row r="866" spans="15:16" x14ac:dyDescent="0.3">
      <c r="O866" t="s">
        <v>597</v>
      </c>
      <c r="P866">
        <v>2022</v>
      </c>
    </row>
    <row r="867" spans="15:16" x14ac:dyDescent="0.3">
      <c r="O867" t="s">
        <v>554</v>
      </c>
      <c r="P867">
        <v>2022</v>
      </c>
    </row>
    <row r="868" spans="15:16" x14ac:dyDescent="0.3">
      <c r="O868" t="s">
        <v>339</v>
      </c>
      <c r="P868">
        <v>2022</v>
      </c>
    </row>
    <row r="869" spans="15:16" x14ac:dyDescent="0.3">
      <c r="O869" t="s">
        <v>20</v>
      </c>
      <c r="P869">
        <v>2022</v>
      </c>
    </row>
    <row r="870" spans="15:16" x14ac:dyDescent="0.3">
      <c r="O870" t="s">
        <v>228</v>
      </c>
      <c r="P870">
        <v>2022</v>
      </c>
    </row>
    <row r="871" spans="15:16" x14ac:dyDescent="0.3">
      <c r="O871" t="s">
        <v>732</v>
      </c>
      <c r="P871">
        <v>2022</v>
      </c>
    </row>
    <row r="872" spans="15:16" x14ac:dyDescent="0.3">
      <c r="O872" t="s">
        <v>157</v>
      </c>
      <c r="P872">
        <v>2022</v>
      </c>
    </row>
    <row r="873" spans="15:16" x14ac:dyDescent="0.3">
      <c r="O873" t="s">
        <v>418</v>
      </c>
      <c r="P873">
        <v>2022</v>
      </c>
    </row>
    <row r="874" spans="15:16" x14ac:dyDescent="0.3">
      <c r="O874" t="s">
        <v>636</v>
      </c>
      <c r="P874">
        <v>2022</v>
      </c>
    </row>
    <row r="875" spans="15:16" x14ac:dyDescent="0.3">
      <c r="O875" t="s">
        <v>24</v>
      </c>
      <c r="P875">
        <v>2022</v>
      </c>
    </row>
    <row r="876" spans="15:16" x14ac:dyDescent="0.3">
      <c r="O876" t="s">
        <v>375</v>
      </c>
      <c r="P876">
        <v>2022</v>
      </c>
    </row>
    <row r="877" spans="15:16" x14ac:dyDescent="0.3">
      <c r="O877" t="s">
        <v>437</v>
      </c>
      <c r="P877">
        <v>2022</v>
      </c>
    </row>
    <row r="878" spans="15:16" x14ac:dyDescent="0.3">
      <c r="O878" t="s">
        <v>733</v>
      </c>
      <c r="P878">
        <v>2022</v>
      </c>
    </row>
    <row r="879" spans="15:16" x14ac:dyDescent="0.3">
      <c r="O879" t="s">
        <v>356</v>
      </c>
      <c r="P879">
        <v>2022</v>
      </c>
    </row>
    <row r="880" spans="15:16" x14ac:dyDescent="0.3">
      <c r="O880" t="s">
        <v>387</v>
      </c>
      <c r="P880">
        <v>2022</v>
      </c>
    </row>
    <row r="881" spans="15:16" x14ac:dyDescent="0.3">
      <c r="O881" t="s">
        <v>104</v>
      </c>
      <c r="P881">
        <v>2022</v>
      </c>
    </row>
    <row r="882" spans="15:16" x14ac:dyDescent="0.3">
      <c r="O882" t="s">
        <v>734</v>
      </c>
      <c r="P882">
        <v>2022</v>
      </c>
    </row>
    <row r="883" spans="15:16" x14ac:dyDescent="0.3">
      <c r="O883" t="s">
        <v>314</v>
      </c>
      <c r="P883">
        <v>2022</v>
      </c>
    </row>
    <row r="884" spans="15:16" x14ac:dyDescent="0.3">
      <c r="O884" t="s">
        <v>419</v>
      </c>
      <c r="P884">
        <v>2022</v>
      </c>
    </row>
    <row r="885" spans="15:16" x14ac:dyDescent="0.3">
      <c r="O885" t="s">
        <v>277</v>
      </c>
      <c r="P885">
        <v>2022</v>
      </c>
    </row>
    <row r="886" spans="15:16" x14ac:dyDescent="0.3">
      <c r="O886" t="s">
        <v>735</v>
      </c>
      <c r="P886">
        <v>2022</v>
      </c>
    </row>
    <row r="887" spans="15:16" x14ac:dyDescent="0.3">
      <c r="O887" t="s">
        <v>596</v>
      </c>
      <c r="P887">
        <v>2022</v>
      </c>
    </row>
    <row r="888" spans="15:16" x14ac:dyDescent="0.3">
      <c r="O888" t="s">
        <v>430</v>
      </c>
      <c r="P888">
        <v>2022</v>
      </c>
    </row>
    <row r="889" spans="15:16" x14ac:dyDescent="0.3">
      <c r="O889" t="s">
        <v>173</v>
      </c>
      <c r="P889">
        <v>2022</v>
      </c>
    </row>
    <row r="890" spans="15:16" x14ac:dyDescent="0.3">
      <c r="O890" t="s">
        <v>303</v>
      </c>
      <c r="P890">
        <v>2022</v>
      </c>
    </row>
    <row r="891" spans="15:16" x14ac:dyDescent="0.3">
      <c r="O891" t="s">
        <v>209</v>
      </c>
      <c r="P891">
        <v>2022</v>
      </c>
    </row>
    <row r="892" spans="15:16" x14ac:dyDescent="0.3">
      <c r="O892" t="s">
        <v>137</v>
      </c>
      <c r="P892">
        <v>2022</v>
      </c>
    </row>
    <row r="893" spans="15:16" x14ac:dyDescent="0.3">
      <c r="O893" t="s">
        <v>736</v>
      </c>
      <c r="P893">
        <v>2022</v>
      </c>
    </row>
    <row r="894" spans="15:16" x14ac:dyDescent="0.3">
      <c r="O894" t="s">
        <v>737</v>
      </c>
      <c r="P894">
        <v>2022</v>
      </c>
    </row>
    <row r="895" spans="15:16" x14ac:dyDescent="0.3">
      <c r="O895" t="s">
        <v>558</v>
      </c>
      <c r="P895">
        <v>2022</v>
      </c>
    </row>
    <row r="896" spans="15:16" x14ac:dyDescent="0.3">
      <c r="O896" t="s">
        <v>648</v>
      </c>
      <c r="P896">
        <v>2022</v>
      </c>
    </row>
    <row r="897" spans="15:16" x14ac:dyDescent="0.3">
      <c r="O897" t="s">
        <v>496</v>
      </c>
      <c r="P897">
        <v>2022</v>
      </c>
    </row>
    <row r="898" spans="15:16" x14ac:dyDescent="0.3">
      <c r="O898" t="s">
        <v>738</v>
      </c>
      <c r="P898">
        <v>2022</v>
      </c>
    </row>
    <row r="899" spans="15:16" x14ac:dyDescent="0.3">
      <c r="O899" t="s">
        <v>433</v>
      </c>
      <c r="P899">
        <v>2022</v>
      </c>
    </row>
    <row r="900" spans="15:16" x14ac:dyDescent="0.3">
      <c r="O900" t="s">
        <v>199</v>
      </c>
      <c r="P900">
        <v>2022</v>
      </c>
    </row>
    <row r="901" spans="15:16" x14ac:dyDescent="0.3">
      <c r="O901" t="s">
        <v>739</v>
      </c>
      <c r="P901">
        <v>2022</v>
      </c>
    </row>
    <row r="902" spans="15:16" x14ac:dyDescent="0.3">
      <c r="O902" t="s">
        <v>477</v>
      </c>
      <c r="P902">
        <v>2022</v>
      </c>
    </row>
    <row r="903" spans="15:16" x14ac:dyDescent="0.3">
      <c r="O903" t="s">
        <v>614</v>
      </c>
      <c r="P903">
        <v>2022</v>
      </c>
    </row>
    <row r="904" spans="15:16" x14ac:dyDescent="0.3">
      <c r="O904" t="s">
        <v>622</v>
      </c>
      <c r="P904">
        <v>2022</v>
      </c>
    </row>
    <row r="905" spans="15:16" x14ac:dyDescent="0.3">
      <c r="O905" t="s">
        <v>211</v>
      </c>
      <c r="P905">
        <v>2022</v>
      </c>
    </row>
    <row r="906" spans="15:16" x14ac:dyDescent="0.3">
      <c r="O906" t="s">
        <v>349</v>
      </c>
      <c r="P906">
        <v>2022</v>
      </c>
    </row>
    <row r="907" spans="15:16" x14ac:dyDescent="0.3">
      <c r="O907" t="s">
        <v>656</v>
      </c>
      <c r="P907">
        <v>2022</v>
      </c>
    </row>
    <row r="908" spans="15:16" x14ac:dyDescent="0.3">
      <c r="O908" t="s">
        <v>110</v>
      </c>
      <c r="P908">
        <v>2022</v>
      </c>
    </row>
    <row r="909" spans="15:16" x14ac:dyDescent="0.3">
      <c r="O909" t="s">
        <v>548</v>
      </c>
      <c r="P909">
        <v>2022</v>
      </c>
    </row>
    <row r="910" spans="15:16" x14ac:dyDescent="0.3">
      <c r="O910" t="s">
        <v>628</v>
      </c>
      <c r="P910">
        <v>2022</v>
      </c>
    </row>
    <row r="911" spans="15:16" x14ac:dyDescent="0.3">
      <c r="O911" t="s">
        <v>740</v>
      </c>
      <c r="P911">
        <v>2022</v>
      </c>
    </row>
    <row r="912" spans="15:16" x14ac:dyDescent="0.3">
      <c r="O912" t="s">
        <v>42</v>
      </c>
      <c r="P912">
        <v>2022</v>
      </c>
    </row>
    <row r="913" spans="15:16" x14ac:dyDescent="0.3">
      <c r="O913" t="s">
        <v>85</v>
      </c>
      <c r="P913">
        <v>2022</v>
      </c>
    </row>
    <row r="914" spans="15:16" x14ac:dyDescent="0.3">
      <c r="O914" t="s">
        <v>660</v>
      </c>
      <c r="P914">
        <v>2022</v>
      </c>
    </row>
    <row r="915" spans="15:16" x14ac:dyDescent="0.3">
      <c r="O915" t="s">
        <v>741</v>
      </c>
      <c r="P915">
        <v>2022</v>
      </c>
    </row>
    <row r="916" spans="15:16" x14ac:dyDescent="0.3">
      <c r="O916" t="s">
        <v>455</v>
      </c>
      <c r="P916">
        <v>2022</v>
      </c>
    </row>
    <row r="917" spans="15:16" x14ac:dyDescent="0.3">
      <c r="O917" t="s">
        <v>197</v>
      </c>
      <c r="P917">
        <v>2022</v>
      </c>
    </row>
    <row r="918" spans="15:16" x14ac:dyDescent="0.3">
      <c r="O918" t="s">
        <v>742</v>
      </c>
      <c r="P918">
        <v>2022</v>
      </c>
    </row>
    <row r="919" spans="15:16" x14ac:dyDescent="0.3">
      <c r="O919" t="s">
        <v>743</v>
      </c>
      <c r="P919">
        <v>2022</v>
      </c>
    </row>
    <row r="920" spans="15:16" x14ac:dyDescent="0.3">
      <c r="O920" t="s">
        <v>33</v>
      </c>
      <c r="P920">
        <v>2022</v>
      </c>
    </row>
    <row r="921" spans="15:16" x14ac:dyDescent="0.3">
      <c r="O921" t="s">
        <v>369</v>
      </c>
      <c r="P921">
        <v>2022</v>
      </c>
    </row>
    <row r="922" spans="15:16" x14ac:dyDescent="0.3">
      <c r="O922" t="s">
        <v>304</v>
      </c>
      <c r="P922">
        <v>2022</v>
      </c>
    </row>
    <row r="923" spans="15:16" x14ac:dyDescent="0.3">
      <c r="O923" t="s">
        <v>357</v>
      </c>
      <c r="P923">
        <v>2022</v>
      </c>
    </row>
    <row r="924" spans="15:16" x14ac:dyDescent="0.3">
      <c r="O924" t="s">
        <v>517</v>
      </c>
      <c r="P924">
        <v>2022</v>
      </c>
    </row>
    <row r="925" spans="15:16" x14ac:dyDescent="0.3">
      <c r="O925" t="s">
        <v>341</v>
      </c>
      <c r="P925">
        <v>2022</v>
      </c>
    </row>
    <row r="926" spans="15:16" x14ac:dyDescent="0.3">
      <c r="O926" t="s">
        <v>525</v>
      </c>
      <c r="P926">
        <v>2022</v>
      </c>
    </row>
    <row r="927" spans="15:16" x14ac:dyDescent="0.3">
      <c r="O927" t="s">
        <v>86</v>
      </c>
      <c r="P927">
        <v>2022</v>
      </c>
    </row>
    <row r="928" spans="15:16" x14ac:dyDescent="0.3">
      <c r="O928" t="s">
        <v>439</v>
      </c>
      <c r="P928">
        <v>2022</v>
      </c>
    </row>
    <row r="929" spans="15:16" x14ac:dyDescent="0.3">
      <c r="O929" t="s">
        <v>360</v>
      </c>
      <c r="P929">
        <v>2022</v>
      </c>
    </row>
    <row r="930" spans="15:16" x14ac:dyDescent="0.3">
      <c r="O930" t="s">
        <v>426</v>
      </c>
      <c r="P930">
        <v>2022</v>
      </c>
    </row>
    <row r="931" spans="15:16" x14ac:dyDescent="0.3">
      <c r="O931" t="s">
        <v>515</v>
      </c>
      <c r="P931">
        <v>2022</v>
      </c>
    </row>
    <row r="932" spans="15:16" x14ac:dyDescent="0.3">
      <c r="O932" t="s">
        <v>643</v>
      </c>
      <c r="P932">
        <v>2022</v>
      </c>
    </row>
    <row r="933" spans="15:16" x14ac:dyDescent="0.3">
      <c r="O933" t="s">
        <v>203</v>
      </c>
      <c r="P933">
        <v>2022</v>
      </c>
    </row>
    <row r="934" spans="15:16" x14ac:dyDescent="0.3">
      <c r="O934" t="s">
        <v>328</v>
      </c>
      <c r="P934">
        <v>2022</v>
      </c>
    </row>
    <row r="935" spans="15:16" x14ac:dyDescent="0.3">
      <c r="O935" t="s">
        <v>744</v>
      </c>
      <c r="P935">
        <v>2022</v>
      </c>
    </row>
    <row r="936" spans="15:16" x14ac:dyDescent="0.3">
      <c r="O936" t="s">
        <v>608</v>
      </c>
      <c r="P936">
        <v>2022</v>
      </c>
    </row>
    <row r="937" spans="15:16" x14ac:dyDescent="0.3">
      <c r="O937" t="s">
        <v>539</v>
      </c>
      <c r="P937">
        <v>2022</v>
      </c>
    </row>
    <row r="938" spans="15:16" x14ac:dyDescent="0.3">
      <c r="O938" t="s">
        <v>745</v>
      </c>
      <c r="P938">
        <v>2022</v>
      </c>
    </row>
    <row r="939" spans="15:16" x14ac:dyDescent="0.3">
      <c r="O939" t="s">
        <v>299</v>
      </c>
      <c r="P939">
        <v>2022</v>
      </c>
    </row>
    <row r="940" spans="15:16" x14ac:dyDescent="0.3">
      <c r="O940" t="s">
        <v>746</v>
      </c>
      <c r="P940">
        <v>2022</v>
      </c>
    </row>
    <row r="941" spans="15:16" x14ac:dyDescent="0.3">
      <c r="O941" t="s">
        <v>747</v>
      </c>
      <c r="P941">
        <v>2022</v>
      </c>
    </row>
    <row r="942" spans="15:16" x14ac:dyDescent="0.3">
      <c r="O942" t="s">
        <v>235</v>
      </c>
      <c r="P942">
        <v>2022</v>
      </c>
    </row>
    <row r="943" spans="15:16" x14ac:dyDescent="0.3">
      <c r="O943" t="s">
        <v>267</v>
      </c>
      <c r="P943">
        <v>2022</v>
      </c>
    </row>
    <row r="944" spans="15:16" x14ac:dyDescent="0.3">
      <c r="O944" t="s">
        <v>202</v>
      </c>
      <c r="P944">
        <v>2022</v>
      </c>
    </row>
    <row r="945" spans="15:16" x14ac:dyDescent="0.3">
      <c r="O945" t="s">
        <v>108</v>
      </c>
      <c r="P945">
        <v>2022</v>
      </c>
    </row>
    <row r="946" spans="15:16" x14ac:dyDescent="0.3">
      <c r="O946" t="s">
        <v>560</v>
      </c>
      <c r="P946">
        <v>2022</v>
      </c>
    </row>
    <row r="947" spans="15:16" x14ac:dyDescent="0.3">
      <c r="O947" t="s">
        <v>566</v>
      </c>
      <c r="P947">
        <v>2022</v>
      </c>
    </row>
    <row r="948" spans="15:16" x14ac:dyDescent="0.3">
      <c r="O948" t="s">
        <v>287</v>
      </c>
      <c r="P948">
        <v>2022</v>
      </c>
    </row>
    <row r="949" spans="15:16" x14ac:dyDescent="0.3">
      <c r="O949" t="s">
        <v>748</v>
      </c>
      <c r="P949">
        <v>2022</v>
      </c>
    </row>
    <row r="950" spans="15:16" x14ac:dyDescent="0.3">
      <c r="O950" t="s">
        <v>637</v>
      </c>
      <c r="P950">
        <v>2022</v>
      </c>
    </row>
    <row r="951" spans="15:16" x14ac:dyDescent="0.3">
      <c r="O951" t="s">
        <v>72</v>
      </c>
      <c r="P951">
        <v>2022</v>
      </c>
    </row>
    <row r="952" spans="15:16" x14ac:dyDescent="0.3">
      <c r="O952" t="s">
        <v>464</v>
      </c>
      <c r="P952">
        <v>2022</v>
      </c>
    </row>
    <row r="953" spans="15:16" x14ac:dyDescent="0.3">
      <c r="O953" t="s">
        <v>749</v>
      </c>
      <c r="P953">
        <v>2022</v>
      </c>
    </row>
    <row r="954" spans="15:16" x14ac:dyDescent="0.3">
      <c r="O954" t="s">
        <v>305</v>
      </c>
      <c r="P954">
        <v>2022</v>
      </c>
    </row>
    <row r="955" spans="15:16" x14ac:dyDescent="0.3">
      <c r="O955" t="s">
        <v>594</v>
      </c>
      <c r="P955">
        <v>2022</v>
      </c>
    </row>
    <row r="956" spans="15:16" x14ac:dyDescent="0.3">
      <c r="O956" t="s">
        <v>750</v>
      </c>
      <c r="P956">
        <v>2022</v>
      </c>
    </row>
    <row r="957" spans="15:16" x14ac:dyDescent="0.3">
      <c r="O957" t="s">
        <v>751</v>
      </c>
      <c r="P957">
        <v>2022</v>
      </c>
    </row>
    <row r="958" spans="15:16" x14ac:dyDescent="0.3">
      <c r="O958" t="s">
        <v>396</v>
      </c>
      <c r="P958">
        <v>2022</v>
      </c>
    </row>
    <row r="959" spans="15:16" x14ac:dyDescent="0.3">
      <c r="O959" t="s">
        <v>145</v>
      </c>
      <c r="P959">
        <v>2022</v>
      </c>
    </row>
    <row r="960" spans="15:16" x14ac:dyDescent="0.3">
      <c r="O960" t="s">
        <v>752</v>
      </c>
      <c r="P960">
        <v>2022</v>
      </c>
    </row>
    <row r="961" spans="15:16" x14ac:dyDescent="0.3">
      <c r="O961" t="s">
        <v>753</v>
      </c>
      <c r="P961">
        <v>2022</v>
      </c>
    </row>
    <row r="962" spans="15:16" x14ac:dyDescent="0.3">
      <c r="O962" t="s">
        <v>276</v>
      </c>
      <c r="P962">
        <v>2022</v>
      </c>
    </row>
    <row r="963" spans="15:16" x14ac:dyDescent="0.3">
      <c r="O963" t="s">
        <v>754</v>
      </c>
      <c r="P963">
        <v>2022</v>
      </c>
    </row>
    <row r="964" spans="15:16" x14ac:dyDescent="0.3">
      <c r="O964" t="s">
        <v>149</v>
      </c>
      <c r="P964">
        <v>2022</v>
      </c>
    </row>
    <row r="965" spans="15:16" x14ac:dyDescent="0.3">
      <c r="O965" t="s">
        <v>755</v>
      </c>
      <c r="P965">
        <v>2022</v>
      </c>
    </row>
    <row r="966" spans="15:16" x14ac:dyDescent="0.3">
      <c r="O966" t="s">
        <v>555</v>
      </c>
      <c r="P966">
        <v>2022</v>
      </c>
    </row>
    <row r="967" spans="15:16" x14ac:dyDescent="0.3">
      <c r="O967" t="s">
        <v>441</v>
      </c>
      <c r="P967">
        <v>2022</v>
      </c>
    </row>
    <row r="968" spans="15:16" x14ac:dyDescent="0.3">
      <c r="O968" t="s">
        <v>484</v>
      </c>
      <c r="P968">
        <v>2022</v>
      </c>
    </row>
    <row r="969" spans="15:16" x14ac:dyDescent="0.3">
      <c r="O969" t="s">
        <v>241</v>
      </c>
      <c r="P969">
        <v>2022</v>
      </c>
    </row>
    <row r="970" spans="15:16" x14ac:dyDescent="0.3">
      <c r="O970" t="s">
        <v>583</v>
      </c>
      <c r="P970">
        <v>2022</v>
      </c>
    </row>
    <row r="971" spans="15:16" x14ac:dyDescent="0.3">
      <c r="O971" t="s">
        <v>511</v>
      </c>
      <c r="P971">
        <v>2022</v>
      </c>
    </row>
    <row r="972" spans="15:16" x14ac:dyDescent="0.3">
      <c r="O972" t="s">
        <v>592</v>
      </c>
      <c r="P972">
        <v>2022</v>
      </c>
    </row>
    <row r="973" spans="15:16" x14ac:dyDescent="0.3">
      <c r="O973" t="s">
        <v>169</v>
      </c>
      <c r="P973">
        <v>2022</v>
      </c>
    </row>
    <row r="974" spans="15:16" x14ac:dyDescent="0.3">
      <c r="O974" t="s">
        <v>395</v>
      </c>
      <c r="P974">
        <v>2022</v>
      </c>
    </row>
    <row r="975" spans="15:16" x14ac:dyDescent="0.3">
      <c r="O975" t="s">
        <v>385</v>
      </c>
      <c r="P975">
        <v>2022</v>
      </c>
    </row>
    <row r="976" spans="15:16" x14ac:dyDescent="0.3">
      <c r="O976" t="s">
        <v>756</v>
      </c>
      <c r="P976">
        <v>2022</v>
      </c>
    </row>
    <row r="977" spans="15:16" x14ac:dyDescent="0.3">
      <c r="O977" t="s">
        <v>653</v>
      </c>
      <c r="P977">
        <v>2022</v>
      </c>
    </row>
    <row r="978" spans="15:16" x14ac:dyDescent="0.3">
      <c r="O978" t="s">
        <v>229</v>
      </c>
      <c r="P978">
        <v>2022</v>
      </c>
    </row>
    <row r="979" spans="15:16" x14ac:dyDescent="0.3">
      <c r="O979" t="s">
        <v>757</v>
      </c>
      <c r="P979">
        <v>2022</v>
      </c>
    </row>
    <row r="980" spans="15:16" x14ac:dyDescent="0.3">
      <c r="O980" t="s">
        <v>610</v>
      </c>
      <c r="P980">
        <v>2022</v>
      </c>
    </row>
    <row r="981" spans="15:16" x14ac:dyDescent="0.3">
      <c r="O981" t="s">
        <v>48</v>
      </c>
      <c r="P981">
        <v>2022</v>
      </c>
    </row>
    <row r="982" spans="15:16" x14ac:dyDescent="0.3">
      <c r="O982" t="s">
        <v>410</v>
      </c>
      <c r="P982">
        <v>2022</v>
      </c>
    </row>
    <row r="983" spans="15:16" x14ac:dyDescent="0.3">
      <c r="O983" t="s">
        <v>452</v>
      </c>
      <c r="P983">
        <v>2022</v>
      </c>
    </row>
    <row r="984" spans="15:16" x14ac:dyDescent="0.3">
      <c r="O984" t="s">
        <v>522</v>
      </c>
      <c r="P984">
        <v>2022</v>
      </c>
    </row>
    <row r="985" spans="15:16" x14ac:dyDescent="0.3">
      <c r="O985" t="s">
        <v>758</v>
      </c>
      <c r="P985">
        <v>2022</v>
      </c>
    </row>
    <row r="986" spans="15:16" x14ac:dyDescent="0.3">
      <c r="O986" t="s">
        <v>121</v>
      </c>
      <c r="P986">
        <v>2022</v>
      </c>
    </row>
    <row r="987" spans="15:16" x14ac:dyDescent="0.3">
      <c r="O987" t="s">
        <v>213</v>
      </c>
      <c r="P987">
        <v>2022</v>
      </c>
    </row>
    <row r="988" spans="15:16" x14ac:dyDescent="0.3">
      <c r="O988" t="s">
        <v>759</v>
      </c>
      <c r="P988">
        <v>2022</v>
      </c>
    </row>
    <row r="989" spans="15:16" x14ac:dyDescent="0.3">
      <c r="O989" t="s">
        <v>664</v>
      </c>
      <c r="P989">
        <v>2022</v>
      </c>
    </row>
    <row r="990" spans="15:16" x14ac:dyDescent="0.3">
      <c r="O990" t="s">
        <v>257</v>
      </c>
      <c r="P990">
        <v>2022</v>
      </c>
    </row>
    <row r="991" spans="15:16" x14ac:dyDescent="0.3">
      <c r="O991" t="s">
        <v>354</v>
      </c>
      <c r="P991">
        <v>2022</v>
      </c>
    </row>
    <row r="992" spans="15:16" x14ac:dyDescent="0.3">
      <c r="O992" t="s">
        <v>233</v>
      </c>
      <c r="P992">
        <v>2022</v>
      </c>
    </row>
    <row r="993" spans="15:16" x14ac:dyDescent="0.3">
      <c r="O993" t="s">
        <v>260</v>
      </c>
      <c r="P993">
        <v>2022</v>
      </c>
    </row>
    <row r="994" spans="15:16" x14ac:dyDescent="0.3">
      <c r="O994" t="s">
        <v>655</v>
      </c>
      <c r="P994">
        <v>2022</v>
      </c>
    </row>
    <row r="995" spans="15:16" x14ac:dyDescent="0.3">
      <c r="O995" t="s">
        <v>237</v>
      </c>
      <c r="P995">
        <v>2022</v>
      </c>
    </row>
    <row r="996" spans="15:16" x14ac:dyDescent="0.3">
      <c r="O996" t="s">
        <v>552</v>
      </c>
      <c r="P996">
        <v>2022</v>
      </c>
    </row>
    <row r="997" spans="15:16" x14ac:dyDescent="0.3">
      <c r="O997" t="s">
        <v>760</v>
      </c>
      <c r="P997">
        <v>2022</v>
      </c>
    </row>
    <row r="998" spans="15:16" x14ac:dyDescent="0.3">
      <c r="O998" t="s">
        <v>160</v>
      </c>
      <c r="P998">
        <v>2022</v>
      </c>
    </row>
    <row r="999" spans="15:16" x14ac:dyDescent="0.3">
      <c r="O999" t="s">
        <v>609</v>
      </c>
      <c r="P999">
        <v>2022</v>
      </c>
    </row>
    <row r="1000" spans="15:16" x14ac:dyDescent="0.3">
      <c r="O1000" t="s">
        <v>255</v>
      </c>
      <c r="P1000">
        <v>2022</v>
      </c>
    </row>
    <row r="1001" spans="15:16" x14ac:dyDescent="0.3">
      <c r="O1001" t="s">
        <v>761</v>
      </c>
      <c r="P1001">
        <v>2022</v>
      </c>
    </row>
    <row r="1002" spans="15:16" x14ac:dyDescent="0.3">
      <c r="O1002" t="s">
        <v>762</v>
      </c>
      <c r="P1002">
        <v>2022</v>
      </c>
    </row>
    <row r="1003" spans="15:16" x14ac:dyDescent="0.3">
      <c r="O1003" t="s">
        <v>78</v>
      </c>
      <c r="P1003">
        <v>2022</v>
      </c>
    </row>
    <row r="1004" spans="15:16" x14ac:dyDescent="0.3">
      <c r="O1004" t="s">
        <v>534</v>
      </c>
      <c r="P1004">
        <v>2022</v>
      </c>
    </row>
    <row r="1005" spans="15:16" x14ac:dyDescent="0.3">
      <c r="O1005" t="s">
        <v>763</v>
      </c>
      <c r="P1005">
        <v>2022</v>
      </c>
    </row>
    <row r="1006" spans="15:16" x14ac:dyDescent="0.3">
      <c r="O1006" t="s">
        <v>542</v>
      </c>
      <c r="P1006">
        <v>2022</v>
      </c>
    </row>
    <row r="1007" spans="15:16" x14ac:dyDescent="0.3">
      <c r="O1007" t="s">
        <v>764</v>
      </c>
      <c r="P1007">
        <v>2022</v>
      </c>
    </row>
    <row r="1008" spans="15:16" x14ac:dyDescent="0.3">
      <c r="O1008" t="s">
        <v>765</v>
      </c>
      <c r="P1008">
        <v>2022</v>
      </c>
    </row>
    <row r="1009" spans="15:16" x14ac:dyDescent="0.3">
      <c r="O1009" t="s">
        <v>766</v>
      </c>
      <c r="P1009">
        <v>2022</v>
      </c>
    </row>
    <row r="1010" spans="15:16" x14ac:dyDescent="0.3">
      <c r="O1010" t="s">
        <v>113</v>
      </c>
      <c r="P1010">
        <v>2022</v>
      </c>
    </row>
    <row r="1011" spans="15:16" x14ac:dyDescent="0.3">
      <c r="O1011" t="s">
        <v>111</v>
      </c>
      <c r="P1011">
        <v>2022</v>
      </c>
    </row>
    <row r="1012" spans="15:16" x14ac:dyDescent="0.3">
      <c r="O1012" t="s">
        <v>231</v>
      </c>
      <c r="P1012">
        <v>2022</v>
      </c>
    </row>
    <row r="1013" spans="15:16" x14ac:dyDescent="0.3">
      <c r="O1013" t="s">
        <v>265</v>
      </c>
      <c r="P1013">
        <v>2022</v>
      </c>
    </row>
    <row r="1014" spans="15:16" x14ac:dyDescent="0.3">
      <c r="O1014" t="s">
        <v>570</v>
      </c>
      <c r="P1014">
        <v>2022</v>
      </c>
    </row>
    <row r="1015" spans="15:16" x14ac:dyDescent="0.3">
      <c r="O1015" t="s">
        <v>569</v>
      </c>
      <c r="P1015">
        <v>2022</v>
      </c>
    </row>
    <row r="1016" spans="15:16" x14ac:dyDescent="0.3">
      <c r="O1016" t="s">
        <v>400</v>
      </c>
      <c r="P1016">
        <v>2022</v>
      </c>
    </row>
    <row r="1017" spans="15:16" x14ac:dyDescent="0.3">
      <c r="O1017" t="s">
        <v>80</v>
      </c>
      <c r="P1017">
        <v>2022</v>
      </c>
    </row>
    <row r="1018" spans="15:16" x14ac:dyDescent="0.3">
      <c r="O1018" t="s">
        <v>417</v>
      </c>
      <c r="P1018">
        <v>2022</v>
      </c>
    </row>
    <row r="1019" spans="15:16" x14ac:dyDescent="0.3">
      <c r="O1019" t="s">
        <v>767</v>
      </c>
      <c r="P1019">
        <v>2022</v>
      </c>
    </row>
    <row r="1020" spans="15:16" x14ac:dyDescent="0.3">
      <c r="O1020" t="s">
        <v>600</v>
      </c>
      <c r="P1020">
        <v>2022</v>
      </c>
    </row>
    <row r="1021" spans="15:16" x14ac:dyDescent="0.3">
      <c r="O1021" t="s">
        <v>768</v>
      </c>
      <c r="P1021">
        <v>2022</v>
      </c>
    </row>
    <row r="1022" spans="15:16" x14ac:dyDescent="0.3">
      <c r="O1022" t="s">
        <v>170</v>
      </c>
      <c r="P1022">
        <v>2022</v>
      </c>
    </row>
    <row r="1023" spans="15:16" x14ac:dyDescent="0.3">
      <c r="O1023" t="s">
        <v>407</v>
      </c>
      <c r="P1023">
        <v>2022</v>
      </c>
    </row>
    <row r="1024" spans="15:16" x14ac:dyDescent="0.3">
      <c r="O1024" t="s">
        <v>581</v>
      </c>
      <c r="P1024">
        <v>2022</v>
      </c>
    </row>
    <row r="1025" spans="15:16" x14ac:dyDescent="0.3">
      <c r="O1025" t="s">
        <v>12</v>
      </c>
      <c r="P1025">
        <v>2022</v>
      </c>
    </row>
    <row r="1026" spans="15:16" x14ac:dyDescent="0.3">
      <c r="O1026" t="s">
        <v>769</v>
      </c>
      <c r="P1026">
        <v>2022</v>
      </c>
    </row>
    <row r="1027" spans="15:16" x14ac:dyDescent="0.3">
      <c r="O1027" t="s">
        <v>49</v>
      </c>
      <c r="P1027">
        <v>2022</v>
      </c>
    </row>
    <row r="1028" spans="15:16" x14ac:dyDescent="0.3">
      <c r="O1028" t="s">
        <v>634</v>
      </c>
      <c r="P1028">
        <v>2022</v>
      </c>
    </row>
    <row r="1029" spans="15:16" x14ac:dyDescent="0.3">
      <c r="O1029" t="s">
        <v>94</v>
      </c>
      <c r="P1029">
        <v>2022</v>
      </c>
    </row>
    <row r="1030" spans="15:16" x14ac:dyDescent="0.3">
      <c r="O1030" t="s">
        <v>313</v>
      </c>
      <c r="P1030">
        <v>2022</v>
      </c>
    </row>
    <row r="1031" spans="15:16" x14ac:dyDescent="0.3">
      <c r="O1031" t="s">
        <v>770</v>
      </c>
      <c r="P1031">
        <v>2022</v>
      </c>
    </row>
    <row r="1032" spans="15:16" x14ac:dyDescent="0.3">
      <c r="O1032" t="s">
        <v>771</v>
      </c>
      <c r="P1032">
        <v>2022</v>
      </c>
    </row>
    <row r="1033" spans="15:16" x14ac:dyDescent="0.3">
      <c r="O1033" t="s">
        <v>363</v>
      </c>
      <c r="P1033">
        <v>2022</v>
      </c>
    </row>
    <row r="1034" spans="15:16" x14ac:dyDescent="0.3">
      <c r="O1034" t="s">
        <v>603</v>
      </c>
      <c r="P1034">
        <v>2022</v>
      </c>
    </row>
    <row r="1035" spans="15:16" x14ac:dyDescent="0.3">
      <c r="O1035" t="s">
        <v>580</v>
      </c>
      <c r="P1035">
        <v>2022</v>
      </c>
    </row>
    <row r="1036" spans="15:16" x14ac:dyDescent="0.3">
      <c r="O1036" t="s">
        <v>772</v>
      </c>
      <c r="P1036">
        <v>2022</v>
      </c>
    </row>
    <row r="1037" spans="15:16" x14ac:dyDescent="0.3">
      <c r="O1037" t="s">
        <v>429</v>
      </c>
      <c r="P1037">
        <v>2022</v>
      </c>
    </row>
    <row r="1038" spans="15:16" x14ac:dyDescent="0.3">
      <c r="O1038" t="s">
        <v>502</v>
      </c>
      <c r="P1038">
        <v>2022</v>
      </c>
    </row>
    <row r="1039" spans="15:16" x14ac:dyDescent="0.3">
      <c r="O1039" t="s">
        <v>773</v>
      </c>
      <c r="P1039">
        <v>2022</v>
      </c>
    </row>
    <row r="1040" spans="15:16" x14ac:dyDescent="0.3">
      <c r="O1040" t="s">
        <v>186</v>
      </c>
      <c r="P1040">
        <v>2022</v>
      </c>
    </row>
    <row r="1041" spans="15:16" x14ac:dyDescent="0.3">
      <c r="O1041" t="s">
        <v>272</v>
      </c>
      <c r="P1041">
        <v>2022</v>
      </c>
    </row>
    <row r="1042" spans="15:16" x14ac:dyDescent="0.3">
      <c r="O1042" t="s">
        <v>633</v>
      </c>
      <c r="P1042">
        <v>2022</v>
      </c>
    </row>
    <row r="1043" spans="15:16" x14ac:dyDescent="0.3">
      <c r="O1043" t="s">
        <v>175</v>
      </c>
      <c r="P1043">
        <v>2022</v>
      </c>
    </row>
    <row r="1044" spans="15:16" x14ac:dyDescent="0.3">
      <c r="O1044" t="s">
        <v>774</v>
      </c>
      <c r="P1044">
        <v>2022</v>
      </c>
    </row>
    <row r="1045" spans="15:16" x14ac:dyDescent="0.3">
      <c r="O1045" t="s">
        <v>538</v>
      </c>
      <c r="P1045">
        <v>2022</v>
      </c>
    </row>
    <row r="1046" spans="15:16" x14ac:dyDescent="0.3">
      <c r="O1046" t="s">
        <v>775</v>
      </c>
      <c r="P1046">
        <v>2022</v>
      </c>
    </row>
    <row r="1047" spans="15:16" x14ac:dyDescent="0.3">
      <c r="O1047" t="s">
        <v>632</v>
      </c>
      <c r="P1047">
        <v>2022</v>
      </c>
    </row>
    <row r="1048" spans="15:16" x14ac:dyDescent="0.3">
      <c r="O1048" t="s">
        <v>359</v>
      </c>
      <c r="P1048">
        <v>2022</v>
      </c>
    </row>
    <row r="1049" spans="15:16" x14ac:dyDescent="0.3">
      <c r="O1049" t="s">
        <v>323</v>
      </c>
      <c r="P1049">
        <v>2022</v>
      </c>
    </row>
    <row r="1050" spans="15:16" x14ac:dyDescent="0.3">
      <c r="O1050" t="s">
        <v>619</v>
      </c>
      <c r="P1050">
        <v>2022</v>
      </c>
    </row>
    <row r="1051" spans="15:16" x14ac:dyDescent="0.3">
      <c r="O1051" t="s">
        <v>776</v>
      </c>
      <c r="P1051">
        <v>2022</v>
      </c>
    </row>
    <row r="1052" spans="15:16" x14ac:dyDescent="0.3">
      <c r="O1052" t="s">
        <v>561</v>
      </c>
      <c r="P1052">
        <v>2022</v>
      </c>
    </row>
    <row r="1053" spans="15:16" x14ac:dyDescent="0.3">
      <c r="O1053" t="s">
        <v>258</v>
      </c>
      <c r="P1053">
        <v>2022</v>
      </c>
    </row>
    <row r="1054" spans="15:16" x14ac:dyDescent="0.3">
      <c r="O1054" t="s">
        <v>777</v>
      </c>
      <c r="P1054">
        <v>2022</v>
      </c>
    </row>
    <row r="1055" spans="15:16" x14ac:dyDescent="0.3">
      <c r="O1055" t="s">
        <v>112</v>
      </c>
      <c r="P1055">
        <v>2022</v>
      </c>
    </row>
    <row r="1056" spans="15:16" x14ac:dyDescent="0.3">
      <c r="O1056" t="s">
        <v>476</v>
      </c>
      <c r="P1056">
        <v>2022</v>
      </c>
    </row>
    <row r="1057" spans="15:16" x14ac:dyDescent="0.3">
      <c r="O1057" t="s">
        <v>242</v>
      </c>
      <c r="P1057">
        <v>2022</v>
      </c>
    </row>
    <row r="1058" spans="15:16" x14ac:dyDescent="0.3">
      <c r="O1058" t="s">
        <v>302</v>
      </c>
      <c r="P1058">
        <v>2022</v>
      </c>
    </row>
    <row r="1059" spans="15:16" x14ac:dyDescent="0.3">
      <c r="O1059" t="s">
        <v>778</v>
      </c>
      <c r="P1059">
        <v>2022</v>
      </c>
    </row>
    <row r="1060" spans="15:16" x14ac:dyDescent="0.3">
      <c r="O1060" t="s">
        <v>499</v>
      </c>
      <c r="P1060">
        <v>2022</v>
      </c>
    </row>
    <row r="1061" spans="15:16" x14ac:dyDescent="0.3">
      <c r="O1061" t="s">
        <v>319</v>
      </c>
      <c r="P1061">
        <v>2022</v>
      </c>
    </row>
    <row r="1062" spans="15:16" x14ac:dyDescent="0.3">
      <c r="O1062" t="s">
        <v>779</v>
      </c>
      <c r="P1062">
        <v>2022</v>
      </c>
    </row>
    <row r="1063" spans="15:16" x14ac:dyDescent="0.3">
      <c r="O1063" t="s">
        <v>96</v>
      </c>
      <c r="P1063">
        <v>2022</v>
      </c>
    </row>
    <row r="1064" spans="15:16" x14ac:dyDescent="0.3">
      <c r="O1064" t="s">
        <v>253</v>
      </c>
      <c r="P1064">
        <v>2022</v>
      </c>
    </row>
    <row r="1065" spans="15:16" x14ac:dyDescent="0.3">
      <c r="O1065" t="s">
        <v>125</v>
      </c>
      <c r="P1065">
        <v>2022</v>
      </c>
    </row>
    <row r="1066" spans="15:16" x14ac:dyDescent="0.3">
      <c r="O1066" t="s">
        <v>780</v>
      </c>
      <c r="P1066">
        <v>2022</v>
      </c>
    </row>
    <row r="1067" spans="15:16" x14ac:dyDescent="0.3">
      <c r="O1067" t="s">
        <v>200</v>
      </c>
      <c r="P1067">
        <v>2022</v>
      </c>
    </row>
    <row r="1068" spans="15:16" x14ac:dyDescent="0.3">
      <c r="O1068" t="s">
        <v>144</v>
      </c>
      <c r="P1068">
        <v>2022</v>
      </c>
    </row>
    <row r="1069" spans="15:16" x14ac:dyDescent="0.3">
      <c r="O1069" t="s">
        <v>565</v>
      </c>
      <c r="P1069">
        <v>2022</v>
      </c>
    </row>
    <row r="1070" spans="15:16" x14ac:dyDescent="0.3">
      <c r="O1070" t="s">
        <v>176</v>
      </c>
      <c r="P1070">
        <v>2022</v>
      </c>
    </row>
    <row r="1071" spans="15:16" x14ac:dyDescent="0.3">
      <c r="O1071" t="s">
        <v>781</v>
      </c>
      <c r="P1071">
        <v>2022</v>
      </c>
    </row>
    <row r="1072" spans="15:16" x14ac:dyDescent="0.3">
      <c r="O1072" t="s">
        <v>376</v>
      </c>
      <c r="P1072">
        <v>2022</v>
      </c>
    </row>
    <row r="1073" spans="15:16" x14ac:dyDescent="0.3">
      <c r="O1073" t="s">
        <v>411</v>
      </c>
      <c r="P1073">
        <v>2022</v>
      </c>
    </row>
    <row r="1074" spans="15:16" x14ac:dyDescent="0.3">
      <c r="O1074" t="s">
        <v>392</v>
      </c>
      <c r="P1074">
        <v>2022</v>
      </c>
    </row>
    <row r="1075" spans="15:16" x14ac:dyDescent="0.3">
      <c r="O1075" t="s">
        <v>782</v>
      </c>
      <c r="P1075">
        <v>2022</v>
      </c>
    </row>
    <row r="1076" spans="15:16" x14ac:dyDescent="0.3">
      <c r="O1076" t="s">
        <v>308</v>
      </c>
      <c r="P1076">
        <v>2022</v>
      </c>
    </row>
    <row r="1077" spans="15:16" x14ac:dyDescent="0.3">
      <c r="O1077" t="s">
        <v>606</v>
      </c>
      <c r="P1077">
        <v>2022</v>
      </c>
    </row>
    <row r="1078" spans="15:16" x14ac:dyDescent="0.3">
      <c r="O1078" t="s">
        <v>783</v>
      </c>
      <c r="P1078">
        <v>2022</v>
      </c>
    </row>
    <row r="1079" spans="15:16" x14ac:dyDescent="0.3">
      <c r="O1079" t="s">
        <v>784</v>
      </c>
      <c r="P1079">
        <v>2022</v>
      </c>
    </row>
    <row r="1080" spans="15:16" x14ac:dyDescent="0.3">
      <c r="O1080" t="s">
        <v>178</v>
      </c>
      <c r="P1080">
        <v>2022</v>
      </c>
    </row>
    <row r="1081" spans="15:16" x14ac:dyDescent="0.3">
      <c r="O1081" t="s">
        <v>141</v>
      </c>
      <c r="P1081">
        <v>2022</v>
      </c>
    </row>
    <row r="1082" spans="15:16" x14ac:dyDescent="0.3">
      <c r="O1082" t="s">
        <v>786</v>
      </c>
      <c r="P1082">
        <v>2022</v>
      </c>
    </row>
    <row r="1083" spans="15:16" x14ac:dyDescent="0.3">
      <c r="O1083" t="s">
        <v>651</v>
      </c>
      <c r="P1083">
        <v>2022</v>
      </c>
    </row>
    <row r="1084" spans="15:16" x14ac:dyDescent="0.3">
      <c r="O1084" t="s">
        <v>344</v>
      </c>
      <c r="P1084">
        <v>2022</v>
      </c>
    </row>
    <row r="1085" spans="15:16" x14ac:dyDescent="0.3">
      <c r="O1085" t="s">
        <v>787</v>
      </c>
      <c r="P1085">
        <v>2022</v>
      </c>
    </row>
    <row r="1086" spans="15:16" x14ac:dyDescent="0.3">
      <c r="O1086" t="s">
        <v>92</v>
      </c>
      <c r="P1086">
        <v>2022</v>
      </c>
    </row>
    <row r="1087" spans="15:16" x14ac:dyDescent="0.3">
      <c r="O1087" t="s">
        <v>324</v>
      </c>
      <c r="P1087">
        <v>2022</v>
      </c>
    </row>
    <row r="1088" spans="15:16" x14ac:dyDescent="0.3">
      <c r="O1088" t="s">
        <v>506</v>
      </c>
      <c r="P1088">
        <v>2022</v>
      </c>
    </row>
    <row r="1089" spans="15:16" x14ac:dyDescent="0.3">
      <c r="O1089" t="s">
        <v>494</v>
      </c>
      <c r="P1089">
        <v>2022</v>
      </c>
    </row>
    <row r="1090" spans="15:16" x14ac:dyDescent="0.3">
      <c r="O1090" t="s">
        <v>289</v>
      </c>
      <c r="P1090">
        <v>2022</v>
      </c>
    </row>
    <row r="1091" spans="15:16" x14ac:dyDescent="0.3">
      <c r="O1091" t="s">
        <v>617</v>
      </c>
      <c r="P1091">
        <v>2022</v>
      </c>
    </row>
    <row r="1092" spans="15:16" x14ac:dyDescent="0.3">
      <c r="O1092" t="s">
        <v>118</v>
      </c>
      <c r="P1092">
        <v>2022</v>
      </c>
    </row>
    <row r="1093" spans="15:16" x14ac:dyDescent="0.3">
      <c r="O1093" t="s">
        <v>587</v>
      </c>
      <c r="P1093">
        <v>2022</v>
      </c>
    </row>
    <row r="1094" spans="15:16" x14ac:dyDescent="0.3">
      <c r="O1094" t="s">
        <v>367</v>
      </c>
      <c r="P1094">
        <v>2022</v>
      </c>
    </row>
    <row r="1095" spans="15:16" x14ac:dyDescent="0.3">
      <c r="O1095" t="s">
        <v>292</v>
      </c>
      <c r="P1095">
        <v>2022</v>
      </c>
    </row>
    <row r="1096" spans="15:16" x14ac:dyDescent="0.3">
      <c r="O1096" t="s">
        <v>544</v>
      </c>
      <c r="P1096">
        <v>2022</v>
      </c>
    </row>
    <row r="1097" spans="15:16" x14ac:dyDescent="0.3">
      <c r="O1097" t="s">
        <v>403</v>
      </c>
      <c r="P1097">
        <v>2022</v>
      </c>
    </row>
    <row r="1098" spans="15:16" x14ac:dyDescent="0.3">
      <c r="O1098" t="s">
        <v>131</v>
      </c>
      <c r="P1098">
        <v>2022</v>
      </c>
    </row>
    <row r="1099" spans="15:16" x14ac:dyDescent="0.3">
      <c r="O1099" t="s">
        <v>290</v>
      </c>
      <c r="P1099">
        <v>2022</v>
      </c>
    </row>
    <row r="1100" spans="15:16" x14ac:dyDescent="0.3">
      <c r="O1100" t="s">
        <v>168</v>
      </c>
      <c r="P1100">
        <v>2022</v>
      </c>
    </row>
    <row r="1101" spans="15:16" x14ac:dyDescent="0.3">
      <c r="O1101" t="s">
        <v>148</v>
      </c>
      <c r="P1101">
        <v>2022</v>
      </c>
    </row>
    <row r="1102" spans="15:16" x14ac:dyDescent="0.3">
      <c r="O1102" t="s">
        <v>190</v>
      </c>
      <c r="P1102">
        <v>2022</v>
      </c>
    </row>
    <row r="1103" spans="15:16" x14ac:dyDescent="0.3">
      <c r="O1103" t="s">
        <v>788</v>
      </c>
      <c r="P1103">
        <v>2022</v>
      </c>
    </row>
    <row r="1104" spans="15:16" x14ac:dyDescent="0.3">
      <c r="O1104" t="s">
        <v>335</v>
      </c>
      <c r="P1104">
        <v>2022</v>
      </c>
    </row>
    <row r="1105" spans="15:16" x14ac:dyDescent="0.3">
      <c r="O1105" t="s">
        <v>334</v>
      </c>
      <c r="P1105">
        <v>2022</v>
      </c>
    </row>
    <row r="1106" spans="15:16" x14ac:dyDescent="0.3">
      <c r="O1106" t="s">
        <v>230</v>
      </c>
      <c r="P1106">
        <v>2022</v>
      </c>
    </row>
    <row r="1107" spans="15:16" x14ac:dyDescent="0.3">
      <c r="O1107" t="s">
        <v>445</v>
      </c>
      <c r="P1107">
        <v>2022</v>
      </c>
    </row>
    <row r="1108" spans="15:16" x14ac:dyDescent="0.3">
      <c r="O1108" t="s">
        <v>343</v>
      </c>
      <c r="P1108">
        <v>2022</v>
      </c>
    </row>
    <row r="1109" spans="15:16" x14ac:dyDescent="0.3">
      <c r="O1109" t="s">
        <v>789</v>
      </c>
      <c r="P1109">
        <v>2022</v>
      </c>
    </row>
    <row r="1110" spans="15:16" x14ac:dyDescent="0.3">
      <c r="O1110" t="s">
        <v>790</v>
      </c>
      <c r="P1110">
        <v>2022</v>
      </c>
    </row>
    <row r="1111" spans="15:16" x14ac:dyDescent="0.3">
      <c r="O1111" t="s">
        <v>336</v>
      </c>
      <c r="P1111">
        <v>2022</v>
      </c>
    </row>
    <row r="1112" spans="15:16" x14ac:dyDescent="0.3">
      <c r="O1112" t="s">
        <v>295</v>
      </c>
      <c r="P1112">
        <v>2022</v>
      </c>
    </row>
    <row r="1113" spans="15:16" x14ac:dyDescent="0.3">
      <c r="O1113" t="s">
        <v>116</v>
      </c>
      <c r="P1113">
        <v>2022</v>
      </c>
    </row>
    <row r="1114" spans="15:16" x14ac:dyDescent="0.3">
      <c r="O1114" t="s">
        <v>442</v>
      </c>
      <c r="P1114">
        <v>2022</v>
      </c>
    </row>
    <row r="1115" spans="15:16" x14ac:dyDescent="0.3">
      <c r="O1115" t="s">
        <v>193</v>
      </c>
      <c r="P1115">
        <v>2022</v>
      </c>
    </row>
    <row r="1116" spans="15:16" x14ac:dyDescent="0.3">
      <c r="O1116" t="s">
        <v>644</v>
      </c>
      <c r="P1116">
        <v>2022</v>
      </c>
    </row>
    <row r="1117" spans="15:16" x14ac:dyDescent="0.3">
      <c r="O1117" t="s">
        <v>158</v>
      </c>
      <c r="P1117">
        <v>2022</v>
      </c>
    </row>
    <row r="1118" spans="15:16" x14ac:dyDescent="0.3">
      <c r="O1118" t="s">
        <v>658</v>
      </c>
      <c r="P1118">
        <v>2022</v>
      </c>
    </row>
    <row r="1119" spans="15:16" x14ac:dyDescent="0.3">
      <c r="O1119" t="s">
        <v>254</v>
      </c>
      <c r="P1119">
        <v>2022</v>
      </c>
    </row>
    <row r="1120" spans="15:16" x14ac:dyDescent="0.3">
      <c r="O1120" t="s">
        <v>408</v>
      </c>
      <c r="P1120">
        <v>2022</v>
      </c>
    </row>
    <row r="1121" spans="15:16" x14ac:dyDescent="0.3">
      <c r="O1121" t="s">
        <v>791</v>
      </c>
      <c r="P1121">
        <v>2022</v>
      </c>
    </row>
    <row r="1122" spans="15:16" x14ac:dyDescent="0.3">
      <c r="O1122" t="s">
        <v>298</v>
      </c>
      <c r="P1122">
        <v>2022</v>
      </c>
    </row>
    <row r="1123" spans="15:16" x14ac:dyDescent="0.3">
      <c r="O1123" t="s">
        <v>486</v>
      </c>
      <c r="P1123">
        <v>2022</v>
      </c>
    </row>
    <row r="1124" spans="15:16" x14ac:dyDescent="0.3">
      <c r="O1124" t="s">
        <v>146</v>
      </c>
      <c r="P1124">
        <v>2022</v>
      </c>
    </row>
    <row r="1125" spans="15:16" x14ac:dyDescent="0.3">
      <c r="O1125" t="s">
        <v>261</v>
      </c>
      <c r="P1125">
        <v>2022</v>
      </c>
    </row>
    <row r="1126" spans="15:16" x14ac:dyDescent="0.3">
      <c r="O1126" t="s">
        <v>286</v>
      </c>
      <c r="P1126">
        <v>2022</v>
      </c>
    </row>
    <row r="1127" spans="15:16" x14ac:dyDescent="0.3">
      <c r="O1127" t="s">
        <v>406</v>
      </c>
      <c r="P1127">
        <v>2022</v>
      </c>
    </row>
    <row r="1128" spans="15:16" x14ac:dyDescent="0.3">
      <c r="O1128" t="s">
        <v>461</v>
      </c>
      <c r="P1128">
        <v>2022</v>
      </c>
    </row>
    <row r="1129" spans="15:16" x14ac:dyDescent="0.3">
      <c r="O1129" t="s">
        <v>616</v>
      </c>
      <c r="P1129">
        <v>2022</v>
      </c>
    </row>
    <row r="1130" spans="15:16" x14ac:dyDescent="0.3">
      <c r="O1130" t="s">
        <v>490</v>
      </c>
      <c r="P1130">
        <v>2022</v>
      </c>
    </row>
    <row r="1131" spans="15:16" x14ac:dyDescent="0.3">
      <c r="O1131" t="s">
        <v>792</v>
      </c>
      <c r="P1131">
        <v>2022</v>
      </c>
    </row>
    <row r="1132" spans="15:16" x14ac:dyDescent="0.3">
      <c r="O1132" t="s">
        <v>380</v>
      </c>
      <c r="P1132">
        <v>2022</v>
      </c>
    </row>
    <row r="1133" spans="15:16" x14ac:dyDescent="0.3">
      <c r="O1133" t="s">
        <v>573</v>
      </c>
      <c r="P1133">
        <v>2022</v>
      </c>
    </row>
    <row r="1134" spans="15:16" x14ac:dyDescent="0.3">
      <c r="O1134" t="s">
        <v>793</v>
      </c>
      <c r="P1134">
        <v>2022</v>
      </c>
    </row>
    <row r="1135" spans="15:16" x14ac:dyDescent="0.3">
      <c r="O1135" t="s">
        <v>794</v>
      </c>
      <c r="P1135">
        <v>2022</v>
      </c>
    </row>
    <row r="1136" spans="15:16" x14ac:dyDescent="0.3">
      <c r="O1136" t="s">
        <v>520</v>
      </c>
      <c r="P1136">
        <v>2022</v>
      </c>
    </row>
    <row r="1137" spans="15:16" x14ac:dyDescent="0.3">
      <c r="O1137" t="s">
        <v>460</v>
      </c>
      <c r="P1137">
        <v>2022</v>
      </c>
    </row>
    <row r="1138" spans="15:16" x14ac:dyDescent="0.3">
      <c r="O1138" t="s">
        <v>325</v>
      </c>
      <c r="P1138">
        <v>2022</v>
      </c>
    </row>
    <row r="1139" spans="15:16" x14ac:dyDescent="0.3">
      <c r="O1139" t="s">
        <v>450</v>
      </c>
      <c r="P1139">
        <v>2022</v>
      </c>
    </row>
    <row r="1140" spans="15:16" x14ac:dyDescent="0.3">
      <c r="O1140" t="s">
        <v>67</v>
      </c>
      <c r="P1140">
        <v>2022</v>
      </c>
    </row>
    <row r="1141" spans="15:16" x14ac:dyDescent="0.3">
      <c r="O1141" t="s">
        <v>795</v>
      </c>
      <c r="P1141">
        <v>2022</v>
      </c>
    </row>
    <row r="1142" spans="15:16" x14ac:dyDescent="0.3">
      <c r="O1142" t="s">
        <v>796</v>
      </c>
      <c r="P1142">
        <v>2022</v>
      </c>
    </row>
    <row r="1143" spans="15:16" x14ac:dyDescent="0.3">
      <c r="O1143" t="s">
        <v>662</v>
      </c>
      <c r="P1143">
        <v>2022</v>
      </c>
    </row>
    <row r="1144" spans="15:16" x14ac:dyDescent="0.3">
      <c r="O1144" t="s">
        <v>652</v>
      </c>
      <c r="P1144">
        <v>2022</v>
      </c>
    </row>
    <row r="1145" spans="15:16" x14ac:dyDescent="0.3">
      <c r="O1145" t="s">
        <v>797</v>
      </c>
      <c r="P1145">
        <v>2022</v>
      </c>
    </row>
    <row r="1146" spans="15:16" x14ac:dyDescent="0.3">
      <c r="O1146" t="s">
        <v>629</v>
      </c>
      <c r="P1146">
        <v>2022</v>
      </c>
    </row>
    <row r="1147" spans="15:16" x14ac:dyDescent="0.3">
      <c r="O1147" t="s">
        <v>59</v>
      </c>
      <c r="P1147">
        <v>2022</v>
      </c>
    </row>
    <row r="1148" spans="15:16" x14ac:dyDescent="0.3">
      <c r="O1148" t="s">
        <v>161</v>
      </c>
      <c r="P1148">
        <v>2022</v>
      </c>
    </row>
    <row r="1149" spans="15:16" x14ac:dyDescent="0.3">
      <c r="O1149" t="s">
        <v>574</v>
      </c>
      <c r="P1149">
        <v>2022</v>
      </c>
    </row>
    <row r="1150" spans="15:16" x14ac:dyDescent="0.3">
      <c r="O1150" t="s">
        <v>798</v>
      </c>
      <c r="P1150">
        <v>2022</v>
      </c>
    </row>
    <row r="1151" spans="15:16" x14ac:dyDescent="0.3">
      <c r="O1151" t="s">
        <v>576</v>
      </c>
      <c r="P1151">
        <v>2022</v>
      </c>
    </row>
    <row r="1152" spans="15:16" x14ac:dyDescent="0.3">
      <c r="O1152" t="s">
        <v>89</v>
      </c>
      <c r="P1152">
        <v>2022</v>
      </c>
    </row>
    <row r="1153" spans="15:16" x14ac:dyDescent="0.3">
      <c r="O1153" t="s">
        <v>218</v>
      </c>
      <c r="P1153">
        <v>2022</v>
      </c>
    </row>
    <row r="1154" spans="15:16" x14ac:dyDescent="0.3">
      <c r="O1154" t="s">
        <v>593</v>
      </c>
      <c r="P1154">
        <v>2022</v>
      </c>
    </row>
    <row r="1155" spans="15:16" x14ac:dyDescent="0.3">
      <c r="O1155" t="s">
        <v>427</v>
      </c>
      <c r="P1155">
        <v>2022</v>
      </c>
    </row>
    <row r="1156" spans="15:16" x14ac:dyDescent="0.3">
      <c r="O1156" t="s">
        <v>799</v>
      </c>
      <c r="P1156">
        <v>2022</v>
      </c>
    </row>
    <row r="1157" spans="15:16" x14ac:dyDescent="0.3">
      <c r="O1157" t="s">
        <v>800</v>
      </c>
      <c r="P1157">
        <v>2022</v>
      </c>
    </row>
    <row r="1158" spans="15:16" x14ac:dyDescent="0.3">
      <c r="O1158" t="s">
        <v>204</v>
      </c>
      <c r="P1158">
        <v>2022</v>
      </c>
    </row>
    <row r="1159" spans="15:16" x14ac:dyDescent="0.3">
      <c r="O1159" t="s">
        <v>801</v>
      </c>
      <c r="P1159">
        <v>2022</v>
      </c>
    </row>
    <row r="1160" spans="15:16" x14ac:dyDescent="0.3">
      <c r="O1160" t="s">
        <v>533</v>
      </c>
      <c r="P1160">
        <v>2022</v>
      </c>
    </row>
    <row r="1161" spans="15:16" x14ac:dyDescent="0.3">
      <c r="O1161" t="s">
        <v>378</v>
      </c>
      <c r="P1161">
        <v>2022</v>
      </c>
    </row>
    <row r="1162" spans="15:16" x14ac:dyDescent="0.3">
      <c r="O1162" t="s">
        <v>584</v>
      </c>
      <c r="P1162">
        <v>2022</v>
      </c>
    </row>
    <row r="1163" spans="15:16" x14ac:dyDescent="0.3">
      <c r="O1163" t="s">
        <v>802</v>
      </c>
      <c r="P1163">
        <v>2022</v>
      </c>
    </row>
    <row r="1164" spans="15:16" x14ac:dyDescent="0.3">
      <c r="O1164" t="s">
        <v>458</v>
      </c>
      <c r="P1164">
        <v>2022</v>
      </c>
    </row>
    <row r="1165" spans="15:16" x14ac:dyDescent="0.3">
      <c r="O1165" t="s">
        <v>803</v>
      </c>
      <c r="P1165">
        <v>2022</v>
      </c>
    </row>
    <row r="1166" spans="15:16" x14ac:dyDescent="0.3">
      <c r="O1166" t="s">
        <v>422</v>
      </c>
      <c r="P1166">
        <v>2022</v>
      </c>
    </row>
    <row r="1167" spans="15:16" x14ac:dyDescent="0.3">
      <c r="O1167" t="s">
        <v>518</v>
      </c>
      <c r="P1167">
        <v>2022</v>
      </c>
    </row>
    <row r="1168" spans="15:16" x14ac:dyDescent="0.3">
      <c r="O1168" t="s">
        <v>568</v>
      </c>
      <c r="P1168">
        <v>2022</v>
      </c>
    </row>
    <row r="1169" spans="15:16" x14ac:dyDescent="0.3">
      <c r="O1169" t="s">
        <v>804</v>
      </c>
      <c r="P1169">
        <v>2022</v>
      </c>
    </row>
    <row r="1170" spans="15:16" x14ac:dyDescent="0.3">
      <c r="O1170" t="s">
        <v>224</v>
      </c>
      <c r="P1170">
        <v>2022</v>
      </c>
    </row>
    <row r="1171" spans="15:16" x14ac:dyDescent="0.3">
      <c r="O1171" t="s">
        <v>575</v>
      </c>
      <c r="P1171">
        <v>2022</v>
      </c>
    </row>
    <row r="1172" spans="15:16" x14ac:dyDescent="0.3">
      <c r="O1172" t="s">
        <v>120</v>
      </c>
      <c r="P1172">
        <v>2022</v>
      </c>
    </row>
    <row r="1173" spans="15:16" x14ac:dyDescent="0.3">
      <c r="O1173" t="s">
        <v>761</v>
      </c>
      <c r="P1173">
        <v>2023</v>
      </c>
    </row>
    <row r="1174" spans="15:16" x14ac:dyDescent="0.3">
      <c r="O1174" t="s">
        <v>406</v>
      </c>
      <c r="P1174">
        <v>2023</v>
      </c>
    </row>
    <row r="1175" spans="15:16" x14ac:dyDescent="0.3">
      <c r="O1175" t="s">
        <v>373</v>
      </c>
      <c r="P1175">
        <v>2023</v>
      </c>
    </row>
    <row r="1176" spans="15:16" x14ac:dyDescent="0.3">
      <c r="O1176" t="s">
        <v>805</v>
      </c>
      <c r="P1176">
        <v>2023</v>
      </c>
    </row>
    <row r="1177" spans="15:16" x14ac:dyDescent="0.3">
      <c r="O1177" t="s">
        <v>806</v>
      </c>
      <c r="P1177">
        <v>2023</v>
      </c>
    </row>
    <row r="1178" spans="15:16" x14ac:dyDescent="0.3">
      <c r="O1178" t="s">
        <v>696</v>
      </c>
      <c r="P1178">
        <v>2023</v>
      </c>
    </row>
    <row r="1179" spans="15:16" x14ac:dyDescent="0.3">
      <c r="O1179" t="s">
        <v>268</v>
      </c>
      <c r="P1179">
        <v>2023</v>
      </c>
    </row>
    <row r="1180" spans="15:16" x14ac:dyDescent="0.3">
      <c r="O1180" t="s">
        <v>300</v>
      </c>
      <c r="P1180">
        <v>2023</v>
      </c>
    </row>
    <row r="1181" spans="15:16" x14ac:dyDescent="0.3">
      <c r="O1181" t="s">
        <v>758</v>
      </c>
      <c r="P1181">
        <v>2023</v>
      </c>
    </row>
    <row r="1182" spans="15:16" x14ac:dyDescent="0.3">
      <c r="O1182" t="s">
        <v>22</v>
      </c>
      <c r="P1182">
        <v>2023</v>
      </c>
    </row>
    <row r="1183" spans="15:16" x14ac:dyDescent="0.3">
      <c r="O1183" t="s">
        <v>31</v>
      </c>
      <c r="P1183">
        <v>2023</v>
      </c>
    </row>
    <row r="1184" spans="15:16" x14ac:dyDescent="0.3">
      <c r="O1184" t="s">
        <v>238</v>
      </c>
      <c r="P1184">
        <v>2023</v>
      </c>
    </row>
    <row r="1185" spans="15:16" x14ac:dyDescent="0.3">
      <c r="O1185" t="s">
        <v>663</v>
      </c>
      <c r="P1185">
        <v>2023</v>
      </c>
    </row>
    <row r="1186" spans="15:16" x14ac:dyDescent="0.3">
      <c r="O1186" t="s">
        <v>187</v>
      </c>
      <c r="P1186">
        <v>2023</v>
      </c>
    </row>
    <row r="1187" spans="15:16" x14ac:dyDescent="0.3">
      <c r="O1187" t="s">
        <v>807</v>
      </c>
      <c r="P1187">
        <v>2023</v>
      </c>
    </row>
    <row r="1188" spans="15:16" x14ac:dyDescent="0.3">
      <c r="O1188" t="s">
        <v>424</v>
      </c>
      <c r="P1188">
        <v>2023</v>
      </c>
    </row>
    <row r="1189" spans="15:16" x14ac:dyDescent="0.3">
      <c r="O1189" t="s">
        <v>173</v>
      </c>
      <c r="P1189">
        <v>2023</v>
      </c>
    </row>
    <row r="1190" spans="15:16" x14ac:dyDescent="0.3">
      <c r="O1190" t="s">
        <v>716</v>
      </c>
      <c r="P1190">
        <v>2023</v>
      </c>
    </row>
    <row r="1191" spans="15:16" x14ac:dyDescent="0.3">
      <c r="O1191" t="s">
        <v>289</v>
      </c>
      <c r="P1191">
        <v>2023</v>
      </c>
    </row>
    <row r="1192" spans="15:16" x14ac:dyDescent="0.3">
      <c r="O1192" t="s">
        <v>626</v>
      </c>
      <c r="P1192">
        <v>2023</v>
      </c>
    </row>
    <row r="1193" spans="15:16" x14ac:dyDescent="0.3">
      <c r="O1193" t="s">
        <v>566</v>
      </c>
      <c r="P1193">
        <v>2023</v>
      </c>
    </row>
    <row r="1194" spans="15:16" x14ac:dyDescent="0.3">
      <c r="O1194" t="s">
        <v>808</v>
      </c>
      <c r="P1194">
        <v>2023</v>
      </c>
    </row>
    <row r="1195" spans="15:16" x14ac:dyDescent="0.3">
      <c r="O1195" t="s">
        <v>349</v>
      </c>
      <c r="P1195">
        <v>2023</v>
      </c>
    </row>
    <row r="1196" spans="15:16" x14ac:dyDescent="0.3">
      <c r="O1196" t="s">
        <v>757</v>
      </c>
      <c r="P1196">
        <v>2023</v>
      </c>
    </row>
    <row r="1197" spans="15:16" x14ac:dyDescent="0.3">
      <c r="O1197" t="s">
        <v>803</v>
      </c>
      <c r="P1197">
        <v>2023</v>
      </c>
    </row>
    <row r="1198" spans="15:16" x14ac:dyDescent="0.3">
      <c r="O1198" t="s">
        <v>276</v>
      </c>
      <c r="P1198">
        <v>2023</v>
      </c>
    </row>
    <row r="1199" spans="15:16" x14ac:dyDescent="0.3">
      <c r="O1199" t="s">
        <v>260</v>
      </c>
      <c r="P1199">
        <v>2023</v>
      </c>
    </row>
    <row r="1200" spans="15:16" x14ac:dyDescent="0.3">
      <c r="O1200" t="s">
        <v>768</v>
      </c>
      <c r="P1200">
        <v>2023</v>
      </c>
    </row>
    <row r="1201" spans="15:16" x14ac:dyDescent="0.3">
      <c r="O1201" t="s">
        <v>457</v>
      </c>
      <c r="P1201">
        <v>2023</v>
      </c>
    </row>
    <row r="1202" spans="15:16" x14ac:dyDescent="0.3">
      <c r="O1202" t="s">
        <v>630</v>
      </c>
      <c r="P1202">
        <v>2023</v>
      </c>
    </row>
    <row r="1203" spans="15:16" x14ac:dyDescent="0.3">
      <c r="O1203" t="s">
        <v>281</v>
      </c>
      <c r="P1203">
        <v>2023</v>
      </c>
    </row>
    <row r="1204" spans="15:16" x14ac:dyDescent="0.3">
      <c r="O1204" t="s">
        <v>331</v>
      </c>
      <c r="P1204">
        <v>2023</v>
      </c>
    </row>
    <row r="1205" spans="15:16" x14ac:dyDescent="0.3">
      <c r="O1205" t="s">
        <v>783</v>
      </c>
      <c r="P1205">
        <v>2023</v>
      </c>
    </row>
    <row r="1206" spans="15:16" x14ac:dyDescent="0.3">
      <c r="O1206" t="s">
        <v>667</v>
      </c>
      <c r="P1206">
        <v>2023</v>
      </c>
    </row>
    <row r="1207" spans="15:16" x14ac:dyDescent="0.3">
      <c r="O1207" t="s">
        <v>489</v>
      </c>
      <c r="P1207">
        <v>2023</v>
      </c>
    </row>
    <row r="1208" spans="15:16" x14ac:dyDescent="0.3">
      <c r="O1208" t="s">
        <v>809</v>
      </c>
      <c r="P1208">
        <v>2023</v>
      </c>
    </row>
    <row r="1209" spans="15:16" x14ac:dyDescent="0.3">
      <c r="O1209" t="s">
        <v>161</v>
      </c>
      <c r="P1209">
        <v>2023</v>
      </c>
    </row>
    <row r="1210" spans="15:16" x14ac:dyDescent="0.3">
      <c r="O1210" t="s">
        <v>538</v>
      </c>
      <c r="P1210">
        <v>2023</v>
      </c>
    </row>
    <row r="1211" spans="15:16" x14ac:dyDescent="0.3">
      <c r="O1211" t="s">
        <v>303</v>
      </c>
      <c r="P1211">
        <v>2023</v>
      </c>
    </row>
    <row r="1212" spans="15:16" x14ac:dyDescent="0.3">
      <c r="O1212" t="s">
        <v>632</v>
      </c>
      <c r="P1212">
        <v>2023</v>
      </c>
    </row>
    <row r="1213" spans="15:16" x14ac:dyDescent="0.3">
      <c r="O1213" t="s">
        <v>810</v>
      </c>
      <c r="P1213">
        <v>2023</v>
      </c>
    </row>
    <row r="1214" spans="15:16" x14ac:dyDescent="0.3">
      <c r="O1214" t="s">
        <v>518</v>
      </c>
      <c r="P1214">
        <v>2023</v>
      </c>
    </row>
    <row r="1215" spans="15:16" x14ac:dyDescent="0.3">
      <c r="O1215" t="s">
        <v>147</v>
      </c>
      <c r="P1215">
        <v>2023</v>
      </c>
    </row>
    <row r="1216" spans="15:16" x14ac:dyDescent="0.3">
      <c r="O1216" t="s">
        <v>121</v>
      </c>
      <c r="P1216">
        <v>2023</v>
      </c>
    </row>
    <row r="1217" spans="15:16" x14ac:dyDescent="0.3">
      <c r="O1217" t="s">
        <v>599</v>
      </c>
      <c r="P1217">
        <v>2023</v>
      </c>
    </row>
    <row r="1218" spans="15:16" x14ac:dyDescent="0.3">
      <c r="O1218" t="s">
        <v>214</v>
      </c>
      <c r="P1218">
        <v>2023</v>
      </c>
    </row>
    <row r="1219" spans="15:16" x14ac:dyDescent="0.3">
      <c r="O1219" t="s">
        <v>86</v>
      </c>
      <c r="P1219">
        <v>2023</v>
      </c>
    </row>
    <row r="1220" spans="15:16" x14ac:dyDescent="0.3">
      <c r="O1220" t="s">
        <v>507</v>
      </c>
      <c r="P1220">
        <v>2023</v>
      </c>
    </row>
    <row r="1221" spans="15:16" x14ac:dyDescent="0.3">
      <c r="O1221" t="s">
        <v>651</v>
      </c>
      <c r="P1221">
        <v>2023</v>
      </c>
    </row>
    <row r="1222" spans="15:16" x14ac:dyDescent="0.3">
      <c r="O1222" t="s">
        <v>206</v>
      </c>
      <c r="P1222">
        <v>2023</v>
      </c>
    </row>
    <row r="1223" spans="15:16" x14ac:dyDescent="0.3">
      <c r="O1223" t="s">
        <v>338</v>
      </c>
      <c r="P1223">
        <v>2023</v>
      </c>
    </row>
    <row r="1224" spans="15:16" x14ac:dyDescent="0.3">
      <c r="O1224" t="s">
        <v>77</v>
      </c>
      <c r="P1224">
        <v>2023</v>
      </c>
    </row>
    <row r="1225" spans="15:16" x14ac:dyDescent="0.3">
      <c r="O1225" t="s">
        <v>534</v>
      </c>
      <c r="P1225">
        <v>2023</v>
      </c>
    </row>
    <row r="1226" spans="15:16" x14ac:dyDescent="0.3">
      <c r="O1226" t="s">
        <v>459</v>
      </c>
      <c r="P1226">
        <v>2023</v>
      </c>
    </row>
    <row r="1227" spans="15:16" x14ac:dyDescent="0.3">
      <c r="O1227" t="s">
        <v>474</v>
      </c>
      <c r="P1227">
        <v>2023</v>
      </c>
    </row>
    <row r="1228" spans="15:16" x14ac:dyDescent="0.3">
      <c r="O1228" t="s">
        <v>437</v>
      </c>
      <c r="P1228">
        <v>2023</v>
      </c>
    </row>
    <row r="1229" spans="15:16" x14ac:dyDescent="0.3">
      <c r="O1229" t="s">
        <v>142</v>
      </c>
      <c r="P1229">
        <v>2023</v>
      </c>
    </row>
    <row r="1230" spans="15:16" x14ac:dyDescent="0.3">
      <c r="O1230" t="s">
        <v>178</v>
      </c>
      <c r="P1230">
        <v>2023</v>
      </c>
    </row>
    <row r="1231" spans="15:16" x14ac:dyDescent="0.3">
      <c r="O1231" t="s">
        <v>160</v>
      </c>
      <c r="P1231">
        <v>2023</v>
      </c>
    </row>
    <row r="1232" spans="15:16" x14ac:dyDescent="0.3">
      <c r="O1232" t="s">
        <v>811</v>
      </c>
      <c r="P1232">
        <v>2023</v>
      </c>
    </row>
    <row r="1233" spans="15:16" x14ac:dyDescent="0.3">
      <c r="O1233" t="s">
        <v>735</v>
      </c>
      <c r="P1233">
        <v>2023</v>
      </c>
    </row>
    <row r="1234" spans="15:16" x14ac:dyDescent="0.3">
      <c r="O1234" t="s">
        <v>84</v>
      </c>
      <c r="P1234">
        <v>2023</v>
      </c>
    </row>
    <row r="1235" spans="15:16" x14ac:dyDescent="0.3">
      <c r="O1235" t="s">
        <v>764</v>
      </c>
      <c r="P1235">
        <v>2023</v>
      </c>
    </row>
    <row r="1236" spans="15:16" x14ac:dyDescent="0.3">
      <c r="O1236" t="s">
        <v>604</v>
      </c>
      <c r="P1236">
        <v>2023</v>
      </c>
    </row>
    <row r="1237" spans="15:16" x14ac:dyDescent="0.3">
      <c r="O1237" t="s">
        <v>204</v>
      </c>
      <c r="P1237">
        <v>2023</v>
      </c>
    </row>
    <row r="1238" spans="15:16" x14ac:dyDescent="0.3">
      <c r="O1238" t="s">
        <v>547</v>
      </c>
      <c r="P1238">
        <v>2023</v>
      </c>
    </row>
    <row r="1239" spans="15:16" x14ac:dyDescent="0.3">
      <c r="O1239" t="s">
        <v>682</v>
      </c>
      <c r="P1239">
        <v>2023</v>
      </c>
    </row>
    <row r="1240" spans="15:16" x14ac:dyDescent="0.3">
      <c r="O1240" t="s">
        <v>740</v>
      </c>
      <c r="P1240">
        <v>2023</v>
      </c>
    </row>
    <row r="1241" spans="15:16" x14ac:dyDescent="0.3">
      <c r="O1241" t="s">
        <v>256</v>
      </c>
      <c r="P1241">
        <v>2023</v>
      </c>
    </row>
    <row r="1242" spans="15:16" x14ac:dyDescent="0.3">
      <c r="O1242" t="s">
        <v>471</v>
      </c>
      <c r="P1242">
        <v>2023</v>
      </c>
    </row>
    <row r="1243" spans="15:16" x14ac:dyDescent="0.3">
      <c r="O1243" t="s">
        <v>700</v>
      </c>
      <c r="P1243">
        <v>2023</v>
      </c>
    </row>
    <row r="1244" spans="15:16" x14ac:dyDescent="0.3">
      <c r="O1244" t="s">
        <v>111</v>
      </c>
      <c r="P1244">
        <v>2023</v>
      </c>
    </row>
    <row r="1245" spans="15:16" x14ac:dyDescent="0.3">
      <c r="O1245" t="s">
        <v>524</v>
      </c>
      <c r="P1245">
        <v>2023</v>
      </c>
    </row>
    <row r="1246" spans="15:16" x14ac:dyDescent="0.3">
      <c r="O1246" t="s">
        <v>284</v>
      </c>
      <c r="P1246">
        <v>2023</v>
      </c>
    </row>
    <row r="1247" spans="15:16" x14ac:dyDescent="0.3">
      <c r="O1247" t="s">
        <v>617</v>
      </c>
      <c r="P1247">
        <v>2023</v>
      </c>
    </row>
    <row r="1248" spans="15:16" x14ac:dyDescent="0.3">
      <c r="O1248" t="s">
        <v>615</v>
      </c>
      <c r="P1248">
        <v>2023</v>
      </c>
    </row>
    <row r="1249" spans="15:16" x14ac:dyDescent="0.3">
      <c r="O1249" t="s">
        <v>697</v>
      </c>
      <c r="P1249">
        <v>2023</v>
      </c>
    </row>
    <row r="1250" spans="15:16" x14ac:dyDescent="0.3">
      <c r="O1250" t="s">
        <v>679</v>
      </c>
      <c r="P1250">
        <v>2023</v>
      </c>
    </row>
    <row r="1251" spans="15:16" x14ac:dyDescent="0.3">
      <c r="O1251" t="s">
        <v>366</v>
      </c>
      <c r="P1251">
        <v>2023</v>
      </c>
    </row>
    <row r="1252" spans="15:16" x14ac:dyDescent="0.3">
      <c r="O1252" t="s">
        <v>573</v>
      </c>
      <c r="P1252">
        <v>2023</v>
      </c>
    </row>
    <row r="1253" spans="15:16" x14ac:dyDescent="0.3">
      <c r="O1253" t="s">
        <v>364</v>
      </c>
      <c r="P1253">
        <v>2023</v>
      </c>
    </row>
    <row r="1254" spans="15:16" x14ac:dyDescent="0.3">
      <c r="O1254" t="s">
        <v>737</v>
      </c>
      <c r="P1254">
        <v>2023</v>
      </c>
    </row>
    <row r="1255" spans="15:16" x14ac:dyDescent="0.3">
      <c r="O1255" t="s">
        <v>343</v>
      </c>
      <c r="P1255">
        <v>2023</v>
      </c>
    </row>
    <row r="1256" spans="15:16" x14ac:dyDescent="0.3">
      <c r="O1256" t="s">
        <v>81</v>
      </c>
      <c r="P1256">
        <v>2023</v>
      </c>
    </row>
    <row r="1257" spans="15:16" x14ac:dyDescent="0.3">
      <c r="O1257" t="s">
        <v>812</v>
      </c>
      <c r="P1257">
        <v>2023</v>
      </c>
    </row>
    <row r="1258" spans="15:16" x14ac:dyDescent="0.3">
      <c r="O1258" t="s">
        <v>460</v>
      </c>
      <c r="P1258">
        <v>2023</v>
      </c>
    </row>
    <row r="1259" spans="15:16" x14ac:dyDescent="0.3">
      <c r="O1259" t="s">
        <v>574</v>
      </c>
      <c r="P1259">
        <v>2023</v>
      </c>
    </row>
    <row r="1260" spans="15:16" x14ac:dyDescent="0.3">
      <c r="O1260" t="s">
        <v>473</v>
      </c>
      <c r="P1260">
        <v>2023</v>
      </c>
    </row>
    <row r="1261" spans="15:16" x14ac:dyDescent="0.3">
      <c r="O1261" t="s">
        <v>315</v>
      </c>
      <c r="P1261">
        <v>2023</v>
      </c>
    </row>
    <row r="1262" spans="15:16" x14ac:dyDescent="0.3">
      <c r="O1262" t="s">
        <v>813</v>
      </c>
      <c r="P1262">
        <v>2023</v>
      </c>
    </row>
    <row r="1263" spans="15:16" x14ac:dyDescent="0.3">
      <c r="O1263" t="s">
        <v>655</v>
      </c>
      <c r="P1263">
        <v>2023</v>
      </c>
    </row>
    <row r="1264" spans="15:16" x14ac:dyDescent="0.3">
      <c r="O1264" t="s">
        <v>463</v>
      </c>
      <c r="P1264">
        <v>2023</v>
      </c>
    </row>
    <row r="1265" spans="15:16" x14ac:dyDescent="0.3">
      <c r="O1265" t="s">
        <v>225</v>
      </c>
      <c r="P1265">
        <v>2023</v>
      </c>
    </row>
    <row r="1266" spans="15:16" x14ac:dyDescent="0.3">
      <c r="O1266" t="s">
        <v>175</v>
      </c>
      <c r="P1266">
        <v>2023</v>
      </c>
    </row>
    <row r="1267" spans="15:16" x14ac:dyDescent="0.3">
      <c r="O1267" t="s">
        <v>660</v>
      </c>
      <c r="P1267">
        <v>2023</v>
      </c>
    </row>
    <row r="1268" spans="15:16" x14ac:dyDescent="0.3">
      <c r="O1268" t="s">
        <v>277</v>
      </c>
      <c r="P1268">
        <v>2023</v>
      </c>
    </row>
    <row r="1269" spans="15:16" x14ac:dyDescent="0.3">
      <c r="O1269" t="s">
        <v>314</v>
      </c>
      <c r="P1269">
        <v>2023</v>
      </c>
    </row>
    <row r="1270" spans="15:16" x14ac:dyDescent="0.3">
      <c r="O1270" t="s">
        <v>727</v>
      </c>
      <c r="P1270">
        <v>2023</v>
      </c>
    </row>
    <row r="1271" spans="15:16" x14ac:dyDescent="0.3">
      <c r="O1271" t="s">
        <v>342</v>
      </c>
      <c r="P1271">
        <v>2023</v>
      </c>
    </row>
    <row r="1272" spans="15:16" x14ac:dyDescent="0.3">
      <c r="O1272" t="s">
        <v>713</v>
      </c>
      <c r="P1272">
        <v>2023</v>
      </c>
    </row>
    <row r="1273" spans="15:16" x14ac:dyDescent="0.3">
      <c r="O1273" t="s">
        <v>714</v>
      </c>
      <c r="P1273">
        <v>2023</v>
      </c>
    </row>
    <row r="1274" spans="15:16" x14ac:dyDescent="0.3">
      <c r="O1274" t="s">
        <v>358</v>
      </c>
      <c r="P1274">
        <v>2023</v>
      </c>
    </row>
    <row r="1275" spans="15:16" x14ac:dyDescent="0.3">
      <c r="O1275" t="s">
        <v>527</v>
      </c>
      <c r="P1275">
        <v>2023</v>
      </c>
    </row>
    <row r="1276" spans="15:16" x14ac:dyDescent="0.3">
      <c r="O1276" t="s">
        <v>348</v>
      </c>
      <c r="P1276">
        <v>2023</v>
      </c>
    </row>
    <row r="1277" spans="15:16" x14ac:dyDescent="0.3">
      <c r="O1277" t="s">
        <v>729</v>
      </c>
      <c r="P1277">
        <v>2023</v>
      </c>
    </row>
    <row r="1278" spans="15:16" x14ac:dyDescent="0.3">
      <c r="O1278" t="s">
        <v>767</v>
      </c>
      <c r="P1278">
        <v>2023</v>
      </c>
    </row>
    <row r="1279" spans="15:16" x14ac:dyDescent="0.3">
      <c r="O1279" t="s">
        <v>217</v>
      </c>
      <c r="P1279">
        <v>2023</v>
      </c>
    </row>
    <row r="1280" spans="15:16" x14ac:dyDescent="0.3">
      <c r="O1280" t="s">
        <v>135</v>
      </c>
      <c r="P1280">
        <v>2023</v>
      </c>
    </row>
    <row r="1281" spans="15:16" x14ac:dyDescent="0.3">
      <c r="O1281" t="s">
        <v>322</v>
      </c>
      <c r="P1281">
        <v>2023</v>
      </c>
    </row>
    <row r="1282" spans="15:16" x14ac:dyDescent="0.3">
      <c r="O1282" t="s">
        <v>814</v>
      </c>
      <c r="P1282">
        <v>2023</v>
      </c>
    </row>
    <row r="1283" spans="15:16" x14ac:dyDescent="0.3">
      <c r="O1283" t="s">
        <v>815</v>
      </c>
      <c r="P1283">
        <v>2023</v>
      </c>
    </row>
    <row r="1284" spans="15:16" x14ac:dyDescent="0.3">
      <c r="O1284" t="s">
        <v>503</v>
      </c>
      <c r="P1284">
        <v>2023</v>
      </c>
    </row>
    <row r="1285" spans="15:16" x14ac:dyDescent="0.3">
      <c r="O1285" t="s">
        <v>583</v>
      </c>
      <c r="P1285">
        <v>2023</v>
      </c>
    </row>
    <row r="1286" spans="15:16" x14ac:dyDescent="0.3">
      <c r="O1286" t="s">
        <v>290</v>
      </c>
      <c r="P1286">
        <v>2023</v>
      </c>
    </row>
    <row r="1287" spans="15:16" x14ac:dyDescent="0.3">
      <c r="O1287" t="s">
        <v>17</v>
      </c>
      <c r="P1287">
        <v>2023</v>
      </c>
    </row>
    <row r="1288" spans="15:16" x14ac:dyDescent="0.3">
      <c r="O1288" t="s">
        <v>496</v>
      </c>
      <c r="P1288">
        <v>2023</v>
      </c>
    </row>
    <row r="1289" spans="15:16" x14ac:dyDescent="0.3">
      <c r="O1289" t="s">
        <v>804</v>
      </c>
      <c r="P1289">
        <v>2023</v>
      </c>
    </row>
    <row r="1290" spans="15:16" x14ac:dyDescent="0.3">
      <c r="O1290" t="s">
        <v>482</v>
      </c>
      <c r="P1290">
        <v>2023</v>
      </c>
    </row>
    <row r="1291" spans="15:16" x14ac:dyDescent="0.3">
      <c r="O1291" t="s">
        <v>656</v>
      </c>
      <c r="P1291">
        <v>2023</v>
      </c>
    </row>
    <row r="1292" spans="15:16" x14ac:dyDescent="0.3">
      <c r="O1292" t="s">
        <v>131</v>
      </c>
      <c r="P1292">
        <v>2023</v>
      </c>
    </row>
    <row r="1293" spans="15:16" x14ac:dyDescent="0.3">
      <c r="O1293" t="s">
        <v>376</v>
      </c>
      <c r="P1293">
        <v>2023</v>
      </c>
    </row>
    <row r="1294" spans="15:16" x14ac:dyDescent="0.3">
      <c r="O1294" t="s">
        <v>653</v>
      </c>
      <c r="P1294">
        <v>2023</v>
      </c>
    </row>
    <row r="1295" spans="15:16" x14ac:dyDescent="0.3">
      <c r="O1295" t="s">
        <v>302</v>
      </c>
      <c r="P1295">
        <v>2023</v>
      </c>
    </row>
    <row r="1296" spans="15:16" x14ac:dyDescent="0.3">
      <c r="O1296" t="s">
        <v>765</v>
      </c>
      <c r="P1296">
        <v>2023</v>
      </c>
    </row>
    <row r="1297" spans="15:16" x14ac:dyDescent="0.3">
      <c r="O1297" t="s">
        <v>213</v>
      </c>
      <c r="P1297">
        <v>2023</v>
      </c>
    </row>
    <row r="1298" spans="15:16" x14ac:dyDescent="0.3">
      <c r="O1298" t="s">
        <v>733</v>
      </c>
      <c r="P1298">
        <v>2023</v>
      </c>
    </row>
    <row r="1299" spans="15:16" x14ac:dyDescent="0.3">
      <c r="O1299" t="s">
        <v>596</v>
      </c>
      <c r="P1299">
        <v>2023</v>
      </c>
    </row>
    <row r="1300" spans="15:16" x14ac:dyDescent="0.3">
      <c r="O1300" t="s">
        <v>816</v>
      </c>
      <c r="P1300">
        <v>2023</v>
      </c>
    </row>
    <row r="1301" spans="15:16" x14ac:dyDescent="0.3">
      <c r="O1301" t="s">
        <v>61</v>
      </c>
      <c r="P1301">
        <v>2023</v>
      </c>
    </row>
    <row r="1302" spans="15:16" x14ac:dyDescent="0.3">
      <c r="O1302" t="s">
        <v>528</v>
      </c>
      <c r="P1302">
        <v>2023</v>
      </c>
    </row>
    <row r="1303" spans="15:16" x14ac:dyDescent="0.3">
      <c r="O1303" t="s">
        <v>557</v>
      </c>
      <c r="P1303">
        <v>2023</v>
      </c>
    </row>
    <row r="1304" spans="15:16" x14ac:dyDescent="0.3">
      <c r="O1304" t="s">
        <v>523</v>
      </c>
      <c r="P1304">
        <v>2023</v>
      </c>
    </row>
    <row r="1305" spans="15:16" x14ac:dyDescent="0.3">
      <c r="O1305" t="s">
        <v>232</v>
      </c>
      <c r="P1305">
        <v>2023</v>
      </c>
    </row>
    <row r="1306" spans="15:16" x14ac:dyDescent="0.3">
      <c r="O1306" t="s">
        <v>419</v>
      </c>
      <c r="P1306">
        <v>2023</v>
      </c>
    </row>
    <row r="1307" spans="15:16" x14ac:dyDescent="0.3">
      <c r="O1307" t="s">
        <v>155</v>
      </c>
      <c r="P1307">
        <v>2023</v>
      </c>
    </row>
    <row r="1308" spans="15:16" x14ac:dyDescent="0.3">
      <c r="O1308" t="s">
        <v>403</v>
      </c>
      <c r="P1308">
        <v>2023</v>
      </c>
    </row>
    <row r="1309" spans="15:16" x14ac:dyDescent="0.3">
      <c r="O1309" t="s">
        <v>532</v>
      </c>
      <c r="P1309">
        <v>2023</v>
      </c>
    </row>
    <row r="1310" spans="15:16" x14ac:dyDescent="0.3">
      <c r="O1310" t="s">
        <v>717</v>
      </c>
      <c r="P1310">
        <v>2023</v>
      </c>
    </row>
    <row r="1311" spans="15:16" x14ac:dyDescent="0.3">
      <c r="O1311" t="s">
        <v>107</v>
      </c>
      <c r="P1311">
        <v>2023</v>
      </c>
    </row>
    <row r="1312" spans="15:16" x14ac:dyDescent="0.3">
      <c r="O1312" t="s">
        <v>306</v>
      </c>
      <c r="P1312">
        <v>2023</v>
      </c>
    </row>
    <row r="1313" spans="15:16" x14ac:dyDescent="0.3">
      <c r="O1313" t="s">
        <v>817</v>
      </c>
      <c r="P1313">
        <v>2023</v>
      </c>
    </row>
    <row r="1314" spans="15:16" x14ac:dyDescent="0.3">
      <c r="O1314" t="s">
        <v>439</v>
      </c>
      <c r="P1314">
        <v>2023</v>
      </c>
    </row>
    <row r="1315" spans="15:16" x14ac:dyDescent="0.3">
      <c r="O1315" t="s">
        <v>582</v>
      </c>
      <c r="P1315">
        <v>2023</v>
      </c>
    </row>
    <row r="1316" spans="15:16" x14ac:dyDescent="0.3">
      <c r="O1316" t="s">
        <v>701</v>
      </c>
      <c r="P1316">
        <v>2023</v>
      </c>
    </row>
    <row r="1317" spans="15:16" x14ac:dyDescent="0.3">
      <c r="O1317" t="s">
        <v>224</v>
      </c>
      <c r="P1317">
        <v>2023</v>
      </c>
    </row>
    <row r="1318" spans="15:16" x14ac:dyDescent="0.3">
      <c r="O1318" t="s">
        <v>458</v>
      </c>
      <c r="P1318">
        <v>2023</v>
      </c>
    </row>
    <row r="1319" spans="15:16" x14ac:dyDescent="0.3">
      <c r="O1319" t="s">
        <v>512</v>
      </c>
      <c r="P1319">
        <v>2023</v>
      </c>
    </row>
    <row r="1320" spans="15:16" x14ac:dyDescent="0.3">
      <c r="O1320" t="s">
        <v>427</v>
      </c>
      <c r="P1320">
        <v>2023</v>
      </c>
    </row>
    <row r="1321" spans="15:16" x14ac:dyDescent="0.3">
      <c r="O1321" t="s">
        <v>769</v>
      </c>
      <c r="P1321">
        <v>2023</v>
      </c>
    </row>
    <row r="1322" spans="15:16" x14ac:dyDescent="0.3">
      <c r="O1322" t="s">
        <v>493</v>
      </c>
      <c r="P1322">
        <v>2023</v>
      </c>
    </row>
    <row r="1323" spans="15:16" x14ac:dyDescent="0.3">
      <c r="O1323" t="s">
        <v>352</v>
      </c>
      <c r="P1323">
        <v>2023</v>
      </c>
    </row>
    <row r="1324" spans="15:16" x14ac:dyDescent="0.3">
      <c r="O1324" t="s">
        <v>162</v>
      </c>
      <c r="P1324">
        <v>2023</v>
      </c>
    </row>
    <row r="1325" spans="15:16" x14ac:dyDescent="0.3">
      <c r="O1325" t="s">
        <v>694</v>
      </c>
      <c r="P1325">
        <v>2023</v>
      </c>
    </row>
    <row r="1326" spans="15:16" x14ac:dyDescent="0.3">
      <c r="O1326" t="s">
        <v>58</v>
      </c>
      <c r="P1326">
        <v>2023</v>
      </c>
    </row>
    <row r="1327" spans="15:16" x14ac:dyDescent="0.3">
      <c r="O1327" t="s">
        <v>235</v>
      </c>
      <c r="P1327">
        <v>2023</v>
      </c>
    </row>
    <row r="1328" spans="15:16" x14ac:dyDescent="0.3">
      <c r="O1328" t="s">
        <v>391</v>
      </c>
      <c r="P1328">
        <v>2023</v>
      </c>
    </row>
    <row r="1329" spans="15:16" x14ac:dyDescent="0.3">
      <c r="O1329" t="s">
        <v>24</v>
      </c>
      <c r="P1329">
        <v>2023</v>
      </c>
    </row>
    <row r="1330" spans="15:16" x14ac:dyDescent="0.3">
      <c r="O1330" t="s">
        <v>818</v>
      </c>
      <c r="P1330">
        <v>2023</v>
      </c>
    </row>
    <row r="1331" spans="15:16" x14ac:dyDescent="0.3">
      <c r="O1331" t="s">
        <v>98</v>
      </c>
      <c r="P1331">
        <v>2023</v>
      </c>
    </row>
    <row r="1332" spans="15:16" x14ac:dyDescent="0.3">
      <c r="O1332" t="s">
        <v>624</v>
      </c>
      <c r="P1332">
        <v>2023</v>
      </c>
    </row>
    <row r="1333" spans="15:16" x14ac:dyDescent="0.3">
      <c r="O1333" t="s">
        <v>313</v>
      </c>
      <c r="P1333">
        <v>2023</v>
      </c>
    </row>
    <row r="1334" spans="15:16" x14ac:dyDescent="0.3">
      <c r="O1334" t="s">
        <v>49</v>
      </c>
      <c r="P1334">
        <v>2023</v>
      </c>
    </row>
    <row r="1335" spans="15:16" x14ac:dyDescent="0.3">
      <c r="O1335" t="s">
        <v>819</v>
      </c>
      <c r="P1335">
        <v>2023</v>
      </c>
    </row>
    <row r="1336" spans="15:16" x14ac:dyDescent="0.3">
      <c r="O1336" t="s">
        <v>392</v>
      </c>
      <c r="P1336">
        <v>2023</v>
      </c>
    </row>
    <row r="1337" spans="15:16" x14ac:dyDescent="0.3">
      <c r="O1337" t="s">
        <v>631</v>
      </c>
      <c r="P1337">
        <v>2023</v>
      </c>
    </row>
    <row r="1338" spans="15:16" x14ac:dyDescent="0.3">
      <c r="O1338" t="s">
        <v>545</v>
      </c>
      <c r="P1338">
        <v>2023</v>
      </c>
    </row>
    <row r="1339" spans="15:16" x14ac:dyDescent="0.3">
      <c r="O1339" t="s">
        <v>633</v>
      </c>
      <c r="P1339">
        <v>2023</v>
      </c>
    </row>
    <row r="1340" spans="15:16" x14ac:dyDescent="0.3">
      <c r="O1340" t="s">
        <v>438</v>
      </c>
      <c r="P1340">
        <v>2023</v>
      </c>
    </row>
    <row r="1341" spans="15:16" x14ac:dyDescent="0.3">
      <c r="O1341" t="s">
        <v>101</v>
      </c>
      <c r="P1341">
        <v>2023</v>
      </c>
    </row>
    <row r="1342" spans="15:16" x14ac:dyDescent="0.3">
      <c r="O1342" t="s">
        <v>283</v>
      </c>
      <c r="P1342">
        <v>2023</v>
      </c>
    </row>
    <row r="1343" spans="15:16" x14ac:dyDescent="0.3">
      <c r="O1343" t="s">
        <v>356</v>
      </c>
      <c r="P1343">
        <v>2023</v>
      </c>
    </row>
    <row r="1344" spans="15:16" x14ac:dyDescent="0.3">
      <c r="O1344" t="s">
        <v>208</v>
      </c>
      <c r="P1344">
        <v>2023</v>
      </c>
    </row>
    <row r="1345" spans="15:16" x14ac:dyDescent="0.3">
      <c r="O1345" t="s">
        <v>718</v>
      </c>
      <c r="P1345">
        <v>2023</v>
      </c>
    </row>
    <row r="1346" spans="15:16" x14ac:dyDescent="0.3">
      <c r="O1346" t="s">
        <v>200</v>
      </c>
      <c r="P1346">
        <v>2023</v>
      </c>
    </row>
    <row r="1347" spans="15:16" x14ac:dyDescent="0.3">
      <c r="O1347" t="s">
        <v>587</v>
      </c>
      <c r="P1347">
        <v>2023</v>
      </c>
    </row>
    <row r="1348" spans="15:16" x14ac:dyDescent="0.3">
      <c r="O1348" t="s">
        <v>171</v>
      </c>
      <c r="P1348">
        <v>2023</v>
      </c>
    </row>
    <row r="1349" spans="15:16" x14ac:dyDescent="0.3">
      <c r="O1349" t="s">
        <v>654</v>
      </c>
      <c r="P1349">
        <v>2023</v>
      </c>
    </row>
    <row r="1350" spans="15:16" x14ac:dyDescent="0.3">
      <c r="O1350" t="s">
        <v>513</v>
      </c>
      <c r="P1350">
        <v>2023</v>
      </c>
    </row>
    <row r="1351" spans="15:16" x14ac:dyDescent="0.3">
      <c r="O1351" t="s">
        <v>138</v>
      </c>
      <c r="P1351">
        <v>2023</v>
      </c>
    </row>
    <row r="1352" spans="15:16" x14ac:dyDescent="0.3">
      <c r="O1352" t="s">
        <v>578</v>
      </c>
      <c r="P1352">
        <v>2023</v>
      </c>
    </row>
    <row r="1353" spans="15:16" x14ac:dyDescent="0.3">
      <c r="O1353" t="s">
        <v>461</v>
      </c>
      <c r="P1353">
        <v>2023</v>
      </c>
    </row>
    <row r="1354" spans="15:16" x14ac:dyDescent="0.3">
      <c r="O1354" t="s">
        <v>540</v>
      </c>
      <c r="P1354">
        <v>2023</v>
      </c>
    </row>
    <row r="1355" spans="15:16" x14ac:dyDescent="0.3">
      <c r="O1355" t="s">
        <v>261</v>
      </c>
      <c r="P1355">
        <v>2023</v>
      </c>
    </row>
    <row r="1356" spans="15:16" x14ac:dyDescent="0.3">
      <c r="O1356" t="s">
        <v>132</v>
      </c>
      <c r="P1356">
        <v>2023</v>
      </c>
    </row>
    <row r="1357" spans="15:16" x14ac:dyDescent="0.3">
      <c r="O1357" t="s">
        <v>687</v>
      </c>
      <c r="P1357">
        <v>2023</v>
      </c>
    </row>
    <row r="1358" spans="15:16" x14ac:dyDescent="0.3">
      <c r="O1358" t="s">
        <v>820</v>
      </c>
      <c r="P1358">
        <v>2023</v>
      </c>
    </row>
    <row r="1359" spans="15:16" x14ac:dyDescent="0.3">
      <c r="O1359" t="s">
        <v>288</v>
      </c>
      <c r="P1359">
        <v>2023</v>
      </c>
    </row>
    <row r="1360" spans="15:16" x14ac:dyDescent="0.3">
      <c r="O1360" t="s">
        <v>129</v>
      </c>
      <c r="P1360">
        <v>2023</v>
      </c>
    </row>
    <row r="1361" spans="15:16" x14ac:dyDescent="0.3">
      <c r="O1361" t="s">
        <v>614</v>
      </c>
      <c r="P1361">
        <v>2023</v>
      </c>
    </row>
    <row r="1362" spans="15:16" x14ac:dyDescent="0.3">
      <c r="O1362" t="s">
        <v>144</v>
      </c>
      <c r="P1362">
        <v>2023</v>
      </c>
    </row>
    <row r="1363" spans="15:16" x14ac:dyDescent="0.3">
      <c r="O1363" t="s">
        <v>44</v>
      </c>
      <c r="P1363">
        <v>2023</v>
      </c>
    </row>
    <row r="1364" spans="15:16" x14ac:dyDescent="0.3">
      <c r="O1364" t="s">
        <v>514</v>
      </c>
      <c r="P1364">
        <v>2023</v>
      </c>
    </row>
    <row r="1365" spans="15:16" x14ac:dyDescent="0.3">
      <c r="O1365" t="s">
        <v>133</v>
      </c>
      <c r="P1365">
        <v>2023</v>
      </c>
    </row>
    <row r="1366" spans="15:16" x14ac:dyDescent="0.3">
      <c r="O1366" t="s">
        <v>602</v>
      </c>
      <c r="P1366">
        <v>2023</v>
      </c>
    </row>
    <row r="1367" spans="15:16" x14ac:dyDescent="0.3">
      <c r="O1367" t="s">
        <v>368</v>
      </c>
      <c r="P1367">
        <v>2023</v>
      </c>
    </row>
    <row r="1368" spans="15:16" x14ac:dyDescent="0.3">
      <c r="O1368" t="s">
        <v>63</v>
      </c>
      <c r="P1368">
        <v>2023</v>
      </c>
    </row>
    <row r="1369" spans="15:16" x14ac:dyDescent="0.3">
      <c r="O1369" t="s">
        <v>821</v>
      </c>
      <c r="P1369">
        <v>2023</v>
      </c>
    </row>
    <row r="1370" spans="15:16" x14ac:dyDescent="0.3">
      <c r="O1370" t="s">
        <v>304</v>
      </c>
      <c r="P1370">
        <v>2023</v>
      </c>
    </row>
    <row r="1371" spans="15:16" x14ac:dyDescent="0.3">
      <c r="O1371" t="s">
        <v>722</v>
      </c>
      <c r="P1371">
        <v>2023</v>
      </c>
    </row>
    <row r="1372" spans="15:16" x14ac:dyDescent="0.3">
      <c r="O1372" t="s">
        <v>560</v>
      </c>
      <c r="P1372">
        <v>2023</v>
      </c>
    </row>
    <row r="1373" spans="15:16" x14ac:dyDescent="0.3">
      <c r="O1373" t="s">
        <v>428</v>
      </c>
      <c r="P1373">
        <v>2023</v>
      </c>
    </row>
    <row r="1374" spans="15:16" x14ac:dyDescent="0.3">
      <c r="O1374" t="s">
        <v>249</v>
      </c>
      <c r="P1374">
        <v>2023</v>
      </c>
    </row>
    <row r="1375" spans="15:16" x14ac:dyDescent="0.3">
      <c r="O1375" t="s">
        <v>307</v>
      </c>
      <c r="P1375">
        <v>2023</v>
      </c>
    </row>
    <row r="1376" spans="15:16" x14ac:dyDescent="0.3">
      <c r="O1376" t="s">
        <v>572</v>
      </c>
      <c r="P1376">
        <v>2023</v>
      </c>
    </row>
    <row r="1377" spans="15:16" x14ac:dyDescent="0.3">
      <c r="O1377" t="s">
        <v>472</v>
      </c>
      <c r="P1377">
        <v>2023</v>
      </c>
    </row>
    <row r="1378" spans="15:16" x14ac:dyDescent="0.3">
      <c r="O1378" t="s">
        <v>415</v>
      </c>
      <c r="P1378">
        <v>2023</v>
      </c>
    </row>
    <row r="1379" spans="15:16" x14ac:dyDescent="0.3">
      <c r="O1379" t="s">
        <v>822</v>
      </c>
      <c r="P1379">
        <v>2023</v>
      </c>
    </row>
    <row r="1380" spans="15:16" x14ac:dyDescent="0.3">
      <c r="O1380" t="s">
        <v>575</v>
      </c>
      <c r="P1380">
        <v>2023</v>
      </c>
    </row>
    <row r="1381" spans="15:16" x14ac:dyDescent="0.3">
      <c r="O1381" t="s">
        <v>495</v>
      </c>
      <c r="P1381">
        <v>2023</v>
      </c>
    </row>
    <row r="1382" spans="15:16" x14ac:dyDescent="0.3">
      <c r="O1382" t="s">
        <v>671</v>
      </c>
      <c r="P1382">
        <v>2023</v>
      </c>
    </row>
    <row r="1383" spans="15:16" x14ac:dyDescent="0.3">
      <c r="O1383" t="s">
        <v>176</v>
      </c>
      <c r="P1383">
        <v>2023</v>
      </c>
    </row>
    <row r="1384" spans="15:16" x14ac:dyDescent="0.3">
      <c r="O1384" t="s">
        <v>170</v>
      </c>
      <c r="P1384">
        <v>2023</v>
      </c>
    </row>
    <row r="1385" spans="15:16" x14ac:dyDescent="0.3">
      <c r="O1385" t="s">
        <v>487</v>
      </c>
      <c r="P1385">
        <v>2023</v>
      </c>
    </row>
    <row r="1386" spans="15:16" x14ac:dyDescent="0.3">
      <c r="O1386" t="s">
        <v>522</v>
      </c>
      <c r="P1386">
        <v>2023</v>
      </c>
    </row>
    <row r="1387" spans="15:16" x14ac:dyDescent="0.3">
      <c r="O1387" t="s">
        <v>823</v>
      </c>
      <c r="P1387">
        <v>2023</v>
      </c>
    </row>
    <row r="1388" spans="15:16" x14ac:dyDescent="0.3">
      <c r="O1388" t="s">
        <v>796</v>
      </c>
      <c r="P1388">
        <v>2023</v>
      </c>
    </row>
    <row r="1389" spans="15:16" x14ac:dyDescent="0.3">
      <c r="O1389" t="s">
        <v>46</v>
      </c>
      <c r="P1389">
        <v>2023</v>
      </c>
    </row>
    <row r="1390" spans="15:16" x14ac:dyDescent="0.3">
      <c r="O1390" t="s">
        <v>339</v>
      </c>
      <c r="P1390">
        <v>2023</v>
      </c>
    </row>
    <row r="1391" spans="15:16" x14ac:dyDescent="0.3">
      <c r="O1391" t="s">
        <v>319</v>
      </c>
      <c r="P1391">
        <v>2023</v>
      </c>
    </row>
    <row r="1392" spans="15:16" x14ac:dyDescent="0.3">
      <c r="O1392" t="s">
        <v>728</v>
      </c>
      <c r="P1392">
        <v>2023</v>
      </c>
    </row>
    <row r="1393" spans="15:16" x14ac:dyDescent="0.3">
      <c r="O1393" t="s">
        <v>795</v>
      </c>
      <c r="P1393">
        <v>2023</v>
      </c>
    </row>
    <row r="1394" spans="15:16" x14ac:dyDescent="0.3">
      <c r="O1394" t="s">
        <v>756</v>
      </c>
      <c r="P1394">
        <v>2023</v>
      </c>
    </row>
    <row r="1395" spans="15:16" x14ac:dyDescent="0.3">
      <c r="O1395" t="s">
        <v>372</v>
      </c>
      <c r="P1395">
        <v>2023</v>
      </c>
    </row>
    <row r="1396" spans="15:16" x14ac:dyDescent="0.3">
      <c r="O1396" t="s">
        <v>824</v>
      </c>
      <c r="P1396">
        <v>2023</v>
      </c>
    </row>
    <row r="1397" spans="15:16" x14ac:dyDescent="0.3">
      <c r="O1397" t="s">
        <v>384</v>
      </c>
      <c r="P1397">
        <v>2023</v>
      </c>
    </row>
    <row r="1398" spans="15:16" x14ac:dyDescent="0.3">
      <c r="O1398" t="s">
        <v>627</v>
      </c>
      <c r="P1398">
        <v>2023</v>
      </c>
    </row>
    <row r="1399" spans="15:16" x14ac:dyDescent="0.3">
      <c r="O1399" t="s">
        <v>266</v>
      </c>
      <c r="P1399">
        <v>2023</v>
      </c>
    </row>
    <row r="1400" spans="15:16" x14ac:dyDescent="0.3">
      <c r="O1400" t="s">
        <v>825</v>
      </c>
      <c r="P1400">
        <v>2023</v>
      </c>
    </row>
    <row r="1401" spans="15:16" x14ac:dyDescent="0.3">
      <c r="O1401" t="s">
        <v>218</v>
      </c>
      <c r="P1401">
        <v>2023</v>
      </c>
    </row>
    <row r="1402" spans="15:16" x14ac:dyDescent="0.3">
      <c r="O1402" t="s">
        <v>760</v>
      </c>
      <c r="P1402">
        <v>2023</v>
      </c>
    </row>
    <row r="1403" spans="15:16" x14ac:dyDescent="0.3">
      <c r="O1403" t="s">
        <v>826</v>
      </c>
      <c r="P1403">
        <v>2023</v>
      </c>
    </row>
    <row r="1404" spans="15:16" x14ac:dyDescent="0.3">
      <c r="O1404" t="s">
        <v>270</v>
      </c>
      <c r="P1404">
        <v>2023</v>
      </c>
    </row>
    <row r="1405" spans="15:16" x14ac:dyDescent="0.3">
      <c r="O1405" t="s">
        <v>494</v>
      </c>
      <c r="P1405">
        <v>2023</v>
      </c>
    </row>
    <row r="1406" spans="15:16" x14ac:dyDescent="0.3">
      <c r="O1406" t="s">
        <v>312</v>
      </c>
      <c r="P1406">
        <v>2023</v>
      </c>
    </row>
    <row r="1407" spans="15:16" x14ac:dyDescent="0.3">
      <c r="O1407" t="s">
        <v>827</v>
      </c>
      <c r="P1407">
        <v>2023</v>
      </c>
    </row>
    <row r="1408" spans="15:16" x14ac:dyDescent="0.3">
      <c r="O1408" t="s">
        <v>42</v>
      </c>
      <c r="P1408">
        <v>2023</v>
      </c>
    </row>
    <row r="1409" spans="15:16" x14ac:dyDescent="0.3">
      <c r="O1409" t="s">
        <v>292</v>
      </c>
      <c r="P1409">
        <v>2023</v>
      </c>
    </row>
    <row r="1410" spans="15:16" x14ac:dyDescent="0.3">
      <c r="O1410" t="s">
        <v>500</v>
      </c>
      <c r="P1410">
        <v>2023</v>
      </c>
    </row>
    <row r="1411" spans="15:16" x14ac:dyDescent="0.3">
      <c r="O1411" t="s">
        <v>477</v>
      </c>
      <c r="P1411">
        <v>2023</v>
      </c>
    </row>
    <row r="1412" spans="15:16" x14ac:dyDescent="0.3">
      <c r="O1412" t="s">
        <v>668</v>
      </c>
      <c r="P1412">
        <v>2023</v>
      </c>
    </row>
    <row r="1413" spans="15:16" x14ac:dyDescent="0.3">
      <c r="O1413" t="s">
        <v>828</v>
      </c>
      <c r="P1413">
        <v>2023</v>
      </c>
    </row>
    <row r="1414" spans="15:16" x14ac:dyDescent="0.3">
      <c r="O1414" t="s">
        <v>744</v>
      </c>
      <c r="P1414">
        <v>2023</v>
      </c>
    </row>
    <row r="1415" spans="15:16" x14ac:dyDescent="0.3">
      <c r="O1415" t="s">
        <v>414</v>
      </c>
      <c r="P1415">
        <v>2023</v>
      </c>
    </row>
    <row r="1416" spans="15:16" x14ac:dyDescent="0.3">
      <c r="O1416" t="s">
        <v>233</v>
      </c>
      <c r="P1416">
        <v>2023</v>
      </c>
    </row>
    <row r="1417" spans="15:16" x14ac:dyDescent="0.3">
      <c r="O1417" t="s">
        <v>120</v>
      </c>
      <c r="P1417">
        <v>2023</v>
      </c>
    </row>
    <row r="1418" spans="15:16" x14ac:dyDescent="0.3">
      <c r="O1418" t="s">
        <v>405</v>
      </c>
      <c r="P1418">
        <v>2023</v>
      </c>
    </row>
    <row r="1419" spans="15:16" x14ac:dyDescent="0.3">
      <c r="O1419" t="s">
        <v>401</v>
      </c>
      <c r="P1419">
        <v>2023</v>
      </c>
    </row>
    <row r="1420" spans="15:16" x14ac:dyDescent="0.3">
      <c r="O1420" t="s">
        <v>693</v>
      </c>
      <c r="P1420">
        <v>2023</v>
      </c>
    </row>
    <row r="1421" spans="15:16" x14ac:dyDescent="0.3">
      <c r="O1421" t="s">
        <v>216</v>
      </c>
      <c r="P1421">
        <v>2023</v>
      </c>
    </row>
    <row r="1422" spans="15:16" x14ac:dyDescent="0.3">
      <c r="O1422" t="s">
        <v>402</v>
      </c>
      <c r="P1422">
        <v>2023</v>
      </c>
    </row>
    <row r="1423" spans="15:16" x14ac:dyDescent="0.3">
      <c r="O1423" t="s">
        <v>504</v>
      </c>
      <c r="P1423">
        <v>2023</v>
      </c>
    </row>
    <row r="1424" spans="15:16" x14ac:dyDescent="0.3">
      <c r="O1424" t="s">
        <v>829</v>
      </c>
      <c r="P1424">
        <v>2023</v>
      </c>
    </row>
    <row r="1425" spans="15:16" x14ac:dyDescent="0.3">
      <c r="O1425" t="s">
        <v>378</v>
      </c>
      <c r="P1425">
        <v>2023</v>
      </c>
    </row>
    <row r="1426" spans="15:16" x14ac:dyDescent="0.3">
      <c r="O1426" t="s">
        <v>502</v>
      </c>
      <c r="P1426">
        <v>2023</v>
      </c>
    </row>
    <row r="1427" spans="15:16" x14ac:dyDescent="0.3">
      <c r="O1427" t="s">
        <v>273</v>
      </c>
      <c r="P1427">
        <v>2023</v>
      </c>
    </row>
    <row r="1428" spans="15:16" x14ac:dyDescent="0.3">
      <c r="O1428" t="s">
        <v>380</v>
      </c>
      <c r="P1428">
        <v>2023</v>
      </c>
    </row>
    <row r="1429" spans="15:16" x14ac:dyDescent="0.3">
      <c r="O1429" t="s">
        <v>636</v>
      </c>
      <c r="P1429">
        <v>2023</v>
      </c>
    </row>
    <row r="1430" spans="15:16" x14ac:dyDescent="0.3">
      <c r="O1430" t="s">
        <v>593</v>
      </c>
      <c r="P1430">
        <v>2023</v>
      </c>
    </row>
    <row r="1431" spans="15:16" x14ac:dyDescent="0.3">
      <c r="O1431" t="s">
        <v>567</v>
      </c>
      <c r="P1431">
        <v>2023</v>
      </c>
    </row>
    <row r="1432" spans="15:16" x14ac:dyDescent="0.3">
      <c r="O1432" t="s">
        <v>254</v>
      </c>
      <c r="P1432">
        <v>2023</v>
      </c>
    </row>
    <row r="1433" spans="15:16" x14ac:dyDescent="0.3">
      <c r="O1433" t="s">
        <v>497</v>
      </c>
      <c r="P1433">
        <v>2023</v>
      </c>
    </row>
    <row r="1434" spans="15:16" x14ac:dyDescent="0.3">
      <c r="O1434" t="s">
        <v>8</v>
      </c>
      <c r="P1434">
        <v>2023</v>
      </c>
    </row>
    <row r="1435" spans="15:16" x14ac:dyDescent="0.3">
      <c r="O1435" t="s">
        <v>97</v>
      </c>
      <c r="P1435">
        <v>2023</v>
      </c>
    </row>
    <row r="1436" spans="15:16" x14ac:dyDescent="0.3">
      <c r="O1436" t="s">
        <v>802</v>
      </c>
      <c r="P1436">
        <v>2023</v>
      </c>
    </row>
    <row r="1437" spans="15:16" x14ac:dyDescent="0.3">
      <c r="O1437" t="s">
        <v>516</v>
      </c>
      <c r="P1437">
        <v>2023</v>
      </c>
    </row>
    <row r="1438" spans="15:16" x14ac:dyDescent="0.3">
      <c r="O1438" t="s">
        <v>92</v>
      </c>
      <c r="P1438">
        <v>2023</v>
      </c>
    </row>
    <row r="1439" spans="15:16" x14ac:dyDescent="0.3">
      <c r="O1439" t="s">
        <v>192</v>
      </c>
      <c r="P1439">
        <v>2023</v>
      </c>
    </row>
    <row r="1440" spans="15:16" x14ac:dyDescent="0.3">
      <c r="O1440" t="s">
        <v>385</v>
      </c>
      <c r="P1440">
        <v>2023</v>
      </c>
    </row>
    <row r="1441" spans="15:16" x14ac:dyDescent="0.3">
      <c r="O1441" t="s">
        <v>470</v>
      </c>
      <c r="P1441">
        <v>2023</v>
      </c>
    </row>
    <row r="1442" spans="15:16" x14ac:dyDescent="0.3">
      <c r="O1442" t="s">
        <v>291</v>
      </c>
      <c r="P1442">
        <v>2023</v>
      </c>
    </row>
    <row r="1443" spans="15:16" x14ac:dyDescent="0.3">
      <c r="O1443" t="s">
        <v>139</v>
      </c>
      <c r="P1443">
        <v>2023</v>
      </c>
    </row>
    <row r="1444" spans="15:16" x14ac:dyDescent="0.3">
      <c r="O1444" t="s">
        <v>549</v>
      </c>
      <c r="P1444">
        <v>2023</v>
      </c>
    </row>
    <row r="1445" spans="15:16" x14ac:dyDescent="0.3">
      <c r="O1445" t="s">
        <v>183</v>
      </c>
      <c r="P1445">
        <v>2023</v>
      </c>
    </row>
    <row r="1446" spans="15:16" x14ac:dyDescent="0.3">
      <c r="O1446" t="s">
        <v>591</v>
      </c>
      <c r="P1446">
        <v>2023</v>
      </c>
    </row>
    <row r="1447" spans="15:16" x14ac:dyDescent="0.3">
      <c r="O1447" t="s">
        <v>100</v>
      </c>
      <c r="P1447">
        <v>2023</v>
      </c>
    </row>
    <row r="1448" spans="15:16" x14ac:dyDescent="0.3">
      <c r="O1448" t="s">
        <v>141</v>
      </c>
      <c r="P1448">
        <v>2023</v>
      </c>
    </row>
    <row r="1449" spans="15:16" x14ac:dyDescent="0.3">
      <c r="O1449" t="s">
        <v>830</v>
      </c>
      <c r="P1449">
        <v>2023</v>
      </c>
    </row>
    <row r="1450" spans="15:16" x14ac:dyDescent="0.3">
      <c r="O1450" t="s">
        <v>634</v>
      </c>
      <c r="P1450">
        <v>2023</v>
      </c>
    </row>
    <row r="1451" spans="15:16" x14ac:dyDescent="0.3">
      <c r="O1451" t="s">
        <v>529</v>
      </c>
      <c r="P1451">
        <v>2023</v>
      </c>
    </row>
    <row r="1452" spans="15:16" x14ac:dyDescent="0.3">
      <c r="O1452" t="s">
        <v>508</v>
      </c>
      <c r="P1452">
        <v>2023</v>
      </c>
    </row>
    <row r="1453" spans="15:16" x14ac:dyDescent="0.3">
      <c r="O1453" t="s">
        <v>387</v>
      </c>
      <c r="P1453">
        <v>2023</v>
      </c>
    </row>
    <row r="1454" spans="15:16" x14ac:dyDescent="0.3">
      <c r="O1454" t="s">
        <v>116</v>
      </c>
      <c r="P1454">
        <v>2023</v>
      </c>
    </row>
    <row r="1455" spans="15:16" x14ac:dyDescent="0.3">
      <c r="O1455" t="s">
        <v>831</v>
      </c>
      <c r="P1455">
        <v>2023</v>
      </c>
    </row>
    <row r="1456" spans="15:16" x14ac:dyDescent="0.3">
      <c r="O1456" t="s">
        <v>353</v>
      </c>
      <c r="P1456">
        <v>2023</v>
      </c>
    </row>
    <row r="1457" spans="15:16" x14ac:dyDescent="0.3">
      <c r="O1457" t="s">
        <v>159</v>
      </c>
      <c r="P1457">
        <v>2023</v>
      </c>
    </row>
    <row r="1458" spans="15:16" x14ac:dyDescent="0.3">
      <c r="O1458" t="s">
        <v>212</v>
      </c>
      <c r="P1458">
        <v>2023</v>
      </c>
    </row>
    <row r="1459" spans="15:16" x14ac:dyDescent="0.3">
      <c r="O1459" t="s">
        <v>335</v>
      </c>
      <c r="P1459">
        <v>2023</v>
      </c>
    </row>
    <row r="1460" spans="15:16" x14ac:dyDescent="0.3">
      <c r="O1460" t="s">
        <v>533</v>
      </c>
      <c r="P1460">
        <v>2023</v>
      </c>
    </row>
    <row r="1461" spans="15:16" x14ac:dyDescent="0.3">
      <c r="O1461" t="s">
        <v>398</v>
      </c>
      <c r="P1461">
        <v>2023</v>
      </c>
    </row>
    <row r="1462" spans="15:16" x14ac:dyDescent="0.3">
      <c r="O1462" t="s">
        <v>638</v>
      </c>
      <c r="P1462">
        <v>2023</v>
      </c>
    </row>
    <row r="1463" spans="15:16" x14ac:dyDescent="0.3">
      <c r="O1463" t="s">
        <v>628</v>
      </c>
      <c r="P1463">
        <v>2023</v>
      </c>
    </row>
    <row r="1464" spans="15:16" x14ac:dyDescent="0.3">
      <c r="O1464" t="s">
        <v>779</v>
      </c>
      <c r="P1464">
        <v>2023</v>
      </c>
    </row>
    <row r="1465" spans="15:16" x14ac:dyDescent="0.3">
      <c r="O1465" t="s">
        <v>832</v>
      </c>
      <c r="P1465">
        <v>2023</v>
      </c>
    </row>
    <row r="1466" spans="15:16" x14ac:dyDescent="0.3">
      <c r="O1466" t="s">
        <v>262</v>
      </c>
      <c r="P1466">
        <v>2023</v>
      </c>
    </row>
    <row r="1467" spans="15:16" x14ac:dyDescent="0.3">
      <c r="O1467" t="s">
        <v>240</v>
      </c>
      <c r="P1467">
        <v>2023</v>
      </c>
    </row>
    <row r="1468" spans="15:16" x14ac:dyDescent="0.3">
      <c r="O1468" t="s">
        <v>555</v>
      </c>
      <c r="P1468">
        <v>2023</v>
      </c>
    </row>
    <row r="1469" spans="15:16" x14ac:dyDescent="0.3">
      <c r="O1469" t="s">
        <v>374</v>
      </c>
      <c r="P1469">
        <v>2023</v>
      </c>
    </row>
    <row r="1470" spans="15:16" x14ac:dyDescent="0.3">
      <c r="O1470" t="s">
        <v>442</v>
      </c>
      <c r="P1470">
        <v>2023</v>
      </c>
    </row>
    <row r="1471" spans="15:16" x14ac:dyDescent="0.3">
      <c r="O1471" t="s">
        <v>455</v>
      </c>
      <c r="P1471">
        <v>2023</v>
      </c>
    </row>
    <row r="1472" spans="15:16" x14ac:dyDescent="0.3">
      <c r="O1472" t="s">
        <v>720</v>
      </c>
      <c r="P1472">
        <v>2023</v>
      </c>
    </row>
    <row r="1473" spans="15:16" x14ac:dyDescent="0.3">
      <c r="O1473" t="s">
        <v>244</v>
      </c>
      <c r="P1473">
        <v>2023</v>
      </c>
    </row>
    <row r="1474" spans="15:16" x14ac:dyDescent="0.3">
      <c r="O1474" t="s">
        <v>286</v>
      </c>
      <c r="P1474">
        <v>2023</v>
      </c>
    </row>
    <row r="1475" spans="15:16" x14ac:dyDescent="0.3">
      <c r="O1475" t="s">
        <v>127</v>
      </c>
      <c r="P1475">
        <v>2023</v>
      </c>
    </row>
    <row r="1476" spans="15:16" x14ac:dyDescent="0.3">
      <c r="O1476" t="s">
        <v>662</v>
      </c>
      <c r="P1476">
        <v>2023</v>
      </c>
    </row>
    <row r="1477" spans="15:16" x14ac:dyDescent="0.3">
      <c r="O1477" t="s">
        <v>833</v>
      </c>
      <c r="P1477">
        <v>2023</v>
      </c>
    </row>
    <row r="1478" spans="15:16" x14ac:dyDescent="0.3">
      <c r="O1478" t="s">
        <v>834</v>
      </c>
      <c r="P1478">
        <v>2023</v>
      </c>
    </row>
    <row r="1479" spans="15:16" x14ac:dyDescent="0.3">
      <c r="O1479" t="s">
        <v>435</v>
      </c>
      <c r="P1479">
        <v>2023</v>
      </c>
    </row>
    <row r="1480" spans="15:16" x14ac:dyDescent="0.3">
      <c r="O1480" t="s">
        <v>835</v>
      </c>
      <c r="P1480">
        <v>2023</v>
      </c>
    </row>
    <row r="1481" spans="15:16" x14ac:dyDescent="0.3">
      <c r="O1481" t="s">
        <v>259</v>
      </c>
      <c r="P1481">
        <v>2023</v>
      </c>
    </row>
    <row r="1482" spans="15:16" x14ac:dyDescent="0.3">
      <c r="O1482" t="s">
        <v>531</v>
      </c>
      <c r="P1482">
        <v>2023</v>
      </c>
    </row>
    <row r="1483" spans="15:16" x14ac:dyDescent="0.3">
      <c r="O1483" t="s">
        <v>571</v>
      </c>
      <c r="P1483">
        <v>2023</v>
      </c>
    </row>
    <row r="1484" spans="15:16" x14ac:dyDescent="0.3">
      <c r="O1484" t="s">
        <v>707</v>
      </c>
      <c r="P1484">
        <v>2023</v>
      </c>
    </row>
    <row r="1485" spans="15:16" x14ac:dyDescent="0.3">
      <c r="O1485" t="s">
        <v>186</v>
      </c>
      <c r="P1485">
        <v>2023</v>
      </c>
    </row>
    <row r="1486" spans="15:16" x14ac:dyDescent="0.3">
      <c r="O1486" t="s">
        <v>485</v>
      </c>
      <c r="P1486">
        <v>2023</v>
      </c>
    </row>
    <row r="1487" spans="15:16" x14ac:dyDescent="0.3">
      <c r="O1487" t="s">
        <v>37</v>
      </c>
      <c r="P1487">
        <v>2023</v>
      </c>
    </row>
    <row r="1488" spans="15:16" x14ac:dyDescent="0.3">
      <c r="O1488" t="s">
        <v>836</v>
      </c>
      <c r="P1488">
        <v>2023</v>
      </c>
    </row>
    <row r="1489" spans="15:16" x14ac:dyDescent="0.3">
      <c r="O1489" t="s">
        <v>748</v>
      </c>
      <c r="P1489">
        <v>2023</v>
      </c>
    </row>
    <row r="1490" spans="15:16" x14ac:dyDescent="0.3">
      <c r="O1490" t="s">
        <v>423</v>
      </c>
      <c r="P1490">
        <v>2023</v>
      </c>
    </row>
    <row r="1491" spans="15:16" x14ac:dyDescent="0.3">
      <c r="O1491" t="s">
        <v>367</v>
      </c>
      <c r="P1491">
        <v>2023</v>
      </c>
    </row>
    <row r="1492" spans="15:16" x14ac:dyDescent="0.3">
      <c r="O1492" t="s">
        <v>231</v>
      </c>
      <c r="P1492">
        <v>2023</v>
      </c>
    </row>
    <row r="1493" spans="15:16" x14ac:dyDescent="0.3">
      <c r="O1493" t="s">
        <v>837</v>
      </c>
      <c r="P1493">
        <v>2023</v>
      </c>
    </row>
    <row r="1494" spans="15:16" x14ac:dyDescent="0.3">
      <c r="O1494" t="s">
        <v>346</v>
      </c>
      <c r="P1494">
        <v>2023</v>
      </c>
    </row>
    <row r="1495" spans="15:16" x14ac:dyDescent="0.3">
      <c r="O1495" t="s">
        <v>666</v>
      </c>
      <c r="P1495">
        <v>2023</v>
      </c>
    </row>
    <row r="1496" spans="15:16" x14ac:dyDescent="0.3">
      <c r="O1496" t="s">
        <v>684</v>
      </c>
      <c r="P1496">
        <v>2023</v>
      </c>
    </row>
    <row r="1497" spans="15:16" x14ac:dyDescent="0.3">
      <c r="O1497" t="s">
        <v>838</v>
      </c>
      <c r="P1497">
        <v>2023</v>
      </c>
    </row>
    <row r="1498" spans="15:16" x14ac:dyDescent="0.3">
      <c r="O1498" t="s">
        <v>537</v>
      </c>
      <c r="P1498">
        <v>2023</v>
      </c>
    </row>
    <row r="1499" spans="15:16" x14ac:dyDescent="0.3">
      <c r="O1499" t="s">
        <v>76</v>
      </c>
      <c r="P1499">
        <v>2023</v>
      </c>
    </row>
    <row r="1500" spans="15:16" x14ac:dyDescent="0.3">
      <c r="O1500" t="s">
        <v>228</v>
      </c>
      <c r="P1500">
        <v>2023</v>
      </c>
    </row>
    <row r="1501" spans="15:16" x14ac:dyDescent="0.3">
      <c r="O1501" t="s">
        <v>563</v>
      </c>
      <c r="P1501">
        <v>2023</v>
      </c>
    </row>
    <row r="1502" spans="15:16" x14ac:dyDescent="0.3">
      <c r="O1502" t="s">
        <v>422</v>
      </c>
      <c r="P1502">
        <v>2023</v>
      </c>
    </row>
    <row r="1503" spans="15:16" x14ac:dyDescent="0.3">
      <c r="O1503" t="s">
        <v>752</v>
      </c>
      <c r="P1503">
        <v>2023</v>
      </c>
    </row>
    <row r="1504" spans="15:16" x14ac:dyDescent="0.3">
      <c r="O1504" t="s">
        <v>724</v>
      </c>
      <c r="P1504">
        <v>2023</v>
      </c>
    </row>
    <row r="1505" spans="15:16" x14ac:dyDescent="0.3">
      <c r="O1505" t="s">
        <v>648</v>
      </c>
      <c r="P1505">
        <v>2023</v>
      </c>
    </row>
    <row r="1506" spans="15:16" x14ac:dyDescent="0.3">
      <c r="O1506" t="s">
        <v>657</v>
      </c>
      <c r="P1506">
        <v>2023</v>
      </c>
    </row>
    <row r="1507" spans="15:16" x14ac:dyDescent="0.3">
      <c r="O1507" t="s">
        <v>191</v>
      </c>
      <c r="P1507">
        <v>2023</v>
      </c>
    </row>
    <row r="1508" spans="15:16" x14ac:dyDescent="0.3">
      <c r="O1508" t="s">
        <v>605</v>
      </c>
      <c r="P1508">
        <v>2023</v>
      </c>
    </row>
    <row r="1509" spans="15:16" x14ac:dyDescent="0.3">
      <c r="O1509" t="s">
        <v>56</v>
      </c>
      <c r="P1509">
        <v>2023</v>
      </c>
    </row>
    <row r="1510" spans="15:16" x14ac:dyDescent="0.3">
      <c r="O1510" t="s">
        <v>598</v>
      </c>
      <c r="P1510">
        <v>2023</v>
      </c>
    </row>
    <row r="1511" spans="15:16" x14ac:dyDescent="0.3">
      <c r="O1511" t="s">
        <v>190</v>
      </c>
      <c r="P1511">
        <v>2023</v>
      </c>
    </row>
    <row r="1512" spans="15:16" x14ac:dyDescent="0.3">
      <c r="O1512" t="s">
        <v>383</v>
      </c>
      <c r="P1512">
        <v>2023</v>
      </c>
    </row>
    <row r="1513" spans="15:16" x14ac:dyDescent="0.3">
      <c r="O1513" t="s">
        <v>839</v>
      </c>
      <c r="P1513">
        <v>2023</v>
      </c>
    </row>
    <row r="1514" spans="15:16" x14ac:dyDescent="0.3">
      <c r="O1514" t="s">
        <v>732</v>
      </c>
      <c r="P1514">
        <v>2023</v>
      </c>
    </row>
    <row r="1515" spans="15:16" x14ac:dyDescent="0.3">
      <c r="O1515" t="s">
        <v>584</v>
      </c>
      <c r="P1515">
        <v>2023</v>
      </c>
    </row>
    <row r="1516" spans="15:16" x14ac:dyDescent="0.3">
      <c r="O1516" t="s">
        <v>449</v>
      </c>
      <c r="P1516">
        <v>2023</v>
      </c>
    </row>
    <row r="1517" spans="15:16" x14ac:dyDescent="0.3">
      <c r="O1517" t="s">
        <v>840</v>
      </c>
      <c r="P1517">
        <v>2023</v>
      </c>
    </row>
    <row r="1518" spans="15:16" x14ac:dyDescent="0.3">
      <c r="O1518" t="s">
        <v>180</v>
      </c>
      <c r="P1518">
        <v>2023</v>
      </c>
    </row>
    <row r="1519" spans="15:16" x14ac:dyDescent="0.3">
      <c r="O1519" t="s">
        <v>404</v>
      </c>
      <c r="P1519">
        <v>2023</v>
      </c>
    </row>
    <row r="1520" spans="15:16" x14ac:dyDescent="0.3">
      <c r="O1520" t="s">
        <v>39</v>
      </c>
      <c r="P1520">
        <v>2023</v>
      </c>
    </row>
    <row r="1521" spans="15:16" x14ac:dyDescent="0.3">
      <c r="O1521" t="s">
        <v>725</v>
      </c>
      <c r="P1521">
        <v>2023</v>
      </c>
    </row>
    <row r="1522" spans="15:16" x14ac:dyDescent="0.3">
      <c r="O1522" t="s">
        <v>328</v>
      </c>
      <c r="P1522">
        <v>2023</v>
      </c>
    </row>
    <row r="1523" spans="15:16" x14ac:dyDescent="0.3">
      <c r="O1523" t="s">
        <v>484</v>
      </c>
      <c r="P1523">
        <v>2023</v>
      </c>
    </row>
    <row r="1524" spans="15:16" x14ac:dyDescent="0.3">
      <c r="O1524" t="s">
        <v>371</v>
      </c>
      <c r="P1524">
        <v>2023</v>
      </c>
    </row>
    <row r="1525" spans="15:16" x14ac:dyDescent="0.3">
      <c r="O1525" t="s">
        <v>778</v>
      </c>
      <c r="P1525">
        <v>2023</v>
      </c>
    </row>
    <row r="1526" spans="15:16" x14ac:dyDescent="0.3">
      <c r="O1526" t="s">
        <v>794</v>
      </c>
      <c r="P1526">
        <v>2023</v>
      </c>
    </row>
    <row r="1527" spans="15:16" x14ac:dyDescent="0.3">
      <c r="O1527" t="s">
        <v>396</v>
      </c>
      <c r="P1527">
        <v>2023</v>
      </c>
    </row>
    <row r="1528" spans="15:16" x14ac:dyDescent="0.3">
      <c r="O1528" t="s">
        <v>239</v>
      </c>
      <c r="P1528">
        <v>2023</v>
      </c>
    </row>
    <row r="1529" spans="15:16" x14ac:dyDescent="0.3">
      <c r="O1529" t="s">
        <v>678</v>
      </c>
      <c r="P1529">
        <v>2023</v>
      </c>
    </row>
    <row r="1530" spans="15:16" x14ac:dyDescent="0.3">
      <c r="O1530" t="s">
        <v>334</v>
      </c>
      <c r="P1530">
        <v>2023</v>
      </c>
    </row>
    <row r="1531" spans="15:16" x14ac:dyDescent="0.3">
      <c r="O1531" t="s">
        <v>643</v>
      </c>
      <c r="P1531">
        <v>2023</v>
      </c>
    </row>
    <row r="1532" spans="15:16" x14ac:dyDescent="0.3">
      <c r="O1532" t="s">
        <v>96</v>
      </c>
      <c r="P1532">
        <v>2023</v>
      </c>
    </row>
    <row r="1533" spans="15:16" x14ac:dyDescent="0.3">
      <c r="O1533" t="s">
        <v>642</v>
      </c>
      <c r="P1533">
        <v>2023</v>
      </c>
    </row>
    <row r="1534" spans="15:16" x14ac:dyDescent="0.3">
      <c r="O1534" t="s">
        <v>434</v>
      </c>
      <c r="P1534">
        <v>2023</v>
      </c>
    </row>
    <row r="1535" spans="15:16" x14ac:dyDescent="0.3">
      <c r="O1535" t="s">
        <v>222</v>
      </c>
      <c r="P1535">
        <v>2023</v>
      </c>
    </row>
    <row r="1536" spans="15:16" x14ac:dyDescent="0.3">
      <c r="O1536" t="s">
        <v>151</v>
      </c>
      <c r="P1536">
        <v>2023</v>
      </c>
    </row>
    <row r="1537" spans="15:16" x14ac:dyDescent="0.3">
      <c r="O1537" t="s">
        <v>705</v>
      </c>
      <c r="P1537">
        <v>2023</v>
      </c>
    </row>
    <row r="1538" spans="15:16" x14ac:dyDescent="0.3">
      <c r="O1538" t="s">
        <v>562</v>
      </c>
      <c r="P1538">
        <v>2023</v>
      </c>
    </row>
    <row r="1539" spans="15:16" x14ac:dyDescent="0.3">
      <c r="O1539" t="s">
        <v>736</v>
      </c>
      <c r="P1539">
        <v>2023</v>
      </c>
    </row>
    <row r="1540" spans="15:16" x14ac:dyDescent="0.3">
      <c r="O1540" t="s">
        <v>305</v>
      </c>
      <c r="P1540">
        <v>2023</v>
      </c>
    </row>
    <row r="1541" spans="15:16" x14ac:dyDescent="0.3">
      <c r="O1541" t="s">
        <v>841</v>
      </c>
      <c r="P1541">
        <v>2023</v>
      </c>
    </row>
    <row r="1542" spans="15:16" x14ac:dyDescent="0.3">
      <c r="O1542" t="s">
        <v>298</v>
      </c>
      <c r="P1542">
        <v>2023</v>
      </c>
    </row>
    <row r="1543" spans="15:16" x14ac:dyDescent="0.3">
      <c r="O1543" t="s">
        <v>521</v>
      </c>
      <c r="P1543">
        <v>2023</v>
      </c>
    </row>
    <row r="1544" spans="15:16" x14ac:dyDescent="0.3">
      <c r="O1544" t="s">
        <v>202</v>
      </c>
      <c r="P1544">
        <v>2023</v>
      </c>
    </row>
    <row r="1545" spans="15:16" x14ac:dyDescent="0.3">
      <c r="O1545" t="s">
        <v>279</v>
      </c>
      <c r="P1545">
        <v>2023</v>
      </c>
    </row>
    <row r="1546" spans="15:16" x14ac:dyDescent="0.3">
      <c r="O1546" t="s">
        <v>247</v>
      </c>
      <c r="P1546">
        <v>2023</v>
      </c>
    </row>
    <row r="1547" spans="15:16" x14ac:dyDescent="0.3">
      <c r="O1547" t="s">
        <v>450</v>
      </c>
      <c r="P1547">
        <v>2023</v>
      </c>
    </row>
    <row r="1548" spans="15:16" x14ac:dyDescent="0.3">
      <c r="O1548" t="s">
        <v>709</v>
      </c>
      <c r="P1548">
        <v>2023</v>
      </c>
    </row>
    <row r="1549" spans="15:16" x14ac:dyDescent="0.3">
      <c r="O1549" t="s">
        <v>429</v>
      </c>
      <c r="P1549">
        <v>2023</v>
      </c>
    </row>
    <row r="1550" spans="15:16" x14ac:dyDescent="0.3">
      <c r="O1550" t="s">
        <v>680</v>
      </c>
      <c r="P1550">
        <v>2023</v>
      </c>
    </row>
    <row r="1551" spans="15:16" x14ac:dyDescent="0.3">
      <c r="O1551" t="s">
        <v>719</v>
      </c>
      <c r="P1551">
        <v>2023</v>
      </c>
    </row>
    <row r="1552" spans="15:16" x14ac:dyDescent="0.3">
      <c r="O1552" t="s">
        <v>106</v>
      </c>
      <c r="P1552">
        <v>2023</v>
      </c>
    </row>
    <row r="1553" spans="15:16" x14ac:dyDescent="0.3">
      <c r="O1553" t="s">
        <v>564</v>
      </c>
      <c r="P1553">
        <v>2023</v>
      </c>
    </row>
    <row r="1554" spans="15:16" x14ac:dyDescent="0.3">
      <c r="O1554" t="s">
        <v>197</v>
      </c>
      <c r="P1554">
        <v>2023</v>
      </c>
    </row>
    <row r="1555" spans="15:16" x14ac:dyDescent="0.3">
      <c r="O1555" t="s">
        <v>112</v>
      </c>
      <c r="P1555">
        <v>2023</v>
      </c>
    </row>
    <row r="1556" spans="15:16" x14ac:dyDescent="0.3">
      <c r="O1556" t="s">
        <v>137</v>
      </c>
      <c r="P1556">
        <v>2023</v>
      </c>
    </row>
    <row r="1557" spans="15:16" x14ac:dyDescent="0.3">
      <c r="O1557" t="s">
        <v>394</v>
      </c>
      <c r="P1557">
        <v>2023</v>
      </c>
    </row>
    <row r="1558" spans="15:16" x14ac:dyDescent="0.3">
      <c r="O1558" t="s">
        <v>576</v>
      </c>
      <c r="P1558">
        <v>2023</v>
      </c>
    </row>
    <row r="1559" spans="15:16" x14ac:dyDescent="0.3">
      <c r="O1559" t="s">
        <v>296</v>
      </c>
      <c r="P1559">
        <v>2023</v>
      </c>
    </row>
    <row r="1560" spans="15:16" x14ac:dyDescent="0.3">
      <c r="O1560" t="s">
        <v>842</v>
      </c>
      <c r="P1560">
        <v>2023</v>
      </c>
    </row>
    <row r="1561" spans="15:16" x14ac:dyDescent="0.3">
      <c r="O1561" t="s">
        <v>556</v>
      </c>
      <c r="P1561">
        <v>2023</v>
      </c>
    </row>
    <row r="1562" spans="15:16" x14ac:dyDescent="0.3">
      <c r="O1562" t="s">
        <v>784</v>
      </c>
      <c r="P1562">
        <v>2023</v>
      </c>
    </row>
    <row r="1563" spans="15:16" x14ac:dyDescent="0.3">
      <c r="O1563" t="s">
        <v>375</v>
      </c>
      <c r="P1563">
        <v>2023</v>
      </c>
    </row>
    <row r="1564" spans="15:16" x14ac:dyDescent="0.3">
      <c r="O1564" t="s">
        <v>600</v>
      </c>
      <c r="P1564">
        <v>2023</v>
      </c>
    </row>
    <row r="1565" spans="15:16" x14ac:dyDescent="0.3">
      <c r="O1565" t="s">
        <v>652</v>
      </c>
      <c r="P1565">
        <v>2023</v>
      </c>
    </row>
    <row r="1566" spans="15:16" x14ac:dyDescent="0.3">
      <c r="O1566" t="s">
        <v>589</v>
      </c>
      <c r="P1566">
        <v>2023</v>
      </c>
    </row>
    <row r="1567" spans="15:16" x14ac:dyDescent="0.3">
      <c r="O1567" t="s">
        <v>792</v>
      </c>
      <c r="P1567">
        <v>2023</v>
      </c>
    </row>
    <row r="1568" spans="15:16" x14ac:dyDescent="0.3">
      <c r="O1568" t="s">
        <v>542</v>
      </c>
      <c r="P1568">
        <v>2023</v>
      </c>
    </row>
    <row r="1569" spans="15:16" x14ac:dyDescent="0.3">
      <c r="O1569" t="s">
        <v>172</v>
      </c>
      <c r="P1569">
        <v>2023</v>
      </c>
    </row>
    <row r="1570" spans="15:16" x14ac:dyDescent="0.3">
      <c r="O1570" t="s">
        <v>150</v>
      </c>
      <c r="P1570">
        <v>2023</v>
      </c>
    </row>
    <row r="1571" spans="15:16" x14ac:dyDescent="0.3">
      <c r="O1571" t="s">
        <v>843</v>
      </c>
      <c r="P1571">
        <v>2023</v>
      </c>
    </row>
    <row r="1572" spans="15:16" x14ac:dyDescent="0.3">
      <c r="O1572" t="s">
        <v>844</v>
      </c>
      <c r="P1572">
        <v>2023</v>
      </c>
    </row>
    <row r="1573" spans="15:16" x14ac:dyDescent="0.3">
      <c r="O1573" t="s">
        <v>637</v>
      </c>
      <c r="P1573">
        <v>2023</v>
      </c>
    </row>
    <row r="1574" spans="15:16" x14ac:dyDescent="0.3">
      <c r="O1574" t="s">
        <v>409</v>
      </c>
      <c r="P1574">
        <v>2023</v>
      </c>
    </row>
    <row r="1575" spans="15:16" x14ac:dyDescent="0.3">
      <c r="O1575" t="s">
        <v>340</v>
      </c>
      <c r="P1575">
        <v>2023</v>
      </c>
    </row>
    <row r="1576" spans="15:16" x14ac:dyDescent="0.3">
      <c r="O1576" t="s">
        <v>430</v>
      </c>
      <c r="P1576">
        <v>2023</v>
      </c>
    </row>
    <row r="1577" spans="15:16" x14ac:dyDescent="0.3">
      <c r="O1577" t="s">
        <v>691</v>
      </c>
      <c r="P1577">
        <v>2023</v>
      </c>
    </row>
    <row r="1578" spans="15:16" x14ac:dyDescent="0.3">
      <c r="O1578" t="s">
        <v>377</v>
      </c>
      <c r="P1578">
        <v>2023</v>
      </c>
    </row>
    <row r="1579" spans="15:16" x14ac:dyDescent="0.3">
      <c r="O1579" t="s">
        <v>525</v>
      </c>
      <c r="P1579">
        <v>2023</v>
      </c>
    </row>
    <row r="1580" spans="15:16" x14ac:dyDescent="0.3">
      <c r="O1580" t="s">
        <v>360</v>
      </c>
      <c r="P1580">
        <v>2023</v>
      </c>
    </row>
    <row r="1581" spans="15:16" x14ac:dyDescent="0.3">
      <c r="O1581" t="s">
        <v>499</v>
      </c>
      <c r="P1581">
        <v>2023</v>
      </c>
    </row>
    <row r="1582" spans="15:16" x14ac:dyDescent="0.3">
      <c r="O1582" t="s">
        <v>447</v>
      </c>
      <c r="P1582">
        <v>2023</v>
      </c>
    </row>
    <row r="1583" spans="15:16" x14ac:dyDescent="0.3">
      <c r="O1583" t="s">
        <v>83</v>
      </c>
      <c r="P1583">
        <v>2023</v>
      </c>
    </row>
    <row r="1584" spans="15:16" x14ac:dyDescent="0.3">
      <c r="O1584" t="s">
        <v>382</v>
      </c>
      <c r="P1584">
        <v>2023</v>
      </c>
    </row>
    <row r="1585" spans="15:16" x14ac:dyDescent="0.3">
      <c r="O1585" t="s">
        <v>530</v>
      </c>
      <c r="P1585">
        <v>2023</v>
      </c>
    </row>
    <row r="1586" spans="15:16" x14ac:dyDescent="0.3">
      <c r="O1586" t="s">
        <v>255</v>
      </c>
      <c r="P1586">
        <v>2023</v>
      </c>
    </row>
    <row r="1587" spans="15:16" x14ac:dyDescent="0.3">
      <c r="O1587" t="s">
        <v>618</v>
      </c>
      <c r="P1587">
        <v>2023</v>
      </c>
    </row>
    <row r="1588" spans="15:16" x14ac:dyDescent="0.3">
      <c r="O1588" t="s">
        <v>365</v>
      </c>
      <c r="P1588">
        <v>2023</v>
      </c>
    </row>
    <row r="1589" spans="15:16" x14ac:dyDescent="0.3">
      <c r="O1589" t="s">
        <v>635</v>
      </c>
      <c r="P1589">
        <v>2023</v>
      </c>
    </row>
    <row r="1590" spans="15:16" x14ac:dyDescent="0.3">
      <c r="O1590" t="s">
        <v>476</v>
      </c>
      <c r="P1590">
        <v>2023</v>
      </c>
    </row>
    <row r="1591" spans="15:16" x14ac:dyDescent="0.3">
      <c r="O1591" t="s">
        <v>845</v>
      </c>
      <c r="P1591">
        <v>2023</v>
      </c>
    </row>
    <row r="1592" spans="15:16" x14ac:dyDescent="0.3">
      <c r="O1592" t="s">
        <v>425</v>
      </c>
      <c r="P1592">
        <v>2023</v>
      </c>
    </row>
    <row r="1593" spans="15:16" x14ac:dyDescent="0.3">
      <c r="O1593" t="s">
        <v>771</v>
      </c>
      <c r="P1593">
        <v>2023</v>
      </c>
    </row>
    <row r="1594" spans="15:16" x14ac:dyDescent="0.3">
      <c r="O1594" t="s">
        <v>551</v>
      </c>
      <c r="P1594">
        <v>2023</v>
      </c>
    </row>
    <row r="1595" spans="15:16" x14ac:dyDescent="0.3">
      <c r="O1595" t="s">
        <v>89</v>
      </c>
      <c r="P1595">
        <v>2023</v>
      </c>
    </row>
    <row r="1596" spans="15:16" x14ac:dyDescent="0.3">
      <c r="O1596" t="s">
        <v>408</v>
      </c>
      <c r="P1596">
        <v>2023</v>
      </c>
    </row>
    <row r="1597" spans="15:16" x14ac:dyDescent="0.3">
      <c r="O1597" t="s">
        <v>285</v>
      </c>
      <c r="P1597">
        <v>2023</v>
      </c>
    </row>
    <row r="1598" spans="15:16" x14ac:dyDescent="0.3">
      <c r="O1598" t="s">
        <v>539</v>
      </c>
      <c r="P1598">
        <v>2023</v>
      </c>
    </row>
    <row r="1599" spans="15:16" x14ac:dyDescent="0.3">
      <c r="O1599" t="s">
        <v>205</v>
      </c>
      <c r="P1599">
        <v>2023</v>
      </c>
    </row>
    <row r="1600" spans="15:16" x14ac:dyDescent="0.3">
      <c r="O1600" t="s">
        <v>177</v>
      </c>
      <c r="P1600">
        <v>2023</v>
      </c>
    </row>
    <row r="1601" spans="15:16" x14ac:dyDescent="0.3">
      <c r="O1601" t="s">
        <v>389</v>
      </c>
      <c r="P1601">
        <v>2023</v>
      </c>
    </row>
    <row r="1602" spans="15:16" x14ac:dyDescent="0.3">
      <c r="O1602" t="s">
        <v>558</v>
      </c>
      <c r="P1602">
        <v>2023</v>
      </c>
    </row>
    <row r="1603" spans="15:16" x14ac:dyDescent="0.3">
      <c r="O1603" t="s">
        <v>601</v>
      </c>
      <c r="P1603">
        <v>2023</v>
      </c>
    </row>
    <row r="1604" spans="15:16" x14ac:dyDescent="0.3">
      <c r="O1604" t="s">
        <v>269</v>
      </c>
      <c r="P1604">
        <v>2023</v>
      </c>
    </row>
    <row r="1605" spans="15:16" x14ac:dyDescent="0.3">
      <c r="O1605" t="s">
        <v>846</v>
      </c>
      <c r="P1605">
        <v>2023</v>
      </c>
    </row>
    <row r="1606" spans="15:16" x14ac:dyDescent="0.3">
      <c r="O1606" t="s">
        <v>350</v>
      </c>
      <c r="P1606">
        <v>2023</v>
      </c>
    </row>
    <row r="1607" spans="15:16" x14ac:dyDescent="0.3">
      <c r="O1607" t="s">
        <v>421</v>
      </c>
      <c r="P1607">
        <v>2023</v>
      </c>
    </row>
    <row r="1608" spans="15:16" x14ac:dyDescent="0.3">
      <c r="O1608" t="s">
        <v>393</v>
      </c>
      <c r="P1608">
        <v>2023</v>
      </c>
    </row>
    <row r="1609" spans="15:16" x14ac:dyDescent="0.3">
      <c r="O1609" t="s">
        <v>369</v>
      </c>
      <c r="P1609">
        <v>2023</v>
      </c>
    </row>
    <row r="1610" spans="15:16" x14ac:dyDescent="0.3">
      <c r="O1610" t="s">
        <v>59</v>
      </c>
      <c r="P1610">
        <v>2023</v>
      </c>
    </row>
    <row r="1611" spans="15:16" x14ac:dyDescent="0.3">
      <c r="O1611" t="s">
        <v>715</v>
      </c>
      <c r="P1611">
        <v>2023</v>
      </c>
    </row>
    <row r="1612" spans="15:16" x14ac:dyDescent="0.3">
      <c r="O1612" t="s">
        <v>639</v>
      </c>
      <c r="P1612">
        <v>2023</v>
      </c>
    </row>
    <row r="1613" spans="15:16" x14ac:dyDescent="0.3">
      <c r="O1613" t="s">
        <v>623</v>
      </c>
      <c r="P1613">
        <v>2023</v>
      </c>
    </row>
    <row r="1614" spans="15:16" x14ac:dyDescent="0.3">
      <c r="O1614" t="s">
        <v>400</v>
      </c>
      <c r="P1614">
        <v>2023</v>
      </c>
    </row>
    <row r="1615" spans="15:16" x14ac:dyDescent="0.3">
      <c r="O1615" t="s">
        <v>791</v>
      </c>
      <c r="P1615">
        <v>2023</v>
      </c>
    </row>
    <row r="1616" spans="15:16" x14ac:dyDescent="0.3">
      <c r="O1616" t="s">
        <v>763</v>
      </c>
      <c r="P1616">
        <v>2023</v>
      </c>
    </row>
    <row r="1617" spans="15:16" x14ac:dyDescent="0.3">
      <c r="O1617" t="s">
        <v>559</v>
      </c>
      <c r="P1617">
        <v>2023</v>
      </c>
    </row>
    <row r="1618" spans="15:16" x14ac:dyDescent="0.3">
      <c r="O1618" t="s">
        <v>157</v>
      </c>
      <c r="P1618">
        <v>2023</v>
      </c>
    </row>
    <row r="1619" spans="15:16" x14ac:dyDescent="0.3">
      <c r="O1619" t="s">
        <v>480</v>
      </c>
      <c r="P1619">
        <v>2023</v>
      </c>
    </row>
    <row r="1620" spans="15:16" x14ac:dyDescent="0.3">
      <c r="O1620" t="s">
        <v>226</v>
      </c>
      <c r="P1620">
        <v>2023</v>
      </c>
    </row>
    <row r="1621" spans="15:16" x14ac:dyDescent="0.3">
      <c r="O1621" t="s">
        <v>451</v>
      </c>
      <c r="P1621">
        <v>2023</v>
      </c>
    </row>
    <row r="1622" spans="15:16" x14ac:dyDescent="0.3">
      <c r="O1622" t="s">
        <v>468</v>
      </c>
      <c r="P1622">
        <v>2023</v>
      </c>
    </row>
    <row r="1623" spans="15:16" x14ac:dyDescent="0.3">
      <c r="O1623" t="s">
        <v>686</v>
      </c>
      <c r="P1623">
        <v>2023</v>
      </c>
    </row>
    <row r="1624" spans="15:16" x14ac:dyDescent="0.3">
      <c r="O1624" t="s">
        <v>453</v>
      </c>
      <c r="P1624">
        <v>2023</v>
      </c>
    </row>
    <row r="1625" spans="15:16" x14ac:dyDescent="0.3">
      <c r="O1625" t="s">
        <v>185</v>
      </c>
      <c r="P1625">
        <v>2023</v>
      </c>
    </row>
    <row r="1626" spans="15:16" x14ac:dyDescent="0.3">
      <c r="O1626" t="s">
        <v>793</v>
      </c>
      <c r="P1626">
        <v>2023</v>
      </c>
    </row>
    <row r="1627" spans="15:16" x14ac:dyDescent="0.3">
      <c r="O1627" t="s">
        <v>164</v>
      </c>
      <c r="P1627">
        <v>2023</v>
      </c>
    </row>
    <row r="1628" spans="15:16" x14ac:dyDescent="0.3">
      <c r="O1628" t="s">
        <v>50</v>
      </c>
      <c r="P1628">
        <v>2023</v>
      </c>
    </row>
    <row r="1629" spans="15:16" x14ac:dyDescent="0.3">
      <c r="O1629" t="s">
        <v>65</v>
      </c>
      <c r="P1629">
        <v>2023</v>
      </c>
    </row>
    <row r="1630" spans="15:16" x14ac:dyDescent="0.3">
      <c r="O1630" t="s">
        <v>94</v>
      </c>
      <c r="P1630">
        <v>2023</v>
      </c>
    </row>
    <row r="1631" spans="15:16" x14ac:dyDescent="0.3">
      <c r="O1631" t="s">
        <v>74</v>
      </c>
      <c r="P1631">
        <v>2023</v>
      </c>
    </row>
    <row r="1632" spans="15:16" x14ac:dyDescent="0.3">
      <c r="O1632" t="s">
        <v>413</v>
      </c>
      <c r="P1632">
        <v>2023</v>
      </c>
    </row>
    <row r="1633" spans="15:16" x14ac:dyDescent="0.3">
      <c r="O1633" t="s">
        <v>354</v>
      </c>
      <c r="P1633">
        <v>2023</v>
      </c>
    </row>
    <row r="1634" spans="15:16" x14ac:dyDescent="0.3">
      <c r="O1634" t="s">
        <v>467</v>
      </c>
      <c r="P1634">
        <v>2023</v>
      </c>
    </row>
    <row r="1635" spans="15:16" x14ac:dyDescent="0.3">
      <c r="O1635" t="s">
        <v>568</v>
      </c>
      <c r="P1635">
        <v>2023</v>
      </c>
    </row>
    <row r="1636" spans="15:16" x14ac:dyDescent="0.3">
      <c r="O1636" t="s">
        <v>695</v>
      </c>
      <c r="P1636">
        <v>2023</v>
      </c>
    </row>
    <row r="1637" spans="15:16" x14ac:dyDescent="0.3">
      <c r="O1637" t="s">
        <v>801</v>
      </c>
      <c r="P1637">
        <v>2023</v>
      </c>
    </row>
    <row r="1638" spans="15:16" x14ac:dyDescent="0.3">
      <c r="O1638" t="s">
        <v>613</v>
      </c>
      <c r="P1638">
        <v>2023</v>
      </c>
    </row>
    <row r="1639" spans="15:16" x14ac:dyDescent="0.3">
      <c r="O1639" t="s">
        <v>436</v>
      </c>
      <c r="P1639">
        <v>2023</v>
      </c>
    </row>
    <row r="1640" spans="15:16" x14ac:dyDescent="0.3">
      <c r="O1640" t="s">
        <v>104</v>
      </c>
      <c r="P1640">
        <v>2023</v>
      </c>
    </row>
    <row r="1641" spans="15:16" x14ac:dyDescent="0.3">
      <c r="O1641" t="s">
        <v>420</v>
      </c>
      <c r="P1641">
        <v>2023</v>
      </c>
    </row>
    <row r="1642" spans="15:16" x14ac:dyDescent="0.3">
      <c r="O1642" t="s">
        <v>745</v>
      </c>
      <c r="P1642">
        <v>2023</v>
      </c>
    </row>
    <row r="1643" spans="15:16" x14ac:dyDescent="0.3">
      <c r="O1643" t="s">
        <v>125</v>
      </c>
      <c r="P1643">
        <v>2023</v>
      </c>
    </row>
    <row r="1644" spans="15:16" x14ac:dyDescent="0.3">
      <c r="O1644" t="s">
        <v>333</v>
      </c>
      <c r="P1644">
        <v>2023</v>
      </c>
    </row>
    <row r="1645" spans="15:16" x14ac:dyDescent="0.3">
      <c r="O1645" t="s">
        <v>781</v>
      </c>
      <c r="P1645">
        <v>2023</v>
      </c>
    </row>
    <row r="1646" spans="15:16" x14ac:dyDescent="0.3">
      <c r="O1646" t="s">
        <v>252</v>
      </c>
      <c r="P1646">
        <v>2023</v>
      </c>
    </row>
    <row r="1647" spans="15:16" x14ac:dyDescent="0.3">
      <c r="O1647" t="s">
        <v>704</v>
      </c>
      <c r="P1647">
        <v>2023</v>
      </c>
    </row>
    <row r="1648" spans="15:16" x14ac:dyDescent="0.3">
      <c r="O1648" t="s">
        <v>431</v>
      </c>
      <c r="P1648">
        <v>2023</v>
      </c>
    </row>
    <row r="1649" spans="15:16" x14ac:dyDescent="0.3">
      <c r="O1649" t="s">
        <v>265</v>
      </c>
      <c r="P1649">
        <v>2023</v>
      </c>
    </row>
    <row r="1650" spans="15:16" x14ac:dyDescent="0.3">
      <c r="O1650" t="s">
        <v>586</v>
      </c>
      <c r="P1650">
        <v>2023</v>
      </c>
    </row>
    <row r="1651" spans="15:16" x14ac:dyDescent="0.3">
      <c r="O1651" t="s">
        <v>546</v>
      </c>
      <c r="P1651">
        <v>2023</v>
      </c>
    </row>
    <row r="1652" spans="15:16" x14ac:dyDescent="0.3">
      <c r="O1652" t="s">
        <v>506</v>
      </c>
      <c r="P1652">
        <v>2023</v>
      </c>
    </row>
    <row r="1653" spans="15:16" x14ac:dyDescent="0.3">
      <c r="O1653" t="s">
        <v>301</v>
      </c>
      <c r="P1653">
        <v>2023</v>
      </c>
    </row>
    <row r="1654" spans="15:16" x14ac:dyDescent="0.3">
      <c r="O1654" t="s">
        <v>163</v>
      </c>
      <c r="P1654">
        <v>2023</v>
      </c>
    </row>
    <row r="1655" spans="15:16" x14ac:dyDescent="0.3">
      <c r="O1655" t="s">
        <v>48</v>
      </c>
      <c r="P1655">
        <v>2023</v>
      </c>
    </row>
    <row r="1656" spans="15:16" x14ac:dyDescent="0.3">
      <c r="O1656" t="s">
        <v>156</v>
      </c>
      <c r="P1656">
        <v>2023</v>
      </c>
    </row>
    <row r="1657" spans="15:16" x14ac:dyDescent="0.3">
      <c r="O1657" t="s">
        <v>773</v>
      </c>
      <c r="P1657">
        <v>2023</v>
      </c>
    </row>
    <row r="1658" spans="15:16" x14ac:dyDescent="0.3">
      <c r="O1658" t="s">
        <v>552</v>
      </c>
      <c r="P1658">
        <v>2023</v>
      </c>
    </row>
    <row r="1659" spans="15:16" x14ac:dyDescent="0.3">
      <c r="O1659" t="s">
        <v>293</v>
      </c>
      <c r="P1659">
        <v>2023</v>
      </c>
    </row>
    <row r="1660" spans="15:16" x14ac:dyDescent="0.3">
      <c r="O1660" t="s">
        <v>711</v>
      </c>
      <c r="P1660">
        <v>2023</v>
      </c>
    </row>
    <row r="1661" spans="15:16" x14ac:dyDescent="0.3">
      <c r="O1661" t="s">
        <v>69</v>
      </c>
      <c r="P1661">
        <v>2023</v>
      </c>
    </row>
    <row r="1662" spans="15:16" x14ac:dyDescent="0.3">
      <c r="O1662" t="s">
        <v>196</v>
      </c>
      <c r="P1662">
        <v>2023</v>
      </c>
    </row>
    <row r="1663" spans="15:16" x14ac:dyDescent="0.3">
      <c r="O1663" t="s">
        <v>189</v>
      </c>
      <c r="P1663">
        <v>2023</v>
      </c>
    </row>
    <row r="1664" spans="15:16" x14ac:dyDescent="0.3">
      <c r="O1664" t="s">
        <v>344</v>
      </c>
      <c r="P1664">
        <v>2023</v>
      </c>
    </row>
    <row r="1665" spans="15:16" x14ac:dyDescent="0.3">
      <c r="O1665" t="s">
        <v>703</v>
      </c>
      <c r="P1665">
        <v>2023</v>
      </c>
    </row>
    <row r="1666" spans="15:16" x14ac:dyDescent="0.3">
      <c r="O1666" t="s">
        <v>554</v>
      </c>
      <c r="P1666">
        <v>2023</v>
      </c>
    </row>
    <row r="1667" spans="15:16" x14ac:dyDescent="0.3">
      <c r="O1667" t="s">
        <v>395</v>
      </c>
      <c r="P1667">
        <v>2023</v>
      </c>
    </row>
    <row r="1668" spans="15:16" x14ac:dyDescent="0.3">
      <c r="O1668" t="s">
        <v>122</v>
      </c>
      <c r="P1668">
        <v>2023</v>
      </c>
    </row>
    <row r="1669" spans="15:16" x14ac:dyDescent="0.3">
      <c r="O1669" t="s">
        <v>321</v>
      </c>
      <c r="P1669">
        <v>2023</v>
      </c>
    </row>
    <row r="1670" spans="15:16" x14ac:dyDescent="0.3">
      <c r="O1670" t="s">
        <v>345</v>
      </c>
      <c r="P1670">
        <v>2023</v>
      </c>
    </row>
    <row r="1671" spans="15:16" x14ac:dyDescent="0.3">
      <c r="O1671" t="s">
        <v>579</v>
      </c>
      <c r="P1671">
        <v>2023</v>
      </c>
    </row>
    <row r="1672" spans="15:16" x14ac:dyDescent="0.3">
      <c r="O1672" t="s">
        <v>221</v>
      </c>
      <c r="P1672">
        <v>2023</v>
      </c>
    </row>
    <row r="1673" spans="15:16" x14ac:dyDescent="0.3">
      <c r="O1673" t="s">
        <v>113</v>
      </c>
      <c r="P1673">
        <v>2023</v>
      </c>
    </row>
    <row r="1674" spans="15:16" x14ac:dyDescent="0.3">
      <c r="O1674" t="s">
        <v>184</v>
      </c>
      <c r="P1674">
        <v>2023</v>
      </c>
    </row>
    <row r="1675" spans="15:16" x14ac:dyDescent="0.3">
      <c r="O1675" t="s">
        <v>650</v>
      </c>
      <c r="P1675">
        <v>2023</v>
      </c>
    </row>
    <row r="1676" spans="15:16" x14ac:dyDescent="0.3">
      <c r="O1676" t="s">
        <v>317</v>
      </c>
      <c r="P1676">
        <v>2023</v>
      </c>
    </row>
    <row r="1677" spans="15:16" x14ac:dyDescent="0.3">
      <c r="O1677" t="s">
        <v>110</v>
      </c>
      <c r="P1677">
        <v>2023</v>
      </c>
    </row>
    <row r="1678" spans="15:16" x14ac:dyDescent="0.3">
      <c r="O1678" t="s">
        <v>452</v>
      </c>
      <c r="P1678">
        <v>2023</v>
      </c>
    </row>
    <row r="1679" spans="15:16" x14ac:dyDescent="0.3">
      <c r="O1679" t="s">
        <v>359</v>
      </c>
      <c r="P1679">
        <v>2023</v>
      </c>
    </row>
    <row r="1680" spans="15:16" x14ac:dyDescent="0.3">
      <c r="O1680" t="s">
        <v>734</v>
      </c>
      <c r="P1680">
        <v>2023</v>
      </c>
    </row>
    <row r="1681" spans="15:16" x14ac:dyDescent="0.3">
      <c r="O1681" t="s">
        <v>611</v>
      </c>
      <c r="P1681">
        <v>2023</v>
      </c>
    </row>
    <row r="1682" spans="15:16" x14ac:dyDescent="0.3">
      <c r="O1682" t="s">
        <v>577</v>
      </c>
      <c r="P1682">
        <v>2023</v>
      </c>
    </row>
    <row r="1683" spans="15:16" x14ac:dyDescent="0.3">
      <c r="O1683" t="s">
        <v>677</v>
      </c>
      <c r="P1683">
        <v>2023</v>
      </c>
    </row>
    <row r="1684" spans="15:16" x14ac:dyDescent="0.3">
      <c r="O1684" t="s">
        <v>363</v>
      </c>
      <c r="P1684">
        <v>2023</v>
      </c>
    </row>
    <row r="1685" spans="15:16" x14ac:dyDescent="0.3">
      <c r="O1685" t="s">
        <v>749</v>
      </c>
      <c r="P1685">
        <v>2023</v>
      </c>
    </row>
    <row r="1686" spans="15:16" x14ac:dyDescent="0.3">
      <c r="O1686" t="s">
        <v>570</v>
      </c>
      <c r="P1686">
        <v>2023</v>
      </c>
    </row>
    <row r="1687" spans="15:16" x14ac:dyDescent="0.3">
      <c r="O1687" t="s">
        <v>251</v>
      </c>
      <c r="P1687">
        <v>2023</v>
      </c>
    </row>
    <row r="1688" spans="15:16" x14ac:dyDescent="0.3">
      <c r="O1688" t="s">
        <v>681</v>
      </c>
      <c r="P1688">
        <v>2023</v>
      </c>
    </row>
    <row r="1689" spans="15:16" x14ac:dyDescent="0.3">
      <c r="O1689" t="s">
        <v>166</v>
      </c>
      <c r="P1689">
        <v>2023</v>
      </c>
    </row>
    <row r="1690" spans="15:16" x14ac:dyDescent="0.3">
      <c r="O1690" t="s">
        <v>33</v>
      </c>
      <c r="P1690">
        <v>2023</v>
      </c>
    </row>
    <row r="1691" spans="15:16" x14ac:dyDescent="0.3">
      <c r="O1691" t="s">
        <v>730</v>
      </c>
      <c r="P1691">
        <v>2023</v>
      </c>
    </row>
    <row r="1692" spans="15:16" x14ac:dyDescent="0.3">
      <c r="O1692" t="s">
        <v>327</v>
      </c>
      <c r="P1692">
        <v>2023</v>
      </c>
    </row>
    <row r="1693" spans="15:16" x14ac:dyDescent="0.3">
      <c r="O1693" t="s">
        <v>692</v>
      </c>
      <c r="P1693">
        <v>2023</v>
      </c>
    </row>
    <row r="1694" spans="15:16" x14ac:dyDescent="0.3">
      <c r="O1694" t="s">
        <v>332</v>
      </c>
      <c r="P1694">
        <v>2023</v>
      </c>
    </row>
    <row r="1695" spans="15:16" x14ac:dyDescent="0.3">
      <c r="O1695" t="s">
        <v>799</v>
      </c>
      <c r="P1695">
        <v>2023</v>
      </c>
    </row>
    <row r="1696" spans="15:16" x14ac:dyDescent="0.3">
      <c r="O1696" t="s">
        <v>511</v>
      </c>
      <c r="P1696">
        <v>2023</v>
      </c>
    </row>
    <row r="1697" spans="15:16" x14ac:dyDescent="0.3">
      <c r="O1697" t="s">
        <v>706</v>
      </c>
      <c r="P1697">
        <v>2023</v>
      </c>
    </row>
    <row r="1698" spans="15:16" x14ac:dyDescent="0.3">
      <c r="O1698" t="s">
        <v>787</v>
      </c>
      <c r="P1698">
        <v>2023</v>
      </c>
    </row>
    <row r="1699" spans="15:16" x14ac:dyDescent="0.3">
      <c r="O1699" t="s">
        <v>355</v>
      </c>
      <c r="P1699">
        <v>2023</v>
      </c>
    </row>
    <row r="1700" spans="15:16" x14ac:dyDescent="0.3">
      <c r="O1700" t="s">
        <v>550</v>
      </c>
      <c r="P1700">
        <v>2023</v>
      </c>
    </row>
    <row r="1701" spans="15:16" x14ac:dyDescent="0.3">
      <c r="O1701" t="s">
        <v>245</v>
      </c>
      <c r="P1701">
        <v>2023</v>
      </c>
    </row>
    <row r="1702" spans="15:16" x14ac:dyDescent="0.3">
      <c r="O1702" t="s">
        <v>789</v>
      </c>
      <c r="P1702">
        <v>2023</v>
      </c>
    </row>
    <row r="1703" spans="15:16" x14ac:dyDescent="0.3">
      <c r="O1703" t="s">
        <v>80</v>
      </c>
      <c r="P1703">
        <v>2023</v>
      </c>
    </row>
    <row r="1704" spans="15:16" x14ac:dyDescent="0.3">
      <c r="O1704" t="s">
        <v>731</v>
      </c>
      <c r="P1704">
        <v>2023</v>
      </c>
    </row>
    <row r="1705" spans="15:16" x14ac:dyDescent="0.3">
      <c r="O1705" t="s">
        <v>390</v>
      </c>
      <c r="P1705">
        <v>2023</v>
      </c>
    </row>
    <row r="1706" spans="15:16" x14ac:dyDescent="0.3">
      <c r="O1706" t="s">
        <v>669</v>
      </c>
      <c r="P1706">
        <v>2023</v>
      </c>
    </row>
    <row r="1707" spans="15:16" x14ac:dyDescent="0.3">
      <c r="O1707" t="s">
        <v>847</v>
      </c>
      <c r="P1707">
        <v>2023</v>
      </c>
    </row>
    <row r="1708" spans="15:16" x14ac:dyDescent="0.3">
      <c r="O1708" t="s">
        <v>263</v>
      </c>
      <c r="P1708">
        <v>2023</v>
      </c>
    </row>
    <row r="1709" spans="15:16" x14ac:dyDescent="0.3">
      <c r="O1709" t="s">
        <v>565</v>
      </c>
      <c r="P1709">
        <v>2023</v>
      </c>
    </row>
    <row r="1710" spans="15:16" x14ac:dyDescent="0.3">
      <c r="O1710" t="s">
        <v>411</v>
      </c>
      <c r="P1710">
        <v>2023</v>
      </c>
    </row>
    <row r="1711" spans="15:16" x14ac:dyDescent="0.3">
      <c r="O1711" t="s">
        <v>117</v>
      </c>
      <c r="P1711">
        <v>2023</v>
      </c>
    </row>
    <row r="1712" spans="15:16" x14ac:dyDescent="0.3">
      <c r="O1712" t="s">
        <v>689</v>
      </c>
      <c r="P1712">
        <v>2023</v>
      </c>
    </row>
    <row r="1713" spans="15:16" x14ac:dyDescent="0.3">
      <c r="O1713" t="s">
        <v>311</v>
      </c>
      <c r="P1713">
        <v>2023</v>
      </c>
    </row>
    <row r="1714" spans="15:16" x14ac:dyDescent="0.3">
      <c r="O1714" t="s">
        <v>416</v>
      </c>
      <c r="P1714">
        <v>2023</v>
      </c>
    </row>
    <row r="1715" spans="15:16" x14ac:dyDescent="0.3">
      <c r="O1715" t="s">
        <v>271</v>
      </c>
      <c r="P1715">
        <v>2023</v>
      </c>
    </row>
    <row r="1716" spans="15:16" x14ac:dyDescent="0.3">
      <c r="O1716" t="s">
        <v>336</v>
      </c>
      <c r="P1716">
        <v>2023</v>
      </c>
    </row>
    <row r="1717" spans="15:16" x14ac:dyDescent="0.3">
      <c r="O1717" t="s">
        <v>741</v>
      </c>
      <c r="P1717">
        <v>2023</v>
      </c>
    </row>
    <row r="1718" spans="15:16" x14ac:dyDescent="0.3">
      <c r="O1718" t="s">
        <v>201</v>
      </c>
      <c r="P1718">
        <v>2023</v>
      </c>
    </row>
    <row r="1719" spans="15:16" x14ac:dyDescent="0.3">
      <c r="O1719" t="s">
        <v>755</v>
      </c>
      <c r="P1719">
        <v>2023</v>
      </c>
    </row>
    <row r="1720" spans="15:16" x14ac:dyDescent="0.3">
      <c r="O1720" t="s">
        <v>318</v>
      </c>
      <c r="P1720">
        <v>2023</v>
      </c>
    </row>
    <row r="1721" spans="15:16" x14ac:dyDescent="0.3">
      <c r="O1721" t="s">
        <v>543</v>
      </c>
      <c r="P1721">
        <v>2023</v>
      </c>
    </row>
    <row r="1722" spans="15:16" x14ac:dyDescent="0.3">
      <c r="O1722" t="s">
        <v>330</v>
      </c>
      <c r="P1722">
        <v>2023</v>
      </c>
    </row>
    <row r="1723" spans="15:16" x14ac:dyDescent="0.3">
      <c r="O1723" t="s">
        <v>454</v>
      </c>
      <c r="P1723">
        <v>2023</v>
      </c>
    </row>
    <row r="1724" spans="15:16" x14ac:dyDescent="0.3">
      <c r="O1724" t="s">
        <v>316</v>
      </c>
      <c r="P1724">
        <v>2023</v>
      </c>
    </row>
    <row r="1725" spans="15:16" x14ac:dyDescent="0.3">
      <c r="O1725" t="s">
        <v>486</v>
      </c>
      <c r="P1725">
        <v>2023</v>
      </c>
    </row>
    <row r="1726" spans="15:16" x14ac:dyDescent="0.3">
      <c r="O1726" t="s">
        <v>509</v>
      </c>
      <c r="P1726">
        <v>2023</v>
      </c>
    </row>
    <row r="1727" spans="15:16" x14ac:dyDescent="0.3">
      <c r="O1727" t="s">
        <v>465</v>
      </c>
      <c r="P1727">
        <v>2023</v>
      </c>
    </row>
    <row r="1728" spans="15:16" x14ac:dyDescent="0.3">
      <c r="O1728" t="s">
        <v>746</v>
      </c>
      <c r="P1728">
        <v>2023</v>
      </c>
    </row>
    <row r="1729" spans="15:16" x14ac:dyDescent="0.3">
      <c r="O1729" t="s">
        <v>649</v>
      </c>
      <c r="P1729">
        <v>2023</v>
      </c>
    </row>
    <row r="1730" spans="15:16" x14ac:dyDescent="0.3">
      <c r="O1730" t="s">
        <v>351</v>
      </c>
      <c r="P1730">
        <v>2023</v>
      </c>
    </row>
    <row r="1731" spans="15:16" x14ac:dyDescent="0.3">
      <c r="O1731" t="s">
        <v>777</v>
      </c>
      <c r="P1731">
        <v>2023</v>
      </c>
    </row>
    <row r="1732" spans="15:16" x14ac:dyDescent="0.3">
      <c r="O1732" t="s">
        <v>665</v>
      </c>
      <c r="P1732">
        <v>2023</v>
      </c>
    </row>
    <row r="1733" spans="15:16" x14ac:dyDescent="0.3">
      <c r="O1733" t="s">
        <v>659</v>
      </c>
      <c r="P1733">
        <v>2023</v>
      </c>
    </row>
    <row r="1734" spans="15:16" x14ac:dyDescent="0.3">
      <c r="O1734" t="s">
        <v>258</v>
      </c>
      <c r="P1734">
        <v>2023</v>
      </c>
    </row>
    <row r="1735" spans="15:16" x14ac:dyDescent="0.3">
      <c r="O1735" t="s">
        <v>739</v>
      </c>
      <c r="P1735">
        <v>2023</v>
      </c>
    </row>
    <row r="1736" spans="15:16" x14ac:dyDescent="0.3">
      <c r="O1736" t="s">
        <v>234</v>
      </c>
      <c r="P1736">
        <v>2023</v>
      </c>
    </row>
    <row r="1737" spans="15:16" x14ac:dyDescent="0.3">
      <c r="O1737" t="s">
        <v>99</v>
      </c>
      <c r="P1737">
        <v>2023</v>
      </c>
    </row>
    <row r="1738" spans="15:16" x14ac:dyDescent="0.3">
      <c r="O1738" t="s">
        <v>124</v>
      </c>
      <c r="P1738">
        <v>2023</v>
      </c>
    </row>
    <row r="1739" spans="15:16" x14ac:dyDescent="0.3">
      <c r="O1739" t="s">
        <v>726</v>
      </c>
      <c r="P1739">
        <v>2023</v>
      </c>
    </row>
    <row r="1740" spans="15:16" x14ac:dyDescent="0.3">
      <c r="O1740" t="s">
        <v>397</v>
      </c>
      <c r="P1740">
        <v>2023</v>
      </c>
    </row>
    <row r="1741" spans="15:16" x14ac:dyDescent="0.3">
      <c r="O1741" t="s">
        <v>337</v>
      </c>
      <c r="P1741">
        <v>2023</v>
      </c>
    </row>
    <row r="1742" spans="15:16" x14ac:dyDescent="0.3">
      <c r="O1742" t="s">
        <v>849</v>
      </c>
      <c r="P1742">
        <v>2023</v>
      </c>
    </row>
    <row r="1743" spans="15:16" x14ac:dyDescent="0.3">
      <c r="O1743" t="s">
        <v>850</v>
      </c>
      <c r="P1743">
        <v>2023</v>
      </c>
    </row>
    <row r="1744" spans="15:16" x14ac:dyDescent="0.3">
      <c r="O1744" t="s">
        <v>851</v>
      </c>
      <c r="P1744">
        <v>2023</v>
      </c>
    </row>
    <row r="1745" spans="15:16" x14ac:dyDescent="0.3">
      <c r="O1745" t="s">
        <v>407</v>
      </c>
      <c r="P1745">
        <v>2023</v>
      </c>
    </row>
    <row r="1746" spans="15:16" x14ac:dyDescent="0.3">
      <c r="O1746" t="s">
        <v>569</v>
      </c>
      <c r="P1746">
        <v>2023</v>
      </c>
    </row>
    <row r="1747" spans="15:16" x14ac:dyDescent="0.3">
      <c r="O1747" t="s">
        <v>257</v>
      </c>
      <c r="P1747">
        <v>2023</v>
      </c>
    </row>
    <row r="1748" spans="15:16" x14ac:dyDescent="0.3">
      <c r="O1748" t="s">
        <v>114</v>
      </c>
      <c r="P1748">
        <v>2023</v>
      </c>
    </row>
    <row r="1749" spans="15:16" x14ac:dyDescent="0.3">
      <c r="O1749" t="s">
        <v>798</v>
      </c>
      <c r="P1749">
        <v>2023</v>
      </c>
    </row>
    <row r="1750" spans="15:16" x14ac:dyDescent="0.3">
      <c r="O1750" t="s">
        <v>432</v>
      </c>
      <c r="P1750">
        <v>2023</v>
      </c>
    </row>
    <row r="1751" spans="15:16" x14ac:dyDescent="0.3">
      <c r="O1751" t="s">
        <v>220</v>
      </c>
      <c r="P1751">
        <v>2023</v>
      </c>
    </row>
    <row r="1752" spans="15:16" x14ac:dyDescent="0.3">
      <c r="O1752" t="s">
        <v>51</v>
      </c>
      <c r="P1752">
        <v>2023</v>
      </c>
    </row>
    <row r="1753" spans="15:16" x14ac:dyDescent="0.3">
      <c r="O1753" t="s">
        <v>370</v>
      </c>
      <c r="P1753">
        <v>2023</v>
      </c>
    </row>
    <row r="1754" spans="15:16" x14ac:dyDescent="0.3">
      <c r="O1754" t="s">
        <v>148</v>
      </c>
      <c r="P1754">
        <v>2023</v>
      </c>
    </row>
    <row r="1755" spans="15:16" x14ac:dyDescent="0.3">
      <c r="O1755" t="s">
        <v>443</v>
      </c>
      <c r="P1755">
        <v>2023</v>
      </c>
    </row>
    <row r="1756" spans="15:16" x14ac:dyDescent="0.3">
      <c r="O1756" t="s">
        <v>481</v>
      </c>
      <c r="P1756">
        <v>2023</v>
      </c>
    </row>
    <row r="1757" spans="15:16" x14ac:dyDescent="0.3">
      <c r="O1757" t="s">
        <v>182</v>
      </c>
      <c r="P1757">
        <v>2023</v>
      </c>
    </row>
    <row r="1758" spans="15:16" x14ac:dyDescent="0.3">
      <c r="O1758" t="s">
        <v>536</v>
      </c>
      <c r="P1758">
        <v>2023</v>
      </c>
    </row>
    <row r="1759" spans="15:16" x14ac:dyDescent="0.3">
      <c r="O1759" t="s">
        <v>412</v>
      </c>
      <c r="P1759">
        <v>2023</v>
      </c>
    </row>
    <row r="1760" spans="15:16" x14ac:dyDescent="0.3">
      <c r="O1760" t="s">
        <v>174</v>
      </c>
      <c r="P1760">
        <v>2023</v>
      </c>
    </row>
    <row r="1761" spans="15:16" x14ac:dyDescent="0.3">
      <c r="O1761" t="s">
        <v>610</v>
      </c>
      <c r="P1761">
        <v>2023</v>
      </c>
    </row>
    <row r="1762" spans="15:16" x14ac:dyDescent="0.3">
      <c r="O1762" t="s">
        <v>852</v>
      </c>
      <c r="P1762">
        <v>2023</v>
      </c>
    </row>
    <row r="1763" spans="15:16" x14ac:dyDescent="0.3">
      <c r="O1763" t="s">
        <v>853</v>
      </c>
      <c r="P1763">
        <v>2023</v>
      </c>
    </row>
    <row r="1764" spans="15:16" x14ac:dyDescent="0.3">
      <c r="O1764" t="s">
        <v>274</v>
      </c>
      <c r="P1764">
        <v>2023</v>
      </c>
    </row>
    <row r="1765" spans="15:16" x14ac:dyDescent="0.3">
      <c r="O1765" t="s">
        <v>641</v>
      </c>
      <c r="P1765">
        <v>2023</v>
      </c>
    </row>
    <row r="1766" spans="15:16" x14ac:dyDescent="0.3">
      <c r="O1766" t="s">
        <v>526</v>
      </c>
      <c r="P1766">
        <v>2023</v>
      </c>
    </row>
    <row r="1767" spans="15:16" x14ac:dyDescent="0.3">
      <c r="O1767" t="s">
        <v>362</v>
      </c>
      <c r="P1767">
        <v>2023</v>
      </c>
    </row>
    <row r="1768" spans="15:16" x14ac:dyDescent="0.3">
      <c r="O1768" t="s">
        <v>149</v>
      </c>
      <c r="P1768">
        <v>2023</v>
      </c>
    </row>
    <row r="1769" spans="15:16" x14ac:dyDescent="0.3">
      <c r="O1769" t="s">
        <v>854</v>
      </c>
      <c r="P1769">
        <v>2023</v>
      </c>
    </row>
    <row r="1770" spans="15:16" x14ac:dyDescent="0.3">
      <c r="O1770" t="s">
        <v>35</v>
      </c>
      <c r="P1770">
        <v>2023</v>
      </c>
    </row>
    <row r="1771" spans="15:16" x14ac:dyDescent="0.3">
      <c r="O1771" t="s">
        <v>386</v>
      </c>
      <c r="P1771">
        <v>2023</v>
      </c>
    </row>
    <row r="1772" spans="15:16" x14ac:dyDescent="0.3">
      <c r="O1772" t="s">
        <v>272</v>
      </c>
      <c r="P1772">
        <v>2023</v>
      </c>
    </row>
    <row r="1773" spans="15:16" x14ac:dyDescent="0.3">
      <c r="O1773" t="s">
        <v>388</v>
      </c>
      <c r="P1773">
        <v>2023</v>
      </c>
    </row>
    <row r="1774" spans="15:16" x14ac:dyDescent="0.3">
      <c r="O1774" t="s">
        <v>594</v>
      </c>
      <c r="P1774">
        <v>2023</v>
      </c>
    </row>
    <row r="1775" spans="15:16" x14ac:dyDescent="0.3">
      <c r="O1775" t="s">
        <v>119</v>
      </c>
      <c r="P1775">
        <v>2023</v>
      </c>
    </row>
    <row r="1776" spans="15:16" x14ac:dyDescent="0.3">
      <c r="O1776" t="s">
        <v>541</v>
      </c>
      <c r="P1776">
        <v>2023</v>
      </c>
    </row>
    <row r="1777" spans="15:16" x14ac:dyDescent="0.3">
      <c r="O1777" t="s">
        <v>647</v>
      </c>
      <c r="P1777">
        <v>2023</v>
      </c>
    </row>
    <row r="1778" spans="15:16" x14ac:dyDescent="0.3">
      <c r="O1778" t="s">
        <v>581</v>
      </c>
      <c r="P1778">
        <v>2023</v>
      </c>
    </row>
    <row r="1779" spans="15:16" x14ac:dyDescent="0.3">
      <c r="O1779" t="s">
        <v>535</v>
      </c>
      <c r="P1779">
        <v>2023</v>
      </c>
    </row>
    <row r="1780" spans="15:16" x14ac:dyDescent="0.3">
      <c r="O1780" t="s">
        <v>782</v>
      </c>
      <c r="P1780">
        <v>2023</v>
      </c>
    </row>
    <row r="1781" spans="15:16" x14ac:dyDescent="0.3">
      <c r="O1781" t="s">
        <v>152</v>
      </c>
      <c r="P1781">
        <v>2023</v>
      </c>
    </row>
    <row r="1782" spans="15:16" x14ac:dyDescent="0.3">
      <c r="O1782" t="s">
        <v>294</v>
      </c>
      <c r="P1782">
        <v>2023</v>
      </c>
    </row>
    <row r="1783" spans="15:16" x14ac:dyDescent="0.3">
      <c r="O1783" t="s">
        <v>855</v>
      </c>
      <c r="P1783">
        <v>2023</v>
      </c>
    </row>
    <row r="1784" spans="15:16" x14ac:dyDescent="0.3">
      <c r="O1784" t="s">
        <v>230</v>
      </c>
      <c r="P1784">
        <v>2023</v>
      </c>
    </row>
    <row r="1785" spans="15:16" x14ac:dyDescent="0.3">
      <c r="O1785" t="s">
        <v>168</v>
      </c>
      <c r="P1785">
        <v>2023</v>
      </c>
    </row>
    <row r="1786" spans="15:16" x14ac:dyDescent="0.3">
      <c r="O1786" t="s">
        <v>775</v>
      </c>
      <c r="P1786">
        <v>2023</v>
      </c>
    </row>
    <row r="1787" spans="15:16" x14ac:dyDescent="0.3">
      <c r="O1787" t="s">
        <v>456</v>
      </c>
      <c r="P1787">
        <v>2023</v>
      </c>
    </row>
    <row r="1788" spans="15:16" x14ac:dyDescent="0.3">
      <c r="O1788" t="s">
        <v>246</v>
      </c>
      <c r="P1788">
        <v>2023</v>
      </c>
    </row>
    <row r="1789" spans="15:16" x14ac:dyDescent="0.3">
      <c r="O1789" t="s">
        <v>492</v>
      </c>
      <c r="P1789">
        <v>2023</v>
      </c>
    </row>
    <row r="1790" spans="15:16" x14ac:dyDescent="0.3">
      <c r="O1790" t="s">
        <v>341</v>
      </c>
      <c r="P1790">
        <v>2023</v>
      </c>
    </row>
    <row r="1791" spans="15:16" x14ac:dyDescent="0.3">
      <c r="O1791" t="s">
        <v>646</v>
      </c>
      <c r="P1791">
        <v>2023</v>
      </c>
    </row>
    <row r="1792" spans="15:16" x14ac:dyDescent="0.3">
      <c r="O1792" t="s">
        <v>561</v>
      </c>
      <c r="P1792">
        <v>2023</v>
      </c>
    </row>
    <row r="1793" spans="15:16" x14ac:dyDescent="0.3">
      <c r="O1793" t="s">
        <v>464</v>
      </c>
      <c r="P1793">
        <v>2023</v>
      </c>
    </row>
    <row r="1794" spans="15:16" x14ac:dyDescent="0.3">
      <c r="O1794" t="s">
        <v>683</v>
      </c>
      <c r="P1794">
        <v>2023</v>
      </c>
    </row>
    <row r="1795" spans="15:16" x14ac:dyDescent="0.3">
      <c r="O1795" t="s">
        <v>195</v>
      </c>
      <c r="P1795">
        <v>2023</v>
      </c>
    </row>
    <row r="1796" spans="15:16" x14ac:dyDescent="0.3">
      <c r="O1796" t="s">
        <v>797</v>
      </c>
      <c r="P1796">
        <v>2023</v>
      </c>
    </row>
    <row r="1797" spans="15:16" x14ac:dyDescent="0.3">
      <c r="O1797" t="s">
        <v>622</v>
      </c>
      <c r="P1797">
        <v>2023</v>
      </c>
    </row>
    <row r="1798" spans="15:16" x14ac:dyDescent="0.3">
      <c r="O1798" t="s">
        <v>103</v>
      </c>
      <c r="P1798">
        <v>2023</v>
      </c>
    </row>
    <row r="1799" spans="15:16" x14ac:dyDescent="0.3">
      <c r="O1799" t="s">
        <v>70</v>
      </c>
      <c r="P1799">
        <v>2023</v>
      </c>
    </row>
    <row r="1800" spans="15:16" x14ac:dyDescent="0.3">
      <c r="O1800" t="s">
        <v>645</v>
      </c>
      <c r="P1800">
        <v>2023</v>
      </c>
    </row>
    <row r="1801" spans="15:16" x14ac:dyDescent="0.3">
      <c r="O1801" t="s">
        <v>603</v>
      </c>
      <c r="P1801">
        <v>2023</v>
      </c>
    </row>
    <row r="1802" spans="15:16" x14ac:dyDescent="0.3">
      <c r="O1802" t="s">
        <v>297</v>
      </c>
      <c r="P1802">
        <v>2023</v>
      </c>
    </row>
    <row r="1803" spans="15:16" x14ac:dyDescent="0.3">
      <c r="O1803" t="s">
        <v>675</v>
      </c>
      <c r="P1803">
        <v>2023</v>
      </c>
    </row>
    <row r="1804" spans="15:16" x14ac:dyDescent="0.3">
      <c r="O1804" t="s">
        <v>241</v>
      </c>
      <c r="P1804">
        <v>2023</v>
      </c>
    </row>
    <row r="1805" spans="15:16" x14ac:dyDescent="0.3">
      <c r="O1805" t="s">
        <v>433</v>
      </c>
      <c r="P1805">
        <v>2023</v>
      </c>
    </row>
    <row r="1806" spans="15:16" x14ac:dyDescent="0.3">
      <c r="O1806" t="s">
        <v>750</v>
      </c>
      <c r="P1806">
        <v>2023</v>
      </c>
    </row>
    <row r="1807" spans="15:16" x14ac:dyDescent="0.3">
      <c r="O1807" t="s">
        <v>128</v>
      </c>
      <c r="P1807">
        <v>2023</v>
      </c>
    </row>
    <row r="1808" spans="15:16" x14ac:dyDescent="0.3">
      <c r="O1808" t="s">
        <v>158</v>
      </c>
      <c r="P1808">
        <v>2023</v>
      </c>
    </row>
    <row r="1809" spans="15:16" x14ac:dyDescent="0.3">
      <c r="O1809" t="s">
        <v>856</v>
      </c>
      <c r="P1809">
        <v>2023</v>
      </c>
    </row>
    <row r="1810" spans="15:16" x14ac:dyDescent="0.3">
      <c r="O1810" t="s">
        <v>324</v>
      </c>
      <c r="P1810">
        <v>2023</v>
      </c>
    </row>
    <row r="1811" spans="15:16" x14ac:dyDescent="0.3">
      <c r="O1811" t="s">
        <v>90</v>
      </c>
      <c r="P1811">
        <v>2024</v>
      </c>
    </row>
    <row r="1812" spans="15:16" x14ac:dyDescent="0.3">
      <c r="O1812" t="s">
        <v>303</v>
      </c>
      <c r="P1812">
        <v>2024</v>
      </c>
    </row>
    <row r="1813" spans="15:16" x14ac:dyDescent="0.3">
      <c r="O1813" t="s">
        <v>353</v>
      </c>
      <c r="P1813">
        <v>2024</v>
      </c>
    </row>
    <row r="1814" spans="15:16" x14ac:dyDescent="0.3">
      <c r="O1814" t="s">
        <v>818</v>
      </c>
      <c r="P1814">
        <v>2024</v>
      </c>
    </row>
    <row r="1815" spans="15:16" x14ac:dyDescent="0.3">
      <c r="O1815" t="s">
        <v>391</v>
      </c>
      <c r="P1815">
        <v>2024</v>
      </c>
    </row>
    <row r="1816" spans="15:16" x14ac:dyDescent="0.3">
      <c r="O1816" t="s">
        <v>675</v>
      </c>
      <c r="P1816">
        <v>2024</v>
      </c>
    </row>
    <row r="1817" spans="15:16" x14ac:dyDescent="0.3">
      <c r="O1817" t="s">
        <v>695</v>
      </c>
      <c r="P1817">
        <v>2024</v>
      </c>
    </row>
    <row r="1818" spans="15:16" x14ac:dyDescent="0.3">
      <c r="O1818" t="s">
        <v>50</v>
      </c>
      <c r="P1818">
        <v>2024</v>
      </c>
    </row>
    <row r="1819" spans="15:16" x14ac:dyDescent="0.3">
      <c r="O1819" t="s">
        <v>688</v>
      </c>
      <c r="P1819">
        <v>2024</v>
      </c>
    </row>
    <row r="1820" spans="15:16" x14ac:dyDescent="0.3">
      <c r="O1820" t="s">
        <v>692</v>
      </c>
      <c r="P1820">
        <v>2024</v>
      </c>
    </row>
    <row r="1821" spans="15:16" x14ac:dyDescent="0.3">
      <c r="O1821" t="s">
        <v>742</v>
      </c>
      <c r="P1821">
        <v>2024</v>
      </c>
    </row>
    <row r="1822" spans="15:16" x14ac:dyDescent="0.3">
      <c r="O1822" t="s">
        <v>581</v>
      </c>
      <c r="P1822">
        <v>2024</v>
      </c>
    </row>
    <row r="1823" spans="15:16" x14ac:dyDescent="0.3">
      <c r="O1823" t="s">
        <v>402</v>
      </c>
      <c r="P1823">
        <v>2024</v>
      </c>
    </row>
    <row r="1824" spans="15:16" x14ac:dyDescent="0.3">
      <c r="O1824" t="s">
        <v>514</v>
      </c>
      <c r="P1824">
        <v>2024</v>
      </c>
    </row>
    <row r="1825" spans="15:16" x14ac:dyDescent="0.3">
      <c r="O1825" t="s">
        <v>227</v>
      </c>
      <c r="P1825">
        <v>2024</v>
      </c>
    </row>
    <row r="1826" spans="15:16" x14ac:dyDescent="0.3">
      <c r="O1826" t="s">
        <v>709</v>
      </c>
      <c r="P1826">
        <v>2024</v>
      </c>
    </row>
    <row r="1827" spans="15:16" x14ac:dyDescent="0.3">
      <c r="O1827" t="s">
        <v>712</v>
      </c>
      <c r="P1827">
        <v>2024</v>
      </c>
    </row>
    <row r="1828" spans="15:16" x14ac:dyDescent="0.3">
      <c r="O1828" t="s">
        <v>624</v>
      </c>
      <c r="P1828">
        <v>2024</v>
      </c>
    </row>
    <row r="1829" spans="15:16" x14ac:dyDescent="0.3">
      <c r="O1829" t="s">
        <v>825</v>
      </c>
      <c r="P1829">
        <v>2024</v>
      </c>
    </row>
    <row r="1830" spans="15:16" x14ac:dyDescent="0.3">
      <c r="O1830" t="s">
        <v>681</v>
      </c>
      <c r="P1830">
        <v>2024</v>
      </c>
    </row>
    <row r="1831" spans="15:16" x14ac:dyDescent="0.3">
      <c r="O1831" t="s">
        <v>315</v>
      </c>
      <c r="P1831">
        <v>2024</v>
      </c>
    </row>
    <row r="1832" spans="15:16" x14ac:dyDescent="0.3">
      <c r="O1832" t="s">
        <v>776</v>
      </c>
      <c r="P1832">
        <v>2024</v>
      </c>
    </row>
    <row r="1833" spans="15:16" x14ac:dyDescent="0.3">
      <c r="O1833" t="s">
        <v>108</v>
      </c>
      <c r="P1833">
        <v>2024</v>
      </c>
    </row>
    <row r="1834" spans="15:16" x14ac:dyDescent="0.3">
      <c r="O1834" t="s">
        <v>832</v>
      </c>
      <c r="P1834">
        <v>2024</v>
      </c>
    </row>
    <row r="1835" spans="15:16" x14ac:dyDescent="0.3">
      <c r="O1835" t="s">
        <v>92</v>
      </c>
      <c r="P1835">
        <v>2024</v>
      </c>
    </row>
    <row r="1836" spans="15:16" x14ac:dyDescent="0.3">
      <c r="O1836" t="s">
        <v>796</v>
      </c>
      <c r="P1836">
        <v>2024</v>
      </c>
    </row>
    <row r="1837" spans="15:16" x14ac:dyDescent="0.3">
      <c r="O1837" t="s">
        <v>632</v>
      </c>
      <c r="P1837">
        <v>2024</v>
      </c>
    </row>
    <row r="1838" spans="15:16" x14ac:dyDescent="0.3">
      <c r="O1838" t="s">
        <v>22</v>
      </c>
      <c r="P1838">
        <v>2024</v>
      </c>
    </row>
    <row r="1839" spans="15:16" x14ac:dyDescent="0.3">
      <c r="O1839" t="s">
        <v>611</v>
      </c>
      <c r="P1839">
        <v>2024</v>
      </c>
    </row>
    <row r="1840" spans="15:16" x14ac:dyDescent="0.3">
      <c r="O1840" t="s">
        <v>343</v>
      </c>
      <c r="P1840">
        <v>2024</v>
      </c>
    </row>
    <row r="1841" spans="15:16" x14ac:dyDescent="0.3">
      <c r="O1841" t="s">
        <v>852</v>
      </c>
      <c r="P1841">
        <v>2024</v>
      </c>
    </row>
    <row r="1842" spans="15:16" x14ac:dyDescent="0.3">
      <c r="O1842" t="s">
        <v>261</v>
      </c>
      <c r="P1842">
        <v>2024</v>
      </c>
    </row>
    <row r="1843" spans="15:16" x14ac:dyDescent="0.3">
      <c r="O1843" t="s">
        <v>829</v>
      </c>
      <c r="P1843">
        <v>2024</v>
      </c>
    </row>
    <row r="1844" spans="15:16" x14ac:dyDescent="0.3">
      <c r="O1844" t="s">
        <v>504</v>
      </c>
      <c r="P1844">
        <v>2024</v>
      </c>
    </row>
    <row r="1845" spans="15:16" x14ac:dyDescent="0.3">
      <c r="O1845" t="s">
        <v>102</v>
      </c>
      <c r="P1845">
        <v>2024</v>
      </c>
    </row>
    <row r="1846" spans="15:16" x14ac:dyDescent="0.3">
      <c r="O1846" t="s">
        <v>538</v>
      </c>
      <c r="P1846">
        <v>2024</v>
      </c>
    </row>
    <row r="1847" spans="15:16" x14ac:dyDescent="0.3">
      <c r="O1847" t="s">
        <v>577</v>
      </c>
      <c r="P1847">
        <v>2024</v>
      </c>
    </row>
    <row r="1848" spans="15:16" x14ac:dyDescent="0.3">
      <c r="O1848" t="s">
        <v>361</v>
      </c>
      <c r="P1848">
        <v>2024</v>
      </c>
    </row>
    <row r="1849" spans="15:16" x14ac:dyDescent="0.3">
      <c r="O1849" t="s">
        <v>649</v>
      </c>
      <c r="P1849">
        <v>2024</v>
      </c>
    </row>
    <row r="1850" spans="15:16" x14ac:dyDescent="0.3">
      <c r="O1850" t="s">
        <v>846</v>
      </c>
      <c r="P1850">
        <v>2024</v>
      </c>
    </row>
    <row r="1851" spans="15:16" x14ac:dyDescent="0.3">
      <c r="O1851" t="s">
        <v>811</v>
      </c>
      <c r="P1851">
        <v>2024</v>
      </c>
    </row>
    <row r="1852" spans="15:16" x14ac:dyDescent="0.3">
      <c r="O1852" t="s">
        <v>597</v>
      </c>
      <c r="P1852">
        <v>2024</v>
      </c>
    </row>
    <row r="1853" spans="15:16" x14ac:dyDescent="0.3">
      <c r="O1853" t="s">
        <v>213</v>
      </c>
      <c r="P1853">
        <v>2024</v>
      </c>
    </row>
    <row r="1854" spans="15:16" x14ac:dyDescent="0.3">
      <c r="O1854" t="s">
        <v>148</v>
      </c>
      <c r="P1854">
        <v>2024</v>
      </c>
    </row>
    <row r="1855" spans="15:16" x14ac:dyDescent="0.3">
      <c r="O1855" t="s">
        <v>39</v>
      </c>
      <c r="P1855">
        <v>2024</v>
      </c>
    </row>
    <row r="1856" spans="15:16" x14ac:dyDescent="0.3">
      <c r="O1856" t="s">
        <v>253</v>
      </c>
      <c r="P1856">
        <v>2024</v>
      </c>
    </row>
    <row r="1857" spans="15:16" x14ac:dyDescent="0.3">
      <c r="O1857" t="s">
        <v>705</v>
      </c>
      <c r="P1857">
        <v>2024</v>
      </c>
    </row>
    <row r="1858" spans="15:16" x14ac:dyDescent="0.3">
      <c r="O1858" t="s">
        <v>506</v>
      </c>
      <c r="P1858">
        <v>2024</v>
      </c>
    </row>
    <row r="1859" spans="15:16" x14ac:dyDescent="0.3">
      <c r="O1859" t="s">
        <v>70</v>
      </c>
      <c r="P1859">
        <v>2024</v>
      </c>
    </row>
    <row r="1860" spans="15:16" x14ac:dyDescent="0.3">
      <c r="O1860" t="s">
        <v>777</v>
      </c>
      <c r="P1860">
        <v>2024</v>
      </c>
    </row>
    <row r="1861" spans="15:16" x14ac:dyDescent="0.3">
      <c r="O1861" t="s">
        <v>814</v>
      </c>
      <c r="P1861">
        <v>2024</v>
      </c>
    </row>
    <row r="1862" spans="15:16" x14ac:dyDescent="0.3">
      <c r="O1862" t="s">
        <v>78</v>
      </c>
      <c r="P1862">
        <v>2024</v>
      </c>
    </row>
    <row r="1863" spans="15:16" x14ac:dyDescent="0.3">
      <c r="O1863" t="s">
        <v>275</v>
      </c>
      <c r="P1863">
        <v>2024</v>
      </c>
    </row>
    <row r="1864" spans="15:16" x14ac:dyDescent="0.3">
      <c r="O1864" t="s">
        <v>686</v>
      </c>
      <c r="P1864">
        <v>2024</v>
      </c>
    </row>
    <row r="1865" spans="15:16" x14ac:dyDescent="0.3">
      <c r="O1865" t="s">
        <v>229</v>
      </c>
      <c r="P1865">
        <v>2024</v>
      </c>
    </row>
    <row r="1866" spans="15:16" x14ac:dyDescent="0.3">
      <c r="O1866" t="s">
        <v>729</v>
      </c>
      <c r="P1866">
        <v>2024</v>
      </c>
    </row>
    <row r="1867" spans="15:16" x14ac:dyDescent="0.3">
      <c r="O1867" t="s">
        <v>824</v>
      </c>
      <c r="P1867">
        <v>2024</v>
      </c>
    </row>
    <row r="1868" spans="15:16" x14ac:dyDescent="0.3">
      <c r="O1868" t="s">
        <v>656</v>
      </c>
      <c r="P1868">
        <v>2024</v>
      </c>
    </row>
    <row r="1869" spans="15:16" x14ac:dyDescent="0.3">
      <c r="O1869" t="s">
        <v>409</v>
      </c>
      <c r="P1869">
        <v>2024</v>
      </c>
    </row>
    <row r="1870" spans="15:16" x14ac:dyDescent="0.3">
      <c r="O1870" t="s">
        <v>182</v>
      </c>
      <c r="P1870">
        <v>2024</v>
      </c>
    </row>
    <row r="1871" spans="15:16" x14ac:dyDescent="0.3">
      <c r="O1871" t="s">
        <v>815</v>
      </c>
      <c r="P1871">
        <v>2024</v>
      </c>
    </row>
    <row r="1872" spans="15:16" x14ac:dyDescent="0.3">
      <c r="O1872" t="s">
        <v>697</v>
      </c>
      <c r="P1872">
        <v>2024</v>
      </c>
    </row>
    <row r="1873" spans="15:16" x14ac:dyDescent="0.3">
      <c r="O1873" t="s">
        <v>46</v>
      </c>
      <c r="P1873">
        <v>2024</v>
      </c>
    </row>
    <row r="1874" spans="15:16" x14ac:dyDescent="0.3">
      <c r="O1874" t="s">
        <v>540</v>
      </c>
      <c r="P1874">
        <v>2024</v>
      </c>
    </row>
    <row r="1875" spans="15:16" x14ac:dyDescent="0.3">
      <c r="O1875" t="s">
        <v>251</v>
      </c>
      <c r="P1875">
        <v>2024</v>
      </c>
    </row>
    <row r="1876" spans="15:16" x14ac:dyDescent="0.3">
      <c r="O1876" t="s">
        <v>834</v>
      </c>
      <c r="P1876">
        <v>2024</v>
      </c>
    </row>
    <row r="1877" spans="15:16" x14ac:dyDescent="0.3">
      <c r="O1877" t="s">
        <v>451</v>
      </c>
      <c r="P1877">
        <v>2024</v>
      </c>
    </row>
    <row r="1878" spans="15:16" x14ac:dyDescent="0.3">
      <c r="O1878" t="s">
        <v>430</v>
      </c>
      <c r="P1878">
        <v>2024</v>
      </c>
    </row>
    <row r="1879" spans="15:16" x14ac:dyDescent="0.3">
      <c r="O1879" t="s">
        <v>218</v>
      </c>
      <c r="P1879">
        <v>2024</v>
      </c>
    </row>
    <row r="1880" spans="15:16" x14ac:dyDescent="0.3">
      <c r="O1880" t="s">
        <v>805</v>
      </c>
      <c r="P1880">
        <v>2024</v>
      </c>
    </row>
    <row r="1881" spans="15:16" x14ac:dyDescent="0.3">
      <c r="O1881" t="s">
        <v>622</v>
      </c>
      <c r="P1881">
        <v>2024</v>
      </c>
    </row>
    <row r="1882" spans="15:16" x14ac:dyDescent="0.3">
      <c r="O1882" t="s">
        <v>110</v>
      </c>
      <c r="P1882">
        <v>2024</v>
      </c>
    </row>
    <row r="1883" spans="15:16" x14ac:dyDescent="0.3">
      <c r="O1883" t="s">
        <v>547</v>
      </c>
      <c r="P1883">
        <v>2024</v>
      </c>
    </row>
    <row r="1884" spans="15:16" x14ac:dyDescent="0.3">
      <c r="O1884" t="s">
        <v>778</v>
      </c>
      <c r="P1884">
        <v>2024</v>
      </c>
    </row>
    <row r="1885" spans="15:16" x14ac:dyDescent="0.3">
      <c r="O1885" t="s">
        <v>149</v>
      </c>
      <c r="P1885">
        <v>2024</v>
      </c>
    </row>
    <row r="1886" spans="15:16" x14ac:dyDescent="0.3">
      <c r="O1886" t="s">
        <v>523</v>
      </c>
      <c r="P1886">
        <v>2024</v>
      </c>
    </row>
    <row r="1887" spans="15:16" x14ac:dyDescent="0.3">
      <c r="O1887" t="s">
        <v>58</v>
      </c>
      <c r="P1887">
        <v>2024</v>
      </c>
    </row>
    <row r="1888" spans="15:16" x14ac:dyDescent="0.3">
      <c r="O1888" t="s">
        <v>528</v>
      </c>
      <c r="P1888">
        <v>2024</v>
      </c>
    </row>
    <row r="1889" spans="15:16" x14ac:dyDescent="0.3">
      <c r="O1889" t="s">
        <v>732</v>
      </c>
      <c r="P1889">
        <v>2024</v>
      </c>
    </row>
    <row r="1890" spans="15:16" x14ac:dyDescent="0.3">
      <c r="O1890" t="s">
        <v>791</v>
      </c>
      <c r="P1890">
        <v>2024</v>
      </c>
    </row>
    <row r="1891" spans="15:16" x14ac:dyDescent="0.3">
      <c r="O1891" t="s">
        <v>94</v>
      </c>
      <c r="P1891">
        <v>2024</v>
      </c>
    </row>
    <row r="1892" spans="15:16" x14ac:dyDescent="0.3">
      <c r="O1892" t="s">
        <v>309</v>
      </c>
      <c r="P1892">
        <v>2024</v>
      </c>
    </row>
    <row r="1893" spans="15:16" x14ac:dyDescent="0.3">
      <c r="O1893" t="s">
        <v>168</v>
      </c>
      <c r="P1893">
        <v>2024</v>
      </c>
    </row>
    <row r="1894" spans="15:16" x14ac:dyDescent="0.3">
      <c r="O1894" t="s">
        <v>97</v>
      </c>
      <c r="P1894">
        <v>2024</v>
      </c>
    </row>
    <row r="1895" spans="15:16" x14ac:dyDescent="0.3">
      <c r="O1895" t="s">
        <v>263</v>
      </c>
      <c r="P1895">
        <v>2024</v>
      </c>
    </row>
    <row r="1896" spans="15:16" x14ac:dyDescent="0.3">
      <c r="O1896" t="s">
        <v>640</v>
      </c>
      <c r="P1896">
        <v>2024</v>
      </c>
    </row>
    <row r="1897" spans="15:16" x14ac:dyDescent="0.3">
      <c r="O1897" t="s">
        <v>421</v>
      </c>
      <c r="P1897">
        <v>2024</v>
      </c>
    </row>
    <row r="1898" spans="15:16" x14ac:dyDescent="0.3">
      <c r="O1898" t="s">
        <v>293</v>
      </c>
      <c r="P1898">
        <v>2024</v>
      </c>
    </row>
    <row r="1899" spans="15:16" x14ac:dyDescent="0.3">
      <c r="O1899" t="s">
        <v>754</v>
      </c>
      <c r="P1899">
        <v>2024</v>
      </c>
    </row>
    <row r="1900" spans="15:16" x14ac:dyDescent="0.3">
      <c r="O1900" t="s">
        <v>212</v>
      </c>
      <c r="P1900">
        <v>2024</v>
      </c>
    </row>
    <row r="1901" spans="15:16" x14ac:dyDescent="0.3">
      <c r="O1901" t="s">
        <v>429</v>
      </c>
      <c r="P1901">
        <v>2024</v>
      </c>
    </row>
    <row r="1902" spans="15:16" x14ac:dyDescent="0.3">
      <c r="O1902" t="s">
        <v>362</v>
      </c>
      <c r="P1902">
        <v>2024</v>
      </c>
    </row>
    <row r="1903" spans="15:16" x14ac:dyDescent="0.3">
      <c r="O1903" t="s">
        <v>390</v>
      </c>
      <c r="P1903">
        <v>2024</v>
      </c>
    </row>
    <row r="1904" spans="15:16" x14ac:dyDescent="0.3">
      <c r="O1904" t="s">
        <v>609</v>
      </c>
      <c r="P1904">
        <v>2024</v>
      </c>
    </row>
    <row r="1905" spans="15:16" x14ac:dyDescent="0.3">
      <c r="O1905" t="s">
        <v>106</v>
      </c>
      <c r="P1905">
        <v>2024</v>
      </c>
    </row>
    <row r="1906" spans="15:16" x14ac:dyDescent="0.3">
      <c r="O1906" t="s">
        <v>560</v>
      </c>
      <c r="P1906">
        <v>2024</v>
      </c>
    </row>
    <row r="1907" spans="15:16" x14ac:dyDescent="0.3">
      <c r="O1907" t="s">
        <v>236</v>
      </c>
      <c r="P1907">
        <v>2024</v>
      </c>
    </row>
    <row r="1908" spans="15:16" x14ac:dyDescent="0.3">
      <c r="O1908" t="s">
        <v>360</v>
      </c>
      <c r="P1908">
        <v>2024</v>
      </c>
    </row>
    <row r="1909" spans="15:16" x14ac:dyDescent="0.3">
      <c r="O1909" t="s">
        <v>673</v>
      </c>
      <c r="P1909">
        <v>2024</v>
      </c>
    </row>
    <row r="1910" spans="15:16" x14ac:dyDescent="0.3">
      <c r="O1910" t="s">
        <v>132</v>
      </c>
      <c r="P1910">
        <v>2024</v>
      </c>
    </row>
    <row r="1911" spans="15:16" x14ac:dyDescent="0.3">
      <c r="O1911" t="s">
        <v>113</v>
      </c>
      <c r="P1911">
        <v>2024</v>
      </c>
    </row>
    <row r="1912" spans="15:16" x14ac:dyDescent="0.3">
      <c r="O1912" t="s">
        <v>365</v>
      </c>
      <c r="P1912">
        <v>2024</v>
      </c>
    </row>
    <row r="1913" spans="15:16" x14ac:dyDescent="0.3">
      <c r="O1913" t="s">
        <v>411</v>
      </c>
      <c r="P1913">
        <v>2024</v>
      </c>
    </row>
    <row r="1914" spans="15:16" x14ac:dyDescent="0.3">
      <c r="O1914" t="s">
        <v>771</v>
      </c>
      <c r="P1914">
        <v>2024</v>
      </c>
    </row>
    <row r="1915" spans="15:16" x14ac:dyDescent="0.3">
      <c r="O1915" t="s">
        <v>496</v>
      </c>
      <c r="P1915">
        <v>2024</v>
      </c>
    </row>
    <row r="1916" spans="15:16" x14ac:dyDescent="0.3">
      <c r="O1916" t="s">
        <v>311</v>
      </c>
      <c r="P1916">
        <v>2024</v>
      </c>
    </row>
    <row r="1917" spans="15:16" x14ac:dyDescent="0.3">
      <c r="O1917" t="s">
        <v>375</v>
      </c>
      <c r="P1917">
        <v>2024</v>
      </c>
    </row>
    <row r="1918" spans="15:16" x14ac:dyDescent="0.3">
      <c r="O1918" t="s">
        <v>682</v>
      </c>
      <c r="P1918">
        <v>2024</v>
      </c>
    </row>
    <row r="1919" spans="15:16" x14ac:dyDescent="0.3">
      <c r="O1919" t="s">
        <v>762</v>
      </c>
      <c r="P1919">
        <v>2024</v>
      </c>
    </row>
    <row r="1920" spans="15:16" x14ac:dyDescent="0.3">
      <c r="O1920" t="s">
        <v>783</v>
      </c>
      <c r="P1920">
        <v>2024</v>
      </c>
    </row>
    <row r="1921" spans="15:16" x14ac:dyDescent="0.3">
      <c r="O1921" t="s">
        <v>513</v>
      </c>
      <c r="P1921">
        <v>2024</v>
      </c>
    </row>
    <row r="1922" spans="15:16" x14ac:dyDescent="0.3">
      <c r="O1922" t="s">
        <v>357</v>
      </c>
      <c r="P1922">
        <v>2024</v>
      </c>
    </row>
    <row r="1923" spans="15:16" x14ac:dyDescent="0.3">
      <c r="O1923" t="s">
        <v>376</v>
      </c>
      <c r="P1923">
        <v>2024</v>
      </c>
    </row>
    <row r="1924" spans="15:16" x14ac:dyDescent="0.3">
      <c r="O1924" t="s">
        <v>281</v>
      </c>
      <c r="P1924">
        <v>2024</v>
      </c>
    </row>
    <row r="1925" spans="15:16" x14ac:dyDescent="0.3">
      <c r="O1925" t="s">
        <v>453</v>
      </c>
      <c r="P1925">
        <v>2024</v>
      </c>
    </row>
    <row r="1926" spans="15:16" x14ac:dyDescent="0.3">
      <c r="O1926" t="s">
        <v>107</v>
      </c>
      <c r="P1926">
        <v>2024</v>
      </c>
    </row>
    <row r="1927" spans="15:16" x14ac:dyDescent="0.3">
      <c r="O1927" t="s">
        <v>324</v>
      </c>
      <c r="P1927">
        <v>2024</v>
      </c>
    </row>
    <row r="1928" spans="15:16" x14ac:dyDescent="0.3">
      <c r="O1928" t="s">
        <v>733</v>
      </c>
      <c r="P1928">
        <v>2024</v>
      </c>
    </row>
    <row r="1929" spans="15:16" x14ac:dyDescent="0.3">
      <c r="O1929" t="s">
        <v>779</v>
      </c>
      <c r="P1929">
        <v>2024</v>
      </c>
    </row>
    <row r="1930" spans="15:16" x14ac:dyDescent="0.3">
      <c r="O1930" t="s">
        <v>223</v>
      </c>
      <c r="P1930">
        <v>2024</v>
      </c>
    </row>
    <row r="1931" spans="15:16" x14ac:dyDescent="0.3">
      <c r="O1931" t="s">
        <v>480</v>
      </c>
      <c r="P1931">
        <v>2024</v>
      </c>
    </row>
    <row r="1932" spans="15:16" x14ac:dyDescent="0.3">
      <c r="O1932" t="s">
        <v>760</v>
      </c>
      <c r="P1932">
        <v>2024</v>
      </c>
    </row>
    <row r="1933" spans="15:16" x14ac:dyDescent="0.3">
      <c r="O1933" t="s">
        <v>199</v>
      </c>
      <c r="P1933">
        <v>2024</v>
      </c>
    </row>
    <row r="1934" spans="15:16" x14ac:dyDescent="0.3">
      <c r="O1934" t="s">
        <v>305</v>
      </c>
      <c r="P1934">
        <v>2024</v>
      </c>
    </row>
    <row r="1935" spans="15:16" x14ac:dyDescent="0.3">
      <c r="O1935" t="s">
        <v>355</v>
      </c>
      <c r="P1935">
        <v>2024</v>
      </c>
    </row>
    <row r="1936" spans="15:16" x14ac:dyDescent="0.3">
      <c r="O1936" t="s">
        <v>72</v>
      </c>
      <c r="P1936">
        <v>2024</v>
      </c>
    </row>
    <row r="1937" spans="15:16" x14ac:dyDescent="0.3">
      <c r="O1937" t="s">
        <v>549</v>
      </c>
      <c r="P1937">
        <v>2024</v>
      </c>
    </row>
    <row r="1938" spans="15:16" x14ac:dyDescent="0.3">
      <c r="O1938" t="s">
        <v>641</v>
      </c>
      <c r="P1938">
        <v>2024</v>
      </c>
    </row>
    <row r="1939" spans="15:16" x14ac:dyDescent="0.3">
      <c r="O1939" t="s">
        <v>8</v>
      </c>
      <c r="P1939">
        <v>2024</v>
      </c>
    </row>
    <row r="1940" spans="15:16" x14ac:dyDescent="0.3">
      <c r="O1940" t="s">
        <v>572</v>
      </c>
      <c r="P1940">
        <v>2024</v>
      </c>
    </row>
    <row r="1941" spans="15:16" x14ac:dyDescent="0.3">
      <c r="O1941" t="s">
        <v>498</v>
      </c>
      <c r="P1941">
        <v>2024</v>
      </c>
    </row>
    <row r="1942" spans="15:16" x14ac:dyDescent="0.3">
      <c r="O1942" t="s">
        <v>667</v>
      </c>
      <c r="P1942">
        <v>2024</v>
      </c>
    </row>
    <row r="1943" spans="15:16" x14ac:dyDescent="0.3">
      <c r="O1943" t="s">
        <v>857</v>
      </c>
      <c r="P1943">
        <v>2024</v>
      </c>
    </row>
    <row r="1944" spans="15:16" x14ac:dyDescent="0.3">
      <c r="O1944" t="s">
        <v>214</v>
      </c>
      <c r="P1944">
        <v>2024</v>
      </c>
    </row>
    <row r="1945" spans="15:16" x14ac:dyDescent="0.3">
      <c r="O1945" t="s">
        <v>634</v>
      </c>
      <c r="P1945">
        <v>2024</v>
      </c>
    </row>
    <row r="1946" spans="15:16" x14ac:dyDescent="0.3">
      <c r="O1946" t="s">
        <v>731</v>
      </c>
      <c r="P1946">
        <v>2024</v>
      </c>
    </row>
    <row r="1947" spans="15:16" x14ac:dyDescent="0.3">
      <c r="O1947" t="s">
        <v>812</v>
      </c>
      <c r="P1947">
        <v>2024</v>
      </c>
    </row>
    <row r="1948" spans="15:16" x14ac:dyDescent="0.3">
      <c r="O1948" t="s">
        <v>660</v>
      </c>
      <c r="P1948">
        <v>2024</v>
      </c>
    </row>
    <row r="1949" spans="15:16" x14ac:dyDescent="0.3">
      <c r="O1949" t="s">
        <v>561</v>
      </c>
      <c r="P1949">
        <v>2024</v>
      </c>
    </row>
    <row r="1950" spans="15:16" x14ac:dyDescent="0.3">
      <c r="O1950" t="s">
        <v>741</v>
      </c>
      <c r="P1950">
        <v>2024</v>
      </c>
    </row>
    <row r="1951" spans="15:16" x14ac:dyDescent="0.3">
      <c r="O1951" t="s">
        <v>617</v>
      </c>
      <c r="P1951">
        <v>2024</v>
      </c>
    </row>
    <row r="1952" spans="15:16" x14ac:dyDescent="0.3">
      <c r="O1952" t="s">
        <v>828</v>
      </c>
      <c r="P1952">
        <v>2024</v>
      </c>
    </row>
    <row r="1953" spans="15:16" x14ac:dyDescent="0.3">
      <c r="O1953" t="s">
        <v>436</v>
      </c>
      <c r="P1953">
        <v>2024</v>
      </c>
    </row>
    <row r="1954" spans="15:16" x14ac:dyDescent="0.3">
      <c r="O1954" t="s">
        <v>672</v>
      </c>
      <c r="P1954">
        <v>2024</v>
      </c>
    </row>
    <row r="1955" spans="15:16" x14ac:dyDescent="0.3">
      <c r="O1955" t="s">
        <v>579</v>
      </c>
      <c r="P1955">
        <v>2024</v>
      </c>
    </row>
    <row r="1956" spans="15:16" x14ac:dyDescent="0.3">
      <c r="O1956" t="s">
        <v>568</v>
      </c>
      <c r="P1956">
        <v>2024</v>
      </c>
    </row>
    <row r="1957" spans="15:16" x14ac:dyDescent="0.3">
      <c r="O1957" t="s">
        <v>728</v>
      </c>
      <c r="P1957">
        <v>2024</v>
      </c>
    </row>
    <row r="1958" spans="15:16" x14ac:dyDescent="0.3">
      <c r="O1958" t="s">
        <v>231</v>
      </c>
      <c r="P1958">
        <v>2024</v>
      </c>
    </row>
    <row r="1959" spans="15:16" x14ac:dyDescent="0.3">
      <c r="O1959" t="s">
        <v>366</v>
      </c>
      <c r="P1959">
        <v>2024</v>
      </c>
    </row>
    <row r="1960" spans="15:16" x14ac:dyDescent="0.3">
      <c r="O1960" t="s">
        <v>187</v>
      </c>
      <c r="P1960">
        <v>2024</v>
      </c>
    </row>
    <row r="1961" spans="15:16" x14ac:dyDescent="0.3">
      <c r="O1961" t="s">
        <v>616</v>
      </c>
      <c r="P1961">
        <v>2024</v>
      </c>
    </row>
    <row r="1962" spans="15:16" x14ac:dyDescent="0.3">
      <c r="O1962" t="s">
        <v>503</v>
      </c>
      <c r="P1962">
        <v>2024</v>
      </c>
    </row>
    <row r="1963" spans="15:16" x14ac:dyDescent="0.3">
      <c r="O1963" t="s">
        <v>571</v>
      </c>
      <c r="P1963">
        <v>2024</v>
      </c>
    </row>
    <row r="1964" spans="15:16" x14ac:dyDescent="0.3">
      <c r="O1964" t="s">
        <v>206</v>
      </c>
      <c r="P1964">
        <v>2024</v>
      </c>
    </row>
    <row r="1965" spans="15:16" x14ac:dyDescent="0.3">
      <c r="O1965" t="s">
        <v>794</v>
      </c>
      <c r="P1965">
        <v>2024</v>
      </c>
    </row>
    <row r="1966" spans="15:16" x14ac:dyDescent="0.3">
      <c r="O1966" t="s">
        <v>807</v>
      </c>
      <c r="P1966">
        <v>2024</v>
      </c>
    </row>
    <row r="1967" spans="15:16" x14ac:dyDescent="0.3">
      <c r="O1967" t="s">
        <v>784</v>
      </c>
      <c r="P1967">
        <v>2024</v>
      </c>
    </row>
    <row r="1968" spans="15:16" x14ac:dyDescent="0.3">
      <c r="O1968" t="s">
        <v>196</v>
      </c>
      <c r="P1968">
        <v>2024</v>
      </c>
    </row>
    <row r="1969" spans="15:16" x14ac:dyDescent="0.3">
      <c r="O1969" t="s">
        <v>466</v>
      </c>
      <c r="P1969">
        <v>2024</v>
      </c>
    </row>
    <row r="1970" spans="15:16" x14ac:dyDescent="0.3">
      <c r="O1970" t="s">
        <v>200</v>
      </c>
      <c r="P1970">
        <v>2024</v>
      </c>
    </row>
    <row r="1971" spans="15:16" x14ac:dyDescent="0.3">
      <c r="O1971" t="s">
        <v>412</v>
      </c>
      <c r="P1971">
        <v>2024</v>
      </c>
    </row>
    <row r="1972" spans="15:16" x14ac:dyDescent="0.3">
      <c r="O1972" t="s">
        <v>602</v>
      </c>
      <c r="P1972">
        <v>2024</v>
      </c>
    </row>
    <row r="1973" spans="15:16" x14ac:dyDescent="0.3">
      <c r="O1973" t="s">
        <v>120</v>
      </c>
      <c r="P1973">
        <v>2024</v>
      </c>
    </row>
    <row r="1974" spans="15:16" x14ac:dyDescent="0.3">
      <c r="O1974" t="s">
        <v>747</v>
      </c>
      <c r="P1974">
        <v>2024</v>
      </c>
    </row>
    <row r="1975" spans="15:16" x14ac:dyDescent="0.3">
      <c r="O1975" t="s">
        <v>748</v>
      </c>
      <c r="P1975">
        <v>2024</v>
      </c>
    </row>
    <row r="1976" spans="15:16" x14ac:dyDescent="0.3">
      <c r="O1976" t="s">
        <v>395</v>
      </c>
      <c r="P1976">
        <v>2024</v>
      </c>
    </row>
    <row r="1977" spans="15:16" x14ac:dyDescent="0.3">
      <c r="O1977" t="s">
        <v>853</v>
      </c>
      <c r="P1977">
        <v>2024</v>
      </c>
    </row>
    <row r="1978" spans="15:16" x14ac:dyDescent="0.3">
      <c r="O1978" t="s">
        <v>720</v>
      </c>
      <c r="P1978">
        <v>2024</v>
      </c>
    </row>
    <row r="1979" spans="15:16" x14ac:dyDescent="0.3">
      <c r="O1979" t="s">
        <v>124</v>
      </c>
      <c r="P1979">
        <v>2024</v>
      </c>
    </row>
    <row r="1980" spans="15:16" x14ac:dyDescent="0.3">
      <c r="O1980" t="s">
        <v>497</v>
      </c>
      <c r="P1980">
        <v>2024</v>
      </c>
    </row>
    <row r="1981" spans="15:16" x14ac:dyDescent="0.3">
      <c r="O1981" t="s">
        <v>526</v>
      </c>
      <c r="P1981">
        <v>2024</v>
      </c>
    </row>
    <row r="1982" spans="15:16" x14ac:dyDescent="0.3">
      <c r="O1982" t="s">
        <v>599</v>
      </c>
      <c r="P1982">
        <v>2024</v>
      </c>
    </row>
    <row r="1983" spans="15:16" x14ac:dyDescent="0.3">
      <c r="O1983" t="s">
        <v>724</v>
      </c>
      <c r="P1983">
        <v>2024</v>
      </c>
    </row>
    <row r="1984" spans="15:16" x14ac:dyDescent="0.3">
      <c r="O1984" t="s">
        <v>42</v>
      </c>
      <c r="P1984">
        <v>2024</v>
      </c>
    </row>
    <row r="1985" spans="15:16" x14ac:dyDescent="0.3">
      <c r="O1985" t="s">
        <v>103</v>
      </c>
      <c r="P1985">
        <v>2024</v>
      </c>
    </row>
    <row r="1986" spans="15:16" x14ac:dyDescent="0.3">
      <c r="O1986" t="s">
        <v>505</v>
      </c>
      <c r="P1986">
        <v>2024</v>
      </c>
    </row>
    <row r="1987" spans="15:16" x14ac:dyDescent="0.3">
      <c r="O1987" t="s">
        <v>493</v>
      </c>
      <c r="P1987">
        <v>2024</v>
      </c>
    </row>
    <row r="1988" spans="15:16" x14ac:dyDescent="0.3">
      <c r="O1988" t="s">
        <v>98</v>
      </c>
      <c r="P1988">
        <v>2024</v>
      </c>
    </row>
    <row r="1989" spans="15:16" x14ac:dyDescent="0.3">
      <c r="O1989" t="s">
        <v>378</v>
      </c>
      <c r="P1989">
        <v>2024</v>
      </c>
    </row>
    <row r="1990" spans="15:16" x14ac:dyDescent="0.3">
      <c r="O1990" t="s">
        <v>237</v>
      </c>
      <c r="P1990">
        <v>2024</v>
      </c>
    </row>
    <row r="1991" spans="15:16" x14ac:dyDescent="0.3">
      <c r="O1991" t="s">
        <v>269</v>
      </c>
      <c r="P1991">
        <v>2024</v>
      </c>
    </row>
    <row r="1992" spans="15:16" x14ac:dyDescent="0.3">
      <c r="O1992" t="s">
        <v>838</v>
      </c>
      <c r="P1992">
        <v>2024</v>
      </c>
    </row>
    <row r="1993" spans="15:16" x14ac:dyDescent="0.3">
      <c r="O1993" t="s">
        <v>216</v>
      </c>
      <c r="P1993">
        <v>2024</v>
      </c>
    </row>
    <row r="1994" spans="15:16" x14ac:dyDescent="0.3">
      <c r="O1994" t="s">
        <v>808</v>
      </c>
      <c r="P1994">
        <v>2024</v>
      </c>
    </row>
    <row r="1995" spans="15:16" x14ac:dyDescent="0.3">
      <c r="O1995" t="s">
        <v>532</v>
      </c>
      <c r="P1995">
        <v>2024</v>
      </c>
    </row>
    <row r="1996" spans="15:16" x14ac:dyDescent="0.3">
      <c r="O1996" t="s">
        <v>646</v>
      </c>
      <c r="P1996">
        <v>2024</v>
      </c>
    </row>
    <row r="1997" spans="15:16" x14ac:dyDescent="0.3">
      <c r="O1997" t="s">
        <v>186</v>
      </c>
      <c r="P1997">
        <v>2024</v>
      </c>
    </row>
    <row r="1998" spans="15:16" x14ac:dyDescent="0.3">
      <c r="O1998" t="s">
        <v>767</v>
      </c>
      <c r="P1998">
        <v>2024</v>
      </c>
    </row>
    <row r="1999" spans="15:16" x14ac:dyDescent="0.3">
      <c r="O1999" t="s">
        <v>819</v>
      </c>
      <c r="P1999">
        <v>2024</v>
      </c>
    </row>
    <row r="2000" spans="15:16" x14ac:dyDescent="0.3">
      <c r="O2000" t="s">
        <v>359</v>
      </c>
      <c r="P2000">
        <v>2024</v>
      </c>
    </row>
    <row r="2001" spans="15:16" x14ac:dyDescent="0.3">
      <c r="O2001" t="s">
        <v>607</v>
      </c>
      <c r="P2001">
        <v>2024</v>
      </c>
    </row>
    <row r="2002" spans="15:16" x14ac:dyDescent="0.3">
      <c r="O2002" t="s">
        <v>476</v>
      </c>
      <c r="P2002">
        <v>2024</v>
      </c>
    </row>
    <row r="2003" spans="15:16" x14ac:dyDescent="0.3">
      <c r="O2003" t="s">
        <v>164</v>
      </c>
      <c r="P2003">
        <v>2024</v>
      </c>
    </row>
    <row r="2004" spans="15:16" x14ac:dyDescent="0.3">
      <c r="O2004" t="s">
        <v>586</v>
      </c>
      <c r="P2004">
        <v>2024</v>
      </c>
    </row>
    <row r="2005" spans="15:16" x14ac:dyDescent="0.3">
      <c r="O2005" t="s">
        <v>129</v>
      </c>
      <c r="P2005">
        <v>2024</v>
      </c>
    </row>
    <row r="2006" spans="15:16" x14ac:dyDescent="0.3">
      <c r="O2006" t="s">
        <v>152</v>
      </c>
      <c r="P2006">
        <v>2024</v>
      </c>
    </row>
    <row r="2007" spans="15:16" x14ac:dyDescent="0.3">
      <c r="O2007" t="s">
        <v>787</v>
      </c>
      <c r="P2007">
        <v>2024</v>
      </c>
    </row>
    <row r="2008" spans="15:16" x14ac:dyDescent="0.3">
      <c r="O2008" t="s">
        <v>858</v>
      </c>
      <c r="P2008">
        <v>2024</v>
      </c>
    </row>
    <row r="2009" spans="15:16" x14ac:dyDescent="0.3">
      <c r="O2009" t="s">
        <v>800</v>
      </c>
      <c r="P2009">
        <v>2024</v>
      </c>
    </row>
    <row r="2010" spans="15:16" x14ac:dyDescent="0.3">
      <c r="O2010" t="s">
        <v>319</v>
      </c>
      <c r="P2010">
        <v>2024</v>
      </c>
    </row>
    <row r="2011" spans="15:16" x14ac:dyDescent="0.3">
      <c r="O2011" t="s">
        <v>265</v>
      </c>
      <c r="P2011">
        <v>2024</v>
      </c>
    </row>
    <row r="2012" spans="15:16" x14ac:dyDescent="0.3">
      <c r="O2012" t="s">
        <v>721</v>
      </c>
      <c r="P2012">
        <v>2024</v>
      </c>
    </row>
    <row r="2013" spans="15:16" x14ac:dyDescent="0.3">
      <c r="O2013" t="s">
        <v>714</v>
      </c>
      <c r="P2013">
        <v>2024</v>
      </c>
    </row>
    <row r="2014" spans="15:16" x14ac:dyDescent="0.3">
      <c r="O2014" t="s">
        <v>86</v>
      </c>
      <c r="P2014">
        <v>2024</v>
      </c>
    </row>
    <row r="2015" spans="15:16" x14ac:dyDescent="0.3">
      <c r="O2015" t="s">
        <v>598</v>
      </c>
      <c r="P2015">
        <v>2024</v>
      </c>
    </row>
    <row r="2016" spans="15:16" x14ac:dyDescent="0.3">
      <c r="O2016" t="s">
        <v>859</v>
      </c>
      <c r="P2016">
        <v>2024</v>
      </c>
    </row>
    <row r="2017" spans="15:16" x14ac:dyDescent="0.3">
      <c r="O2017" t="s">
        <v>725</v>
      </c>
      <c r="P2017">
        <v>2024</v>
      </c>
    </row>
    <row r="2018" spans="15:16" x14ac:dyDescent="0.3">
      <c r="O2018" t="s">
        <v>24</v>
      </c>
      <c r="P2018">
        <v>2024</v>
      </c>
    </row>
    <row r="2019" spans="15:16" x14ac:dyDescent="0.3">
      <c r="O2019" t="s">
        <v>63</v>
      </c>
      <c r="P2019">
        <v>2024</v>
      </c>
    </row>
    <row r="2020" spans="15:16" x14ac:dyDescent="0.3">
      <c r="O2020" t="s">
        <v>585</v>
      </c>
      <c r="P2020">
        <v>2024</v>
      </c>
    </row>
    <row r="2021" spans="15:16" x14ac:dyDescent="0.3">
      <c r="O2021" t="s">
        <v>235</v>
      </c>
      <c r="P2021">
        <v>2024</v>
      </c>
    </row>
    <row r="2022" spans="15:16" x14ac:dyDescent="0.3">
      <c r="O2022" t="s">
        <v>698</v>
      </c>
      <c r="P2022">
        <v>2024</v>
      </c>
    </row>
    <row r="2023" spans="15:16" x14ac:dyDescent="0.3">
      <c r="O2023" t="s">
        <v>516</v>
      </c>
      <c r="P2023">
        <v>2024</v>
      </c>
    </row>
    <row r="2024" spans="15:16" x14ac:dyDescent="0.3">
      <c r="O2024" t="s">
        <v>545</v>
      </c>
      <c r="P2024">
        <v>2024</v>
      </c>
    </row>
    <row r="2025" spans="15:16" x14ac:dyDescent="0.3">
      <c r="O2025" t="s">
        <v>782</v>
      </c>
      <c r="P2025">
        <v>2024</v>
      </c>
    </row>
    <row r="2026" spans="15:16" x14ac:dyDescent="0.3">
      <c r="O2026" t="s">
        <v>529</v>
      </c>
      <c r="P2026">
        <v>2024</v>
      </c>
    </row>
    <row r="2027" spans="15:16" x14ac:dyDescent="0.3">
      <c r="O2027" t="s">
        <v>194</v>
      </c>
      <c r="P2027">
        <v>2024</v>
      </c>
    </row>
    <row r="2028" spans="15:16" x14ac:dyDescent="0.3">
      <c r="O2028" t="s">
        <v>489</v>
      </c>
      <c r="P2028">
        <v>2024</v>
      </c>
    </row>
    <row r="2029" spans="15:16" x14ac:dyDescent="0.3">
      <c r="O2029" t="s">
        <v>494</v>
      </c>
      <c r="P2029">
        <v>2024</v>
      </c>
    </row>
    <row r="2030" spans="15:16" x14ac:dyDescent="0.3">
      <c r="O2030" t="s">
        <v>459</v>
      </c>
      <c r="P2030">
        <v>2024</v>
      </c>
    </row>
    <row r="2031" spans="15:16" x14ac:dyDescent="0.3">
      <c r="O2031" t="s">
        <v>386</v>
      </c>
      <c r="P2031">
        <v>2024</v>
      </c>
    </row>
    <row r="2032" spans="15:16" x14ac:dyDescent="0.3">
      <c r="O2032" t="s">
        <v>96</v>
      </c>
      <c r="P2032">
        <v>2024</v>
      </c>
    </row>
    <row r="2033" spans="15:16" x14ac:dyDescent="0.3">
      <c r="O2033" t="s">
        <v>233</v>
      </c>
      <c r="P2033">
        <v>2024</v>
      </c>
    </row>
    <row r="2034" spans="15:16" x14ac:dyDescent="0.3">
      <c r="O2034" t="s">
        <v>601</v>
      </c>
      <c r="P2034">
        <v>2024</v>
      </c>
    </row>
    <row r="2035" spans="15:16" x14ac:dyDescent="0.3">
      <c r="O2035" t="s">
        <v>610</v>
      </c>
      <c r="P2035">
        <v>2024</v>
      </c>
    </row>
    <row r="2036" spans="15:16" x14ac:dyDescent="0.3">
      <c r="O2036" t="s">
        <v>668</v>
      </c>
      <c r="P2036">
        <v>2024</v>
      </c>
    </row>
    <row r="2037" spans="15:16" x14ac:dyDescent="0.3">
      <c r="O2037" t="s">
        <v>239</v>
      </c>
      <c r="P2037">
        <v>2024</v>
      </c>
    </row>
    <row r="2038" spans="15:16" x14ac:dyDescent="0.3">
      <c r="O2038" t="s">
        <v>552</v>
      </c>
      <c r="P2038">
        <v>2024</v>
      </c>
    </row>
    <row r="2039" spans="15:16" x14ac:dyDescent="0.3">
      <c r="O2039" t="s">
        <v>468</v>
      </c>
      <c r="P2039">
        <v>2024</v>
      </c>
    </row>
    <row r="2040" spans="15:16" x14ac:dyDescent="0.3">
      <c r="O2040" t="s">
        <v>844</v>
      </c>
      <c r="P2040">
        <v>2024</v>
      </c>
    </row>
    <row r="2041" spans="15:16" x14ac:dyDescent="0.3">
      <c r="O2041" t="s">
        <v>415</v>
      </c>
      <c r="P2041">
        <v>2024</v>
      </c>
    </row>
    <row r="2042" spans="15:16" x14ac:dyDescent="0.3">
      <c r="O2042" t="s">
        <v>502</v>
      </c>
      <c r="P2042">
        <v>2024</v>
      </c>
    </row>
    <row r="2043" spans="15:16" x14ac:dyDescent="0.3">
      <c r="O2043" t="s">
        <v>563</v>
      </c>
      <c r="P2043">
        <v>2024</v>
      </c>
    </row>
    <row r="2044" spans="15:16" x14ac:dyDescent="0.3">
      <c r="O2044" t="s">
        <v>371</v>
      </c>
      <c r="P2044">
        <v>2024</v>
      </c>
    </row>
    <row r="2045" spans="15:16" x14ac:dyDescent="0.3">
      <c r="O2045" t="s">
        <v>770</v>
      </c>
      <c r="P2045">
        <v>2024</v>
      </c>
    </row>
    <row r="2046" spans="15:16" x14ac:dyDescent="0.3">
      <c r="O2046" t="s">
        <v>387</v>
      </c>
      <c r="P2046">
        <v>2024</v>
      </c>
    </row>
    <row r="2047" spans="15:16" x14ac:dyDescent="0.3">
      <c r="O2047" t="s">
        <v>550</v>
      </c>
      <c r="P2047">
        <v>2024</v>
      </c>
    </row>
    <row r="2048" spans="15:16" x14ac:dyDescent="0.3">
      <c r="O2048" t="s">
        <v>517</v>
      </c>
      <c r="P2048">
        <v>2024</v>
      </c>
    </row>
    <row r="2049" spans="15:16" x14ac:dyDescent="0.3">
      <c r="O2049" t="s">
        <v>860</v>
      </c>
      <c r="P2049">
        <v>2024</v>
      </c>
    </row>
    <row r="2050" spans="15:16" x14ac:dyDescent="0.3">
      <c r="O2050" t="s">
        <v>596</v>
      </c>
      <c r="P2050">
        <v>2024</v>
      </c>
    </row>
    <row r="2051" spans="15:16" x14ac:dyDescent="0.3">
      <c r="O2051" t="s">
        <v>272</v>
      </c>
      <c r="P2051">
        <v>2024</v>
      </c>
    </row>
    <row r="2052" spans="15:16" x14ac:dyDescent="0.3">
      <c r="O2052" t="s">
        <v>470</v>
      </c>
      <c r="P2052">
        <v>2024</v>
      </c>
    </row>
    <row r="2053" spans="15:16" x14ac:dyDescent="0.3">
      <c r="O2053" t="s">
        <v>147</v>
      </c>
      <c r="P2053">
        <v>2024</v>
      </c>
    </row>
    <row r="2054" spans="15:16" x14ac:dyDescent="0.3">
      <c r="O2054" t="s">
        <v>372</v>
      </c>
      <c r="P2054">
        <v>2024</v>
      </c>
    </row>
    <row r="2055" spans="15:16" x14ac:dyDescent="0.3">
      <c r="O2055" t="s">
        <v>773</v>
      </c>
      <c r="P2055">
        <v>2024</v>
      </c>
    </row>
    <row r="2056" spans="15:16" x14ac:dyDescent="0.3">
      <c r="O2056" t="s">
        <v>722</v>
      </c>
      <c r="P2056">
        <v>2024</v>
      </c>
    </row>
    <row r="2057" spans="15:16" x14ac:dyDescent="0.3">
      <c r="O2057" t="s">
        <v>342</v>
      </c>
      <c r="P2057">
        <v>2024</v>
      </c>
    </row>
    <row r="2058" spans="15:16" x14ac:dyDescent="0.3">
      <c r="O2058" t="s">
        <v>670</v>
      </c>
      <c r="P2058">
        <v>2024</v>
      </c>
    </row>
    <row r="2059" spans="15:16" x14ac:dyDescent="0.3">
      <c r="O2059" t="s">
        <v>752</v>
      </c>
      <c r="P2059">
        <v>2024</v>
      </c>
    </row>
    <row r="2060" spans="15:16" x14ac:dyDescent="0.3">
      <c r="O2060" t="s">
        <v>419</v>
      </c>
      <c r="P2060">
        <v>2024</v>
      </c>
    </row>
    <row r="2061" spans="15:16" x14ac:dyDescent="0.3">
      <c r="O2061" t="s">
        <v>380</v>
      </c>
      <c r="P2061">
        <v>2024</v>
      </c>
    </row>
    <row r="2062" spans="15:16" x14ac:dyDescent="0.3">
      <c r="O2062" t="s">
        <v>247</v>
      </c>
      <c r="P2062">
        <v>2024</v>
      </c>
    </row>
    <row r="2063" spans="15:16" x14ac:dyDescent="0.3">
      <c r="O2063" t="s">
        <v>584</v>
      </c>
      <c r="P2063">
        <v>2024</v>
      </c>
    </row>
    <row r="2064" spans="15:16" x14ac:dyDescent="0.3">
      <c r="O2064" t="s">
        <v>338</v>
      </c>
      <c r="P2064">
        <v>2024</v>
      </c>
    </row>
    <row r="2065" spans="15:16" x14ac:dyDescent="0.3">
      <c r="O2065" t="s">
        <v>69</v>
      </c>
      <c r="P2065">
        <v>2024</v>
      </c>
    </row>
    <row r="2066" spans="15:16" x14ac:dyDescent="0.3">
      <c r="O2066" t="s">
        <v>557</v>
      </c>
      <c r="P2066">
        <v>2024</v>
      </c>
    </row>
    <row r="2067" spans="15:16" x14ac:dyDescent="0.3">
      <c r="O2067" t="s">
        <v>575</v>
      </c>
      <c r="P2067">
        <v>2024</v>
      </c>
    </row>
    <row r="2068" spans="15:16" x14ac:dyDescent="0.3">
      <c r="O2068" t="s">
        <v>332</v>
      </c>
      <c r="P2068">
        <v>2024</v>
      </c>
    </row>
    <row r="2069" spans="15:16" x14ac:dyDescent="0.3">
      <c r="O2069" t="s">
        <v>687</v>
      </c>
      <c r="P2069">
        <v>2024</v>
      </c>
    </row>
    <row r="2070" spans="15:16" x14ac:dyDescent="0.3">
      <c r="O2070" t="s">
        <v>690</v>
      </c>
      <c r="P2070">
        <v>2024</v>
      </c>
    </row>
    <row r="2071" spans="15:16" x14ac:dyDescent="0.3">
      <c r="O2071" t="s">
        <v>320</v>
      </c>
      <c r="P2071">
        <v>2024</v>
      </c>
    </row>
    <row r="2072" spans="15:16" x14ac:dyDescent="0.3">
      <c r="O2072" t="s">
        <v>157</v>
      </c>
      <c r="P2072">
        <v>2024</v>
      </c>
    </row>
    <row r="2073" spans="15:16" x14ac:dyDescent="0.3">
      <c r="O2073" t="s">
        <v>322</v>
      </c>
      <c r="P2073">
        <v>2024</v>
      </c>
    </row>
    <row r="2074" spans="15:16" x14ac:dyDescent="0.3">
      <c r="O2074" t="s">
        <v>761</v>
      </c>
      <c r="P2074">
        <v>2024</v>
      </c>
    </row>
    <row r="2075" spans="15:16" x14ac:dyDescent="0.3">
      <c r="O2075" t="s">
        <v>677</v>
      </c>
      <c r="P2075">
        <v>2024</v>
      </c>
    </row>
    <row r="2076" spans="15:16" x14ac:dyDescent="0.3">
      <c r="O2076" t="s">
        <v>744</v>
      </c>
      <c r="P2076">
        <v>2024</v>
      </c>
    </row>
    <row r="2077" spans="15:16" x14ac:dyDescent="0.3">
      <c r="O2077" t="s">
        <v>443</v>
      </c>
      <c r="P2077">
        <v>2024</v>
      </c>
    </row>
    <row r="2078" spans="15:16" x14ac:dyDescent="0.3">
      <c r="O2078" t="s">
        <v>285</v>
      </c>
      <c r="P2078">
        <v>2024</v>
      </c>
    </row>
    <row r="2079" spans="15:16" x14ac:dyDescent="0.3">
      <c r="O2079" t="s">
        <v>750</v>
      </c>
      <c r="P2079">
        <v>2024</v>
      </c>
    </row>
    <row r="2080" spans="15:16" x14ac:dyDescent="0.3">
      <c r="O2080" t="s">
        <v>621</v>
      </c>
      <c r="P2080">
        <v>2024</v>
      </c>
    </row>
    <row r="2081" spans="15:16" x14ac:dyDescent="0.3">
      <c r="O2081" t="s">
        <v>763</v>
      </c>
      <c r="P2081">
        <v>2024</v>
      </c>
    </row>
    <row r="2082" spans="15:16" x14ac:dyDescent="0.3">
      <c r="O2082" t="s">
        <v>737</v>
      </c>
      <c r="P2082">
        <v>2024</v>
      </c>
    </row>
    <row r="2083" spans="15:16" x14ac:dyDescent="0.3">
      <c r="O2083" t="s">
        <v>854</v>
      </c>
      <c r="P2083">
        <v>2024</v>
      </c>
    </row>
    <row r="2084" spans="15:16" x14ac:dyDescent="0.3">
      <c r="O2084" t="s">
        <v>645</v>
      </c>
      <c r="P2084">
        <v>2024</v>
      </c>
    </row>
    <row r="2085" spans="15:16" x14ac:dyDescent="0.3">
      <c r="O2085" t="s">
        <v>276</v>
      </c>
      <c r="P2085">
        <v>2024</v>
      </c>
    </row>
    <row r="2086" spans="15:16" x14ac:dyDescent="0.3">
      <c r="O2086" t="s">
        <v>551</v>
      </c>
      <c r="P2086">
        <v>2024</v>
      </c>
    </row>
    <row r="2087" spans="15:16" x14ac:dyDescent="0.3">
      <c r="O2087" t="s">
        <v>745</v>
      </c>
      <c r="P2087">
        <v>2024</v>
      </c>
    </row>
    <row r="2088" spans="15:16" x14ac:dyDescent="0.3">
      <c r="O2088" t="s">
        <v>162</v>
      </c>
      <c r="P2088">
        <v>2024</v>
      </c>
    </row>
    <row r="2089" spans="15:16" x14ac:dyDescent="0.3">
      <c r="O2089" t="s">
        <v>141</v>
      </c>
      <c r="P2089">
        <v>2024</v>
      </c>
    </row>
    <row r="2090" spans="15:16" x14ac:dyDescent="0.3">
      <c r="O2090" t="s">
        <v>817</v>
      </c>
      <c r="P2090">
        <v>2024</v>
      </c>
    </row>
    <row r="2091" spans="15:16" x14ac:dyDescent="0.3">
      <c r="O2091" t="s">
        <v>795</v>
      </c>
      <c r="P2091">
        <v>2024</v>
      </c>
    </row>
    <row r="2092" spans="15:16" x14ac:dyDescent="0.3">
      <c r="O2092" t="s">
        <v>17</v>
      </c>
      <c r="P2092">
        <v>2024</v>
      </c>
    </row>
    <row r="2093" spans="15:16" x14ac:dyDescent="0.3">
      <c r="O2093" t="s">
        <v>491</v>
      </c>
      <c r="P2093">
        <v>2024</v>
      </c>
    </row>
    <row r="2094" spans="15:16" x14ac:dyDescent="0.3">
      <c r="O2094" t="s">
        <v>67</v>
      </c>
      <c r="P2094">
        <v>2024</v>
      </c>
    </row>
    <row r="2095" spans="15:16" x14ac:dyDescent="0.3">
      <c r="O2095" t="s">
        <v>628</v>
      </c>
      <c r="P2095">
        <v>2024</v>
      </c>
    </row>
    <row r="2096" spans="15:16" x14ac:dyDescent="0.3">
      <c r="O2096" t="s">
        <v>842</v>
      </c>
      <c r="P2096">
        <v>2024</v>
      </c>
    </row>
    <row r="2097" spans="15:16" x14ac:dyDescent="0.3">
      <c r="O2097" t="s">
        <v>428</v>
      </c>
      <c r="P2097">
        <v>2024</v>
      </c>
    </row>
    <row r="2098" spans="15:16" x14ac:dyDescent="0.3">
      <c r="O2098" t="s">
        <v>286</v>
      </c>
      <c r="P2098">
        <v>2024</v>
      </c>
    </row>
    <row r="2099" spans="15:16" x14ac:dyDescent="0.3">
      <c r="O2099" t="s">
        <v>125</v>
      </c>
      <c r="P2099">
        <v>2024</v>
      </c>
    </row>
    <row r="2100" spans="15:16" x14ac:dyDescent="0.3">
      <c r="O2100" t="s">
        <v>803</v>
      </c>
      <c r="P2100">
        <v>2024</v>
      </c>
    </row>
    <row r="2101" spans="15:16" x14ac:dyDescent="0.3">
      <c r="O2101" t="s">
        <v>144</v>
      </c>
      <c r="P2101">
        <v>2024</v>
      </c>
    </row>
    <row r="2102" spans="15:16" x14ac:dyDescent="0.3">
      <c r="O2102" t="s">
        <v>603</v>
      </c>
      <c r="P2102">
        <v>2024</v>
      </c>
    </row>
    <row r="2103" spans="15:16" x14ac:dyDescent="0.3">
      <c r="O2103" t="s">
        <v>758</v>
      </c>
      <c r="P2103">
        <v>2024</v>
      </c>
    </row>
    <row r="2104" spans="15:16" x14ac:dyDescent="0.3">
      <c r="O2104" t="s">
        <v>471</v>
      </c>
      <c r="P2104">
        <v>2024</v>
      </c>
    </row>
    <row r="2105" spans="15:16" x14ac:dyDescent="0.3">
      <c r="O2105" t="s">
        <v>396</v>
      </c>
      <c r="P2105">
        <v>2024</v>
      </c>
    </row>
    <row r="2106" spans="15:16" x14ac:dyDescent="0.3">
      <c r="O2106" t="s">
        <v>385</v>
      </c>
      <c r="P2106">
        <v>2024</v>
      </c>
    </row>
    <row r="2107" spans="15:16" x14ac:dyDescent="0.3">
      <c r="O2107" t="s">
        <v>623</v>
      </c>
      <c r="P2107">
        <v>2024</v>
      </c>
    </row>
    <row r="2108" spans="15:16" x14ac:dyDescent="0.3">
      <c r="O2108" t="s">
        <v>177</v>
      </c>
      <c r="P2108">
        <v>2024</v>
      </c>
    </row>
    <row r="2109" spans="15:16" x14ac:dyDescent="0.3">
      <c r="O2109" t="s">
        <v>576</v>
      </c>
      <c r="P2109">
        <v>2024</v>
      </c>
    </row>
    <row r="2110" spans="15:16" x14ac:dyDescent="0.3">
      <c r="O2110" t="s">
        <v>647</v>
      </c>
      <c r="P2110">
        <v>2024</v>
      </c>
    </row>
    <row r="2111" spans="15:16" x14ac:dyDescent="0.3">
      <c r="O2111" t="s">
        <v>232</v>
      </c>
      <c r="P2111">
        <v>2024</v>
      </c>
    </row>
    <row r="2112" spans="15:16" x14ac:dyDescent="0.3">
      <c r="O2112" t="s">
        <v>463</v>
      </c>
      <c r="P2112">
        <v>2024</v>
      </c>
    </row>
    <row r="2113" spans="15:16" x14ac:dyDescent="0.3">
      <c r="O2113" t="s">
        <v>608</v>
      </c>
      <c r="P2113">
        <v>2024</v>
      </c>
    </row>
    <row r="2114" spans="15:16" x14ac:dyDescent="0.3">
      <c r="O2114" t="s">
        <v>454</v>
      </c>
      <c r="P2114">
        <v>2024</v>
      </c>
    </row>
    <row r="2115" spans="15:16" x14ac:dyDescent="0.3">
      <c r="O2115" t="s">
        <v>234</v>
      </c>
      <c r="P2115">
        <v>2024</v>
      </c>
    </row>
    <row r="2116" spans="15:16" x14ac:dyDescent="0.3">
      <c r="O2116" t="s">
        <v>531</v>
      </c>
      <c r="P2116">
        <v>2024</v>
      </c>
    </row>
    <row r="2117" spans="15:16" x14ac:dyDescent="0.3">
      <c r="O2117" t="s">
        <v>403</v>
      </c>
      <c r="P2117">
        <v>2024</v>
      </c>
    </row>
    <row r="2118" spans="15:16" x14ac:dyDescent="0.3">
      <c r="O2118" t="s">
        <v>511</v>
      </c>
      <c r="P2118">
        <v>2024</v>
      </c>
    </row>
    <row r="2119" spans="15:16" x14ac:dyDescent="0.3">
      <c r="O2119" t="s">
        <v>674</v>
      </c>
      <c r="P2119">
        <v>2024</v>
      </c>
    </row>
    <row r="2120" spans="15:16" x14ac:dyDescent="0.3">
      <c r="O2120" t="s">
        <v>765</v>
      </c>
      <c r="P2120">
        <v>2024</v>
      </c>
    </row>
    <row r="2121" spans="15:16" x14ac:dyDescent="0.3">
      <c r="O2121" t="s">
        <v>313</v>
      </c>
      <c r="P2121">
        <v>2024</v>
      </c>
    </row>
    <row r="2122" spans="15:16" x14ac:dyDescent="0.3">
      <c r="O2122" t="s">
        <v>209</v>
      </c>
      <c r="P2122">
        <v>2024</v>
      </c>
    </row>
    <row r="2123" spans="15:16" x14ac:dyDescent="0.3">
      <c r="O2123" t="s">
        <v>358</v>
      </c>
      <c r="P2123">
        <v>2024</v>
      </c>
    </row>
    <row r="2124" spans="15:16" x14ac:dyDescent="0.3">
      <c r="O2124" t="s">
        <v>226</v>
      </c>
      <c r="P2124">
        <v>2024</v>
      </c>
    </row>
    <row r="2125" spans="15:16" x14ac:dyDescent="0.3">
      <c r="O2125" t="s">
        <v>337</v>
      </c>
      <c r="P2125">
        <v>2024</v>
      </c>
    </row>
    <row r="2126" spans="15:16" x14ac:dyDescent="0.3">
      <c r="O2126" t="s">
        <v>548</v>
      </c>
      <c r="P2126">
        <v>2024</v>
      </c>
    </row>
    <row r="2127" spans="15:16" x14ac:dyDescent="0.3">
      <c r="O2127" t="s">
        <v>527</v>
      </c>
      <c r="P2127">
        <v>2024</v>
      </c>
    </row>
    <row r="2128" spans="15:16" x14ac:dyDescent="0.3">
      <c r="O2128" t="s">
        <v>364</v>
      </c>
      <c r="P2128">
        <v>2024</v>
      </c>
    </row>
    <row r="2129" spans="15:16" x14ac:dyDescent="0.3">
      <c r="O2129" t="s">
        <v>127</v>
      </c>
      <c r="P2129">
        <v>2024</v>
      </c>
    </row>
    <row r="2130" spans="15:16" x14ac:dyDescent="0.3">
      <c r="O2130" t="s">
        <v>730</v>
      </c>
      <c r="P2130">
        <v>2024</v>
      </c>
    </row>
    <row r="2131" spans="15:16" x14ac:dyDescent="0.3">
      <c r="O2131" t="s">
        <v>341</v>
      </c>
      <c r="P2131">
        <v>2024</v>
      </c>
    </row>
    <row r="2132" spans="15:16" x14ac:dyDescent="0.3">
      <c r="O2132" t="s">
        <v>304</v>
      </c>
      <c r="P2132">
        <v>2024</v>
      </c>
    </row>
    <row r="2133" spans="15:16" x14ac:dyDescent="0.3">
      <c r="O2133" t="s">
        <v>316</v>
      </c>
      <c r="P2133">
        <v>2024</v>
      </c>
    </row>
    <row r="2134" spans="15:16" x14ac:dyDescent="0.3">
      <c r="O2134" t="s">
        <v>197</v>
      </c>
      <c r="P2134">
        <v>2024</v>
      </c>
    </row>
    <row r="2135" spans="15:16" x14ac:dyDescent="0.3">
      <c r="O2135" t="s">
        <v>119</v>
      </c>
      <c r="P2135">
        <v>2024</v>
      </c>
    </row>
    <row r="2136" spans="15:16" x14ac:dyDescent="0.3">
      <c r="O2136" t="s">
        <v>284</v>
      </c>
      <c r="P2136">
        <v>2024</v>
      </c>
    </row>
    <row r="2137" spans="15:16" x14ac:dyDescent="0.3">
      <c r="O2137" t="s">
        <v>35</v>
      </c>
      <c r="P2137">
        <v>2024</v>
      </c>
    </row>
    <row r="2138" spans="15:16" x14ac:dyDescent="0.3">
      <c r="O2138" t="s">
        <v>133</v>
      </c>
      <c r="P2138">
        <v>2024</v>
      </c>
    </row>
    <row r="2139" spans="15:16" x14ac:dyDescent="0.3">
      <c r="O2139" t="s">
        <v>519</v>
      </c>
      <c r="P2139">
        <v>2024</v>
      </c>
    </row>
    <row r="2140" spans="15:16" x14ac:dyDescent="0.3">
      <c r="O2140" t="s">
        <v>594</v>
      </c>
      <c r="P2140">
        <v>2024</v>
      </c>
    </row>
    <row r="2141" spans="15:16" x14ac:dyDescent="0.3">
      <c r="O2141" t="s">
        <v>54</v>
      </c>
      <c r="P2141">
        <v>2024</v>
      </c>
    </row>
    <row r="2142" spans="15:16" x14ac:dyDescent="0.3">
      <c r="O2142" t="s">
        <v>172</v>
      </c>
      <c r="P2142">
        <v>2024</v>
      </c>
    </row>
    <row r="2143" spans="15:16" x14ac:dyDescent="0.3">
      <c r="O2143" t="s">
        <v>809</v>
      </c>
      <c r="P2143">
        <v>2024</v>
      </c>
    </row>
    <row r="2144" spans="15:16" x14ac:dyDescent="0.3">
      <c r="O2144" t="s">
        <v>651</v>
      </c>
      <c r="P2144">
        <v>2024</v>
      </c>
    </row>
    <row r="2145" spans="15:16" x14ac:dyDescent="0.3">
      <c r="O2145" t="s">
        <v>437</v>
      </c>
      <c r="P2145">
        <v>2024</v>
      </c>
    </row>
    <row r="2146" spans="15:16" x14ac:dyDescent="0.3">
      <c r="O2146" t="s">
        <v>442</v>
      </c>
      <c r="P2146">
        <v>2024</v>
      </c>
    </row>
    <row r="2147" spans="15:16" x14ac:dyDescent="0.3">
      <c r="O2147" t="s">
        <v>356</v>
      </c>
      <c r="P2147">
        <v>2024</v>
      </c>
    </row>
    <row r="2148" spans="15:16" x14ac:dyDescent="0.3">
      <c r="O2148" t="s">
        <v>292</v>
      </c>
      <c r="P2148">
        <v>2024</v>
      </c>
    </row>
    <row r="2149" spans="15:16" x14ac:dyDescent="0.3">
      <c r="O2149" t="s">
        <v>85</v>
      </c>
      <c r="P2149">
        <v>2024</v>
      </c>
    </row>
    <row r="2150" spans="15:16" x14ac:dyDescent="0.3">
      <c r="O2150" t="s">
        <v>174</v>
      </c>
      <c r="P2150">
        <v>2024</v>
      </c>
    </row>
    <row r="2151" spans="15:16" x14ac:dyDescent="0.3">
      <c r="O2151" t="s">
        <v>757</v>
      </c>
      <c r="P2151">
        <v>2024</v>
      </c>
    </row>
    <row r="2152" spans="15:16" x14ac:dyDescent="0.3">
      <c r="O2152" t="s">
        <v>515</v>
      </c>
      <c r="P2152">
        <v>2024</v>
      </c>
    </row>
    <row r="2153" spans="15:16" x14ac:dyDescent="0.3">
      <c r="O2153" t="s">
        <v>314</v>
      </c>
      <c r="P2153">
        <v>2024</v>
      </c>
    </row>
    <row r="2154" spans="15:16" x14ac:dyDescent="0.3">
      <c r="O2154" t="s">
        <v>190</v>
      </c>
      <c r="P2154">
        <v>2024</v>
      </c>
    </row>
    <row r="2155" spans="15:16" x14ac:dyDescent="0.3">
      <c r="O2155" t="s">
        <v>291</v>
      </c>
      <c r="P2155">
        <v>2024</v>
      </c>
    </row>
    <row r="2156" spans="15:16" x14ac:dyDescent="0.3">
      <c r="O2156" t="s">
        <v>349</v>
      </c>
      <c r="P2156">
        <v>2024</v>
      </c>
    </row>
    <row r="2157" spans="15:16" x14ac:dyDescent="0.3">
      <c r="O2157" t="s">
        <v>109</v>
      </c>
      <c r="P2157">
        <v>2024</v>
      </c>
    </row>
    <row r="2158" spans="15:16" x14ac:dyDescent="0.3">
      <c r="O2158" t="s">
        <v>31</v>
      </c>
      <c r="P2158">
        <v>2024</v>
      </c>
    </row>
    <row r="2159" spans="15:16" x14ac:dyDescent="0.3">
      <c r="O2159" t="s">
        <v>405</v>
      </c>
      <c r="P2159">
        <v>2024</v>
      </c>
    </row>
    <row r="2160" spans="15:16" x14ac:dyDescent="0.3">
      <c r="O2160" t="s">
        <v>578</v>
      </c>
      <c r="P2160">
        <v>2024</v>
      </c>
    </row>
    <row r="2161" spans="15:16" x14ac:dyDescent="0.3">
      <c r="O2161" t="s">
        <v>638</v>
      </c>
      <c r="P2161">
        <v>2024</v>
      </c>
    </row>
    <row r="2162" spans="15:16" x14ac:dyDescent="0.3">
      <c r="O2162" t="s">
        <v>307</v>
      </c>
      <c r="P2162">
        <v>2024</v>
      </c>
    </row>
    <row r="2163" spans="15:16" x14ac:dyDescent="0.3">
      <c r="O2163" t="s">
        <v>158</v>
      </c>
      <c r="P2163">
        <v>2024</v>
      </c>
    </row>
    <row r="2164" spans="15:16" x14ac:dyDescent="0.3">
      <c r="O2164" t="s">
        <v>300</v>
      </c>
      <c r="P2164">
        <v>2024</v>
      </c>
    </row>
    <row r="2165" spans="15:16" x14ac:dyDescent="0.3">
      <c r="O2165" t="s">
        <v>192</v>
      </c>
      <c r="P2165">
        <v>2024</v>
      </c>
    </row>
    <row r="2166" spans="15:16" x14ac:dyDescent="0.3">
      <c r="O2166" t="s">
        <v>296</v>
      </c>
      <c r="P2166">
        <v>2024</v>
      </c>
    </row>
    <row r="2167" spans="15:16" x14ac:dyDescent="0.3">
      <c r="O2167" t="s">
        <v>487</v>
      </c>
      <c r="P2167">
        <v>2024</v>
      </c>
    </row>
    <row r="2168" spans="15:16" x14ac:dyDescent="0.3">
      <c r="O2168" t="s">
        <v>156</v>
      </c>
      <c r="P2168">
        <v>2024</v>
      </c>
    </row>
    <row r="2169" spans="15:16" x14ac:dyDescent="0.3">
      <c r="O2169" t="s">
        <v>676</v>
      </c>
      <c r="P2169">
        <v>2024</v>
      </c>
    </row>
    <row r="2170" spans="15:16" x14ac:dyDescent="0.3">
      <c r="O2170" t="s">
        <v>567</v>
      </c>
      <c r="P2170">
        <v>2024</v>
      </c>
    </row>
    <row r="2171" spans="15:16" x14ac:dyDescent="0.3">
      <c r="O2171" t="s">
        <v>620</v>
      </c>
      <c r="P2171">
        <v>2024</v>
      </c>
    </row>
    <row r="2172" spans="15:16" x14ac:dyDescent="0.3">
      <c r="O2172" t="s">
        <v>521</v>
      </c>
      <c r="P2172">
        <v>2024</v>
      </c>
    </row>
    <row r="2173" spans="15:16" x14ac:dyDescent="0.3">
      <c r="O2173" t="s">
        <v>678</v>
      </c>
      <c r="P2173">
        <v>2024</v>
      </c>
    </row>
    <row r="2174" spans="15:16" x14ac:dyDescent="0.3">
      <c r="O2174" t="s">
        <v>816</v>
      </c>
      <c r="P2174">
        <v>2024</v>
      </c>
    </row>
    <row r="2175" spans="15:16" x14ac:dyDescent="0.3">
      <c r="O2175" t="s">
        <v>507</v>
      </c>
      <c r="P2175">
        <v>2024</v>
      </c>
    </row>
    <row r="2176" spans="15:16" x14ac:dyDescent="0.3">
      <c r="O2176" t="s">
        <v>128</v>
      </c>
      <c r="P2176">
        <v>2024</v>
      </c>
    </row>
    <row r="2177" spans="15:16" x14ac:dyDescent="0.3">
      <c r="O2177" t="s">
        <v>392</v>
      </c>
      <c r="P2177">
        <v>2024</v>
      </c>
    </row>
    <row r="2178" spans="15:16" x14ac:dyDescent="0.3">
      <c r="O2178" t="s">
        <v>287</v>
      </c>
      <c r="P2178">
        <v>2024</v>
      </c>
    </row>
    <row r="2179" spans="15:16" x14ac:dyDescent="0.3">
      <c r="O2179" t="s">
        <v>383</v>
      </c>
      <c r="P2179">
        <v>2024</v>
      </c>
    </row>
    <row r="2180" spans="15:16" x14ac:dyDescent="0.3">
      <c r="O2180" t="s">
        <v>242</v>
      </c>
      <c r="P2180">
        <v>2024</v>
      </c>
    </row>
    <row r="2181" spans="15:16" x14ac:dyDescent="0.3">
      <c r="O2181" t="s">
        <v>700</v>
      </c>
      <c r="P2181">
        <v>2024</v>
      </c>
    </row>
    <row r="2182" spans="15:16" x14ac:dyDescent="0.3">
      <c r="O2182" t="s">
        <v>252</v>
      </c>
      <c r="P2182">
        <v>2024</v>
      </c>
    </row>
    <row r="2183" spans="15:16" x14ac:dyDescent="0.3">
      <c r="O2183" t="s">
        <v>312</v>
      </c>
      <c r="P2183">
        <v>2024</v>
      </c>
    </row>
    <row r="2184" spans="15:16" x14ac:dyDescent="0.3">
      <c r="O2184" t="s">
        <v>352</v>
      </c>
      <c r="P2184">
        <v>2024</v>
      </c>
    </row>
    <row r="2185" spans="15:16" x14ac:dyDescent="0.3">
      <c r="O2185" t="s">
        <v>255</v>
      </c>
      <c r="P2185">
        <v>2024</v>
      </c>
    </row>
    <row r="2186" spans="15:16" x14ac:dyDescent="0.3">
      <c r="O2186" t="s">
        <v>266</v>
      </c>
      <c r="P2186">
        <v>2024</v>
      </c>
    </row>
    <row r="2187" spans="15:16" x14ac:dyDescent="0.3">
      <c r="O2187" t="s">
        <v>382</v>
      </c>
      <c r="P2187">
        <v>2024</v>
      </c>
    </row>
    <row r="2188" spans="15:16" x14ac:dyDescent="0.3">
      <c r="O2188" t="s">
        <v>171</v>
      </c>
      <c r="P2188">
        <v>2024</v>
      </c>
    </row>
    <row r="2189" spans="15:16" x14ac:dyDescent="0.3">
      <c r="O2189" t="s">
        <v>465</v>
      </c>
      <c r="P2189">
        <v>2024</v>
      </c>
    </row>
    <row r="2190" spans="15:16" x14ac:dyDescent="0.3">
      <c r="O2190" t="s">
        <v>416</v>
      </c>
      <c r="P2190">
        <v>2024</v>
      </c>
    </row>
    <row r="2191" spans="15:16" x14ac:dyDescent="0.3">
      <c r="O2191" t="s">
        <v>544</v>
      </c>
      <c r="P2191">
        <v>2024</v>
      </c>
    </row>
    <row r="2192" spans="15:16" x14ac:dyDescent="0.3">
      <c r="O2192" t="s">
        <v>318</v>
      </c>
      <c r="P2192">
        <v>2024</v>
      </c>
    </row>
    <row r="2193" spans="15:16" x14ac:dyDescent="0.3">
      <c r="O2193" t="s">
        <v>716</v>
      </c>
      <c r="P2193">
        <v>2024</v>
      </c>
    </row>
    <row r="2194" spans="15:16" x14ac:dyDescent="0.3">
      <c r="O2194" t="s">
        <v>499</v>
      </c>
      <c r="P2194">
        <v>2024</v>
      </c>
    </row>
    <row r="2195" spans="15:16" x14ac:dyDescent="0.3">
      <c r="O2195" t="s">
        <v>388</v>
      </c>
      <c r="P2195">
        <v>2024</v>
      </c>
    </row>
    <row r="2196" spans="15:16" x14ac:dyDescent="0.3">
      <c r="O2196" t="s">
        <v>100</v>
      </c>
      <c r="P2196">
        <v>2024</v>
      </c>
    </row>
    <row r="2197" spans="15:16" x14ac:dyDescent="0.3">
      <c r="O2197" t="s">
        <v>61</v>
      </c>
      <c r="P2197">
        <v>2024</v>
      </c>
    </row>
    <row r="2198" spans="15:16" x14ac:dyDescent="0.3">
      <c r="O2198" t="s">
        <v>333</v>
      </c>
      <c r="P2198">
        <v>2024</v>
      </c>
    </row>
    <row r="2199" spans="15:16" x14ac:dyDescent="0.3">
      <c r="O2199" t="s">
        <v>112</v>
      </c>
      <c r="P2199">
        <v>2024</v>
      </c>
    </row>
    <row r="2200" spans="15:16" x14ac:dyDescent="0.3">
      <c r="O2200" t="s">
        <v>438</v>
      </c>
      <c r="P2200">
        <v>2024</v>
      </c>
    </row>
    <row r="2201" spans="15:16" x14ac:dyDescent="0.3">
      <c r="O2201" t="s">
        <v>228</v>
      </c>
      <c r="P2201">
        <v>2024</v>
      </c>
    </row>
    <row r="2202" spans="15:16" x14ac:dyDescent="0.3">
      <c r="O2202" t="s">
        <v>530</v>
      </c>
      <c r="P2202">
        <v>2024</v>
      </c>
    </row>
    <row r="2203" spans="15:16" x14ac:dyDescent="0.3">
      <c r="O2203" t="s">
        <v>488</v>
      </c>
      <c r="P2203">
        <v>2024</v>
      </c>
    </row>
    <row r="2204" spans="15:16" x14ac:dyDescent="0.3">
      <c r="O2204" t="s">
        <v>420</v>
      </c>
      <c r="P2204">
        <v>2024</v>
      </c>
    </row>
    <row r="2205" spans="15:16" x14ac:dyDescent="0.3">
      <c r="O2205" t="s">
        <v>260</v>
      </c>
      <c r="P2205">
        <v>2024</v>
      </c>
    </row>
    <row r="2206" spans="15:16" x14ac:dyDescent="0.3">
      <c r="O2206" t="s">
        <v>653</v>
      </c>
      <c r="P2206">
        <v>2024</v>
      </c>
    </row>
    <row r="2207" spans="15:16" x14ac:dyDescent="0.3">
      <c r="O2207" t="s">
        <v>862</v>
      </c>
      <c r="P2207">
        <v>2024</v>
      </c>
    </row>
    <row r="2208" spans="15:16" x14ac:dyDescent="0.3">
      <c r="O2208" t="s">
        <v>797</v>
      </c>
      <c r="P2208">
        <v>2024</v>
      </c>
    </row>
    <row r="2209" spans="15:16" x14ac:dyDescent="0.3">
      <c r="O2209" t="s">
        <v>289</v>
      </c>
      <c r="P2209">
        <v>2024</v>
      </c>
    </row>
    <row r="2210" spans="15:16" x14ac:dyDescent="0.3">
      <c r="O2210" t="s">
        <v>151</v>
      </c>
      <c r="P2210">
        <v>2024</v>
      </c>
    </row>
    <row r="2211" spans="15:16" x14ac:dyDescent="0.3">
      <c r="O2211" t="s">
        <v>150</v>
      </c>
      <c r="P2211">
        <v>2024</v>
      </c>
    </row>
    <row r="2212" spans="15:16" x14ac:dyDescent="0.3">
      <c r="O2212" t="s">
        <v>434</v>
      </c>
      <c r="P2212">
        <v>2024</v>
      </c>
    </row>
    <row r="2213" spans="15:16" x14ac:dyDescent="0.3">
      <c r="O2213" t="s">
        <v>593</v>
      </c>
      <c r="P2213">
        <v>2024</v>
      </c>
    </row>
    <row r="2214" spans="15:16" x14ac:dyDescent="0.3">
      <c r="O2214" t="s">
        <v>445</v>
      </c>
      <c r="P2214">
        <v>2024</v>
      </c>
    </row>
    <row r="2215" spans="15:16" x14ac:dyDescent="0.3">
      <c r="O2215" t="s">
        <v>484</v>
      </c>
      <c r="P2215">
        <v>2024</v>
      </c>
    </row>
    <row r="2216" spans="15:16" x14ac:dyDescent="0.3">
      <c r="O2216" t="s">
        <v>536</v>
      </c>
      <c r="P2216">
        <v>2024</v>
      </c>
    </row>
    <row r="2217" spans="15:16" x14ac:dyDescent="0.3">
      <c r="O2217" t="s">
        <v>441</v>
      </c>
      <c r="P2217">
        <v>2024</v>
      </c>
    </row>
    <row r="2218" spans="15:16" x14ac:dyDescent="0.3">
      <c r="O2218" t="s">
        <v>101</v>
      </c>
      <c r="P2218">
        <v>2024</v>
      </c>
    </row>
    <row r="2219" spans="15:16" x14ac:dyDescent="0.3">
      <c r="O2219" t="s">
        <v>655</v>
      </c>
      <c r="P2219">
        <v>2024</v>
      </c>
    </row>
    <row r="2220" spans="15:16" x14ac:dyDescent="0.3">
      <c r="O2220" t="s">
        <v>719</v>
      </c>
      <c r="P2220">
        <v>2024</v>
      </c>
    </row>
    <row r="2221" spans="15:16" x14ac:dyDescent="0.3">
      <c r="O2221" t="s">
        <v>180</v>
      </c>
      <c r="P2221">
        <v>2024</v>
      </c>
    </row>
    <row r="2222" spans="15:16" x14ac:dyDescent="0.3">
      <c r="O2222" t="s">
        <v>83</v>
      </c>
      <c r="P2222">
        <v>2024</v>
      </c>
    </row>
    <row r="2223" spans="15:16" x14ac:dyDescent="0.3">
      <c r="O2223" t="s">
        <v>837</v>
      </c>
      <c r="P2223">
        <v>2024</v>
      </c>
    </row>
    <row r="2224" spans="15:16" x14ac:dyDescent="0.3">
      <c r="O2224" t="s">
        <v>274</v>
      </c>
      <c r="P2224">
        <v>2024</v>
      </c>
    </row>
    <row r="2225" spans="15:16" x14ac:dyDescent="0.3">
      <c r="O2225" t="s">
        <v>618</v>
      </c>
      <c r="P2225">
        <v>2024</v>
      </c>
    </row>
    <row r="2226" spans="15:16" x14ac:dyDescent="0.3">
      <c r="O2226" t="s">
        <v>689</v>
      </c>
      <c r="P2226">
        <v>2024</v>
      </c>
    </row>
    <row r="2227" spans="15:16" x14ac:dyDescent="0.3">
      <c r="O2227" t="s">
        <v>93</v>
      </c>
      <c r="P2227">
        <v>2024</v>
      </c>
    </row>
    <row r="2228" spans="15:16" x14ac:dyDescent="0.3">
      <c r="O2228" t="s">
        <v>138</v>
      </c>
      <c r="P2228">
        <v>2024</v>
      </c>
    </row>
    <row r="2229" spans="15:16" x14ac:dyDescent="0.3">
      <c r="O2229" t="s">
        <v>591</v>
      </c>
      <c r="P2229">
        <v>2024</v>
      </c>
    </row>
    <row r="2230" spans="15:16" x14ac:dyDescent="0.3">
      <c r="O2230" t="s">
        <v>135</v>
      </c>
      <c r="P2230">
        <v>2024</v>
      </c>
    </row>
    <row r="2231" spans="15:16" x14ac:dyDescent="0.3">
      <c r="O2231" t="s">
        <v>407</v>
      </c>
      <c r="P2231">
        <v>2024</v>
      </c>
    </row>
    <row r="2232" spans="15:16" x14ac:dyDescent="0.3">
      <c r="O2232" t="s">
        <v>615</v>
      </c>
      <c r="P2232">
        <v>2024</v>
      </c>
    </row>
    <row r="2233" spans="15:16" x14ac:dyDescent="0.3">
      <c r="O2233" t="s">
        <v>323</v>
      </c>
      <c r="P2233">
        <v>2024</v>
      </c>
    </row>
    <row r="2234" spans="15:16" x14ac:dyDescent="0.3">
      <c r="O2234" t="s">
        <v>740</v>
      </c>
      <c r="P2234">
        <v>2024</v>
      </c>
    </row>
    <row r="2235" spans="15:16" x14ac:dyDescent="0.3">
      <c r="O2235" t="s">
        <v>707</v>
      </c>
      <c r="P2235">
        <v>2024</v>
      </c>
    </row>
    <row r="2236" spans="15:16" x14ac:dyDescent="0.3">
      <c r="O2236" t="s">
        <v>188</v>
      </c>
      <c r="P2236">
        <v>2024</v>
      </c>
    </row>
    <row r="2237" spans="15:16" x14ac:dyDescent="0.3">
      <c r="O2237" t="s">
        <v>447</v>
      </c>
      <c r="P2237">
        <v>2024</v>
      </c>
    </row>
    <row r="2238" spans="15:16" x14ac:dyDescent="0.3">
      <c r="O2238" t="s">
        <v>769</v>
      </c>
      <c r="P2238">
        <v>2024</v>
      </c>
    </row>
    <row r="2239" spans="15:16" x14ac:dyDescent="0.3">
      <c r="O2239" t="s">
        <v>486</v>
      </c>
      <c r="P2239">
        <v>2024</v>
      </c>
    </row>
    <row r="2240" spans="15:16" x14ac:dyDescent="0.3">
      <c r="O2240" t="s">
        <v>131</v>
      </c>
      <c r="P2240">
        <v>2024</v>
      </c>
    </row>
    <row r="2241" spans="15:16" x14ac:dyDescent="0.3">
      <c r="O2241" t="s">
        <v>175</v>
      </c>
      <c r="P2241">
        <v>2024</v>
      </c>
    </row>
    <row r="2242" spans="15:16" x14ac:dyDescent="0.3">
      <c r="O2242" t="s">
        <v>566</v>
      </c>
      <c r="P2242">
        <v>2024</v>
      </c>
    </row>
    <row r="2243" spans="15:16" x14ac:dyDescent="0.3">
      <c r="O2243" t="s">
        <v>738</v>
      </c>
      <c r="P2243">
        <v>2024</v>
      </c>
    </row>
    <row r="2244" spans="15:16" x14ac:dyDescent="0.3">
      <c r="O2244" t="s">
        <v>389</v>
      </c>
      <c r="P2244">
        <v>2024</v>
      </c>
    </row>
    <row r="2245" spans="15:16" x14ac:dyDescent="0.3">
      <c r="O2245" t="s">
        <v>637</v>
      </c>
      <c r="P2245">
        <v>2024</v>
      </c>
    </row>
    <row r="2246" spans="15:16" x14ac:dyDescent="0.3">
      <c r="O2246" t="s">
        <v>836</v>
      </c>
      <c r="P2246">
        <v>2024</v>
      </c>
    </row>
    <row r="2247" spans="15:16" x14ac:dyDescent="0.3">
      <c r="O2247" t="s">
        <v>864</v>
      </c>
      <c r="P2247">
        <v>2024</v>
      </c>
    </row>
    <row r="2248" spans="15:16" x14ac:dyDescent="0.3">
      <c r="O2248" t="s">
        <v>160</v>
      </c>
      <c r="P2248">
        <v>2024</v>
      </c>
    </row>
    <row r="2249" spans="15:16" x14ac:dyDescent="0.3">
      <c r="O2249" t="s">
        <v>483</v>
      </c>
      <c r="P2249">
        <v>2024</v>
      </c>
    </row>
    <row r="2250" spans="15:16" x14ac:dyDescent="0.3">
      <c r="O2250" t="s">
        <v>435</v>
      </c>
      <c r="P2250">
        <v>2024</v>
      </c>
    </row>
    <row r="2251" spans="15:16" x14ac:dyDescent="0.3">
      <c r="O2251" t="s">
        <v>699</v>
      </c>
      <c r="P2251">
        <v>2024</v>
      </c>
    </row>
    <row r="2252" spans="15:16" x14ac:dyDescent="0.3">
      <c r="O2252" t="s">
        <v>650</v>
      </c>
      <c r="P2252">
        <v>2024</v>
      </c>
    </row>
    <row r="2253" spans="15:16" x14ac:dyDescent="0.3">
      <c r="O2253" t="s">
        <v>541</v>
      </c>
      <c r="P2253">
        <v>2024</v>
      </c>
    </row>
    <row r="2254" spans="15:16" x14ac:dyDescent="0.3">
      <c r="O2254" t="s">
        <v>546</v>
      </c>
      <c r="P2254">
        <v>2024</v>
      </c>
    </row>
    <row r="2255" spans="15:16" x14ac:dyDescent="0.3">
      <c r="O2255" t="s">
        <v>559</v>
      </c>
      <c r="P2255">
        <v>2024</v>
      </c>
    </row>
    <row r="2256" spans="15:16" x14ac:dyDescent="0.3">
      <c r="O2256" t="s">
        <v>706</v>
      </c>
      <c r="P2256">
        <v>2024</v>
      </c>
    </row>
    <row r="2257" spans="15:16" x14ac:dyDescent="0.3">
      <c r="O2257" t="s">
        <v>865</v>
      </c>
      <c r="P2257">
        <v>2024</v>
      </c>
    </row>
    <row r="2258" spans="15:16" x14ac:dyDescent="0.3">
      <c r="O2258" t="s">
        <v>810</v>
      </c>
      <c r="P2258">
        <v>2024</v>
      </c>
    </row>
    <row r="2259" spans="15:16" x14ac:dyDescent="0.3">
      <c r="O2259" t="s">
        <v>446</v>
      </c>
      <c r="P2259">
        <v>2024</v>
      </c>
    </row>
    <row r="2260" spans="15:16" x14ac:dyDescent="0.3">
      <c r="O2260" t="s">
        <v>145</v>
      </c>
      <c r="P2260">
        <v>2024</v>
      </c>
    </row>
    <row r="2261" spans="15:16" x14ac:dyDescent="0.3">
      <c r="O2261" t="s">
        <v>282</v>
      </c>
      <c r="P2261">
        <v>2024</v>
      </c>
    </row>
    <row r="2262" spans="15:16" x14ac:dyDescent="0.3">
      <c r="O2262" t="s">
        <v>154</v>
      </c>
      <c r="P2262">
        <v>2024</v>
      </c>
    </row>
    <row r="2263" spans="15:16" x14ac:dyDescent="0.3">
      <c r="O2263" t="s">
        <v>330</v>
      </c>
      <c r="P2263">
        <v>2024</v>
      </c>
    </row>
    <row r="2264" spans="15:16" x14ac:dyDescent="0.3">
      <c r="O2264" t="s">
        <v>178</v>
      </c>
      <c r="P2264">
        <v>2024</v>
      </c>
    </row>
    <row r="2265" spans="15:16" x14ac:dyDescent="0.3">
      <c r="O2265" t="s">
        <v>393</v>
      </c>
      <c r="P2265">
        <v>2024</v>
      </c>
    </row>
    <row r="2266" spans="15:16" x14ac:dyDescent="0.3">
      <c r="O2266" t="s">
        <v>460</v>
      </c>
      <c r="P2266">
        <v>2024</v>
      </c>
    </row>
    <row r="2267" spans="15:16" x14ac:dyDescent="0.3">
      <c r="O2267" t="s">
        <v>464</v>
      </c>
      <c r="P2267">
        <v>2024</v>
      </c>
    </row>
    <row r="2268" spans="15:16" x14ac:dyDescent="0.3">
      <c r="O2268" t="s">
        <v>89</v>
      </c>
      <c r="P2268">
        <v>2024</v>
      </c>
    </row>
    <row r="2269" spans="15:16" x14ac:dyDescent="0.3">
      <c r="O2269" t="s">
        <v>734</v>
      </c>
      <c r="P2269">
        <v>2024</v>
      </c>
    </row>
    <row r="2270" spans="15:16" x14ac:dyDescent="0.3">
      <c r="O2270" t="s">
        <v>268</v>
      </c>
      <c r="P2270">
        <v>2024</v>
      </c>
    </row>
    <row r="2271" spans="15:16" x14ac:dyDescent="0.3">
      <c r="O2271" t="s">
        <v>37</v>
      </c>
      <c r="P2271">
        <v>2024</v>
      </c>
    </row>
    <row r="2272" spans="15:16" x14ac:dyDescent="0.3">
      <c r="O2272" t="s">
        <v>346</v>
      </c>
      <c r="P2272">
        <v>2024</v>
      </c>
    </row>
    <row r="2273" spans="15:16" x14ac:dyDescent="0.3">
      <c r="O2273" t="s">
        <v>654</v>
      </c>
      <c r="P2273">
        <v>2024</v>
      </c>
    </row>
    <row r="2274" spans="15:16" x14ac:dyDescent="0.3">
      <c r="O2274" t="s">
        <v>820</v>
      </c>
      <c r="P2274">
        <v>2024</v>
      </c>
    </row>
    <row r="2275" spans="15:16" x14ac:dyDescent="0.3">
      <c r="O2275" t="s">
        <v>414</v>
      </c>
      <c r="P2275">
        <v>2024</v>
      </c>
    </row>
    <row r="2276" spans="15:16" x14ac:dyDescent="0.3">
      <c r="O2276" t="s">
        <v>321</v>
      </c>
      <c r="P2276">
        <v>2024</v>
      </c>
    </row>
    <row r="2277" spans="15:16" x14ac:dyDescent="0.3">
      <c r="O2277" t="s">
        <v>467</v>
      </c>
      <c r="P2277">
        <v>2024</v>
      </c>
    </row>
    <row r="2278" spans="15:16" x14ac:dyDescent="0.3">
      <c r="O2278" t="s">
        <v>81</v>
      </c>
      <c r="P2278">
        <v>2024</v>
      </c>
    </row>
    <row r="2279" spans="15:16" x14ac:dyDescent="0.3">
      <c r="O2279" t="s">
        <v>422</v>
      </c>
      <c r="P2279">
        <v>2024</v>
      </c>
    </row>
    <row r="2280" spans="15:16" x14ac:dyDescent="0.3">
      <c r="O2280" t="s">
        <v>452</v>
      </c>
      <c r="P2280">
        <v>2024</v>
      </c>
    </row>
    <row r="2281" spans="15:16" x14ac:dyDescent="0.3">
      <c r="O2281" t="s">
        <v>88</v>
      </c>
      <c r="P2281">
        <v>2024</v>
      </c>
    </row>
    <row r="2282" spans="15:16" x14ac:dyDescent="0.3">
      <c r="O2282" t="s">
        <v>534</v>
      </c>
      <c r="P2282">
        <v>2024</v>
      </c>
    </row>
    <row r="2283" spans="15:16" x14ac:dyDescent="0.3">
      <c r="O2283" t="s">
        <v>142</v>
      </c>
      <c r="P2283">
        <v>2024</v>
      </c>
    </row>
    <row r="2284" spans="15:16" x14ac:dyDescent="0.3">
      <c r="O2284" t="s">
        <v>169</v>
      </c>
      <c r="P2284">
        <v>2024</v>
      </c>
    </row>
    <row r="2285" spans="15:16" x14ac:dyDescent="0.3">
      <c r="O2285" t="s">
        <v>450</v>
      </c>
      <c r="P2285">
        <v>2024</v>
      </c>
    </row>
    <row r="2286" spans="15:16" x14ac:dyDescent="0.3">
      <c r="O2286" t="s">
        <v>793</v>
      </c>
      <c r="P2286">
        <v>2024</v>
      </c>
    </row>
    <row r="2287" spans="15:16" x14ac:dyDescent="0.3">
      <c r="O2287" t="s">
        <v>111</v>
      </c>
      <c r="P2287">
        <v>2024</v>
      </c>
    </row>
    <row r="2288" spans="15:16" x14ac:dyDescent="0.3">
      <c r="O2288" t="s">
        <v>238</v>
      </c>
      <c r="P2288">
        <v>2024</v>
      </c>
    </row>
    <row r="2289" spans="15:16" x14ac:dyDescent="0.3">
      <c r="O2289" t="s">
        <v>404</v>
      </c>
      <c r="P2289">
        <v>2024</v>
      </c>
    </row>
    <row r="2290" spans="15:16" x14ac:dyDescent="0.3">
      <c r="O2290" t="s">
        <v>755</v>
      </c>
      <c r="P2290">
        <v>2024</v>
      </c>
    </row>
    <row r="2291" spans="15:16" x14ac:dyDescent="0.3">
      <c r="O2291" t="s">
        <v>259</v>
      </c>
      <c r="P2291">
        <v>2024</v>
      </c>
    </row>
    <row r="2292" spans="15:16" x14ac:dyDescent="0.3">
      <c r="O2292" t="s">
        <v>772</v>
      </c>
      <c r="P2292">
        <v>2024</v>
      </c>
    </row>
    <row r="2293" spans="15:16" x14ac:dyDescent="0.3">
      <c r="O2293" t="s">
        <v>766</v>
      </c>
      <c r="P2293">
        <v>2024</v>
      </c>
    </row>
    <row r="2294" spans="15:16" x14ac:dyDescent="0.3">
      <c r="O2294" t="s">
        <v>833</v>
      </c>
      <c r="P2294">
        <v>2024</v>
      </c>
    </row>
    <row r="2295" spans="15:16" x14ac:dyDescent="0.3">
      <c r="O2295" t="s">
        <v>208</v>
      </c>
      <c r="P2295">
        <v>2024</v>
      </c>
    </row>
    <row r="2296" spans="15:16" x14ac:dyDescent="0.3">
      <c r="O2296" t="s">
        <v>205</v>
      </c>
      <c r="P2296">
        <v>2024</v>
      </c>
    </row>
    <row r="2297" spans="15:16" x14ac:dyDescent="0.3">
      <c r="O2297" t="s">
        <v>270</v>
      </c>
      <c r="P2297">
        <v>2024</v>
      </c>
    </row>
    <row r="2298" spans="15:16" x14ac:dyDescent="0.3">
      <c r="O2298" t="s">
        <v>394</v>
      </c>
      <c r="P2298">
        <v>2024</v>
      </c>
    </row>
    <row r="2299" spans="15:16" x14ac:dyDescent="0.3">
      <c r="O2299" t="s">
        <v>643</v>
      </c>
      <c r="P2299">
        <v>2024</v>
      </c>
    </row>
    <row r="2300" spans="15:16" x14ac:dyDescent="0.3">
      <c r="O2300" t="s">
        <v>543</v>
      </c>
      <c r="P2300">
        <v>2024</v>
      </c>
    </row>
    <row r="2301" spans="15:16" x14ac:dyDescent="0.3">
      <c r="O2301" t="s">
        <v>166</v>
      </c>
      <c r="P2301">
        <v>2024</v>
      </c>
    </row>
    <row r="2302" spans="15:16" x14ac:dyDescent="0.3">
      <c r="O2302" t="s">
        <v>426</v>
      </c>
      <c r="P2302">
        <v>2024</v>
      </c>
    </row>
    <row r="2303" spans="15:16" x14ac:dyDescent="0.3">
      <c r="O2303" t="s">
        <v>240</v>
      </c>
      <c r="P2303">
        <v>2024</v>
      </c>
    </row>
    <row r="2304" spans="15:16" x14ac:dyDescent="0.3">
      <c r="O2304" t="s">
        <v>726</v>
      </c>
      <c r="P2304">
        <v>2024</v>
      </c>
    </row>
    <row r="2305" spans="15:16" x14ac:dyDescent="0.3">
      <c r="O2305" t="s">
        <v>685</v>
      </c>
      <c r="P2305">
        <v>2024</v>
      </c>
    </row>
    <row r="2306" spans="15:16" x14ac:dyDescent="0.3">
      <c r="O2306" t="s">
        <v>345</v>
      </c>
      <c r="P2306">
        <v>2024</v>
      </c>
    </row>
    <row r="2307" spans="15:16" x14ac:dyDescent="0.3">
      <c r="O2307" t="s">
        <v>219</v>
      </c>
      <c r="P2307">
        <v>2024</v>
      </c>
    </row>
    <row r="2308" spans="15:16" x14ac:dyDescent="0.3">
      <c r="O2308" t="s">
        <v>847</v>
      </c>
      <c r="P2308">
        <v>2024</v>
      </c>
    </row>
    <row r="2309" spans="15:16" x14ac:dyDescent="0.3">
      <c r="O2309" t="s">
        <v>474</v>
      </c>
      <c r="P2309">
        <v>2024</v>
      </c>
    </row>
    <row r="2310" spans="15:16" x14ac:dyDescent="0.3">
      <c r="O2310" t="s">
        <v>786</v>
      </c>
      <c r="P2310">
        <v>2024</v>
      </c>
    </row>
    <row r="2311" spans="15:16" x14ac:dyDescent="0.3">
      <c r="O2311" t="s">
        <v>727</v>
      </c>
      <c r="P2311">
        <v>2024</v>
      </c>
    </row>
    <row r="2312" spans="15:16" x14ac:dyDescent="0.3">
      <c r="O2312" t="s">
        <v>448</v>
      </c>
      <c r="P2312">
        <v>2024</v>
      </c>
    </row>
    <row r="2313" spans="15:16" x14ac:dyDescent="0.3">
      <c r="O2313" t="s">
        <v>849</v>
      </c>
      <c r="P2313">
        <v>2024</v>
      </c>
    </row>
    <row r="2314" spans="15:16" x14ac:dyDescent="0.3">
      <c r="O2314" t="s">
        <v>683</v>
      </c>
      <c r="P2314">
        <v>2024</v>
      </c>
    </row>
    <row r="2315" spans="15:16" x14ac:dyDescent="0.3">
      <c r="O2315" t="s">
        <v>477</v>
      </c>
      <c r="P2315">
        <v>2024</v>
      </c>
    </row>
    <row r="2316" spans="15:16" x14ac:dyDescent="0.3">
      <c r="O2316" t="s">
        <v>600</v>
      </c>
      <c r="P2316">
        <v>2024</v>
      </c>
    </row>
    <row r="2317" spans="15:16" x14ac:dyDescent="0.3">
      <c r="O2317" t="s">
        <v>703</v>
      </c>
      <c r="P2317">
        <v>2024</v>
      </c>
    </row>
    <row r="2318" spans="15:16" x14ac:dyDescent="0.3">
      <c r="O2318" t="s">
        <v>456</v>
      </c>
      <c r="P2318">
        <v>2024</v>
      </c>
    </row>
    <row r="2319" spans="15:16" x14ac:dyDescent="0.3">
      <c r="O2319" t="s">
        <v>696</v>
      </c>
      <c r="P2319">
        <v>2024</v>
      </c>
    </row>
    <row r="2320" spans="15:16" x14ac:dyDescent="0.3">
      <c r="O2320" t="s">
        <v>114</v>
      </c>
      <c r="P2320">
        <v>2024</v>
      </c>
    </row>
    <row r="2321" spans="15:16" x14ac:dyDescent="0.3">
      <c r="O2321" t="s">
        <v>367</v>
      </c>
      <c r="P2321">
        <v>2024</v>
      </c>
    </row>
    <row r="2322" spans="15:16" x14ac:dyDescent="0.3">
      <c r="O2322" t="s">
        <v>569</v>
      </c>
      <c r="P2322">
        <v>2024</v>
      </c>
    </row>
    <row r="2323" spans="15:16" x14ac:dyDescent="0.3">
      <c r="O2323" t="s">
        <v>350</v>
      </c>
      <c r="P2323">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5055-B796-4ABC-ADA2-07391BA8442B}">
  <dimension ref="A1"/>
  <sheetViews>
    <sheetView showGridLines="0" tabSelected="1" zoomScale="72" workbookViewId="0">
      <selection activeCell="Z14" sqref="Z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Sathish P</cp:lastModifiedBy>
  <dcterms:created xsi:type="dcterms:W3CDTF">2025-02-01T11:47:25Z</dcterms:created>
  <dcterms:modified xsi:type="dcterms:W3CDTF">2025-09-16T09:49:30Z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